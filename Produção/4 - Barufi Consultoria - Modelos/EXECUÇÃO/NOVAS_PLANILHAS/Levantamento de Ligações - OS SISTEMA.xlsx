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2- Cronogramas/1- Obras/"/>
    </mc:Choice>
  </mc:AlternateContent>
  <xr:revisionPtr revIDLastSave="12" documentId="8_{8A09265C-0369-4994-B381-33D4F80445C7}" xr6:coauthVersionLast="47" xr6:coauthVersionMax="47" xr10:uidLastSave="{20D74AB9-AFFF-40C6-B826-BCA56504613C}"/>
  <bookViews>
    <workbookView xWindow="-108" yWindow="-108" windowWidth="23256" windowHeight="12456" activeTab="1" xr2:uid="{00000000-000D-0000-FFFF-FFFF00000000}"/>
  </bookViews>
  <sheets>
    <sheet name="Sheet0" sheetId="1" r:id="rId1"/>
    <sheet name="LIGAÇÕES MAR" sheetId="8" r:id="rId2"/>
    <sheet name="LIGAÇÕES FEV" sheetId="6" r:id="rId3"/>
    <sheet name="RESUMO LIG LAVAGEM" sheetId="3" r:id="rId4"/>
    <sheet name="RESUMO LIG PENDENTES" sheetId="4" r:id="rId5"/>
  </sheets>
  <definedNames>
    <definedName name="_xlnm._FilterDatabase" localSheetId="3" hidden="1">'RESUMO LIG LAVAGEM'!$A$2:$G$7</definedName>
    <definedName name="_xlnm._FilterDatabase" localSheetId="4" hidden="1">'RESUMO LIG PENDENTES'!$A$2:$F$11</definedName>
    <definedName name="_xlnm._FilterDatabase" localSheetId="0" hidden="1">Sheet0!$A$1:$S$3704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8" l="1"/>
  <c r="F23" i="8"/>
  <c r="C23" i="8"/>
  <c r="B18" i="8" l="1"/>
  <c r="Q24" i="8"/>
  <c r="E23" i="8"/>
  <c r="D23" i="8"/>
  <c r="B22" i="8"/>
  <c r="O22" i="8"/>
  <c r="Q19" i="8" l="1"/>
  <c r="K21" i="8"/>
  <c r="L22" i="8"/>
  <c r="L20" i="8"/>
  <c r="N20" i="8"/>
  <c r="M22" i="8"/>
  <c r="M20" i="8"/>
  <c r="K23" i="8"/>
  <c r="C22" i="8"/>
  <c r="C20" i="8"/>
  <c r="C18" i="8"/>
  <c r="J22" i="8"/>
  <c r="K22" i="8"/>
  <c r="C12" i="8"/>
  <c r="B12" i="8"/>
  <c r="J13" i="8"/>
  <c r="D11" i="8"/>
  <c r="N11" i="8"/>
  <c r="J23" i="8"/>
  <c r="J21" i="8"/>
  <c r="K20" i="8"/>
  <c r="J20" i="8"/>
  <c r="K19" i="8"/>
  <c r="M9" i="8"/>
  <c r="M7" i="8"/>
  <c r="M6" i="8"/>
  <c r="L10" i="8"/>
  <c r="L9" i="8"/>
  <c r="L8" i="8"/>
  <c r="L7" i="8"/>
  <c r="L6" i="8"/>
  <c r="L5" i="8"/>
  <c r="L11" i="8" l="1"/>
  <c r="B11" i="8" s="1"/>
  <c r="M11" i="8"/>
  <c r="J19" i="8"/>
  <c r="L13" i="8" l="1"/>
  <c r="B20" i="6"/>
  <c r="B19" i="6"/>
  <c r="C18" i="6"/>
  <c r="B18" i="6"/>
  <c r="B17" i="6"/>
  <c r="K18" i="8" l="1"/>
  <c r="K24" i="8" s="1"/>
  <c r="J31" i="8" s="1"/>
  <c r="B23" i="6" l="1"/>
  <c r="E47" i="8"/>
  <c r="D47" i="8"/>
  <c r="C47" i="8"/>
  <c r="B47" i="8"/>
  <c r="G46" i="8"/>
  <c r="F46" i="8"/>
  <c r="G45" i="8"/>
  <c r="F45" i="8"/>
  <c r="G44" i="8"/>
  <c r="F44" i="8"/>
  <c r="G43" i="8"/>
  <c r="F43" i="8"/>
  <c r="G42" i="8"/>
  <c r="G41" i="8"/>
  <c r="F41" i="8"/>
  <c r="O24" i="8"/>
  <c r="L31" i="8" s="1"/>
  <c r="L34" i="8" s="1"/>
  <c r="N24" i="8"/>
  <c r="K31" i="8" s="1"/>
  <c r="K34" i="8" s="1"/>
  <c r="K35" i="8" s="1"/>
  <c r="I24" i="8"/>
  <c r="H31" i="8" s="1"/>
  <c r="H34" i="8" s="1"/>
  <c r="H24" i="8"/>
  <c r="G31" i="8" s="1"/>
  <c r="G34" i="8" s="1"/>
  <c r="G35" i="8" s="1"/>
  <c r="G24" i="8"/>
  <c r="J32" i="8" s="1"/>
  <c r="F24" i="8"/>
  <c r="I32" i="8" s="1"/>
  <c r="E24" i="8"/>
  <c r="I11" i="8"/>
  <c r="H13" i="8" s="1"/>
  <c r="G11" i="8"/>
  <c r="F13" i="8" s="1"/>
  <c r="E11" i="8"/>
  <c r="C10" i="8"/>
  <c r="I46" i="8" s="1"/>
  <c r="B10" i="8"/>
  <c r="H46" i="8" s="1"/>
  <c r="C9" i="8"/>
  <c r="I45" i="8" s="1"/>
  <c r="B9" i="8"/>
  <c r="C8" i="8"/>
  <c r="I44" i="8" s="1"/>
  <c r="B8" i="8"/>
  <c r="H44" i="8" s="1"/>
  <c r="C7" i="8"/>
  <c r="I43" i="8" s="1"/>
  <c r="B7" i="8"/>
  <c r="H43" i="8" s="1"/>
  <c r="C6" i="8"/>
  <c r="I42" i="8" s="1"/>
  <c r="B6" i="8"/>
  <c r="H42" i="8" s="1"/>
  <c r="C5" i="8"/>
  <c r="I41" i="8" s="1"/>
  <c r="B5" i="8"/>
  <c r="H41" i="8" s="1"/>
  <c r="G23" i="6"/>
  <c r="F23" i="6"/>
  <c r="Q23" i="6"/>
  <c r="C41" i="6"/>
  <c r="B41" i="6"/>
  <c r="E41" i="6"/>
  <c r="D41" i="6"/>
  <c r="I30" i="3"/>
  <c r="F47" i="8" l="1"/>
  <c r="G47" i="8"/>
  <c r="D48" i="8"/>
  <c r="D13" i="8"/>
  <c r="C11" i="8"/>
  <c r="B13" i="8" s="1"/>
  <c r="N25" i="8"/>
  <c r="F25" i="8"/>
  <c r="H25" i="8"/>
  <c r="H47" i="8"/>
  <c r="B48" i="8"/>
  <c r="I47" i="8"/>
  <c r="M24" i="8"/>
  <c r="J33" i="8" s="1"/>
  <c r="C24" i="8"/>
  <c r="F24" i="6"/>
  <c r="F48" i="8" l="1"/>
  <c r="N31" i="8"/>
  <c r="N34" i="8" s="1"/>
  <c r="J34" i="8"/>
  <c r="H48" i="8"/>
  <c r="L24" i="8"/>
  <c r="L25" i="8" l="1"/>
  <c r="I33" i="8"/>
  <c r="E33" i="3"/>
  <c r="D99" i="6" l="1"/>
  <c r="E17" i="6" s="1"/>
  <c r="C99" i="6"/>
  <c r="D89" i="6"/>
  <c r="C89" i="6"/>
  <c r="F84" i="6"/>
  <c r="F83" i="6"/>
  <c r="F82" i="6"/>
  <c r="F81" i="6"/>
  <c r="F80" i="6"/>
  <c r="C79" i="6"/>
  <c r="F79" i="6" s="1"/>
  <c r="F78" i="6"/>
  <c r="C78" i="6"/>
  <c r="F77" i="6"/>
  <c r="C77" i="6"/>
  <c r="C76" i="6"/>
  <c r="F76" i="6" s="1"/>
  <c r="F75" i="6"/>
  <c r="C75" i="6"/>
  <c r="F74" i="6"/>
  <c r="F73" i="6"/>
  <c r="D72" i="6"/>
  <c r="E68" i="6"/>
  <c r="C67" i="6"/>
  <c r="E67" i="6" s="1"/>
  <c r="E66" i="6"/>
  <c r="C66" i="6"/>
  <c r="E65" i="6"/>
  <c r="E64" i="6"/>
  <c r="C64" i="6"/>
  <c r="C63" i="6"/>
  <c r="E63" i="6" s="1"/>
  <c r="E62" i="6"/>
  <c r="E61" i="6"/>
  <c r="D61" i="6"/>
  <c r="D60" i="6" s="1"/>
  <c r="E18" i="6" s="1"/>
  <c r="C61" i="6"/>
  <c r="C60" i="6" s="1"/>
  <c r="D18" i="6" s="1"/>
  <c r="D54" i="6"/>
  <c r="C54" i="6"/>
  <c r="D50" i="6"/>
  <c r="C50" i="6"/>
  <c r="D47" i="6"/>
  <c r="E20" i="6" s="1"/>
  <c r="C47" i="6"/>
  <c r="D20" i="6" s="1"/>
  <c r="I40" i="6"/>
  <c r="H40" i="6"/>
  <c r="G40" i="6"/>
  <c r="F40" i="6"/>
  <c r="I39" i="6"/>
  <c r="G39" i="6"/>
  <c r="F39" i="6"/>
  <c r="G38" i="6"/>
  <c r="F38" i="6"/>
  <c r="G37" i="6"/>
  <c r="F37" i="6"/>
  <c r="G36" i="6"/>
  <c r="H35" i="6"/>
  <c r="H41" i="6" s="1"/>
  <c r="G35" i="6"/>
  <c r="F35" i="6"/>
  <c r="J29" i="6"/>
  <c r="D29" i="6"/>
  <c r="J24" i="6"/>
  <c r="O23" i="6"/>
  <c r="N23" i="6"/>
  <c r="I23" i="6"/>
  <c r="H24" i="6" s="1"/>
  <c r="H23" i="6"/>
  <c r="M22" i="6"/>
  <c r="E22" i="6"/>
  <c r="D22" i="6"/>
  <c r="L22" i="6" s="1"/>
  <c r="C22" i="6"/>
  <c r="E21" i="6"/>
  <c r="M21" i="6" s="1"/>
  <c r="M19" i="6"/>
  <c r="D19" i="6"/>
  <c r="L19" i="6" s="1"/>
  <c r="C19" i="6"/>
  <c r="D17" i="6"/>
  <c r="M12" i="6"/>
  <c r="K12" i="6"/>
  <c r="I12" i="6"/>
  <c r="L11" i="6"/>
  <c r="K11" i="6"/>
  <c r="J11" i="6"/>
  <c r="I11" i="6"/>
  <c r="H11" i="6"/>
  <c r="G11" i="6"/>
  <c r="G12" i="6" s="1"/>
  <c r="F11" i="6"/>
  <c r="E11" i="6"/>
  <c r="E12" i="6" s="1"/>
  <c r="B11" i="6"/>
  <c r="D10" i="6"/>
  <c r="C10" i="6"/>
  <c r="D9" i="6"/>
  <c r="C9" i="6"/>
  <c r="D8" i="6"/>
  <c r="I38" i="6" s="1"/>
  <c r="C8" i="6"/>
  <c r="H38" i="6" s="1"/>
  <c r="D7" i="6"/>
  <c r="I37" i="6" s="1"/>
  <c r="C7" i="6"/>
  <c r="H37" i="6" s="1"/>
  <c r="D6" i="6"/>
  <c r="I36" i="6" s="1"/>
  <c r="C6" i="6"/>
  <c r="H36" i="6" s="1"/>
  <c r="D5" i="6"/>
  <c r="I35" i="6" s="1"/>
  <c r="C5" i="6"/>
  <c r="I41" i="6" l="1"/>
  <c r="L20" i="6"/>
  <c r="C17" i="6"/>
  <c r="E23" i="6"/>
  <c r="M17" i="6"/>
  <c r="M20" i="6"/>
  <c r="C20" i="6"/>
  <c r="L18" i="6"/>
  <c r="M18" i="6"/>
  <c r="C72" i="6"/>
  <c r="D21" i="6" s="1"/>
  <c r="D23" i="6" s="1"/>
  <c r="D24" i="6" s="1"/>
  <c r="B22" i="6"/>
  <c r="C11" i="6"/>
  <c r="D11" i="6"/>
  <c r="B21" i="6" l="1"/>
  <c r="L21" i="6"/>
  <c r="L23" i="6" s="1"/>
  <c r="C23" i="6"/>
  <c r="B24" i="6" s="1"/>
  <c r="C12" i="6"/>
  <c r="M23" i="6"/>
  <c r="L24" i="6" l="1"/>
  <c r="N26" i="6" s="1"/>
  <c r="D3" i="4"/>
  <c r="E15" i="3" l="1"/>
  <c r="E14" i="3"/>
  <c r="E13" i="3"/>
  <c r="F3" i="3"/>
  <c r="G3" i="3"/>
  <c r="C3" i="4"/>
  <c r="I10" i="3"/>
  <c r="K10" i="3"/>
  <c r="J10" i="3"/>
  <c r="L9" i="3"/>
  <c r="L8" i="3"/>
  <c r="L7" i="3"/>
  <c r="L6" i="3"/>
  <c r="L5" i="3"/>
  <c r="L10" i="3" l="1"/>
  <c r="D42" i="6" l="1"/>
  <c r="F41" i="6"/>
  <c r="G41" i="6"/>
  <c r="F42" i="6" s="1"/>
  <c r="B42" i="6"/>
  <c r="H42" i="6"/>
  <c r="J18" i="8"/>
  <c r="B24" i="8"/>
  <c r="B25" i="8" s="1"/>
  <c r="J25" i="8" l="1"/>
  <c r="I31" i="8"/>
  <c r="I34" i="8" s="1"/>
  <c r="I35" i="8" s="1"/>
  <c r="D24" i="8"/>
  <c r="D25" i="8" s="1"/>
  <c r="M31" i="8" l="1"/>
  <c r="M34" i="8" s="1"/>
  <c r="M35" i="8" s="1"/>
</calcChain>
</file>

<file path=xl/sharedStrings.xml><?xml version="1.0" encoding="utf-8"?>
<sst xmlns="http://schemas.openxmlformats.org/spreadsheetml/2006/main" count="38499" uniqueCount="13347">
  <si>
    <t>Núcleo</t>
  </si>
  <si>
    <t>Nome Cliente</t>
  </si>
  <si>
    <t>Dt. Nascimento</t>
  </si>
  <si>
    <t>RG</t>
  </si>
  <si>
    <t>CPF</t>
  </si>
  <si>
    <t>Endereço</t>
  </si>
  <si>
    <t>No.</t>
  </si>
  <si>
    <t>Compl.</t>
  </si>
  <si>
    <t>Bairro/Comunidade</t>
  </si>
  <si>
    <t>Entre No.</t>
  </si>
  <si>
    <t/>
  </si>
  <si>
    <t>JOÃO CARLOS DA SILVA</t>
  </si>
  <si>
    <t>3</t>
  </si>
  <si>
    <t>FATIMA APARECIDA DA SILVA SOUZA</t>
  </si>
  <si>
    <t>123842943</t>
  </si>
  <si>
    <t>50.829.571/0001-01</t>
  </si>
  <si>
    <t>RUA JOÃO CARLOS DA SILVA</t>
  </si>
  <si>
    <t>106</t>
  </si>
  <si>
    <t>104 / 106 / 108</t>
  </si>
  <si>
    <t>IGREJA</t>
  </si>
  <si>
    <t>N</t>
  </si>
  <si>
    <t xml:space="preserve">ADRIANA JAIME REIS </t>
  </si>
  <si>
    <t>272032840</t>
  </si>
  <si>
    <t>296.910.038-05</t>
  </si>
  <si>
    <t>JOÃO CARLOS DA SILVA - BECO 09</t>
  </si>
  <si>
    <t>4</t>
  </si>
  <si>
    <t>B</t>
  </si>
  <si>
    <t>3 / 4 / 5</t>
  </si>
  <si>
    <t xml:space="preserve">BENEDITO CARLOS VAZ </t>
  </si>
  <si>
    <t>RG novo</t>
  </si>
  <si>
    <t>015.111.118-95</t>
  </si>
  <si>
    <t>2</t>
  </si>
  <si>
    <t>3 / 2 / 1</t>
  </si>
  <si>
    <t>MARCIA CARLOS SANTANA</t>
  </si>
  <si>
    <t>245443691</t>
  </si>
  <si>
    <t>158.922.108-71</t>
  </si>
  <si>
    <t>JOÃO CARLOS DA SILVA - BECO 11</t>
  </si>
  <si>
    <t>15</t>
  </si>
  <si>
    <t>14 / 15 / 16</t>
  </si>
  <si>
    <t>FABIANO CESAR JORGE GUERRA</t>
  </si>
  <si>
    <t>23668261</t>
  </si>
  <si>
    <t>169.648.938-57</t>
  </si>
  <si>
    <t>JOÃO CARLOS DA SILVA - BECO 14</t>
  </si>
  <si>
    <t>A</t>
  </si>
  <si>
    <t>3 / 03A / 4</t>
  </si>
  <si>
    <t>FERNANDO RAMOS DA CRUZ</t>
  </si>
  <si>
    <t>27235592</t>
  </si>
  <si>
    <t>283.121.658-35</t>
  </si>
  <si>
    <t>7</t>
  </si>
  <si>
    <t>5 / 7 / 9</t>
  </si>
  <si>
    <t>JOSE BRUNO DE SANTANA</t>
  </si>
  <si>
    <t>388699668</t>
  </si>
  <si>
    <t>363.451.878-28</t>
  </si>
  <si>
    <t>JOÃO CARLOS DA SILVA - BECO 13</t>
  </si>
  <si>
    <t>2 / 3 / 4</t>
  </si>
  <si>
    <t>MANOEL PROFETA DA SILVA</t>
  </si>
  <si>
    <t>1288661</t>
  </si>
  <si>
    <t>017.928.688-98</t>
  </si>
  <si>
    <t>130</t>
  </si>
  <si>
    <t>128 / 130 / 132</t>
  </si>
  <si>
    <t>CAMINHO SÃO MANOEL</t>
  </si>
  <si>
    <t>JORGE DE JESUS SANTOS</t>
  </si>
  <si>
    <t>56.055.192-7</t>
  </si>
  <si>
    <t>573.699.415-15</t>
  </si>
  <si>
    <t>70</t>
  </si>
  <si>
    <t>70 / 70 A / 71</t>
  </si>
  <si>
    <t>ILDA MARCULINO COSTA</t>
  </si>
  <si>
    <t>27.421.052-6</t>
  </si>
  <si>
    <t>159.160.338-26</t>
  </si>
  <si>
    <t>69</t>
  </si>
  <si>
    <t>69 / 69 A / 71</t>
  </si>
  <si>
    <t>REGINALDO DOS SANTOS</t>
  </si>
  <si>
    <t>55.549.178-X</t>
  </si>
  <si>
    <t>588.341.845-71</t>
  </si>
  <si>
    <t>CAMINHO SÃO MANOEL BECO 08 E</t>
  </si>
  <si>
    <t>9</t>
  </si>
  <si>
    <t>7 / 9 / 11</t>
  </si>
  <si>
    <t>AUDREY ALINE RODRIGUES REIS</t>
  </si>
  <si>
    <t>49.796.639-6</t>
  </si>
  <si>
    <t>508.736.398-98</t>
  </si>
  <si>
    <t>10</t>
  </si>
  <si>
    <t>CASA 2</t>
  </si>
  <si>
    <t>08 / 10 / 12</t>
  </si>
  <si>
    <t>ALEX JÚLIO DE JESUS SANTOS</t>
  </si>
  <si>
    <t>69.461.640-0</t>
  </si>
  <si>
    <t>055.997.195-88</t>
  </si>
  <si>
    <t>08</t>
  </si>
  <si>
    <t>06 / 08 / 10</t>
  </si>
  <si>
    <t>JOSE JACO DE LIMA</t>
  </si>
  <si>
    <t>527074834</t>
  </si>
  <si>
    <t>510.484.934-15</t>
  </si>
  <si>
    <t>JOÃO CARLOS DA SILVA - BECO 10</t>
  </si>
  <si>
    <t>6</t>
  </si>
  <si>
    <t>5 / 6 / 7</t>
  </si>
  <si>
    <t xml:space="preserve">LETÍCIA PORFIRIO DA SILVA </t>
  </si>
  <si>
    <t>novo</t>
  </si>
  <si>
    <t>114.217.294-58</t>
  </si>
  <si>
    <t>82</t>
  </si>
  <si>
    <t>82 / 82A / 82 B</t>
  </si>
  <si>
    <t xml:space="preserve">EDVALDO SEVERINO MARQUES DA SILVA </t>
  </si>
  <si>
    <t>0000000</t>
  </si>
  <si>
    <t>097.896.658-90</t>
  </si>
  <si>
    <t>105</t>
  </si>
  <si>
    <t>CASA 1</t>
  </si>
  <si>
    <t>103 / 105 / 107</t>
  </si>
  <si>
    <t xml:space="preserve">JOSE CICERO FERREIRA </t>
  </si>
  <si>
    <t>362279366</t>
  </si>
  <si>
    <t>025.665.924-97</t>
  </si>
  <si>
    <t>05 / 06 / 07</t>
  </si>
  <si>
    <t xml:space="preserve">GIDELSON GARCIA SANTOS </t>
  </si>
  <si>
    <t>565415554</t>
  </si>
  <si>
    <t>027.421.415-61</t>
  </si>
  <si>
    <t>13</t>
  </si>
  <si>
    <t>12 / 13 / 14</t>
  </si>
  <si>
    <t xml:space="preserve">JOSE LUCAS SANTANA DOS SANTOS </t>
  </si>
  <si>
    <t>54739732X</t>
  </si>
  <si>
    <t>444.886.308-55</t>
  </si>
  <si>
    <t>5 / 4 / 3</t>
  </si>
  <si>
    <t>00000000</t>
  </si>
  <si>
    <t>02 / 03 / 04</t>
  </si>
  <si>
    <t>ADINALVA VIANA GOMES DE ASSIS</t>
  </si>
  <si>
    <t>33.574.667-6</t>
  </si>
  <si>
    <t>299.555.608-20</t>
  </si>
  <si>
    <t>CAMINHO SÃO MANOEL BECO 19 D</t>
  </si>
  <si>
    <t>04</t>
  </si>
  <si>
    <t xml:space="preserve">11E / 04 / </t>
  </si>
  <si>
    <t xml:space="preserve">SEBASTIÃO FERREIRA DOS SANTOS </t>
  </si>
  <si>
    <t>19.899.074-1</t>
  </si>
  <si>
    <t>092.009.278-07</t>
  </si>
  <si>
    <t>92</t>
  </si>
  <si>
    <t>90 / 92 / 94</t>
  </si>
  <si>
    <t>SIRLENE DOS SANTOS BONFIM</t>
  </si>
  <si>
    <t>34.959.929-4</t>
  </si>
  <si>
    <t>278.579.098-74</t>
  </si>
  <si>
    <t>147</t>
  </si>
  <si>
    <t>145 / 147 / 149</t>
  </si>
  <si>
    <t>34.959.292-4</t>
  </si>
  <si>
    <t>145</t>
  </si>
  <si>
    <t>143 / 145 / 147</t>
  </si>
  <si>
    <t>LILIAN CRISTINA DOS SANTOS</t>
  </si>
  <si>
    <t>45.491.175-9</t>
  </si>
  <si>
    <t>234.567.908-34</t>
  </si>
  <si>
    <t>CAMINHO SÃO MANOEL BECO 28 E</t>
  </si>
  <si>
    <t>02</t>
  </si>
  <si>
    <t>00 / 02 / 04</t>
  </si>
  <si>
    <t>MARCELE CRISTINA DOS SANTOS SILVA</t>
  </si>
  <si>
    <t>46194862×</t>
  </si>
  <si>
    <t>466.657.098-50</t>
  </si>
  <si>
    <t>AMARO SEVERINO DE SOUZA FILHO</t>
  </si>
  <si>
    <t>59.901.825-2</t>
  </si>
  <si>
    <t>069.494.814-46</t>
  </si>
  <si>
    <t>CAMINHO SÃO MANOEL BECO 26 E</t>
  </si>
  <si>
    <t>06</t>
  </si>
  <si>
    <t>04 / 06 / 08</t>
  </si>
  <si>
    <t xml:space="preserve">ANDRÉIA TENÓRIO DE ARAÚJO </t>
  </si>
  <si>
    <t>59.929.787-6</t>
  </si>
  <si>
    <t>085.873.144-40</t>
  </si>
  <si>
    <t>03</t>
  </si>
  <si>
    <t>01 / 03 / 05</t>
  </si>
  <si>
    <t xml:space="preserve">JOSÉ MANOEL GOMES DA SILVA </t>
  </si>
  <si>
    <t>53401380-6</t>
  </si>
  <si>
    <t>050.514.274-05</t>
  </si>
  <si>
    <t>162</t>
  </si>
  <si>
    <t>160 / 162 / 164</t>
  </si>
  <si>
    <t>OSVALDO DOS SANTOS</t>
  </si>
  <si>
    <t>7.134.924-8</t>
  </si>
  <si>
    <t>728.893.738-00</t>
  </si>
  <si>
    <t>160</t>
  </si>
  <si>
    <t>158 / 160 / 162</t>
  </si>
  <si>
    <t xml:space="preserve">THAYANNE CRISTINA DOS SANTOS </t>
  </si>
  <si>
    <t>60.386.622-0</t>
  </si>
  <si>
    <t>502.494.098-95</t>
  </si>
  <si>
    <t>CAMINHO SÃO MANOEL BECO 29 D</t>
  </si>
  <si>
    <t>02 / 04 / 06</t>
  </si>
  <si>
    <t xml:space="preserve">PATRÍCIA DOS SANTOS </t>
  </si>
  <si>
    <t>44454852-X</t>
  </si>
  <si>
    <t>388.996.878-38</t>
  </si>
  <si>
    <t>95</t>
  </si>
  <si>
    <t>95 / 95 A / 97</t>
  </si>
  <si>
    <t xml:space="preserve">Elizabeth Alves da Silva </t>
  </si>
  <si>
    <t>VILA ISRAEL</t>
  </si>
  <si>
    <t xml:space="preserve">ADEVALDO SILVA OLIVEIRA </t>
  </si>
  <si>
    <t>326823542</t>
  </si>
  <si>
    <t>222.794.878-70</t>
  </si>
  <si>
    <t>ESCADARIA 12</t>
  </si>
  <si>
    <t>4 / 6 / 00</t>
  </si>
  <si>
    <t xml:space="preserve">WAGNER BARROS </t>
  </si>
  <si>
    <t>408327388</t>
  </si>
  <si>
    <t>356.852.178-46</t>
  </si>
  <si>
    <t>TRAVESSA B</t>
  </si>
  <si>
    <t>01</t>
  </si>
  <si>
    <t>00 / 01 / 03</t>
  </si>
  <si>
    <t xml:space="preserve">JOSE CARLOS LEITE DA SILVA </t>
  </si>
  <si>
    <t>40299375</t>
  </si>
  <si>
    <t>349.913.628-73</t>
  </si>
  <si>
    <t>RUA PRINCIPAL</t>
  </si>
  <si>
    <t>05</t>
  </si>
  <si>
    <t>03 / 05 / 07</t>
  </si>
  <si>
    <t xml:space="preserve">KELEN CRISTINA RODRIGUES </t>
  </si>
  <si>
    <t>40686998</t>
  </si>
  <si>
    <t>231.792.848-38</t>
  </si>
  <si>
    <t>ESCADARIA 3</t>
  </si>
  <si>
    <t>04 / 06 / 00</t>
  </si>
  <si>
    <t>CRISTIANE SANTANA DE MORAIS</t>
  </si>
  <si>
    <t>38296304</t>
  </si>
  <si>
    <t>978.647.575-53</t>
  </si>
  <si>
    <t>18</t>
  </si>
  <si>
    <t>16 / 18 / 20</t>
  </si>
  <si>
    <t xml:space="preserve">CAMILA HENRIQUE LOPES </t>
  </si>
  <si>
    <t>60176142X</t>
  </si>
  <si>
    <t>529.189.788-09</t>
  </si>
  <si>
    <t>27</t>
  </si>
  <si>
    <t>25 / 27 / 29</t>
  </si>
  <si>
    <t xml:space="preserve">ADRIANO JOSE DE ANDRADE </t>
  </si>
  <si>
    <t>397069595</t>
  </si>
  <si>
    <t>026.965.575-19</t>
  </si>
  <si>
    <t>ESCADARIA 7</t>
  </si>
  <si>
    <t>19</t>
  </si>
  <si>
    <t>17 / 19 / 21</t>
  </si>
  <si>
    <t xml:space="preserve">ADRIANA MORATO DE FRANÇA </t>
  </si>
  <si>
    <t>4776709</t>
  </si>
  <si>
    <t>014.253.691-11</t>
  </si>
  <si>
    <t>12</t>
  </si>
  <si>
    <t>10 / 12 / 14</t>
  </si>
  <si>
    <t xml:space="preserve">RONALDO FARIAS DE ARAÚJO </t>
  </si>
  <si>
    <t>424267056</t>
  </si>
  <si>
    <t>411.987.798-10</t>
  </si>
  <si>
    <t xml:space="preserve">DANIELE DA SILVA RODRIGUES </t>
  </si>
  <si>
    <t>427826238</t>
  </si>
  <si>
    <t>320.178.488-59</t>
  </si>
  <si>
    <t>17</t>
  </si>
  <si>
    <t>15 / 17 / 21</t>
  </si>
  <si>
    <t>AUTONOMA</t>
  </si>
  <si>
    <t xml:space="preserve">ALINE DA SILVA RODRIGUES </t>
  </si>
  <si>
    <t>48081144X</t>
  </si>
  <si>
    <t>465.134.928-58</t>
  </si>
  <si>
    <t>ESCADARIA 7 BECO 1</t>
  </si>
  <si>
    <t>SANDRA RAQUEL VIEIRA COSTA</t>
  </si>
  <si>
    <t>448440295</t>
  </si>
  <si>
    <t>359.984.538-75</t>
  </si>
  <si>
    <t>CAMINHO SANTISTA</t>
  </si>
  <si>
    <t>SERVIÇOS GERAIS</t>
  </si>
  <si>
    <t xml:space="preserve">RAIMUNDO PEREIRA DO NASCIMENTO </t>
  </si>
  <si>
    <t>391062001</t>
  </si>
  <si>
    <t>157.301.312-91</t>
  </si>
  <si>
    <t>43</t>
  </si>
  <si>
    <t>ALTOS</t>
  </si>
  <si>
    <t>41 / 43 / 45</t>
  </si>
  <si>
    <t>ENCARREGADO</t>
  </si>
  <si>
    <t xml:space="preserve">DEMÉTRIO NASCIMENTO DOS SANTOS </t>
  </si>
  <si>
    <t>544104808</t>
  </si>
  <si>
    <t>901.710.078-83</t>
  </si>
  <si>
    <t>C/1</t>
  </si>
  <si>
    <t>AUTONOMO</t>
  </si>
  <si>
    <t xml:space="preserve">ROSILDA GOMES DO NASCIMENTO </t>
  </si>
  <si>
    <t>233185884</t>
  </si>
  <si>
    <t>097.776.388-92</t>
  </si>
  <si>
    <t>CAMINHO SÃO MANOEL BECO 03 E</t>
  </si>
  <si>
    <t>22</t>
  </si>
  <si>
    <t>20 / 22 / 24</t>
  </si>
  <si>
    <t xml:space="preserve">DIEGO DOS SANTOS BATISTA </t>
  </si>
  <si>
    <t>NOVO</t>
  </si>
  <si>
    <t>319.378.498-21</t>
  </si>
  <si>
    <t xml:space="preserve">EDVALDO PEREIRA DE OLIVEIRA </t>
  </si>
  <si>
    <t>143146774</t>
  </si>
  <si>
    <t>781.964.188-68</t>
  </si>
  <si>
    <t xml:space="preserve">MARIA QUITÉRIA VIEIRA DE CERQUEIRA </t>
  </si>
  <si>
    <t>372091155</t>
  </si>
  <si>
    <t>312.052.988-51</t>
  </si>
  <si>
    <t>CAMINHO SÃO MANOEL BECO 09 E</t>
  </si>
  <si>
    <t>15 / 17 / 19</t>
  </si>
  <si>
    <t>KAWAN REIS DE SOUZA</t>
  </si>
  <si>
    <t>587580197</t>
  </si>
  <si>
    <t>425.233.478-06</t>
  </si>
  <si>
    <t>CAMINHO SÃO MANOEL BECO 03 D</t>
  </si>
  <si>
    <t xml:space="preserve">RENAN SANTOS DE OLIVEIRA </t>
  </si>
  <si>
    <t>489697252</t>
  </si>
  <si>
    <t>415.874.168-83</t>
  </si>
  <si>
    <t>25</t>
  </si>
  <si>
    <t>23 / 25 / 27</t>
  </si>
  <si>
    <t>JOSE AUGUSTO DA SILVA BATISTA</t>
  </si>
  <si>
    <t>422338608X</t>
  </si>
  <si>
    <t>414.218.938-78</t>
  </si>
  <si>
    <t>24</t>
  </si>
  <si>
    <t>22 / 24 / 26</t>
  </si>
  <si>
    <t>ROSY MARY SANTOS</t>
  </si>
  <si>
    <t>654848683</t>
  </si>
  <si>
    <t>033.881.145-10</t>
  </si>
  <si>
    <t>20</t>
  </si>
  <si>
    <t>18 / 20 / 22</t>
  </si>
  <si>
    <t xml:space="preserve">ALMIR DOS SANTOS </t>
  </si>
  <si>
    <t>246.318.695-53</t>
  </si>
  <si>
    <t>30</t>
  </si>
  <si>
    <t>28 / 30 / 32</t>
  </si>
  <si>
    <t xml:space="preserve">JARDIARA DOS SANTOS FRANÇA </t>
  </si>
  <si>
    <t>638098981</t>
  </si>
  <si>
    <t>401.189.538-50</t>
  </si>
  <si>
    <t>CAMINHO SÃO MANOEL BECO 15 E</t>
  </si>
  <si>
    <t xml:space="preserve">JOSEFA FRANCO NASCIMENTO </t>
  </si>
  <si>
    <t>2015638270</t>
  </si>
  <si>
    <t>668.319.385-15</t>
  </si>
  <si>
    <t>CAMINHO SÃO MANOEL BECO 16 D</t>
  </si>
  <si>
    <t xml:space="preserve">ADEBALDO PEREIRA DOS NASCIMENTO </t>
  </si>
  <si>
    <t>354879893</t>
  </si>
  <si>
    <t>338.907.698-02</t>
  </si>
  <si>
    <t>2 / 4 / 6</t>
  </si>
  <si>
    <t>ANANIAS SILVA DE ALMEIDA</t>
  </si>
  <si>
    <t>18738674</t>
  </si>
  <si>
    <t>075.069.808-00</t>
  </si>
  <si>
    <t>73</t>
  </si>
  <si>
    <t>71 / 73 / 75</t>
  </si>
  <si>
    <t>REGINA CELIA DE JESUS</t>
  </si>
  <si>
    <t>264830544</t>
  </si>
  <si>
    <t>252.394.318-25</t>
  </si>
  <si>
    <t>CAMINHO SÃO MANOEL BECO 06 D</t>
  </si>
  <si>
    <t>11 / 13 / 15</t>
  </si>
  <si>
    <t>SELMA MENEZES PEDRAL</t>
  </si>
  <si>
    <t>165858527</t>
  </si>
  <si>
    <t>041.570.978-40</t>
  </si>
  <si>
    <t>09</t>
  </si>
  <si>
    <t>07 / 09 / 11</t>
  </si>
  <si>
    <t>SHEILA MÁRCIA BUENO</t>
  </si>
  <si>
    <t>296083707</t>
  </si>
  <si>
    <t>324.651.448-80</t>
  </si>
  <si>
    <t>01 / 02 / 03</t>
  </si>
  <si>
    <t xml:space="preserve">ADRIAN LUIZ BISPO FEITOSA </t>
  </si>
  <si>
    <t>637561843</t>
  </si>
  <si>
    <t>534.148.128-35</t>
  </si>
  <si>
    <t>14</t>
  </si>
  <si>
    <t>12 / 14 / 16</t>
  </si>
  <si>
    <t xml:space="preserve">JAINE NENES ANTUNES DE OLIVEIRA </t>
  </si>
  <si>
    <t>655302554</t>
  </si>
  <si>
    <t>131.989.894-77</t>
  </si>
  <si>
    <t>26</t>
  </si>
  <si>
    <t>*</t>
  </si>
  <si>
    <t>25 / 26 / 27</t>
  </si>
  <si>
    <t>VALQUÍRIA MARIA DE LIMA SANTOS</t>
  </si>
  <si>
    <t>413109586</t>
  </si>
  <si>
    <t>333.657.938-84</t>
  </si>
  <si>
    <t xml:space="preserve">EDIPO DOS SANTOS SILVA </t>
  </si>
  <si>
    <t>41569426</t>
  </si>
  <si>
    <t>372.992.948-85</t>
  </si>
  <si>
    <t xml:space="preserve">27 </t>
  </si>
  <si>
    <t>25 / 27  / 29</t>
  </si>
  <si>
    <t xml:space="preserve">ROSANA SILVA SANTOS E SANTOS </t>
  </si>
  <si>
    <t>470855824</t>
  </si>
  <si>
    <t>355.487.448-52</t>
  </si>
  <si>
    <t xml:space="preserve">ADRIANA GONZAGA DE MATOS </t>
  </si>
  <si>
    <t>246800252</t>
  </si>
  <si>
    <t>134.003.468-96</t>
  </si>
  <si>
    <t>36</t>
  </si>
  <si>
    <t>35 / 36 / 37</t>
  </si>
  <si>
    <t>VALERIA MARTINS DA SILVA</t>
  </si>
  <si>
    <t>405.151.138-32</t>
  </si>
  <si>
    <t>C</t>
  </si>
  <si>
    <t xml:space="preserve">ANA PAULA DOS SANTOS DIEGUES </t>
  </si>
  <si>
    <t>236695630</t>
  </si>
  <si>
    <t>250.433.958-50</t>
  </si>
  <si>
    <t>JOÃO CARLOS DA SILVA - BECO 04</t>
  </si>
  <si>
    <t>ALEXSANDRA CUSTODIO DOS SANTOS</t>
  </si>
  <si>
    <t>334947583</t>
  </si>
  <si>
    <t>262.937.158-10</t>
  </si>
  <si>
    <t xml:space="preserve">ANA PAULA DE MORAIS ARRUDA </t>
  </si>
  <si>
    <t>255695044</t>
  </si>
  <si>
    <t>341.603.058-30</t>
  </si>
  <si>
    <t>JOÃO CARLOS DA SILVA - BECO 16</t>
  </si>
  <si>
    <t>5</t>
  </si>
  <si>
    <t>04 / 05 / 06</t>
  </si>
  <si>
    <t xml:space="preserve">EDSON SILVA SANTOS </t>
  </si>
  <si>
    <t>372466400</t>
  </si>
  <si>
    <t>904.533.525-53</t>
  </si>
  <si>
    <t>5 / 06 / 7</t>
  </si>
  <si>
    <t xml:space="preserve">ESMERALDA SILVA DOS SANTOS GOMES </t>
  </si>
  <si>
    <t>52379938-X</t>
  </si>
  <si>
    <t>502.193.048-66</t>
  </si>
  <si>
    <t>06 / 07 / 08</t>
  </si>
  <si>
    <t>JÚLIO CÉSAR JAIME DA SILVA</t>
  </si>
  <si>
    <t>420405665</t>
  </si>
  <si>
    <t>419.388.028-10</t>
  </si>
  <si>
    <t>JOÃO CARLOS DA SILVA - BECO 15</t>
  </si>
  <si>
    <t>1</t>
  </si>
  <si>
    <t>1 / 1A / 2</t>
  </si>
  <si>
    <t>RAFAEL POLICARPO DOS SANTOS</t>
  </si>
  <si>
    <t>423673403</t>
  </si>
  <si>
    <t>445.222.698-11</t>
  </si>
  <si>
    <t>8</t>
  </si>
  <si>
    <t>07 / 8 / 09</t>
  </si>
  <si>
    <t>JULIO CESAR JAIME DA SILVA</t>
  </si>
  <si>
    <t>0 / 01 / 1A</t>
  </si>
  <si>
    <t>ISAQUE TESKI</t>
  </si>
  <si>
    <t>43820380</t>
  </si>
  <si>
    <t>342.922.328-81</t>
  </si>
  <si>
    <t>45</t>
  </si>
  <si>
    <t>167 / 169 / 171</t>
  </si>
  <si>
    <t xml:space="preserve">LINDALVA SILVA DOS SANTOS </t>
  </si>
  <si>
    <t>369344819</t>
  </si>
  <si>
    <t>560.282.295-04</t>
  </si>
  <si>
    <t>31</t>
  </si>
  <si>
    <t>29 / 31 / 33</t>
  </si>
  <si>
    <t xml:space="preserve">LUISA LOURDES DO NASCIMENTO </t>
  </si>
  <si>
    <t>63440203</t>
  </si>
  <si>
    <t>241.321.118-73</t>
  </si>
  <si>
    <t>93 / 95 B / 97</t>
  </si>
  <si>
    <t>DORIVAL WENZEL GOUBE</t>
  </si>
  <si>
    <t>536503254</t>
  </si>
  <si>
    <t>308.853.342-89</t>
  </si>
  <si>
    <t>13 / 15 / 17</t>
  </si>
  <si>
    <t xml:space="preserve">IVANILDE DE AZEVEDO NUNES </t>
  </si>
  <si>
    <t>57090397X</t>
  </si>
  <si>
    <t>058.969.695-54</t>
  </si>
  <si>
    <t>CAMINHO SÃO MANOEL BECO 15 D</t>
  </si>
  <si>
    <t>PALAFITAS</t>
  </si>
  <si>
    <t>18 / 19 / 20</t>
  </si>
  <si>
    <t xml:space="preserve">LILIANE DA SILVA BEZERRA </t>
  </si>
  <si>
    <t>352670666</t>
  </si>
  <si>
    <t>317.992.118-86</t>
  </si>
  <si>
    <t>CAMINHO SÃO MANOEL BECO 11 D</t>
  </si>
  <si>
    <t>11 / 12 / 13</t>
  </si>
  <si>
    <t xml:space="preserve">RIGSON CESAR DE SOUZA OLIVEIRA </t>
  </si>
  <si>
    <t>25710401X</t>
  </si>
  <si>
    <t>312.234.998-12</t>
  </si>
  <si>
    <t>CAMINHO SÃO MANOEL BECO 24 D</t>
  </si>
  <si>
    <t xml:space="preserve">LARISSA SILVA DOS SANTOS </t>
  </si>
  <si>
    <t>626017233</t>
  </si>
  <si>
    <t>530.410.998-88</t>
  </si>
  <si>
    <t>11</t>
  </si>
  <si>
    <t>09 / 11 / 13</t>
  </si>
  <si>
    <t xml:space="preserve">LESLIE TATIANA DA SILVA MORAES </t>
  </si>
  <si>
    <t>303460775</t>
  </si>
  <si>
    <t>299.878.898-08</t>
  </si>
  <si>
    <t>21 / 22 / 23</t>
  </si>
  <si>
    <t xml:space="preserve">GRAZIELE LORRANY DA SILVA BARBOSA </t>
  </si>
  <si>
    <t>565927772</t>
  </si>
  <si>
    <t>473.678.178-50</t>
  </si>
  <si>
    <t>17 / 18 / 19</t>
  </si>
  <si>
    <t xml:space="preserve">IVONE DA SILVA BATISTA </t>
  </si>
  <si>
    <t>418.372.058-33</t>
  </si>
  <si>
    <t>3 / 5 / 7</t>
  </si>
  <si>
    <t xml:space="preserve"> JOSE ANTÔNIO SANTOS DE SANTANA</t>
  </si>
  <si>
    <t>54554018</t>
  </si>
  <si>
    <t>070.303.858-37</t>
  </si>
  <si>
    <t xml:space="preserve">NATÁLIA NASCIMENTO DE CARVALHO </t>
  </si>
  <si>
    <t>RG NOVO</t>
  </si>
  <si>
    <t>343.626.478-48</t>
  </si>
  <si>
    <t>CAMINHO SÃO MANOEL BECO 17 D</t>
  </si>
  <si>
    <t xml:space="preserve">DAMIANA JUCA DA SILVA </t>
  </si>
  <si>
    <t>404928195</t>
  </si>
  <si>
    <t>337.624.368-94</t>
  </si>
  <si>
    <t xml:space="preserve">ROQUE LIMA DE FRANÇA </t>
  </si>
  <si>
    <t>35828700</t>
  </si>
  <si>
    <t>458.961.945-87</t>
  </si>
  <si>
    <t>ESCADARIA 8 BECO 1</t>
  </si>
  <si>
    <t xml:space="preserve">GERALDO JOSÉ DA SILVA </t>
  </si>
  <si>
    <t>577775972</t>
  </si>
  <si>
    <t>088.182.464-02</t>
  </si>
  <si>
    <t>CAMINHO FAZENDINHA 1</t>
  </si>
  <si>
    <t>AECIO VIEIRA RAMOS JUNIOR</t>
  </si>
  <si>
    <t>41829119</t>
  </si>
  <si>
    <t>439.934.238-28</t>
  </si>
  <si>
    <t>ESCADARIA 8</t>
  </si>
  <si>
    <t xml:space="preserve">JOSEFA GRAZIELA BISPO DOS SANTOS </t>
  </si>
  <si>
    <t>590555558</t>
  </si>
  <si>
    <t>543.027.598-01</t>
  </si>
  <si>
    <t xml:space="preserve">MATEUS JUNQUEIRA DE SOUZA </t>
  </si>
  <si>
    <t>544129362</t>
  </si>
  <si>
    <t>430.027.058-96</t>
  </si>
  <si>
    <t>RUA FAZENDINHA</t>
  </si>
  <si>
    <t>AUDREI MARISA DA COSTA</t>
  </si>
  <si>
    <t>30068949</t>
  </si>
  <si>
    <t>266.469.588-66</t>
  </si>
  <si>
    <t>CAMINHO FAZENDINHA 2</t>
  </si>
  <si>
    <t xml:space="preserve">KAMILA DANDARA DA CRUZ SOARES DE FARIAS </t>
  </si>
  <si>
    <t>423026823</t>
  </si>
  <si>
    <t>472.121.008-62</t>
  </si>
  <si>
    <t xml:space="preserve">JOÃO ERONDI DE CAMARGO </t>
  </si>
  <si>
    <t>21780181X</t>
  </si>
  <si>
    <t>121.264.738-64</t>
  </si>
  <si>
    <t xml:space="preserve">ELISVANE JESUS SANTOS GOMES </t>
  </si>
  <si>
    <t>560102021</t>
  </si>
  <si>
    <t>236.061.788-59</t>
  </si>
  <si>
    <t xml:space="preserve">FRANCISCO DE ASSIS SOUSA </t>
  </si>
  <si>
    <t>39192482</t>
  </si>
  <si>
    <t>083.077.738-57</t>
  </si>
  <si>
    <t>02 / 03 / 05</t>
  </si>
  <si>
    <t xml:space="preserve">ALEXANDRE ERIC GOMES DA SILVA </t>
  </si>
  <si>
    <t>410176904</t>
  </si>
  <si>
    <t>360.054.638-45</t>
  </si>
  <si>
    <t>JULIANA SANTOS SCHWAB</t>
  </si>
  <si>
    <t>389.546.128-81</t>
  </si>
  <si>
    <t>GÉSSICA DA SILVA REIS</t>
  </si>
  <si>
    <t>408.131.408-03</t>
  </si>
  <si>
    <t>ESCADARIA 6</t>
  </si>
  <si>
    <t>07</t>
  </si>
  <si>
    <t>05 / 07 / 9</t>
  </si>
  <si>
    <t xml:space="preserve">LUCIENE JOAQUIM LUCIANO DA SILVA </t>
  </si>
  <si>
    <t>57739632-8</t>
  </si>
  <si>
    <t>521.018.028-05</t>
  </si>
  <si>
    <t>RUA CAMINHO MICHEL</t>
  </si>
  <si>
    <t>0 / 01 / 3</t>
  </si>
  <si>
    <t>DO LAR</t>
  </si>
  <si>
    <t xml:space="preserve">BENEDITO VIEIRA DA SILVA </t>
  </si>
  <si>
    <t>355767405</t>
  </si>
  <si>
    <t>252.082.218-02</t>
  </si>
  <si>
    <t>5 / 07 / 9</t>
  </si>
  <si>
    <t xml:space="preserve">MARIA APARECIDA BENTO DA TRINDADE </t>
  </si>
  <si>
    <t>41644314X</t>
  </si>
  <si>
    <t>350.900.898-76</t>
  </si>
  <si>
    <t>ESCADARIA 10</t>
  </si>
  <si>
    <t xml:space="preserve">MARIA DALVA EGIDIO DOS SANTOS </t>
  </si>
  <si>
    <t>372779025</t>
  </si>
  <si>
    <t>315.289.138-50</t>
  </si>
  <si>
    <t>16</t>
  </si>
  <si>
    <t>14 / 16 / 18</t>
  </si>
  <si>
    <t xml:space="preserve">JOSÉ RODRIGUES DO AMARAL JÚNIOR </t>
  </si>
  <si>
    <t>338757600</t>
  </si>
  <si>
    <t>347.508.888-69</t>
  </si>
  <si>
    <t>1 / 03 / 5</t>
  </si>
  <si>
    <t>TAYNAN SILVA MENEZES DE SANTANA</t>
  </si>
  <si>
    <t>585531079</t>
  </si>
  <si>
    <t>520.604.588-89</t>
  </si>
  <si>
    <t>MARCIO DIAS DE ALMEIDA</t>
  </si>
  <si>
    <t>462.704.838-67</t>
  </si>
  <si>
    <t>ESCADARIA 9</t>
  </si>
  <si>
    <t>2 / 4 / 0</t>
  </si>
  <si>
    <t xml:space="preserve">ELIZABETH FERNANDES DA SILVA </t>
  </si>
  <si>
    <t>36227941X</t>
  </si>
  <si>
    <t>223.498.688-50</t>
  </si>
  <si>
    <t xml:space="preserve">WAGNER CAVALCANTE MACIEL </t>
  </si>
  <si>
    <t>443080379</t>
  </si>
  <si>
    <t>333.604.418-93</t>
  </si>
  <si>
    <t>TRAVESSA F</t>
  </si>
  <si>
    <t xml:space="preserve">JEFERSON CAVALCANTE MACIEL </t>
  </si>
  <si>
    <t>443080781</t>
  </si>
  <si>
    <t>338.141.098-99</t>
  </si>
  <si>
    <t>KETELLYN NITHELLY FERNANDES SANTANA</t>
  </si>
  <si>
    <t>547418073</t>
  </si>
  <si>
    <t>432.118.358-81</t>
  </si>
  <si>
    <t>MARILDA DE JESUS LEMES</t>
  </si>
  <si>
    <t>470566073</t>
  </si>
  <si>
    <t>406.134.978-30</t>
  </si>
  <si>
    <t>1 / 3 / 5</t>
  </si>
  <si>
    <t>JOSÉ CARLOS PASSONI</t>
  </si>
  <si>
    <t>116156144</t>
  </si>
  <si>
    <t>985.487.008-15</t>
  </si>
  <si>
    <t>4 / 6 / 0</t>
  </si>
  <si>
    <t>JONAS MÉLO DOS SANTOS BEZERRA</t>
  </si>
  <si>
    <t>633820489</t>
  </si>
  <si>
    <t>037.440.764-90</t>
  </si>
  <si>
    <t>TRAVESSA C</t>
  </si>
  <si>
    <t xml:space="preserve">FABIANA RODRIGUES CARVALHO </t>
  </si>
  <si>
    <t>346451255</t>
  </si>
  <si>
    <t>288.948.618-48</t>
  </si>
  <si>
    <t>42</t>
  </si>
  <si>
    <t>30 / 31 / 32</t>
  </si>
  <si>
    <t>JUNIOR DA SILVA MOURA</t>
  </si>
  <si>
    <t>42993293</t>
  </si>
  <si>
    <t>318.821.638-69</t>
  </si>
  <si>
    <t>JOÃO CARLOS DA SILVA - BECO 17</t>
  </si>
  <si>
    <t>1 / 2 / 3</t>
  </si>
  <si>
    <t>VINICIUS HENRIQUE ASSIS D'ANTONIO</t>
  </si>
  <si>
    <t>529982857</t>
  </si>
  <si>
    <t>237.551.658-30</t>
  </si>
  <si>
    <t>CASA 3</t>
  </si>
  <si>
    <t>IRACI PAIXAO PEREIRA</t>
  </si>
  <si>
    <t>502256448</t>
  </si>
  <si>
    <t>388.596.678-50</t>
  </si>
  <si>
    <t>1 / 2 A / 2</t>
  </si>
  <si>
    <t xml:space="preserve">GABRIEL NATAN JACINTO DE SOUZA </t>
  </si>
  <si>
    <t>578825405</t>
  </si>
  <si>
    <t>494.060.708-98</t>
  </si>
  <si>
    <t>132</t>
  </si>
  <si>
    <t>90 / 91 / 92</t>
  </si>
  <si>
    <t xml:space="preserve">JOSE GOMES DOS SANTOS </t>
  </si>
  <si>
    <t>2043114</t>
  </si>
  <si>
    <t>308.470.348-52</t>
  </si>
  <si>
    <t>JOÃO CARLOS DA SILVA - BECO 18</t>
  </si>
  <si>
    <t>LEANDRO JEFFERSON BUENO</t>
  </si>
  <si>
    <t>47830724X</t>
  </si>
  <si>
    <t>397.391.338-27</t>
  </si>
  <si>
    <t>0 / 01 / 2</t>
  </si>
  <si>
    <t>SUELI DOS SANTOS</t>
  </si>
  <si>
    <t>357345083</t>
  </si>
  <si>
    <t>217.777.628-71</t>
  </si>
  <si>
    <t>JOÃO CARLOS DA SILVA - BECO 08</t>
  </si>
  <si>
    <t xml:space="preserve">JOSENILTON PEREIRA DOS SANTOS </t>
  </si>
  <si>
    <t>52583742</t>
  </si>
  <si>
    <t>355.667.428-90</t>
  </si>
  <si>
    <t>6 / 7 / 5</t>
  </si>
  <si>
    <t>7A / 7 / 8</t>
  </si>
  <si>
    <t xml:space="preserve">HEVELYN RODRIGUES DOS SANTOS </t>
  </si>
  <si>
    <t>496232812</t>
  </si>
  <si>
    <t>440.797.448-62</t>
  </si>
  <si>
    <t>9 / CASA 07 / 8</t>
  </si>
  <si>
    <t>MARIA DOS SANTOS FONSECA</t>
  </si>
  <si>
    <t>543205708</t>
  </si>
  <si>
    <t>251.650.828-06</t>
  </si>
  <si>
    <t>93</t>
  </si>
  <si>
    <t>91 / 93A / 93</t>
  </si>
  <si>
    <t>LEONARDO ANTÔNIO MORAES VASCONCELOS FERRAZ</t>
  </si>
  <si>
    <t>485554756</t>
  </si>
  <si>
    <t>406.276.258-78</t>
  </si>
  <si>
    <t>26 / 27 / 28</t>
  </si>
  <si>
    <t>455554756</t>
  </si>
  <si>
    <t>406.272.258-78</t>
  </si>
  <si>
    <t>28</t>
  </si>
  <si>
    <t>26 / 28 / 30</t>
  </si>
  <si>
    <t xml:space="preserve">VERA LUCIA MACIEL QUEIROZ </t>
  </si>
  <si>
    <t>157412829</t>
  </si>
  <si>
    <t>259.867.898-22</t>
  </si>
  <si>
    <t>CAMINHO SÃO MANOEL BECO 09 D</t>
  </si>
  <si>
    <t xml:space="preserve">D / 10 / </t>
  </si>
  <si>
    <t>SERGIO ROBERTO GONÇALVES DE OLIVEIRA</t>
  </si>
  <si>
    <t>295313614</t>
  </si>
  <si>
    <t>279.969.188-99</t>
  </si>
  <si>
    <t>CAMINHO SÃO MANOEL BECO 11 E</t>
  </si>
  <si>
    <t>JOSE AMÉRICO VIERA SOUZA</t>
  </si>
  <si>
    <t>360577106</t>
  </si>
  <si>
    <t>288.196.868-64</t>
  </si>
  <si>
    <t>CAMINHO SÃO MANOEL BECO 17 E</t>
  </si>
  <si>
    <t>05 / 07 / 09</t>
  </si>
  <si>
    <t xml:space="preserve">JOSE RAIMUNDO FRAGA SANTOS </t>
  </si>
  <si>
    <t>2131177X</t>
  </si>
  <si>
    <t>007.781.015-50</t>
  </si>
  <si>
    <t>CAMINHO SÃO MANOEL BECO 08 D</t>
  </si>
  <si>
    <t>EVELISE OLIVEIRA SABINO DA SILVA</t>
  </si>
  <si>
    <t>262489715</t>
  </si>
  <si>
    <t>273.201.268-85</t>
  </si>
  <si>
    <t>67</t>
  </si>
  <si>
    <t>65 / 67 / 69</t>
  </si>
  <si>
    <t>LUAN JONATHAN DOS SANTOS LIZAR</t>
  </si>
  <si>
    <t>48627832</t>
  </si>
  <si>
    <t>417.257.818-75</t>
  </si>
  <si>
    <t>CAMINHO SÃO MANOEL BECO 05 D</t>
  </si>
  <si>
    <t xml:space="preserve">SIDNEY FERNANDES FIGUEIRA </t>
  </si>
  <si>
    <t>34.507.468-3</t>
  </si>
  <si>
    <t>239.598.768-90</t>
  </si>
  <si>
    <t>CAMINHO SÃO MANOEL BECO 04 D</t>
  </si>
  <si>
    <t>IGOR FERNANDO DOS SANTOS</t>
  </si>
  <si>
    <t>29607839</t>
  </si>
  <si>
    <t>233.990.038-70</t>
  </si>
  <si>
    <t>LUCAS LIMA ARAUJO DOS SANTOS</t>
  </si>
  <si>
    <t>44346070</t>
  </si>
  <si>
    <t>423.951.888-16</t>
  </si>
  <si>
    <t>37</t>
  </si>
  <si>
    <t>35 / 37 / 39</t>
  </si>
  <si>
    <t>VALDIK SOREANO RAMOS VIEIRA</t>
  </si>
  <si>
    <t>35985126-5</t>
  </si>
  <si>
    <t>429.299.703-91</t>
  </si>
  <si>
    <t xml:space="preserve">48 </t>
  </si>
  <si>
    <t xml:space="preserve"> CASA 1</t>
  </si>
  <si>
    <t>46 / 48 / 50</t>
  </si>
  <si>
    <t>JOVANIA DE JESUS OLIVEIRA SANTOS SANTANA</t>
  </si>
  <si>
    <t>58.601.731-8</t>
  </si>
  <si>
    <t>021.172.535-80</t>
  </si>
  <si>
    <t xml:space="preserve">MAYSA MARTINS DO NASCIMENTO </t>
  </si>
  <si>
    <t>586596124</t>
  </si>
  <si>
    <t>510.303.398-48</t>
  </si>
  <si>
    <t xml:space="preserve">ADRIANE  DOMINGUES DE JESUS </t>
  </si>
  <si>
    <t>498308595</t>
  </si>
  <si>
    <t>521.037.558-71</t>
  </si>
  <si>
    <t xml:space="preserve">ADRIANA FIGUEIREDO CAJE </t>
  </si>
  <si>
    <t>324690058</t>
  </si>
  <si>
    <t>361.079.028-80</t>
  </si>
  <si>
    <t>SOLANGE QUEIROZ GRILO</t>
  </si>
  <si>
    <t>281.199.318-58</t>
  </si>
  <si>
    <t xml:space="preserve">Juliana Camargo dos Santos </t>
  </si>
  <si>
    <t xml:space="preserve">RITA LUZIA DO NASCIMENTO </t>
  </si>
  <si>
    <t>251855806</t>
  </si>
  <si>
    <t>075.666.098-07</t>
  </si>
  <si>
    <t>41</t>
  </si>
  <si>
    <t>39 / 41 / 43</t>
  </si>
  <si>
    <t>THOMAS SCHUTEL ANTONIO</t>
  </si>
  <si>
    <t>30772758</t>
  </si>
  <si>
    <t>405.203.268-30</t>
  </si>
  <si>
    <t>01 / 3 / 5</t>
  </si>
  <si>
    <t>RAIMUNDO ALVES DE ARAUJO</t>
  </si>
  <si>
    <t>555376588</t>
  </si>
  <si>
    <t>626.297.274-91</t>
  </si>
  <si>
    <t>0 / 02 / 04</t>
  </si>
  <si>
    <t>0000000000</t>
  </si>
  <si>
    <t>JONATHAN OLIVEIRA PINHEIRO</t>
  </si>
  <si>
    <t>48655447</t>
  </si>
  <si>
    <t>378.548.008-39</t>
  </si>
  <si>
    <t>TRAVESSA D</t>
  </si>
  <si>
    <t>0 / 2 / 4</t>
  </si>
  <si>
    <t xml:space="preserve">MATHEUS RODRIGUES DO NASCIMENTO </t>
  </si>
  <si>
    <t>534031948</t>
  </si>
  <si>
    <t>475.737.138-19</t>
  </si>
  <si>
    <t>KATHEM MARIANE GOMES FERRAZ DALTRA</t>
  </si>
  <si>
    <t>52582585X</t>
  </si>
  <si>
    <t>405.988.938-57</t>
  </si>
  <si>
    <t>RUA CAMINHO FINAL</t>
  </si>
  <si>
    <t xml:space="preserve">1 / 3 / </t>
  </si>
  <si>
    <t>MARIA APARECIDA SANTIAGO</t>
  </si>
  <si>
    <t>232169135</t>
  </si>
  <si>
    <t>108.444.398-86</t>
  </si>
  <si>
    <t>21</t>
  </si>
  <si>
    <t>19 / 21 / 23</t>
  </si>
  <si>
    <t>CARLOS EDUARDO SILVA SANTOS</t>
  </si>
  <si>
    <t>363.384.898-30</t>
  </si>
  <si>
    <t>6 / 7 / 8</t>
  </si>
  <si>
    <t>4 / 5 / 6</t>
  </si>
  <si>
    <t>GABRIEL FERNANDES DE GÓES</t>
  </si>
  <si>
    <t>548549473</t>
  </si>
  <si>
    <t>448.418.558-07</t>
  </si>
  <si>
    <t>CAMINHO FAZENDINHA 3</t>
  </si>
  <si>
    <t>MARCELO NEZES JESUINO</t>
  </si>
  <si>
    <t>196534550</t>
  </si>
  <si>
    <t>133.721.248-20</t>
  </si>
  <si>
    <t>IRINEU BARROS DA SILVA</t>
  </si>
  <si>
    <t>413108685</t>
  </si>
  <si>
    <t>382.286.018-24</t>
  </si>
  <si>
    <t>63</t>
  </si>
  <si>
    <t>154 / 155 / 156</t>
  </si>
  <si>
    <t>LILIANE APARECIDA GOES</t>
  </si>
  <si>
    <t>401979738</t>
  </si>
  <si>
    <t>367.851.368-90</t>
  </si>
  <si>
    <t>CAMINHO FAZENDINHA 4</t>
  </si>
  <si>
    <t>0 / 2 / 0</t>
  </si>
  <si>
    <t xml:space="preserve">LETÍCIA OLIVEIRA DE ALMEIDA </t>
  </si>
  <si>
    <t>450543092</t>
  </si>
  <si>
    <t>388.798.869-00</t>
  </si>
  <si>
    <t>MARIA EDUARDA GONCALVES DIAS SANTOS</t>
  </si>
  <si>
    <t>559097979</t>
  </si>
  <si>
    <t>448.502.158-07</t>
  </si>
  <si>
    <t xml:space="preserve">RAFAELA SANTOS GOMES </t>
  </si>
  <si>
    <t>450849922</t>
  </si>
  <si>
    <t>418.940.248-69</t>
  </si>
  <si>
    <t>CAMINHO SÃO MANOEL BECO 12 D</t>
  </si>
  <si>
    <t>00 / 2 / 4</t>
  </si>
  <si>
    <t xml:space="preserve">JANAINA CAIRES RODRIGUES </t>
  </si>
  <si>
    <t>395.568.458-01</t>
  </si>
  <si>
    <t>2 / 04 / 6</t>
  </si>
  <si>
    <t xml:space="preserve">IRINEU BARROS DA SILVA </t>
  </si>
  <si>
    <t>62</t>
  </si>
  <si>
    <t>43 / 44 / 45</t>
  </si>
  <si>
    <t>WAGNER JESUÍNO DIAS</t>
  </si>
  <si>
    <t>23594429</t>
  </si>
  <si>
    <t>133.738.218-35</t>
  </si>
  <si>
    <t>65</t>
  </si>
  <si>
    <t>63 / 65 / 67</t>
  </si>
  <si>
    <t xml:space="preserve">LUCIDALVA FERREIRA DA SILVA </t>
  </si>
  <si>
    <t>543193780</t>
  </si>
  <si>
    <t>708.784.554-34</t>
  </si>
  <si>
    <t>0 / 1 / 2</t>
  </si>
  <si>
    <t>MARCOS ANTONIO SANTOS SILVA</t>
  </si>
  <si>
    <t>53878941</t>
  </si>
  <si>
    <t>017.823.565-25</t>
  </si>
  <si>
    <t xml:space="preserve">CLAITON DE JESUS SOUZA </t>
  </si>
  <si>
    <t>549841039</t>
  </si>
  <si>
    <t>464.775.718-89</t>
  </si>
  <si>
    <t>FUNDOS</t>
  </si>
  <si>
    <t>ELISANDRA  ALVES BRITO</t>
  </si>
  <si>
    <t>357350844</t>
  </si>
  <si>
    <t>316.371.718-70</t>
  </si>
  <si>
    <t xml:space="preserve">CAMILA DA ROSA ALBERTO </t>
  </si>
  <si>
    <t>492994560</t>
  </si>
  <si>
    <t>110.008.619-61</t>
  </si>
  <si>
    <t>DIEGO FERREIRA DAS NEVES</t>
  </si>
  <si>
    <t>495334145</t>
  </si>
  <si>
    <t>428.742.948-61</t>
  </si>
  <si>
    <t>LUCIANA GAMA BERNARDO</t>
  </si>
  <si>
    <t>589356902</t>
  </si>
  <si>
    <t>501.119.088-92</t>
  </si>
  <si>
    <t>CAMINHO SÃO MANOEL BECO 22 D</t>
  </si>
  <si>
    <t xml:space="preserve">MARIA JOSE  DA SILVA </t>
  </si>
  <si>
    <t>55646863-6</t>
  </si>
  <si>
    <t>394.216.048-06</t>
  </si>
  <si>
    <t>00 / 01 / 02</t>
  </si>
  <si>
    <t xml:space="preserve">ROSIVALDO BARBOSA DA SILVA </t>
  </si>
  <si>
    <t>562133136</t>
  </si>
  <si>
    <t>724.160.174-20</t>
  </si>
  <si>
    <t xml:space="preserve">JUCIARA GONÇALVES DIAS SANTOS </t>
  </si>
  <si>
    <t>623035145</t>
  </si>
  <si>
    <t>513.776.958-40</t>
  </si>
  <si>
    <t>CAMINHO SÃO MANOEL BECO 06 E</t>
  </si>
  <si>
    <t>00 / 02 / 03</t>
  </si>
  <si>
    <t>CARLOS HENRIQUE AZEVEDO MARTINS</t>
  </si>
  <si>
    <t>378127202</t>
  </si>
  <si>
    <t>391.649.768-58</t>
  </si>
  <si>
    <t>78</t>
  </si>
  <si>
    <t>76 / 78 / 80</t>
  </si>
  <si>
    <t>ISABEL CAMILO DE AZEVEDO</t>
  </si>
  <si>
    <t>34960390</t>
  </si>
  <si>
    <t>270.206.668-25</t>
  </si>
  <si>
    <t>MARCELO ALMEIDA MARTINS</t>
  </si>
  <si>
    <t>556690540</t>
  </si>
  <si>
    <t>456.341.938-93</t>
  </si>
  <si>
    <t xml:space="preserve">LUCAS MACENA XAVIER </t>
  </si>
  <si>
    <t>578848788</t>
  </si>
  <si>
    <t>519.862.848-40</t>
  </si>
  <si>
    <t xml:space="preserve">DAIANE LOURENÇO DA SILVA </t>
  </si>
  <si>
    <t>40.642.147-×</t>
  </si>
  <si>
    <t>369.737.658-66</t>
  </si>
  <si>
    <t>122</t>
  </si>
  <si>
    <t>120 / 122 / 124</t>
  </si>
  <si>
    <t>124</t>
  </si>
  <si>
    <t>122 / 124 / 126</t>
  </si>
  <si>
    <t xml:space="preserve">MARIA CECÍLIA BARBOSA DA SILVA </t>
  </si>
  <si>
    <t>051.580.298-06</t>
  </si>
  <si>
    <t xml:space="preserve">DALILA STEPHANY DE ASSUNÇÃO </t>
  </si>
  <si>
    <t>403933833</t>
  </si>
  <si>
    <t>424.231.708-58</t>
  </si>
  <si>
    <t>110</t>
  </si>
  <si>
    <t>108 / 110 / 112</t>
  </si>
  <si>
    <t>GABRIEL CORREIA DOS SANTOS</t>
  </si>
  <si>
    <t>440738738</t>
  </si>
  <si>
    <t>402.425.328-02</t>
  </si>
  <si>
    <t>113</t>
  </si>
  <si>
    <t>111 / 113 / 115</t>
  </si>
  <si>
    <t xml:space="preserve">MARIA JOSE CORREIA DE MELO SANTOS </t>
  </si>
  <si>
    <t>36878840</t>
  </si>
  <si>
    <t>660.749.914-72</t>
  </si>
  <si>
    <t>CAMINHO SÃO MANOEL BECO 02 E</t>
  </si>
  <si>
    <t xml:space="preserve">LUÃ HENRIQUE CERVANTES </t>
  </si>
  <si>
    <t>489702296</t>
  </si>
  <si>
    <t>421.571.268-80</t>
  </si>
  <si>
    <t xml:space="preserve">ALENE SILVA SANTOS </t>
  </si>
  <si>
    <t>338.779.498-35</t>
  </si>
  <si>
    <t>MARCELA GONÇALVES ANGELO</t>
  </si>
  <si>
    <t>456495733</t>
  </si>
  <si>
    <t>510.947.448-67</t>
  </si>
  <si>
    <t>CASA 4</t>
  </si>
  <si>
    <t xml:space="preserve">GIVANILDA MARIA DO NASCIMENTO MENEZES </t>
  </si>
  <si>
    <t>007.638.315-65</t>
  </si>
  <si>
    <t>CAMINHO SÃO MANOEL BECO 21 D</t>
  </si>
  <si>
    <t>4 / 6 / 8</t>
  </si>
  <si>
    <t>DISLENE SILVA DOS SANTOS</t>
  </si>
  <si>
    <t>666056419</t>
  </si>
  <si>
    <t>005.315.495-93</t>
  </si>
  <si>
    <t xml:space="preserve">MARIA DAS DORES RODRIGUES VIANA </t>
  </si>
  <si>
    <t>575826794</t>
  </si>
  <si>
    <t>826.667.253-91</t>
  </si>
  <si>
    <t xml:space="preserve">GERLANE SANTOS VAZ CURADO </t>
  </si>
  <si>
    <t>338778391</t>
  </si>
  <si>
    <t>323.419.828-40</t>
  </si>
  <si>
    <t xml:space="preserve">VALQUIRIA MARIA DA SILVA OLIVEIRA </t>
  </si>
  <si>
    <t>072.965.424-97</t>
  </si>
  <si>
    <t>YASMIN SOUZA NUNES</t>
  </si>
  <si>
    <t>460973708</t>
  </si>
  <si>
    <t>134.659.921-48</t>
  </si>
  <si>
    <t>10 / 11 / 12</t>
  </si>
  <si>
    <t xml:space="preserve">NATHALY NAYARA DOS SANTOS </t>
  </si>
  <si>
    <t>525275733</t>
  </si>
  <si>
    <t>569.497.108-60</t>
  </si>
  <si>
    <t>8 / 10 / 12</t>
  </si>
  <si>
    <t xml:space="preserve">CHRISLEY SANTOS OZORIO DA SILVA </t>
  </si>
  <si>
    <t>35043467-0</t>
  </si>
  <si>
    <t>339.500.888-65</t>
  </si>
  <si>
    <t xml:space="preserve">ADENILTON DOS SANTOS </t>
  </si>
  <si>
    <t>45636349X</t>
  </si>
  <si>
    <t>244.367.398-60</t>
  </si>
  <si>
    <t>48</t>
  </si>
  <si>
    <t>JANIELZA PEREIRA SANTOS</t>
  </si>
  <si>
    <t>305905703</t>
  </si>
  <si>
    <t>250.380.628-73</t>
  </si>
  <si>
    <t>CAMINHO SÃO MANOEL BECO 05 E</t>
  </si>
  <si>
    <t>MANOEL MESSIAS BISPO SANTOS</t>
  </si>
  <si>
    <t>553156093</t>
  </si>
  <si>
    <t>894.045.484-72</t>
  </si>
  <si>
    <t>38</t>
  </si>
  <si>
    <t>36 / 38 / 40</t>
  </si>
  <si>
    <t>MARIA JANIELMA DE SOUZA LEITE</t>
  </si>
  <si>
    <t>397039499</t>
  </si>
  <si>
    <t>377.896.228-03</t>
  </si>
  <si>
    <t>CAMINHO SÃO MANOEL BECO 13 D</t>
  </si>
  <si>
    <t>MARIA VICTORIA PEREIRA NATALINO</t>
  </si>
  <si>
    <t>604888594</t>
  </si>
  <si>
    <t>507.576.638-26</t>
  </si>
  <si>
    <t xml:space="preserve">THIAGO ELIAS ASSUNÇÃO </t>
  </si>
  <si>
    <t>555291406</t>
  </si>
  <si>
    <t>498.287.228-79</t>
  </si>
  <si>
    <t>CAMINHO SÃO MANOEL BECO 18 D</t>
  </si>
  <si>
    <t xml:space="preserve">ROSEMEIRE DE OLIVEIRA </t>
  </si>
  <si>
    <t>252482918</t>
  </si>
  <si>
    <t>153.167.988-99</t>
  </si>
  <si>
    <t>17 / 19 A / 21</t>
  </si>
  <si>
    <t>NADIR MONICA LEME</t>
  </si>
  <si>
    <t>295015780</t>
  </si>
  <si>
    <t>212.848.618-13</t>
  </si>
  <si>
    <t>39</t>
  </si>
  <si>
    <t>37 / 39 / 41</t>
  </si>
  <si>
    <t xml:space="preserve">JOSE CARLOS MENEZES DA SILVA </t>
  </si>
  <si>
    <t>208223976</t>
  </si>
  <si>
    <t>169.597.648-74</t>
  </si>
  <si>
    <t xml:space="preserve">JOAO ROBERTO DOS SANTOS </t>
  </si>
  <si>
    <t>36549542-6</t>
  </si>
  <si>
    <t>307.227.108-95</t>
  </si>
  <si>
    <t xml:space="preserve">RUI DE OLIVEIRA </t>
  </si>
  <si>
    <t>36028159</t>
  </si>
  <si>
    <t>305.644.038-65</t>
  </si>
  <si>
    <t>ESCADARIA DA 3</t>
  </si>
  <si>
    <t>CASA B</t>
  </si>
  <si>
    <t>5 / 5B / 7</t>
  </si>
  <si>
    <t xml:space="preserve">JOAO VITOR FERREIRA DAS NEVES DE SOUZA </t>
  </si>
  <si>
    <t>561797705</t>
  </si>
  <si>
    <t>480.809.408-86</t>
  </si>
  <si>
    <t>ISABELA SANTOS CANDIDO</t>
  </si>
  <si>
    <t>625027802</t>
  </si>
  <si>
    <t>515.988.568-47</t>
  </si>
  <si>
    <t>CAMINHO SÃO MANOEL BECO 25 D</t>
  </si>
  <si>
    <t xml:space="preserve">THAYNA SANTOS ARAÚJO </t>
  </si>
  <si>
    <t>527098887</t>
  </si>
  <si>
    <t>483.283.438-00</t>
  </si>
  <si>
    <t>141</t>
  </si>
  <si>
    <t>139 / 141 / 143</t>
  </si>
  <si>
    <t xml:space="preserve">ROGERIO SIMÕES </t>
  </si>
  <si>
    <t>000000000000</t>
  </si>
  <si>
    <t>307.023.988-96</t>
  </si>
  <si>
    <t>TRAVESSA E BECO 1</t>
  </si>
  <si>
    <t xml:space="preserve">SONIA MARIA DE MOURA </t>
  </si>
  <si>
    <t>6224431-2</t>
  </si>
  <si>
    <t>250.652.668-40</t>
  </si>
  <si>
    <t>6 / 8 / 10</t>
  </si>
  <si>
    <t xml:space="preserve">ALINE  FERREIRA DAS NEVES DOS SANTOS </t>
  </si>
  <si>
    <t>473201045</t>
  </si>
  <si>
    <t>410.067.318-30</t>
  </si>
  <si>
    <t xml:space="preserve">ANA CAROLINA SANTANA ARAUJO </t>
  </si>
  <si>
    <t>58129762-3</t>
  </si>
  <si>
    <t>477.298.638-39</t>
  </si>
  <si>
    <t xml:space="preserve">TAIS NARA DA SILVA SANTOS </t>
  </si>
  <si>
    <t>48931217-2</t>
  </si>
  <si>
    <t>416.456.298-64</t>
  </si>
  <si>
    <t>DARLAN BARROS FEITOSA</t>
  </si>
  <si>
    <t>RG Novo</t>
  </si>
  <si>
    <t>446.362.828-84</t>
  </si>
  <si>
    <t>CAMINHO SÃO MANOEL BECO 12 E</t>
  </si>
  <si>
    <t>LUCIMARA DOSSANTOS CONTREIRAS</t>
  </si>
  <si>
    <t>55382479-X</t>
  </si>
  <si>
    <t>025.467.265-52</t>
  </si>
  <si>
    <t>ISMENIA MARIA DOS SANTOS</t>
  </si>
  <si>
    <t>342488685</t>
  </si>
  <si>
    <t>842.724.465-49</t>
  </si>
  <si>
    <t>58</t>
  </si>
  <si>
    <t>56 / 58 / 60</t>
  </si>
  <si>
    <t xml:space="preserve">ELIZABETH STEINBACK ALVES MOURA </t>
  </si>
  <si>
    <t>461236229</t>
  </si>
  <si>
    <t>345.277.018-43</t>
  </si>
  <si>
    <t xml:space="preserve">NEUSA GOMES DA ROCHA </t>
  </si>
  <si>
    <t>356502559</t>
  </si>
  <si>
    <t>133.927.088-95</t>
  </si>
  <si>
    <t>CAMINHO SÃO MANOEL BECO 02 D</t>
  </si>
  <si>
    <t>ANDRÉA DANTAS GONZAGA DOS SANTOS</t>
  </si>
  <si>
    <t>484092820</t>
  </si>
  <si>
    <t>370.897.538-32</t>
  </si>
  <si>
    <t xml:space="preserve">ALAIDO DOS SANTOS </t>
  </si>
  <si>
    <t>50282024X</t>
  </si>
  <si>
    <t>454.549.225-87</t>
  </si>
  <si>
    <t>WILLIAM LOPES RIBEIRO</t>
  </si>
  <si>
    <t>550.431.498-41</t>
  </si>
  <si>
    <t>143</t>
  </si>
  <si>
    <t>141 / 143 / 145</t>
  </si>
  <si>
    <t xml:space="preserve">JOSE DANILO DOS SANTOS BATISTA </t>
  </si>
  <si>
    <t>390.215.098-06</t>
  </si>
  <si>
    <t>LIDIA MARIA DA CONCEIÇÃO ARAUJO</t>
  </si>
  <si>
    <t>221157748</t>
  </si>
  <si>
    <t>062.178.948-82</t>
  </si>
  <si>
    <t>AVACI  REIS DOS SANTOS</t>
  </si>
  <si>
    <t>15957236</t>
  </si>
  <si>
    <t>044.042.278-76</t>
  </si>
  <si>
    <t xml:space="preserve">LUCAS DA MATA DA SILVA </t>
  </si>
  <si>
    <t>62234917X</t>
  </si>
  <si>
    <t>550.175.778-82</t>
  </si>
  <si>
    <t>03 / 05 / 0</t>
  </si>
  <si>
    <t>BRUNO DA SILVA RAMIRO</t>
  </si>
  <si>
    <t>525810092</t>
  </si>
  <si>
    <t>404.506.328-57</t>
  </si>
  <si>
    <t>JOÃO CARLOS DA SILVA - BECO 07</t>
  </si>
  <si>
    <t>4 / 5 / 0</t>
  </si>
  <si>
    <t>BRUNO FERREIRA DA SILVA</t>
  </si>
  <si>
    <t>116.930.828-70</t>
  </si>
  <si>
    <t>JOÃO CARLOS DA SILVA - BECO 12</t>
  </si>
  <si>
    <t>KLEBER AUGUSTO RIBEIRO DE OLIVEIRA</t>
  </si>
  <si>
    <t>48650609</t>
  </si>
  <si>
    <t>409.972.398-40</t>
  </si>
  <si>
    <t>7 / 8 / 9</t>
  </si>
  <si>
    <t>DOUGLAS GUERRA CANTANHEDE</t>
  </si>
  <si>
    <t>46081398</t>
  </si>
  <si>
    <t>512.812.978-01</t>
  </si>
  <si>
    <t>BRENDA NUNES COSTA</t>
  </si>
  <si>
    <t>292229846</t>
  </si>
  <si>
    <t>493.452.828-62</t>
  </si>
  <si>
    <t>83</t>
  </si>
  <si>
    <t>140A / 140 / 140B</t>
  </si>
  <si>
    <t>MARCELO RIBEIRO LINS</t>
  </si>
  <si>
    <t>628947872</t>
  </si>
  <si>
    <t>056.145.724-73</t>
  </si>
  <si>
    <t>85</t>
  </si>
  <si>
    <t>138 / 139 / 140</t>
  </si>
  <si>
    <t>LUCAS BARBOSA DOS SANTOS</t>
  </si>
  <si>
    <t>35676318</t>
  </si>
  <si>
    <t>421.213.318-08</t>
  </si>
  <si>
    <t>JOÃO CARLOS DA SILVA - BECO 01</t>
  </si>
  <si>
    <t>GEIBSON MIRANDA ALVES DA SILVA</t>
  </si>
  <si>
    <t>092.837.724-58</t>
  </si>
  <si>
    <t xml:space="preserve">KLEBER AUGUSTO RIBEIRO DE OLIVEIRA </t>
  </si>
  <si>
    <t>11 / 10 / 9</t>
  </si>
  <si>
    <t xml:space="preserve">PAULO ROBERTO EVANGELISTA </t>
  </si>
  <si>
    <t>304587771</t>
  </si>
  <si>
    <t>238.971.598-21</t>
  </si>
  <si>
    <t>01A / 02 / 0</t>
  </si>
  <si>
    <t xml:space="preserve">LUCIANA PEREIRA DE JESUS </t>
  </si>
  <si>
    <t>29053397</t>
  </si>
  <si>
    <t>287.854.588-56</t>
  </si>
  <si>
    <t>79</t>
  </si>
  <si>
    <t>79 / 79 A  / 79 B</t>
  </si>
  <si>
    <t xml:space="preserve">GISLAINE DE SOUZA IZABEL </t>
  </si>
  <si>
    <t>41309436</t>
  </si>
  <si>
    <t>308.131.428-30</t>
  </si>
  <si>
    <t>74</t>
  </si>
  <si>
    <t>72 / 74 C 1 / 74 C2</t>
  </si>
  <si>
    <t>74 C 1 / 74 C 2 / 76</t>
  </si>
  <si>
    <t xml:space="preserve">MARIA RAQUEL ROSA DE MENEZES </t>
  </si>
  <si>
    <t>24718734</t>
  </si>
  <si>
    <t>071.692.315-73</t>
  </si>
  <si>
    <t>49</t>
  </si>
  <si>
    <t>47 / 49 / 51</t>
  </si>
  <si>
    <t>JOSE WELLINGTON PINTO DE ARAUJO</t>
  </si>
  <si>
    <t>243247308</t>
  </si>
  <si>
    <t>133.977.288-43</t>
  </si>
  <si>
    <t>JAYME COSTA NETO</t>
  </si>
  <si>
    <t>415695156</t>
  </si>
  <si>
    <t>335.410.468-64</t>
  </si>
  <si>
    <t>MARIA DE FATIMA COSTA</t>
  </si>
  <si>
    <t>177512623</t>
  </si>
  <si>
    <t>075.570.308-18</t>
  </si>
  <si>
    <t>30 C 1 / 30 C 2 / 32</t>
  </si>
  <si>
    <t>KLAUS MEIROZ GRILO</t>
  </si>
  <si>
    <t>37709253</t>
  </si>
  <si>
    <t>228.768.838-21</t>
  </si>
  <si>
    <t xml:space="preserve">CARLOS ALEXANDRE PEREIRA </t>
  </si>
  <si>
    <t>39356535</t>
  </si>
  <si>
    <t>042.874.294-78</t>
  </si>
  <si>
    <t xml:space="preserve">CRISTIANE VIEIRA DOS SANTOS </t>
  </si>
  <si>
    <t>24400694</t>
  </si>
  <si>
    <t>162.415.220-76</t>
  </si>
  <si>
    <t>155</t>
  </si>
  <si>
    <t>153 / 155 / 157</t>
  </si>
  <si>
    <t>LUCAS CELSO ALTINO DA SILVA</t>
  </si>
  <si>
    <t>133.690.788-64</t>
  </si>
  <si>
    <t>ROBSON DE OLIVEIRA ALVES SANTANA</t>
  </si>
  <si>
    <t>424605181</t>
  </si>
  <si>
    <t>230.359.898-26</t>
  </si>
  <si>
    <t>CAMINHO SÃO MANOEL BECO 07 E</t>
  </si>
  <si>
    <t>O4 / 06 / 08</t>
  </si>
  <si>
    <t>BRUNO NASCIMENTO BARROS</t>
  </si>
  <si>
    <t>46701923</t>
  </si>
  <si>
    <t>373.781.388-43</t>
  </si>
  <si>
    <t>06 / 06 A / 08</t>
  </si>
  <si>
    <t>AMARO FRANCISCO DOS SANTOS FILHO</t>
  </si>
  <si>
    <t>53530297</t>
  </si>
  <si>
    <t>795.104.694-91</t>
  </si>
  <si>
    <t xml:space="preserve">GILSON DOS SANTOS OLIVEIRA </t>
  </si>
  <si>
    <t>053.603.495-81</t>
  </si>
  <si>
    <t>25 / 27 C / 29</t>
  </si>
  <si>
    <t>L</t>
  </si>
  <si>
    <t>ERALDO BATISTA DA  SILVA</t>
  </si>
  <si>
    <t>601458035</t>
  </si>
  <si>
    <t>697.734.755-46</t>
  </si>
  <si>
    <t>24 / 26 / 28</t>
  </si>
  <si>
    <t>KLEITON BATISTA NASCIMENTO SILVA</t>
  </si>
  <si>
    <t>380.103.228-06</t>
  </si>
  <si>
    <t>25 / 27 B / 29</t>
  </si>
  <si>
    <t xml:space="preserve">PEDRINA JUSTINA DA CONCEIÇÃO </t>
  </si>
  <si>
    <t>304905847</t>
  </si>
  <si>
    <t>250.758.168-94</t>
  </si>
  <si>
    <t xml:space="preserve">BEATRIZ BARROS DE OLIVEIRA </t>
  </si>
  <si>
    <t>564101126</t>
  </si>
  <si>
    <t>526.235.358-41</t>
  </si>
  <si>
    <t>54</t>
  </si>
  <si>
    <t>54 C 1 / 54 C 2 / 56</t>
  </si>
  <si>
    <t xml:space="preserve">GUILHERME KAUAN XAVIER </t>
  </si>
  <si>
    <t>547417998</t>
  </si>
  <si>
    <t>432.118.348-00</t>
  </si>
  <si>
    <t>6 / 8 / 0</t>
  </si>
  <si>
    <t xml:space="preserve">EVANDRO DE JESUS DOS SANTOS </t>
  </si>
  <si>
    <t>601363607</t>
  </si>
  <si>
    <t>074.030.105-58</t>
  </si>
  <si>
    <t>TRAVESSA G</t>
  </si>
  <si>
    <t>3 / 05 / 0</t>
  </si>
  <si>
    <t xml:space="preserve">FELIPE NASCIMENTO DE LIMA </t>
  </si>
  <si>
    <t>00000000000</t>
  </si>
  <si>
    <t>513.724.378-78</t>
  </si>
  <si>
    <t>0 / 1 / 3</t>
  </si>
  <si>
    <t>ELIDA EMANUELLE BEZERRA SOARES</t>
  </si>
  <si>
    <t>8990346</t>
  </si>
  <si>
    <t>105.474.844-61</t>
  </si>
  <si>
    <t>CARLOS APARECIDO RIBEIRO</t>
  </si>
  <si>
    <t>458774182</t>
  </si>
  <si>
    <t>410.671.658-51</t>
  </si>
  <si>
    <t>23 / 25 / 00</t>
  </si>
  <si>
    <t xml:space="preserve">GLAUBER YAGO DO PRADO PEREIRA </t>
  </si>
  <si>
    <t>48916537</t>
  </si>
  <si>
    <t>408.253.598-56</t>
  </si>
  <si>
    <t>TRAVESSA E</t>
  </si>
  <si>
    <t>CELSO DE JESUS</t>
  </si>
  <si>
    <t>273835634</t>
  </si>
  <si>
    <t>190.425.308-39</t>
  </si>
  <si>
    <t>2 / 03 / 0</t>
  </si>
  <si>
    <t xml:space="preserve">DAMIÃO DE SANTANA </t>
  </si>
  <si>
    <t>32847191-6</t>
  </si>
  <si>
    <t>144.023.698-43</t>
  </si>
  <si>
    <t>ESCADARIA 11</t>
  </si>
  <si>
    <t>1 / 3 / 0</t>
  </si>
  <si>
    <t xml:space="preserve">ALEXANDRE JUNIO FELINTO DA SILVA </t>
  </si>
  <si>
    <t>43.472.336/0001-60</t>
  </si>
  <si>
    <t xml:space="preserve">BARBARA ALVES DE OLIVEIRA INACIO </t>
  </si>
  <si>
    <t>498119270</t>
  </si>
  <si>
    <t>483.345.818-74</t>
  </si>
  <si>
    <t xml:space="preserve">CICERA VALERIA DE SIQUEIRA </t>
  </si>
  <si>
    <t>189016590</t>
  </si>
  <si>
    <t>097.800.268-78</t>
  </si>
  <si>
    <t>C/2</t>
  </si>
  <si>
    <t xml:space="preserve">JOSÉ ADNILSON DOS SANTOS </t>
  </si>
  <si>
    <t>673471846</t>
  </si>
  <si>
    <t>022.057.565-75</t>
  </si>
  <si>
    <t xml:space="preserve">VINÍCIUS EDUARDO BARBOSA MADUREIRA </t>
  </si>
  <si>
    <t>45640180</t>
  </si>
  <si>
    <t>443.802.288-60</t>
  </si>
  <si>
    <t>TRAVESSA A</t>
  </si>
  <si>
    <t xml:space="preserve">REIVIS SOARES PEREIRA DE LIMA </t>
  </si>
  <si>
    <t>23318373</t>
  </si>
  <si>
    <t>162.382.098-79</t>
  </si>
  <si>
    <t>ESCADARIA 2</t>
  </si>
  <si>
    <t xml:space="preserve">DORGIVAL VIEIRA DE SOUZA </t>
  </si>
  <si>
    <t>24543364</t>
  </si>
  <si>
    <t>097.822.928-26</t>
  </si>
  <si>
    <t>00 / 1 / 03</t>
  </si>
  <si>
    <t xml:space="preserve">BENEDITA TRETTEL </t>
  </si>
  <si>
    <t>642.548.528-00</t>
  </si>
  <si>
    <t>200 / 200 / 200B</t>
  </si>
  <si>
    <t>DORGIVAL VIEIRA DE SOUZA</t>
  </si>
  <si>
    <t xml:space="preserve">MARIA CLEONICE RIBEIRO LINS </t>
  </si>
  <si>
    <t>28447177X</t>
  </si>
  <si>
    <t>265.851.678-99</t>
  </si>
  <si>
    <t>59</t>
  </si>
  <si>
    <t>57 / 59 B / 59</t>
  </si>
  <si>
    <t>ANDREIA SOUZA SILVA</t>
  </si>
  <si>
    <t>373.625.468-74</t>
  </si>
  <si>
    <t>ANA LARA BARBOSA DA SILVA</t>
  </si>
  <si>
    <t>559.500.808-31</t>
  </si>
  <si>
    <t>JOÃO CARLOS DA SILVA - BECO 03</t>
  </si>
  <si>
    <t xml:space="preserve">ANDRÉIA SOUZA SANTOS </t>
  </si>
  <si>
    <t>373.652.468-74</t>
  </si>
  <si>
    <t>1 / 1B / 2</t>
  </si>
  <si>
    <t xml:space="preserve">ANDREIA SOUZA SANTOS </t>
  </si>
  <si>
    <t>84</t>
  </si>
  <si>
    <t>82 / 84 / 86</t>
  </si>
  <si>
    <t xml:space="preserve">EDUARDO DE ARAUJO BISPO </t>
  </si>
  <si>
    <t>40681210X</t>
  </si>
  <si>
    <t>439.682.838-13</t>
  </si>
  <si>
    <t xml:space="preserve">LINDINÊS DE FREITAS DA SILVA </t>
  </si>
  <si>
    <t>406858809</t>
  </si>
  <si>
    <t>427.195.098-09</t>
  </si>
  <si>
    <t>ESCADARIA 1 BECO 1</t>
  </si>
  <si>
    <t>0 / 01 / 03</t>
  </si>
  <si>
    <t xml:space="preserve">ALUÍSIO SILVA </t>
  </si>
  <si>
    <t>332533748</t>
  </si>
  <si>
    <t>188.139.174-49</t>
  </si>
  <si>
    <t xml:space="preserve">ELOISA DOS SANTOS ALMEIDA </t>
  </si>
  <si>
    <t>648947117</t>
  </si>
  <si>
    <t>059.697.641-61</t>
  </si>
  <si>
    <t xml:space="preserve">JULIANA NAGELA DE BARROS </t>
  </si>
  <si>
    <t>493431421</t>
  </si>
  <si>
    <t>435.897.118-09</t>
  </si>
  <si>
    <t xml:space="preserve">7 / 9 / </t>
  </si>
  <si>
    <t xml:space="preserve">MARIZALVA LIMA DA SILVA </t>
  </si>
  <si>
    <t>531201855</t>
  </si>
  <si>
    <t>341.534.968-39</t>
  </si>
  <si>
    <t>ANNA CAROLINA OLIVEIRA DE FREITAS</t>
  </si>
  <si>
    <t>55573804-8</t>
  </si>
  <si>
    <t>508.902.978-43</t>
  </si>
  <si>
    <t xml:space="preserve">GIDEILTON ANDRADE DE CONCEIÇÃO </t>
  </si>
  <si>
    <t>527101746</t>
  </si>
  <si>
    <t>366.986.428-86</t>
  </si>
  <si>
    <t xml:space="preserve">THAINAN CASTRO DE SANTANA </t>
  </si>
  <si>
    <t>419917639</t>
  </si>
  <si>
    <t>419.115.248-36</t>
  </si>
  <si>
    <t xml:space="preserve">JENNIFER BARBOSA DOS SANTOS XAVIER </t>
  </si>
  <si>
    <t>682800776</t>
  </si>
  <si>
    <t>560.641.248-90</t>
  </si>
  <si>
    <t>9 / 11 / 13</t>
  </si>
  <si>
    <t xml:space="preserve">MARIA ODETE XAVIER </t>
  </si>
  <si>
    <t>32675748-X</t>
  </si>
  <si>
    <t>292.839.318-82</t>
  </si>
  <si>
    <t xml:space="preserve">DANIELE IVANEIDE XAVIER DIAS </t>
  </si>
  <si>
    <t>438712146</t>
  </si>
  <si>
    <t>386.117.788-98</t>
  </si>
  <si>
    <t>MARIA JULIANA DOS SANTOS</t>
  </si>
  <si>
    <t>50675262</t>
  </si>
  <si>
    <t>404.099.578-36</t>
  </si>
  <si>
    <t>ESCADARIA 1</t>
  </si>
  <si>
    <t>REINALDO APARECIDO FREITAS  DA ANUNCIAÇÃO</t>
  </si>
  <si>
    <t>457374810</t>
  </si>
  <si>
    <t>346.718.018-33</t>
  </si>
  <si>
    <t>03 / 02 A / 01</t>
  </si>
  <si>
    <t xml:space="preserve">DAYANE FERNANDA DA SILVA </t>
  </si>
  <si>
    <t>46648866X</t>
  </si>
  <si>
    <t>390.525.728-95</t>
  </si>
  <si>
    <t>RUA CAMINHO SR JOÃO</t>
  </si>
  <si>
    <t xml:space="preserve">NILTHON MESSIAS SILVA LIMA </t>
  </si>
  <si>
    <t>48020390</t>
  </si>
  <si>
    <t>387.192.338-92</t>
  </si>
  <si>
    <t>ESCADARIA 4</t>
  </si>
  <si>
    <t xml:space="preserve">JENIFER ALVES LIMA </t>
  </si>
  <si>
    <t>559468519</t>
  </si>
  <si>
    <t>522.836.398-08</t>
  </si>
  <si>
    <t>LUCIA FARIAS DA SILVA</t>
  </si>
  <si>
    <t>18888056-2</t>
  </si>
  <si>
    <t>085.216.058-54</t>
  </si>
  <si>
    <t>MARIA EUNICE NUNES</t>
  </si>
  <si>
    <t>534033982</t>
  </si>
  <si>
    <t>985.863.435-87</t>
  </si>
  <si>
    <t>43 / 45 / 47</t>
  </si>
  <si>
    <t xml:space="preserve">INALDO HÉLIO DA SILVA </t>
  </si>
  <si>
    <t>58859328-X</t>
  </si>
  <si>
    <t>034.649.584-93</t>
  </si>
  <si>
    <t>100</t>
  </si>
  <si>
    <t>0 / 100 / 0</t>
  </si>
  <si>
    <t xml:space="preserve">EDERALDO DE OLIVEIRA </t>
  </si>
  <si>
    <t>592343625</t>
  </si>
  <si>
    <t>091.999.274-97</t>
  </si>
  <si>
    <t>34</t>
  </si>
  <si>
    <t>32 / 34 / 36</t>
  </si>
  <si>
    <t>34 / 36 / 38</t>
  </si>
  <si>
    <t xml:space="preserve">RAUL OLIVEIRA FERNANDES </t>
  </si>
  <si>
    <t>596876324</t>
  </si>
  <si>
    <t>072.021.925-60</t>
  </si>
  <si>
    <t>40</t>
  </si>
  <si>
    <t>38 / 40 / 42</t>
  </si>
  <si>
    <t>40 / 42 / 44</t>
  </si>
  <si>
    <t xml:space="preserve">DANIELLE CRISTINA RODRIGUES SANTOS </t>
  </si>
  <si>
    <t>447807754</t>
  </si>
  <si>
    <t>505.155.248-08</t>
  </si>
  <si>
    <t>ISRAEL DA SILVA BARBOSA</t>
  </si>
  <si>
    <t>43.995.263-3</t>
  </si>
  <si>
    <t>395.022.468-88</t>
  </si>
  <si>
    <t xml:space="preserve">ELEILDO ARAGÃO DOS SANTOS </t>
  </si>
  <si>
    <t>59.018.354-0</t>
  </si>
  <si>
    <t>060.224.695-46</t>
  </si>
  <si>
    <t xml:space="preserve">DORGIVAL VITOR DOS REIS </t>
  </si>
  <si>
    <t>27.771.797-8</t>
  </si>
  <si>
    <t>133.791.568-84</t>
  </si>
  <si>
    <t>JOSEFA DELMA DOS SANTOS</t>
  </si>
  <si>
    <t>55.762.359-5</t>
  </si>
  <si>
    <t>326.252.538-35</t>
  </si>
  <si>
    <t xml:space="preserve">ISTERFANY GONZAGA SANTOS </t>
  </si>
  <si>
    <t>48.916.596-5</t>
  </si>
  <si>
    <t>419.423.578-93</t>
  </si>
  <si>
    <t>CAMINHO SÃO MANOEL BECO40</t>
  </si>
  <si>
    <t xml:space="preserve">21D / 11 / </t>
  </si>
  <si>
    <t xml:space="preserve">WESLEY PEREIRA DE JESUS SANTOS </t>
  </si>
  <si>
    <t>579.189.908-46</t>
  </si>
  <si>
    <t>33 / 41 / 43</t>
  </si>
  <si>
    <t xml:space="preserve">MARCOS VINÍCIUS XAVIER DA SILVA </t>
  </si>
  <si>
    <t>67190856X</t>
  </si>
  <si>
    <t>568.529.948-64</t>
  </si>
  <si>
    <t>EDERALDO DE OLIVEIRA</t>
  </si>
  <si>
    <t>43 / 45 / 0</t>
  </si>
  <si>
    <t>TANIA MARTINS LIMA ALVES</t>
  </si>
  <si>
    <t>505352199</t>
  </si>
  <si>
    <t>400.905.338-01</t>
  </si>
  <si>
    <t>1 / 1 / 2</t>
  </si>
  <si>
    <t xml:space="preserve">DANIEL XAVIER DIAS </t>
  </si>
  <si>
    <t>671822834</t>
  </si>
  <si>
    <t>594.501.288-20</t>
  </si>
  <si>
    <t>47</t>
  </si>
  <si>
    <t>45 / 47 / 49</t>
  </si>
  <si>
    <t xml:space="preserve">ELOI ALVES DE FIGUEIREDO NETO </t>
  </si>
  <si>
    <t>42002373</t>
  </si>
  <si>
    <t>324.737.428-04</t>
  </si>
  <si>
    <t>0 / 1 / 0</t>
  </si>
  <si>
    <t>MATHEUS COSTA DA SILVA</t>
  </si>
  <si>
    <t>574750290</t>
  </si>
  <si>
    <t>537.544.748-71</t>
  </si>
  <si>
    <t>128</t>
  </si>
  <si>
    <t>126 / 128 / 130</t>
  </si>
  <si>
    <t xml:space="preserve">JOSÉ REINALDO DOS SANTOS </t>
  </si>
  <si>
    <t>383236824</t>
  </si>
  <si>
    <t>070.121.788-09</t>
  </si>
  <si>
    <t>148</t>
  </si>
  <si>
    <t>146 / 148 / 150</t>
  </si>
  <si>
    <t xml:space="preserve">PEDRO GUILGER DIAS </t>
  </si>
  <si>
    <t>075.073.608-90</t>
  </si>
  <si>
    <t>CÉLIA MARIA PAULINO DA SILVA</t>
  </si>
  <si>
    <t>341544774</t>
  </si>
  <si>
    <t>871.893.644-84</t>
  </si>
  <si>
    <t>DIVANILDO BELARMINO DA SILVA</t>
  </si>
  <si>
    <t>37709192</t>
  </si>
  <si>
    <t>350.367.668-65</t>
  </si>
  <si>
    <t>CAMINHO SÃO MANOEL BECO 30 D</t>
  </si>
  <si>
    <t xml:space="preserve">GILVANETE DE OLIVEIRA ANCHIÊTA SANTANA </t>
  </si>
  <si>
    <t>197575675</t>
  </si>
  <si>
    <t>133.834.018-20</t>
  </si>
  <si>
    <t>55</t>
  </si>
  <si>
    <t>CASA 2*</t>
  </si>
  <si>
    <t>53 / 55 / 57</t>
  </si>
  <si>
    <t xml:space="preserve">THAÍS DJANETE DOS SANTOS </t>
  </si>
  <si>
    <t>535338442</t>
  </si>
  <si>
    <t>415.100.018-67</t>
  </si>
  <si>
    <t xml:space="preserve">NAUDICÉIA DJANETE DOS SANTOS </t>
  </si>
  <si>
    <t>588897072</t>
  </si>
  <si>
    <t>326.253.118-94</t>
  </si>
  <si>
    <t xml:space="preserve">ELIANE DOS SANTOS </t>
  </si>
  <si>
    <t>549836482</t>
  </si>
  <si>
    <t>282.210.588-07</t>
  </si>
  <si>
    <t>MARIA JOSE SOTERO</t>
  </si>
  <si>
    <t>349607989</t>
  </si>
  <si>
    <t>626.577.715-72</t>
  </si>
  <si>
    <t>83 / 85 / 87</t>
  </si>
  <si>
    <t>ADELVAN DE JESUS GERALDO</t>
  </si>
  <si>
    <t>47827310</t>
  </si>
  <si>
    <t>399.276.558-00</t>
  </si>
  <si>
    <t xml:space="preserve">ANDREIA LUIZA DE OLIVEIRA </t>
  </si>
  <si>
    <t>36057886-X</t>
  </si>
  <si>
    <t>216.795.138-85</t>
  </si>
  <si>
    <t>68</t>
  </si>
  <si>
    <t>66 / 68 / 70</t>
  </si>
  <si>
    <t>KAUE FELLIP NASCIMENTO MATIAS</t>
  </si>
  <si>
    <t>45534498</t>
  </si>
  <si>
    <t>462.940.418-05</t>
  </si>
  <si>
    <t xml:space="preserve">MARIA DE LOURDES DANTAS DE FARIAS </t>
  </si>
  <si>
    <t>554999997</t>
  </si>
  <si>
    <t>327.494.904-30</t>
  </si>
  <si>
    <t>**</t>
  </si>
  <si>
    <t xml:space="preserve">GABRIEL CRISTIAN DE SANTANA MENDES </t>
  </si>
  <si>
    <t>391924345</t>
  </si>
  <si>
    <t>481.215.778-10</t>
  </si>
  <si>
    <t>90</t>
  </si>
  <si>
    <t>91 / 90 / 89</t>
  </si>
  <si>
    <t>LUCAS FERREIRA DE ARAUJO</t>
  </si>
  <si>
    <t>43545086</t>
  </si>
  <si>
    <t>347.890.058-10</t>
  </si>
  <si>
    <t>CASA 2 FUNDOS</t>
  </si>
  <si>
    <t>82 C 1 / 82 C 2 / 82 C 3</t>
  </si>
  <si>
    <t>JUCILANA RODRIGUES XAVIER</t>
  </si>
  <si>
    <t>11270363.x</t>
  </si>
  <si>
    <t>025.639.548-94</t>
  </si>
  <si>
    <t>THIAGO FERREIRA DE ARAUJO</t>
  </si>
  <si>
    <t>489381972</t>
  </si>
  <si>
    <t>435.457.828-08</t>
  </si>
  <si>
    <t>CASA 1 FUNDOS</t>
  </si>
  <si>
    <t>80 / 82 C 1 / 82 C 2</t>
  </si>
  <si>
    <t xml:space="preserve">JOSEFA CONCEIÇÃO DA SILVA </t>
  </si>
  <si>
    <t>560532969</t>
  </si>
  <si>
    <t>455.863.495-15</t>
  </si>
  <si>
    <t>GABRIEL CRISTIAN DE SANTANA MENDES</t>
  </si>
  <si>
    <t>90 / 90 / 91</t>
  </si>
  <si>
    <t xml:space="preserve">BIANCA CUENCA DA CRUZ </t>
  </si>
  <si>
    <t>484445522</t>
  </si>
  <si>
    <t>440.893.598-05</t>
  </si>
  <si>
    <t xml:space="preserve">ROSEMAR GUEDES </t>
  </si>
  <si>
    <t>212487607</t>
  </si>
  <si>
    <t>069.971.348-07</t>
  </si>
  <si>
    <t>76</t>
  </si>
  <si>
    <t>74 / 76 / 78</t>
  </si>
  <si>
    <t>CLEBER RODRIGUES DOS SANTOS</t>
  </si>
  <si>
    <t>42.195.974-5</t>
  </si>
  <si>
    <t>427.693.048-01</t>
  </si>
  <si>
    <t xml:space="preserve"> CLEONICE CASTOR MACHADO SILVA</t>
  </si>
  <si>
    <t>38.556.283-4</t>
  </si>
  <si>
    <t>349.555.918-33</t>
  </si>
  <si>
    <t>117</t>
  </si>
  <si>
    <t>115 / 117 / 119</t>
  </si>
  <si>
    <t xml:space="preserve">ALEFY FELIPE DOS SANTOS SILVA </t>
  </si>
  <si>
    <t>35.396.028-7</t>
  </si>
  <si>
    <t>425.798.758-84</t>
  </si>
  <si>
    <t xml:space="preserve">KELLY CRISTINA DOS SANTOS </t>
  </si>
  <si>
    <t>35.396.027-5</t>
  </si>
  <si>
    <t>304.595.698-05</t>
  </si>
  <si>
    <t xml:space="preserve">CARLOS DOS SANTOS </t>
  </si>
  <si>
    <t>491299-90</t>
  </si>
  <si>
    <t>018.398.808-64</t>
  </si>
  <si>
    <t>CARLOS DOS SANTOS</t>
  </si>
  <si>
    <t>491290</t>
  </si>
  <si>
    <t xml:space="preserve">WALLANS JARDENE CORDEIRO OLIVEIRA </t>
  </si>
  <si>
    <t>35876602</t>
  </si>
  <si>
    <t>731.353.133-87</t>
  </si>
  <si>
    <t xml:space="preserve">LEDA REGINA DE BARROS </t>
  </si>
  <si>
    <t>211652805</t>
  </si>
  <si>
    <t>097.993.748-55</t>
  </si>
  <si>
    <t xml:space="preserve">NEDISON DA SILVA LIAS </t>
  </si>
  <si>
    <t>39811864</t>
  </si>
  <si>
    <t>043.022.224-20</t>
  </si>
  <si>
    <t xml:space="preserve">Danyela da Silva Peres de Jesus </t>
  </si>
  <si>
    <t>54.755.073-X</t>
  </si>
  <si>
    <t>472.183.708-96</t>
  </si>
  <si>
    <t xml:space="preserve">04 / 08 / 06 / </t>
  </si>
  <si>
    <t xml:space="preserve">Maria Luciene Santos De Jesus </t>
  </si>
  <si>
    <t>60.198.321-X</t>
  </si>
  <si>
    <t>010.233.115-42</t>
  </si>
  <si>
    <t xml:space="preserve">06 / 10 / 08 / </t>
  </si>
  <si>
    <t>Fabricia Gama Macedo</t>
  </si>
  <si>
    <t>06403017543</t>
  </si>
  <si>
    <t>064.030.175-43</t>
  </si>
  <si>
    <t xml:space="preserve">11 / 15 / 13 / </t>
  </si>
  <si>
    <t xml:space="preserve">Elielma Lima Andrade </t>
  </si>
  <si>
    <t>377091571</t>
  </si>
  <si>
    <t>35357280886</t>
  </si>
  <si>
    <t xml:space="preserve">13 / 17 / 15 / </t>
  </si>
  <si>
    <t>Débora Souza Valdeus</t>
  </si>
  <si>
    <t>433458525</t>
  </si>
  <si>
    <t>34219460861</t>
  </si>
  <si>
    <t>23</t>
  </si>
  <si>
    <t xml:space="preserve">21 / 25 / 23 / </t>
  </si>
  <si>
    <t xml:space="preserve">Lilian Alves da Silva </t>
  </si>
  <si>
    <t>45.436.131-2</t>
  </si>
  <si>
    <t>335.280.278-51</t>
  </si>
  <si>
    <t xml:space="preserve">Wilson Soares Cabral de Oliveira </t>
  </si>
  <si>
    <t>325226787</t>
  </si>
  <si>
    <t>343.971.748-81</t>
  </si>
  <si>
    <t xml:space="preserve">00 / 04 / 02 / </t>
  </si>
  <si>
    <t xml:space="preserve">Iris Alves de Jesus </t>
  </si>
  <si>
    <t>530562522</t>
  </si>
  <si>
    <t>49539252890</t>
  </si>
  <si>
    <t xml:space="preserve">16 / 20 / 18 / </t>
  </si>
  <si>
    <t xml:space="preserve">Genilton Santos Menezes </t>
  </si>
  <si>
    <t>547393982</t>
  </si>
  <si>
    <t>02985788595</t>
  </si>
  <si>
    <t>casa Baixo</t>
  </si>
  <si>
    <t xml:space="preserve">18 / 22 / 20 / </t>
  </si>
  <si>
    <t>casa Altos</t>
  </si>
  <si>
    <t xml:space="preserve">Edson de Jesus </t>
  </si>
  <si>
    <t>248193661</t>
  </si>
  <si>
    <t>13400926892</t>
  </si>
  <si>
    <t xml:space="preserve"> - / 03 / 01 / </t>
  </si>
  <si>
    <t>451391718</t>
  </si>
  <si>
    <t>31933839880</t>
  </si>
  <si>
    <t xml:space="preserve">17 / 21 / 19 / </t>
  </si>
  <si>
    <t xml:space="preserve">Maria Gilda Gomes </t>
  </si>
  <si>
    <t>363496713</t>
  </si>
  <si>
    <t>11502293498</t>
  </si>
  <si>
    <t xml:space="preserve">02 / 06 / 04 / </t>
  </si>
  <si>
    <t xml:space="preserve">Verônica da Silva Camargo </t>
  </si>
  <si>
    <t>416435762</t>
  </si>
  <si>
    <t>331.273.888-10</t>
  </si>
  <si>
    <t>00  / 02 / 04</t>
  </si>
  <si>
    <t xml:space="preserve">Francisco Suelho Barreto Bezerra Junior </t>
  </si>
  <si>
    <t>418581885</t>
  </si>
  <si>
    <t>37664022871</t>
  </si>
  <si>
    <t xml:space="preserve">Marlene Martins </t>
  </si>
  <si>
    <t>228842761</t>
  </si>
  <si>
    <t>15915459862</t>
  </si>
  <si>
    <t xml:space="preserve">Maria Edna Lima França </t>
  </si>
  <si>
    <t>59116857</t>
  </si>
  <si>
    <t>06946223462</t>
  </si>
  <si>
    <t xml:space="preserve"> -/ 04 / 02 / </t>
  </si>
  <si>
    <t>Giseli Florença Jacinto</t>
  </si>
  <si>
    <t>58.705.288.0</t>
  </si>
  <si>
    <t>497.174.508-46</t>
  </si>
  <si>
    <t xml:space="preserve">01 / 05 / 03 / </t>
  </si>
  <si>
    <t xml:space="preserve">Cícera Maria de Souza </t>
  </si>
  <si>
    <t>527875442</t>
  </si>
  <si>
    <t>41188825828</t>
  </si>
  <si>
    <t xml:space="preserve">Claudivania Bizerra dos Santos </t>
  </si>
  <si>
    <t>36.830.266-0</t>
  </si>
  <si>
    <t>346.869.938-73</t>
  </si>
  <si>
    <t xml:space="preserve">03 / 07 / 05 / </t>
  </si>
  <si>
    <t>Wanderson do Prado Nunes</t>
  </si>
  <si>
    <t>287451835</t>
  </si>
  <si>
    <t>33244482805</t>
  </si>
  <si>
    <t xml:space="preserve">Jeferson Santiago Ribeiro </t>
  </si>
  <si>
    <t>561917693</t>
  </si>
  <si>
    <t>45364693899</t>
  </si>
  <si>
    <t xml:space="preserve">Paulo Henrique Silva de Souza </t>
  </si>
  <si>
    <t>121.282.578-08</t>
  </si>
  <si>
    <t xml:space="preserve">05 / 09 / 07 / </t>
  </si>
  <si>
    <t xml:space="preserve">Rosana Aparecida De Moraes </t>
  </si>
  <si>
    <t>296458909</t>
  </si>
  <si>
    <t>26917595802</t>
  </si>
  <si>
    <t xml:space="preserve">08 / 12 / 10 / </t>
  </si>
  <si>
    <t>Ellen Henrique Lopes</t>
  </si>
  <si>
    <t>285350870</t>
  </si>
  <si>
    <t>08792247709</t>
  </si>
  <si>
    <t xml:space="preserve">Valdilene Gois de Lima </t>
  </si>
  <si>
    <t>305906148</t>
  </si>
  <si>
    <t>13408256861</t>
  </si>
  <si>
    <t xml:space="preserve">welinton Venancio dos Santos </t>
  </si>
  <si>
    <t>571361845</t>
  </si>
  <si>
    <t>47984982899</t>
  </si>
  <si>
    <t xml:space="preserve"> / 04 / 02 / </t>
  </si>
  <si>
    <t xml:space="preserve">Reane Alves dos Santos </t>
  </si>
  <si>
    <t>545096212</t>
  </si>
  <si>
    <t>05889434527</t>
  </si>
  <si>
    <t xml:space="preserve">Dayana Feijo Gonçalves </t>
  </si>
  <si>
    <t>444690505</t>
  </si>
  <si>
    <t>31704207800</t>
  </si>
  <si>
    <t xml:space="preserve">19 / 23 / 21 / </t>
  </si>
  <si>
    <t xml:space="preserve">Erika Alves da Silva </t>
  </si>
  <si>
    <t>451384908</t>
  </si>
  <si>
    <t>30119540894</t>
  </si>
  <si>
    <t xml:space="preserve">Juliana Cristina Gomes da Silva Reis </t>
  </si>
  <si>
    <t>408329774</t>
  </si>
  <si>
    <t>37368759837</t>
  </si>
  <si>
    <t xml:space="preserve">35 / 39 / 37 / </t>
  </si>
  <si>
    <t xml:space="preserve">Juliana de Jesus do Nascimento </t>
  </si>
  <si>
    <t>44777688</t>
  </si>
  <si>
    <t>37723772890</t>
  </si>
  <si>
    <t xml:space="preserve">Maria Simone de Jesus </t>
  </si>
  <si>
    <t>307724311</t>
  </si>
  <si>
    <t>25069473848</t>
  </si>
  <si>
    <t xml:space="preserve">Kelly Cipriano dos Santos </t>
  </si>
  <si>
    <t>48808037X</t>
  </si>
  <si>
    <t>42900337844</t>
  </si>
  <si>
    <t>35</t>
  </si>
  <si>
    <t>33 / 35 / 37</t>
  </si>
  <si>
    <t xml:space="preserve">Renaldo Modesto de Jesus </t>
  </si>
  <si>
    <t xml:space="preserve">Alberto Mattos de Oliveira Santos </t>
  </si>
  <si>
    <t>421171996</t>
  </si>
  <si>
    <t>47074150835</t>
  </si>
  <si>
    <t xml:space="preserve">Patrícia de Sousa </t>
  </si>
  <si>
    <t>649977506</t>
  </si>
  <si>
    <t>03668016356</t>
  </si>
  <si>
    <t xml:space="preserve">Jurema dos Santos </t>
  </si>
  <si>
    <t>128662335</t>
  </si>
  <si>
    <t>19746755803</t>
  </si>
  <si>
    <t xml:space="preserve">15 / 19 / 17 / </t>
  </si>
  <si>
    <t>EDVALDO SANTOS</t>
  </si>
  <si>
    <t>249571250</t>
  </si>
  <si>
    <t>13381606808</t>
  </si>
  <si>
    <t>09 / 11 / 0</t>
  </si>
  <si>
    <t>Paulo Rogerio Barboza de Jesus</t>
  </si>
  <si>
    <t>430078249</t>
  </si>
  <si>
    <t>23150662800</t>
  </si>
  <si>
    <t>Andressa dos Santos Mateus</t>
  </si>
  <si>
    <t>564664902</t>
  </si>
  <si>
    <t>43336008808</t>
  </si>
  <si>
    <t>Olianda Aparecida Domingues</t>
  </si>
  <si>
    <t>189529854</t>
  </si>
  <si>
    <t>11858462800</t>
  </si>
  <si>
    <t xml:space="preserve">4 / 8 / 6 / </t>
  </si>
  <si>
    <t xml:space="preserve">Wilton Rodrigues do Nascimento </t>
  </si>
  <si>
    <t>443316211</t>
  </si>
  <si>
    <t>44111998828</t>
  </si>
  <si>
    <t xml:space="preserve">00 / 4 / 2 / </t>
  </si>
  <si>
    <t>Penha de Camargo</t>
  </si>
  <si>
    <t>149460600</t>
  </si>
  <si>
    <t>048.057.888-52</t>
  </si>
  <si>
    <t xml:space="preserve">14 / 18 / 16 / </t>
  </si>
  <si>
    <t>José Eduardo Farias da Silva</t>
  </si>
  <si>
    <t>402997815</t>
  </si>
  <si>
    <t>35806496805</t>
  </si>
  <si>
    <t>Grazielle Lima da Costa</t>
  </si>
  <si>
    <t>462793515</t>
  </si>
  <si>
    <t>46851494833</t>
  </si>
  <si>
    <t>Wenderson Carlos Gomes</t>
  </si>
  <si>
    <t>295004320</t>
  </si>
  <si>
    <t>27642200811</t>
  </si>
  <si>
    <t xml:space="preserve">23 / 25 / 21 / </t>
  </si>
  <si>
    <t>Paloma Silva Camara</t>
  </si>
  <si>
    <t>359849970</t>
  </si>
  <si>
    <t>38158810802</t>
  </si>
  <si>
    <t>16 / 18 / 00</t>
  </si>
  <si>
    <t>Antonio Pereira Simas Neto</t>
  </si>
  <si>
    <t>33246686</t>
  </si>
  <si>
    <t>05664777427</t>
  </si>
  <si>
    <t xml:space="preserve">19 / 15 / 17 / </t>
  </si>
  <si>
    <t>Angelica Souza da Silva</t>
  </si>
  <si>
    <t>436266520</t>
  </si>
  <si>
    <t>40974573817</t>
  </si>
  <si>
    <t xml:space="preserve">1 / 5 / 3 / </t>
  </si>
  <si>
    <t xml:space="preserve">Ana Clara Godoy de Oliveira </t>
  </si>
  <si>
    <t>542091872</t>
  </si>
  <si>
    <t>42671111894</t>
  </si>
  <si>
    <t>Wellington Nascimento de Souza</t>
  </si>
  <si>
    <t>36616171x</t>
  </si>
  <si>
    <t>32076269800</t>
  </si>
  <si>
    <t xml:space="preserve"> / 03 / 01 / </t>
  </si>
  <si>
    <t>Danilo Correia</t>
  </si>
  <si>
    <t>46266861</t>
  </si>
  <si>
    <t>36503361890</t>
  </si>
  <si>
    <t xml:space="preserve">37 / 41 / 39 / </t>
  </si>
  <si>
    <t>VERA LUCIA DE SOUZA SILVA</t>
  </si>
  <si>
    <t>341526629</t>
  </si>
  <si>
    <t>300689738/29</t>
  </si>
  <si>
    <t xml:space="preserve">Marcelo da Silva Monteiro </t>
  </si>
  <si>
    <t>46176118X</t>
  </si>
  <si>
    <t>37615846870</t>
  </si>
  <si>
    <t xml:space="preserve">Josilene Bizerra dos Santos </t>
  </si>
  <si>
    <t>575000119</t>
  </si>
  <si>
    <t>46922114825</t>
  </si>
  <si>
    <t xml:space="preserve">Givalda dos Santos </t>
  </si>
  <si>
    <t>40832837X</t>
  </si>
  <si>
    <t>31559487879</t>
  </si>
  <si>
    <t>01  / 03 / 05</t>
  </si>
  <si>
    <t>Malvina Alves da Costa</t>
  </si>
  <si>
    <t>423713425</t>
  </si>
  <si>
    <t>40692107835</t>
  </si>
  <si>
    <t>450917009</t>
  </si>
  <si>
    <t>37253155823</t>
  </si>
  <si>
    <t xml:space="preserve">11 / 07 / 09 / </t>
  </si>
  <si>
    <t>Nathalia Andrelayne Gomes Gondin</t>
  </si>
  <si>
    <t>460536345</t>
  </si>
  <si>
    <t>43508194876</t>
  </si>
  <si>
    <t>karla Vitória Mota Araujo</t>
  </si>
  <si>
    <t>660530703</t>
  </si>
  <si>
    <t>58420376884</t>
  </si>
  <si>
    <t>Juliana da Cruz Santos</t>
  </si>
  <si>
    <t>386023682</t>
  </si>
  <si>
    <t>37178855831</t>
  </si>
  <si>
    <t>05 / 07 / 00</t>
  </si>
  <si>
    <t>Indiano da Silva Costa</t>
  </si>
  <si>
    <t>416434885</t>
  </si>
  <si>
    <t>37699835808</t>
  </si>
  <si>
    <t xml:space="preserve">06 / 02 / 04 / </t>
  </si>
  <si>
    <t>Letícia Oliveira de Almeida</t>
  </si>
  <si>
    <t>38879886800</t>
  </si>
  <si>
    <t>Sidney Montingeli Perobelli</t>
  </si>
  <si>
    <t>558805255</t>
  </si>
  <si>
    <t>48063499840</t>
  </si>
  <si>
    <t>02  / 04 / 06</t>
  </si>
  <si>
    <t>Matheus Henrique  Barros Pereira</t>
  </si>
  <si>
    <t>631665584</t>
  </si>
  <si>
    <t>52511273837</t>
  </si>
  <si>
    <t xml:space="preserve">01 / 05 / 3 / </t>
  </si>
  <si>
    <t xml:space="preserve">Keila Patricia da Silva </t>
  </si>
  <si>
    <t>53877710</t>
  </si>
  <si>
    <t>06259576447</t>
  </si>
  <si>
    <t xml:space="preserve">28 / 31 / 30 / </t>
  </si>
  <si>
    <t xml:space="preserve">nazaré valerio de Siqueira </t>
  </si>
  <si>
    <t>86746022404</t>
  </si>
  <si>
    <t xml:space="preserve">12 / 16 / 14 / </t>
  </si>
  <si>
    <t>Gilberto Teles Ferreira</t>
  </si>
  <si>
    <t>348431314</t>
  </si>
  <si>
    <t>34570370861</t>
  </si>
  <si>
    <t>11 / 13A / 15</t>
  </si>
  <si>
    <t xml:space="preserve">sandra regina da silva </t>
  </si>
  <si>
    <t>28743199-x</t>
  </si>
  <si>
    <t>19938534805</t>
  </si>
  <si>
    <t>maria madalena jacinto</t>
  </si>
  <si>
    <t>133779397</t>
  </si>
  <si>
    <t>01339511894</t>
  </si>
  <si>
    <t>joselice oliveira santos</t>
  </si>
  <si>
    <t>299484270</t>
  </si>
  <si>
    <t>31217966587</t>
  </si>
  <si>
    <t xml:space="preserve">- / 4 / 02 / </t>
  </si>
  <si>
    <t xml:space="preserve">Larissa da Silva Rodrigues faria </t>
  </si>
  <si>
    <t>461086281</t>
  </si>
  <si>
    <t>43442670870</t>
  </si>
  <si>
    <t xml:space="preserve">00 / 02 / 01 / </t>
  </si>
  <si>
    <t xml:space="preserve">Gisely Mariane da Silva </t>
  </si>
  <si>
    <t>33370876</t>
  </si>
  <si>
    <t>21650989806</t>
  </si>
  <si>
    <t xml:space="preserve">1 / 4 / 2 / </t>
  </si>
  <si>
    <t xml:space="preserve">Nathalia Silva de Paula </t>
  </si>
  <si>
    <t>634828482</t>
  </si>
  <si>
    <t>55127196883</t>
  </si>
  <si>
    <t>Rogene Ubiracy Ferreira Cruz</t>
  </si>
  <si>
    <t>351470207</t>
  </si>
  <si>
    <t>30353852899</t>
  </si>
  <si>
    <t xml:space="preserve"> / 2 / 1 / </t>
  </si>
  <si>
    <t xml:space="preserve">Luana da Silva Camargo </t>
  </si>
  <si>
    <t>646559813</t>
  </si>
  <si>
    <t>55120363865</t>
  </si>
  <si>
    <t xml:space="preserve">2 / 6 / 4 / </t>
  </si>
  <si>
    <t>kelly aparecida dos santos</t>
  </si>
  <si>
    <t>33085078x</t>
  </si>
  <si>
    <t>26678881893</t>
  </si>
  <si>
    <t xml:space="preserve">7 / 11 / 9 / </t>
  </si>
  <si>
    <t>Solange Caetana Bento</t>
  </si>
  <si>
    <t>37756338</t>
  </si>
  <si>
    <t>32904453806</t>
  </si>
  <si>
    <t xml:space="preserve">10 / 14 / 12 / </t>
  </si>
  <si>
    <t xml:space="preserve">Thamires de Jesus Cerqueira da Silva </t>
  </si>
  <si>
    <t>48413540</t>
  </si>
  <si>
    <t>38499364810</t>
  </si>
  <si>
    <t>Thaís Rodrigues dos santos</t>
  </si>
  <si>
    <t>443081256</t>
  </si>
  <si>
    <t>23003763857</t>
  </si>
  <si>
    <t xml:space="preserve">5 / 9 / 7 / </t>
  </si>
  <si>
    <t>gerlane cristina Lourenço do vale costa</t>
  </si>
  <si>
    <t>492826924</t>
  </si>
  <si>
    <t>42792426829</t>
  </si>
  <si>
    <t>Caio Henrique Santos Bento</t>
  </si>
  <si>
    <t>670110346</t>
  </si>
  <si>
    <t>07292956564</t>
  </si>
  <si>
    <t xml:space="preserve">09 / 13 / 11 / </t>
  </si>
  <si>
    <t>Rosicleide Rodrigues de lima</t>
  </si>
  <si>
    <t>33142682899</t>
  </si>
  <si>
    <t xml:space="preserve"> / 3 / 1 / </t>
  </si>
  <si>
    <t xml:space="preserve">Josely Florença de souza </t>
  </si>
  <si>
    <t>351488005</t>
  </si>
  <si>
    <t>36228403826</t>
  </si>
  <si>
    <t>Tatiane Monteiro Guedes</t>
  </si>
  <si>
    <t>425344502</t>
  </si>
  <si>
    <t>37393028875</t>
  </si>
  <si>
    <t>BECO DA TATI</t>
  </si>
  <si>
    <t xml:space="preserve">Andrielly dos santos </t>
  </si>
  <si>
    <t>554664719</t>
  </si>
  <si>
    <t>43336005884</t>
  </si>
  <si>
    <t xml:space="preserve">5 /  / 7 / </t>
  </si>
  <si>
    <t xml:space="preserve">Claudia Cristina Ferreira da silva </t>
  </si>
  <si>
    <t>414668236</t>
  </si>
  <si>
    <t>47670484861</t>
  </si>
  <si>
    <t xml:space="preserve">2 /  / 4 / </t>
  </si>
  <si>
    <t xml:space="preserve">Mauro  Cavalcante </t>
  </si>
  <si>
    <t>06992550829</t>
  </si>
  <si>
    <t>José carlos conceição dias</t>
  </si>
  <si>
    <t>39416119504</t>
  </si>
  <si>
    <t xml:space="preserve">9 / 13 / 11 / </t>
  </si>
  <si>
    <t>Marcio Pereira da Silva</t>
  </si>
  <si>
    <t>465820487</t>
  </si>
  <si>
    <t>39523761838</t>
  </si>
  <si>
    <t xml:space="preserve">4 /  / 6 / </t>
  </si>
  <si>
    <t>Pietra Souza Teixeira da silva</t>
  </si>
  <si>
    <t>461013666</t>
  </si>
  <si>
    <t>23871131873</t>
  </si>
  <si>
    <t xml:space="preserve"> / 2 / 01 / </t>
  </si>
  <si>
    <t xml:space="preserve">Iraildes andrade dos santos </t>
  </si>
  <si>
    <t>60262406X</t>
  </si>
  <si>
    <t>30950779806</t>
  </si>
  <si>
    <t xml:space="preserve">00 / 3 / 1 / </t>
  </si>
  <si>
    <t xml:space="preserve">Ernandes Rodrigues de oliveira </t>
  </si>
  <si>
    <t>552914836</t>
  </si>
  <si>
    <t>32653579880</t>
  </si>
  <si>
    <t>Anderson camillo linhares trombino</t>
  </si>
  <si>
    <t>557946712</t>
  </si>
  <si>
    <t>49943917857</t>
  </si>
  <si>
    <t>Michele Ciriaco  Dos Santos Melo</t>
  </si>
  <si>
    <t>416434447</t>
  </si>
  <si>
    <t>34347754809</t>
  </si>
  <si>
    <t>Elaine Teodoro</t>
  </si>
  <si>
    <t>219375793</t>
  </si>
  <si>
    <t>06225311823</t>
  </si>
  <si>
    <t xml:space="preserve">08 / 10 / 06 / </t>
  </si>
  <si>
    <t>Felipe de lima claudino</t>
  </si>
  <si>
    <t>481818625</t>
  </si>
  <si>
    <t>39593546812</t>
  </si>
  <si>
    <t>Douglas de oliveira gomes</t>
  </si>
  <si>
    <t>488178642</t>
  </si>
  <si>
    <t>45901975880</t>
  </si>
  <si>
    <t xml:space="preserve">Alex Franca dos santos </t>
  </si>
  <si>
    <t>56138757</t>
  </si>
  <si>
    <t>48883470850</t>
  </si>
  <si>
    <t xml:space="preserve">Jéssica Ferreira de Moraes </t>
  </si>
  <si>
    <t>502820214</t>
  </si>
  <si>
    <t>38829173851</t>
  </si>
  <si>
    <t xml:space="preserve">26 / 30 / 28 / </t>
  </si>
  <si>
    <t>Edina Brito Camargo</t>
  </si>
  <si>
    <t>298640818</t>
  </si>
  <si>
    <t>19288253890</t>
  </si>
  <si>
    <t xml:space="preserve">Saywan Jaymerson Ferreira de Lima </t>
  </si>
  <si>
    <t>59349929</t>
  </si>
  <si>
    <t>42811342800</t>
  </si>
  <si>
    <t>casa A</t>
  </si>
  <si>
    <t xml:space="preserve">28 / 32 / 30 / </t>
  </si>
  <si>
    <t>Gustavo Branco Felix</t>
  </si>
  <si>
    <t>557813153</t>
  </si>
  <si>
    <t>86568259500</t>
  </si>
  <si>
    <t xml:space="preserve">Larissa Bispo Alves </t>
  </si>
  <si>
    <t>669838597</t>
  </si>
  <si>
    <t>54795073899</t>
  </si>
  <si>
    <t xml:space="preserve">SÔNIA REGINA LEÃO </t>
  </si>
  <si>
    <t>18.268.782-X</t>
  </si>
  <si>
    <t>075.551.108-57</t>
  </si>
  <si>
    <t xml:space="preserve">CLEONICE DANTAS DA SILVA </t>
  </si>
  <si>
    <t>54.091.856-8</t>
  </si>
  <si>
    <t>576.743.299-68</t>
  </si>
  <si>
    <t>61</t>
  </si>
  <si>
    <t>59 / 61 / 63</t>
  </si>
  <si>
    <t>ANDERSON MARQUES DE OLIVEIRA</t>
  </si>
  <si>
    <t>40.939.258-3</t>
  </si>
  <si>
    <t>407.546.818-66</t>
  </si>
  <si>
    <t>29</t>
  </si>
  <si>
    <t>27 / 29 / 31</t>
  </si>
  <si>
    <t>MARIA DAMIANA DE OLIVEIRA MELO</t>
  </si>
  <si>
    <t>34.911.910-7</t>
  </si>
  <si>
    <t>282.032.108-99</t>
  </si>
  <si>
    <t>27 / 29A / 31</t>
  </si>
  <si>
    <t xml:space="preserve">  MARIA DAMIANA DE OLIVEIRA MELO</t>
  </si>
  <si>
    <t>CAMINHO SÃO MANOEL BECO 27 D</t>
  </si>
  <si>
    <t xml:space="preserve">SABRINA DOS SANTOS GONÇALVES </t>
  </si>
  <si>
    <t>449588324</t>
  </si>
  <si>
    <t>440.635.108-67</t>
  </si>
  <si>
    <t>00 / 06 / 04</t>
  </si>
  <si>
    <t>MANOEL CARLOS SOUZA TEIXEIRA DA SILVA</t>
  </si>
  <si>
    <t>644475882</t>
  </si>
  <si>
    <t>530.289.698-23</t>
  </si>
  <si>
    <t>ANA APARECIDA GUIMARÃES DA SILVA</t>
  </si>
  <si>
    <t>20130482X</t>
  </si>
  <si>
    <t>158.996.318-05</t>
  </si>
  <si>
    <t>JOÃO PEDRO DA SILVA</t>
  </si>
  <si>
    <t>365850123</t>
  </si>
  <si>
    <t>879.487.024-15</t>
  </si>
  <si>
    <t>00 / 08 / 06</t>
  </si>
  <si>
    <t>JOSE SANTANA MOTA</t>
  </si>
  <si>
    <t>360695723</t>
  </si>
  <si>
    <t>667.682.335-72</t>
  </si>
  <si>
    <t>14 / 12 / 10</t>
  </si>
  <si>
    <t>SANDOVAL DE JESUS</t>
  </si>
  <si>
    <t>070.753.205-13</t>
  </si>
  <si>
    <t>ANDERSON CLAUDINO DA SILVA</t>
  </si>
  <si>
    <t>459062414</t>
  </si>
  <si>
    <t>353.180.858-30</t>
  </si>
  <si>
    <t>24 / 22 / 20</t>
  </si>
  <si>
    <t>WILSON RODRIGUES DA LUZ</t>
  </si>
  <si>
    <t>567867365</t>
  </si>
  <si>
    <t>514.216.234-04</t>
  </si>
  <si>
    <t>11 / 09 / 07</t>
  </si>
  <si>
    <t xml:space="preserve">MOISES ALVES DA COSTA </t>
  </si>
  <si>
    <t>423714442</t>
  </si>
  <si>
    <t>376.803.068-77</t>
  </si>
  <si>
    <t>7 / 5 / 3</t>
  </si>
  <si>
    <t xml:space="preserve">JULIANA CAMARGO DOS SANTOS </t>
  </si>
  <si>
    <t>372.531.558-23</t>
  </si>
  <si>
    <t>9 / 7 / 5</t>
  </si>
  <si>
    <t xml:space="preserve">RODRIGO DOS SANTOS </t>
  </si>
  <si>
    <t>57184355</t>
  </si>
  <si>
    <t>022.368.393-08</t>
  </si>
  <si>
    <t>LAURECI BARBOSA DOS SANTOS</t>
  </si>
  <si>
    <t>21.203.823-0</t>
  </si>
  <si>
    <t>102.623.208-27</t>
  </si>
  <si>
    <t>AGENILDO MIRANDA DE SANTANA</t>
  </si>
  <si>
    <t>52253182</t>
  </si>
  <si>
    <t>020.291.795-90</t>
  </si>
  <si>
    <t>118</t>
  </si>
  <si>
    <t>116 / 118 / 120</t>
  </si>
  <si>
    <t xml:space="preserve">JOSÉ LEANDRO DA SILVA </t>
  </si>
  <si>
    <t>53.771.173-9</t>
  </si>
  <si>
    <t>054.331.764-10</t>
  </si>
  <si>
    <t>CAMINHO SÃO MANOEL BECO 28 D</t>
  </si>
  <si>
    <t>ANTÔNIO BEZERRA DE LIMA FILHO</t>
  </si>
  <si>
    <t>19379354</t>
  </si>
  <si>
    <t>084.604.838-86</t>
  </si>
  <si>
    <t>131</t>
  </si>
  <si>
    <t>129 / 131 / 133</t>
  </si>
  <si>
    <t>LUIZ CARLOS CORREA DE OLIVEIRA</t>
  </si>
  <si>
    <t>184036148</t>
  </si>
  <si>
    <t>058.235.988-07</t>
  </si>
  <si>
    <t>A CASA 3</t>
  </si>
  <si>
    <t xml:space="preserve">TATIANE OLIVEIRA DA SILVA </t>
  </si>
  <si>
    <t>485580366</t>
  </si>
  <si>
    <t>421.853.538-88</t>
  </si>
  <si>
    <t>SIDNEY FERNANDES FIGUEIRA</t>
  </si>
  <si>
    <t>34507468</t>
  </si>
  <si>
    <t>ANDRÉIA VALÉRIO MORADO</t>
  </si>
  <si>
    <t>19.654.319-8</t>
  </si>
  <si>
    <t>133.769.048-12</t>
  </si>
  <si>
    <t>CAMINHO SÃO MANOEL BECO 01 D</t>
  </si>
  <si>
    <t>13 / 14 / 15</t>
  </si>
  <si>
    <t xml:space="preserve">ISMAEL JOSÉ DA SILVA </t>
  </si>
  <si>
    <t>64590027</t>
  </si>
  <si>
    <t>043.748.414-90</t>
  </si>
  <si>
    <t xml:space="preserve">JANE MARIA SANTOS DE ARAÚJO </t>
  </si>
  <si>
    <t>17952495</t>
  </si>
  <si>
    <t>066.173.708-05</t>
  </si>
  <si>
    <t>JOÃO CARLOS DA SILVA - BECO 02</t>
  </si>
  <si>
    <t>3 / 5 / 6</t>
  </si>
  <si>
    <t xml:space="preserve">MIRIAM DE JESUS RODRIGUES </t>
  </si>
  <si>
    <t>691130504</t>
  </si>
  <si>
    <t>024.157.078-64</t>
  </si>
  <si>
    <t xml:space="preserve">RAFAELA PRISCILA DOS SANTOS </t>
  </si>
  <si>
    <t>37.775.564-3</t>
  </si>
  <si>
    <t>353.675.848-70</t>
  </si>
  <si>
    <t xml:space="preserve">JOSE GUALBERTO NUNES GOMES </t>
  </si>
  <si>
    <t>31221793</t>
  </si>
  <si>
    <t>017.530.365-77</t>
  </si>
  <si>
    <t>A*</t>
  </si>
  <si>
    <t>02 / 02 A / 06</t>
  </si>
  <si>
    <t>ANDRESSA OLIVEIRA COSTA</t>
  </si>
  <si>
    <t>46377298</t>
  </si>
  <si>
    <t>391.983.488-89</t>
  </si>
  <si>
    <t>ISOLÂNDIA MARIA GOMES</t>
  </si>
  <si>
    <t>657876069</t>
  </si>
  <si>
    <t>081.228.474-71</t>
  </si>
  <si>
    <t xml:space="preserve">YASMIM SANTOS LIMA </t>
  </si>
  <si>
    <t>555744589</t>
  </si>
  <si>
    <t>503.790.698-90</t>
  </si>
  <si>
    <t>DANIELLE GOMES DE MACEDO</t>
  </si>
  <si>
    <t>576.779.068-00</t>
  </si>
  <si>
    <t>FABIO LOPES DA SILVA</t>
  </si>
  <si>
    <t>326760283</t>
  </si>
  <si>
    <t>292.329.078-01</t>
  </si>
  <si>
    <t>ADRIANO WILLIAM DOS SANTOS</t>
  </si>
  <si>
    <t>444003587</t>
  </si>
  <si>
    <t>324.405.168-56</t>
  </si>
  <si>
    <t>101</t>
  </si>
  <si>
    <t>150 / 152 / 154</t>
  </si>
  <si>
    <t xml:space="preserve">CLAYTON DOS SANTOS PEREIRA </t>
  </si>
  <si>
    <t>645520342</t>
  </si>
  <si>
    <t>241.635.638-06</t>
  </si>
  <si>
    <t>9 / 10 / 11</t>
  </si>
  <si>
    <t>CAETANO BERTO DA SILVA</t>
  </si>
  <si>
    <t>288519759</t>
  </si>
  <si>
    <t>808.686.064-72</t>
  </si>
  <si>
    <t xml:space="preserve">CLEIDE JANE SANTOS MATEUS </t>
  </si>
  <si>
    <t>667541494</t>
  </si>
  <si>
    <t>084.782.034-35</t>
  </si>
  <si>
    <t>40 / 41 / 42</t>
  </si>
  <si>
    <t>DANIELE CORREIA DE ARAUJO</t>
  </si>
  <si>
    <t>498919766</t>
  </si>
  <si>
    <t>445.309.548-11</t>
  </si>
  <si>
    <t>92 / 93 / 94</t>
  </si>
  <si>
    <t xml:space="preserve">RENATA DE LIMA </t>
  </si>
  <si>
    <t>463871467</t>
  </si>
  <si>
    <t>379.907.288-85</t>
  </si>
  <si>
    <t xml:space="preserve">CAETANO BERTO DA SILVA </t>
  </si>
  <si>
    <t xml:space="preserve">IGOR DE JESUS SANTOS </t>
  </si>
  <si>
    <t>38431361</t>
  </si>
  <si>
    <t>495.666.068-50</t>
  </si>
  <si>
    <t>ORLANDO AMARO GOMES</t>
  </si>
  <si>
    <t>520653543</t>
  </si>
  <si>
    <t>976.621.604-59</t>
  </si>
  <si>
    <t>123</t>
  </si>
  <si>
    <t>122 / 123 / 124</t>
  </si>
  <si>
    <t>THAMIRES DE ALMEIDA SANTOS</t>
  </si>
  <si>
    <t>413109185</t>
  </si>
  <si>
    <t>393.057.478-09</t>
  </si>
  <si>
    <t xml:space="preserve">FERNANDA RODRIGUES DE SOUZA </t>
  </si>
  <si>
    <t>452078817</t>
  </si>
  <si>
    <t>430.181.188-55</t>
  </si>
  <si>
    <t>SUZANA AUXILIADORA BRUNO</t>
  </si>
  <si>
    <t>507513721</t>
  </si>
  <si>
    <t>497.328.031-34</t>
  </si>
  <si>
    <t>CAMINHO SÃO MANOEL BECO 24 E</t>
  </si>
  <si>
    <t>LEYDIANE FERNANDA GOMES DE OLIVEIRA</t>
  </si>
  <si>
    <t>49816777</t>
  </si>
  <si>
    <t>456.908.658-69</t>
  </si>
  <si>
    <t>CAMINHO SÃO MANOEL BECO 18 E</t>
  </si>
  <si>
    <t>GENEALDA PAULA PINTO DE ARAUJO</t>
  </si>
  <si>
    <t>290531998</t>
  </si>
  <si>
    <t>266.758.488-01</t>
  </si>
  <si>
    <t>16 / 17 / 18</t>
  </si>
  <si>
    <t xml:space="preserve">GILBERTO FRAGA SANTOS </t>
  </si>
  <si>
    <t>3211807</t>
  </si>
  <si>
    <t>015.265.015-62</t>
  </si>
  <si>
    <t>BIANCA DE SANTANA SILVANO</t>
  </si>
  <si>
    <t>461461997</t>
  </si>
  <si>
    <t>437.039.968-89</t>
  </si>
  <si>
    <t>MARLI VANESSA MACHADO</t>
  </si>
  <si>
    <t>339302185</t>
  </si>
  <si>
    <t>316.716.048-90</t>
  </si>
  <si>
    <t>TARCISIO FABRICIO GOMES</t>
  </si>
  <si>
    <t>567702637</t>
  </si>
  <si>
    <t>176.234.214-68</t>
  </si>
  <si>
    <t>133</t>
  </si>
  <si>
    <t>189 / 190 / 191</t>
  </si>
  <si>
    <t xml:space="preserve">JOILSON BISPO DOS SANTOS </t>
  </si>
  <si>
    <t>638087302</t>
  </si>
  <si>
    <t>589.565.305-72</t>
  </si>
  <si>
    <t>PAULO HENRIQUE SILVA DE SOUZA</t>
  </si>
  <si>
    <t>FATIMA CRISTINA SANTOS FREIRE</t>
  </si>
  <si>
    <t>169.557.648-96</t>
  </si>
  <si>
    <t>00 / 03 / 05</t>
  </si>
  <si>
    <t xml:space="preserve">ADELSON PEREIRA SANTOS </t>
  </si>
  <si>
    <t>391419638</t>
  </si>
  <si>
    <t>130.535.388-90</t>
  </si>
  <si>
    <t>ROGERIO ALEXANDRE DOS SANTOS JUNIOR</t>
  </si>
  <si>
    <t>599613130</t>
  </si>
  <si>
    <t>498.224.798-67</t>
  </si>
  <si>
    <t>JHENIFFER GABRIELLI GENICO MUNIZ SOUZA</t>
  </si>
  <si>
    <t>582718028</t>
  </si>
  <si>
    <t>477.764.348-41</t>
  </si>
  <si>
    <t>JUREMA DOS SANTOS</t>
  </si>
  <si>
    <t>197.467.558-03</t>
  </si>
  <si>
    <t>33</t>
  </si>
  <si>
    <t>31 / 33 / 35</t>
  </si>
  <si>
    <t>VALE VERDE</t>
  </si>
  <si>
    <t>SEVERINO DA SILVA FELICIANO</t>
  </si>
  <si>
    <t>542104908</t>
  </si>
  <si>
    <t>856.729.987-04</t>
  </si>
  <si>
    <t>RUA CAMINHO DA PAZ</t>
  </si>
  <si>
    <t>VALE VERDE TETEU</t>
  </si>
  <si>
    <t xml:space="preserve">GERALDO GOMES DE OLIVEIRA </t>
  </si>
  <si>
    <t>303742896</t>
  </si>
  <si>
    <t>267.387.405-49</t>
  </si>
  <si>
    <t>8B / 8 / 10</t>
  </si>
  <si>
    <t>DANIEL FELICIANO</t>
  </si>
  <si>
    <t>3837502</t>
  </si>
  <si>
    <t>017.425.974-32</t>
  </si>
  <si>
    <t>05 / 07 / 08</t>
  </si>
  <si>
    <t xml:space="preserve">SERGIO CAMARGO </t>
  </si>
  <si>
    <t>25556966X</t>
  </si>
  <si>
    <t>255.168.168-58</t>
  </si>
  <si>
    <t>BECO DA UNIÃO</t>
  </si>
  <si>
    <t>45207881-7</t>
  </si>
  <si>
    <t>03 / 05 A / 07</t>
  </si>
  <si>
    <t>NEIDE DE OLIVEIRA PASSOS</t>
  </si>
  <si>
    <t>17512095-X</t>
  </si>
  <si>
    <t>108.344.068-37</t>
  </si>
  <si>
    <t xml:space="preserve">MARIA LUCIENE DOS SANTOS </t>
  </si>
  <si>
    <t>01208136-1</t>
  </si>
  <si>
    <t>711.862.805-06</t>
  </si>
  <si>
    <t>ALINE SANTOS DE SANTANA</t>
  </si>
  <si>
    <t>65990971-6</t>
  </si>
  <si>
    <t>053.558.415-62</t>
  </si>
  <si>
    <t>CAMINHO SÃO MANOEL BECO 14 E</t>
  </si>
  <si>
    <t xml:space="preserve">ALINE SANTOS DE SANTANA </t>
  </si>
  <si>
    <t>659909716</t>
  </si>
  <si>
    <t xml:space="preserve">FRANCISCO PEREIRA DOS SANTOS </t>
  </si>
  <si>
    <t>38814121-9</t>
  </si>
  <si>
    <t>642.684.704-68</t>
  </si>
  <si>
    <t xml:space="preserve">PALOMA SILVA DO NASCIMENTO </t>
  </si>
  <si>
    <t>593516011</t>
  </si>
  <si>
    <t>532.796.948-76</t>
  </si>
  <si>
    <t>MOUSANIEL EDUARDO DE MELO</t>
  </si>
  <si>
    <t>24544747</t>
  </si>
  <si>
    <t>042.011.778-40</t>
  </si>
  <si>
    <t>C/A</t>
  </si>
  <si>
    <t>0 / 2 / 04</t>
  </si>
  <si>
    <t>CAMINHO DA PAZ BECO 1</t>
  </si>
  <si>
    <t>CASA A</t>
  </si>
  <si>
    <t xml:space="preserve">MOUSANIEL EDUARDO DE MELO </t>
  </si>
  <si>
    <t>CASA C</t>
  </si>
  <si>
    <t xml:space="preserve">JÉSSICA MARQUES CAMARGO </t>
  </si>
  <si>
    <t>570071823</t>
  </si>
  <si>
    <t>462.723.518-60</t>
  </si>
  <si>
    <t>FELOMENA DE SOUSA MARTINS</t>
  </si>
  <si>
    <t>364651507</t>
  </si>
  <si>
    <t>294.460.548-85</t>
  </si>
  <si>
    <t>05 / 07 / 0</t>
  </si>
  <si>
    <t xml:space="preserve">FELOMENA DE SOUSA MARTINS </t>
  </si>
  <si>
    <t xml:space="preserve">JOILSON DOS SANTOS </t>
  </si>
  <si>
    <t>539798502</t>
  </si>
  <si>
    <t>975.394.655-49</t>
  </si>
  <si>
    <t>CIBELE COSTA DA SILVA</t>
  </si>
  <si>
    <t>563173919</t>
  </si>
  <si>
    <t>458.968.778-03</t>
  </si>
  <si>
    <t>CAMINHO DA PONTE</t>
  </si>
  <si>
    <t xml:space="preserve">JOSE CELSO MEIRELES DE JESUS </t>
  </si>
  <si>
    <t>63364123</t>
  </si>
  <si>
    <t>047.940.405-47</t>
  </si>
  <si>
    <t>CAMINHO SÃO MANOEL BECO 16 E</t>
  </si>
  <si>
    <t>MARIANA ROSA DOS REIS</t>
  </si>
  <si>
    <t>63362958-3</t>
  </si>
  <si>
    <t>059.250.045-40</t>
  </si>
  <si>
    <t xml:space="preserve">LUANA DA SILVA CAMARGO </t>
  </si>
  <si>
    <t>551.203.638-65</t>
  </si>
  <si>
    <t xml:space="preserve">JOSEFA AMADA DOS SANTOS </t>
  </si>
  <si>
    <t>688889001</t>
  </si>
  <si>
    <t>042.715.545-29</t>
  </si>
  <si>
    <t>ROBERTA GONÇALVES CONCEIÇÃO</t>
  </si>
  <si>
    <t>462279765</t>
  </si>
  <si>
    <t>373.435.038-71</t>
  </si>
  <si>
    <t>RITA MARIA BARBOSA SILVA</t>
  </si>
  <si>
    <t>259793528</t>
  </si>
  <si>
    <t>399.903.973-68</t>
  </si>
  <si>
    <t>RAIMUNDO NONATO SILVA DOS SANTOS</t>
  </si>
  <si>
    <t>402.445.633-49</t>
  </si>
  <si>
    <t>JANAÍNA LEMES</t>
  </si>
  <si>
    <t>901.629.148-22</t>
  </si>
  <si>
    <t>02 / 04 / 00</t>
  </si>
  <si>
    <t>SHIRLEY DOS SANTOS MOREIRA</t>
  </si>
  <si>
    <t>552919364</t>
  </si>
  <si>
    <t>462.846.618-83</t>
  </si>
  <si>
    <t>SILVIA DA CUNHA</t>
  </si>
  <si>
    <t>217.697.448-43</t>
  </si>
  <si>
    <t>9 / 8 / 7</t>
  </si>
  <si>
    <t xml:space="preserve">MARCOS FERREIRA SANTOS </t>
  </si>
  <si>
    <t>1421164671</t>
  </si>
  <si>
    <t>034.847.135-18</t>
  </si>
  <si>
    <t xml:space="preserve">GABRIEL MORAES DOS SANTOS </t>
  </si>
  <si>
    <t>587390232</t>
  </si>
  <si>
    <t>238.626.388-63</t>
  </si>
  <si>
    <t>ELAINE CRISTINA DOS SANTOS TEIXEIRA</t>
  </si>
  <si>
    <t>191913054</t>
  </si>
  <si>
    <t>058.210.588-99</t>
  </si>
  <si>
    <t>ANTONIO LAUDEVIR DE CAMARGO</t>
  </si>
  <si>
    <t>217802436</t>
  </si>
  <si>
    <t>121.471.428-59</t>
  </si>
  <si>
    <t xml:space="preserve">HENRIQUE DA SILVA FONSECA </t>
  </si>
  <si>
    <t>58583376</t>
  </si>
  <si>
    <t>066.230.745-38</t>
  </si>
  <si>
    <t xml:space="preserve">LAIS LUCINDA VELOSO DA SILVA </t>
  </si>
  <si>
    <t>454046315</t>
  </si>
  <si>
    <t>372.468.298-06</t>
  </si>
  <si>
    <t>34 / 35 / 36</t>
  </si>
  <si>
    <t>VICTOR LUCCAS DE SOUSA SIMEONI</t>
  </si>
  <si>
    <t>43747136</t>
  </si>
  <si>
    <t>361.706.768-92</t>
  </si>
  <si>
    <t xml:space="preserve">ANTÔNIO JOSÉ DE JESUS </t>
  </si>
  <si>
    <t>22114326</t>
  </si>
  <si>
    <t>039.032.088-92</t>
  </si>
  <si>
    <t>EVERTON DOS SANTOS</t>
  </si>
  <si>
    <t>55.633.036-5</t>
  </si>
  <si>
    <t>061.276.965-85</t>
  </si>
  <si>
    <t>VALDEMILSON RODRIGUES DA CRUZ</t>
  </si>
  <si>
    <t>32346770</t>
  </si>
  <si>
    <t>282.060.128-69</t>
  </si>
  <si>
    <t>46</t>
  </si>
  <si>
    <t>44 / 46 / 48</t>
  </si>
  <si>
    <t>FRANCIELE DOS SANTOS CAMARGO</t>
  </si>
  <si>
    <t>531770023</t>
  </si>
  <si>
    <t>490.076.768-90</t>
  </si>
  <si>
    <t>6A / 6B / 6</t>
  </si>
  <si>
    <t>LUCAS ROSA QUEIROZ</t>
  </si>
  <si>
    <t>412112176</t>
  </si>
  <si>
    <t>427.240.178-54</t>
  </si>
  <si>
    <t>JAILSON REBOUCAS DA SILVA</t>
  </si>
  <si>
    <t>1901674</t>
  </si>
  <si>
    <t>391.592.803-87</t>
  </si>
  <si>
    <t>ANA PAULA DOS SANTOS COSTA</t>
  </si>
  <si>
    <t>321032792</t>
  </si>
  <si>
    <t>335.102.748-65</t>
  </si>
  <si>
    <t>SEVERINO JOSÉ COSTA</t>
  </si>
  <si>
    <t>41644021</t>
  </si>
  <si>
    <t>315.883.678-51</t>
  </si>
  <si>
    <t>SEVERINA MARIA DA SILVA</t>
  </si>
  <si>
    <t>470886924</t>
  </si>
  <si>
    <t>307.649.918-17</t>
  </si>
  <si>
    <t xml:space="preserve">JUMARIA CONCEIÇÃO DE OLIVEIRA </t>
  </si>
  <si>
    <t>670015076</t>
  </si>
  <si>
    <t>022.758.635-24</t>
  </si>
  <si>
    <t>CAMINHO SÃO MANOEL BECO 07 D</t>
  </si>
  <si>
    <t xml:space="preserve">LORENA LUIZA DOS SANTOS BATISTA </t>
  </si>
  <si>
    <t>437.906.028-41</t>
  </si>
  <si>
    <t xml:space="preserve">VANIA MONTEIRO BATISTA </t>
  </si>
  <si>
    <t>42993685</t>
  </si>
  <si>
    <t>313.394.638-22</t>
  </si>
  <si>
    <t>LILIANE CARVALHO DE JESUS</t>
  </si>
  <si>
    <t>46432530-4</t>
  </si>
  <si>
    <t>359.261.218-25</t>
  </si>
  <si>
    <t>RODRIGO DOS SANTOS</t>
  </si>
  <si>
    <t>44.947.611-X</t>
  </si>
  <si>
    <t>400.314.658-11</t>
  </si>
  <si>
    <t>José Ednaldo Soares</t>
  </si>
  <si>
    <t>6671788</t>
  </si>
  <si>
    <t>650.082.275-72</t>
  </si>
  <si>
    <t>Brenda da Silva Costa</t>
  </si>
  <si>
    <t>452.843.208-08</t>
  </si>
  <si>
    <t>07 / 07 B / 07 A</t>
  </si>
  <si>
    <t>José Antonio de Lima Oliveira</t>
  </si>
  <si>
    <t>18738675-4</t>
  </si>
  <si>
    <t>07540562870</t>
  </si>
  <si>
    <t>152</t>
  </si>
  <si>
    <t>Regina Celia Francisca de Souza</t>
  </si>
  <si>
    <t>23834227X</t>
  </si>
  <si>
    <t>12142080880</t>
  </si>
  <si>
    <t>ANGELITA FURTUOSO DE JESUS</t>
  </si>
  <si>
    <t>360576473</t>
  </si>
  <si>
    <t>883606524/49</t>
  </si>
  <si>
    <t>158</t>
  </si>
  <si>
    <t>156 / 158 / 160</t>
  </si>
  <si>
    <t>ORLANDO FRANCO CANUTO</t>
  </si>
  <si>
    <t>275605334</t>
  </si>
  <si>
    <t>12139837894</t>
  </si>
  <si>
    <t>150</t>
  </si>
  <si>
    <t>148 / 150 / 152</t>
  </si>
  <si>
    <t xml:space="preserve">Josefa Freitas Santana Irmã </t>
  </si>
  <si>
    <t>38869935</t>
  </si>
  <si>
    <t>36048548818</t>
  </si>
  <si>
    <t>140</t>
  </si>
  <si>
    <t>138 / 140 / 142</t>
  </si>
  <si>
    <t>Elaine Cristina da Silva Lima Santos</t>
  </si>
  <si>
    <t>422373321</t>
  </si>
  <si>
    <t>22784881806</t>
  </si>
  <si>
    <t>CAMINHO SÃO MANOEL BECO 21 E</t>
  </si>
  <si>
    <t>Daniela Lourenço da silva</t>
  </si>
  <si>
    <t>329176444</t>
  </si>
  <si>
    <t>390806558/56</t>
  </si>
  <si>
    <t>BIANCA DOS SANTOS</t>
  </si>
  <si>
    <t>39.706.932-7</t>
  </si>
  <si>
    <t>381.761.368/75</t>
  </si>
  <si>
    <t>Maria das Graças do Nascimento Silva</t>
  </si>
  <si>
    <t>56.915.159-4</t>
  </si>
  <si>
    <t>257908098/80</t>
  </si>
  <si>
    <t>JOSEFA ALVES DA CRUZ DIAS</t>
  </si>
  <si>
    <t>56.786.009-7</t>
  </si>
  <si>
    <t>121294988/92</t>
  </si>
  <si>
    <t xml:space="preserve">Maria Lucia da Conceição </t>
  </si>
  <si>
    <t>29.160.398-1</t>
  </si>
  <si>
    <t>593635175/00</t>
  </si>
  <si>
    <t>Antonio carlos santos</t>
  </si>
  <si>
    <t>56.644.654-6</t>
  </si>
  <si>
    <t>127199605/78</t>
  </si>
  <si>
    <t>MARIA LUIZA JESUS DOS SANTOS</t>
  </si>
  <si>
    <t>46.833.239-X</t>
  </si>
  <si>
    <t>275411448/35</t>
  </si>
  <si>
    <t>jacqueline francisca das dores</t>
  </si>
  <si>
    <t>34.349.077-8</t>
  </si>
  <si>
    <t>312400248/27</t>
  </si>
  <si>
    <t>Riolando Florencio Bezerra</t>
  </si>
  <si>
    <t>19381407-9</t>
  </si>
  <si>
    <t>080.550.018-98</t>
  </si>
  <si>
    <t>CAMINHO SÃO MANOEL BECO 10 D</t>
  </si>
  <si>
    <t>Riolando Florenço Bezerra</t>
  </si>
  <si>
    <t>Alberto José dos santos</t>
  </si>
  <si>
    <t>30.347.265-0</t>
  </si>
  <si>
    <t>258309518/86</t>
  </si>
  <si>
    <t>88 / 90 / 92</t>
  </si>
  <si>
    <t xml:space="preserve">Manoel dos Santos Silva </t>
  </si>
  <si>
    <t>46735823</t>
  </si>
  <si>
    <t>404.011.178-80</t>
  </si>
  <si>
    <t xml:space="preserve">Maria das Graças dos Santos santos </t>
  </si>
  <si>
    <t>15.283.618-4</t>
  </si>
  <si>
    <t>159.113.268-17</t>
  </si>
  <si>
    <t xml:space="preserve">José Edvaldo Olimpio da silva </t>
  </si>
  <si>
    <t>35149588</t>
  </si>
  <si>
    <t>169.612.768-81</t>
  </si>
  <si>
    <t>136</t>
  </si>
  <si>
    <t>134 / 136 / 138</t>
  </si>
  <si>
    <t>William Gomes dos Santos</t>
  </si>
  <si>
    <t>19.940.278-4</t>
  </si>
  <si>
    <t>280288848/06</t>
  </si>
  <si>
    <t>135</t>
  </si>
  <si>
    <t>133 / 135 / 137</t>
  </si>
  <si>
    <t>VERA LUCIA MARQUES</t>
  </si>
  <si>
    <t>16.839.618-X</t>
  </si>
  <si>
    <t>025.477.098-30</t>
  </si>
  <si>
    <t>maria aparecida dos santos nunes</t>
  </si>
  <si>
    <t>23.668.899-6</t>
  </si>
  <si>
    <t>169628198/97</t>
  </si>
  <si>
    <t xml:space="preserve">Aparecida de Oliveira Barbosa Rodrigues </t>
  </si>
  <si>
    <t>37.066.024-9</t>
  </si>
  <si>
    <t>338331628/99</t>
  </si>
  <si>
    <t>CAMINHO SÃO MANOEL BECO 25 E</t>
  </si>
  <si>
    <t>Claudio bernardo dos santos</t>
  </si>
  <si>
    <t>40.687.337-9</t>
  </si>
  <si>
    <t>366279628/70</t>
  </si>
  <si>
    <t>CAMINHO SÃO MANOEL BECO 22 E</t>
  </si>
  <si>
    <t xml:space="preserve">Lindinalva Bernardo </t>
  </si>
  <si>
    <t>20.460.565-9</t>
  </si>
  <si>
    <t>070173139/95</t>
  </si>
  <si>
    <t xml:space="preserve">Adenialdo pereira do nascimento </t>
  </si>
  <si>
    <t>62682134</t>
  </si>
  <si>
    <t>250.144.568-63</t>
  </si>
  <si>
    <t>108</t>
  </si>
  <si>
    <t>106 / 108 / 110</t>
  </si>
  <si>
    <t>JOSEFIRA SANTOS</t>
  </si>
  <si>
    <t>15.953.206-1</t>
  </si>
  <si>
    <t>018289588/24</t>
  </si>
  <si>
    <t>CAMINHO SÃO MANOEL BECO 23 D</t>
  </si>
  <si>
    <t>01 / 02 / 04</t>
  </si>
  <si>
    <t>marina siqueira rodrigues</t>
  </si>
  <si>
    <t>49.448.351-</t>
  </si>
  <si>
    <t>453292698/06</t>
  </si>
  <si>
    <t>CAMINHO SÃO MANOEL BECO 23 E</t>
  </si>
  <si>
    <t>JOSEFA DE JESUS</t>
  </si>
  <si>
    <t>39.899.338-5</t>
  </si>
  <si>
    <t>269496525/34</t>
  </si>
  <si>
    <t>Maurício Silva Santos</t>
  </si>
  <si>
    <t>46.811.252-2</t>
  </si>
  <si>
    <t>041595464/98</t>
  </si>
  <si>
    <t>Giovanni Vecchio Alves</t>
  </si>
  <si>
    <t>42138352</t>
  </si>
  <si>
    <t>421.460.938-70</t>
  </si>
  <si>
    <t>CAMINHO SÃO MANOEL BECO 01 E</t>
  </si>
  <si>
    <t>Valdelice Maria dos Santos</t>
  </si>
  <si>
    <t>35.266.500-</t>
  </si>
  <si>
    <t>382806978/96</t>
  </si>
  <si>
    <t>CAMINHO SÃO MANOEL BECO 13 E</t>
  </si>
  <si>
    <t>Rita Alves de Oliveira</t>
  </si>
  <si>
    <t>52.707.698-3</t>
  </si>
  <si>
    <t>000957348/80</t>
  </si>
  <si>
    <t xml:space="preserve">Thiago dos Santos Rodrigues </t>
  </si>
  <si>
    <t>41643933</t>
  </si>
  <si>
    <t>301.843.138-30</t>
  </si>
  <si>
    <t>CAMINHO SÃO MANOEL BECO 19 E</t>
  </si>
  <si>
    <t>Ellis Alves Ramos</t>
  </si>
  <si>
    <t>28.743.384-5</t>
  </si>
  <si>
    <t>255318768/82</t>
  </si>
  <si>
    <t xml:space="preserve">Maxwell de Jesus Souza </t>
  </si>
  <si>
    <t>40687640</t>
  </si>
  <si>
    <t>461.242.438-73</t>
  </si>
  <si>
    <t>Kaioh Felipe da Silva Lucas</t>
  </si>
  <si>
    <t>59.235.987-6</t>
  </si>
  <si>
    <t>490423168/61</t>
  </si>
  <si>
    <t>Edivaldo Ferreira santos</t>
  </si>
  <si>
    <t>35632948</t>
  </si>
  <si>
    <t>162.401.378-39</t>
  </si>
  <si>
    <t>Rodrigo Pedroso de oliveira</t>
  </si>
  <si>
    <t>46.704.519-7</t>
  </si>
  <si>
    <t>397288748/55</t>
  </si>
  <si>
    <t>52 / 54 / 56</t>
  </si>
  <si>
    <t>Daniele Da Silva  Santos</t>
  </si>
  <si>
    <t>538783060</t>
  </si>
  <si>
    <t>44271842869</t>
  </si>
  <si>
    <t>44</t>
  </si>
  <si>
    <t>42 / 44 / 46</t>
  </si>
  <si>
    <t>viviane custódio dos santos</t>
  </si>
  <si>
    <t>49.850.181-4</t>
  </si>
  <si>
    <t>455235148/61</t>
  </si>
  <si>
    <t>jessica custodio cardoso de lima</t>
  </si>
  <si>
    <t>48.790.450-3</t>
  </si>
  <si>
    <t>362.005.188-74</t>
  </si>
  <si>
    <t xml:space="preserve">luis carlos santos da Cruz </t>
  </si>
  <si>
    <t>05715752507</t>
  </si>
  <si>
    <t>silmara Rodrigues reis</t>
  </si>
  <si>
    <t>551856403</t>
  </si>
  <si>
    <t>45225755801</t>
  </si>
  <si>
    <t>Poliana Ferreira luz silva</t>
  </si>
  <si>
    <t>56995946</t>
  </si>
  <si>
    <t>02398366502</t>
  </si>
  <si>
    <t>102</t>
  </si>
  <si>
    <t>100 / 102 / 104</t>
  </si>
  <si>
    <t xml:space="preserve">lazaro de oliveira silva </t>
  </si>
  <si>
    <t>38501835</t>
  </si>
  <si>
    <t>03766671413</t>
  </si>
  <si>
    <t xml:space="preserve">Ana claudia dos Santos </t>
  </si>
  <si>
    <t>48667970-6</t>
  </si>
  <si>
    <t>234.840.758-21</t>
  </si>
  <si>
    <t>Daniel Barbosa Paulino</t>
  </si>
  <si>
    <t>25701434</t>
  </si>
  <si>
    <t>253.880.288-10</t>
  </si>
  <si>
    <t xml:space="preserve">João Pereira do Nascimento </t>
  </si>
  <si>
    <t>0</t>
  </si>
  <si>
    <t>584.666.655-87</t>
  </si>
  <si>
    <t xml:space="preserve">esequiel roque do Santos </t>
  </si>
  <si>
    <t>62770323</t>
  </si>
  <si>
    <t>025.389 824-21</t>
  </si>
  <si>
    <t xml:space="preserve">ketilly camily dos santos </t>
  </si>
  <si>
    <t>66.770.312-4</t>
  </si>
  <si>
    <t>122728014/23</t>
  </si>
  <si>
    <t>josefa de jesus santos</t>
  </si>
  <si>
    <t>18.502.201-71</t>
  </si>
  <si>
    <t>048455108/46</t>
  </si>
  <si>
    <t>81  / 83 / 85</t>
  </si>
  <si>
    <t>MAIRA RAMOS DO NASCIMENTO</t>
  </si>
  <si>
    <t>574251212</t>
  </si>
  <si>
    <t>46147396870</t>
  </si>
  <si>
    <t>CAMINHO SÃO MANOEL BECO 20 D</t>
  </si>
  <si>
    <t xml:space="preserve">matheus ramos Barbosa </t>
  </si>
  <si>
    <t>40.740.041-2</t>
  </si>
  <si>
    <t>433867428/82</t>
  </si>
  <si>
    <t>04 / 04 A / 05</t>
  </si>
  <si>
    <t xml:space="preserve">Adriana angélica ramos </t>
  </si>
  <si>
    <t>27.560.040-3</t>
  </si>
  <si>
    <t>169516408/31</t>
  </si>
  <si>
    <t>mayara ramos do nascimento</t>
  </si>
  <si>
    <t>498303779</t>
  </si>
  <si>
    <t>461.474.168-12</t>
  </si>
  <si>
    <t xml:space="preserve">José nildo do nascimento </t>
  </si>
  <si>
    <t>27235407</t>
  </si>
  <si>
    <t>133.890.238-52</t>
  </si>
  <si>
    <t xml:space="preserve">josefa leide dos santos </t>
  </si>
  <si>
    <t>30.784.719-6</t>
  </si>
  <si>
    <t>286528468/98</t>
  </si>
  <si>
    <t xml:space="preserve">mareli cristina dos santos silva </t>
  </si>
  <si>
    <t>46.195.387-0</t>
  </si>
  <si>
    <t>466657298/85</t>
  </si>
  <si>
    <t>IVANILDA SOARES NUNES DA SILVA</t>
  </si>
  <si>
    <t>28.134.470-×</t>
  </si>
  <si>
    <t>332032268/04</t>
  </si>
  <si>
    <t xml:space="preserve"> 0 / 2 / 4</t>
  </si>
  <si>
    <t xml:space="preserve">Manoel Nogueira de Souza </t>
  </si>
  <si>
    <t>582.365.705-68</t>
  </si>
  <si>
    <t>66</t>
  </si>
  <si>
    <t>64  / 66 / 68</t>
  </si>
  <si>
    <t xml:space="preserve">sirlei Sebastiana da silva </t>
  </si>
  <si>
    <t>23.218.303-X</t>
  </si>
  <si>
    <t>377149376/53</t>
  </si>
  <si>
    <t xml:space="preserve">maria aparecida dos santos </t>
  </si>
  <si>
    <t>67.246.613-2</t>
  </si>
  <si>
    <t>23178511890</t>
  </si>
  <si>
    <t>Jucileda de jesus bispo</t>
  </si>
  <si>
    <t>54.741.922-3</t>
  </si>
  <si>
    <t>291115508/48</t>
  </si>
  <si>
    <t>31 / 33 / 34</t>
  </si>
  <si>
    <t xml:space="preserve">audineia matos santos </t>
  </si>
  <si>
    <t>53.768.516-9</t>
  </si>
  <si>
    <t>314847918/19</t>
  </si>
  <si>
    <t xml:space="preserve">16 / 20 /  / </t>
  </si>
  <si>
    <t>walter salvador da Silva</t>
  </si>
  <si>
    <t>38.433.109-9</t>
  </si>
  <si>
    <t>334.737.338/30</t>
  </si>
  <si>
    <t xml:space="preserve">Amanda batista silva </t>
  </si>
  <si>
    <t>52.197.043-X</t>
  </si>
  <si>
    <t>422.119.388/33</t>
  </si>
  <si>
    <t>25 / 27 A / 29</t>
  </si>
  <si>
    <t>rosalia Gonçalves santos</t>
  </si>
  <si>
    <t>27.927.157-8</t>
  </si>
  <si>
    <t>307455368/59</t>
  </si>
  <si>
    <t xml:space="preserve"> 28 / 29 / 30</t>
  </si>
  <si>
    <t xml:space="preserve">João victor da Silveira Rocha </t>
  </si>
  <si>
    <t>407363518</t>
  </si>
  <si>
    <t>416042158-01</t>
  </si>
  <si>
    <t>45 / 46 / 47</t>
  </si>
  <si>
    <t xml:space="preserve">João Victor da Silveira Rocha </t>
  </si>
  <si>
    <t>407353518</t>
  </si>
  <si>
    <t>rosangela fortunato dos santos</t>
  </si>
  <si>
    <t>36.195.570-4</t>
  </si>
  <si>
    <t>489261407/68</t>
  </si>
  <si>
    <t>CAMINHO SÃO MANOEL BECO 14 D</t>
  </si>
  <si>
    <t>Rosangela fortunato dos santos</t>
  </si>
  <si>
    <t>80 / 82 / 84</t>
  </si>
  <si>
    <t>daniela aparecida paulino</t>
  </si>
  <si>
    <t>32.917.410-1</t>
  </si>
  <si>
    <t>299037088/90</t>
  </si>
  <si>
    <t>138</t>
  </si>
  <si>
    <t>136 / 138 / 140</t>
  </si>
  <si>
    <t>mario roberto de souza</t>
  </si>
  <si>
    <t>58.037.935-8</t>
  </si>
  <si>
    <t>280439708/40</t>
  </si>
  <si>
    <t>91</t>
  </si>
  <si>
    <t>89 / 91 / 93</t>
  </si>
  <si>
    <t>José carlos dos santos</t>
  </si>
  <si>
    <t>31.142.522-7</t>
  </si>
  <si>
    <t>626.410.695/04</t>
  </si>
  <si>
    <t>72 / 74 / 76</t>
  </si>
  <si>
    <t xml:space="preserve">roque arcanjo da silva </t>
  </si>
  <si>
    <t>38.602.408-×</t>
  </si>
  <si>
    <t>309335068/99</t>
  </si>
  <si>
    <t>OSORIO PEREIRA RAMOS</t>
  </si>
  <si>
    <t>16167594</t>
  </si>
  <si>
    <t>044.961.218-08</t>
  </si>
  <si>
    <t xml:space="preserve">luciene da Conceição silva </t>
  </si>
  <si>
    <t>58.730.361-X</t>
  </si>
  <si>
    <t>300205978/19</t>
  </si>
  <si>
    <t>CAMINHO SÃO MANOEL BECO 27 E</t>
  </si>
  <si>
    <t>neilton santana de castro</t>
  </si>
  <si>
    <t>38501790</t>
  </si>
  <si>
    <t>357.069.478-05</t>
  </si>
  <si>
    <t xml:space="preserve">karla andréa cariry da silva </t>
  </si>
  <si>
    <t>48.297.714-7</t>
  </si>
  <si>
    <t>338827668/40</t>
  </si>
  <si>
    <t>celso Ricardo dos santos</t>
  </si>
  <si>
    <t>29.607.849-9</t>
  </si>
  <si>
    <t>276096368/35</t>
  </si>
  <si>
    <t xml:space="preserve"> 06 / 07 / 08</t>
  </si>
  <si>
    <t xml:space="preserve">Celso Ricardo dos Santos </t>
  </si>
  <si>
    <t>08 / 09 / 10</t>
  </si>
  <si>
    <t>Elisangela barreto dos santos</t>
  </si>
  <si>
    <t>36.058.015-4</t>
  </si>
  <si>
    <t>332841198/41</t>
  </si>
  <si>
    <t>amara maria dos santos</t>
  </si>
  <si>
    <t>641.607.004-97</t>
  </si>
  <si>
    <t>sabryna kelly ribeiro sirqueira santos</t>
  </si>
  <si>
    <t>33084958×</t>
  </si>
  <si>
    <t>40104885870</t>
  </si>
  <si>
    <t xml:space="preserve">Valdir Barbosa de Souza </t>
  </si>
  <si>
    <t>50.939.944-7</t>
  </si>
  <si>
    <t>399462448/70</t>
  </si>
  <si>
    <t>CAMINHO SÃO MANOEL BECO31</t>
  </si>
  <si>
    <t xml:space="preserve">9 / 13 /  / </t>
  </si>
  <si>
    <t xml:space="preserve">maria da Conceição da silva </t>
  </si>
  <si>
    <t>36.711.610-8</t>
  </si>
  <si>
    <t>724164404/20</t>
  </si>
  <si>
    <t>Marcelo jose da silva</t>
  </si>
  <si>
    <t>54210318</t>
  </si>
  <si>
    <t>053.049.014-52</t>
  </si>
  <si>
    <t>Rosimeire Rodrigues dos Santos</t>
  </si>
  <si>
    <t>27.560.295-3</t>
  </si>
  <si>
    <t>270.142.248/59</t>
  </si>
  <si>
    <t xml:space="preserve">marcelo jose da silva </t>
  </si>
  <si>
    <t>053.049.014/52</t>
  </si>
  <si>
    <t>Priscilla Galvão de Jesus</t>
  </si>
  <si>
    <t>48.649.010-5</t>
  </si>
  <si>
    <t>416053298/51</t>
  </si>
  <si>
    <t>01 / 03 / 04</t>
  </si>
  <si>
    <t xml:space="preserve">Vanderlei Batista da silva </t>
  </si>
  <si>
    <t>44308268</t>
  </si>
  <si>
    <t>217.313.748-44</t>
  </si>
  <si>
    <t>katia cristina de souza pereira</t>
  </si>
  <si>
    <t>422.749.568-71</t>
  </si>
  <si>
    <t xml:space="preserve">priscila araujo de oliveira </t>
  </si>
  <si>
    <t>43.128.220-1</t>
  </si>
  <si>
    <t>359002808/45</t>
  </si>
  <si>
    <t>164</t>
  </si>
  <si>
    <t>162 / 164 / 166</t>
  </si>
  <si>
    <t>Ariane cristina dos santos silva</t>
  </si>
  <si>
    <t>36.856.990-1</t>
  </si>
  <si>
    <t>461844038/42</t>
  </si>
  <si>
    <t>03 / 05 / 06</t>
  </si>
  <si>
    <t xml:space="preserve">Jackeline alves dos santos </t>
  </si>
  <si>
    <t>499504987</t>
  </si>
  <si>
    <t>45090731861</t>
  </si>
  <si>
    <t>112</t>
  </si>
  <si>
    <t>110 / 112 / 114</t>
  </si>
  <si>
    <t xml:space="preserve">Jefferson dos santos Brito </t>
  </si>
  <si>
    <t>46390093</t>
  </si>
  <si>
    <t>405.867.348-64</t>
  </si>
  <si>
    <t>93 / 93 A / 95</t>
  </si>
  <si>
    <t>ALLAN FABRICIO FAGUNDES VERISSIMO</t>
  </si>
  <si>
    <t>398122994</t>
  </si>
  <si>
    <t>41373791810</t>
  </si>
  <si>
    <t>verá Lúcia souza bispo</t>
  </si>
  <si>
    <t>545071057</t>
  </si>
  <si>
    <t>49639781568</t>
  </si>
  <si>
    <t xml:space="preserve">Ademilson pereira da silva </t>
  </si>
  <si>
    <t>280789585</t>
  </si>
  <si>
    <t>28206572813</t>
  </si>
  <si>
    <t xml:space="preserve">Ademilson Pereira da silva </t>
  </si>
  <si>
    <t>280799585</t>
  </si>
  <si>
    <t xml:space="preserve"> 32 / 34 / 36</t>
  </si>
  <si>
    <t xml:space="preserve">ademilson pereira da silva </t>
  </si>
  <si>
    <t xml:space="preserve">Dener xavier dias </t>
  </si>
  <si>
    <t>442710215</t>
  </si>
  <si>
    <t>44073872893</t>
  </si>
  <si>
    <t xml:space="preserve"> 02 / 04 / 06</t>
  </si>
  <si>
    <t>alexandra barbosa dos santos</t>
  </si>
  <si>
    <t>267367326</t>
  </si>
  <si>
    <t>13398398812</t>
  </si>
  <si>
    <t xml:space="preserve"> 01 / 03 / 05</t>
  </si>
  <si>
    <t xml:space="preserve">Angela Barbosa dos Santos xavier </t>
  </si>
  <si>
    <t>359249760</t>
  </si>
  <si>
    <t>36801249886</t>
  </si>
  <si>
    <t>09  / 11 / 13</t>
  </si>
  <si>
    <t xml:space="preserve">Stefani Barbosa Dos Santos </t>
  </si>
  <si>
    <t>4125046740</t>
  </si>
  <si>
    <t>42938560800</t>
  </si>
  <si>
    <t xml:space="preserve">Lucineide Souza Bispo </t>
  </si>
  <si>
    <t>289618162</t>
  </si>
  <si>
    <t>27173835810</t>
  </si>
  <si>
    <t>28961862</t>
  </si>
  <si>
    <t>Lucineide Souza Bispo</t>
  </si>
  <si>
    <t>2896181662</t>
  </si>
  <si>
    <t>gleyce bispo rosa</t>
  </si>
  <si>
    <t>525824479</t>
  </si>
  <si>
    <t>43731484811</t>
  </si>
  <si>
    <t xml:space="preserve">gleyce bispo rosa </t>
  </si>
  <si>
    <t>Gleyce Bispo Rosa</t>
  </si>
  <si>
    <t xml:space="preserve">Nataly Candida De Vasconcelos </t>
  </si>
  <si>
    <t>43304394842</t>
  </si>
  <si>
    <t xml:space="preserve">João França Santos </t>
  </si>
  <si>
    <t>359248780</t>
  </si>
  <si>
    <t>26273344841</t>
  </si>
  <si>
    <t>RAIMUNDO REIS DOS SANTOS</t>
  </si>
  <si>
    <t>53768545</t>
  </si>
  <si>
    <t>16957896870</t>
  </si>
  <si>
    <t>16 / 18 A / 20</t>
  </si>
  <si>
    <t xml:space="preserve">Claudio Reis Carvalho </t>
  </si>
  <si>
    <t>32696985855</t>
  </si>
  <si>
    <t>16 / 18 B / 20</t>
  </si>
  <si>
    <t>Ellen Trigo Ramos</t>
  </si>
  <si>
    <t>345074439</t>
  </si>
  <si>
    <t>36059297889</t>
  </si>
  <si>
    <t xml:space="preserve">Junior Pedro Barbosa </t>
  </si>
  <si>
    <t>322282267</t>
  </si>
  <si>
    <t>29181486871</t>
  </si>
  <si>
    <t>Edjan Lucio Aroxa de Santana Vasconcelos</t>
  </si>
  <si>
    <t>04645176614</t>
  </si>
  <si>
    <t>40165239824</t>
  </si>
  <si>
    <t>Marcelo Costa De Vasconcelos</t>
  </si>
  <si>
    <t>351462739</t>
  </si>
  <si>
    <t>41716701449</t>
  </si>
  <si>
    <t xml:space="preserve">Maria Helena Aroxa De Santana Vasconcelos </t>
  </si>
  <si>
    <t xml:space="preserve">Marcelo Costa de Vasconcelos </t>
  </si>
  <si>
    <t xml:space="preserve">Kassia Larisse De Vasconcelos Porto </t>
  </si>
  <si>
    <t>359850893</t>
  </si>
  <si>
    <t>40165235837</t>
  </si>
  <si>
    <t xml:space="preserve">Luiz Eduardo da Silva Souza </t>
  </si>
  <si>
    <t>646859663</t>
  </si>
  <si>
    <t>55166064895</t>
  </si>
  <si>
    <t>Avaci Reis Dos Santos</t>
  </si>
  <si>
    <t>02980134160</t>
  </si>
  <si>
    <t>04404227876</t>
  </si>
  <si>
    <t xml:space="preserve">14 / 16  / 16 </t>
  </si>
  <si>
    <t>14 / 16  / 18</t>
  </si>
  <si>
    <t>José Eder Cruz Silva</t>
  </si>
  <si>
    <t>04206598849</t>
  </si>
  <si>
    <t>26458871805</t>
  </si>
  <si>
    <t>José carlos da cruz silva</t>
  </si>
  <si>
    <t>307720019</t>
  </si>
  <si>
    <t>34516662515</t>
  </si>
  <si>
    <t>clarice da Conceição santos</t>
  </si>
  <si>
    <t>283246789</t>
  </si>
  <si>
    <t>16961685897</t>
  </si>
  <si>
    <t xml:space="preserve">lorena Santos lima Vieira </t>
  </si>
  <si>
    <t>05100030011</t>
  </si>
  <si>
    <t>37797820813</t>
  </si>
  <si>
    <t xml:space="preserve"> 06</t>
  </si>
  <si>
    <t xml:space="preserve">lucas Araújo de Oliveira </t>
  </si>
  <si>
    <t>398127293</t>
  </si>
  <si>
    <t>43348022819</t>
  </si>
  <si>
    <t>Delvane michael da silva</t>
  </si>
  <si>
    <t>07387736111</t>
  </si>
  <si>
    <t>47987874850</t>
  </si>
  <si>
    <t>Celia Barbosa Da Silva</t>
  </si>
  <si>
    <t>355750661</t>
  </si>
  <si>
    <t>27834269860</t>
  </si>
  <si>
    <t>VANILDA SANTOS DE JESUS</t>
  </si>
  <si>
    <t>354882764</t>
  </si>
  <si>
    <t>30609237870</t>
  </si>
  <si>
    <t>Thais Barros Dias</t>
  </si>
  <si>
    <t>427654075</t>
  </si>
  <si>
    <t>37393518880</t>
  </si>
  <si>
    <t>64</t>
  </si>
  <si>
    <t>Casa 2</t>
  </si>
  <si>
    <t>62  / 64 / 66</t>
  </si>
  <si>
    <t>Wagner Jesuino Dias</t>
  </si>
  <si>
    <t>13373821835</t>
  </si>
  <si>
    <t>Casa 1</t>
  </si>
  <si>
    <t>62 / 64 / 66</t>
  </si>
  <si>
    <t>GERLANIO CARVALHO DE LIMA</t>
  </si>
  <si>
    <t>11595669</t>
  </si>
  <si>
    <t>00216057507</t>
  </si>
  <si>
    <t>00 / 18 / 17</t>
  </si>
  <si>
    <t>03638654063</t>
  </si>
  <si>
    <t>Juliane Cristina Santos de Lima</t>
  </si>
  <si>
    <t>290085226</t>
  </si>
  <si>
    <t>22237882894</t>
  </si>
  <si>
    <t>Casa 4</t>
  </si>
  <si>
    <t>82B / 82 / 82A</t>
  </si>
  <si>
    <t>Casa 3</t>
  </si>
  <si>
    <t>82 C 2 / 82 C 3 / 82 C 4</t>
  </si>
  <si>
    <t xml:space="preserve">82 </t>
  </si>
  <si>
    <t xml:space="preserve"> 82B / 82 / 82A</t>
  </si>
  <si>
    <t>280085226</t>
  </si>
  <si>
    <t>Casa 5</t>
  </si>
  <si>
    <t xml:space="preserve">Juliane Cristina santos de Lima </t>
  </si>
  <si>
    <t>82B / 82 / 82 A</t>
  </si>
  <si>
    <t>ANA PAULA DE LIMA</t>
  </si>
  <si>
    <t>560624426</t>
  </si>
  <si>
    <t>121.401.538-71</t>
  </si>
  <si>
    <t>32</t>
  </si>
  <si>
    <t>32 / 32 F / 34</t>
  </si>
  <si>
    <t>Esmeralda maria de lima</t>
  </si>
  <si>
    <t>568262165</t>
  </si>
  <si>
    <t>57433194487</t>
  </si>
  <si>
    <t>32 / 32F / 34</t>
  </si>
  <si>
    <t xml:space="preserve">Roberta kely da Conceição Ribeiro </t>
  </si>
  <si>
    <t>33494702</t>
  </si>
  <si>
    <t>29241746866</t>
  </si>
  <si>
    <t>Cicera Lourenço da silva</t>
  </si>
  <si>
    <t>555099684</t>
  </si>
  <si>
    <t>74317164434</t>
  </si>
  <si>
    <t>João nunes da rocha</t>
  </si>
  <si>
    <t>73391797</t>
  </si>
  <si>
    <t>72906081868</t>
  </si>
  <si>
    <t>juliete justino dos santos</t>
  </si>
  <si>
    <t>05289829407</t>
  </si>
  <si>
    <t>LINDA AGUILERA</t>
  </si>
  <si>
    <t>209323905</t>
  </si>
  <si>
    <t>15907853808</t>
  </si>
  <si>
    <t>victor hugo fontes de jesus</t>
  </si>
  <si>
    <t>641158488</t>
  </si>
  <si>
    <t>53893515844</t>
  </si>
  <si>
    <t>03 / 03 B / 05</t>
  </si>
  <si>
    <t>grasielly aparecida paulino de carvalho</t>
  </si>
  <si>
    <t>533422760</t>
  </si>
  <si>
    <t>55051004814</t>
  </si>
  <si>
    <t xml:space="preserve">julia fontes de jesus </t>
  </si>
  <si>
    <t>08654539276</t>
  </si>
  <si>
    <t>44948790885</t>
  </si>
  <si>
    <t>casa 6</t>
  </si>
  <si>
    <t xml:space="preserve">05 / 07 /  / </t>
  </si>
  <si>
    <t>zilma maria da silva</t>
  </si>
  <si>
    <t>415696380</t>
  </si>
  <si>
    <t>38096176870</t>
  </si>
  <si>
    <t xml:space="preserve">neuza manoel santos </t>
  </si>
  <si>
    <t>14220836X</t>
  </si>
  <si>
    <t>11403090807</t>
  </si>
  <si>
    <t>priscila manoel dos santos</t>
  </si>
  <si>
    <t>401976579</t>
  </si>
  <si>
    <t>34603308809</t>
  </si>
  <si>
    <t>suellen barbosa de jesus telis</t>
  </si>
  <si>
    <t>0654814900</t>
  </si>
  <si>
    <t>33196794814</t>
  </si>
  <si>
    <t xml:space="preserve">gabriela aparecida paulino </t>
  </si>
  <si>
    <t>487875977</t>
  </si>
  <si>
    <t>44396469802</t>
  </si>
  <si>
    <t xml:space="preserve">5 / 9 /  / </t>
  </si>
  <si>
    <t>carlos dos santos gomes</t>
  </si>
  <si>
    <t>183994723</t>
  </si>
  <si>
    <t>06297906807</t>
  </si>
  <si>
    <t xml:space="preserve">27 / 31 /  / </t>
  </si>
  <si>
    <t xml:space="preserve">aryadne mayra de lima gomes </t>
  </si>
  <si>
    <t>595073190</t>
  </si>
  <si>
    <t>56188166870</t>
  </si>
  <si>
    <t>casa 26</t>
  </si>
  <si>
    <t xml:space="preserve">24 / 28 /  / </t>
  </si>
  <si>
    <t xml:space="preserve">Esmeralda Reis de Oliveira </t>
  </si>
  <si>
    <t>184009960</t>
  </si>
  <si>
    <t>07225971759</t>
  </si>
  <si>
    <t>Antonio bertino da silva</t>
  </si>
  <si>
    <t>245729793</t>
  </si>
  <si>
    <t>74635646491</t>
  </si>
  <si>
    <t>CAMINHO SÃO MANOEL BECO43</t>
  </si>
  <si>
    <t xml:space="preserve">7 / 6 /  / </t>
  </si>
  <si>
    <t xml:space="preserve">wesley Lourenço da silva santos </t>
  </si>
  <si>
    <t>498907922</t>
  </si>
  <si>
    <t>43039115824</t>
  </si>
  <si>
    <t xml:space="preserve">8 / 7 /  / </t>
  </si>
  <si>
    <t xml:space="preserve">marcia maria do nascimento </t>
  </si>
  <si>
    <t>622240018</t>
  </si>
  <si>
    <t>09135784440</t>
  </si>
  <si>
    <t>marlene pires de souza</t>
  </si>
  <si>
    <t>09466563807</t>
  </si>
  <si>
    <t>MARIA JOSE DA SILVA</t>
  </si>
  <si>
    <t>5067400729</t>
  </si>
  <si>
    <t>02654983412</t>
  </si>
  <si>
    <t>Érica Gonçalves da silva</t>
  </si>
  <si>
    <t>257008275</t>
  </si>
  <si>
    <t>30752997873</t>
  </si>
  <si>
    <t>cicciolina ingryd de lima Oliveira souza</t>
  </si>
  <si>
    <t>486431204</t>
  </si>
  <si>
    <t>35424733832</t>
  </si>
  <si>
    <t>13 / 13 A / 15</t>
  </si>
  <si>
    <t xml:space="preserve">maria valida cruz de araujo  </t>
  </si>
  <si>
    <t>32454375464</t>
  </si>
  <si>
    <t>CAMINHO SÃO MANOEL BECO49</t>
  </si>
  <si>
    <t xml:space="preserve">11 / 15 /  / </t>
  </si>
  <si>
    <t xml:space="preserve">Josenilda de lima </t>
  </si>
  <si>
    <t>431602578</t>
  </si>
  <si>
    <t>31482103877</t>
  </si>
  <si>
    <t>Givaldo Luiz Dos Santos</t>
  </si>
  <si>
    <t>298156751</t>
  </si>
  <si>
    <t>25161153857</t>
  </si>
  <si>
    <t>100 / 100 F / 102</t>
  </si>
  <si>
    <t>MARIA APARECIDA DE JESUS</t>
  </si>
  <si>
    <t>356788656</t>
  </si>
  <si>
    <t>29822812876</t>
  </si>
  <si>
    <t xml:space="preserve">4A / SN /  / </t>
  </si>
  <si>
    <t xml:space="preserve">MARIA APARECIDA DE SOUZA FERREIRA </t>
  </si>
  <si>
    <t>341523227</t>
  </si>
  <si>
    <t>30090984803</t>
  </si>
  <si>
    <t>4 / 6 A  / 8</t>
  </si>
  <si>
    <t>RAFAELA REGINA DE ASSIS</t>
  </si>
  <si>
    <t>413094133</t>
  </si>
  <si>
    <t>32014846871</t>
  </si>
  <si>
    <t>LUIZ ANTONIO AKKARI</t>
  </si>
  <si>
    <t>125582481</t>
  </si>
  <si>
    <t>07897428885</t>
  </si>
  <si>
    <t>fundos</t>
  </si>
  <si>
    <t>12 / 14 FUNDOS / 16</t>
  </si>
  <si>
    <t>Ana Lucia Vieira Almeida</t>
  </si>
  <si>
    <t>229177141</t>
  </si>
  <si>
    <t>13379099805</t>
  </si>
  <si>
    <t>13 C 1 / 13 / 13 C 2</t>
  </si>
  <si>
    <t>Matheus Kelvin vieira do nascimento</t>
  </si>
  <si>
    <t>583857425</t>
  </si>
  <si>
    <t>48129376806</t>
  </si>
  <si>
    <t>1A  / 1 B /  1C</t>
  </si>
  <si>
    <t>SANDRA SANTOS DA CRUZ</t>
  </si>
  <si>
    <t>331709363</t>
  </si>
  <si>
    <t>40063263866</t>
  </si>
  <si>
    <t>24  / 26 / 28</t>
  </si>
  <si>
    <t>SEVERINA RAMOS DA CONCEIÇÃO</t>
  </si>
  <si>
    <t>545067364</t>
  </si>
  <si>
    <t>05820728831</t>
  </si>
  <si>
    <t>Fabiana da hora santana</t>
  </si>
  <si>
    <t>345439971</t>
  </si>
  <si>
    <t>19600227845</t>
  </si>
  <si>
    <t xml:space="preserve">38 / 40 /  / </t>
  </si>
  <si>
    <t>Fernanda aparecida pereira quintino</t>
  </si>
  <si>
    <t>535326713</t>
  </si>
  <si>
    <t>25797788888</t>
  </si>
  <si>
    <t>Eduardo pereira Lima</t>
  </si>
  <si>
    <t>35985320</t>
  </si>
  <si>
    <t>39666614898</t>
  </si>
  <si>
    <t>36 / 38 A / 40</t>
  </si>
  <si>
    <t>ANA GABRIELLY LIMA SANTOS</t>
  </si>
  <si>
    <t>56744014x</t>
  </si>
  <si>
    <t>46478261808</t>
  </si>
  <si>
    <t>Andreza Roberta lins da silva</t>
  </si>
  <si>
    <t>662672100</t>
  </si>
  <si>
    <t>11750789485</t>
  </si>
  <si>
    <t xml:space="preserve">VÍTOR BRAGA DOS SANTOS </t>
  </si>
  <si>
    <t>651696513</t>
  </si>
  <si>
    <t>56987784850</t>
  </si>
  <si>
    <t xml:space="preserve">GENIVALDO JOSÉ DA ROCHA </t>
  </si>
  <si>
    <t>85548157</t>
  </si>
  <si>
    <t>78300037853</t>
  </si>
  <si>
    <t>56</t>
  </si>
  <si>
    <t xml:space="preserve">54 / 58 /  / </t>
  </si>
  <si>
    <t xml:space="preserve">KETHELI ALMEIDA DA SILVA </t>
  </si>
  <si>
    <t>531184018</t>
  </si>
  <si>
    <t>43017378802</t>
  </si>
  <si>
    <t>71</t>
  </si>
  <si>
    <t>A CASA 2</t>
  </si>
  <si>
    <t>71 / 71 A / 71 B</t>
  </si>
  <si>
    <t>MARIA OLIVEIRA ANDRADE</t>
  </si>
  <si>
    <t>189022152</t>
  </si>
  <si>
    <t>08199158824</t>
  </si>
  <si>
    <t>76  / 78 / 80</t>
  </si>
  <si>
    <t>LEANDRO RICARDO DE JESUS DA SILVA</t>
  </si>
  <si>
    <t>41644941</t>
  </si>
  <si>
    <t>33600574817</t>
  </si>
  <si>
    <t>SIVAL PEREIRA DAS CHAGAS</t>
  </si>
  <si>
    <t>28468721</t>
  </si>
  <si>
    <t>17319865807</t>
  </si>
  <si>
    <t>ERIVALDO SOUZA QUINTINO</t>
  </si>
  <si>
    <t>623420909</t>
  </si>
  <si>
    <t>108.453.968-38</t>
  </si>
  <si>
    <t>170</t>
  </si>
  <si>
    <t xml:space="preserve">168 / 172 /  / </t>
  </si>
  <si>
    <t>Fabiano de barros Costa</t>
  </si>
  <si>
    <t>416447775</t>
  </si>
  <si>
    <t>22714796818</t>
  </si>
  <si>
    <t>casa 1</t>
  </si>
  <si>
    <t>98  / 100 / 102</t>
  </si>
  <si>
    <t xml:space="preserve">FABIANO DE BARROS COSTA </t>
  </si>
  <si>
    <t>41644775</t>
  </si>
  <si>
    <t>104</t>
  </si>
  <si>
    <t xml:space="preserve"> /  / </t>
  </si>
  <si>
    <t xml:space="preserve">REBECA DE ANDRADE CONCEIÇÃO </t>
  </si>
  <si>
    <t>25097393</t>
  </si>
  <si>
    <t>06847500581</t>
  </si>
  <si>
    <t xml:space="preserve">83 / 87 /  / </t>
  </si>
  <si>
    <t>CARLA SILVA BARROS XAVIER</t>
  </si>
  <si>
    <t>48743792</t>
  </si>
  <si>
    <t>39283736842</t>
  </si>
  <si>
    <t xml:space="preserve">82 / 86 /  / </t>
  </si>
  <si>
    <t>FRANCISCO PAES DE ARAUJO</t>
  </si>
  <si>
    <t>525849567</t>
  </si>
  <si>
    <t>86463870463</t>
  </si>
  <si>
    <t>91 / 93 / 95</t>
  </si>
  <si>
    <t>JAILSON FERREIRA DE LIMA SILVA</t>
  </si>
  <si>
    <t>43746782x</t>
  </si>
  <si>
    <t>36477993864</t>
  </si>
  <si>
    <t>94</t>
  </si>
  <si>
    <t xml:space="preserve">93 / 97 /  / </t>
  </si>
  <si>
    <t>THAMIRIS BATISTA SILVA DO NASCIMENTO</t>
  </si>
  <si>
    <t>41251090</t>
  </si>
  <si>
    <t>41370601859</t>
  </si>
  <si>
    <t>114</t>
  </si>
  <si>
    <t xml:space="preserve">112 / 116 /  / </t>
  </si>
  <si>
    <t>MARIVANIA PLUCINSKI</t>
  </si>
  <si>
    <t>527091443</t>
  </si>
  <si>
    <t>06683364982</t>
  </si>
  <si>
    <t>80</t>
  </si>
  <si>
    <t xml:space="preserve">78  / 80casa 1 / </t>
  </si>
  <si>
    <t>THAYNA SOARES MIRANDA</t>
  </si>
  <si>
    <t>531202689</t>
  </si>
  <si>
    <t>52682564836</t>
  </si>
  <si>
    <t>89</t>
  </si>
  <si>
    <t xml:space="preserve">89 / 91 /  / </t>
  </si>
  <si>
    <t>TUYANE ALVES OLIVEIRA</t>
  </si>
  <si>
    <t>471821779</t>
  </si>
  <si>
    <t>39683803806</t>
  </si>
  <si>
    <t xml:space="preserve">8d / 92 /  / </t>
  </si>
  <si>
    <t>LUCIANE DA SILVA ANDRADE</t>
  </si>
  <si>
    <t>577117518</t>
  </si>
  <si>
    <t>03593995506</t>
  </si>
  <si>
    <t>103</t>
  </si>
  <si>
    <t xml:space="preserve">101b / 105 /  / </t>
  </si>
  <si>
    <t>MATEUS DA SILVA GONÇALVES</t>
  </si>
  <si>
    <t>587790659</t>
  </si>
  <si>
    <t>24106298813</t>
  </si>
  <si>
    <t xml:space="preserve">128 / 132 /  / </t>
  </si>
  <si>
    <t xml:space="preserve">ADRIANO HENRIQUE ASSIS </t>
  </si>
  <si>
    <t>5908085</t>
  </si>
  <si>
    <t>27875100860</t>
  </si>
  <si>
    <t>120</t>
  </si>
  <si>
    <t xml:space="preserve">121 / 124 /  / </t>
  </si>
  <si>
    <t>LETÍCIA BERNARDES BONDIOLI</t>
  </si>
  <si>
    <t>531038658</t>
  </si>
  <si>
    <t>11510481940</t>
  </si>
  <si>
    <t>126</t>
  </si>
  <si>
    <t xml:space="preserve">126 C1 / 124 / </t>
  </si>
  <si>
    <t>QUITÉRIA MARIA DOS SANTOS RIBEIRO LINS</t>
  </si>
  <si>
    <t>527074408</t>
  </si>
  <si>
    <t>61391271491</t>
  </si>
  <si>
    <t>88</t>
  </si>
  <si>
    <t xml:space="preserve">86  /  88 casa 2 / </t>
  </si>
  <si>
    <t xml:space="preserve">ADEMAR DIAS DOS SANTOS </t>
  </si>
  <si>
    <t>10802685</t>
  </si>
  <si>
    <t>97184497872</t>
  </si>
  <si>
    <t>b</t>
  </si>
  <si>
    <t xml:space="preserve">136138 /  /  / </t>
  </si>
  <si>
    <t>YGOR HENRIQUE DE SOUZA CAROLINO</t>
  </si>
  <si>
    <t>46148979</t>
  </si>
  <si>
    <t>11582615438</t>
  </si>
  <si>
    <t>137</t>
  </si>
  <si>
    <t xml:space="preserve">135 / 139 /  / </t>
  </si>
  <si>
    <t>Ygor Henrique de souza Carolino</t>
  </si>
  <si>
    <t>134</t>
  </si>
  <si>
    <t xml:space="preserve">132 / 136 /  / </t>
  </si>
  <si>
    <t>RENATA SANTOS DE JESUS</t>
  </si>
  <si>
    <t>42138851</t>
  </si>
  <si>
    <t>31812529805</t>
  </si>
  <si>
    <t xml:space="preserve">80 </t>
  </si>
  <si>
    <t xml:space="preserve">80  / 82 F / </t>
  </si>
  <si>
    <t>07506980800</t>
  </si>
  <si>
    <t>68 / 70 / 72</t>
  </si>
  <si>
    <t xml:space="preserve">KATIANE SOARES MOREIRA </t>
  </si>
  <si>
    <t>302673593</t>
  </si>
  <si>
    <t>26296165846</t>
  </si>
  <si>
    <t>CARLA SOARES MOREIRA</t>
  </si>
  <si>
    <t>299486503</t>
  </si>
  <si>
    <t>32311191896</t>
  </si>
  <si>
    <t xml:space="preserve">19 / 21 /  / </t>
  </si>
  <si>
    <t>ABEL DE JESUS GERALDO</t>
  </si>
  <si>
    <t>447781558</t>
  </si>
  <si>
    <t>32341913873</t>
  </si>
  <si>
    <t>15 / 17A / 19</t>
  </si>
  <si>
    <t>MARIA DALVA MARIANO MARTINS</t>
  </si>
  <si>
    <t>265366513</t>
  </si>
  <si>
    <t>64082180753</t>
  </si>
  <si>
    <t xml:space="preserve">14 / 18 /  / </t>
  </si>
  <si>
    <t>GENIVALDO SANTOS</t>
  </si>
  <si>
    <t>27445554</t>
  </si>
  <si>
    <t>19025520839</t>
  </si>
  <si>
    <t>17  / 19 / 21</t>
  </si>
  <si>
    <t xml:space="preserve">EDIVACIR SALES SILVA </t>
  </si>
  <si>
    <t>208197552</t>
  </si>
  <si>
    <t>06993186888</t>
  </si>
  <si>
    <t>26 / 28 / 28 F</t>
  </si>
  <si>
    <t>JOÃO JOSÉ DO NASCIMENTO</t>
  </si>
  <si>
    <t>564059092</t>
  </si>
  <si>
    <t>64017630430</t>
  </si>
  <si>
    <t>ANALICE GONÇALVES DA SILVA</t>
  </si>
  <si>
    <t>39504019</t>
  </si>
  <si>
    <t>91732000425</t>
  </si>
  <si>
    <t xml:space="preserve">45 / 48 /  / </t>
  </si>
  <si>
    <t xml:space="preserve">ANALICE GONÇALVES DA SILVA </t>
  </si>
  <si>
    <t>39504018</t>
  </si>
  <si>
    <t xml:space="preserve">45 / 49 /  / </t>
  </si>
  <si>
    <t>95548157</t>
  </si>
  <si>
    <t>57  / 59 / 61</t>
  </si>
  <si>
    <t xml:space="preserve">ELIANA APARECIDA ROSA </t>
  </si>
  <si>
    <t>234627876</t>
  </si>
  <si>
    <t>12137088851</t>
  </si>
  <si>
    <t>79a  / 79 / / 79b</t>
  </si>
  <si>
    <t xml:space="preserve">JENIFER DE SOUZA OLIVEIRA </t>
  </si>
  <si>
    <t>418250777</t>
  </si>
  <si>
    <t>23758409845</t>
  </si>
  <si>
    <t>76  / 76 A / 78</t>
  </si>
  <si>
    <t>SUYANA CAMILA DE OLIVEIRA GONÇALVES DA SILVA</t>
  </si>
  <si>
    <t>468881736</t>
  </si>
  <si>
    <t>40331456800</t>
  </si>
  <si>
    <t>77  / 78 / 78 A</t>
  </si>
  <si>
    <t xml:space="preserve">JOÃO JOSE DE LIMA </t>
  </si>
  <si>
    <t>385570910</t>
  </si>
  <si>
    <t>40275981487</t>
  </si>
  <si>
    <t>B CASA 1</t>
  </si>
  <si>
    <t xml:space="preserve">82a / 82b /  / </t>
  </si>
  <si>
    <t>Joziane Bezerra da Silva</t>
  </si>
  <si>
    <t>398129216</t>
  </si>
  <si>
    <t>39857829899</t>
  </si>
  <si>
    <t>97</t>
  </si>
  <si>
    <t>95  / 97 / 99</t>
  </si>
  <si>
    <t>JOSÉ RAMIRO DA SILVA JÚNIOR</t>
  </si>
  <si>
    <t>303753924</t>
  </si>
  <si>
    <t>28525158810</t>
  </si>
  <si>
    <t xml:space="preserve">67 / 71 /  / </t>
  </si>
  <si>
    <t>75</t>
  </si>
  <si>
    <t xml:space="preserve">73 / 77 /  / </t>
  </si>
  <si>
    <t>ROSANA DE LIMA JESUS</t>
  </si>
  <si>
    <t>29320255890</t>
  </si>
  <si>
    <t>11  / 13 c1 / 13casa2</t>
  </si>
  <si>
    <t>ROBSON DE JESUS ALVES</t>
  </si>
  <si>
    <t>435575405</t>
  </si>
  <si>
    <t>33707752801</t>
  </si>
  <si>
    <t xml:space="preserve">11  / 13casa 1 / </t>
  </si>
  <si>
    <t>JOSE GUALBERTO NUNES GOMES</t>
  </si>
  <si>
    <t>01753036577</t>
  </si>
  <si>
    <t xml:space="preserve">64 / 68 /  / </t>
  </si>
  <si>
    <t xml:space="preserve">BRUNA DOS SANTOS CORREIA </t>
  </si>
  <si>
    <t>44391877</t>
  </si>
  <si>
    <t>32089005890</t>
  </si>
  <si>
    <t>119</t>
  </si>
  <si>
    <t xml:space="preserve">117 / 121 /  / </t>
  </si>
  <si>
    <t>Bruna dos Santos Correia</t>
  </si>
  <si>
    <t>05238971947</t>
  </si>
  <si>
    <t xml:space="preserve">141 / 145 /  / </t>
  </si>
  <si>
    <t xml:space="preserve">CARLOS EDUARDO SILVA SANTOS </t>
  </si>
  <si>
    <t>36338489830</t>
  </si>
  <si>
    <t xml:space="preserve"> / 126 F / </t>
  </si>
  <si>
    <t xml:space="preserve">ANDERSON PEREIRA DA SILVA </t>
  </si>
  <si>
    <t>350415493</t>
  </si>
  <si>
    <t>29291973823</t>
  </si>
  <si>
    <t xml:space="preserve">37 / 41 /  / </t>
  </si>
  <si>
    <t>LENILDA DO NASCIMENTO INACIO</t>
  </si>
  <si>
    <t>531186672</t>
  </si>
  <si>
    <t>54323290420</t>
  </si>
  <si>
    <t>JOSE VICENTE GOMES</t>
  </si>
  <si>
    <t>509400115</t>
  </si>
  <si>
    <t>25858516807</t>
  </si>
  <si>
    <t>3 / 3 / 4</t>
  </si>
  <si>
    <t>ANIELLY DA CONCEIÇÃO GOMES DE CARMO</t>
  </si>
  <si>
    <t>416445457</t>
  </si>
  <si>
    <t>40442249861</t>
  </si>
  <si>
    <t xml:space="preserve">3a / 4 /  / </t>
  </si>
  <si>
    <t xml:space="preserve">JONAS XAVIER DE SOUZA JÚNIOR </t>
  </si>
  <si>
    <t>42483399860</t>
  </si>
  <si>
    <t xml:space="preserve">0 / 2 /  / </t>
  </si>
  <si>
    <t>MARIA ROSILDA DOS SANTOS</t>
  </si>
  <si>
    <t>209533523</t>
  </si>
  <si>
    <t>13390178813</t>
  </si>
  <si>
    <t xml:space="preserve">24 / 26 /  / </t>
  </si>
  <si>
    <t xml:space="preserve">JOSE ARAUJO DOS SANTOS </t>
  </si>
  <si>
    <t>329966698</t>
  </si>
  <si>
    <t>54608449400</t>
  </si>
  <si>
    <t>BECO9</t>
  </si>
  <si>
    <t xml:space="preserve">- / 4 /  / </t>
  </si>
  <si>
    <t xml:space="preserve">JONANTHA SANTOS SILVA </t>
  </si>
  <si>
    <t>37278015</t>
  </si>
  <si>
    <t>44201227812</t>
  </si>
  <si>
    <t xml:space="preserve">15 / 17 /  / </t>
  </si>
  <si>
    <t xml:space="preserve">JOSEFA AVELINA DE LIMA </t>
  </si>
  <si>
    <t>571785487</t>
  </si>
  <si>
    <t>283.556.728.36</t>
  </si>
  <si>
    <t xml:space="preserve">7 / 11 /  / </t>
  </si>
  <si>
    <t>THATIELY ANTUNES DE QUEIROZ</t>
  </si>
  <si>
    <t>41250695</t>
  </si>
  <si>
    <t>23607759871</t>
  </si>
  <si>
    <t>96</t>
  </si>
  <si>
    <t xml:space="preserve">94 / 98 /  / </t>
  </si>
  <si>
    <t>Fabiano Cesar jorge Guerra</t>
  </si>
  <si>
    <t>16964893857</t>
  </si>
  <si>
    <t xml:space="preserve">02 / 02b /  / </t>
  </si>
  <si>
    <t xml:space="preserve">02a / 03 /  / </t>
  </si>
  <si>
    <t>ANDRÉ FERREIRA DE ALMEIDA GOMES</t>
  </si>
  <si>
    <t>348938895</t>
  </si>
  <si>
    <t>29176887855</t>
  </si>
  <si>
    <t xml:space="preserve">6 / 8 /  / </t>
  </si>
  <si>
    <t xml:space="preserve">JOAQUIM DIAS DE OLIVEIRA </t>
  </si>
  <si>
    <t>50693671</t>
  </si>
  <si>
    <t>38877660406</t>
  </si>
  <si>
    <t>99</t>
  </si>
  <si>
    <t xml:space="preserve">97 / 100 /  / </t>
  </si>
  <si>
    <t>BRUNO DE ALMEIDA SANTOS</t>
  </si>
  <si>
    <t>50171339</t>
  </si>
  <si>
    <t>39020442848</t>
  </si>
  <si>
    <t xml:space="preserve">78 / 82 /  / </t>
  </si>
  <si>
    <t>VAGNER ALMEIDA DE FREITAS</t>
  </si>
  <si>
    <t>43746905</t>
  </si>
  <si>
    <t>31399158880</t>
  </si>
  <si>
    <t xml:space="preserve">08 / 12 /  / </t>
  </si>
  <si>
    <t>CAIO SOARES COSTA OLIVEIRA</t>
  </si>
  <si>
    <t>38433097</t>
  </si>
  <si>
    <t>37925763841</t>
  </si>
  <si>
    <t>112  / 114 / 116</t>
  </si>
  <si>
    <t>CLEITON HENRIQUE DOS SANTOS LOPES</t>
  </si>
  <si>
    <t>650343098</t>
  </si>
  <si>
    <t>70981301410</t>
  </si>
  <si>
    <t>124 / 126 / 128</t>
  </si>
  <si>
    <t>FLAVIO APARECIDO SANTOS DE ALMEIDA</t>
  </si>
  <si>
    <t>478274610</t>
  </si>
  <si>
    <t>37926167851</t>
  </si>
  <si>
    <t xml:space="preserve">03 / 04 /  / </t>
  </si>
  <si>
    <t>HERMES CONSTANTINO DE ALMEIDA</t>
  </si>
  <si>
    <t>177526944</t>
  </si>
  <si>
    <t>01818424835</t>
  </si>
  <si>
    <t xml:space="preserve">1 / 5 /  / </t>
  </si>
  <si>
    <t>NATHÁLIA FERREIRA FELIX</t>
  </si>
  <si>
    <t>424037774</t>
  </si>
  <si>
    <t>44646292882</t>
  </si>
  <si>
    <t xml:space="preserve">2 / 6 /  / </t>
  </si>
  <si>
    <t>ALEX DA SILVA ESTEVAO</t>
  </si>
  <si>
    <t>44663962</t>
  </si>
  <si>
    <t>23053728842</t>
  </si>
  <si>
    <t xml:space="preserve">3 / 7 /  / </t>
  </si>
  <si>
    <t xml:space="preserve">GUILHERME DA SILVA ESTEVAO </t>
  </si>
  <si>
    <t>46744106</t>
  </si>
  <si>
    <t>37361674828</t>
  </si>
  <si>
    <t>109</t>
  </si>
  <si>
    <t>107 / 109 / 111</t>
  </si>
  <si>
    <t>ANDREZZA ALISSON ARAUJO FERNANDES</t>
  </si>
  <si>
    <t>421391613</t>
  </si>
  <si>
    <t>41689426861</t>
  </si>
  <si>
    <t xml:space="preserve">4 / 8 /  / </t>
  </si>
  <si>
    <t xml:space="preserve">JÚLIO CÉSAR JAIME DA SILVA </t>
  </si>
  <si>
    <t xml:space="preserve">7 / 0 /  / </t>
  </si>
  <si>
    <t xml:space="preserve">JOSENILDO SEVERINO DA SILVA </t>
  </si>
  <si>
    <t>357333731</t>
  </si>
  <si>
    <t>27881238844</t>
  </si>
  <si>
    <t xml:space="preserve">1 / 3 /  / </t>
  </si>
  <si>
    <t xml:space="preserve">Isadora Pinho Pereira </t>
  </si>
  <si>
    <t>Maria Aparecida dos Santos</t>
  </si>
  <si>
    <t>55087513X</t>
  </si>
  <si>
    <t>72105437591</t>
  </si>
  <si>
    <t xml:space="preserve">Angela Féa Alves de Oliveira </t>
  </si>
  <si>
    <t>165909304</t>
  </si>
  <si>
    <t>05238884818</t>
  </si>
  <si>
    <t>Sabrina juliana dos Santos morais</t>
  </si>
  <si>
    <t>44842471X</t>
  </si>
  <si>
    <t>39283693850</t>
  </si>
  <si>
    <t>00 / 1 / 3</t>
  </si>
  <si>
    <t>Ana Caroline Bezerra Soares Lima</t>
  </si>
  <si>
    <t>483106893</t>
  </si>
  <si>
    <t>40252955803</t>
  </si>
  <si>
    <t xml:space="preserve">Francisco das Chagas Xavier de Lima </t>
  </si>
  <si>
    <t>266352236</t>
  </si>
  <si>
    <t>73896748491</t>
  </si>
  <si>
    <t>Jose Arivaldo dos Santos</t>
  </si>
  <si>
    <t>5674800252</t>
  </si>
  <si>
    <t>55603315100</t>
  </si>
  <si>
    <t>Ederson de Andrade Pereira</t>
  </si>
  <si>
    <t>44308374</t>
  </si>
  <si>
    <t>29105724805</t>
  </si>
  <si>
    <t>Leonardo Veccho Alves</t>
  </si>
  <si>
    <t>586311695</t>
  </si>
  <si>
    <t>48383190883</t>
  </si>
  <si>
    <t>CASA 5</t>
  </si>
  <si>
    <t>Maria da Penha de souza</t>
  </si>
  <si>
    <t>99946014</t>
  </si>
  <si>
    <t>25201607802</t>
  </si>
  <si>
    <t xml:space="preserve">36 </t>
  </si>
  <si>
    <t>Marcelo vecchio Alves</t>
  </si>
  <si>
    <t>242066823</t>
  </si>
  <si>
    <t>09793635860</t>
  </si>
  <si>
    <t>Gustavo Oliveira toledo</t>
  </si>
  <si>
    <t>565698230</t>
  </si>
  <si>
    <t>45702936892</t>
  </si>
  <si>
    <t>445963141</t>
  </si>
  <si>
    <t>333.410.458-30</t>
  </si>
  <si>
    <t>Ana Paula gomes da silva</t>
  </si>
  <si>
    <t>685020216</t>
  </si>
  <si>
    <t>26577589836</t>
  </si>
  <si>
    <t>Edno Alceno Alves</t>
  </si>
  <si>
    <t>201299033</t>
  </si>
  <si>
    <t>09450490805</t>
  </si>
  <si>
    <t>Françuilame Nunes veloso</t>
  </si>
  <si>
    <t>45973960</t>
  </si>
  <si>
    <t>38836775829</t>
  </si>
  <si>
    <t>Jessica Hellen jesus dos santos</t>
  </si>
  <si>
    <t>400368535</t>
  </si>
  <si>
    <t>41118319826</t>
  </si>
  <si>
    <t xml:space="preserve">Jose dos Santos </t>
  </si>
  <si>
    <t>568670644</t>
  </si>
  <si>
    <t>67945341420</t>
  </si>
  <si>
    <t>Edilson da Silva</t>
  </si>
  <si>
    <t>32915076</t>
  </si>
  <si>
    <t>80384200478</t>
  </si>
  <si>
    <t>04 / 02 / 06</t>
  </si>
  <si>
    <t>Jussara da Conceição santos</t>
  </si>
  <si>
    <t>376163409</t>
  </si>
  <si>
    <t>31595968857</t>
  </si>
  <si>
    <t>06 / 08 A / 10</t>
  </si>
  <si>
    <t>Silvio Gonçalves neto</t>
  </si>
  <si>
    <t>28447112</t>
  </si>
  <si>
    <t>26754322888</t>
  </si>
  <si>
    <t>11 / 13 A / 15</t>
  </si>
  <si>
    <t xml:space="preserve">Edimilson Barbosa de Oliveira </t>
  </si>
  <si>
    <t>1574088279</t>
  </si>
  <si>
    <t>37766295415</t>
  </si>
  <si>
    <t>01 / 03 A / 05</t>
  </si>
  <si>
    <t xml:space="preserve">Genilza Tenório </t>
  </si>
  <si>
    <t>355768537</t>
  </si>
  <si>
    <t>21851772812</t>
  </si>
  <si>
    <t>21 / 23 A / 25</t>
  </si>
  <si>
    <t>Maria do Carmo Santos</t>
  </si>
  <si>
    <t>298647345</t>
  </si>
  <si>
    <t>26757737515</t>
  </si>
  <si>
    <t>Victor Estevão Dos Anjos</t>
  </si>
  <si>
    <t>6015598411</t>
  </si>
  <si>
    <t>54870652846</t>
  </si>
  <si>
    <t xml:space="preserve">Jessica da Silva de Oliveira </t>
  </si>
  <si>
    <t>47.831734-7</t>
  </si>
  <si>
    <t>23327460809</t>
  </si>
  <si>
    <t xml:space="preserve"> 02 / 02 B / 04</t>
  </si>
  <si>
    <t>Edna Aurea da Silva Serafim</t>
  </si>
  <si>
    <t>522003163</t>
  </si>
  <si>
    <t>58216367791</t>
  </si>
  <si>
    <t xml:space="preserve">A </t>
  </si>
  <si>
    <t>02 / 02 A / 04</t>
  </si>
  <si>
    <t>Gilvanete de Oliveira Anchiêta Santana</t>
  </si>
  <si>
    <t>13388301820</t>
  </si>
  <si>
    <t xml:space="preserve"> /  /  / </t>
  </si>
  <si>
    <t xml:space="preserve">Darlene dos  Santos Gonçalves </t>
  </si>
  <si>
    <t>440317204</t>
  </si>
  <si>
    <t>37636890879</t>
  </si>
  <si>
    <t>51</t>
  </si>
  <si>
    <t>49 / 51 / 53</t>
  </si>
  <si>
    <t xml:space="preserve">Adriana Oliveira Alves de Santana </t>
  </si>
  <si>
    <t>40197880-1</t>
  </si>
  <si>
    <t>32913489826</t>
  </si>
  <si>
    <t>KATIA GONÇALVES DIAS</t>
  </si>
  <si>
    <t>326757892</t>
  </si>
  <si>
    <t>27845925888</t>
  </si>
  <si>
    <t>AUDENIR PEREIRA DA SILVA MARTINS</t>
  </si>
  <si>
    <t>422373448</t>
  </si>
  <si>
    <t>30900299878</t>
  </si>
  <si>
    <t>CAMINHO SÃO MANOEL BECO 10 E</t>
  </si>
  <si>
    <t xml:space="preserve">MARIA JOSÉ DE MORAIS </t>
  </si>
  <si>
    <t>23216 720 5</t>
  </si>
  <si>
    <t>19610610404</t>
  </si>
  <si>
    <t xml:space="preserve">Andreia luiza de Oliveira </t>
  </si>
  <si>
    <t>36057886x</t>
  </si>
  <si>
    <t>21679513885</t>
  </si>
  <si>
    <t>João Alberto Dantas</t>
  </si>
  <si>
    <t>37116316x</t>
  </si>
  <si>
    <t>95075410553</t>
  </si>
  <si>
    <t xml:space="preserve">Ricardo Ribeiro Borges </t>
  </si>
  <si>
    <t>435508015</t>
  </si>
  <si>
    <t>41399448847</t>
  </si>
  <si>
    <t xml:space="preserve">Salatiel Dantas Lima </t>
  </si>
  <si>
    <t>402373534</t>
  </si>
  <si>
    <t>37759028431</t>
  </si>
  <si>
    <t>Gilmara Barbosa do Vale</t>
  </si>
  <si>
    <t>255145676</t>
  </si>
  <si>
    <t>26886709801</t>
  </si>
  <si>
    <t>54 / 56 / 58</t>
  </si>
  <si>
    <t>Tatiane Anchieta Ribeiro da silva</t>
  </si>
  <si>
    <t>48925245x</t>
  </si>
  <si>
    <t>41325831808</t>
  </si>
  <si>
    <t>Tamyres Cordeiro dos Santos</t>
  </si>
  <si>
    <t>485551056</t>
  </si>
  <si>
    <t>41403834881</t>
  </si>
  <si>
    <t>Maria José sotero</t>
  </si>
  <si>
    <t>62657771572</t>
  </si>
  <si>
    <t xml:space="preserve">Jakeline Pinheiro de Oliveira </t>
  </si>
  <si>
    <t>537717225</t>
  </si>
  <si>
    <t>04569888407</t>
  </si>
  <si>
    <t>77</t>
  </si>
  <si>
    <t>75 / 77 / 79</t>
  </si>
  <si>
    <t>Ana Cláudia Batista do Nascimento</t>
  </si>
  <si>
    <t>6989 3238-9</t>
  </si>
  <si>
    <t>6025 77 924 49</t>
  </si>
  <si>
    <t>CAMINHO SÃO MANOEL BECO36</t>
  </si>
  <si>
    <t xml:space="preserve">6 / 10 /  / </t>
  </si>
  <si>
    <t>Andrini Pereira da silva</t>
  </si>
  <si>
    <t>398981267</t>
  </si>
  <si>
    <t>48822171802</t>
  </si>
  <si>
    <t>Edílson da Silva</t>
  </si>
  <si>
    <t>casa 03</t>
  </si>
  <si>
    <t xml:space="preserve">Beatriz dos Santos </t>
  </si>
  <si>
    <t>373047198</t>
  </si>
  <si>
    <t>25647036821</t>
  </si>
  <si>
    <t xml:space="preserve">Roque Guimarães Sousa </t>
  </si>
  <si>
    <t>486490683</t>
  </si>
  <si>
    <t>36111232851</t>
  </si>
  <si>
    <t>07 / 07 A / 09</t>
  </si>
  <si>
    <t>Luis Alberto do Nascimento</t>
  </si>
  <si>
    <t>65663617</t>
  </si>
  <si>
    <t>01041976500</t>
  </si>
  <si>
    <t>125</t>
  </si>
  <si>
    <t>123 / 125 / 127</t>
  </si>
  <si>
    <t>Erick da Silva Aquino</t>
  </si>
  <si>
    <t>405693990</t>
  </si>
  <si>
    <t>33638137830</t>
  </si>
  <si>
    <t>127</t>
  </si>
  <si>
    <t>125 / 127 / 129</t>
  </si>
  <si>
    <t xml:space="preserve">Dinelia Soares Leandro </t>
  </si>
  <si>
    <t>295303955</t>
  </si>
  <si>
    <t>33716473820</t>
  </si>
  <si>
    <t>Márcia Rosa de Araújo</t>
  </si>
  <si>
    <t>173528727</t>
  </si>
  <si>
    <t>14759766820</t>
  </si>
  <si>
    <t>168</t>
  </si>
  <si>
    <t>166 / 168 / 170</t>
  </si>
  <si>
    <t>Renato Genequine Santos Souza</t>
  </si>
  <si>
    <t>691042810</t>
  </si>
  <si>
    <t>09195756507</t>
  </si>
  <si>
    <t>166</t>
  </si>
  <si>
    <t>164 / 166 / 168</t>
  </si>
  <si>
    <t>Ademilson Pereira da Silva</t>
  </si>
  <si>
    <t>Manoel Apolinário da Silva</t>
  </si>
  <si>
    <t>501046549</t>
  </si>
  <si>
    <t>95727868491</t>
  </si>
  <si>
    <t>112 / 114 / 116</t>
  </si>
  <si>
    <t>Manoel Apolinário da silva</t>
  </si>
  <si>
    <t>CLEYTON CRISTIANO CUSTODIO DE ALMEIDA</t>
  </si>
  <si>
    <t>586091841</t>
  </si>
  <si>
    <t>01791269893</t>
  </si>
  <si>
    <t>JOSE PAULO BERNARDO</t>
  </si>
  <si>
    <t>212488429</t>
  </si>
  <si>
    <t>13362871879</t>
  </si>
  <si>
    <t>Marilene correia de melo</t>
  </si>
  <si>
    <t>27843373X</t>
  </si>
  <si>
    <t>87949734420</t>
  </si>
  <si>
    <t>LUCIMEIRE DA SILVA</t>
  </si>
  <si>
    <t>365500641</t>
  </si>
  <si>
    <t>32260219880</t>
  </si>
  <si>
    <t>Rosimeire da cruz silva</t>
  </si>
  <si>
    <t>341541357</t>
  </si>
  <si>
    <t>24811358813</t>
  </si>
  <si>
    <t>Luciano Cruz Silva</t>
  </si>
  <si>
    <t>447773124</t>
  </si>
  <si>
    <t>37589959812</t>
  </si>
  <si>
    <t>Alexsandra torres fontes</t>
  </si>
  <si>
    <t>52200951</t>
  </si>
  <si>
    <t>44070323830</t>
  </si>
  <si>
    <t>05 / 07 A / 09</t>
  </si>
  <si>
    <t>Erick Silva Braz</t>
  </si>
  <si>
    <t>403943590</t>
  </si>
  <si>
    <t>42707256803</t>
  </si>
  <si>
    <t>07 / 08 / 09</t>
  </si>
  <si>
    <t>Manoel José guerra</t>
  </si>
  <si>
    <t>204594777</t>
  </si>
  <si>
    <t>10093242840</t>
  </si>
  <si>
    <t>Tatiana de Souza Borges</t>
  </si>
  <si>
    <t>435510563</t>
  </si>
  <si>
    <t>227467038/23</t>
  </si>
  <si>
    <t>Wagner de Souza Borges</t>
  </si>
  <si>
    <t>435412899</t>
  </si>
  <si>
    <t>231518888/10</t>
  </si>
  <si>
    <t>karina Souza</t>
  </si>
  <si>
    <t>449358896</t>
  </si>
  <si>
    <t>39397664883</t>
  </si>
  <si>
    <t xml:space="preserve">carlos eduardo veiga Rodrigues </t>
  </si>
  <si>
    <t>334940825</t>
  </si>
  <si>
    <t>22218324857</t>
  </si>
  <si>
    <t>09 / 10 / 11</t>
  </si>
  <si>
    <t>carlos Eduardo veiga rodrigues</t>
  </si>
  <si>
    <t>Daniel Junior Gonçalves Dias Duarte</t>
  </si>
  <si>
    <t>6229371904</t>
  </si>
  <si>
    <t>52840800845</t>
  </si>
  <si>
    <t>03 / 04 / 05</t>
  </si>
  <si>
    <t>Wilson Luiz de Oliveira</t>
  </si>
  <si>
    <t>14123006</t>
  </si>
  <si>
    <t>03234945870</t>
  </si>
  <si>
    <t>60 / 62 / 64</t>
  </si>
  <si>
    <t xml:space="preserve">lucivania de jesus Costa </t>
  </si>
  <si>
    <t>3.0769078</t>
  </si>
  <si>
    <t>00524132500</t>
  </si>
  <si>
    <t>JOSIAS PEDROSO DE ALMEIDA OLIVEIRA</t>
  </si>
  <si>
    <t>35961728889</t>
  </si>
  <si>
    <t>13991709537</t>
  </si>
  <si>
    <t>Ezequiel Elias da Silva</t>
  </si>
  <si>
    <t>24402828x</t>
  </si>
  <si>
    <t>22285825811</t>
  </si>
  <si>
    <t>Maria de Lourdes Moraes de Souza</t>
  </si>
  <si>
    <t>370660985</t>
  </si>
  <si>
    <t>51584310430</t>
  </si>
  <si>
    <t xml:space="preserve">Joaquim de Azevedo Nunes </t>
  </si>
  <si>
    <t>547402041</t>
  </si>
  <si>
    <t>05130916530</t>
  </si>
  <si>
    <t xml:space="preserve">Tatiane Veiga </t>
  </si>
  <si>
    <t>449178110</t>
  </si>
  <si>
    <t>41223297870</t>
  </si>
  <si>
    <t>Jenifer Victoria Antonio dos Santos Antunes</t>
  </si>
  <si>
    <t>65030407X</t>
  </si>
  <si>
    <t>55768614850</t>
  </si>
  <si>
    <t>camila oliveira  de lima</t>
  </si>
  <si>
    <t>489327758</t>
  </si>
  <si>
    <t>37726321814</t>
  </si>
  <si>
    <t>vera lucia de melo bernardes</t>
  </si>
  <si>
    <t>199547280</t>
  </si>
  <si>
    <t xml:space="preserve">cauã wildson bento oliveira </t>
  </si>
  <si>
    <t>664776449</t>
  </si>
  <si>
    <t>55149406830</t>
  </si>
  <si>
    <t>maria Aparecida costa arruda</t>
  </si>
  <si>
    <t>177528564</t>
  </si>
  <si>
    <t>00248628860</t>
  </si>
  <si>
    <t xml:space="preserve">anecy de jesus pereira </t>
  </si>
  <si>
    <t>354886174</t>
  </si>
  <si>
    <t>21707016801</t>
  </si>
  <si>
    <t>lucas de Sousa</t>
  </si>
  <si>
    <t>42365315</t>
  </si>
  <si>
    <t>45224733898</t>
  </si>
  <si>
    <t>Joice Evangelista silva</t>
  </si>
  <si>
    <t>467487765</t>
  </si>
  <si>
    <t>40286399806</t>
  </si>
  <si>
    <t>CAMINHO SÃO MANOEL BECO33</t>
  </si>
  <si>
    <t xml:space="preserve">fundos </t>
  </si>
  <si>
    <t xml:space="preserve">Dulceneia dos santos evangelista </t>
  </si>
  <si>
    <t>263639940</t>
  </si>
  <si>
    <t>13384568818</t>
  </si>
  <si>
    <t>Daniela herlane dos santos</t>
  </si>
  <si>
    <t>41313991805</t>
  </si>
  <si>
    <t xml:space="preserve">Josefa Maria dos Santos </t>
  </si>
  <si>
    <t>199006714</t>
  </si>
  <si>
    <t>09804727846</t>
  </si>
  <si>
    <t xml:space="preserve">jose Carlos Roberto dos Santos </t>
  </si>
  <si>
    <t>374001297</t>
  </si>
  <si>
    <t>48087467515</t>
  </si>
  <si>
    <t xml:space="preserve">Ademir jose do nascimento </t>
  </si>
  <si>
    <t>455685423</t>
  </si>
  <si>
    <t>25605612808</t>
  </si>
  <si>
    <t>73 / 75 / 77</t>
  </si>
  <si>
    <t>Josélia maria da Conceição melo</t>
  </si>
  <si>
    <t>60372937</t>
  </si>
  <si>
    <t>09024116406</t>
  </si>
  <si>
    <t>FAKE</t>
  </si>
  <si>
    <t xml:space="preserve">- / 3 /  / </t>
  </si>
  <si>
    <t xml:space="preserve">Jose Augusto dos Santos </t>
  </si>
  <si>
    <t>18937181</t>
  </si>
  <si>
    <t>08376998862</t>
  </si>
  <si>
    <t xml:space="preserve">Tainara dos santos </t>
  </si>
  <si>
    <t>458514548</t>
  </si>
  <si>
    <t>39132228805</t>
  </si>
  <si>
    <t>Adrielle Cavalcanti Gomes Viana</t>
  </si>
  <si>
    <t>07561215401</t>
  </si>
  <si>
    <t>101 / 103 / 105</t>
  </si>
  <si>
    <t>Amanda Galvão de jesus</t>
  </si>
  <si>
    <t>40269229</t>
  </si>
  <si>
    <t>37776127825</t>
  </si>
  <si>
    <t>Regina Batista da silva</t>
  </si>
  <si>
    <t>443079456</t>
  </si>
  <si>
    <t>36312253856</t>
  </si>
  <si>
    <t xml:space="preserve">neidivan ferreira dos santos nascimento </t>
  </si>
  <si>
    <t>360579395</t>
  </si>
  <si>
    <t>01019240547</t>
  </si>
  <si>
    <t xml:space="preserve">Rodrigues Ferreira dos Santos </t>
  </si>
  <si>
    <t>56340188</t>
  </si>
  <si>
    <t>06381292571</t>
  </si>
  <si>
    <t xml:space="preserve">Dijaime vieira dos santos </t>
  </si>
  <si>
    <t>579382515</t>
  </si>
  <si>
    <t>45007420506</t>
  </si>
  <si>
    <t>121</t>
  </si>
  <si>
    <t>119 / 121 / 123</t>
  </si>
  <si>
    <t xml:space="preserve">Dijaime vieira dos Santos </t>
  </si>
  <si>
    <t>PALAFITAS***</t>
  </si>
  <si>
    <t xml:space="preserve">13 / 17 /  / </t>
  </si>
  <si>
    <t xml:space="preserve">Jefferson fontes da Conceição </t>
  </si>
  <si>
    <t>43885751</t>
  </si>
  <si>
    <t>36140130816</t>
  </si>
  <si>
    <t xml:space="preserve">Tatiane Alves dos Santos </t>
  </si>
  <si>
    <t>31052714811</t>
  </si>
  <si>
    <t xml:space="preserve">10 / 14 /  / </t>
  </si>
  <si>
    <t xml:space="preserve">Patricia carlos Santana </t>
  </si>
  <si>
    <t>44148947</t>
  </si>
  <si>
    <t>29879374827</t>
  </si>
  <si>
    <t>PALAFITAS*</t>
  </si>
  <si>
    <t xml:space="preserve">Wellington Almeida de Freitas </t>
  </si>
  <si>
    <t>437469384</t>
  </si>
  <si>
    <t>30937341851</t>
  </si>
  <si>
    <t xml:space="preserve">17 / 21 /  / </t>
  </si>
  <si>
    <t>Léia dos Santos Moura da Cruz</t>
  </si>
  <si>
    <t>643997337</t>
  </si>
  <si>
    <t>07370116450</t>
  </si>
  <si>
    <t>Lucas Gomes</t>
  </si>
  <si>
    <t>485333387</t>
  </si>
  <si>
    <t>40572654812</t>
  </si>
  <si>
    <t xml:space="preserve">Kaique kauan de oliveira Santos </t>
  </si>
  <si>
    <t>599001641</t>
  </si>
  <si>
    <t>50429246803</t>
  </si>
  <si>
    <t>Neide de oliveira passos</t>
  </si>
  <si>
    <t>17512095X</t>
  </si>
  <si>
    <t>10834406837</t>
  </si>
  <si>
    <t>00 / 01 B / 02</t>
  </si>
  <si>
    <t>Chimene Andrade Pereira</t>
  </si>
  <si>
    <t>446640074</t>
  </si>
  <si>
    <t>361903528/80</t>
  </si>
  <si>
    <t>Silvio Franklin dias</t>
  </si>
  <si>
    <t>343503232</t>
  </si>
  <si>
    <t>28549092835</t>
  </si>
  <si>
    <t>154</t>
  </si>
  <si>
    <t>152 / 154 / 156</t>
  </si>
  <si>
    <t>SERGIO DA SILVA MATOS JUNIOR</t>
  </si>
  <si>
    <t>48548201</t>
  </si>
  <si>
    <t>32909858812</t>
  </si>
  <si>
    <t>4548201</t>
  </si>
  <si>
    <t>08 / 10 A / 12</t>
  </si>
  <si>
    <t xml:space="preserve">Elizângela jesus santos </t>
  </si>
  <si>
    <t>366151460</t>
  </si>
  <si>
    <t>33846932809</t>
  </si>
  <si>
    <t xml:space="preserve">Enilson batista dos santos </t>
  </si>
  <si>
    <t>217837001</t>
  </si>
  <si>
    <t>04049665867</t>
  </si>
  <si>
    <t>Matheus de souza</t>
  </si>
  <si>
    <t>44841835</t>
  </si>
  <si>
    <t>35592807880</t>
  </si>
  <si>
    <t>Jonh Lenon Ferreira da Silva</t>
  </si>
  <si>
    <t>55775264</t>
  </si>
  <si>
    <t>09074907431</t>
  </si>
  <si>
    <t>29 / 30 / 31</t>
  </si>
  <si>
    <t xml:space="preserve">Edson silva santos </t>
  </si>
  <si>
    <t>90453352553</t>
  </si>
  <si>
    <t>Jeoval Maia Da Silva</t>
  </si>
  <si>
    <t>10612629520</t>
  </si>
  <si>
    <t>0342330241</t>
  </si>
  <si>
    <t xml:space="preserve">Reny angelica santos dos anjos </t>
  </si>
  <si>
    <t>456388643</t>
  </si>
  <si>
    <t>39059899806</t>
  </si>
  <si>
    <t>81</t>
  </si>
  <si>
    <t>79 / 81 / 83</t>
  </si>
  <si>
    <t>Selma vieira da silva</t>
  </si>
  <si>
    <t>236695125</t>
  </si>
  <si>
    <t>26734660885</t>
  </si>
  <si>
    <t xml:space="preserve">Amauri Pereira do Nascimento </t>
  </si>
  <si>
    <t>18860752</t>
  </si>
  <si>
    <t>39347699500</t>
  </si>
  <si>
    <t>03 / 03 A / 04</t>
  </si>
  <si>
    <t xml:space="preserve">Amauri pereira dos nascimento </t>
  </si>
  <si>
    <t xml:space="preserve">Simone Nascimento dos Santos </t>
  </si>
  <si>
    <t>55818815-1</t>
  </si>
  <si>
    <t>02966481595</t>
  </si>
  <si>
    <t xml:space="preserve">Leonardo Antônio Moraes Vasconcelos Ferraz </t>
  </si>
  <si>
    <t>40627625878</t>
  </si>
  <si>
    <t xml:space="preserve"> 25 / 27 / 29</t>
  </si>
  <si>
    <t xml:space="preserve">Rian Eduardo da Silva </t>
  </si>
  <si>
    <t>580483897</t>
  </si>
  <si>
    <t>48051452852</t>
  </si>
  <si>
    <t xml:space="preserve">José Welliton da Silva </t>
  </si>
  <si>
    <t>32997001X</t>
  </si>
  <si>
    <t>46928936487</t>
  </si>
  <si>
    <t>casa 01</t>
  </si>
  <si>
    <t xml:space="preserve">Emerson Lourenço </t>
  </si>
  <si>
    <t>415695430</t>
  </si>
  <si>
    <t>22779943831</t>
  </si>
  <si>
    <t xml:space="preserve">Vinícius da Silva Cruz </t>
  </si>
  <si>
    <t>58496917X</t>
  </si>
  <si>
    <t>53548448860</t>
  </si>
  <si>
    <t>2 / 2 A / 2B</t>
  </si>
  <si>
    <t xml:space="preserve">Luiz Mario Souza Bispo </t>
  </si>
  <si>
    <t>323472692</t>
  </si>
  <si>
    <t>26514037844</t>
  </si>
  <si>
    <t>SONIA BRAZÃO CABOZ DO AMARAL</t>
  </si>
  <si>
    <t>28446790</t>
  </si>
  <si>
    <t>22450743863</t>
  </si>
  <si>
    <t xml:space="preserve">Damião dos Santos </t>
  </si>
  <si>
    <t>363497584</t>
  </si>
  <si>
    <t>80289860482</t>
  </si>
  <si>
    <t xml:space="preserve">Edina Maria Ramiro da Silva Santos </t>
  </si>
  <si>
    <t>285352325</t>
  </si>
  <si>
    <t>25559829811</t>
  </si>
  <si>
    <t xml:space="preserve"> 21 / 23 / 25</t>
  </si>
  <si>
    <t xml:space="preserve">Kelwin Barbosa Ferraz dos Santos </t>
  </si>
  <si>
    <t>427563896</t>
  </si>
  <si>
    <t>46824718807</t>
  </si>
  <si>
    <t xml:space="preserve">Lucimara Gonçalves cruz </t>
  </si>
  <si>
    <t>335755252</t>
  </si>
  <si>
    <t>33708621824</t>
  </si>
  <si>
    <t xml:space="preserve">Renan Oliveira da Silva </t>
  </si>
  <si>
    <t>559687670</t>
  </si>
  <si>
    <t>58283651854</t>
  </si>
  <si>
    <t xml:space="preserve">Elinaldo José de Oliveira </t>
  </si>
  <si>
    <t>52709092</t>
  </si>
  <si>
    <t>96587342515</t>
  </si>
  <si>
    <t xml:space="preserve">Marcelo Vecchio Alves </t>
  </si>
  <si>
    <t>34 / 36 C2 / 36 C3</t>
  </si>
  <si>
    <t>MARIANE MORATO PACINI ALVES</t>
  </si>
  <si>
    <t>586311348</t>
  </si>
  <si>
    <t>48383231822</t>
  </si>
  <si>
    <t>41 CASA 1 / 41 CASA 2 / 43</t>
  </si>
  <si>
    <t>36 CASA 3 / 36 CASA 4 / 38</t>
  </si>
  <si>
    <t>36 CASA 2 / 36 CASA 3 / 36 CASA 4</t>
  </si>
  <si>
    <t xml:space="preserve">Débora Elisabete Ramos da Silva </t>
  </si>
  <si>
    <t>41686917</t>
  </si>
  <si>
    <t>34774970824</t>
  </si>
  <si>
    <t xml:space="preserve">Marciel Gonçalves Soares </t>
  </si>
  <si>
    <t>680386609</t>
  </si>
  <si>
    <t>07451712494</t>
  </si>
  <si>
    <t xml:space="preserve"> 15 / 16 / 17</t>
  </si>
  <si>
    <t>6803866009</t>
  </si>
  <si>
    <t xml:space="preserve">33 / 35 /  / </t>
  </si>
  <si>
    <t xml:space="preserve">Murilo Souza Castro </t>
  </si>
  <si>
    <t>462712230</t>
  </si>
  <si>
    <t>39601680802</t>
  </si>
  <si>
    <t xml:space="preserve">Francinaldo ferreira de Almeida </t>
  </si>
  <si>
    <t>30727844X</t>
  </si>
  <si>
    <t>25133757859</t>
  </si>
  <si>
    <t xml:space="preserve">Lucrécia Gurgel do Amaral </t>
  </si>
  <si>
    <t>152879158</t>
  </si>
  <si>
    <t>03885452839</t>
  </si>
  <si>
    <t xml:space="preserve">Thiago Almeida de Brito </t>
  </si>
  <si>
    <t>41309523</t>
  </si>
  <si>
    <t>34585908897</t>
  </si>
  <si>
    <t xml:space="preserve">Cristiane dos santos </t>
  </si>
  <si>
    <t>35042150X</t>
  </si>
  <si>
    <t>31811499856</t>
  </si>
  <si>
    <t xml:space="preserve">Jorge Santos Nunes </t>
  </si>
  <si>
    <t>551870369</t>
  </si>
  <si>
    <t>34386742549</t>
  </si>
  <si>
    <t>00 / 2 B / 4</t>
  </si>
  <si>
    <t xml:space="preserve">Wilma Josefa Santos conceição </t>
  </si>
  <si>
    <t>485551639</t>
  </si>
  <si>
    <t>40952209888</t>
  </si>
  <si>
    <t xml:space="preserve">Maria Rosa Santos </t>
  </si>
  <si>
    <t>56157134X</t>
  </si>
  <si>
    <t>61005894515</t>
  </si>
  <si>
    <t>157408279</t>
  </si>
  <si>
    <t>03 / 03 A / 05</t>
  </si>
  <si>
    <t xml:space="preserve">Natascha dos santos paschoal Santana </t>
  </si>
  <si>
    <t>48576376X</t>
  </si>
  <si>
    <t>13214503707</t>
  </si>
  <si>
    <t xml:space="preserve">Maria Santos de Santana </t>
  </si>
  <si>
    <t>246794434</t>
  </si>
  <si>
    <t>19940551894</t>
  </si>
  <si>
    <t>CAMINHO SÃO MANOEL BECO 04 E</t>
  </si>
  <si>
    <t xml:space="preserve">Maria santos de Santana </t>
  </si>
  <si>
    <t xml:space="preserve">Elizângela Rodrigues </t>
  </si>
  <si>
    <t>290535384</t>
  </si>
  <si>
    <t>30848135822</t>
  </si>
  <si>
    <t xml:space="preserve">Márcio brum da Silva </t>
  </si>
  <si>
    <t>307728390</t>
  </si>
  <si>
    <t>75378280753</t>
  </si>
  <si>
    <t xml:space="preserve">Cleudenira pereira dos santos </t>
  </si>
  <si>
    <t>449221714</t>
  </si>
  <si>
    <t>40183178831</t>
  </si>
  <si>
    <t xml:space="preserve">Maria Eunice dos santos Silva </t>
  </si>
  <si>
    <t>631370821</t>
  </si>
  <si>
    <t>93476892468</t>
  </si>
  <si>
    <t>ANA MARIA SANTOS NUNES</t>
  </si>
  <si>
    <t>21935947-7</t>
  </si>
  <si>
    <t>12146645806</t>
  </si>
  <si>
    <t xml:space="preserve">6 / 9 /  / </t>
  </si>
  <si>
    <t>MARILDA BALDIM FURTADO</t>
  </si>
  <si>
    <t>30130157-8</t>
  </si>
  <si>
    <t>476155406/15</t>
  </si>
  <si>
    <t>13  / 15 / 17 A</t>
  </si>
  <si>
    <t xml:space="preserve">VERA LUCIA BARBOSA </t>
  </si>
  <si>
    <t>30590672</t>
  </si>
  <si>
    <t>27937934859</t>
  </si>
  <si>
    <t xml:space="preserve">20 / 24 /  / </t>
  </si>
  <si>
    <t>JOSÉ RAIMUNDO DE FRANÇA</t>
  </si>
  <si>
    <t>53176014-5</t>
  </si>
  <si>
    <t>256.573.668-16</t>
  </si>
  <si>
    <t xml:space="preserve">23 / 27 /  / </t>
  </si>
  <si>
    <t xml:space="preserve">JENIVALDO DE OLIVEIRA SANTOS </t>
  </si>
  <si>
    <t>1289652</t>
  </si>
  <si>
    <t>91180805453</t>
  </si>
  <si>
    <t xml:space="preserve">28 / 32 /  / </t>
  </si>
  <si>
    <t xml:space="preserve">ERICA CRISTINA DOS SANTOS VIEIRA </t>
  </si>
  <si>
    <t>43746778-8</t>
  </si>
  <si>
    <t>360.389.727-54</t>
  </si>
  <si>
    <t xml:space="preserve">30 / 34 /  / </t>
  </si>
  <si>
    <t xml:space="preserve">CRISTIANE APARECIDA DE OLIVEIRA </t>
  </si>
  <si>
    <t>28207611</t>
  </si>
  <si>
    <t>26534926873</t>
  </si>
  <si>
    <t xml:space="preserve">3a / 7 /  / </t>
  </si>
  <si>
    <t>MARIA AVELINA BARBOSA</t>
  </si>
  <si>
    <t>54.008.842-0</t>
  </si>
  <si>
    <t>440345984-68</t>
  </si>
  <si>
    <t xml:space="preserve">34 /  / 32 Altos  / </t>
  </si>
  <si>
    <t xml:space="preserve">ALDEMIR APARECIDO DE OLIVEIRA </t>
  </si>
  <si>
    <t>21747362-3</t>
  </si>
  <si>
    <t>121451688/26</t>
  </si>
  <si>
    <t xml:space="preserve">frente </t>
  </si>
  <si>
    <t xml:space="preserve">29 / 33 /  / </t>
  </si>
  <si>
    <t xml:space="preserve">ALMIR MARTINS LISBOA </t>
  </si>
  <si>
    <t>35041862</t>
  </si>
  <si>
    <t>329.759.648-11</t>
  </si>
  <si>
    <t xml:space="preserve">31 / 34 /  / </t>
  </si>
  <si>
    <t xml:space="preserve">ANA PAULA DE ALMEIDA BARBOSA </t>
  </si>
  <si>
    <t>34507389</t>
  </si>
  <si>
    <t>33192130830</t>
  </si>
  <si>
    <t xml:space="preserve">40B / 43 /  / </t>
  </si>
  <si>
    <t>HENRIQUE RODRIGUES SOUSA QUINTINO</t>
  </si>
  <si>
    <t>580493155</t>
  </si>
  <si>
    <t>476225168-21</t>
  </si>
  <si>
    <t>casa2</t>
  </si>
  <si>
    <t xml:space="preserve">40 / 44 /  / </t>
  </si>
  <si>
    <t>FABIANA DE LIMA SANTOS</t>
  </si>
  <si>
    <t>33575241</t>
  </si>
  <si>
    <t>29397715850</t>
  </si>
  <si>
    <t xml:space="preserve">38 / -42 /  / </t>
  </si>
  <si>
    <t xml:space="preserve">JOSÉ AUGUSTO DOS SANTOS </t>
  </si>
  <si>
    <t>295008878</t>
  </si>
  <si>
    <t>002487058/73</t>
  </si>
  <si>
    <t xml:space="preserve">42 / 46 /  / </t>
  </si>
  <si>
    <t xml:space="preserve">LAYLA MACHADO DIAS </t>
  </si>
  <si>
    <t>454024708</t>
  </si>
  <si>
    <t>45402470855</t>
  </si>
  <si>
    <t>AMANDA ALVES MODESTO MARTINS</t>
  </si>
  <si>
    <t>333704290</t>
  </si>
  <si>
    <t>261.768.858-50</t>
  </si>
  <si>
    <t xml:space="preserve">48 / 52 /  / </t>
  </si>
  <si>
    <t>8.554.815-7</t>
  </si>
  <si>
    <t>783000378-53</t>
  </si>
  <si>
    <t xml:space="preserve">Genivaldo Jose da Rocha </t>
  </si>
  <si>
    <t>8554815-7</t>
  </si>
  <si>
    <t>783.000.378-53</t>
  </si>
  <si>
    <t xml:space="preserve">58 / 56A /  / </t>
  </si>
  <si>
    <t xml:space="preserve">JOSE MARCOS SOARES COSTA </t>
  </si>
  <si>
    <t>378846048</t>
  </si>
  <si>
    <t>70003220478</t>
  </si>
  <si>
    <t xml:space="preserve">ANANIAS SILVA DE ALMEIDA </t>
  </si>
  <si>
    <t>187386742</t>
  </si>
  <si>
    <t>69 / 71 / 73</t>
  </si>
  <si>
    <t xml:space="preserve">NATHALYA BEZERRA DA SILVA </t>
  </si>
  <si>
    <t>48668292-4</t>
  </si>
  <si>
    <t>402425388-35</t>
  </si>
  <si>
    <t xml:space="preserve">83A / 84ft /  / </t>
  </si>
  <si>
    <t>RAQUEL ALVES BEZERRA</t>
  </si>
  <si>
    <t>20128656-7</t>
  </si>
  <si>
    <t>13382133857</t>
  </si>
  <si>
    <t xml:space="preserve">98 / 102 /  / </t>
  </si>
  <si>
    <t xml:space="preserve">ANTÔNIA DO NASCIMENTO SILVA </t>
  </si>
  <si>
    <t>536496511</t>
  </si>
  <si>
    <t>41931619867</t>
  </si>
  <si>
    <t>CRISTIANE SANTOS SILVA</t>
  </si>
  <si>
    <t>50.940.129-6</t>
  </si>
  <si>
    <t>353.121.958-80</t>
  </si>
  <si>
    <t xml:space="preserve">59 / 63 /  / </t>
  </si>
  <si>
    <t xml:space="preserve">CHRISTYANO LEVI DA SILVA OLIVEIRA </t>
  </si>
  <si>
    <t>5238411</t>
  </si>
  <si>
    <t>394.567.478-67</t>
  </si>
  <si>
    <t xml:space="preserve">SILVIA MARIA DOS SANTOS RAMOS </t>
  </si>
  <si>
    <t>209555300</t>
  </si>
  <si>
    <t>064046988-46</t>
  </si>
  <si>
    <t xml:space="preserve">83 / 85a /  / </t>
  </si>
  <si>
    <t>LETÍCIA BEATRIZ DA CRUZ</t>
  </si>
  <si>
    <t>55754668848</t>
  </si>
  <si>
    <t xml:space="preserve">88 / 92 /  / </t>
  </si>
  <si>
    <t>ROSIMEIRE DA SILVA GUEDES</t>
  </si>
  <si>
    <t>35395306-4</t>
  </si>
  <si>
    <t>291325288-50</t>
  </si>
  <si>
    <t xml:space="preserve">90 / 94 /  / </t>
  </si>
  <si>
    <t xml:space="preserve">NICEFRAN DE SOUSA LIMA </t>
  </si>
  <si>
    <t>56454782-7</t>
  </si>
  <si>
    <t>18990470854</t>
  </si>
  <si>
    <t xml:space="preserve">92 / 96 /  / </t>
  </si>
  <si>
    <t>120cs1  /  120cs2 / 122</t>
  </si>
  <si>
    <t xml:space="preserve">WANDERSON RODRIGUES DE SOUZA </t>
  </si>
  <si>
    <t>637057667</t>
  </si>
  <si>
    <t>075810105-89</t>
  </si>
  <si>
    <t xml:space="preserve">JULIANA KELLY DA SILVA </t>
  </si>
  <si>
    <t>447782125</t>
  </si>
  <si>
    <t>38851279896</t>
  </si>
  <si>
    <t xml:space="preserve">87 / 89A /  / </t>
  </si>
  <si>
    <t>JULIA KEROLAYNE DA SILVA NEVES</t>
  </si>
  <si>
    <t>544107329</t>
  </si>
  <si>
    <t>57811791862</t>
  </si>
  <si>
    <t>87</t>
  </si>
  <si>
    <t>85  / 87 A / 87 B</t>
  </si>
  <si>
    <t xml:space="preserve">MARIA DA CONCEIÇÃO FEITOSA DE MELO </t>
  </si>
  <si>
    <t>19293888-5</t>
  </si>
  <si>
    <t>080576838-64</t>
  </si>
  <si>
    <t xml:space="preserve">88c3  /  88c1 / </t>
  </si>
  <si>
    <t>MARIA DA CONCEIÇÃO FEITOSA DE MELO</t>
  </si>
  <si>
    <t>19.293.888.5</t>
  </si>
  <si>
    <t>080.576.838-64</t>
  </si>
  <si>
    <t>86  / 88 C 1 /  88 C 2</t>
  </si>
  <si>
    <t>GABRIELA MARIA DE SANTANA MENDES</t>
  </si>
  <si>
    <t>52082814-8</t>
  </si>
  <si>
    <t>474575218-01</t>
  </si>
  <si>
    <t xml:space="preserve">123 / 127 /  / </t>
  </si>
  <si>
    <t>136  / 138 / 140</t>
  </si>
  <si>
    <t>ADRIANO HENRIQUE ASSIS</t>
  </si>
  <si>
    <t>590808-5</t>
  </si>
  <si>
    <t>cs3</t>
  </si>
  <si>
    <t>118  / 120 c 3 /  122</t>
  </si>
  <si>
    <t xml:space="preserve">MANOEL PROFETA DA SILVA </t>
  </si>
  <si>
    <t>01792868895</t>
  </si>
  <si>
    <t xml:space="preserve">FABIO SANTOS DA SILVA </t>
  </si>
  <si>
    <t>34646104</t>
  </si>
  <si>
    <t>34175309896</t>
  </si>
  <si>
    <t>129</t>
  </si>
  <si>
    <t>127  / 129 / 131</t>
  </si>
  <si>
    <t xml:space="preserve">EDSON DOS SANTOS CINTRA </t>
  </si>
  <si>
    <t>486090620</t>
  </si>
  <si>
    <t>086.057.394-01</t>
  </si>
  <si>
    <t>134  / 136 A / 138</t>
  </si>
  <si>
    <t>MARIA LÚCIA DA SILVA CANUTO</t>
  </si>
  <si>
    <t>532700648</t>
  </si>
  <si>
    <t>020546454-86</t>
  </si>
  <si>
    <t>0 / 1 A / 3</t>
  </si>
  <si>
    <t xml:space="preserve">GENI TATIANA ARAGÃO DOS SANTOS </t>
  </si>
  <si>
    <t>301302200</t>
  </si>
  <si>
    <t>22226888845</t>
  </si>
  <si>
    <t>136  / 140 / 141</t>
  </si>
  <si>
    <t>VALNEI FERREIRA MAGALHÃES</t>
  </si>
  <si>
    <t>4156987</t>
  </si>
  <si>
    <t>345951068-40</t>
  </si>
  <si>
    <t xml:space="preserve">143 / 147 /  / </t>
  </si>
  <si>
    <t xml:space="preserve">Valnei ferreira Magalhães </t>
  </si>
  <si>
    <t>34595106840</t>
  </si>
  <si>
    <t>CASSIANO DE SOUSA QUINTINO</t>
  </si>
  <si>
    <t>2734497</t>
  </si>
  <si>
    <t>159.126.848-65</t>
  </si>
  <si>
    <t>78  / 80 / 82</t>
  </si>
  <si>
    <t xml:space="preserve">HOZANETE DE SOUZA PEREIRA </t>
  </si>
  <si>
    <t>20129.324-9</t>
  </si>
  <si>
    <t>101.972.938-40</t>
  </si>
  <si>
    <t>ROSELI MARIA DE SOUZA ANDRADE</t>
  </si>
  <si>
    <t>24205655</t>
  </si>
  <si>
    <t>133611758-36</t>
  </si>
  <si>
    <t>8 / 10 C 1 / 10 C 2</t>
  </si>
  <si>
    <t xml:space="preserve">LIVIAN DE SOUZA ANDRADE  </t>
  </si>
  <si>
    <t>39899010-4</t>
  </si>
  <si>
    <t>483.874.658-01</t>
  </si>
  <si>
    <t xml:space="preserve">12 / 10 /  / </t>
  </si>
  <si>
    <t xml:space="preserve">DANIEL BEZZERRA DA SILVA </t>
  </si>
  <si>
    <t>56381869-7</t>
  </si>
  <si>
    <t>475199108-65</t>
  </si>
  <si>
    <t xml:space="preserve">MARIA PATRICIA DE LACERDA </t>
  </si>
  <si>
    <t>35985076-5</t>
  </si>
  <si>
    <t>018202008-84</t>
  </si>
  <si>
    <t>18 A / 18 B / 18 F</t>
  </si>
  <si>
    <t xml:space="preserve">CÉLIA ALVES DE SOUZA </t>
  </si>
  <si>
    <t>39554995-4</t>
  </si>
  <si>
    <t>732285504-72</t>
  </si>
  <si>
    <t xml:space="preserve">Jaqueline de oliveira nascimento </t>
  </si>
  <si>
    <t>39143411-1</t>
  </si>
  <si>
    <t>442647278-47</t>
  </si>
  <si>
    <t>34 C 1 / 34 C 2 / 36</t>
  </si>
  <si>
    <t>JENEFFER ANGELO DOS SANTOS LARA</t>
  </si>
  <si>
    <t>40953360</t>
  </si>
  <si>
    <t>432.772.598-62</t>
  </si>
  <si>
    <t>46  /  48 C 1 / 48 C 2</t>
  </si>
  <si>
    <t xml:space="preserve">DOUGLAS DE CARVALHO TOLEDO </t>
  </si>
  <si>
    <t>32806936</t>
  </si>
  <si>
    <t>21923404865</t>
  </si>
  <si>
    <t>53  / 55 / 57</t>
  </si>
  <si>
    <t xml:space="preserve">TAYLANE DO VALE MOREIRA </t>
  </si>
  <si>
    <t>40401221-8</t>
  </si>
  <si>
    <t>444056378-30</t>
  </si>
  <si>
    <t>Altos</t>
  </si>
  <si>
    <t>81 baixo / 81Altos / 83</t>
  </si>
  <si>
    <t xml:space="preserve">SANDRA DANTAS LIMA </t>
  </si>
  <si>
    <t>38870143-2</t>
  </si>
  <si>
    <t>376.066.848-26</t>
  </si>
  <si>
    <t xml:space="preserve">79 /  /  81Altos / </t>
  </si>
  <si>
    <t>B CASA 2</t>
  </si>
  <si>
    <t xml:space="preserve">80 / 82A /  / </t>
  </si>
  <si>
    <t>ADRIANA SILVA DA HORA</t>
  </si>
  <si>
    <t>62614934-4</t>
  </si>
  <si>
    <t>410.174.038-05</t>
  </si>
  <si>
    <t>A CASA 1</t>
  </si>
  <si>
    <t xml:space="preserve">78 / 80c2 /  / </t>
  </si>
  <si>
    <t xml:space="preserve">Jose Maria de souza junior </t>
  </si>
  <si>
    <t>23670155-1</t>
  </si>
  <si>
    <t>097.976.578-17</t>
  </si>
  <si>
    <t xml:space="preserve">Antônio Carlos Santos Nascimento </t>
  </si>
  <si>
    <t>25513972</t>
  </si>
  <si>
    <t>097.928.068-06</t>
  </si>
  <si>
    <t xml:space="preserve">100 / 104 /  / </t>
  </si>
  <si>
    <t>LEANDRO COELHO FERREIRA</t>
  </si>
  <si>
    <t>22.917.729-3</t>
  </si>
  <si>
    <t>199.267.268-79</t>
  </si>
  <si>
    <t>115</t>
  </si>
  <si>
    <t xml:space="preserve">113 / 117 /  / </t>
  </si>
  <si>
    <t>ANDERSON IGLESIAS MARTINS</t>
  </si>
  <si>
    <t>410809476</t>
  </si>
  <si>
    <t>378895118-62</t>
  </si>
  <si>
    <t xml:space="preserve">122 / 118 /  / </t>
  </si>
  <si>
    <t>RODRIGO MARCOS DE OLIVEIRA MELO</t>
  </si>
  <si>
    <t>530578098</t>
  </si>
  <si>
    <t>46603854856</t>
  </si>
  <si>
    <t xml:space="preserve">111 / 115 /  / </t>
  </si>
  <si>
    <t>ELISABETE SERRÃO MOÇO BARROS DA SILVA</t>
  </si>
  <si>
    <t>21936454-0</t>
  </si>
  <si>
    <t>13376103801</t>
  </si>
  <si>
    <t xml:space="preserve">56 / 58 /  / </t>
  </si>
  <si>
    <t>ADELICE PEREIRA BATISTA LIMA</t>
  </si>
  <si>
    <t>15950899X</t>
  </si>
  <si>
    <t>06530356809</t>
  </si>
  <si>
    <t xml:space="preserve">27 / 25 /  / </t>
  </si>
  <si>
    <t>06430356809</t>
  </si>
  <si>
    <t xml:space="preserve">25 / 27 /  / </t>
  </si>
  <si>
    <t xml:space="preserve">ELISANGELA FRANCISCA DA SILVA OLIVEIRA </t>
  </si>
  <si>
    <t>45390092-6</t>
  </si>
  <si>
    <t>34553636875</t>
  </si>
  <si>
    <t>DANIELA DOS SANTOS</t>
  </si>
  <si>
    <t>416437746</t>
  </si>
  <si>
    <t>353987998-60</t>
  </si>
  <si>
    <t>MARLI DE AVILA ALBANO</t>
  </si>
  <si>
    <t>34646163-7</t>
  </si>
  <si>
    <t>30246054875</t>
  </si>
  <si>
    <t>JOSELITO DE SANTANA SANTOS</t>
  </si>
  <si>
    <t>23462715</t>
  </si>
  <si>
    <t>121475998-08</t>
  </si>
  <si>
    <t>2346715</t>
  </si>
  <si>
    <t xml:space="preserve">MARIA RAIMUNDA DOS SANTOS </t>
  </si>
  <si>
    <t>124920615</t>
  </si>
  <si>
    <t>19750112873</t>
  </si>
  <si>
    <t xml:space="preserve">34 / 38 /  / </t>
  </si>
  <si>
    <t>SIMONIA CONCEIÇÃO DE OLIVEIRA</t>
  </si>
  <si>
    <t>1572178</t>
  </si>
  <si>
    <t>036.550.665-62</t>
  </si>
  <si>
    <t>SELMA LÚCIA ANTUNES DA SILVA</t>
  </si>
  <si>
    <t>23834104</t>
  </si>
  <si>
    <t>159.071.058-44</t>
  </si>
  <si>
    <t xml:space="preserve">125 / 129 /  / </t>
  </si>
  <si>
    <t>ROSANGELA TENÓRIO RODRIGUES DA SILVA</t>
  </si>
  <si>
    <t>420703597</t>
  </si>
  <si>
    <t>448.793.238-61</t>
  </si>
  <si>
    <t xml:space="preserve">Edênia Ramiro da Silva </t>
  </si>
  <si>
    <t>41309430-3</t>
  </si>
  <si>
    <t>322.213.848-65</t>
  </si>
  <si>
    <t>86</t>
  </si>
  <si>
    <t>c1</t>
  </si>
  <si>
    <t xml:space="preserve">58 / 62 /  / </t>
  </si>
  <si>
    <t>Renan de souza</t>
  </si>
  <si>
    <t>50.752.734-3</t>
  </si>
  <si>
    <t>481.104.548-36</t>
  </si>
  <si>
    <t xml:space="preserve">José Ednaldo Teixeira </t>
  </si>
  <si>
    <t>59470006-1</t>
  </si>
  <si>
    <t>052.290.694-06</t>
  </si>
  <si>
    <t xml:space="preserve">Eduarda da silva Amaral </t>
  </si>
  <si>
    <t>690841838</t>
  </si>
  <si>
    <t>865.473.165-64</t>
  </si>
  <si>
    <t xml:space="preserve">8 / 12 /  / </t>
  </si>
  <si>
    <t xml:space="preserve">lidiana garcia carvalho </t>
  </si>
  <si>
    <t>391440536</t>
  </si>
  <si>
    <t>625.246.903-34</t>
  </si>
  <si>
    <t>Sival Pereira das chagas</t>
  </si>
  <si>
    <t>173.198.658-07</t>
  </si>
  <si>
    <t xml:space="preserve">18 / 16 /  / </t>
  </si>
  <si>
    <t>Guilherme Henrique Gomes de Aquino</t>
  </si>
  <si>
    <t>457066313</t>
  </si>
  <si>
    <t>467.127.098-65</t>
  </si>
  <si>
    <t xml:space="preserve">Carla Santana Do Nascimento </t>
  </si>
  <si>
    <t>489060407</t>
  </si>
  <si>
    <t>388.262.008-07</t>
  </si>
  <si>
    <t xml:space="preserve">Janaina Marques Tavares </t>
  </si>
  <si>
    <t>293.843.798-67</t>
  </si>
  <si>
    <t>F CASA 3</t>
  </si>
  <si>
    <t xml:space="preserve">84 / 88 /  / </t>
  </si>
  <si>
    <t xml:space="preserve">Juliano Maranhão da Silva </t>
  </si>
  <si>
    <t>43904827</t>
  </si>
  <si>
    <t>452.993.558-23</t>
  </si>
  <si>
    <t>F CASA 2</t>
  </si>
  <si>
    <t>Ana Paula Bernardes Bondioli</t>
  </si>
  <si>
    <t>35.149.739-0</t>
  </si>
  <si>
    <t>348.826.388-60</t>
  </si>
  <si>
    <t>Márcio Antônio Sidio</t>
  </si>
  <si>
    <t>54009639</t>
  </si>
  <si>
    <t>016.245.837-17</t>
  </si>
  <si>
    <t xml:space="preserve">12 / 16 /  / </t>
  </si>
  <si>
    <t>Silvio Emanuel de oliveira matos</t>
  </si>
  <si>
    <t>26736203-1</t>
  </si>
  <si>
    <t>014.909.257-16</t>
  </si>
  <si>
    <t xml:space="preserve">Luiz Carlos dos Santos </t>
  </si>
  <si>
    <t>39357912-8</t>
  </si>
  <si>
    <t>367.092.112-43</t>
  </si>
  <si>
    <t xml:space="preserve">Sergio Feliciano Martins </t>
  </si>
  <si>
    <t>198712194</t>
  </si>
  <si>
    <t>106.505.768-70</t>
  </si>
  <si>
    <t>Claudia Maria da silva Barbosa</t>
  </si>
  <si>
    <t>64914336-x</t>
  </si>
  <si>
    <t>072.315.284-57</t>
  </si>
  <si>
    <t xml:space="preserve">3 </t>
  </si>
  <si>
    <t xml:space="preserve">Gabriel Henrique da Silva Barbosa </t>
  </si>
  <si>
    <t>64899231-7</t>
  </si>
  <si>
    <t>129.022.104-93</t>
  </si>
  <si>
    <t>LUCIENE VASCONCELOS DE OLIVEIRA</t>
  </si>
  <si>
    <t>368572158</t>
  </si>
  <si>
    <t>723.057.545-15</t>
  </si>
  <si>
    <t xml:space="preserve">VINICÍUS DOS SANTOS OLIVEIRA </t>
  </si>
  <si>
    <t>41638968</t>
  </si>
  <si>
    <t>442.036.638-90</t>
  </si>
  <si>
    <t>JOSE JOAQUIM DE SOUZA NETO</t>
  </si>
  <si>
    <t>55185212</t>
  </si>
  <si>
    <t>006.794.075-70</t>
  </si>
  <si>
    <t>LUCIANA DOS SANTOS CONCEIÇÃO</t>
  </si>
  <si>
    <t>37616788</t>
  </si>
  <si>
    <t>335.581.348-69</t>
  </si>
  <si>
    <t>EDMUNDO DOS SANTOS</t>
  </si>
  <si>
    <t>395057024</t>
  </si>
  <si>
    <t>445.912.764-49</t>
  </si>
  <si>
    <t xml:space="preserve">sn / 15 /  / </t>
  </si>
  <si>
    <t>Aurora Lucinda da Conceição</t>
  </si>
  <si>
    <t>5700732858</t>
  </si>
  <si>
    <t>60305134434</t>
  </si>
  <si>
    <t>MARIA APARECIDA FERREIRA SANTOS</t>
  </si>
  <si>
    <t>219353670</t>
  </si>
  <si>
    <t>093.757.868-11</t>
  </si>
  <si>
    <t xml:space="preserve">21 / 25 /  / </t>
  </si>
  <si>
    <t xml:space="preserve">LEONARDO BARBOSA DOS SANTOS </t>
  </si>
  <si>
    <t>07348002794</t>
  </si>
  <si>
    <t>238.182.505-80</t>
  </si>
  <si>
    <t>B*</t>
  </si>
  <si>
    <t xml:space="preserve">sn / 1A /  / </t>
  </si>
  <si>
    <t>LEONARDO BARBOSA DOS SANTOS</t>
  </si>
  <si>
    <t>23818250880</t>
  </si>
  <si>
    <t xml:space="preserve">1 FUNDOS /  / </t>
  </si>
  <si>
    <t>MARIA PEREIRA DOS SANTOS</t>
  </si>
  <si>
    <t>382962497</t>
  </si>
  <si>
    <t>174.258.278-83</t>
  </si>
  <si>
    <t>CAROLINA BARROS FEITOSA</t>
  </si>
  <si>
    <t>556190646</t>
  </si>
  <si>
    <t>446.362.928-47</t>
  </si>
  <si>
    <t xml:space="preserve">40 / 38B /  / </t>
  </si>
  <si>
    <t>FERNANDA APARECIDA PEREIRA BATISTA QUINTINO</t>
  </si>
  <si>
    <t>257.977.888-88</t>
  </si>
  <si>
    <t xml:space="preserve">casa 1 </t>
  </si>
  <si>
    <t>ANA ANTONIA DE JESUS COSTA</t>
  </si>
  <si>
    <t>196550142</t>
  </si>
  <si>
    <t>256.643.558-83</t>
  </si>
  <si>
    <t xml:space="preserve">39 / 43 /  / </t>
  </si>
  <si>
    <t xml:space="preserve">ANTONIA FERREIRA DE LIMA </t>
  </si>
  <si>
    <t>94543318</t>
  </si>
  <si>
    <t>121.344.028-90</t>
  </si>
  <si>
    <t>frente</t>
  </si>
  <si>
    <t xml:space="preserve">38 / 42 /  / </t>
  </si>
  <si>
    <t>52</t>
  </si>
  <si>
    <t>casa 2</t>
  </si>
  <si>
    <t xml:space="preserve">50 / 54 /  / </t>
  </si>
  <si>
    <t>97662160459</t>
  </si>
  <si>
    <t>53</t>
  </si>
  <si>
    <t xml:space="preserve">51 / 55 /  / </t>
  </si>
  <si>
    <t xml:space="preserve">Orlando Carlos da Silva </t>
  </si>
  <si>
    <t xml:space="preserve">121 / 125 /  / </t>
  </si>
  <si>
    <t>Orlando Amaro Gomes</t>
  </si>
  <si>
    <t>50</t>
  </si>
  <si>
    <t xml:space="preserve">50 casa 1 / 50 casa 2 /  / </t>
  </si>
  <si>
    <t>ROBERTA MIRANDA NUNES</t>
  </si>
  <si>
    <t>648075965</t>
  </si>
  <si>
    <t>08756555482</t>
  </si>
  <si>
    <t xml:space="preserve">86 / 90 /  / </t>
  </si>
  <si>
    <t xml:space="preserve">Lucivânia Maria Lins </t>
  </si>
  <si>
    <t>36808338x</t>
  </si>
  <si>
    <t>336.234.118-76</t>
  </si>
  <si>
    <t xml:space="preserve">c88 / 91 /  / </t>
  </si>
  <si>
    <t xml:space="preserve">Daniela Rayara Araújo da Silva </t>
  </si>
  <si>
    <t>661449038</t>
  </si>
  <si>
    <t>02369905271</t>
  </si>
  <si>
    <t xml:space="preserve">sn / sn /  / </t>
  </si>
  <si>
    <t>MARIA DOMINGAS SANTOS</t>
  </si>
  <si>
    <t>127366799</t>
  </si>
  <si>
    <t>066.744.858-61</t>
  </si>
  <si>
    <t>60</t>
  </si>
  <si>
    <t>MARIA VANESSA  OLIVEIRA DE JESUS</t>
  </si>
  <si>
    <t>3252335430</t>
  </si>
  <si>
    <t>300.125.618-43</t>
  </si>
  <si>
    <t>baixo</t>
  </si>
  <si>
    <t xml:space="preserve">JOSIENE GOMES RAMOS </t>
  </si>
  <si>
    <t>672885888</t>
  </si>
  <si>
    <t>056.874.755-08</t>
  </si>
  <si>
    <t>E FUNDOS</t>
  </si>
  <si>
    <t>50 / 52 E / 54</t>
  </si>
  <si>
    <t xml:space="preserve">José Eduardo do Nascimento </t>
  </si>
  <si>
    <t>574126624</t>
  </si>
  <si>
    <t>102.262.324-92</t>
  </si>
  <si>
    <t xml:space="preserve">F fundos </t>
  </si>
  <si>
    <t>50 / 52 F / 54</t>
  </si>
  <si>
    <t xml:space="preserve">Mucio Guedes Pereira </t>
  </si>
  <si>
    <t>36677234</t>
  </si>
  <si>
    <t>872.630.334-53</t>
  </si>
  <si>
    <t xml:space="preserve">60f / sn /  / </t>
  </si>
  <si>
    <t xml:space="preserve">Geyza Angelo dos Santos </t>
  </si>
  <si>
    <t>562930103</t>
  </si>
  <si>
    <t>453.174.238-99</t>
  </si>
  <si>
    <t xml:space="preserve">46 / 50 /  / </t>
  </si>
  <si>
    <t xml:space="preserve">Debora Virginia Nunes da Silva </t>
  </si>
  <si>
    <t>50297875</t>
  </si>
  <si>
    <t>432.882.038-98</t>
  </si>
  <si>
    <t xml:space="preserve">56 </t>
  </si>
  <si>
    <t xml:space="preserve">58 / sn /  / </t>
  </si>
  <si>
    <t xml:space="preserve">- / - /  / </t>
  </si>
  <si>
    <t xml:space="preserve">Alisson da Fonseca Santos </t>
  </si>
  <si>
    <t>52582361x</t>
  </si>
  <si>
    <t>414.571.498-93</t>
  </si>
  <si>
    <t xml:space="preserve">altos </t>
  </si>
  <si>
    <t>Fabiano cesar Jorge guerra</t>
  </si>
  <si>
    <t>Mônica da silva barbosa</t>
  </si>
  <si>
    <t>437470180</t>
  </si>
  <si>
    <t>336.557.338-01</t>
  </si>
  <si>
    <t xml:space="preserve">86c1  / 86c3 / / </t>
  </si>
  <si>
    <t>Margarida ladislau de souza bento</t>
  </si>
  <si>
    <t>17261618-9</t>
  </si>
  <si>
    <t>070.011.718-08</t>
  </si>
  <si>
    <t>Eronilda Ribeiro lins</t>
  </si>
  <si>
    <t>508206467</t>
  </si>
  <si>
    <t>907.793.204-68</t>
  </si>
  <si>
    <t>56 / 58  / 60</t>
  </si>
  <si>
    <t>Elizio de Sousa Lima</t>
  </si>
  <si>
    <t>578149503</t>
  </si>
  <si>
    <t>558.244.984-15</t>
  </si>
  <si>
    <t xml:space="preserve">34 / 32 /  / </t>
  </si>
  <si>
    <t>Maria clécia ribeiro lins</t>
  </si>
  <si>
    <t>8462901</t>
  </si>
  <si>
    <t>085.038.704-36</t>
  </si>
  <si>
    <t xml:space="preserve">Daci dos santos </t>
  </si>
  <si>
    <t>374639292</t>
  </si>
  <si>
    <t>585.531.775-72</t>
  </si>
  <si>
    <t>JOÃO CARLOS DA SILVA - BECO 05</t>
  </si>
  <si>
    <t>Judice dos santos</t>
  </si>
  <si>
    <t>588121277</t>
  </si>
  <si>
    <t>312.256.835-72</t>
  </si>
  <si>
    <t>Nadenise Francisca dos Santos</t>
  </si>
  <si>
    <t>447774207</t>
  </si>
  <si>
    <t>375.255.218-24</t>
  </si>
  <si>
    <t xml:space="preserve">Denis Robson Pradal </t>
  </si>
  <si>
    <t>297316229</t>
  </si>
  <si>
    <t>257.173.478-47</t>
  </si>
  <si>
    <t>Edinaldo da Silveira andrade</t>
  </si>
  <si>
    <t>267625558</t>
  </si>
  <si>
    <t>473.006.205-15</t>
  </si>
  <si>
    <t>58 C1 / 58 C2 / 60</t>
  </si>
  <si>
    <t>Luciano cruz silva</t>
  </si>
  <si>
    <t>375.899.598-12</t>
  </si>
  <si>
    <t>Reinaldo aparecido freitas da anunciação</t>
  </si>
  <si>
    <t>Silvânia Feitosa gurgel</t>
  </si>
  <si>
    <t>rg novo</t>
  </si>
  <si>
    <t>368.043.278-02</t>
  </si>
  <si>
    <t xml:space="preserve"> / 06 /  / </t>
  </si>
  <si>
    <t xml:space="preserve">ITALO PIETRO TACOLA AMARAL </t>
  </si>
  <si>
    <t>361768825</t>
  </si>
  <si>
    <t>448.293.178-09</t>
  </si>
  <si>
    <t>RUA CAMINHO DA PAZ BECO 1</t>
  </si>
  <si>
    <t>33 / 35 / 00</t>
  </si>
  <si>
    <t>MARIA HELENA DE BRITO</t>
  </si>
  <si>
    <t>217437151</t>
  </si>
  <si>
    <t>062.169.268-96</t>
  </si>
  <si>
    <t>08 / 10 / 0</t>
  </si>
  <si>
    <t xml:space="preserve">11 / 13 / </t>
  </si>
  <si>
    <t>0 / 02 / 06</t>
  </si>
  <si>
    <t>6 / 08 / 10</t>
  </si>
  <si>
    <t>ESCADARIA 9 BECO 1</t>
  </si>
  <si>
    <t xml:space="preserve">EDILENE APARECIDA DOS SANTOS </t>
  </si>
  <si>
    <t>450922182</t>
  </si>
  <si>
    <t>229.415.718-41</t>
  </si>
  <si>
    <t xml:space="preserve">JULIANA GONÇALVES </t>
  </si>
  <si>
    <t>486611358</t>
  </si>
  <si>
    <t>046.925.585-47</t>
  </si>
  <si>
    <t xml:space="preserve">JUVANITO DA SILVA SOUZA </t>
  </si>
  <si>
    <t>30946614-3</t>
  </si>
  <si>
    <t>279.895.458-45</t>
  </si>
  <si>
    <t xml:space="preserve">ESTER NASCIMENTO DA SILVA </t>
  </si>
  <si>
    <t>573208712</t>
  </si>
  <si>
    <t>278.940.638-35</t>
  </si>
  <si>
    <t>28 / 26 / 24</t>
  </si>
  <si>
    <t>00 / 39 / 41</t>
  </si>
  <si>
    <t xml:space="preserve">FRANCISCO MARIANO DOS SANTOS </t>
  </si>
  <si>
    <t>106525049</t>
  </si>
  <si>
    <t>047.663.338-96</t>
  </si>
  <si>
    <t xml:space="preserve">MARCOS MORAES  DOS SANTOS </t>
  </si>
  <si>
    <t>659768690</t>
  </si>
  <si>
    <t>513.020.918-40</t>
  </si>
  <si>
    <t>7A / 7 / 9</t>
  </si>
  <si>
    <t>RENILDA DE JESUS SOUZA</t>
  </si>
  <si>
    <t>54319196-5</t>
  </si>
  <si>
    <t>927.574.805-53</t>
  </si>
  <si>
    <t>FRANCISCO PEREIRA DOS SANTOS</t>
  </si>
  <si>
    <t>***</t>
  </si>
  <si>
    <t>38914121-9</t>
  </si>
  <si>
    <t xml:space="preserve">ED BENTO DE SOUZA </t>
  </si>
  <si>
    <t>003.362.948-08</t>
  </si>
  <si>
    <t xml:space="preserve">LUAN SILVA DE CAMARGO </t>
  </si>
  <si>
    <t>646560931</t>
  </si>
  <si>
    <t>551.203.048-50</t>
  </si>
  <si>
    <t>JOÃO PROCOPIO PINHEIRO</t>
  </si>
  <si>
    <t>20821978X</t>
  </si>
  <si>
    <t>069.930.278-10</t>
  </si>
  <si>
    <t>2 / 6 / 4</t>
  </si>
  <si>
    <t xml:space="preserve">JOSIAS GUEDES DOS SANTOS </t>
  </si>
  <si>
    <t>172613759</t>
  </si>
  <si>
    <t>042.455.628-62</t>
  </si>
  <si>
    <t xml:space="preserve">FABIO HENRIQUE ROCHA BATISTA </t>
  </si>
  <si>
    <t>499961729</t>
  </si>
  <si>
    <t>441.070.418-99</t>
  </si>
  <si>
    <t>12 / 14 / 0</t>
  </si>
  <si>
    <t>BRENDA VITÓRIA DE JESUS SANTOS</t>
  </si>
  <si>
    <t>685984527</t>
  </si>
  <si>
    <t>606.346.578-28</t>
  </si>
  <si>
    <t>ROSÂNGELA DOS SANTOS</t>
  </si>
  <si>
    <t>245434379</t>
  </si>
  <si>
    <t>169.566.208-39</t>
  </si>
  <si>
    <t>29 / 30 / 33</t>
  </si>
  <si>
    <t xml:space="preserve">GABRIEL EMÍDIO BEZERRA BRUM </t>
  </si>
  <si>
    <t>48885851</t>
  </si>
  <si>
    <t>428.535.608-21</t>
  </si>
  <si>
    <t>20 / 21 / 22</t>
  </si>
  <si>
    <t xml:space="preserve">VERÔNICA OLIVEIRA GERALDO </t>
  </si>
  <si>
    <t>447781534</t>
  </si>
  <si>
    <t>356.454.778-98</t>
  </si>
  <si>
    <t>13 C / 13 / 14</t>
  </si>
  <si>
    <t xml:space="preserve">JOELMA ARCANJO DA SILVA MELO </t>
  </si>
  <si>
    <t>37.026.525-7</t>
  </si>
  <si>
    <t>314.792.128-06</t>
  </si>
  <si>
    <t xml:space="preserve">FABIANA MARIA MOURA DOS SANTOS </t>
  </si>
  <si>
    <t>42.384.609-7</t>
  </si>
  <si>
    <t>351.601.398-26</t>
  </si>
  <si>
    <t xml:space="preserve">SAMUEL MATEUS BARBOSA DOS SANTOS XAVIER </t>
  </si>
  <si>
    <t>682800405</t>
  </si>
  <si>
    <t>560.641.898-35</t>
  </si>
  <si>
    <t xml:space="preserve">MARIA DE FÁTIMA DO NASCIMENTO CORREIA </t>
  </si>
  <si>
    <t>296455052</t>
  </si>
  <si>
    <t>252.016.658-45</t>
  </si>
  <si>
    <t>AUDREY KESLEN SANTOS DE JESUS</t>
  </si>
  <si>
    <t>49582043-X</t>
  </si>
  <si>
    <t>418.984.478-02</t>
  </si>
  <si>
    <t>NUBIA DOS SANTOS SILVA</t>
  </si>
  <si>
    <t>366572672</t>
  </si>
  <si>
    <t>264.203.008-35</t>
  </si>
  <si>
    <t>LOJA</t>
  </si>
  <si>
    <t xml:space="preserve">MARIA ELISANGELA DOS SANTOS </t>
  </si>
  <si>
    <t>631023659</t>
  </si>
  <si>
    <t>263.174.798-44</t>
  </si>
  <si>
    <t xml:space="preserve">MARGREIDE MARIA DOS SANTOS SILVA </t>
  </si>
  <si>
    <t>322.109.608-94</t>
  </si>
  <si>
    <t xml:space="preserve">ELIANO BELO DA SILVA </t>
  </si>
  <si>
    <t>39004547-0</t>
  </si>
  <si>
    <t>036.241.584-65</t>
  </si>
  <si>
    <t>EVANDRO MACHADO DOS SANTOS</t>
  </si>
  <si>
    <t>343499915</t>
  </si>
  <si>
    <t>308.077.978-14</t>
  </si>
  <si>
    <t>ESCADARIA 5</t>
  </si>
  <si>
    <t>1 / 2 / 0</t>
  </si>
  <si>
    <t xml:space="preserve">THIAGO DE SOUZA JOSÉ </t>
  </si>
  <si>
    <t>498154026</t>
  </si>
  <si>
    <t>452.747.968-77</t>
  </si>
  <si>
    <t>TETÉU</t>
  </si>
  <si>
    <t>CARMEM CORREIA DE ANDRADE</t>
  </si>
  <si>
    <t>245719167</t>
  </si>
  <si>
    <t>108.528.498-00</t>
  </si>
  <si>
    <t>RUA DAS PEDRAS</t>
  </si>
  <si>
    <t>670</t>
  </si>
  <si>
    <t>672 / 670 / 670A</t>
  </si>
  <si>
    <t>ROBSON FERNANDES SILVEIRA</t>
  </si>
  <si>
    <t>391439807</t>
  </si>
  <si>
    <t>456.805.398-61</t>
  </si>
  <si>
    <t>6 / 06 / 8</t>
  </si>
  <si>
    <t>ZENALDIO PEREIRA ARRUDA</t>
  </si>
  <si>
    <t>CNH</t>
  </si>
  <si>
    <t>331.534.708-55</t>
  </si>
  <si>
    <t>50 / 51 / 52</t>
  </si>
  <si>
    <t xml:space="preserve">ROBSON FERNANDES SILVEIRA </t>
  </si>
  <si>
    <t xml:space="preserve">ANTÔNIO JOÃO DOS SANTOS </t>
  </si>
  <si>
    <t>157364094</t>
  </si>
  <si>
    <t>017.894.448-37</t>
  </si>
  <si>
    <t>EDNEIDE SOARES</t>
  </si>
  <si>
    <t>529788755</t>
  </si>
  <si>
    <t>508.326.545-15</t>
  </si>
  <si>
    <t>23 / 24 / 25</t>
  </si>
  <si>
    <t xml:space="preserve">RAIMUNDA NASCIMENTO DA COSTA </t>
  </si>
  <si>
    <t>341537469</t>
  </si>
  <si>
    <t>348.630.308-27</t>
  </si>
  <si>
    <t>830</t>
  </si>
  <si>
    <t>834 / 830 / 840</t>
  </si>
  <si>
    <t xml:space="preserve">EDNALDO DO CARMO LOPES </t>
  </si>
  <si>
    <t>562726068</t>
  </si>
  <si>
    <t>691.226.445-04</t>
  </si>
  <si>
    <t>ROSANGELA MARIA DE SANTANA</t>
  </si>
  <si>
    <t>391924357</t>
  </si>
  <si>
    <t>726.640.881-49</t>
  </si>
  <si>
    <t xml:space="preserve">ROSINEIDE OLIVEIRA DA SILVA </t>
  </si>
  <si>
    <t>25339070-9</t>
  </si>
  <si>
    <t>097.838.278-12</t>
  </si>
  <si>
    <t>62 / 62 / 64</t>
  </si>
  <si>
    <t>JOSE HENRIQUE PONTES DA SILVA</t>
  </si>
  <si>
    <t>128.059.344-07</t>
  </si>
  <si>
    <t xml:space="preserve">BRUNO AUGUSTO DO NASCIMENTO SANTOS </t>
  </si>
  <si>
    <t>462527682</t>
  </si>
  <si>
    <t>371.917.928-17</t>
  </si>
  <si>
    <t xml:space="preserve">ANDEILSON VIEIRA DOS SANTOS </t>
  </si>
  <si>
    <t>386.423.628-20</t>
  </si>
  <si>
    <t xml:space="preserve">EDILENE MARQUES DA SILVA </t>
  </si>
  <si>
    <t>298.847.018-90</t>
  </si>
  <si>
    <t>106 / 104 / 108</t>
  </si>
  <si>
    <t>EDNA MARQUES DA SILVA</t>
  </si>
  <si>
    <t>350409687</t>
  </si>
  <si>
    <t>306.485.948-07</t>
  </si>
  <si>
    <t>104 / 104 / 104 CASA 2</t>
  </si>
  <si>
    <t xml:space="preserve">EDVANIA MARQUES DA SILVA </t>
  </si>
  <si>
    <t>230.698.718-10</t>
  </si>
  <si>
    <t>99 / 101 / 103</t>
  </si>
  <si>
    <t xml:space="preserve">GUILHERMME HENRIQUE GOMES DE AQUINO </t>
  </si>
  <si>
    <t>11 / 9B / 13</t>
  </si>
  <si>
    <t xml:space="preserve">KETLLYN SANTIAGO DE OLIVEIRA LOBO </t>
  </si>
  <si>
    <t>528406553</t>
  </si>
  <si>
    <t>408.074.208-83</t>
  </si>
  <si>
    <t xml:space="preserve">CAMILA FERREIRA MOREIRA DE SOUZA </t>
  </si>
  <si>
    <t>538792541</t>
  </si>
  <si>
    <t>506.800.348-46</t>
  </si>
  <si>
    <t xml:space="preserve">FRANCISCA MARIA DA CONCEICAO </t>
  </si>
  <si>
    <t>22547400-1</t>
  </si>
  <si>
    <t>325.661.743-34</t>
  </si>
  <si>
    <t xml:space="preserve">AMAURI PAREIRA DO NASCIMENTO </t>
  </si>
  <si>
    <t>18860752 -3</t>
  </si>
  <si>
    <t>393.476.995-00</t>
  </si>
  <si>
    <t xml:space="preserve">JOSEFA REIS CARVALHO DE JESUS </t>
  </si>
  <si>
    <t>27080489-4</t>
  </si>
  <si>
    <t>192.635.958-52</t>
  </si>
  <si>
    <t>ANTONIA PEREIRA DA SILVA MARTINS</t>
  </si>
  <si>
    <t>335770915</t>
  </si>
  <si>
    <t>264.551.798-62</t>
  </si>
  <si>
    <t xml:space="preserve">LEANDY DA SILVA MARTINS </t>
  </si>
  <si>
    <t>486604147</t>
  </si>
  <si>
    <t>354.681.698-60</t>
  </si>
  <si>
    <t xml:space="preserve">JOSE MARIO DA SILVA JACINTO </t>
  </si>
  <si>
    <t>48603172X</t>
  </si>
  <si>
    <t>364.814.868-07</t>
  </si>
  <si>
    <t xml:space="preserve">FABIANO FERNANDO FAUSTO </t>
  </si>
  <si>
    <t>347428940</t>
  </si>
  <si>
    <t>057.251.226-03</t>
  </si>
  <si>
    <t>MARCOS ANTONIO DA SILVA</t>
  </si>
  <si>
    <t>39419609</t>
  </si>
  <si>
    <t>374.956.368-31</t>
  </si>
  <si>
    <t xml:space="preserve">LEONARDO DA SILVA MARTINS </t>
  </si>
  <si>
    <t>37775366</t>
  </si>
  <si>
    <t>350.367.638-40</t>
  </si>
  <si>
    <t>10 / 12 / 0</t>
  </si>
  <si>
    <t>EDRIJANE BONFIM</t>
  </si>
  <si>
    <t>395057899</t>
  </si>
  <si>
    <t>974.657.635-68</t>
  </si>
  <si>
    <t xml:space="preserve">MARCELO FRANÇA DA SILVA </t>
  </si>
  <si>
    <t>525832646</t>
  </si>
  <si>
    <t>307.154.568-14</t>
  </si>
  <si>
    <t>02A</t>
  </si>
  <si>
    <t>00 / 02A / 04</t>
  </si>
  <si>
    <t>VERA LUCIA DOS SANTOS DA SILVA</t>
  </si>
  <si>
    <t>370653373</t>
  </si>
  <si>
    <t>307.154.618-18</t>
  </si>
  <si>
    <t xml:space="preserve">LUCIA MARIA DA SILVA </t>
  </si>
  <si>
    <t>263640759</t>
  </si>
  <si>
    <t>197.514.988-21</t>
  </si>
  <si>
    <t xml:space="preserve">SILVIO MENEZES DA SILVA </t>
  </si>
  <si>
    <t>360270384</t>
  </si>
  <si>
    <t>331.305.768-35</t>
  </si>
  <si>
    <t xml:space="preserve">SEVERINA RAMOS SILVA DOS SANTOS </t>
  </si>
  <si>
    <t>18502715-5</t>
  </si>
  <si>
    <t>133.618.148-63</t>
  </si>
  <si>
    <t xml:space="preserve">ZELIA  BEZERRA DA ROCHA </t>
  </si>
  <si>
    <t>397.819.334-53</t>
  </si>
  <si>
    <t xml:space="preserve">NELSON BISPO DOS SANTOS </t>
  </si>
  <si>
    <t>070.050.858-92</t>
  </si>
  <si>
    <t>03 / 02 / 04</t>
  </si>
  <si>
    <t>RN NOVO</t>
  </si>
  <si>
    <t xml:space="preserve">TIAGO DE ALMEIDA SANTOS </t>
  </si>
  <si>
    <t>548566240</t>
  </si>
  <si>
    <t>096.858.704-63</t>
  </si>
  <si>
    <t xml:space="preserve">ROSA RUANA DA COSTA ARAUJO </t>
  </si>
  <si>
    <t>398983914</t>
  </si>
  <si>
    <t>013.730.063-82</t>
  </si>
  <si>
    <t xml:space="preserve">MARIA FILOMENA BRAZAO CABOZ DE CABRAL </t>
  </si>
  <si>
    <t>162.400.798-80</t>
  </si>
  <si>
    <t xml:space="preserve">JOSE CLAUDIO SANTOS </t>
  </si>
  <si>
    <t>1076714</t>
  </si>
  <si>
    <t>609.187.645-72</t>
  </si>
  <si>
    <t xml:space="preserve">MERIVALDA DE OLIVEIRA </t>
  </si>
  <si>
    <t>36159292-9</t>
  </si>
  <si>
    <t>295.434.638-83</t>
  </si>
  <si>
    <t xml:space="preserve">MARCIA MARIA LOPES </t>
  </si>
  <si>
    <t>24571530</t>
  </si>
  <si>
    <t>267.989.548-71</t>
  </si>
  <si>
    <t xml:space="preserve">ALESSANDRA MACENA DOS SANTOS </t>
  </si>
  <si>
    <t>465.413.368-22</t>
  </si>
  <si>
    <t xml:space="preserve">MARIA ELENALVA DOS SANTOS </t>
  </si>
  <si>
    <t>62371966-6</t>
  </si>
  <si>
    <t>514.617.828-30</t>
  </si>
  <si>
    <t>03  / 05 / 07</t>
  </si>
  <si>
    <t xml:space="preserve">LORENA SANTOS LIMA VIEIRA </t>
  </si>
  <si>
    <t>37884289</t>
  </si>
  <si>
    <t>377.978.208-13</t>
  </si>
  <si>
    <t>VALDEILSON LOPES RAMOS VIEIRA</t>
  </si>
  <si>
    <t>42340267</t>
  </si>
  <si>
    <t>387.917.848-83</t>
  </si>
  <si>
    <t>46 / 48 / 48</t>
  </si>
  <si>
    <t xml:space="preserve">RAYANY DOS SANTOS RODRIGUES </t>
  </si>
  <si>
    <t>67375326-8</t>
  </si>
  <si>
    <t>568.692.528-31</t>
  </si>
  <si>
    <t>42384609-7</t>
  </si>
  <si>
    <t>JACIANA BARBOSA RODRIGUES DA SILVA SOUZA</t>
  </si>
  <si>
    <t>401977092</t>
  </si>
  <si>
    <t>373.995.628-30</t>
  </si>
  <si>
    <t xml:space="preserve">NIVALDO DO PATROCÍNIO </t>
  </si>
  <si>
    <t>27877881</t>
  </si>
  <si>
    <t>199.411.938-19</t>
  </si>
  <si>
    <t>64 / 66 / 68</t>
  </si>
  <si>
    <t>C64 / 66 / 68</t>
  </si>
  <si>
    <t xml:space="preserve">MARIA ELIZÂNGELA DOS SANTOS </t>
  </si>
  <si>
    <t>631023689</t>
  </si>
  <si>
    <t>VIVIAN OLIVEIRA FERREIRA</t>
  </si>
  <si>
    <t>688517535</t>
  </si>
  <si>
    <t>073.011.835-50</t>
  </si>
  <si>
    <t>117 / 119 / 121</t>
  </si>
  <si>
    <t xml:space="preserve">NAIRIS OLIVEIRA DOS SANTOS </t>
  </si>
  <si>
    <t>572965928</t>
  </si>
  <si>
    <t>054.165.955-31</t>
  </si>
  <si>
    <t>50 / 52 / 54</t>
  </si>
  <si>
    <t xml:space="preserve">MARCOS DAVI MONSON COSTA </t>
  </si>
  <si>
    <t>45054179</t>
  </si>
  <si>
    <t>375.195.248-92</t>
  </si>
  <si>
    <t>MARIA DE JESUS</t>
  </si>
  <si>
    <t>586481850</t>
  </si>
  <si>
    <t>007.526.475-71</t>
  </si>
  <si>
    <t>BECO 3E</t>
  </si>
  <si>
    <t>33 / 34 / 35</t>
  </si>
  <si>
    <t>PATRICIA EVELIN SANTOS BRANDAO PAULINO</t>
  </si>
  <si>
    <t>535302733</t>
  </si>
  <si>
    <t>482.989.348-65</t>
  </si>
  <si>
    <t xml:space="preserve">LUCIENE COSTA </t>
  </si>
  <si>
    <t>256861134</t>
  </si>
  <si>
    <t>134.018.918-63</t>
  </si>
  <si>
    <t>CAMINHO SÃO MANOEL BECO 26 D</t>
  </si>
  <si>
    <t xml:space="preserve">JOSEFA FREITAS SANTANA IRMA </t>
  </si>
  <si>
    <t>360.485.488-18</t>
  </si>
  <si>
    <t>142</t>
  </si>
  <si>
    <t>140 / 142 / 144</t>
  </si>
  <si>
    <t>JOSEFA FREITAS SANTANA IRMA</t>
  </si>
  <si>
    <t xml:space="preserve">MARIA CAROLAINE PEREIRA DE JESUS SANTOS </t>
  </si>
  <si>
    <t>2105704581</t>
  </si>
  <si>
    <t>072.471.435-92</t>
  </si>
  <si>
    <t>34 / 34A / 36</t>
  </si>
  <si>
    <t xml:space="preserve">MARA ROBERTA DE SOUZA ASSUNCAO </t>
  </si>
  <si>
    <t>49830357</t>
  </si>
  <si>
    <t>454.776.918-40</t>
  </si>
  <si>
    <t>RICARDO DOS SANTOS LIMA</t>
  </si>
  <si>
    <t>625002968</t>
  </si>
  <si>
    <t>515.852.858-62</t>
  </si>
  <si>
    <t>32 / 33 / 34</t>
  </si>
  <si>
    <t xml:space="preserve">MARIA DE LOURDES CARDOSO </t>
  </si>
  <si>
    <t>92066550</t>
  </si>
  <si>
    <t>041.420.198-13</t>
  </si>
  <si>
    <t xml:space="preserve">ISMÊNIA MARIA DOS SANTOS </t>
  </si>
  <si>
    <t>842.724.654-49</t>
  </si>
  <si>
    <t>FERNANDA SOUZA REIS</t>
  </si>
  <si>
    <t>62838466X</t>
  </si>
  <si>
    <t>047.039.495-12</t>
  </si>
  <si>
    <t xml:space="preserve">SAMANTHA GABRIELLY QUEIROZ VITA COSTA </t>
  </si>
  <si>
    <t>380.566.648-90</t>
  </si>
  <si>
    <t xml:space="preserve">JOSEFA CELESTINO COSTA </t>
  </si>
  <si>
    <t>592012621</t>
  </si>
  <si>
    <t>347.508.028-16</t>
  </si>
  <si>
    <t xml:space="preserve">ROSEMEIRE MAURIZ DA SILVA </t>
  </si>
  <si>
    <t>33824536-4</t>
  </si>
  <si>
    <t>223.870.418-36</t>
  </si>
  <si>
    <t>MATHEUS VASCONCELOS ALVES</t>
  </si>
  <si>
    <t>534010581</t>
  </si>
  <si>
    <t>480.257.998-59</t>
  </si>
  <si>
    <t xml:space="preserve">CLAUDINETE CONCEIÇÃO DA SILVA </t>
  </si>
  <si>
    <t>625615104</t>
  </si>
  <si>
    <t>102.372.884-27</t>
  </si>
  <si>
    <t>ANA LUCIA MENDES SANTANA DA SILVA</t>
  </si>
  <si>
    <t>264609153</t>
  </si>
  <si>
    <t>257.538.748-51</t>
  </si>
  <si>
    <t>GILBERTO CONÇEIÇÃO DE OLIVEIRA</t>
  </si>
  <si>
    <t>567943501</t>
  </si>
  <si>
    <t>030.733.395-74</t>
  </si>
  <si>
    <t>THAMIRYS MARIA KLIPPEL PEREZ</t>
  </si>
  <si>
    <t>41297470</t>
  </si>
  <si>
    <t>357.871.258-27</t>
  </si>
  <si>
    <t>27080489</t>
  </si>
  <si>
    <t xml:space="preserve">CLECIO OLIVEIRA FERREIRA </t>
  </si>
  <si>
    <t>57482312</t>
  </si>
  <si>
    <t>055.541.635-64</t>
  </si>
  <si>
    <t xml:space="preserve">KATHLEN CRISTINA DA SILVA </t>
  </si>
  <si>
    <t>53197933-7</t>
  </si>
  <si>
    <t>435.242.618-09</t>
  </si>
  <si>
    <t xml:space="preserve">NILVAVANIO DE CARES FERNANDES </t>
  </si>
  <si>
    <t>64356964</t>
  </si>
  <si>
    <t>106.552.866-32</t>
  </si>
  <si>
    <t>JANELINE KEILA RODRIGUES DA SILVA</t>
  </si>
  <si>
    <t>468639263</t>
  </si>
  <si>
    <t>330.132.198-40</t>
  </si>
  <si>
    <t>HAMILTON FRANCISCO DOS SANTOA</t>
  </si>
  <si>
    <t>214372741</t>
  </si>
  <si>
    <t>121.275.258-92</t>
  </si>
  <si>
    <t>VILA DOS CRIADORES</t>
  </si>
  <si>
    <t>TELMA DIAS DOS SANTOS MARTINS</t>
  </si>
  <si>
    <t>501039776</t>
  </si>
  <si>
    <t>273.807.228-32</t>
  </si>
  <si>
    <t>RUA PROJETADA E</t>
  </si>
  <si>
    <t>1027</t>
  </si>
  <si>
    <t>1025 / 1027 / 1029</t>
  </si>
  <si>
    <t xml:space="preserve">JOSE PRAZERES DE OLIVEIRA </t>
  </si>
  <si>
    <t>387663346</t>
  </si>
  <si>
    <t>453.394.428-02</t>
  </si>
  <si>
    <t>RUA PROJETADA F</t>
  </si>
  <si>
    <t>1094</t>
  </si>
  <si>
    <t>1092 / 1094 / 1095</t>
  </si>
  <si>
    <t>BAR</t>
  </si>
  <si>
    <t>MARLENE SEVERINA GOMES DA SILVA</t>
  </si>
  <si>
    <t>351474250</t>
  </si>
  <si>
    <t>385.316.708-02</t>
  </si>
  <si>
    <t>1093</t>
  </si>
  <si>
    <t>1092 / 1093 / 1095</t>
  </si>
  <si>
    <t xml:space="preserve">ANDREW KLIAMA OLIVEIRA GONÇALVES </t>
  </si>
  <si>
    <t>549417803</t>
  </si>
  <si>
    <t>504.583.478-92</t>
  </si>
  <si>
    <t>1091</t>
  </si>
  <si>
    <t>CASA</t>
  </si>
  <si>
    <t>1092 / 1091 / 1093</t>
  </si>
  <si>
    <t xml:space="preserve">CATIA CILENE DA SILVA </t>
  </si>
  <si>
    <t>234626239</t>
  </si>
  <si>
    <t>192.888.008-83</t>
  </si>
  <si>
    <t>1103</t>
  </si>
  <si>
    <t>1105 / 1103 / 1101</t>
  </si>
  <si>
    <t xml:space="preserve">IVONA DE FATIMA DA SILVEIRA PINHEIRO </t>
  </si>
  <si>
    <t>621727593</t>
  </si>
  <si>
    <t>782.032.879-72</t>
  </si>
  <si>
    <t>1105</t>
  </si>
  <si>
    <t>1103 / 1105 / 1107</t>
  </si>
  <si>
    <t xml:space="preserve">WASHINGTON SILVA DANTAS FERREIRA </t>
  </si>
  <si>
    <t>582906878</t>
  </si>
  <si>
    <t>487.984.708-92</t>
  </si>
  <si>
    <t>1101</t>
  </si>
  <si>
    <t>1099 / 1101 / 1103</t>
  </si>
  <si>
    <t xml:space="preserve">JONATHAN DA SILVEIRA </t>
  </si>
  <si>
    <t>492682756</t>
  </si>
  <si>
    <t>467.794.358-30</t>
  </si>
  <si>
    <t xml:space="preserve">PATRICKY BARBOSA FERREIRA DOS SANTOS </t>
  </si>
  <si>
    <t>606995419</t>
  </si>
  <si>
    <t>558.257.428-08</t>
  </si>
  <si>
    <t>1123</t>
  </si>
  <si>
    <t>1121 / 1123 / 1125</t>
  </si>
  <si>
    <t xml:space="preserve">MARCIA PINHEIRO </t>
  </si>
  <si>
    <t>342481927</t>
  </si>
  <si>
    <t>339.139.028-05</t>
  </si>
  <si>
    <t>ORLANDO DOS SANTOS</t>
  </si>
  <si>
    <t>01228619429</t>
  </si>
  <si>
    <t>162.342.318-02</t>
  </si>
  <si>
    <t>1122</t>
  </si>
  <si>
    <t>1123 / 1124 / 1125</t>
  </si>
  <si>
    <t>GILBERTO MANOEL DA SILVA</t>
  </si>
  <si>
    <t>99187851</t>
  </si>
  <si>
    <t>035.848.858-33</t>
  </si>
  <si>
    <t>1115</t>
  </si>
  <si>
    <t>1114 / 1115 / 1113</t>
  </si>
  <si>
    <t xml:space="preserve">BRUNO DOS SANTOS </t>
  </si>
  <si>
    <t>4192031348</t>
  </si>
  <si>
    <t>392.317.898-05</t>
  </si>
  <si>
    <t>1127</t>
  </si>
  <si>
    <t>1125 / 1127 / 1129</t>
  </si>
  <si>
    <t>VILMA LÚCIA DA SILVA</t>
  </si>
  <si>
    <t>567152194</t>
  </si>
  <si>
    <t>064.858.504-22</t>
  </si>
  <si>
    <t>1126</t>
  </si>
  <si>
    <t>1128 / 1126 / 1125</t>
  </si>
  <si>
    <t>CRISTINA FERREIRA DA SILVA</t>
  </si>
  <si>
    <t>581460832</t>
  </si>
  <si>
    <t>574.117.355-15</t>
  </si>
  <si>
    <t>1130</t>
  </si>
  <si>
    <t>1129 / 1130 / 1131</t>
  </si>
  <si>
    <t>ERISLEIA MARIADA CONCEIÇÃO PEREIRA DOS PASSOS</t>
  </si>
  <si>
    <t>NOVO RG</t>
  </si>
  <si>
    <t>619.006.833-26</t>
  </si>
  <si>
    <t>1128</t>
  </si>
  <si>
    <t>1126 / 1128 / 1130</t>
  </si>
  <si>
    <t xml:space="preserve">GABRIELA MARIA DA SILVA </t>
  </si>
  <si>
    <t>581486006</t>
  </si>
  <si>
    <t>554.172.798-79</t>
  </si>
  <si>
    <t xml:space="preserve">ITAIRAM FERREIRA SANTOS </t>
  </si>
  <si>
    <t>413237254</t>
  </si>
  <si>
    <t>347.711.178-88</t>
  </si>
  <si>
    <t>1145</t>
  </si>
  <si>
    <t>1143 / 1145 / 1147</t>
  </si>
  <si>
    <t xml:space="preserve">MICHAEL SANTOS MARTINS DE ARRUDA </t>
  </si>
  <si>
    <t>397869836</t>
  </si>
  <si>
    <t>481.354.488-64</t>
  </si>
  <si>
    <t xml:space="preserve">RAIMUNDO BATISTA </t>
  </si>
  <si>
    <t>17674151-3</t>
  </si>
  <si>
    <t>057.584.748-43</t>
  </si>
  <si>
    <t xml:space="preserve">VANIA DO NASCIMENTO FERREIRA </t>
  </si>
  <si>
    <t>463841785</t>
  </si>
  <si>
    <t>383.054.098-13</t>
  </si>
  <si>
    <t>1149</t>
  </si>
  <si>
    <t>1147 / 1149 / 0</t>
  </si>
  <si>
    <t>LUCIVALDA ALVES DOS SANTOS</t>
  </si>
  <si>
    <t>52997823</t>
  </si>
  <si>
    <t>878.606.515-72</t>
  </si>
  <si>
    <t xml:space="preserve">ALEXANDRE DA SILVA FERREIRA </t>
  </si>
  <si>
    <t>177518649</t>
  </si>
  <si>
    <t>115.150.968-07</t>
  </si>
  <si>
    <t>EMERENTINA ALVES DOS SANTOS</t>
  </si>
  <si>
    <t>391429589</t>
  </si>
  <si>
    <t>575.235.175-87</t>
  </si>
  <si>
    <t>DOUGLAS WILLIAN CARVALHODOS SANTOS</t>
  </si>
  <si>
    <t>447781443</t>
  </si>
  <si>
    <t>339.080.428-52</t>
  </si>
  <si>
    <t>1141</t>
  </si>
  <si>
    <t>1139 / 1141 / 1143</t>
  </si>
  <si>
    <t xml:space="preserve">INES ROCHA DA DILVA </t>
  </si>
  <si>
    <t>283640364</t>
  </si>
  <si>
    <t>192.814.248-60</t>
  </si>
  <si>
    <t>1107</t>
  </si>
  <si>
    <t>1105 / 1107 / 1127</t>
  </si>
  <si>
    <t xml:space="preserve">EDILSON BRAZ DA SILVA </t>
  </si>
  <si>
    <t>406806196</t>
  </si>
  <si>
    <t>431.048.078-09</t>
  </si>
  <si>
    <t>1119</t>
  </si>
  <si>
    <t>1117 / 1119 / 1121</t>
  </si>
  <si>
    <t xml:space="preserve">MARIA MADALENA FERREIRA </t>
  </si>
  <si>
    <t>309467342</t>
  </si>
  <si>
    <t>162.294.388-01</t>
  </si>
  <si>
    <t>1138</t>
  </si>
  <si>
    <t>1136 / 1138 / 1140</t>
  </si>
  <si>
    <t xml:space="preserve">JOSE MANOEL DA SILVA </t>
  </si>
  <si>
    <t>212503224</t>
  </si>
  <si>
    <t>025.584.468-94</t>
  </si>
  <si>
    <t>1125</t>
  </si>
  <si>
    <t>1123 / 1125 / 1127</t>
  </si>
  <si>
    <t>THAMIRIS SANTOS DE FARIAS</t>
  </si>
  <si>
    <t>567096622</t>
  </si>
  <si>
    <t>552.244.528-99</t>
  </si>
  <si>
    <t xml:space="preserve">OSWALDO DIAS DE SOUSA </t>
  </si>
  <si>
    <t>18739012</t>
  </si>
  <si>
    <t>070.121.518-62</t>
  </si>
  <si>
    <t>1132</t>
  </si>
  <si>
    <t>1134 / 1132 / 1130</t>
  </si>
  <si>
    <t xml:space="preserve">ITAISLANE FERRERA SANTOS </t>
  </si>
  <si>
    <t>413237126</t>
  </si>
  <si>
    <t>347.366.838-99</t>
  </si>
  <si>
    <t>CASA2</t>
  </si>
  <si>
    <t>JOSE IRISMAR FRANCA BEZERRA</t>
  </si>
  <si>
    <t>501040493</t>
  </si>
  <si>
    <t>231.170.198-39</t>
  </si>
  <si>
    <t xml:space="preserve">ANA LUIZA DE SIQUEIRA </t>
  </si>
  <si>
    <t>360967620</t>
  </si>
  <si>
    <t>489.077.909-49</t>
  </si>
  <si>
    <t>1134</t>
  </si>
  <si>
    <t>1136 / 1134 / 1130</t>
  </si>
  <si>
    <t>TALIA SANTOS DE FARIAS</t>
  </si>
  <si>
    <t>567097304</t>
  </si>
  <si>
    <t>482.236.328-70</t>
  </si>
  <si>
    <t xml:space="preserve">ANDERSON DE CARVALHO SILVA </t>
  </si>
  <si>
    <t>97212342653</t>
  </si>
  <si>
    <t>972.123.426-53</t>
  </si>
  <si>
    <t>1132 / 1134 / 1130</t>
  </si>
  <si>
    <t xml:space="preserve">PAOLA CRISTINA ALMEIDA SANTOS </t>
  </si>
  <si>
    <t>485608042</t>
  </si>
  <si>
    <t>234.205.208-16</t>
  </si>
  <si>
    <t>1151</t>
  </si>
  <si>
    <t>00 / 1151 / 1153</t>
  </si>
  <si>
    <t xml:space="preserve">SEVERINA ALVES DA SILVA </t>
  </si>
  <si>
    <t>577688893</t>
  </si>
  <si>
    <t>290.527.688-62</t>
  </si>
  <si>
    <t>RUA B</t>
  </si>
  <si>
    <t>307</t>
  </si>
  <si>
    <t>305 / 307 / 309</t>
  </si>
  <si>
    <t xml:space="preserve">ANA MARIA SEVERINA DA CONCEIÇÃO </t>
  </si>
  <si>
    <t>591435287</t>
  </si>
  <si>
    <t>948.014.794-72</t>
  </si>
  <si>
    <t>309</t>
  </si>
  <si>
    <t>307 / 309 / 311</t>
  </si>
  <si>
    <t xml:space="preserve">VANESSA MARIA DA SILVA BASTOS </t>
  </si>
  <si>
    <t>64492114</t>
  </si>
  <si>
    <t>073.432.314-05</t>
  </si>
  <si>
    <t>311</t>
  </si>
  <si>
    <t>309 / 311 / 313</t>
  </si>
  <si>
    <t>THIAGO ROBERTO DA SILVA BASTOS</t>
  </si>
  <si>
    <t>41881411</t>
  </si>
  <si>
    <t>364.017.198-50</t>
  </si>
  <si>
    <t xml:space="preserve">JOÃO VICTOR APRIGIO LIMA DA SILVA </t>
  </si>
  <si>
    <t>46886172832</t>
  </si>
  <si>
    <t>468.861.728-32</t>
  </si>
  <si>
    <t>315</t>
  </si>
  <si>
    <t>313 / 315 / 317</t>
  </si>
  <si>
    <t>SEVERINA MARIA DOS SANTOS</t>
  </si>
  <si>
    <t>631342321</t>
  </si>
  <si>
    <t>764.408.264-68</t>
  </si>
  <si>
    <t>1157</t>
  </si>
  <si>
    <t>1156 / 1157 / 1159</t>
  </si>
  <si>
    <t>AURISANDRO RIBEIRO DE ALCANTARA</t>
  </si>
  <si>
    <t>64544546</t>
  </si>
  <si>
    <t>072.275.464-70</t>
  </si>
  <si>
    <t>319</t>
  </si>
  <si>
    <t>317 / 319 / 321</t>
  </si>
  <si>
    <t xml:space="preserve">MARIA HELENA DA SILVA </t>
  </si>
  <si>
    <t>562290266</t>
  </si>
  <si>
    <t>294.993.518-41</t>
  </si>
  <si>
    <t>323</t>
  </si>
  <si>
    <t>325 / 323 / 327</t>
  </si>
  <si>
    <t xml:space="preserve">GERALDO BRAZ DA SILVA </t>
  </si>
  <si>
    <t>378844829</t>
  </si>
  <si>
    <t>269.462.568-16</t>
  </si>
  <si>
    <t>325</t>
  </si>
  <si>
    <t>323 / 325 / 329</t>
  </si>
  <si>
    <t xml:space="preserve">ROSIMELDA GALDINO DA SILVA </t>
  </si>
  <si>
    <t>650023997</t>
  </si>
  <si>
    <t>061.917.014-03</t>
  </si>
  <si>
    <t>341</t>
  </si>
  <si>
    <t>339 / 341 / 343</t>
  </si>
  <si>
    <t xml:space="preserve">TERESINHA DE ALMEIDA </t>
  </si>
  <si>
    <t>95779498</t>
  </si>
  <si>
    <t>121.451.328-05</t>
  </si>
  <si>
    <t>VILA PANTANAL (PANTANAL BAIXO)</t>
  </si>
  <si>
    <t>ANA MARIA DOS SANTOS</t>
  </si>
  <si>
    <t>212493334</t>
  </si>
  <si>
    <t>080.643.058-37</t>
  </si>
  <si>
    <t>RUA CANANEIA</t>
  </si>
  <si>
    <t>S01 QD01 N03</t>
  </si>
  <si>
    <t>4 / 3P / 2</t>
  </si>
  <si>
    <t xml:space="preserve">LEILIANE GALDINO PAIXÃO </t>
  </si>
  <si>
    <t>64281023</t>
  </si>
  <si>
    <t>111.351.494-96</t>
  </si>
  <si>
    <t>TIAGO CALAZANS PINTO</t>
  </si>
  <si>
    <t>404638387</t>
  </si>
  <si>
    <t>410.332.298-57</t>
  </si>
  <si>
    <t>9 / 10 / 43</t>
  </si>
  <si>
    <t xml:space="preserve">FRANCISCO DE ASSIS BELO VIEIRA </t>
  </si>
  <si>
    <t>362275154</t>
  </si>
  <si>
    <t>372.947.254-20</t>
  </si>
  <si>
    <t>S01 QD03 N06</t>
  </si>
  <si>
    <t>04 / 06 / 07</t>
  </si>
  <si>
    <t xml:space="preserve">COMERCIANTE </t>
  </si>
  <si>
    <t xml:space="preserve">ANDERSON ISAIAS PAIXÃO </t>
  </si>
  <si>
    <t>56339523</t>
  </si>
  <si>
    <t>074.658.694-98</t>
  </si>
  <si>
    <t xml:space="preserve">CHARLYNTON PEREIRA DOS SANTOS </t>
  </si>
  <si>
    <t>553817395</t>
  </si>
  <si>
    <t>441.444.038-66</t>
  </si>
  <si>
    <t xml:space="preserve">LUCAS FEITOSA GOMES PEREIRA </t>
  </si>
  <si>
    <t>394771370</t>
  </si>
  <si>
    <t>432.837.428-12</t>
  </si>
  <si>
    <t>S01 QD02 N02</t>
  </si>
  <si>
    <t>1 / 3 / 4</t>
  </si>
  <si>
    <t>ANA MARIA BANDEIRA DE SOUZA</t>
  </si>
  <si>
    <t>540095618</t>
  </si>
  <si>
    <t>803.954.813-68</t>
  </si>
  <si>
    <t>24 / 23 / 22</t>
  </si>
  <si>
    <t>MANOEL BERNADINA DE ALMEIDA</t>
  </si>
  <si>
    <t>5591762</t>
  </si>
  <si>
    <t>839.396.608-68</t>
  </si>
  <si>
    <t>S01 QD02 N05</t>
  </si>
  <si>
    <t xml:space="preserve">CELIO SANTOS DE FATIMA BISPO REIS </t>
  </si>
  <si>
    <t>447772740</t>
  </si>
  <si>
    <t>236.741.858-65</t>
  </si>
  <si>
    <t>CASA 6</t>
  </si>
  <si>
    <t xml:space="preserve">JOSE DE FATIMA BISPO REIS </t>
  </si>
  <si>
    <t>143145466</t>
  </si>
  <si>
    <t>025.481.578-22</t>
  </si>
  <si>
    <t>CASA 7</t>
  </si>
  <si>
    <t xml:space="preserve">VIVIANE GALDINO PAIXAO </t>
  </si>
  <si>
    <t>642810631</t>
  </si>
  <si>
    <t>127.045.794-23</t>
  </si>
  <si>
    <t>CASA 9</t>
  </si>
  <si>
    <t xml:space="preserve">MANICA FLOR DA SILVA </t>
  </si>
  <si>
    <t>478699578</t>
  </si>
  <si>
    <t>389.449.008-09</t>
  </si>
  <si>
    <t>337</t>
  </si>
  <si>
    <t>335 / 337 / 339</t>
  </si>
  <si>
    <t xml:space="preserve">ROSILENE MARIA VIEIRA </t>
  </si>
  <si>
    <t>559930860</t>
  </si>
  <si>
    <t>931.519.424-15</t>
  </si>
  <si>
    <t>JANDERSON DE OLIVEIRA LIMA</t>
  </si>
  <si>
    <t>283627633</t>
  </si>
  <si>
    <t>255.619.048-50</t>
  </si>
  <si>
    <t>19 / 18 / 17</t>
  </si>
  <si>
    <t xml:space="preserve">MATERIAL DE CONSTRUÇÃO </t>
  </si>
  <si>
    <t>CLARICE LOPES BRAVO</t>
  </si>
  <si>
    <t>131528294</t>
  </si>
  <si>
    <t>018.255.038-93</t>
  </si>
  <si>
    <t>22 / 24 / 23</t>
  </si>
  <si>
    <t>EVANILDA LOPES</t>
  </si>
  <si>
    <t>231020478</t>
  </si>
  <si>
    <t>136.461.008-69</t>
  </si>
  <si>
    <t>28 / 27 / 26</t>
  </si>
  <si>
    <t xml:space="preserve">RICHARD DA SILVA SOUZA </t>
  </si>
  <si>
    <t>54016551854</t>
  </si>
  <si>
    <t>540.165.518-54</t>
  </si>
  <si>
    <t>339</t>
  </si>
  <si>
    <t>337 / 339 / 341</t>
  </si>
  <si>
    <t>REIMAR DE OLIVEIRA MENEZES</t>
  </si>
  <si>
    <t>339304388</t>
  </si>
  <si>
    <t>220.244.498-08</t>
  </si>
  <si>
    <t>27 / 26 / 25</t>
  </si>
  <si>
    <t xml:space="preserve">PEDRO PEREIRA DO MONTE </t>
  </si>
  <si>
    <t>02153308461</t>
  </si>
  <si>
    <t>021.533.084-61</t>
  </si>
  <si>
    <t>1129</t>
  </si>
  <si>
    <t>1127 / 1129 / 1138</t>
  </si>
  <si>
    <t xml:space="preserve">ANALTIDE SOARES DE ALMEIDA </t>
  </si>
  <si>
    <t>522216274</t>
  </si>
  <si>
    <t>553.137.871-87</t>
  </si>
  <si>
    <t>1095</t>
  </si>
  <si>
    <t>1093 / 1095 / 1097</t>
  </si>
  <si>
    <t xml:space="preserve">KATIANA SOUZA MIRANDA </t>
  </si>
  <si>
    <t>347436420</t>
  </si>
  <si>
    <t>337.404.908-70</t>
  </si>
  <si>
    <t>TRAVESSA COLINA</t>
  </si>
  <si>
    <t>S02 QD2 N09</t>
  </si>
  <si>
    <t>7 / 08 / 9</t>
  </si>
  <si>
    <t xml:space="preserve">JAILTON FERREIRA DA SILVA </t>
  </si>
  <si>
    <t>470558519</t>
  </si>
  <si>
    <t>423.690.368-77</t>
  </si>
  <si>
    <t>RUA 47</t>
  </si>
  <si>
    <t>38 / 37 / 36</t>
  </si>
  <si>
    <t xml:space="preserve">MAYARA DE ALMEIDA BARBOSA NOVAIS </t>
  </si>
  <si>
    <t>488063930</t>
  </si>
  <si>
    <t>435.266.128-70</t>
  </si>
  <si>
    <t>313</t>
  </si>
  <si>
    <t>311 / 313 / 315</t>
  </si>
  <si>
    <t xml:space="preserve">PATRICIA DO VALE BARBOSA </t>
  </si>
  <si>
    <t xml:space="preserve">NAO </t>
  </si>
  <si>
    <t>325.584.758-35</t>
  </si>
  <si>
    <t xml:space="preserve">ANDERSON ALVES CORREIA </t>
  </si>
  <si>
    <t>38173987</t>
  </si>
  <si>
    <t>383.129.188-84</t>
  </si>
  <si>
    <t>13 / 15 / 00</t>
  </si>
  <si>
    <t xml:space="preserve">MISLENE LIMA DE OLIVEIRA </t>
  </si>
  <si>
    <t>671723170</t>
  </si>
  <si>
    <t>057.409.515-26</t>
  </si>
  <si>
    <t>9B / 09C / 09D</t>
  </si>
  <si>
    <t>JOSE GILVAN JESUS</t>
  </si>
  <si>
    <t>50751325</t>
  </si>
  <si>
    <t>293.850.888-31</t>
  </si>
  <si>
    <t xml:space="preserve">ISRAEL SOUZA VIEIRA </t>
  </si>
  <si>
    <t>53342319</t>
  </si>
  <si>
    <t>030.518.785-61</t>
  </si>
  <si>
    <t xml:space="preserve">ROSIMEIRE GOMES DE ARAGÃO </t>
  </si>
  <si>
    <t>646656089</t>
  </si>
  <si>
    <t>013.098.101-09</t>
  </si>
  <si>
    <t>335</t>
  </si>
  <si>
    <t>331 / 335 / 335</t>
  </si>
  <si>
    <t xml:space="preserve">GUILHERME DA SILVA </t>
  </si>
  <si>
    <t>58625622-2</t>
  </si>
  <si>
    <t>541.504.358-63</t>
  </si>
  <si>
    <t xml:space="preserve">LAURENI BATISTA </t>
  </si>
  <si>
    <t>16589833-1</t>
  </si>
  <si>
    <t>025.371.038-31</t>
  </si>
  <si>
    <t>ALLANA ESTEVES DE CARVALHO</t>
  </si>
  <si>
    <t>702.067.441-02</t>
  </si>
  <si>
    <t>349</t>
  </si>
  <si>
    <t>347 / 349 / 351</t>
  </si>
  <si>
    <t xml:space="preserve">WILSON DA SILVA </t>
  </si>
  <si>
    <t>05678916616</t>
  </si>
  <si>
    <t>096.217.734-23</t>
  </si>
  <si>
    <t>351</t>
  </si>
  <si>
    <t>349 / 351 / 353</t>
  </si>
  <si>
    <t>PATRICIA PEREIRA DA SILVA</t>
  </si>
  <si>
    <t>593896920</t>
  </si>
  <si>
    <t>017.006.224-47</t>
  </si>
  <si>
    <t>350 / 351 / 352</t>
  </si>
  <si>
    <t>DAMIANA PORFIRIO LIMA</t>
  </si>
  <si>
    <t>594691370</t>
  </si>
  <si>
    <t>283.483.078-93</t>
  </si>
  <si>
    <t>355</t>
  </si>
  <si>
    <t>353 / 355 / 357</t>
  </si>
  <si>
    <t>ROBERTO PAULINO DA SILVA</t>
  </si>
  <si>
    <t>06250760288</t>
  </si>
  <si>
    <t>056.252.394-44</t>
  </si>
  <si>
    <t>357</t>
  </si>
  <si>
    <t>355 / 357 / 359</t>
  </si>
  <si>
    <t>ERIKA YASMIM PEQUENO DA SILVA</t>
  </si>
  <si>
    <t>56680041X</t>
  </si>
  <si>
    <t>458.501.828-02</t>
  </si>
  <si>
    <t>361</t>
  </si>
  <si>
    <t>360 / 361 / 362</t>
  </si>
  <si>
    <t xml:space="preserve">RICARDO HENRIQUE  SANTANA OLIVEIRA </t>
  </si>
  <si>
    <t>08002984328</t>
  </si>
  <si>
    <t>429.264.468-37</t>
  </si>
  <si>
    <t>363</t>
  </si>
  <si>
    <t>362 / 363 / 364</t>
  </si>
  <si>
    <t xml:space="preserve">LUIZ BATISTA DOS SANTOS </t>
  </si>
  <si>
    <t>42384503</t>
  </si>
  <si>
    <t>939.455.668-00</t>
  </si>
  <si>
    <t>359</t>
  </si>
  <si>
    <t>356 / 359 / 361</t>
  </si>
  <si>
    <t>JOSEFA AURELINA DE SOUZA</t>
  </si>
  <si>
    <t>182692863</t>
  </si>
  <si>
    <t>090.965.258-92</t>
  </si>
  <si>
    <t>373</t>
  </si>
  <si>
    <t>372 / 373 / 374</t>
  </si>
  <si>
    <t>MARIA VIVIANE FLORENCIO SANTANA</t>
  </si>
  <si>
    <t>47768264</t>
  </si>
  <si>
    <t>355.165.678-90</t>
  </si>
  <si>
    <t>371</t>
  </si>
  <si>
    <t>369 / 371 / 373</t>
  </si>
  <si>
    <t>ARIANE PEREIRA DA SILVA</t>
  </si>
  <si>
    <t>583912692</t>
  </si>
  <si>
    <t>547.855.908-31</t>
  </si>
  <si>
    <t>365</t>
  </si>
  <si>
    <t>367 / 365 / 369</t>
  </si>
  <si>
    <t>ELENALDA MADEIRA BISPO</t>
  </si>
  <si>
    <t>575955090</t>
  </si>
  <si>
    <t>993.478.495-53</t>
  </si>
  <si>
    <t>379</t>
  </si>
  <si>
    <t>378 / 379 / 380</t>
  </si>
  <si>
    <t>FRANKLIN ANJOS CARVALHO</t>
  </si>
  <si>
    <t>68003804</t>
  </si>
  <si>
    <t>068.663.585-07</t>
  </si>
  <si>
    <t>377</t>
  </si>
  <si>
    <t>375 / 377 / 379</t>
  </si>
  <si>
    <t>EDIMILSON PEREIRA DO M</t>
  </si>
  <si>
    <t>05546483216</t>
  </si>
  <si>
    <t>359.549.218-81</t>
  </si>
  <si>
    <t xml:space="preserve">INGRID SALUSTIANO PEREIRA DA SILVA </t>
  </si>
  <si>
    <t>483645199</t>
  </si>
  <si>
    <t>372.209.558-12</t>
  </si>
  <si>
    <t>385</t>
  </si>
  <si>
    <t>383 / 385 / 387</t>
  </si>
  <si>
    <t>WILLIAN DA CRUZ DIAS</t>
  </si>
  <si>
    <t>46181939</t>
  </si>
  <si>
    <t>430.094.368-07</t>
  </si>
  <si>
    <t>15 / 13 / 11</t>
  </si>
  <si>
    <t>SARA DE JESUS SANTOS</t>
  </si>
  <si>
    <t>427395057</t>
  </si>
  <si>
    <t>316.556.798-05</t>
  </si>
  <si>
    <t>MARIA LIANDACI CAMPOS FREIRE</t>
  </si>
  <si>
    <t>376519496</t>
  </si>
  <si>
    <t>227.448.048-60</t>
  </si>
  <si>
    <t>343</t>
  </si>
  <si>
    <t>341 / 343 / 345</t>
  </si>
  <si>
    <t>MARCIA FERREIRA MORELI</t>
  </si>
  <si>
    <t>21524772-3</t>
  </si>
  <si>
    <t>097.915.568-14</t>
  </si>
  <si>
    <t>S02 QD02 N46</t>
  </si>
  <si>
    <t xml:space="preserve">MARIA BATISTA D CONCEIÇÃO </t>
  </si>
  <si>
    <t>55523867-2</t>
  </si>
  <si>
    <t>070.158.418-19</t>
  </si>
  <si>
    <t xml:space="preserve">PEDRO SANTOS DA PAIXÃO </t>
  </si>
  <si>
    <t>54854728</t>
  </si>
  <si>
    <t>311.309.538-74</t>
  </si>
  <si>
    <t>39 / 40 / 41</t>
  </si>
  <si>
    <t>JOSE ROMILDO DE JESUS FIEL</t>
  </si>
  <si>
    <t>64566764-X</t>
  </si>
  <si>
    <t>006.706.555-46</t>
  </si>
  <si>
    <t xml:space="preserve">MARIA MARGARIDA DOS SANTOS OLIVEIRA </t>
  </si>
  <si>
    <t>13879177-6</t>
  </si>
  <si>
    <t>025.558.768-63</t>
  </si>
  <si>
    <t>57 / 58 / 49</t>
  </si>
  <si>
    <t>NILDETE DE JESUS ALMEIDA</t>
  </si>
  <si>
    <t>270119942</t>
  </si>
  <si>
    <t>151.730.058-40</t>
  </si>
  <si>
    <t>S02 QD02 N05</t>
  </si>
  <si>
    <t>ROSIMEIRE AUGUSTA DE MELO</t>
  </si>
  <si>
    <t>259799634</t>
  </si>
  <si>
    <t>133.887.218-40</t>
  </si>
  <si>
    <t>S02 QD02 N47</t>
  </si>
  <si>
    <t>22 / 23 / 24</t>
  </si>
  <si>
    <t xml:space="preserve">JOSE ILSON DOS SANTOS </t>
  </si>
  <si>
    <t>309463981</t>
  </si>
  <si>
    <t>162.388.948-06</t>
  </si>
  <si>
    <t>S02 QD02 N82</t>
  </si>
  <si>
    <t>MARLENE SANTOS BURYS</t>
  </si>
  <si>
    <t>699814261</t>
  </si>
  <si>
    <t>047.749.445-56</t>
  </si>
  <si>
    <t>S02 QD02 N23</t>
  </si>
  <si>
    <t xml:space="preserve">LEONARDO SILVA DE JESUS </t>
  </si>
  <si>
    <t>352673023</t>
  </si>
  <si>
    <t>319.675.798-65</t>
  </si>
  <si>
    <t>S02 QD03 N38</t>
  </si>
  <si>
    <t>40 / 39 / 38</t>
  </si>
  <si>
    <t xml:space="preserve">DIANA DOS SANTOS RAMOS </t>
  </si>
  <si>
    <t>565583207</t>
  </si>
  <si>
    <t>112.216.304-58</t>
  </si>
  <si>
    <t>S02 QD03 N46</t>
  </si>
  <si>
    <t>48 / 46 / 45</t>
  </si>
  <si>
    <t>JOSE JAILTON DOS SANTOS RAMOS</t>
  </si>
  <si>
    <t>584884035</t>
  </si>
  <si>
    <t>109.401.304-83</t>
  </si>
  <si>
    <t>S02 QD03 N47</t>
  </si>
  <si>
    <t>46 / 47 / 48</t>
  </si>
  <si>
    <t xml:space="preserve">CLEONICE BESERRA MONTEIRO JUSTINO </t>
  </si>
  <si>
    <t>656995981</t>
  </si>
  <si>
    <t>128.289.524-95</t>
  </si>
  <si>
    <t>S02 N03 N48</t>
  </si>
  <si>
    <t>49 / 48 / 50</t>
  </si>
  <si>
    <t>ADELINO DA SILVA</t>
  </si>
  <si>
    <t>145451598</t>
  </si>
  <si>
    <t>644.406.309-44</t>
  </si>
  <si>
    <t>S02 QD03 N60</t>
  </si>
  <si>
    <t>59 / 60 / 61</t>
  </si>
  <si>
    <t>FABIANA DA SILVA GOMES</t>
  </si>
  <si>
    <t>688524473</t>
  </si>
  <si>
    <t>054.711.404-43</t>
  </si>
  <si>
    <t>1139</t>
  </si>
  <si>
    <t>000 / 1139 / 1141</t>
  </si>
  <si>
    <t xml:space="preserve">FRANCIELY DOS SANTOS ANDRADE </t>
  </si>
  <si>
    <t>481387055</t>
  </si>
  <si>
    <t>404.120.198-50</t>
  </si>
  <si>
    <t>S02 QD02 N14</t>
  </si>
  <si>
    <t>15 / 14 / 16</t>
  </si>
  <si>
    <t xml:space="preserve">JÉSSICA MARIA DE SOUSA ARAUJO </t>
  </si>
  <si>
    <t>531964875</t>
  </si>
  <si>
    <t>047.342.193-38</t>
  </si>
  <si>
    <t>S02 QD02 N41</t>
  </si>
  <si>
    <t xml:space="preserve">MIRIANE RAMOS DE ARAUJO </t>
  </si>
  <si>
    <t>20966775</t>
  </si>
  <si>
    <t>145.503.686-24</t>
  </si>
  <si>
    <t>S2 QD02 N53</t>
  </si>
  <si>
    <t xml:space="preserve">CARMELITA PEREIRA DOS SANTOS </t>
  </si>
  <si>
    <t>381.054.088-99</t>
  </si>
  <si>
    <t>S02 QD03 N26</t>
  </si>
  <si>
    <t>27 / 28 / 29</t>
  </si>
  <si>
    <t xml:space="preserve">SIMONE DA CRUZ CONCEIÇÃO </t>
  </si>
  <si>
    <t>261672204</t>
  </si>
  <si>
    <t>263.474.438-21</t>
  </si>
  <si>
    <t>NAO TEM</t>
  </si>
  <si>
    <t>37 / 38 / 39</t>
  </si>
  <si>
    <t xml:space="preserve">ANDERSON CAMARGO LUIZ </t>
  </si>
  <si>
    <t>290088616</t>
  </si>
  <si>
    <t>278.933.958-93</t>
  </si>
  <si>
    <t>S2 QD03 N44</t>
  </si>
  <si>
    <t>GLEICE DE OLIVEIRA</t>
  </si>
  <si>
    <t>416450039</t>
  </si>
  <si>
    <t>328.497.948-48</t>
  </si>
  <si>
    <t>57</t>
  </si>
  <si>
    <t>S02 QD03 N55</t>
  </si>
  <si>
    <t>56 / 57 / 58</t>
  </si>
  <si>
    <t xml:space="preserve">DEMERSON MACEDO RODRIGUES </t>
  </si>
  <si>
    <t>449475281</t>
  </si>
  <si>
    <t>447.133.778-56</t>
  </si>
  <si>
    <t>S02 QD03 N64</t>
  </si>
  <si>
    <t>65 / 66 / 67</t>
  </si>
  <si>
    <t>MONICA ESMERALDA SANTOS DE JESUS</t>
  </si>
  <si>
    <t>42069982X</t>
  </si>
  <si>
    <t>450.815.848-00</t>
  </si>
  <si>
    <t>S02 QD02 N52</t>
  </si>
  <si>
    <t xml:space="preserve">LEANDRA COSTA SANTOS </t>
  </si>
  <si>
    <t>07813387620</t>
  </si>
  <si>
    <t>494.988.828-51</t>
  </si>
  <si>
    <t>S02 QD03 N30</t>
  </si>
  <si>
    <t>31 / 32 / 33</t>
  </si>
  <si>
    <t xml:space="preserve">JOSE ANTONIO SANTOS DE OLIVEIRA </t>
  </si>
  <si>
    <t>365500707</t>
  </si>
  <si>
    <t>388.798.578-86</t>
  </si>
  <si>
    <t>S02 QD01 N03</t>
  </si>
  <si>
    <t xml:space="preserve">JOSE CARLOS PATRICIO </t>
  </si>
  <si>
    <t>176013386</t>
  </si>
  <si>
    <t>066.138.278-86</t>
  </si>
  <si>
    <t>S02 QD01 N04</t>
  </si>
  <si>
    <t xml:space="preserve">AMBULANTE </t>
  </si>
  <si>
    <t xml:space="preserve">THAIS DA SILVA </t>
  </si>
  <si>
    <t>565253748</t>
  </si>
  <si>
    <t>459.184.128-67</t>
  </si>
  <si>
    <t>S02 QD02 N15</t>
  </si>
  <si>
    <t xml:space="preserve">JANDERSON DE OLIVEIRA LIMA </t>
  </si>
  <si>
    <t>S02 QD02 N16</t>
  </si>
  <si>
    <t>S02 QD02 N17</t>
  </si>
  <si>
    <t xml:space="preserve">MARIA EDUARDA SANTOS DE ALMEIDA </t>
  </si>
  <si>
    <t>65592912</t>
  </si>
  <si>
    <t>566.730.028-16</t>
  </si>
  <si>
    <t>S02 QD02 N12</t>
  </si>
  <si>
    <t xml:space="preserve">NADJARA CRISTINA DA SILVA </t>
  </si>
  <si>
    <t>379480293</t>
  </si>
  <si>
    <t>346.565.068-93</t>
  </si>
  <si>
    <t>N 2</t>
  </si>
  <si>
    <t>1 / N 2 / 3</t>
  </si>
  <si>
    <t xml:space="preserve">LUCICLEIDE JOANA DA SILVA </t>
  </si>
  <si>
    <t>664651318</t>
  </si>
  <si>
    <t>070.333.224-45</t>
  </si>
  <si>
    <t>S02 QD03 N44</t>
  </si>
  <si>
    <t>19 / 20 / 21</t>
  </si>
  <si>
    <t xml:space="preserve">MIRELLA ALVES PEREIRA </t>
  </si>
  <si>
    <t>656066921</t>
  </si>
  <si>
    <t>556.856.058-70</t>
  </si>
  <si>
    <t>S02 QD02 N49</t>
  </si>
  <si>
    <t>24 / 25 / 26</t>
  </si>
  <si>
    <t xml:space="preserve">TAIS SANTOS DE JESUS </t>
  </si>
  <si>
    <t>693105434</t>
  </si>
  <si>
    <t>069.478.005-79</t>
  </si>
  <si>
    <t>S02 QD03 N27</t>
  </si>
  <si>
    <t>28 / 29 / 30</t>
  </si>
  <si>
    <t xml:space="preserve">ADAILDE PINHEIRO LIMA </t>
  </si>
  <si>
    <t>621392856</t>
  </si>
  <si>
    <t>602.747.063-18</t>
  </si>
  <si>
    <t>S02 QD03 N33</t>
  </si>
  <si>
    <t xml:space="preserve">RODISON FELIPE MIRANDA </t>
  </si>
  <si>
    <t>430892408</t>
  </si>
  <si>
    <t>445.852.868-88</t>
  </si>
  <si>
    <t>S02 QD03 N43</t>
  </si>
  <si>
    <t>41 / 42 / 43</t>
  </si>
  <si>
    <t xml:space="preserve">JANIELE ANTERO DA SILVA </t>
  </si>
  <si>
    <t>402410737</t>
  </si>
  <si>
    <t>429.279.538-05</t>
  </si>
  <si>
    <t>49 / 50 / 52</t>
  </si>
  <si>
    <t xml:space="preserve">KARINE VETONICA FERNANDES DUARTE </t>
  </si>
  <si>
    <t>434345544</t>
  </si>
  <si>
    <t>397.657.438-40</t>
  </si>
  <si>
    <t>S02 QD03 N42</t>
  </si>
  <si>
    <t xml:space="preserve">ANA KAROLINE TENORIO TAVARES </t>
  </si>
  <si>
    <t>445968928</t>
  </si>
  <si>
    <t>423.053.938-06</t>
  </si>
  <si>
    <t>S02 QD03 N54</t>
  </si>
  <si>
    <t>55 / 56 / 57</t>
  </si>
  <si>
    <t xml:space="preserve">NOEMI DA SILVA CARRILLO VIDAL </t>
  </si>
  <si>
    <t>457224009</t>
  </si>
  <si>
    <t>435.567.708-73</t>
  </si>
  <si>
    <t>S02 QD03 N62</t>
  </si>
  <si>
    <t>63 / 64 / 65</t>
  </si>
  <si>
    <t xml:space="preserve">JOSE AUGUSTOS PAXECO ANDRESA </t>
  </si>
  <si>
    <t>700635221</t>
  </si>
  <si>
    <t>121.925.684-60</t>
  </si>
  <si>
    <t>S02 QD03 N01</t>
  </si>
  <si>
    <t>51 / 52 / 53</t>
  </si>
  <si>
    <t xml:space="preserve">JESSICA SANTOS DA SILVA </t>
  </si>
  <si>
    <t>42522785X</t>
  </si>
  <si>
    <t>417.028.138-19</t>
  </si>
  <si>
    <t>S02 QD03 N53</t>
  </si>
  <si>
    <t>53 / 54 / 55</t>
  </si>
  <si>
    <t>TIAGO RICARDO DA CONCEIÇÃO</t>
  </si>
  <si>
    <t>423257973</t>
  </si>
  <si>
    <t>490.366.068-02</t>
  </si>
  <si>
    <t>S02 QD01 N05</t>
  </si>
  <si>
    <t xml:space="preserve">RONALDO BELO VIEIRA </t>
  </si>
  <si>
    <t>285333963</t>
  </si>
  <si>
    <t>162.390.448-06</t>
  </si>
  <si>
    <t>S1 QD 3 N04</t>
  </si>
  <si>
    <t>JOSE ANTÔNIO DE SOUZA</t>
  </si>
  <si>
    <t>169646439</t>
  </si>
  <si>
    <t>121.471.538-93</t>
  </si>
  <si>
    <t>S01 QD02 N32</t>
  </si>
  <si>
    <t>09 / 8 / 07</t>
  </si>
  <si>
    <t xml:space="preserve">JOSELINE VIEIRA BARRETO </t>
  </si>
  <si>
    <t>423784973</t>
  </si>
  <si>
    <t>453.365.068-69</t>
  </si>
  <si>
    <t>16 / 12 / 10</t>
  </si>
  <si>
    <t>JOSEFA VIEIRA DE LIMA</t>
  </si>
  <si>
    <t>28961630X</t>
  </si>
  <si>
    <t>199.461.598-21</t>
  </si>
  <si>
    <t>16 / 12 / 11</t>
  </si>
  <si>
    <t>MARIA DE FATIMA MOREIRA DOS SANTOS</t>
  </si>
  <si>
    <t>308034420</t>
  </si>
  <si>
    <t>093.736.717-66</t>
  </si>
  <si>
    <t>CASA 03</t>
  </si>
  <si>
    <t>ANTÔNIO EDSON MOREIRA PAULINO</t>
  </si>
  <si>
    <t>58161270X</t>
  </si>
  <si>
    <t>122.567.787-46</t>
  </si>
  <si>
    <t>CASA 04</t>
  </si>
  <si>
    <t>PHILIPE BARRETO RAGO CORDEIRO</t>
  </si>
  <si>
    <t>264266461</t>
  </si>
  <si>
    <t>150.950.687-02</t>
  </si>
  <si>
    <t>11 / 9 / 10</t>
  </si>
  <si>
    <t xml:space="preserve">TANIA MARA DOS SANTOS </t>
  </si>
  <si>
    <t>16838407</t>
  </si>
  <si>
    <t>048.057.918-02</t>
  </si>
  <si>
    <t xml:space="preserve">AMADEU SILVA DOS SANTOS </t>
  </si>
  <si>
    <t>25605931814</t>
  </si>
  <si>
    <t>256.059.318-14</t>
  </si>
  <si>
    <t xml:space="preserve">RUA G </t>
  </si>
  <si>
    <t xml:space="preserve">MARCELLY TAINARA SILVA LIMA </t>
  </si>
  <si>
    <t>580035827</t>
  </si>
  <si>
    <t>503.906.458-69</t>
  </si>
  <si>
    <t>RUA A</t>
  </si>
  <si>
    <t>40 / 38 / 36</t>
  </si>
  <si>
    <t>JOSE DANILO DOS SANTOS BATISTA</t>
  </si>
  <si>
    <t>47550357</t>
  </si>
  <si>
    <t>WAGNER BASTOS BORGER</t>
  </si>
  <si>
    <t>537691674</t>
  </si>
  <si>
    <t>503.906.208-74</t>
  </si>
  <si>
    <t xml:space="preserve">LARINE MOREIRA DA SILVA </t>
  </si>
  <si>
    <t>523805706</t>
  </si>
  <si>
    <t>409.132.518-10</t>
  </si>
  <si>
    <t>38 / 36 / 34</t>
  </si>
  <si>
    <t>SHAMYRA BASTOS BORGES</t>
  </si>
  <si>
    <t>537691595</t>
  </si>
  <si>
    <t>511.036.338-21</t>
  </si>
  <si>
    <t>36 / 34 / 32</t>
  </si>
  <si>
    <t xml:space="preserve">DRIANE FRANCISCA DA SILVA </t>
  </si>
  <si>
    <t>39143649807</t>
  </si>
  <si>
    <t>391.436.498-07</t>
  </si>
  <si>
    <t>ROSIANE DO NASCIMENTO</t>
  </si>
  <si>
    <t>301804795</t>
  </si>
  <si>
    <t>310.594.508-36</t>
  </si>
  <si>
    <t>S02 QD04 N04</t>
  </si>
  <si>
    <t xml:space="preserve">05 / 06 / </t>
  </si>
  <si>
    <t xml:space="preserve">GISLAINE ALMEIDA DA SILVA </t>
  </si>
  <si>
    <t>419204131</t>
  </si>
  <si>
    <t>307.618.028-27</t>
  </si>
  <si>
    <t>ROSA MARIA MOREIRADA COSTA</t>
  </si>
  <si>
    <t>608043230</t>
  </si>
  <si>
    <t>323.513.858-70</t>
  </si>
  <si>
    <t>38 / 42 / 40</t>
  </si>
  <si>
    <t xml:space="preserve">GILBERTO MANOEL DA SILVA </t>
  </si>
  <si>
    <t xml:space="preserve">ADRIANA SANTANA DA SILVA </t>
  </si>
  <si>
    <t>35395102-X</t>
  </si>
  <si>
    <t>217.519.798-06</t>
  </si>
  <si>
    <t>58 / 56 / 54</t>
  </si>
  <si>
    <t>ISAAC SILVA BASTOS</t>
  </si>
  <si>
    <t>58321611818</t>
  </si>
  <si>
    <t>583.216.118-18</t>
  </si>
  <si>
    <t>RUA D</t>
  </si>
  <si>
    <t>766</t>
  </si>
  <si>
    <t xml:space="preserve"> 674 / 766 / 0</t>
  </si>
  <si>
    <t>LORRANY FREITAS SILVA</t>
  </si>
  <si>
    <t>53748920881</t>
  </si>
  <si>
    <t>537.489.208-81</t>
  </si>
  <si>
    <t>WAGNER CAVALCANTE MACIEL</t>
  </si>
  <si>
    <t>ISABELA SILVA BASTOS</t>
  </si>
  <si>
    <t>598660264</t>
  </si>
  <si>
    <t>539.958.978-96</t>
  </si>
  <si>
    <t>759</t>
  </si>
  <si>
    <t>0 / 759 / 757</t>
  </si>
  <si>
    <t xml:space="preserve">JUCILENE MARQUES LUZ </t>
  </si>
  <si>
    <t>29644232-X</t>
  </si>
  <si>
    <t>197.552.538-82</t>
  </si>
  <si>
    <t>61 / 63 / 65</t>
  </si>
  <si>
    <t>BIANKA GUEDES MESQUITA</t>
  </si>
  <si>
    <t>RG  NOVO</t>
  </si>
  <si>
    <t>351.837.418-40</t>
  </si>
  <si>
    <t>74 / 73 / 72</t>
  </si>
  <si>
    <t>MARIZA SIRQUEIRA DA SILVA</t>
  </si>
  <si>
    <t>411.933.658-13</t>
  </si>
  <si>
    <t xml:space="preserve">30 / 31 / </t>
  </si>
  <si>
    <t>RENATO BELO VIEIRA DA SILVA</t>
  </si>
  <si>
    <t>531045699</t>
  </si>
  <si>
    <t>462.434.998-98</t>
  </si>
  <si>
    <t xml:space="preserve">33 / 32 / </t>
  </si>
  <si>
    <t>GILVANEIDE FRANCISCA DA SILVA FARIAS</t>
  </si>
  <si>
    <t>419203692</t>
  </si>
  <si>
    <t>405.312.988-50</t>
  </si>
  <si>
    <t>51 / 53 / 55</t>
  </si>
  <si>
    <t xml:space="preserve">ZANALDO LUZ SOARES </t>
  </si>
  <si>
    <t>360972603</t>
  </si>
  <si>
    <t>372.679.305-49</t>
  </si>
  <si>
    <t>FLAVIA JULIANA DE LIMA RAMOS VIEIRA</t>
  </si>
  <si>
    <t>667927293</t>
  </si>
  <si>
    <t>109.770.694-00</t>
  </si>
  <si>
    <t>762</t>
  </si>
  <si>
    <t>764 / 762 / 760</t>
  </si>
  <si>
    <t>HENRIQUE MARQUES LUZ</t>
  </si>
  <si>
    <t>55274668-X</t>
  </si>
  <si>
    <t>407.899.628-02</t>
  </si>
  <si>
    <t>MARCOS FAUSTINO DO SANTOS</t>
  </si>
  <si>
    <t>278780246</t>
  </si>
  <si>
    <t>069.950.278-09</t>
  </si>
  <si>
    <t>42 / 41 / 40</t>
  </si>
  <si>
    <t>ANTÔNIO DOS SANTOS</t>
  </si>
  <si>
    <t>149489407</t>
  </si>
  <si>
    <t>927.487.168-68</t>
  </si>
  <si>
    <t xml:space="preserve">DENICE MARQUES SANTOS </t>
  </si>
  <si>
    <t>00769742107</t>
  </si>
  <si>
    <t>912.190.355-72</t>
  </si>
  <si>
    <t>CASA 3 FUNDOS</t>
  </si>
  <si>
    <t xml:space="preserve">KAILANI GALVAO DA CUNHA </t>
  </si>
  <si>
    <t>668555853</t>
  </si>
  <si>
    <t>603.067.498-66</t>
  </si>
  <si>
    <t>57 / 59 / 61</t>
  </si>
  <si>
    <t>ISABEL MARIA DOS SANTOS</t>
  </si>
  <si>
    <t>535304341</t>
  </si>
  <si>
    <t>104.590.495-34</t>
  </si>
  <si>
    <t>760</t>
  </si>
  <si>
    <t>672 / 760 / 658</t>
  </si>
  <si>
    <t>ERIVALDO DE LIMA</t>
  </si>
  <si>
    <t>281727417</t>
  </si>
  <si>
    <t>301.094.424-15</t>
  </si>
  <si>
    <t>14 / 13 / 11</t>
  </si>
  <si>
    <t>ANDRÉIA FREITAS DE ABREU</t>
  </si>
  <si>
    <t>531186489</t>
  </si>
  <si>
    <t>298.179.118-45</t>
  </si>
  <si>
    <t xml:space="preserve">GINEIDE NUNES COSTA </t>
  </si>
  <si>
    <t>274208726</t>
  </si>
  <si>
    <t>283.128.548-86</t>
  </si>
  <si>
    <t>55 / 57 / 59</t>
  </si>
  <si>
    <t>BRUNA ARRUDA FURTADO</t>
  </si>
  <si>
    <t>415695880</t>
  </si>
  <si>
    <t>368.460.138-14</t>
  </si>
  <si>
    <t>6 / 5 / 4</t>
  </si>
  <si>
    <t>MAISA DO GAMA CORREIA</t>
  </si>
  <si>
    <t>424113272</t>
  </si>
  <si>
    <t>439.937.148-06</t>
  </si>
  <si>
    <t>15 / 14 / 13</t>
  </si>
  <si>
    <t>EDIVANIA PAULINO DA COSTA</t>
  </si>
  <si>
    <t>576233961</t>
  </si>
  <si>
    <t>332.947.068-20</t>
  </si>
  <si>
    <t>16 / 15 / 14</t>
  </si>
  <si>
    <t>ANA MARIA BARBOSA RODRIGUES FARIAS</t>
  </si>
  <si>
    <t>447008808</t>
  </si>
  <si>
    <t>301.882.508-08</t>
  </si>
  <si>
    <t>8 / 7 / 6</t>
  </si>
  <si>
    <t xml:space="preserve">MARIA DE LOURDES DOS SANTOS </t>
  </si>
  <si>
    <t>252330432</t>
  </si>
  <si>
    <t>197.511.758-10</t>
  </si>
  <si>
    <t>10 / 9 / 8</t>
  </si>
  <si>
    <t>JUAREZ MARTINS DE FREITAS</t>
  </si>
  <si>
    <t>03765294909</t>
  </si>
  <si>
    <t>189.896.728-80</t>
  </si>
  <si>
    <t>18 / 17 / 16</t>
  </si>
  <si>
    <t xml:space="preserve">DANIELLE DA SILVA FERREIRA </t>
  </si>
  <si>
    <t>9983507</t>
  </si>
  <si>
    <t>127.211.574-77</t>
  </si>
  <si>
    <t xml:space="preserve">EDVALDO OLIVEIRA SANTOS </t>
  </si>
  <si>
    <t>16957092844</t>
  </si>
  <si>
    <t>169.570.928-44</t>
  </si>
  <si>
    <t>60 / 58 / 56</t>
  </si>
  <si>
    <t xml:space="preserve">KELLY CRISTINA AZAMBUJA DA SILVA </t>
  </si>
  <si>
    <t>256375835</t>
  </si>
  <si>
    <t>167.575.798-47</t>
  </si>
  <si>
    <t xml:space="preserve">VICTOR HUGO AZAMBUJA DO PRADO </t>
  </si>
  <si>
    <t>07898003587</t>
  </si>
  <si>
    <t>499.975.388-03</t>
  </si>
  <si>
    <t>ANDERSON MATEUS COUTO LINARES</t>
  </si>
  <si>
    <t>418235296</t>
  </si>
  <si>
    <t>232.300.448-43</t>
  </si>
  <si>
    <t>758</t>
  </si>
  <si>
    <t>756 / 758 / 760</t>
  </si>
  <si>
    <t>JOSE WILSON GALDINO PAIXÃO</t>
  </si>
  <si>
    <t>569993246</t>
  </si>
  <si>
    <t>108.819.844-93</t>
  </si>
  <si>
    <t>754</t>
  </si>
  <si>
    <t>756 / 754 / 751</t>
  </si>
  <si>
    <t xml:space="preserve">ANGELICA OLIVEIRA DA SILVA </t>
  </si>
  <si>
    <t>550730916</t>
  </si>
  <si>
    <t>439.272.958-33</t>
  </si>
  <si>
    <t>42 / 40 / 38</t>
  </si>
  <si>
    <t>LARISSA TAYNA FLORENCIO DE LIMA HIMARO</t>
  </si>
  <si>
    <t>522008926</t>
  </si>
  <si>
    <t>400.182.748-46</t>
  </si>
  <si>
    <t>329</t>
  </si>
  <si>
    <t>331 / 329 / 327</t>
  </si>
  <si>
    <t>ANA PAULA DA SILVA COSTA</t>
  </si>
  <si>
    <t>334944156</t>
  </si>
  <si>
    <t>371.300.358-03</t>
  </si>
  <si>
    <t>41 / 40 / 39</t>
  </si>
  <si>
    <t xml:space="preserve">AILTON FERREIRA DA SILVA </t>
  </si>
  <si>
    <t>470666961</t>
  </si>
  <si>
    <t>364.899.518-94</t>
  </si>
  <si>
    <t>37 / 36 / 35</t>
  </si>
  <si>
    <t xml:space="preserve">DAMIANA XAVIER DA SILVA </t>
  </si>
  <si>
    <t>701424849</t>
  </si>
  <si>
    <t>351.212.778-90</t>
  </si>
  <si>
    <t>RUA C</t>
  </si>
  <si>
    <t>601</t>
  </si>
  <si>
    <t>600 / 601 / 602</t>
  </si>
  <si>
    <t>LILIAN CHRISTIANA FERREIRA SANTOS SILVA</t>
  </si>
  <si>
    <t>622827984</t>
  </si>
  <si>
    <t>076.097.454-30</t>
  </si>
  <si>
    <t>603</t>
  </si>
  <si>
    <t>602 / 603 / 604</t>
  </si>
  <si>
    <t>NOEME DIAS DA SILVA</t>
  </si>
  <si>
    <t>10955677</t>
  </si>
  <si>
    <t>017.901.748-99</t>
  </si>
  <si>
    <t>602</t>
  </si>
  <si>
    <t>604 / 602 / 600</t>
  </si>
  <si>
    <t xml:space="preserve">ANGELA ELIZABETH DOS SANTOS PEREIRA </t>
  </si>
  <si>
    <t>41.956.981-9</t>
  </si>
  <si>
    <t>344.608.778-80</t>
  </si>
  <si>
    <t>12 / 12A / 14</t>
  </si>
  <si>
    <t>RARISON DOS SANTOS COSTA</t>
  </si>
  <si>
    <t>393566092</t>
  </si>
  <si>
    <t>482.012.778-05</t>
  </si>
  <si>
    <t>616</t>
  </si>
  <si>
    <t>615 / 616 / 617</t>
  </si>
  <si>
    <t>LARYSSAARCHANJODE MENEZES</t>
  </si>
  <si>
    <t>586441293</t>
  </si>
  <si>
    <t>580.609.538-00</t>
  </si>
  <si>
    <t>614</t>
  </si>
  <si>
    <t>616 / 614 / 612</t>
  </si>
  <si>
    <t>SANDILMA MONTEIRO DA SILVA</t>
  </si>
  <si>
    <t>62445924X</t>
  </si>
  <si>
    <t>056.318.454-07</t>
  </si>
  <si>
    <t>S02Q004N52</t>
  </si>
  <si>
    <t>50 / 49 / 48</t>
  </si>
  <si>
    <t xml:space="preserve">KAREN DE SOUZA MIRANDA </t>
  </si>
  <si>
    <t>441654162</t>
  </si>
  <si>
    <t>321.687.168-11</t>
  </si>
  <si>
    <t>S03 QD01 N46</t>
  </si>
  <si>
    <t>FLAVIANA ZACARIAS DA CRUZ</t>
  </si>
  <si>
    <t>458951675</t>
  </si>
  <si>
    <t>355.260.458-89</t>
  </si>
  <si>
    <t>45 / 44 / 43</t>
  </si>
  <si>
    <t>EMERSON FLORENCIO DE SANTANA</t>
  </si>
  <si>
    <t>05278008979</t>
  </si>
  <si>
    <t>394.775.598-81</t>
  </si>
  <si>
    <t>1147</t>
  </si>
  <si>
    <t>1145 / 1147 / 1149</t>
  </si>
  <si>
    <t>NATANAEL RENAN PEREIRA COSTA</t>
  </si>
  <si>
    <t>274204538</t>
  </si>
  <si>
    <t>159.147.898-77</t>
  </si>
  <si>
    <t>CASA  1</t>
  </si>
  <si>
    <t>VALDINEI PEREIRA MOURA SANTOS</t>
  </si>
  <si>
    <t>48559782</t>
  </si>
  <si>
    <t>415.771.978-60</t>
  </si>
  <si>
    <t>613 / 614 / 615</t>
  </si>
  <si>
    <t>RENAN ADÃO SANTOS LIMA PEREIRA COSTA</t>
  </si>
  <si>
    <t>393565634</t>
  </si>
  <si>
    <t>382.926.648-07</t>
  </si>
  <si>
    <t>CADA 4</t>
  </si>
  <si>
    <t>CALIANDRA SILVA SANTOS</t>
  </si>
  <si>
    <t>451470369</t>
  </si>
  <si>
    <t>443.865.538-27</t>
  </si>
  <si>
    <t>612</t>
  </si>
  <si>
    <t>614 / 612 / 610</t>
  </si>
  <si>
    <t>MAURA RIBEIRO</t>
  </si>
  <si>
    <t>39505431X</t>
  </si>
  <si>
    <t>474.977.856-72</t>
  </si>
  <si>
    <t xml:space="preserve">ALLAN DO CARMO GONÇALVES </t>
  </si>
  <si>
    <t>346459047</t>
  </si>
  <si>
    <t>320.735.358-44</t>
  </si>
  <si>
    <t>S03Q002N52</t>
  </si>
  <si>
    <t>48 / 47 / 46</t>
  </si>
  <si>
    <t>VANESSA MARIA TARDOCHI</t>
  </si>
  <si>
    <t>33875443-X</t>
  </si>
  <si>
    <t>309.150.458-18</t>
  </si>
  <si>
    <t>103 / 104 / 105</t>
  </si>
  <si>
    <t>ALINE MARTINS BALULA CARDOSO</t>
  </si>
  <si>
    <t>354883756</t>
  </si>
  <si>
    <t>384.772.008-22</t>
  </si>
  <si>
    <t>S2 QD04 N24</t>
  </si>
  <si>
    <t>JOSE JUVUNO CORREIA</t>
  </si>
  <si>
    <t>587409307</t>
  </si>
  <si>
    <t>253.108.014-72</t>
  </si>
  <si>
    <t>S2 QD03 N91</t>
  </si>
  <si>
    <t>88 / 89 / 90</t>
  </si>
  <si>
    <t>MAISA DA GAMA CORREIA</t>
  </si>
  <si>
    <t>42411327-2</t>
  </si>
  <si>
    <t>S2 QD4 N55</t>
  </si>
  <si>
    <t>49 / 50 / 51</t>
  </si>
  <si>
    <t>JOSENALDO DA SILVA SANTOS</t>
  </si>
  <si>
    <t>1514236958</t>
  </si>
  <si>
    <t>045.198.585-00</t>
  </si>
  <si>
    <t>S2 QD3 N15</t>
  </si>
  <si>
    <t>19 / 20 / 22</t>
  </si>
  <si>
    <t xml:space="preserve">ESTEPHANI DO NASCIMENTO VENTURA </t>
  </si>
  <si>
    <t>48655548-3</t>
  </si>
  <si>
    <t>442.936.608-01</t>
  </si>
  <si>
    <t>S2 QD3 B13</t>
  </si>
  <si>
    <t>11 / 10 / 12</t>
  </si>
  <si>
    <t>WAGNER OLIVEIRA DA GAMA CORREIA</t>
  </si>
  <si>
    <t>444329912</t>
  </si>
  <si>
    <t>392.271.868-08</t>
  </si>
  <si>
    <t>S02 QD03 N93</t>
  </si>
  <si>
    <t>94 / 93 / 92</t>
  </si>
  <si>
    <t>S02 QD03 N94</t>
  </si>
  <si>
    <t>95 / 94 / 93</t>
  </si>
  <si>
    <t>ALICIANE PEREIRA CORREIA DA GAMA</t>
  </si>
  <si>
    <t>424235092</t>
  </si>
  <si>
    <t>409.258.808-92</t>
  </si>
  <si>
    <t>S02 QD04 N30</t>
  </si>
  <si>
    <t>31 / 30 / 29</t>
  </si>
  <si>
    <t>RENATA MARIA RIBEIRO</t>
  </si>
  <si>
    <t>443085353</t>
  </si>
  <si>
    <t>335.692.678-06</t>
  </si>
  <si>
    <t>S02 QD04 N57</t>
  </si>
  <si>
    <t>58 / 57 / 56</t>
  </si>
  <si>
    <t>28651519</t>
  </si>
  <si>
    <t>S02 QD4 N50</t>
  </si>
  <si>
    <t>46 / 45 / 44</t>
  </si>
  <si>
    <t xml:space="preserve">JUAREZ MARTINS DE FREITAS </t>
  </si>
  <si>
    <t>CS2 S2 QD4 N50</t>
  </si>
  <si>
    <t>SAIMON MARINHO GOMES</t>
  </si>
  <si>
    <t>35266801</t>
  </si>
  <si>
    <t>366.567.568-57</t>
  </si>
  <si>
    <t>KAOANDA MARINHO GOMES</t>
  </si>
  <si>
    <t>3266790</t>
  </si>
  <si>
    <t>398.145.868-03</t>
  </si>
  <si>
    <t>S02 QD02 N11</t>
  </si>
  <si>
    <t xml:space="preserve">ITAMARA BARBOSA SANTOS </t>
  </si>
  <si>
    <t>600383672</t>
  </si>
  <si>
    <t>023.368.015-23</t>
  </si>
  <si>
    <t>S02 QD02 N60</t>
  </si>
  <si>
    <t>35 / 36 / 36</t>
  </si>
  <si>
    <t>TATIANA CRUZ DE MOURA</t>
  </si>
  <si>
    <t>3746351717</t>
  </si>
  <si>
    <t>322.905.158-09</t>
  </si>
  <si>
    <t>S02 QD02 N62</t>
  </si>
  <si>
    <t xml:space="preserve">TATIANE MOREIRA DIAS QUADROS </t>
  </si>
  <si>
    <t>542112814</t>
  </si>
  <si>
    <t>065.474.696-62</t>
  </si>
  <si>
    <t>S02 QD02 N50</t>
  </si>
  <si>
    <t>51 / 50 / 49</t>
  </si>
  <si>
    <t>ALEXANDRE DA SILVA FERREIRA</t>
  </si>
  <si>
    <t>415695119</t>
  </si>
  <si>
    <t>382.286.078-65</t>
  </si>
  <si>
    <t>S02 QD2 N87</t>
  </si>
  <si>
    <t>62 / 61 / 60</t>
  </si>
  <si>
    <t>S02 QD02 N88</t>
  </si>
  <si>
    <t>60 / 62 / 61</t>
  </si>
  <si>
    <t xml:space="preserve">GEANE PEREIRA DA COSTA </t>
  </si>
  <si>
    <t>556808472</t>
  </si>
  <si>
    <t>056.454.796-45</t>
  </si>
  <si>
    <t>S02 QD03 N17</t>
  </si>
  <si>
    <t xml:space="preserve">ADELINO DA SILVA </t>
  </si>
  <si>
    <t>S02 QD03 N23</t>
  </si>
  <si>
    <t>20 / 19 / 18</t>
  </si>
  <si>
    <t xml:space="preserve">THALYTA APARECIDA BARREIRA DE BARROS </t>
  </si>
  <si>
    <t>448419579</t>
  </si>
  <si>
    <t>367.318.188-28</t>
  </si>
  <si>
    <t>S02 QD03 N68</t>
  </si>
  <si>
    <t>69 / 70 / 71</t>
  </si>
  <si>
    <t>GERALDO GOMES DA SILVA FILHO</t>
  </si>
  <si>
    <t>33252789X</t>
  </si>
  <si>
    <t>219.377.178-28</t>
  </si>
  <si>
    <t>S02 QD03 N101</t>
  </si>
  <si>
    <t>100 / 101 / 102</t>
  </si>
  <si>
    <t xml:space="preserve">NATALIA MARQUES DA SILVA </t>
  </si>
  <si>
    <t>558275783</t>
  </si>
  <si>
    <t>411.332.568-56</t>
  </si>
  <si>
    <t>S02 QD03 N108</t>
  </si>
  <si>
    <t>108 / 109 / 110</t>
  </si>
  <si>
    <t>LORRAYNE MOREIRA DA SILVA</t>
  </si>
  <si>
    <t>07967517309</t>
  </si>
  <si>
    <t>447.271.248-23</t>
  </si>
  <si>
    <t>S02 QD03 N92</t>
  </si>
  <si>
    <t xml:space="preserve">DAIANE DE SOUZA TAVARES </t>
  </si>
  <si>
    <t>08199198858</t>
  </si>
  <si>
    <t>476.932.898-28</t>
  </si>
  <si>
    <t>S02 QD4 N65</t>
  </si>
  <si>
    <t>58 / 59 / 60</t>
  </si>
  <si>
    <t xml:space="preserve">VIVIAN BAZO GONÇALVES DE LIMA </t>
  </si>
  <si>
    <t>24543589X</t>
  </si>
  <si>
    <t>337.349.708-65</t>
  </si>
  <si>
    <t>S2 QD04 N62</t>
  </si>
  <si>
    <t xml:space="preserve">JOSEFA LEIDE DE JESUS OLIVEIRA </t>
  </si>
  <si>
    <t>384333503</t>
  </si>
  <si>
    <t>312.973.128-80</t>
  </si>
  <si>
    <t>S02 QD04 N58</t>
  </si>
  <si>
    <t>57 / 58 / 59</t>
  </si>
  <si>
    <t xml:space="preserve">JOSEVANIO SILVA RODRIGUES </t>
  </si>
  <si>
    <t>698395815</t>
  </si>
  <si>
    <t>037.526.735-24</t>
  </si>
  <si>
    <t>S02 QD02 N13</t>
  </si>
  <si>
    <t>ERINEIDE BELO VIEIRA DE SENA</t>
  </si>
  <si>
    <t>422374477</t>
  </si>
  <si>
    <t>292.767.718-24</t>
  </si>
  <si>
    <t xml:space="preserve">NEIDE DIAS DE SOUZA </t>
  </si>
  <si>
    <t>679526179</t>
  </si>
  <si>
    <t>354.737.466-91</t>
  </si>
  <si>
    <t>S02 QD02 N75</t>
  </si>
  <si>
    <t>48 / 49 / 50</t>
  </si>
  <si>
    <t xml:space="preserve">DORIVAL JOSE SANTANA </t>
  </si>
  <si>
    <t>367116686</t>
  </si>
  <si>
    <t>266.310.648-80</t>
  </si>
  <si>
    <t>S02 QD02 N85</t>
  </si>
  <si>
    <t>LEANDRO DOS SANTOS SMITH</t>
  </si>
  <si>
    <t>463931191</t>
  </si>
  <si>
    <t>383.303.878-01</t>
  </si>
  <si>
    <t>S02 QD02 N92</t>
  </si>
  <si>
    <t>62 / 63 / 64</t>
  </si>
  <si>
    <t xml:space="preserve">DAIANA SANTOS PEREIRA </t>
  </si>
  <si>
    <t>558839885</t>
  </si>
  <si>
    <t>234.597.348-09</t>
  </si>
  <si>
    <t>S02 QD02 N76</t>
  </si>
  <si>
    <t xml:space="preserve">ELIENE PINHEIRO SOUZA SOUTO </t>
  </si>
  <si>
    <t>384313978</t>
  </si>
  <si>
    <t>736.540.785-91</t>
  </si>
  <si>
    <t>S02 QD02 N59</t>
  </si>
  <si>
    <t xml:space="preserve">SALOMÃO JUVIANO DOS SANTOS </t>
  </si>
  <si>
    <t xml:space="preserve">NAO TEM </t>
  </si>
  <si>
    <t>162.338.828-77</t>
  </si>
  <si>
    <t>S2 QD05 N24</t>
  </si>
  <si>
    <t xml:space="preserve">DENIS DA SILVA </t>
  </si>
  <si>
    <t>644512684</t>
  </si>
  <si>
    <t>610.906.705-91</t>
  </si>
  <si>
    <t>S02 QD03 N69</t>
  </si>
  <si>
    <t>70 / 71 / 72</t>
  </si>
  <si>
    <t xml:space="preserve">MARIA LUCELIA PINHEIRO </t>
  </si>
  <si>
    <t>225463659</t>
  </si>
  <si>
    <t>108.265.358-60</t>
  </si>
  <si>
    <t>S02 QD03 N95</t>
  </si>
  <si>
    <t>93 / 94 / 95</t>
  </si>
  <si>
    <t>GIULIANA  DOS SANTOS SEGUIN</t>
  </si>
  <si>
    <t>509379965</t>
  </si>
  <si>
    <t>389.523.938-05</t>
  </si>
  <si>
    <t>S02 QD04 N25</t>
  </si>
  <si>
    <t>24 / 25 / 23</t>
  </si>
  <si>
    <t xml:space="preserve">DANIELA ROSA DUARTE DE ALMEIDA </t>
  </si>
  <si>
    <t>298645142</t>
  </si>
  <si>
    <t>322.651.698-11</t>
  </si>
  <si>
    <t>S02 Q04 N26</t>
  </si>
  <si>
    <t xml:space="preserve">ANA MARIA DA ROCHA TARGINO </t>
  </si>
  <si>
    <t>379485783</t>
  </si>
  <si>
    <t>339.060.118-01</t>
  </si>
  <si>
    <t>C1 S2 QD4 N29</t>
  </si>
  <si>
    <t xml:space="preserve">WILSON BRAGA DE OLIVEIRA </t>
  </si>
  <si>
    <t>503471756</t>
  </si>
  <si>
    <t>990.385.875-20</t>
  </si>
  <si>
    <t>S02 QD02 N67</t>
  </si>
  <si>
    <t>CICERO FLORENTINO BARBOSA</t>
  </si>
  <si>
    <t>669988133</t>
  </si>
  <si>
    <t>094.595.064-02</t>
  </si>
  <si>
    <t>S02 QD02 N79</t>
  </si>
  <si>
    <t>ESTEFFANY LOURENCO  DA SILVA CRUZ</t>
  </si>
  <si>
    <t>448091720</t>
  </si>
  <si>
    <t>373.841.508-41</t>
  </si>
  <si>
    <t>S02 QD02 N78</t>
  </si>
  <si>
    <t xml:space="preserve">THIAGO CHAVES GOMES DA SILVA </t>
  </si>
  <si>
    <t>626819714</t>
  </si>
  <si>
    <t>012.337.644-03</t>
  </si>
  <si>
    <t>S02 Q02 N87</t>
  </si>
  <si>
    <t xml:space="preserve">DAIANA LOURENCO DA SILVA </t>
  </si>
  <si>
    <t>485312256</t>
  </si>
  <si>
    <t>408.075.308-08</t>
  </si>
  <si>
    <t>S02 QD03 N45</t>
  </si>
  <si>
    <t>42 / 43 / 44</t>
  </si>
  <si>
    <t xml:space="preserve">RAYSSA SANTOS DE ANDRADE </t>
  </si>
  <si>
    <t>566471565</t>
  </si>
  <si>
    <t>506.710.388-42</t>
  </si>
  <si>
    <t>S02 QD03 N12</t>
  </si>
  <si>
    <t>8 / 9 / 10</t>
  </si>
  <si>
    <t xml:space="preserve">BEATRIZ GOMES DOS SANTOS </t>
  </si>
  <si>
    <t>23267864</t>
  </si>
  <si>
    <t>156.391.276-78</t>
  </si>
  <si>
    <t>S02 QD3 N14</t>
  </si>
  <si>
    <t xml:space="preserve">GEISA PEREIRA DA COSTA </t>
  </si>
  <si>
    <t>540936960</t>
  </si>
  <si>
    <t>053.211.136-29</t>
  </si>
  <si>
    <t>S02 QD03 N14</t>
  </si>
  <si>
    <t xml:space="preserve">FABIO HENRIQUE ETINGE </t>
  </si>
  <si>
    <t>360530898</t>
  </si>
  <si>
    <t>162.420.998-02</t>
  </si>
  <si>
    <t>S02 QD01 N01</t>
  </si>
  <si>
    <t>EMERSON SILVA DE JESUS</t>
  </si>
  <si>
    <t>04576114221</t>
  </si>
  <si>
    <t>360.205.238-96</t>
  </si>
  <si>
    <t>S02 QD02 N51</t>
  </si>
  <si>
    <t xml:space="preserve">BEATRIZ IVONE COELHO MIRANDA </t>
  </si>
  <si>
    <t>423253050</t>
  </si>
  <si>
    <t>320.969.088-09</t>
  </si>
  <si>
    <t xml:space="preserve">JOYCE BATISTA SANTOS FAGUNDES </t>
  </si>
  <si>
    <t>443085262</t>
  </si>
  <si>
    <t>224.927.038-43</t>
  </si>
  <si>
    <t>43 / 42 / 41</t>
  </si>
  <si>
    <t>LIDIA CALIXTO CARNEIRO</t>
  </si>
  <si>
    <t>159494801</t>
  </si>
  <si>
    <t>058.232.078-08</t>
  </si>
  <si>
    <t>FRANTHESCO SILVA SANTOS</t>
  </si>
  <si>
    <t>65670391X</t>
  </si>
  <si>
    <t>127.178.254-52</t>
  </si>
  <si>
    <t>44 / 43 / 42</t>
  </si>
  <si>
    <t xml:space="preserve">GABRIELLY MELO DE OLIVEIRA </t>
  </si>
  <si>
    <t>54.753.123-0</t>
  </si>
  <si>
    <t>504.119.328-29</t>
  </si>
  <si>
    <t>DIEGO TEIXEIRA DE FARIAS</t>
  </si>
  <si>
    <t>41310930</t>
  </si>
  <si>
    <t>229.675.028-12</t>
  </si>
  <si>
    <t>ARACI DE ALMEIDA DO VALE</t>
  </si>
  <si>
    <t>0132503883</t>
  </si>
  <si>
    <t>274.233.445-91</t>
  </si>
  <si>
    <t xml:space="preserve">ANA LUCIA DA SILVA SANTOS </t>
  </si>
  <si>
    <t>493434835</t>
  </si>
  <si>
    <t>448.173.038-24</t>
  </si>
  <si>
    <t xml:space="preserve">NAZARÉ DOS SANTOS SOBRINHA </t>
  </si>
  <si>
    <t>360273294</t>
  </si>
  <si>
    <t>954.803.744-00</t>
  </si>
  <si>
    <t xml:space="preserve">PAULO JOAQUIM DE OLIVEIRA </t>
  </si>
  <si>
    <t>047.019.494-42</t>
  </si>
  <si>
    <t>17 / 16 / 15</t>
  </si>
  <si>
    <t>ERINALVA BELO DA SILVA</t>
  </si>
  <si>
    <t>347434678</t>
  </si>
  <si>
    <t>402.036.238-60</t>
  </si>
  <si>
    <t>29 / 28 / 27</t>
  </si>
  <si>
    <t>JOSE CLAUDIO DA SILVA</t>
  </si>
  <si>
    <t>03941890229</t>
  </si>
  <si>
    <t>975.205.614-53</t>
  </si>
  <si>
    <t>389</t>
  </si>
  <si>
    <t>385 / 389 / 391</t>
  </si>
  <si>
    <t>GISLAINE DE JESUS FARIAS 161</t>
  </si>
  <si>
    <t>381.562.358-86</t>
  </si>
  <si>
    <t>BECO DO CAPOEIRA</t>
  </si>
  <si>
    <t>470</t>
  </si>
  <si>
    <t>472 / 470 / 470</t>
  </si>
  <si>
    <t>NILDA DA CRUZ PEREIRA</t>
  </si>
  <si>
    <t>301303836</t>
  </si>
  <si>
    <t>279.940.658-05</t>
  </si>
  <si>
    <t>615</t>
  </si>
  <si>
    <t xml:space="preserve">613 / 615 / </t>
  </si>
  <si>
    <t>OSVALDINO LINO DO CARMO</t>
  </si>
  <si>
    <t>89208535</t>
  </si>
  <si>
    <t>595.594.628-49</t>
  </si>
  <si>
    <t>624</t>
  </si>
  <si>
    <t>622 / 624 / 626</t>
  </si>
  <si>
    <t xml:space="preserve">LUIS ALVES DA SILVA </t>
  </si>
  <si>
    <t>15736480X</t>
  </si>
  <si>
    <t>033.490.778-04</t>
  </si>
  <si>
    <t>331</t>
  </si>
  <si>
    <t>329 / 332 / 333</t>
  </si>
  <si>
    <t>EDGAR CRISTIANO MARTINS SANTOS</t>
  </si>
  <si>
    <t>456049319</t>
  </si>
  <si>
    <t>459.399.638-46</t>
  </si>
  <si>
    <t>622</t>
  </si>
  <si>
    <t>624 / 622 / 620</t>
  </si>
  <si>
    <t>DENILMA DOS SANTOS</t>
  </si>
  <si>
    <t>362560365</t>
  </si>
  <si>
    <t>389.068.798-90</t>
  </si>
  <si>
    <t>609</t>
  </si>
  <si>
    <t>611 / 609 / 607</t>
  </si>
  <si>
    <t xml:space="preserve">CREUSA DE OLIVEIRA </t>
  </si>
  <si>
    <t>10981866-0</t>
  </si>
  <si>
    <t>075.236.548-78</t>
  </si>
  <si>
    <t>102 / 104 / 106</t>
  </si>
  <si>
    <t>AMANDA CRISTINA PACHECO</t>
  </si>
  <si>
    <t>478743816</t>
  </si>
  <si>
    <t>375.685.928-20</t>
  </si>
  <si>
    <t>1099</t>
  </si>
  <si>
    <t>1097 / 1099 / 1102</t>
  </si>
  <si>
    <t>MARIA GRACIELLI D SILVA</t>
  </si>
  <si>
    <t>554986589</t>
  </si>
  <si>
    <t>447.613.348-78</t>
  </si>
  <si>
    <t>387</t>
  </si>
  <si>
    <t>386 / 387 / 388</t>
  </si>
  <si>
    <t>MARCIA APARECIDA BASTOS BORGES</t>
  </si>
  <si>
    <t>254269011</t>
  </si>
  <si>
    <t>098.007.388-00</t>
  </si>
  <si>
    <t>607</t>
  </si>
  <si>
    <t>609 / 607 / 0</t>
  </si>
  <si>
    <t xml:space="preserve">CLAUDIA REGINA SALUSTIANO DOS SANTOS </t>
  </si>
  <si>
    <t>33899470869</t>
  </si>
  <si>
    <t>338.994.708-69</t>
  </si>
  <si>
    <t>347</t>
  </si>
  <si>
    <t>346 / 347 / 347</t>
  </si>
  <si>
    <t>THAMIRES BASTOS BORGES</t>
  </si>
  <si>
    <t>47051946838</t>
  </si>
  <si>
    <t>470.519.468-38</t>
  </si>
  <si>
    <t>36 / 34 / 0</t>
  </si>
  <si>
    <t xml:space="preserve">JOSEFA MARIA DOS SANTOS </t>
  </si>
  <si>
    <t>NÃO TEM</t>
  </si>
  <si>
    <t>108.241.718-10</t>
  </si>
  <si>
    <t>BECO JOÃO PÁ</t>
  </si>
  <si>
    <t>1131</t>
  </si>
  <si>
    <t>1121 / 1131 / 1133</t>
  </si>
  <si>
    <t>MARIA CLAUDIA OLIVEIRA SANTOS</t>
  </si>
  <si>
    <t>329150091</t>
  </si>
  <si>
    <t>265.698.798-98</t>
  </si>
  <si>
    <t xml:space="preserve">JULIA MARIA CELINA DA SILVA </t>
  </si>
  <si>
    <t>921.458.174-68</t>
  </si>
  <si>
    <t>BECO SANTA MARIA</t>
  </si>
  <si>
    <t>1015</t>
  </si>
  <si>
    <t>00 / 1015 / 1017</t>
  </si>
  <si>
    <t>FRANCISCO JAILSON DE FREITAS DUNGA</t>
  </si>
  <si>
    <t>17509855</t>
  </si>
  <si>
    <t>091.967.138-10</t>
  </si>
  <si>
    <t>EDLEUZA BATISTA DA CUNHS</t>
  </si>
  <si>
    <t>33.9304601</t>
  </si>
  <si>
    <t>336.217.178-89</t>
  </si>
  <si>
    <t>TRAVESSA DA KELLY</t>
  </si>
  <si>
    <t>17 / 16 / 14</t>
  </si>
  <si>
    <t xml:space="preserve">IRACEMA ANDREIA PEREIRA </t>
  </si>
  <si>
    <t>269929939</t>
  </si>
  <si>
    <t>289.237.528-27</t>
  </si>
  <si>
    <t>S02 QD05 N25</t>
  </si>
  <si>
    <t xml:space="preserve">CARLA ADEILANE TAVARES </t>
  </si>
  <si>
    <t>354801697</t>
  </si>
  <si>
    <t>280.308.228-47</t>
  </si>
  <si>
    <t xml:space="preserve">JORGE MARINHO DE PONTES </t>
  </si>
  <si>
    <t>04093873613</t>
  </si>
  <si>
    <t>223.823.698-84</t>
  </si>
  <si>
    <t>201</t>
  </si>
  <si>
    <t>S03 QD01 N26</t>
  </si>
  <si>
    <t xml:space="preserve">NATASHA KATELYN SILVA DE SOUZA CAMPOS </t>
  </si>
  <si>
    <t>498338265</t>
  </si>
  <si>
    <t>443.185.758-37</t>
  </si>
  <si>
    <t>S02 QD03 N67</t>
  </si>
  <si>
    <t>68 / 69 / 70</t>
  </si>
  <si>
    <t xml:space="preserve">BENEDITA NOVAZ REIS </t>
  </si>
  <si>
    <t>554205178</t>
  </si>
  <si>
    <t>014.749.625-05</t>
  </si>
  <si>
    <t>S02 QD05 N43</t>
  </si>
  <si>
    <t>44 / 45 / 46</t>
  </si>
  <si>
    <t>AIRTON DOS SANTOS AMARANTE</t>
  </si>
  <si>
    <t>02755885762</t>
  </si>
  <si>
    <t>050.022.208-86</t>
  </si>
  <si>
    <t>111</t>
  </si>
  <si>
    <t>S02 QD03 N106</t>
  </si>
  <si>
    <t>110 / 111 / 109</t>
  </si>
  <si>
    <t>LILIANE GOMES MARCHETTE</t>
  </si>
  <si>
    <t>283641150</t>
  </si>
  <si>
    <t>305.358.238-43</t>
  </si>
  <si>
    <t>RUA 11</t>
  </si>
  <si>
    <t>CLEUNICE TEXEIRA LORDEIRO</t>
  </si>
  <si>
    <t>375388473</t>
  </si>
  <si>
    <t>030.908.816-08</t>
  </si>
  <si>
    <t xml:space="preserve">NELIA PAULA AGOSTINHO PEREIRA </t>
  </si>
  <si>
    <t>298641689</t>
  </si>
  <si>
    <t>212.686.813-34</t>
  </si>
  <si>
    <t>S01 QD05 N07</t>
  </si>
  <si>
    <t>DEISE VITORINO PEQUENO</t>
  </si>
  <si>
    <t>214376205</t>
  </si>
  <si>
    <t>070.303.768-46</t>
  </si>
  <si>
    <t>S01 QD05 N10</t>
  </si>
  <si>
    <t xml:space="preserve">MARTHA DA SILVA GOMES BATISTA </t>
  </si>
  <si>
    <t>331714152</t>
  </si>
  <si>
    <t>262.971.368-74</t>
  </si>
  <si>
    <t>S01 QD05 N17</t>
  </si>
  <si>
    <t xml:space="preserve">SELMA MARIA RODRIGUES DE OLIVEIRA </t>
  </si>
  <si>
    <t>127354724</t>
  </si>
  <si>
    <t>250.408.618-00</t>
  </si>
  <si>
    <t>S1 QD05 N20</t>
  </si>
  <si>
    <t xml:space="preserve">SUELLEN FIDELES DA SILVA </t>
  </si>
  <si>
    <t>585704119</t>
  </si>
  <si>
    <t>487.808.938-56</t>
  </si>
  <si>
    <t xml:space="preserve">ISABEL CRISTINA RODRIGUES </t>
  </si>
  <si>
    <t>536501452</t>
  </si>
  <si>
    <t>285.833.718-73</t>
  </si>
  <si>
    <t>7 / 6 / 5</t>
  </si>
  <si>
    <t>JUCEMARA DELFINO</t>
  </si>
  <si>
    <t>371162798</t>
  </si>
  <si>
    <t>353.979.848-09</t>
  </si>
  <si>
    <t>RUA 10</t>
  </si>
  <si>
    <t>NATHAN DO SANTOS CARMO</t>
  </si>
  <si>
    <t>572954980</t>
  </si>
  <si>
    <t>466.608.338-38</t>
  </si>
  <si>
    <t>S03Q001N18</t>
  </si>
  <si>
    <t>13 / 12 / 11</t>
  </si>
  <si>
    <t xml:space="preserve">MARIA RENILDA OLIVEIRA DA SILVA GUIMARAES </t>
  </si>
  <si>
    <t>24324715-1</t>
  </si>
  <si>
    <t>133.972.108-28</t>
  </si>
  <si>
    <t>CREUZA MARCOLINO FELICIANO</t>
  </si>
  <si>
    <t>470402374</t>
  </si>
  <si>
    <t>054.698.364-28</t>
  </si>
  <si>
    <t>CASA3</t>
  </si>
  <si>
    <t>JOAO TEIXEIRA DA SILVA</t>
  </si>
  <si>
    <t>537708558</t>
  </si>
  <si>
    <t>026.729.434-43</t>
  </si>
  <si>
    <t xml:space="preserve">JOSE RONICIO VIEIRA DA SILVA </t>
  </si>
  <si>
    <t xml:space="preserve">RG NOVO </t>
  </si>
  <si>
    <t>481.953.638-90</t>
  </si>
  <si>
    <t xml:space="preserve">FELIPE NERES DOS SANTOS </t>
  </si>
  <si>
    <t>430915068</t>
  </si>
  <si>
    <t>389.441.998-92</t>
  </si>
  <si>
    <t>S02 QD03 N32</t>
  </si>
  <si>
    <t xml:space="preserve">JOSE ROMILDO DE JESUS FIEL </t>
  </si>
  <si>
    <t>64566764X</t>
  </si>
  <si>
    <t>S02 QD02 N56</t>
  </si>
  <si>
    <t xml:space="preserve">MARIA MADALENA DAS NEVES </t>
  </si>
  <si>
    <t>234633207</t>
  </si>
  <si>
    <t>317.414.598-85</t>
  </si>
  <si>
    <t>S03 QD05 N34</t>
  </si>
  <si>
    <t xml:space="preserve">MARIA LEIVIANE TAVARES SILVA </t>
  </si>
  <si>
    <t>626948538</t>
  </si>
  <si>
    <t>054.666.893-35</t>
  </si>
  <si>
    <t>S02 QD05 N33</t>
  </si>
  <si>
    <t xml:space="preserve">ROSIMAR ARAUJO SIMAO </t>
  </si>
  <si>
    <t>295309775</t>
  </si>
  <si>
    <t>333.474.328-43</t>
  </si>
  <si>
    <t>S02 QD05 N30</t>
  </si>
  <si>
    <t xml:space="preserve">ROSELMA ARAUJO SIMAO </t>
  </si>
  <si>
    <t>267361531</t>
  </si>
  <si>
    <t>248.764.088-07</t>
  </si>
  <si>
    <t>S02 QD05 N60</t>
  </si>
  <si>
    <t xml:space="preserve">ARIADNE PAULA DA SILVA </t>
  </si>
  <si>
    <t>302671924</t>
  </si>
  <si>
    <t>218.990.368-81</t>
  </si>
  <si>
    <t>S02 QD05 N45</t>
  </si>
  <si>
    <t>S03 QD05 N49</t>
  </si>
  <si>
    <t xml:space="preserve">LENICE PIRES DE SOUZA </t>
  </si>
  <si>
    <t>272252165</t>
  </si>
  <si>
    <t>320.660.808-29</t>
  </si>
  <si>
    <t>S02 QD05 N46</t>
  </si>
  <si>
    <t>35 / 36 / 34</t>
  </si>
  <si>
    <t xml:space="preserve">HELLEN DA SILVA NUNES </t>
  </si>
  <si>
    <t>44307964X</t>
  </si>
  <si>
    <t>397.782.298-56</t>
  </si>
  <si>
    <t>S02 QD05 N53</t>
  </si>
  <si>
    <t xml:space="preserve">MARCELANDIA DA SILVA ALMEIDA </t>
  </si>
  <si>
    <t>698536629</t>
  </si>
  <si>
    <t>068.785.025-86</t>
  </si>
  <si>
    <t>S02 QD05 N64</t>
  </si>
  <si>
    <t>54 / 55 / 56</t>
  </si>
  <si>
    <t xml:space="preserve">OSANA MOREIRA DA SILVA </t>
  </si>
  <si>
    <t>57661127X</t>
  </si>
  <si>
    <t>287.902.678-42</t>
  </si>
  <si>
    <t xml:space="preserve">EBONY VILLAR DE CARVALHO GUTTAU BRAVO </t>
  </si>
  <si>
    <t>423445017</t>
  </si>
  <si>
    <t>409.684.958-85</t>
  </si>
  <si>
    <t>S01 QD04 N05</t>
  </si>
  <si>
    <t xml:space="preserve">RENATO DANIEL GUERRA MAIA </t>
  </si>
  <si>
    <t>48655491</t>
  </si>
  <si>
    <t>392.004.828-80</t>
  </si>
  <si>
    <t>S03 QD02 N17</t>
  </si>
  <si>
    <t>16 / 17 / 16</t>
  </si>
  <si>
    <t xml:space="preserve">LILIANE GOMES MACHETTE </t>
  </si>
  <si>
    <t xml:space="preserve">LILIANE GOMES MARCHETTE </t>
  </si>
  <si>
    <t>S01 QD05 N06</t>
  </si>
  <si>
    <t xml:space="preserve">JOSIANE DE OLIVEIRA MIRANDA </t>
  </si>
  <si>
    <t>543180384</t>
  </si>
  <si>
    <t>428.819.668-02</t>
  </si>
  <si>
    <t>S01 QD05 N05</t>
  </si>
  <si>
    <t xml:space="preserve">VALTER BATISTA DOS SANTOS </t>
  </si>
  <si>
    <t>191906098</t>
  </si>
  <si>
    <t>080.651.238-56</t>
  </si>
  <si>
    <t>S01 QD05 N16</t>
  </si>
  <si>
    <t>15 / 16 / 17</t>
  </si>
  <si>
    <t xml:space="preserve">IVANIRA DAS VIRGENS DOS SANTOS </t>
  </si>
  <si>
    <t>172618277</t>
  </si>
  <si>
    <t>038.449.888-40</t>
  </si>
  <si>
    <t>S01 QD05 N18</t>
  </si>
  <si>
    <t xml:space="preserve">LUIS HENRIQUE GOMES DA SILVA </t>
  </si>
  <si>
    <t>49358445</t>
  </si>
  <si>
    <t>410.135.858-36</t>
  </si>
  <si>
    <t>S01 QD05 N37</t>
  </si>
  <si>
    <t xml:space="preserve">LUIZ FERNANDO SILVA DE AQUINO </t>
  </si>
  <si>
    <t>48577740X</t>
  </si>
  <si>
    <t>427.536.568-27</t>
  </si>
  <si>
    <t>S01 QD05 N36</t>
  </si>
  <si>
    <t xml:space="preserve">CRISTINA FILOMENA DE JESUS </t>
  </si>
  <si>
    <t>489692187</t>
  </si>
  <si>
    <t>425.621.858-03</t>
  </si>
  <si>
    <t>S02 QD05 N55</t>
  </si>
  <si>
    <t>DANIEL OLIVEIRA ALONSO</t>
  </si>
  <si>
    <t>264841013</t>
  </si>
  <si>
    <t>263.106.048-21</t>
  </si>
  <si>
    <t>S02 QD05 N72</t>
  </si>
  <si>
    <t>64 / 63 / 62</t>
  </si>
  <si>
    <t>FERNANDA NERES DOS SANTOS MAIA</t>
  </si>
  <si>
    <t>423523910</t>
  </si>
  <si>
    <t>389.441.938-51</t>
  </si>
  <si>
    <t>S03 QD02 N44</t>
  </si>
  <si>
    <t>FERNANDA BERES DOS SANTOS MAIA</t>
  </si>
  <si>
    <t>S03 QD02 N16</t>
  </si>
  <si>
    <t>RENATO DANIEL GUERRA MAIA</t>
  </si>
  <si>
    <t>19 / 20 / 18</t>
  </si>
  <si>
    <t xml:space="preserve">JUCIARA MUNIQUE SANTANA DA CONCEIÇÃO </t>
  </si>
  <si>
    <t>417.211.738-46</t>
  </si>
  <si>
    <t>S02 QD4 N36</t>
  </si>
  <si>
    <t>ERASMO RIBEIRO DA SILVA MENEZES</t>
  </si>
  <si>
    <t>25816628</t>
  </si>
  <si>
    <t>278.016.368-21</t>
  </si>
  <si>
    <t>CS1 S1 QD5 N23</t>
  </si>
  <si>
    <t xml:space="preserve">JOSE DILSON FRANCISCO DA SILVA </t>
  </si>
  <si>
    <t>385570314</t>
  </si>
  <si>
    <t>351.343.628-90</t>
  </si>
  <si>
    <t>S01 QD05 N38</t>
  </si>
  <si>
    <t>36 / 37 / 38</t>
  </si>
  <si>
    <t>SILVIO CABRAL</t>
  </si>
  <si>
    <t>217443370</t>
  </si>
  <si>
    <t>159.094.528-00</t>
  </si>
  <si>
    <t>S01 QD056 N4</t>
  </si>
  <si>
    <t xml:space="preserve">EMERSON GOMES DA SILVA </t>
  </si>
  <si>
    <t>67308677X</t>
  </si>
  <si>
    <t>714.580.114-02</t>
  </si>
  <si>
    <t>BECO DO HABIBI</t>
  </si>
  <si>
    <t>1029</t>
  </si>
  <si>
    <t>CASA6</t>
  </si>
  <si>
    <t>1031 / 1029 / 1027</t>
  </si>
  <si>
    <t>MARIA EDUARDA GOMES DA SILVA</t>
  </si>
  <si>
    <t>489249346</t>
  </si>
  <si>
    <t>105.784.624-43</t>
  </si>
  <si>
    <t xml:space="preserve">MARIA JOSÉ DA DILVA </t>
  </si>
  <si>
    <t>590346325</t>
  </si>
  <si>
    <t>240.258.768-76</t>
  </si>
  <si>
    <t>CASA7</t>
  </si>
  <si>
    <t>CRISLAINE MENEZES CAMILO</t>
  </si>
  <si>
    <t>54713888</t>
  </si>
  <si>
    <t>437.711.718-14</t>
  </si>
  <si>
    <t>CASA 8</t>
  </si>
  <si>
    <t xml:space="preserve">MARCELO BENEDITO DA SILVA </t>
  </si>
  <si>
    <t>590345886</t>
  </si>
  <si>
    <t>535.618.618-57</t>
  </si>
  <si>
    <t>CASA1</t>
  </si>
  <si>
    <t>LUCIENE JOSEFA GOMES DA SILVA</t>
  </si>
  <si>
    <t>467007512</t>
  </si>
  <si>
    <t>066.728.894-50</t>
  </si>
  <si>
    <t>MARIA PAULA DA SILVA</t>
  </si>
  <si>
    <t>553802811</t>
  </si>
  <si>
    <t>475.270.008-56</t>
  </si>
  <si>
    <t>04746544433</t>
  </si>
  <si>
    <t>047.465.444-33</t>
  </si>
  <si>
    <t>MARIA DE LOUDES RODRIGUES LIMA</t>
  </si>
  <si>
    <t>258167026</t>
  </si>
  <si>
    <t>133.915.478-12</t>
  </si>
  <si>
    <t>VALDIR JOSE DOS SANTOS</t>
  </si>
  <si>
    <t>560250307</t>
  </si>
  <si>
    <t>448.872.528-70</t>
  </si>
  <si>
    <t xml:space="preserve">MIRIAN CRISTINA VIEIRA AGOSTINHO </t>
  </si>
  <si>
    <t>447008997</t>
  </si>
  <si>
    <t>315.680.938-10</t>
  </si>
  <si>
    <t xml:space="preserve">ANA PAULAMARIA DA SILVA </t>
  </si>
  <si>
    <t>484388952</t>
  </si>
  <si>
    <t>426.993.528-61</t>
  </si>
  <si>
    <t>1144 / 1145 / 1146</t>
  </si>
  <si>
    <t>RENAN DA SILVA FERRARI</t>
  </si>
  <si>
    <t>595145486</t>
  </si>
  <si>
    <t>493.467.698-28</t>
  </si>
  <si>
    <t xml:space="preserve"> CASA2</t>
  </si>
  <si>
    <t xml:space="preserve">PEDRO RUFINO DOS SANTOS </t>
  </si>
  <si>
    <t>57434343X</t>
  </si>
  <si>
    <t>133.630.078-76</t>
  </si>
  <si>
    <t>753</t>
  </si>
  <si>
    <t>552 / 753 / 754</t>
  </si>
  <si>
    <t xml:space="preserve">KELLY DE OLIVEIRA </t>
  </si>
  <si>
    <t>367114914</t>
  </si>
  <si>
    <t>328.062.858-01</t>
  </si>
  <si>
    <t xml:space="preserve">ANDRE ROGERIO GONÇALVES OLIVEIRA </t>
  </si>
  <si>
    <t>60874856</t>
  </si>
  <si>
    <t>540.293.138-09</t>
  </si>
  <si>
    <t>HELOÍSA DA SILVA BARBOSA SIDIO</t>
  </si>
  <si>
    <t>626148285</t>
  </si>
  <si>
    <t>308.269.128-50</t>
  </si>
  <si>
    <t>375</t>
  </si>
  <si>
    <t>374 / 375 / 376</t>
  </si>
  <si>
    <t xml:space="preserve">REGINALDO FRANCISCO </t>
  </si>
  <si>
    <t>118447890</t>
  </si>
  <si>
    <t>040.968.168-76</t>
  </si>
  <si>
    <t>VERONICA MARIA DA SILVA</t>
  </si>
  <si>
    <t>37379030850</t>
  </si>
  <si>
    <t>373.790.308-50</t>
  </si>
  <si>
    <t>1135</t>
  </si>
  <si>
    <t>1133 / 1135 / 1137</t>
  </si>
  <si>
    <t>JOSE DOS SANTOS LIMA</t>
  </si>
  <si>
    <t>36057747</t>
  </si>
  <si>
    <t>463.626.815-68</t>
  </si>
  <si>
    <t>1132 / 1130 / 1128</t>
  </si>
  <si>
    <t>ALEX LUIZ DOS SANTOS</t>
  </si>
  <si>
    <t>58186831</t>
  </si>
  <si>
    <t>057.342.684-88</t>
  </si>
  <si>
    <t>0 / 1145 / 1147</t>
  </si>
  <si>
    <t>JESSICA GONCALVES LINS</t>
  </si>
  <si>
    <t>405241252</t>
  </si>
  <si>
    <t>426.471.538-50</t>
  </si>
  <si>
    <t>1136</t>
  </si>
  <si>
    <t>1132 / 1136 / 1148</t>
  </si>
  <si>
    <t>MARIA DA FATIMA RAMOS</t>
  </si>
  <si>
    <t xml:space="preserve"> 258403147</t>
  </si>
  <si>
    <t>252.910.068-38</t>
  </si>
  <si>
    <t>1143</t>
  </si>
  <si>
    <t>1141 / 1143 / 1145</t>
  </si>
  <si>
    <t>JOALINE DOS SANTOS MARTINS</t>
  </si>
  <si>
    <t>398118589</t>
  </si>
  <si>
    <t>424.943.508-32</t>
  </si>
  <si>
    <t>1142</t>
  </si>
  <si>
    <t>144 / 1142 / 1140</t>
  </si>
  <si>
    <t>LUIGI PETRINI COSTA ALVES</t>
  </si>
  <si>
    <t>505352163</t>
  </si>
  <si>
    <t>536.743.008-26</t>
  </si>
  <si>
    <t>1159</t>
  </si>
  <si>
    <t>1157 / 1159 / 1161</t>
  </si>
  <si>
    <t>MARIA DO SOCORROMARQUES DE OLIVEIRA</t>
  </si>
  <si>
    <t>521987684</t>
  </si>
  <si>
    <t>030.804.944-66</t>
  </si>
  <si>
    <t>1191</t>
  </si>
  <si>
    <t>1189 / 1191 / 0</t>
  </si>
  <si>
    <t>LIDIA BASILIO CHALEGRA SILVA</t>
  </si>
  <si>
    <t>57826559</t>
  </si>
  <si>
    <t>704.501.094-02</t>
  </si>
  <si>
    <t>1189</t>
  </si>
  <si>
    <t>1187 / 1189 / 1191</t>
  </si>
  <si>
    <t xml:space="preserve">LEONARDO MACHADO CORREA </t>
  </si>
  <si>
    <t>63455795</t>
  </si>
  <si>
    <t>480.684.608-29</t>
  </si>
  <si>
    <t xml:space="preserve">BRUNA VIANA SANTOS </t>
  </si>
  <si>
    <t>383.129.178-02</t>
  </si>
  <si>
    <t>MARIA APARECIDA DOS SANTOS BARRADOS</t>
  </si>
  <si>
    <t>658365010</t>
  </si>
  <si>
    <t>059.958.305-38</t>
  </si>
  <si>
    <t>1161</t>
  </si>
  <si>
    <t xml:space="preserve">VILMACI GOMES DE ARAGÃO </t>
  </si>
  <si>
    <t>666413800</t>
  </si>
  <si>
    <t>028.734.741-90</t>
  </si>
  <si>
    <t>EDUARDO HENRIQUE DE AZEVEDO SANTOS</t>
  </si>
  <si>
    <t>398984128</t>
  </si>
  <si>
    <t>410.886.648-73</t>
  </si>
  <si>
    <t>1155</t>
  </si>
  <si>
    <t>1153 / 1155 / 1157</t>
  </si>
  <si>
    <t>CELIO DA SILVA</t>
  </si>
  <si>
    <t>394198955</t>
  </si>
  <si>
    <t>372.290.268-67</t>
  </si>
  <si>
    <t>1147 / 1149 / 1151</t>
  </si>
  <si>
    <t>ROQUE JOSE DE ALMEIDA</t>
  </si>
  <si>
    <t>560280051</t>
  </si>
  <si>
    <t>133.772.548-03</t>
  </si>
  <si>
    <t>1149 / 1151 / 1153</t>
  </si>
  <si>
    <t xml:space="preserve">VALDENILSON FERREIRA SILVA </t>
  </si>
  <si>
    <t>34198110</t>
  </si>
  <si>
    <t>520.909.145-72</t>
  </si>
  <si>
    <t>S03 QD03 N01</t>
  </si>
  <si>
    <t xml:space="preserve">JESSICA SANTOS DA CRUZ </t>
  </si>
  <si>
    <t>569043335</t>
  </si>
  <si>
    <t>046.343.195-27</t>
  </si>
  <si>
    <t>RUA 14</t>
  </si>
  <si>
    <t>S03 QD03 N09</t>
  </si>
  <si>
    <t>MARIA DE ALENCAR RODRIGUES</t>
  </si>
  <si>
    <t>602280643</t>
  </si>
  <si>
    <t>031.309.723-23</t>
  </si>
  <si>
    <t>MARCIA LUCIA DE SOUZA</t>
  </si>
  <si>
    <t>657270945</t>
  </si>
  <si>
    <t>057.181.117-58</t>
  </si>
  <si>
    <t>JOSE CARLOS DUARTE DOS SANTOS</t>
  </si>
  <si>
    <t>621217487</t>
  </si>
  <si>
    <t>048.726.915-62</t>
  </si>
  <si>
    <t>06 / 06 / 08</t>
  </si>
  <si>
    <t xml:space="preserve">JAIME MENDES DE OLUVEIRA </t>
  </si>
  <si>
    <t>533432704</t>
  </si>
  <si>
    <t>341.462.965-87</t>
  </si>
  <si>
    <t>S03 QD03 N15</t>
  </si>
  <si>
    <t>07 / 09 / 10</t>
  </si>
  <si>
    <t xml:space="preserve">MARTA CARINE SANTOS MATOS </t>
  </si>
  <si>
    <t>463778054</t>
  </si>
  <si>
    <t>385.405.108-55</t>
  </si>
  <si>
    <t>RUA 17</t>
  </si>
  <si>
    <t>S03 QD03 N17</t>
  </si>
  <si>
    <t xml:space="preserve">GABRIEL DA SILVA ARAGAO </t>
  </si>
  <si>
    <t>62298164X</t>
  </si>
  <si>
    <t>440.338.878-73</t>
  </si>
  <si>
    <t>S03 QD03 N16</t>
  </si>
  <si>
    <t xml:space="preserve">JOSE LEOCADIO DA SILVA </t>
  </si>
  <si>
    <t>341575008</t>
  </si>
  <si>
    <t>336.144.664-34</t>
  </si>
  <si>
    <t>S03 QD03 N18</t>
  </si>
  <si>
    <t>DURVALINA CARMO DA CONCEICAO</t>
  </si>
  <si>
    <t>215264708</t>
  </si>
  <si>
    <t>070.010.218-30</t>
  </si>
  <si>
    <t>S03 QD03 N21</t>
  </si>
  <si>
    <t xml:space="preserve">PAULO CAETANO DA SILVA </t>
  </si>
  <si>
    <t>20952664</t>
  </si>
  <si>
    <t>101.990.968-48</t>
  </si>
  <si>
    <t>CS2 S3 QD3 N32</t>
  </si>
  <si>
    <t xml:space="preserve">JULIANA KAROLINE FRANCISCA DA SILVA </t>
  </si>
  <si>
    <t>470887011</t>
  </si>
  <si>
    <t>407.034.938-33</t>
  </si>
  <si>
    <t>S01 QD05 N35</t>
  </si>
  <si>
    <t xml:space="preserve">VANESSA CRISTINA BASTO </t>
  </si>
  <si>
    <t>257310952</t>
  </si>
  <si>
    <t>290.374.698-25</t>
  </si>
  <si>
    <t>S03 QD03 N37</t>
  </si>
  <si>
    <t xml:space="preserve">EDSON SILVA ANUNCIACAO </t>
  </si>
  <si>
    <t>32347221</t>
  </si>
  <si>
    <t>262.203.958-16</t>
  </si>
  <si>
    <t>CS1 S1 Q5 N25</t>
  </si>
  <si>
    <t>S01 QD02 N29</t>
  </si>
  <si>
    <t xml:space="preserve">LINDACI MARIA PEDRO DA SILVA </t>
  </si>
  <si>
    <t>571657242</t>
  </si>
  <si>
    <t>320.297.798-90</t>
  </si>
  <si>
    <t>S03 QD03 N04</t>
  </si>
  <si>
    <t>JOAO VICTTOR TELES DA SILVA</t>
  </si>
  <si>
    <t>575403573</t>
  </si>
  <si>
    <t>345.881.648-80</t>
  </si>
  <si>
    <t>S03 Q03 N08</t>
  </si>
  <si>
    <t>4 / 5 / 3</t>
  </si>
  <si>
    <t>MARIA JOSE DE GOIS</t>
  </si>
  <si>
    <t>250041546</t>
  </si>
  <si>
    <t>133.937.438-21</t>
  </si>
  <si>
    <t>S03 QD03 N10</t>
  </si>
  <si>
    <t>EMERSON JOSE DE GOIS</t>
  </si>
  <si>
    <t>416434873</t>
  </si>
  <si>
    <t>372.049.618-03</t>
  </si>
  <si>
    <t>S03 QD03 N11</t>
  </si>
  <si>
    <t>MARIA CELUTA GOIS</t>
  </si>
  <si>
    <t>215238205</t>
  </si>
  <si>
    <t>070.278.558-01</t>
  </si>
  <si>
    <t>S03 Q03 N12</t>
  </si>
  <si>
    <t>ALICE DA LUZ SILVA</t>
  </si>
  <si>
    <t>54739458</t>
  </si>
  <si>
    <t>433.909.968-69</t>
  </si>
  <si>
    <t>S03 N03 N19</t>
  </si>
  <si>
    <t xml:space="preserve">MARIA LUZINETE DO NASCIMENTO </t>
  </si>
  <si>
    <t>058.204.598-30</t>
  </si>
  <si>
    <t>S03 QD03 N20</t>
  </si>
  <si>
    <t>LINDALVA NUNES DA SILVA</t>
  </si>
  <si>
    <t>227774590</t>
  </si>
  <si>
    <t>108.525.858-02</t>
  </si>
  <si>
    <t>S03 QD03 N31</t>
  </si>
  <si>
    <t>20 / 21 / 23</t>
  </si>
  <si>
    <t xml:space="preserve">ETEONE OLIVEIRA DE FREITAS </t>
  </si>
  <si>
    <t>36549667</t>
  </si>
  <si>
    <t>356.760.784-72</t>
  </si>
  <si>
    <t>S03 QD3 N34</t>
  </si>
  <si>
    <t xml:space="preserve">JOCILENE DOS SANTOS ALVES </t>
  </si>
  <si>
    <t>279256589</t>
  </si>
  <si>
    <t>169.647.418-36</t>
  </si>
  <si>
    <t>S03 QD3 N38</t>
  </si>
  <si>
    <t>MARIA NASCIMENTO</t>
  </si>
  <si>
    <t>350422746</t>
  </si>
  <si>
    <t>133.614.528-56</t>
  </si>
  <si>
    <t>S01 QD05 N21</t>
  </si>
  <si>
    <t>34 / 33 / 35</t>
  </si>
  <si>
    <t xml:space="preserve">TASSILA CARLOS DE OLIVEIRA </t>
  </si>
  <si>
    <t>607436074</t>
  </si>
  <si>
    <t>130.191.054-63</t>
  </si>
  <si>
    <t xml:space="preserve">KÁTIA REGINA MAGALHÃES </t>
  </si>
  <si>
    <t>126083022</t>
  </si>
  <si>
    <t>108.450.858-31</t>
  </si>
  <si>
    <t>1 / 48 / 47</t>
  </si>
  <si>
    <t>PAULO CESAR LUIS FILHO</t>
  </si>
  <si>
    <t>4861054843</t>
  </si>
  <si>
    <t>383.736.118-78</t>
  </si>
  <si>
    <t>S01Q001N22</t>
  </si>
  <si>
    <t>30 / 29 / 28</t>
  </si>
  <si>
    <t>VALMIR PEREIRA DO CARMO</t>
  </si>
  <si>
    <t>25257499</t>
  </si>
  <si>
    <t>162.280.838-05</t>
  </si>
  <si>
    <t>S03Q001N51</t>
  </si>
  <si>
    <t>47 / 46 / 45</t>
  </si>
  <si>
    <t xml:space="preserve">LUANA GABRIELA DA SILVA SOARES </t>
  </si>
  <si>
    <t>41185137</t>
  </si>
  <si>
    <t>125.765.154-44</t>
  </si>
  <si>
    <t>BECO DO ZÓIO</t>
  </si>
  <si>
    <t xml:space="preserve">SILVIO SEVERINO DOS SANTOS </t>
  </si>
  <si>
    <t>188116369</t>
  </si>
  <si>
    <t>050.424.228-89</t>
  </si>
  <si>
    <t>1153</t>
  </si>
  <si>
    <t>00 / 1153 / 1155</t>
  </si>
  <si>
    <t xml:space="preserve">ANGELICA DE ALMEIDA SANTOS SILVA </t>
  </si>
  <si>
    <t>499720520</t>
  </si>
  <si>
    <t>122.552.074-60</t>
  </si>
  <si>
    <t>BECO SÍTIO NOVO 1</t>
  </si>
  <si>
    <t xml:space="preserve">IRANILDA SANTOS DE ALMEIDA </t>
  </si>
  <si>
    <t>636676031</t>
  </si>
  <si>
    <t>841.465.244-15</t>
  </si>
  <si>
    <t>7 / 9 / 5</t>
  </si>
  <si>
    <t xml:space="preserve">JOÃO NASCIMENTO OLIVEIRA </t>
  </si>
  <si>
    <t>002.486.078-63</t>
  </si>
  <si>
    <t>SILVIA VITORIA DOS SANTOS BARBOSA</t>
  </si>
  <si>
    <t>NAO TEMB</t>
  </si>
  <si>
    <t>134.488.914-01</t>
  </si>
  <si>
    <t>4 / 6 / 1</t>
  </si>
  <si>
    <t xml:space="preserve">ANDREIA CRISTINA DE ALMEIDA </t>
  </si>
  <si>
    <t>342479118</t>
  </si>
  <si>
    <t>309.893.678-94</t>
  </si>
  <si>
    <t>CARLOS ALEXANDRE DE ARAUJO</t>
  </si>
  <si>
    <t>339309775</t>
  </si>
  <si>
    <t>291.275.428-31</t>
  </si>
  <si>
    <t>9 / 8 / 6</t>
  </si>
  <si>
    <t>JOSE ALCIDES DA MOTTA</t>
  </si>
  <si>
    <t xml:space="preserve"> 553810261</t>
  </si>
  <si>
    <t>349.549.299-20</t>
  </si>
  <si>
    <t>1147 / 1149 / 00</t>
  </si>
  <si>
    <t xml:space="preserve">BRUNA CARAVALHO SANTOS LEONARDO </t>
  </si>
  <si>
    <t>407143622</t>
  </si>
  <si>
    <t>452.789.878-71</t>
  </si>
  <si>
    <t>TRAVESSA DO LEANDRO</t>
  </si>
  <si>
    <t>00 / 1 / 2</t>
  </si>
  <si>
    <t>VITÓRIA RÉGIA DA SILVA SOUSA</t>
  </si>
  <si>
    <t>627858880</t>
  </si>
  <si>
    <t>069.362.543-06</t>
  </si>
  <si>
    <t>RENAN  LISBOA SANCHES</t>
  </si>
  <si>
    <t>42996817</t>
  </si>
  <si>
    <t>375.988.578-79</t>
  </si>
  <si>
    <t>JOSEFA DE FATIMADA SILVA ALVES</t>
  </si>
  <si>
    <t>383646686</t>
  </si>
  <si>
    <t>408.249.598-33</t>
  </si>
  <si>
    <t>ALUISIO LUIZ DOS PRAZERES</t>
  </si>
  <si>
    <t>585536612</t>
  </si>
  <si>
    <t>833.108.274-53</t>
  </si>
  <si>
    <t>EDILAINE CRISTINA DA SILVA</t>
  </si>
  <si>
    <t>433336468</t>
  </si>
  <si>
    <t>462.411.498-14</t>
  </si>
  <si>
    <t>EDERSON DOS PRAZERES SILVA</t>
  </si>
  <si>
    <t>37026967</t>
  </si>
  <si>
    <t>372.763.578-99</t>
  </si>
  <si>
    <t>MARIA DO SOCORRO SIMÃO DE OLIVEIRA</t>
  </si>
  <si>
    <t>368377155</t>
  </si>
  <si>
    <t>333.047.578-13</t>
  </si>
  <si>
    <t>PEDRO HENRIQUE PEREIRA DE OLIVEIRA</t>
  </si>
  <si>
    <t>49830779</t>
  </si>
  <si>
    <t>477.735.748-12</t>
  </si>
  <si>
    <t>113 / 115 / 117</t>
  </si>
  <si>
    <t>YASMIN DANIELI RIBEIRO DOS SANTOS</t>
  </si>
  <si>
    <t>438618890</t>
  </si>
  <si>
    <t>464.691.128-03</t>
  </si>
  <si>
    <t>1165</t>
  </si>
  <si>
    <t>1163 / 1165 / 1167</t>
  </si>
  <si>
    <t>CRISTOVÃO FEITOSA DE  OLIVEIRA</t>
  </si>
  <si>
    <t>668396830</t>
  </si>
  <si>
    <t>026.904.744-17</t>
  </si>
  <si>
    <t>ORLANDO ALVES DA SILVA</t>
  </si>
  <si>
    <t>49906709</t>
  </si>
  <si>
    <t>061.078.233-95</t>
  </si>
  <si>
    <t>BECO DO LIBANES</t>
  </si>
  <si>
    <t>15 / 18 / 16</t>
  </si>
  <si>
    <t xml:space="preserve">JOSE ANTÔNIO GOMES DA SILVA </t>
  </si>
  <si>
    <t>12737776</t>
  </si>
  <si>
    <t>017.860.498-48</t>
  </si>
  <si>
    <t>413</t>
  </si>
  <si>
    <t>411 / 413 / 415</t>
  </si>
  <si>
    <t>DANIEL PEREIRA DA SILVA</t>
  </si>
  <si>
    <t>693086415</t>
  </si>
  <si>
    <t>700.549.554-32</t>
  </si>
  <si>
    <t>0 / 11 / 13</t>
  </si>
  <si>
    <t xml:space="preserve">GISLAINE FONSECA SANTOS </t>
  </si>
  <si>
    <t>44354878X</t>
  </si>
  <si>
    <t>414.571.508-08</t>
  </si>
  <si>
    <t>429</t>
  </si>
  <si>
    <t>427 / 429 / 432</t>
  </si>
  <si>
    <t>ELIZABETE FREITAS DE SOUZA</t>
  </si>
  <si>
    <t>377746897</t>
  </si>
  <si>
    <t>420.659.708-12</t>
  </si>
  <si>
    <t>14 / 12 / 0</t>
  </si>
  <si>
    <t>DERNIVAL ROSALVO MOREIRA</t>
  </si>
  <si>
    <t>258412070</t>
  </si>
  <si>
    <t>133.868.098-63</t>
  </si>
  <si>
    <t>CARLOS MANOEL LIMA DA SILVA</t>
  </si>
  <si>
    <t>50709670885</t>
  </si>
  <si>
    <t>507.096.708-85</t>
  </si>
  <si>
    <t>18 / 16 / 14</t>
  </si>
  <si>
    <t>VALERIA TATIANA JESUS DA SILVA</t>
  </si>
  <si>
    <t>653749727</t>
  </si>
  <si>
    <t>061.117.714-50</t>
  </si>
  <si>
    <t xml:space="preserve">JOZIEL CALASANS COSTA </t>
  </si>
  <si>
    <t>565288118</t>
  </si>
  <si>
    <t>445.347.478-45</t>
  </si>
  <si>
    <t>427</t>
  </si>
  <si>
    <t>426 / 427 / 428</t>
  </si>
  <si>
    <t xml:space="preserve">MARIA SIDELMA DA SILVA </t>
  </si>
  <si>
    <t>32687893</t>
  </si>
  <si>
    <t>060.452.964-35</t>
  </si>
  <si>
    <t>397</t>
  </si>
  <si>
    <t>395 / 397 / 399</t>
  </si>
  <si>
    <t xml:space="preserve">MARIA JOSE DOS SANTOS </t>
  </si>
  <si>
    <t>217833561</t>
  </si>
  <si>
    <t>130.547.558-51</t>
  </si>
  <si>
    <t>399</t>
  </si>
  <si>
    <t>397 / 399 / 401</t>
  </si>
  <si>
    <t>TALITA RAISSA LISBOA SANCHES</t>
  </si>
  <si>
    <t>529387839</t>
  </si>
  <si>
    <t>411.529.088-98</t>
  </si>
  <si>
    <t xml:space="preserve">JOSE FRANCISCO DE OLIVEIRA </t>
  </si>
  <si>
    <t>26635323X</t>
  </si>
  <si>
    <t>133.995.918-61</t>
  </si>
  <si>
    <t xml:space="preserve">GLAUDIMIR MANOEL DA SILVA </t>
  </si>
  <si>
    <t>117348405</t>
  </si>
  <si>
    <t>236.857.898-64</t>
  </si>
  <si>
    <t>BECO DOS PACHECO</t>
  </si>
  <si>
    <t>691</t>
  </si>
  <si>
    <t>689 / 691 / 693</t>
  </si>
  <si>
    <t xml:space="preserve">MARCIONILA MARIA DA CONCEIÇÃO </t>
  </si>
  <si>
    <t>652154906</t>
  </si>
  <si>
    <t>232.187.358-23</t>
  </si>
  <si>
    <t>1129 / 1131 / 1133</t>
  </si>
  <si>
    <t>ILONE MELCHER</t>
  </si>
  <si>
    <t>662259609</t>
  </si>
  <si>
    <t>048.623.739-76</t>
  </si>
  <si>
    <t>1113</t>
  </si>
  <si>
    <t>1112 / 1113 / 1114</t>
  </si>
  <si>
    <t xml:space="preserve">ALISON ROGER O. GONÇALVES </t>
  </si>
  <si>
    <t>57941875</t>
  </si>
  <si>
    <t>504.582.288-85</t>
  </si>
  <si>
    <t>1138 / 1139 / 1140</t>
  </si>
  <si>
    <t xml:space="preserve">JOSE MARIA ROCHA PEREIRA </t>
  </si>
  <si>
    <t>186230643</t>
  </si>
  <si>
    <t>408.478.964-04</t>
  </si>
  <si>
    <t>BECO DA CLEONICE</t>
  </si>
  <si>
    <t>CRISLAYNE GABRIELA TEIXEIRA BARBOSA</t>
  </si>
  <si>
    <t>531187299</t>
  </si>
  <si>
    <t>417.536.868-06</t>
  </si>
  <si>
    <t>CLEUNICE TEIXEIRA MACEDO</t>
  </si>
  <si>
    <t>JOSIELA LIMA DO ESPÍRITO SANTO</t>
  </si>
  <si>
    <t>437929541</t>
  </si>
  <si>
    <t>356.383.998-67</t>
  </si>
  <si>
    <t>BECO FUNDÃO DA B</t>
  </si>
  <si>
    <t>MISLENE PEREIRA DE FREITAS</t>
  </si>
  <si>
    <t>556128151</t>
  </si>
  <si>
    <t>454.100.098-94</t>
  </si>
  <si>
    <t xml:space="preserve">RAYSSA LIMA DE BARROS </t>
  </si>
  <si>
    <t>537705247</t>
  </si>
  <si>
    <t>580.697.168-60</t>
  </si>
  <si>
    <t xml:space="preserve">MIRIAN LIMA SANTOS </t>
  </si>
  <si>
    <t>537705569</t>
  </si>
  <si>
    <t>465.029.008-02</t>
  </si>
  <si>
    <t>LUZINETE LIMA SILVA</t>
  </si>
  <si>
    <t>31339803860</t>
  </si>
  <si>
    <t>313.398.038-60</t>
  </si>
  <si>
    <t>JOSE WILSON VIEIRA DE SOUZA</t>
  </si>
  <si>
    <t>701413918</t>
  </si>
  <si>
    <t>286.772.428-67</t>
  </si>
  <si>
    <t>395</t>
  </si>
  <si>
    <t>394 / 395 / 396</t>
  </si>
  <si>
    <t>ADRIANA MARIA FERREIRA GOMES</t>
  </si>
  <si>
    <t>650653142</t>
  </si>
  <si>
    <t>076.456.494-37</t>
  </si>
  <si>
    <t>688</t>
  </si>
  <si>
    <t>687 / 688 / 689</t>
  </si>
  <si>
    <t>MARIA TELMA VIEIRA DOS SANTOS</t>
  </si>
  <si>
    <t>27925734X</t>
  </si>
  <si>
    <t>162.355.138-28</t>
  </si>
  <si>
    <t>S02 QD03 N06</t>
  </si>
  <si>
    <t>5 / 4 / 6</t>
  </si>
  <si>
    <t>JOSE SILVINO DA SILVA</t>
  </si>
  <si>
    <t>383236381</t>
  </si>
  <si>
    <t>158.941.488-80</t>
  </si>
  <si>
    <t>BECO DA AMIZADE</t>
  </si>
  <si>
    <t>000 / 1 / 3</t>
  </si>
  <si>
    <t>MANOEL MARIO DOS SANTOS</t>
  </si>
  <si>
    <t>109115442</t>
  </si>
  <si>
    <t>008.480.098-43</t>
  </si>
  <si>
    <t xml:space="preserve">CRISTIANO VIEIRA DA SILVA </t>
  </si>
  <si>
    <t>216096370</t>
  </si>
  <si>
    <t>112.455.947-70</t>
  </si>
  <si>
    <t>109 / 110 / 17</t>
  </si>
  <si>
    <t xml:space="preserve">FELIPE MOREIRA DOS SANTOS </t>
  </si>
  <si>
    <t>305078065</t>
  </si>
  <si>
    <t>178.105.377-41</t>
  </si>
  <si>
    <t xml:space="preserve">MIRELA DE LIMA BARRETO </t>
  </si>
  <si>
    <t>563118805</t>
  </si>
  <si>
    <t>383.115.438-44</t>
  </si>
  <si>
    <t>111 / 105 / 104</t>
  </si>
  <si>
    <t>ANA PAULA SILVA PAULINO</t>
  </si>
  <si>
    <t>45824609</t>
  </si>
  <si>
    <t>359.890.208-56</t>
  </si>
  <si>
    <t>S02 QD4 N102</t>
  </si>
  <si>
    <t>104 / 103 / 102</t>
  </si>
  <si>
    <t xml:space="preserve">MARIA JANIELE SILVA LOPES </t>
  </si>
  <si>
    <t>53056712X</t>
  </si>
  <si>
    <t>419.897.948-07</t>
  </si>
  <si>
    <t>1 / 3 / 00</t>
  </si>
  <si>
    <t>EVERSON MOREIRA DOS SANTOS</t>
  </si>
  <si>
    <t>245240569</t>
  </si>
  <si>
    <t>172.829.227-13</t>
  </si>
  <si>
    <t xml:space="preserve">JOSE VIEIRA DE LIMA </t>
  </si>
  <si>
    <t>3567505</t>
  </si>
  <si>
    <t>215.523.958-86</t>
  </si>
  <si>
    <t>CS1 S2 QD3 N77</t>
  </si>
  <si>
    <t>79 / 78 / 77</t>
  </si>
  <si>
    <t xml:space="preserve">ROSANGELA DA SILVA </t>
  </si>
  <si>
    <t>33358176</t>
  </si>
  <si>
    <t>092.057.794-66</t>
  </si>
  <si>
    <t>CÍCERO PEDRO DA SILVA</t>
  </si>
  <si>
    <t>03301104406</t>
  </si>
  <si>
    <t>843.037.604-63</t>
  </si>
  <si>
    <t>469</t>
  </si>
  <si>
    <t>467 / 469 / 465</t>
  </si>
  <si>
    <t>LUCIANO PEREIRA DA SILVA</t>
  </si>
  <si>
    <t>46704463</t>
  </si>
  <si>
    <t>345.615.178-04</t>
  </si>
  <si>
    <t xml:space="preserve">JOSE DIAS DA SILVA </t>
  </si>
  <si>
    <t>133519995</t>
  </si>
  <si>
    <t>017.833.658-03</t>
  </si>
  <si>
    <t>690 / 691 / 692</t>
  </si>
  <si>
    <t>SHIRLEIDE DO MONTE</t>
  </si>
  <si>
    <t>08565523939</t>
  </si>
  <si>
    <t>069.249.314-05</t>
  </si>
  <si>
    <t>464</t>
  </si>
  <si>
    <t>00 / 464 / 466</t>
  </si>
  <si>
    <t xml:space="preserve">SELMA MOURA DO MONTE </t>
  </si>
  <si>
    <t>700.988.714-47</t>
  </si>
  <si>
    <t>381</t>
  </si>
  <si>
    <t>397 / 381 / 000</t>
  </si>
  <si>
    <t>ALEXANDRO DOS SANTOS SILVA</t>
  </si>
  <si>
    <t>07311658</t>
  </si>
  <si>
    <t>352.736.208-80</t>
  </si>
  <si>
    <t>475</t>
  </si>
  <si>
    <t>473 / 475 / 478</t>
  </si>
  <si>
    <t xml:space="preserve">GEANE VIEIRA DOS SANTOS </t>
  </si>
  <si>
    <t>394222337</t>
  </si>
  <si>
    <t>370.422.498-79</t>
  </si>
  <si>
    <t>478</t>
  </si>
  <si>
    <t>475 / 478 / 00</t>
  </si>
  <si>
    <t xml:space="preserve">MARIA EUNICE DOS SANTOS SILVA </t>
  </si>
  <si>
    <t>375824741</t>
  </si>
  <si>
    <t>418.474.824-49</t>
  </si>
  <si>
    <t>S01 QD04 N02</t>
  </si>
  <si>
    <t xml:space="preserve">DALVA CONCEIÇAO SANTOS </t>
  </si>
  <si>
    <t>522008653</t>
  </si>
  <si>
    <t>560.174.645-15</t>
  </si>
  <si>
    <t>S03 QD03 N41</t>
  </si>
  <si>
    <t xml:space="preserve">CLAUDIO DE ARAUJO PERES </t>
  </si>
  <si>
    <t>261667968</t>
  </si>
  <si>
    <t>264.559.588-02</t>
  </si>
  <si>
    <t>S03 QD03 N26</t>
  </si>
  <si>
    <t>ELIANE LOURDES DA SILVA BASTOS</t>
  </si>
  <si>
    <t>268407423</t>
  </si>
  <si>
    <t>169.642.088-10</t>
  </si>
  <si>
    <t>S01 QD05 N41</t>
  </si>
  <si>
    <t>FLORISVALDO MOREIRA BASTOS IRMAOS</t>
  </si>
  <si>
    <t>36110457</t>
  </si>
  <si>
    <t>147.998.888-03</t>
  </si>
  <si>
    <t>S02 QD01 N02</t>
  </si>
  <si>
    <t xml:space="preserve">EUNICE MODESTO DA SILVA </t>
  </si>
  <si>
    <t>509386283</t>
  </si>
  <si>
    <t>138.823.684-28</t>
  </si>
  <si>
    <t>S03 QD03 N33</t>
  </si>
  <si>
    <t xml:space="preserve">JACQUELLINE KELLY DE OLIVEIRA SANTOS </t>
  </si>
  <si>
    <t>441400358</t>
  </si>
  <si>
    <t>351.683.388-28</t>
  </si>
  <si>
    <t>S01 QD05 N34</t>
  </si>
  <si>
    <t xml:space="preserve">LUCIANO GUSTAVO ARRUDA </t>
  </si>
  <si>
    <t>628527391</t>
  </si>
  <si>
    <t>043.712.514-98</t>
  </si>
  <si>
    <t>S01 QD05 N02</t>
  </si>
  <si>
    <t xml:space="preserve">MARINALVA SILVA ANUNCIAÇAO </t>
  </si>
  <si>
    <t>261676532</t>
  </si>
  <si>
    <t>133.767.748-54</t>
  </si>
  <si>
    <t>S01 QD06 N05</t>
  </si>
  <si>
    <t>04 / 05 / 03</t>
  </si>
  <si>
    <t xml:space="preserve">JOSE CARLOS DA CONCEICAO </t>
  </si>
  <si>
    <t>30772461X</t>
  </si>
  <si>
    <t>080.470.038-95</t>
  </si>
  <si>
    <t>S01 QD06 N07</t>
  </si>
  <si>
    <t>CHRISTIANE APARECIDA SILVA PACHECO</t>
  </si>
  <si>
    <t>441043872</t>
  </si>
  <si>
    <t>329.761.578-80</t>
  </si>
  <si>
    <t>S01 QD06 N058</t>
  </si>
  <si>
    <t xml:space="preserve">MARIA JOSE DA SILVA JUCA </t>
  </si>
  <si>
    <t>569080757</t>
  </si>
  <si>
    <t>973.687.414-15</t>
  </si>
  <si>
    <t>RUA 16</t>
  </si>
  <si>
    <t>S01 QD06 N10</t>
  </si>
  <si>
    <t xml:space="preserve">THAINARA SILVA DE JESUS </t>
  </si>
  <si>
    <t>493152957</t>
  </si>
  <si>
    <t>415.465.008-47</t>
  </si>
  <si>
    <t>S01 QD06 N11</t>
  </si>
  <si>
    <t xml:space="preserve">BALBINO CANDIDO GOMES </t>
  </si>
  <si>
    <t>625884875</t>
  </si>
  <si>
    <t>264.084.221-87</t>
  </si>
  <si>
    <t>S02 QD03 N79</t>
  </si>
  <si>
    <t>79 / 80 / 81</t>
  </si>
  <si>
    <t xml:space="preserve">MANUELA OLIVEIRA DOS SANTOS </t>
  </si>
  <si>
    <t>639766316</t>
  </si>
  <si>
    <t>049.146.375-88</t>
  </si>
  <si>
    <t>S2 QD3 N74</t>
  </si>
  <si>
    <t>74 / 75 / 76</t>
  </si>
  <si>
    <t xml:space="preserve">CONSTANTINO VILLAR DE CARVALHO </t>
  </si>
  <si>
    <t>182700768</t>
  </si>
  <si>
    <t>080.547.908-21</t>
  </si>
  <si>
    <t>S01 QD04 N04</t>
  </si>
  <si>
    <t>VALERIA PINHEIRO BALDUINO</t>
  </si>
  <si>
    <t>489163634</t>
  </si>
  <si>
    <t>432.449.618-86</t>
  </si>
  <si>
    <t>S03 QD06 N03</t>
  </si>
  <si>
    <t xml:space="preserve">JOSEFA MARTINS DOS SANTOS </t>
  </si>
  <si>
    <t>525810201</t>
  </si>
  <si>
    <t>410.728.628-24</t>
  </si>
  <si>
    <t>S03 QD06 N04</t>
  </si>
  <si>
    <t xml:space="preserve">JOSE AILTON DOS SANTOS FILHO </t>
  </si>
  <si>
    <t>37709184-4</t>
  </si>
  <si>
    <t>523.971.318-97</t>
  </si>
  <si>
    <t>95 / 97 / 99</t>
  </si>
  <si>
    <t xml:space="preserve">ADENIALDO PEREIRA DO NASCIMENTO </t>
  </si>
  <si>
    <t xml:space="preserve">SEVERINO SEBASTIAO DOS SANTOS </t>
  </si>
  <si>
    <t>143160515</t>
  </si>
  <si>
    <t>046.645.988-23</t>
  </si>
  <si>
    <t>S03 Q06 N01</t>
  </si>
  <si>
    <t>2 / 1 / N</t>
  </si>
  <si>
    <t xml:space="preserve">FLORENTINO BISPO SANTOS </t>
  </si>
  <si>
    <t>121228927</t>
  </si>
  <si>
    <t>018.002.858-84</t>
  </si>
  <si>
    <t>S03 QD06 N06</t>
  </si>
  <si>
    <t>PAULO VINICIUS CARBALHO SANTOS</t>
  </si>
  <si>
    <t>166349747</t>
  </si>
  <si>
    <t>078.555.115-80</t>
  </si>
  <si>
    <t>RUA 13</t>
  </si>
  <si>
    <t>CS1 S3 QD6 N10</t>
  </si>
  <si>
    <t>LUIZ MACENA</t>
  </si>
  <si>
    <t>56767759X</t>
  </si>
  <si>
    <t>152.091.134-34</t>
  </si>
  <si>
    <t>S03 QD09 N16</t>
  </si>
  <si>
    <t>14 / 15 / 16S</t>
  </si>
  <si>
    <t>VANUZIA ROCHA VASCONCELOS</t>
  </si>
  <si>
    <t>273440998</t>
  </si>
  <si>
    <t>257.527.858-98</t>
  </si>
  <si>
    <t>S03 QD6 N16</t>
  </si>
  <si>
    <t xml:space="preserve">MARCIA MARIA FERREIRA DE LIMA </t>
  </si>
  <si>
    <t>193813725</t>
  </si>
  <si>
    <t>025.611.818-39</t>
  </si>
  <si>
    <t>S03 QD06 N22</t>
  </si>
  <si>
    <t xml:space="preserve">IVO TEIXEIRA BATISTA </t>
  </si>
  <si>
    <t>155902048</t>
  </si>
  <si>
    <t>048.714.148-25</t>
  </si>
  <si>
    <t>S03 QD03 N02</t>
  </si>
  <si>
    <t xml:space="preserve">NAYLA CRISTINA DE SOUZA SANTOS </t>
  </si>
  <si>
    <t>49838161</t>
  </si>
  <si>
    <t>348.047.798-41</t>
  </si>
  <si>
    <t>S03 QD06 N13</t>
  </si>
  <si>
    <t>CAMILLY VITORIA DA SILVA AMANCIO</t>
  </si>
  <si>
    <t>634014638</t>
  </si>
  <si>
    <t>407.194.008-56</t>
  </si>
  <si>
    <t>S03 QD06 N11</t>
  </si>
  <si>
    <t>09 / 10 / 08</t>
  </si>
  <si>
    <t xml:space="preserve">ANA MARIA DE MACEDO </t>
  </si>
  <si>
    <t>53877549X</t>
  </si>
  <si>
    <t>038.971.068-76</t>
  </si>
  <si>
    <t>S03 QD06 N20</t>
  </si>
  <si>
    <t xml:space="preserve">MARIA EDUARDA DE JESUS SANTOS </t>
  </si>
  <si>
    <t>470.399.988-90</t>
  </si>
  <si>
    <t>S03 QD03 N06</t>
  </si>
  <si>
    <t xml:space="preserve">SUELI BRAGA </t>
  </si>
  <si>
    <t>302674299</t>
  </si>
  <si>
    <t>108.435.808-52</t>
  </si>
  <si>
    <t>S03 QD06 N19</t>
  </si>
  <si>
    <t xml:space="preserve">MARIA FRANCISCA SANTOS DA SILVA </t>
  </si>
  <si>
    <t>296445502</t>
  </si>
  <si>
    <t>261.261.308-04</t>
  </si>
  <si>
    <t>S03 QD06 N05</t>
  </si>
  <si>
    <t xml:space="preserve">AZEILTA PEDRO DA SILVA </t>
  </si>
  <si>
    <t>415694346</t>
  </si>
  <si>
    <t>353.582.768-07</t>
  </si>
  <si>
    <t xml:space="preserve">WAGNER RIBEIRO ATÍLIO </t>
  </si>
  <si>
    <t>444695862</t>
  </si>
  <si>
    <t>368.371.698-31</t>
  </si>
  <si>
    <t>694</t>
  </si>
  <si>
    <t>693 / 694 / 695</t>
  </si>
  <si>
    <t>LUZIA NASCIMENTO SANTOS</t>
  </si>
  <si>
    <t>542097734</t>
  </si>
  <si>
    <t>378.186.078-70</t>
  </si>
  <si>
    <t>756</t>
  </si>
  <si>
    <t>755 / 756 / 757</t>
  </si>
  <si>
    <t>WELLIGTON LAMEU</t>
  </si>
  <si>
    <t>23319020</t>
  </si>
  <si>
    <t>229.119.438-05</t>
  </si>
  <si>
    <t>369</t>
  </si>
  <si>
    <t>367 / 369 / 371</t>
  </si>
  <si>
    <t xml:space="preserve">ANGELINO LAMEU </t>
  </si>
  <si>
    <t>000857983771</t>
  </si>
  <si>
    <t>782.090.808-49</t>
  </si>
  <si>
    <t>368 / 369 / 370</t>
  </si>
  <si>
    <t>LUIZ FERNANDO BRAZIL FERNANDES</t>
  </si>
  <si>
    <t>215234893</t>
  </si>
  <si>
    <t>097.743.758-23</t>
  </si>
  <si>
    <t>84 / 85 / 86</t>
  </si>
  <si>
    <t xml:space="preserve">ANA PAULA DOS SANTOS OLIVEIRA </t>
  </si>
  <si>
    <t>280801543</t>
  </si>
  <si>
    <t>169.558.728-69</t>
  </si>
  <si>
    <t>759 / 760 / 761</t>
  </si>
  <si>
    <t>ELENILDES NASCIMENTO SANTOS</t>
  </si>
  <si>
    <t>643759001</t>
  </si>
  <si>
    <t>315.877.968-48</t>
  </si>
  <si>
    <t>KRISTHYANE ANTUNES AMARO</t>
  </si>
  <si>
    <t>606374413</t>
  </si>
  <si>
    <t>529.224.868-18</t>
  </si>
  <si>
    <t>7 / 7 / 9</t>
  </si>
  <si>
    <t>WASHINGTON CARLOS SILVA GARCIA</t>
  </si>
  <si>
    <t>20460455</t>
  </si>
  <si>
    <t>085.381.018-46</t>
  </si>
  <si>
    <t xml:space="preserve">MARIA ALVES DOS SANTOS </t>
  </si>
  <si>
    <t>263058682</t>
  </si>
  <si>
    <t>246.690.498-52</t>
  </si>
  <si>
    <t>JOÃO JOSE DE ALMEIDA</t>
  </si>
  <si>
    <t>19756290</t>
  </si>
  <si>
    <t>038.456.898-36</t>
  </si>
  <si>
    <t>1157 / 1159 / 0</t>
  </si>
  <si>
    <t>MARILIA RIBEIRO DE SOUZA</t>
  </si>
  <si>
    <t>401273787</t>
  </si>
  <si>
    <t>440.499.258-00</t>
  </si>
  <si>
    <t>RAFAEL DA SILVA BARBOSA</t>
  </si>
  <si>
    <t>53120988</t>
  </si>
  <si>
    <t>526.292.898-69</t>
  </si>
  <si>
    <t>VIVIANE PEREIRA DOS SANTOS</t>
  </si>
  <si>
    <t>455911459</t>
  </si>
  <si>
    <t>346.793.478-13</t>
  </si>
  <si>
    <t>TRAVESSA DO CAROL</t>
  </si>
  <si>
    <t>ANDERSON PEREIRA DOS SANTOS</t>
  </si>
  <si>
    <t>455722079</t>
  </si>
  <si>
    <t>337.740.188-12</t>
  </si>
  <si>
    <t>SANANTHA CRISTINA DA SILVA ALVES</t>
  </si>
  <si>
    <t>47798243</t>
  </si>
  <si>
    <t>404.457.678-39</t>
  </si>
  <si>
    <t>MAYCKON DA SILVA OLIVEIRA</t>
  </si>
  <si>
    <t>56306464</t>
  </si>
  <si>
    <t>CHAILANE DOS SANTOS MARTINS</t>
  </si>
  <si>
    <t>463950045</t>
  </si>
  <si>
    <t>394.533.898-98</t>
  </si>
  <si>
    <t>0 / 20 / 22</t>
  </si>
  <si>
    <t>JOSEFA ANTÔNIA CARAIBA</t>
  </si>
  <si>
    <t>398119491</t>
  </si>
  <si>
    <t>382.002.857-71</t>
  </si>
  <si>
    <t>FABIANA GONÇALVES FERNANDES</t>
  </si>
  <si>
    <t>371163006</t>
  </si>
  <si>
    <t>427.595.248-09</t>
  </si>
  <si>
    <t>ELIANE CRISTINA GONÇALVES DA CRUZ</t>
  </si>
  <si>
    <t>28232555</t>
  </si>
  <si>
    <t>192.859.358-50</t>
  </si>
  <si>
    <t>107</t>
  </si>
  <si>
    <t>105 / 107 / 109</t>
  </si>
  <si>
    <t>ANDREIA CRISTINA DA SILVA</t>
  </si>
  <si>
    <t>28207530</t>
  </si>
  <si>
    <t>169.652.788-03</t>
  </si>
  <si>
    <t>HERLEY WILLIAM DOS SANTOS MARTINS</t>
  </si>
  <si>
    <t>4864385533</t>
  </si>
  <si>
    <t>426.598.448-79</t>
  </si>
  <si>
    <t>CICERO PEREIRA DA SILVA</t>
  </si>
  <si>
    <t>642604381</t>
  </si>
  <si>
    <t>039.180.064-76</t>
  </si>
  <si>
    <t>13 / 15 / 18</t>
  </si>
  <si>
    <t>GILVADO FRANCISCO ROMÃO DA SILVA</t>
  </si>
  <si>
    <t>404952963</t>
  </si>
  <si>
    <t>896.034.604-78</t>
  </si>
  <si>
    <t>JOÃO CARLOS TEIXEIRA DA SILVA</t>
  </si>
  <si>
    <t>55952144810</t>
  </si>
  <si>
    <t>559.521.448-10</t>
  </si>
  <si>
    <t xml:space="preserve">EDUARDO EDINALDO DUARTE </t>
  </si>
  <si>
    <t>631940431</t>
  </si>
  <si>
    <t>386.388.004-87</t>
  </si>
  <si>
    <t xml:space="preserve">IGOR LEANDRO DA SILVA </t>
  </si>
  <si>
    <t>531185722</t>
  </si>
  <si>
    <t>476.279.148-25</t>
  </si>
  <si>
    <t xml:space="preserve">ANA CAROLINA BLEDES </t>
  </si>
  <si>
    <t>257007659</t>
  </si>
  <si>
    <t>169.647.208-39</t>
  </si>
  <si>
    <t xml:space="preserve">LILIANE DA SILVA LEANDRO </t>
  </si>
  <si>
    <t>05295735595</t>
  </si>
  <si>
    <t>284.450.338-16</t>
  </si>
  <si>
    <t xml:space="preserve">EDIELDA MARIA DOS SANTOS BARROS </t>
  </si>
  <si>
    <t>333728518</t>
  </si>
  <si>
    <t>278.372.528-29</t>
  </si>
  <si>
    <t>66 / 68 / 79</t>
  </si>
  <si>
    <t xml:space="preserve">SEBASTIAO MANOEL DOS SANTOS </t>
  </si>
  <si>
    <t>125227103</t>
  </si>
  <si>
    <t>070.050.138-08</t>
  </si>
  <si>
    <t>72</t>
  </si>
  <si>
    <t>74 / 72 / 70</t>
  </si>
  <si>
    <t xml:space="preserve">GUSTAVO GONCALVES DOS SANTOS </t>
  </si>
  <si>
    <t>470085344</t>
  </si>
  <si>
    <t>425.503.208-40</t>
  </si>
  <si>
    <t xml:space="preserve">JICALOS JOSE DOS SANTOS </t>
  </si>
  <si>
    <t>531965727</t>
  </si>
  <si>
    <t>920.148.105-59</t>
  </si>
  <si>
    <t>72 / 70 / 68</t>
  </si>
  <si>
    <t xml:space="preserve">MILEIDE KEITE DA SILVA </t>
  </si>
  <si>
    <t>05393131577</t>
  </si>
  <si>
    <t>229.937.378-05</t>
  </si>
  <si>
    <t>84 / 82 / 80</t>
  </si>
  <si>
    <t xml:space="preserve">JOSEFA MARIA BESERRA CAETANO </t>
  </si>
  <si>
    <t>393580337</t>
  </si>
  <si>
    <t>162.339.768-55</t>
  </si>
  <si>
    <t>88 / 86 / 84</t>
  </si>
  <si>
    <t xml:space="preserve">FABIO GERMANO </t>
  </si>
  <si>
    <t>287435490</t>
  </si>
  <si>
    <t>261.892.488-61</t>
  </si>
  <si>
    <t xml:space="preserve">ARLETE PEREIRA DE ALMEIDA </t>
  </si>
  <si>
    <t>25696457886</t>
  </si>
  <si>
    <t>256.964.578-86</t>
  </si>
  <si>
    <t xml:space="preserve">MARIZA SANTOS ALMEIDA </t>
  </si>
  <si>
    <t>328760134</t>
  </si>
  <si>
    <t>000.689.535-26</t>
  </si>
  <si>
    <t>77 / 75 / 73</t>
  </si>
  <si>
    <t xml:space="preserve">ALTEMIR JOSE DOS SANTOS </t>
  </si>
  <si>
    <t>197562565</t>
  </si>
  <si>
    <t>108.353.548-06</t>
  </si>
  <si>
    <t>90 / 88 / 86</t>
  </si>
  <si>
    <t xml:space="preserve">CRISTINA ALVES DOS SANTOS </t>
  </si>
  <si>
    <t>421388079</t>
  </si>
  <si>
    <t>322.560.828-90</t>
  </si>
  <si>
    <t xml:space="preserve">THAYNARA GLEICIANE </t>
  </si>
  <si>
    <t>07117423224</t>
  </si>
  <si>
    <t>503.130.308-55</t>
  </si>
  <si>
    <t xml:space="preserve">CICERA MARIA APOLINARIO DA SILVA </t>
  </si>
  <si>
    <t>41569524-7</t>
  </si>
  <si>
    <t>307.636.208-90</t>
  </si>
  <si>
    <t>98 / 100 / 102</t>
  </si>
  <si>
    <t xml:space="preserve">FERNANDO DOS SANTOS SOUZA </t>
  </si>
  <si>
    <t>54.856.057-2</t>
  </si>
  <si>
    <t>543.130.528-01</t>
  </si>
  <si>
    <t xml:space="preserve">NATALIA FERNANDA OLIVEIRA DE LIMA </t>
  </si>
  <si>
    <t>645171232</t>
  </si>
  <si>
    <t>109.698.314-12</t>
  </si>
  <si>
    <t>686</t>
  </si>
  <si>
    <t>690 / 686 / 688</t>
  </si>
  <si>
    <t xml:space="preserve">CAMILA SANTOS SOUZA FERREIRA LEAL </t>
  </si>
  <si>
    <t>40402051</t>
  </si>
  <si>
    <t>424.668.088-54</t>
  </si>
  <si>
    <t xml:space="preserve">VINICIUS MIRASSOL DA SILVA </t>
  </si>
  <si>
    <t>391420185</t>
  </si>
  <si>
    <t>362.654.408-70</t>
  </si>
  <si>
    <t>466</t>
  </si>
  <si>
    <t>468 / 466 / 464</t>
  </si>
  <si>
    <t xml:space="preserve">THUANNE DE PAULA SANTOS DA COSTA </t>
  </si>
  <si>
    <t>44842356X</t>
  </si>
  <si>
    <t>358.365.518-47</t>
  </si>
  <si>
    <t>472</t>
  </si>
  <si>
    <t>474 / 472 / 470</t>
  </si>
  <si>
    <t xml:space="preserve">DENNYS DOS SANTOS COSTA LIMA </t>
  </si>
  <si>
    <t>543498062</t>
  </si>
  <si>
    <t>204.710.207-37</t>
  </si>
  <si>
    <t>EDVALDO  PEREIRA DE ASEVEDO</t>
  </si>
  <si>
    <t>576203154</t>
  </si>
  <si>
    <t>603.872.704-34</t>
  </si>
  <si>
    <t>6 / 4 / 2</t>
  </si>
  <si>
    <t xml:space="preserve">EDNA PEREIRA DE AZEVEDO </t>
  </si>
  <si>
    <t>555300419</t>
  </si>
  <si>
    <t>084.417.944-21</t>
  </si>
  <si>
    <t>4 / 06 / 8</t>
  </si>
  <si>
    <t>JOSE MARTINS LISBOA SOBRINHO</t>
  </si>
  <si>
    <t>510.732.695-15</t>
  </si>
  <si>
    <t>RUA 20</t>
  </si>
  <si>
    <t>S01 QD08 N11</t>
  </si>
  <si>
    <t xml:space="preserve">JENIVALDA VIEIRA SILVA </t>
  </si>
  <si>
    <t>215232410</t>
  </si>
  <si>
    <t>300.655.818-90</t>
  </si>
  <si>
    <t>S01 QD08 N14</t>
  </si>
  <si>
    <t xml:space="preserve">RITA ACACIA FELIX DA CONCEICAO </t>
  </si>
  <si>
    <t>355755762</t>
  </si>
  <si>
    <t>304.513.168-94</t>
  </si>
  <si>
    <t>S01 QD08 N35</t>
  </si>
  <si>
    <t>BRUNA NATIELE PEREIRA LOPES</t>
  </si>
  <si>
    <t>483043242</t>
  </si>
  <si>
    <t>426.642.378-02</t>
  </si>
  <si>
    <t>12 / 10 / 08</t>
  </si>
  <si>
    <t xml:space="preserve">SABRINA FERREIRA DOS SANTOS </t>
  </si>
  <si>
    <t>637461861</t>
  </si>
  <si>
    <t>534.224.648-24</t>
  </si>
  <si>
    <t>7 / 9 / 16</t>
  </si>
  <si>
    <t>MARINICE CAMILO DA SILVA</t>
  </si>
  <si>
    <t>18646681X</t>
  </si>
  <si>
    <t>121.325.478-74</t>
  </si>
  <si>
    <t>S01 QD06 N06</t>
  </si>
  <si>
    <t xml:space="preserve">JOSINA CIPRIANO DO NASCIMENTO </t>
  </si>
  <si>
    <t>07214093855</t>
  </si>
  <si>
    <t>333.365.418-08</t>
  </si>
  <si>
    <t>11 / 16 / 18</t>
  </si>
  <si>
    <t xml:space="preserve">EVELYN CAROLINE MARTINS SANTOS </t>
  </si>
  <si>
    <t>607664022</t>
  </si>
  <si>
    <t>506.432.058-29</t>
  </si>
  <si>
    <t>JOSILDA MARIA DA SILVA BISPO</t>
  </si>
  <si>
    <t>553805654</t>
  </si>
  <si>
    <t>078.351.904-43</t>
  </si>
  <si>
    <t>S01 QD06 N04</t>
  </si>
  <si>
    <t xml:space="preserve">EVELLYN SANTOS DAS NEVES </t>
  </si>
  <si>
    <t>526524170</t>
  </si>
  <si>
    <t>571.117.728-14</t>
  </si>
  <si>
    <t>405</t>
  </si>
  <si>
    <t>403 / 405 / 408</t>
  </si>
  <si>
    <t xml:space="preserve">YASMIN RAISSA SANTOS </t>
  </si>
  <si>
    <t>528027414</t>
  </si>
  <si>
    <t>515.733.818-02</t>
  </si>
  <si>
    <t>CASA  3</t>
  </si>
  <si>
    <t>404 / 405 / 406</t>
  </si>
  <si>
    <t xml:space="preserve">INGRID RAYANE SANTOS RUFINO </t>
  </si>
  <si>
    <t>528027517</t>
  </si>
  <si>
    <t>469.448.418-43</t>
  </si>
  <si>
    <t>403 / 405 / 407</t>
  </si>
  <si>
    <t xml:space="preserve">CLEBERY SANTOS PINTO </t>
  </si>
  <si>
    <t>03869566689</t>
  </si>
  <si>
    <t>000.734.795-27</t>
  </si>
  <si>
    <t>415</t>
  </si>
  <si>
    <t>413 / 415 / 417</t>
  </si>
  <si>
    <t xml:space="preserve">IASMIM DE JESUS SANTOS </t>
  </si>
  <si>
    <t>50831198893</t>
  </si>
  <si>
    <t>508.311.988-93</t>
  </si>
  <si>
    <t>MACIEL LUIZ DA SILVA</t>
  </si>
  <si>
    <t>410954159</t>
  </si>
  <si>
    <t>342.030.938-48</t>
  </si>
  <si>
    <t>ERICA COSTA</t>
  </si>
  <si>
    <t>448436589</t>
  </si>
  <si>
    <t>400.314.638-78</t>
  </si>
  <si>
    <t>36 / 35 / 34</t>
  </si>
  <si>
    <t xml:space="preserve">MARIA DE FATIMA DA SILVA </t>
  </si>
  <si>
    <t>505.922.114-87</t>
  </si>
  <si>
    <t xml:space="preserve">ELZA FERREIRA CRAVO OLIVEIRA </t>
  </si>
  <si>
    <t>30375901X</t>
  </si>
  <si>
    <t>575.581.325-68</t>
  </si>
  <si>
    <t xml:space="preserve">ROZELITA SOUZA SILVA </t>
  </si>
  <si>
    <t>263046989</t>
  </si>
  <si>
    <t>035.339.038-97</t>
  </si>
  <si>
    <t>S01 QD05 N26</t>
  </si>
  <si>
    <t xml:space="preserve">MARIA JOSE DA CONCEICAO </t>
  </si>
  <si>
    <t>538793120</t>
  </si>
  <si>
    <t>660.761.025-00</t>
  </si>
  <si>
    <t>S03 QD03 N44</t>
  </si>
  <si>
    <t xml:space="preserve">ROZIENE TOMAZ DOS SANTOS </t>
  </si>
  <si>
    <t>280130326</t>
  </si>
  <si>
    <t>255.903.848-00</t>
  </si>
  <si>
    <t xml:space="preserve">SANDRA PEREIRA FAGNANI </t>
  </si>
  <si>
    <t>145407068</t>
  </si>
  <si>
    <t>025.497.468-64</t>
  </si>
  <si>
    <t xml:space="preserve">JUCIMARIO DOS SANTOS ALVES </t>
  </si>
  <si>
    <t>282081343</t>
  </si>
  <si>
    <t>169.653.728-26</t>
  </si>
  <si>
    <t>S01 QD08 N34</t>
  </si>
  <si>
    <t xml:space="preserve">REGINA LUCIA SILVA DE JESUS </t>
  </si>
  <si>
    <t>441654289</t>
  </si>
  <si>
    <t>396.164.008-43</t>
  </si>
  <si>
    <t>CS2 S1 QD6 N11</t>
  </si>
  <si>
    <t xml:space="preserve">MARIA CELMA VIEIRA DOS SANTOS </t>
  </si>
  <si>
    <t>581266559</t>
  </si>
  <si>
    <t>266.368.878-93</t>
  </si>
  <si>
    <t>S02 QD04 N2</t>
  </si>
  <si>
    <t xml:space="preserve">CELIA PALOMA DA SILVA SANTOS </t>
  </si>
  <si>
    <t>547381955</t>
  </si>
  <si>
    <t>470.200.548-03</t>
  </si>
  <si>
    <t>S01 QD06 N13</t>
  </si>
  <si>
    <t xml:space="preserve">CESAR AUGUSTO SANTOS </t>
  </si>
  <si>
    <t>247670-5</t>
  </si>
  <si>
    <t>445.189.298-88</t>
  </si>
  <si>
    <t xml:space="preserve">EDSON DA SILVA ARRUDA </t>
  </si>
  <si>
    <t>404927841</t>
  </si>
  <si>
    <t>377.972.158-98</t>
  </si>
  <si>
    <t>09 / 11 / 00</t>
  </si>
  <si>
    <t>ELESSANDRA SANTOS SILVA</t>
  </si>
  <si>
    <t>347440265</t>
  </si>
  <si>
    <t>293.221.868-95</t>
  </si>
  <si>
    <t>764</t>
  </si>
  <si>
    <t>762 / 764 / 760</t>
  </si>
  <si>
    <t>JOSE RAFAEL DOS SANTOS FILHO</t>
  </si>
  <si>
    <t>Novo</t>
  </si>
  <si>
    <t>008.468.018-09</t>
  </si>
  <si>
    <t>1144</t>
  </si>
  <si>
    <t>1142 / 1144 / 0</t>
  </si>
  <si>
    <t>ISMAR FERREIRA DA SILVA</t>
  </si>
  <si>
    <t>361595736</t>
  </si>
  <si>
    <t>785.721.774-34</t>
  </si>
  <si>
    <t>613</t>
  </si>
  <si>
    <t>611 / 613 / 615</t>
  </si>
  <si>
    <t>ANDREIA LEITE DOS SANTOS DE JESUS</t>
  </si>
  <si>
    <t>34186607893</t>
  </si>
  <si>
    <t>341.866.078-93</t>
  </si>
  <si>
    <t>620</t>
  </si>
  <si>
    <t>618 / 620 / 622</t>
  </si>
  <si>
    <t>CYNTHIA DE JESUS BENITEZ</t>
  </si>
  <si>
    <t>495684156</t>
  </si>
  <si>
    <t>411.138.248-75</t>
  </si>
  <si>
    <t>618</t>
  </si>
  <si>
    <t>620 / 618 / 616</t>
  </si>
  <si>
    <t>JUCOLENE RAMOSDOS SANTOS</t>
  </si>
  <si>
    <t>54411680</t>
  </si>
  <si>
    <t>324.009.208-50</t>
  </si>
  <si>
    <t>605</t>
  </si>
  <si>
    <t>603 / 605 / 0</t>
  </si>
  <si>
    <t>ALICE DOS SANTOSPEREIRADA SILVA</t>
  </si>
  <si>
    <t>39375375897</t>
  </si>
  <si>
    <t>393.753.758-97</t>
  </si>
  <si>
    <t>1163</t>
  </si>
  <si>
    <t>1161 / 1163 / 1165</t>
  </si>
  <si>
    <t>EVELYN GABRIELLY CANDIDA DANTIAGO</t>
  </si>
  <si>
    <t>587491723</t>
  </si>
  <si>
    <t>547.825.018-03</t>
  </si>
  <si>
    <t>1159 / 1161 / 1163</t>
  </si>
  <si>
    <t>CLAUDNEY SANTANA DA CRUZ</t>
  </si>
  <si>
    <t>210137927</t>
  </si>
  <si>
    <t>049.211.618-01</t>
  </si>
  <si>
    <t>1169</t>
  </si>
  <si>
    <t>1165 / 1169 / 1171</t>
  </si>
  <si>
    <t>CLAUDINES FLORIANODA SILVA</t>
  </si>
  <si>
    <t>07552634480</t>
  </si>
  <si>
    <t>075.526.344-80</t>
  </si>
  <si>
    <t>1171</t>
  </si>
  <si>
    <t>1169 / 1171 / 1173</t>
  </si>
  <si>
    <t>52527697</t>
  </si>
  <si>
    <t>501.347.438-81</t>
  </si>
  <si>
    <t>1167</t>
  </si>
  <si>
    <t>1165 / 1167 / 1169</t>
  </si>
  <si>
    <t xml:space="preserve">CRISTOVÃO ANTONIO FRANCESQUINI </t>
  </si>
  <si>
    <t>47232323</t>
  </si>
  <si>
    <t>410.364.498-23</t>
  </si>
  <si>
    <t>695</t>
  </si>
  <si>
    <t>693 / 695 / 697</t>
  </si>
  <si>
    <t xml:space="preserve">JOSEFA MARIA DA SILVA SANTOS </t>
  </si>
  <si>
    <t>109554899</t>
  </si>
  <si>
    <t>018.201.388-01</t>
  </si>
  <si>
    <t>ELIANE LOPES DE SOUZA</t>
  </si>
  <si>
    <t>596625443</t>
  </si>
  <si>
    <t>032.360.065-44</t>
  </si>
  <si>
    <t>BECO DA PAZ</t>
  </si>
  <si>
    <t xml:space="preserve">EDMILSON CORREIA DE ANDRADE </t>
  </si>
  <si>
    <t>362367474</t>
  </si>
  <si>
    <t>781.898.454-20</t>
  </si>
  <si>
    <t>ELENICE MOURA DE AMORIM</t>
  </si>
  <si>
    <t>255224311X</t>
  </si>
  <si>
    <t>182.704.428-44</t>
  </si>
  <si>
    <t xml:space="preserve">MICHELLE DE CASSIA DA SILVA </t>
  </si>
  <si>
    <t>379480207</t>
  </si>
  <si>
    <t>367.086.068-10</t>
  </si>
  <si>
    <t>BECO DA LU</t>
  </si>
  <si>
    <t>EUDES PEREIRAR</t>
  </si>
  <si>
    <t>05480560448</t>
  </si>
  <si>
    <t>337.740.228-44</t>
  </si>
  <si>
    <t>1133</t>
  </si>
  <si>
    <t>1131 / 1133 / 1135</t>
  </si>
  <si>
    <t xml:space="preserve">BEATRIS SANTANA DA SILVA </t>
  </si>
  <si>
    <t>57108929X</t>
  </si>
  <si>
    <t>477.081.378-37</t>
  </si>
  <si>
    <t xml:space="preserve">BARBARA SANTANA DA SILVA </t>
  </si>
  <si>
    <t>575080322</t>
  </si>
  <si>
    <t>498.724.488-84</t>
  </si>
  <si>
    <t>TAIALA DE JESUS SANTOS</t>
  </si>
  <si>
    <t>694960147</t>
  </si>
  <si>
    <t>022.013.675-07</t>
  </si>
  <si>
    <t xml:space="preserve">PEDRO LEONARDO DE AOUZA VIEIRA </t>
  </si>
  <si>
    <t>8068117</t>
  </si>
  <si>
    <t>117.654.093-90</t>
  </si>
  <si>
    <t xml:space="preserve">FRANCINE DE FREITAS FLORENCIO </t>
  </si>
  <si>
    <t>448695728</t>
  </si>
  <si>
    <t>399.942.728-02</t>
  </si>
  <si>
    <t>1151 / 1153 / 1155</t>
  </si>
  <si>
    <t xml:space="preserve">GELSON DE OLIVEIRA </t>
  </si>
  <si>
    <t>169590021</t>
  </si>
  <si>
    <t>062.224.218-06</t>
  </si>
  <si>
    <t>JOSE IVO DE OLIVEIRA</t>
  </si>
  <si>
    <t>547411145</t>
  </si>
  <si>
    <t>958.318.354-72</t>
  </si>
  <si>
    <t>1183</t>
  </si>
  <si>
    <t>1181 / 1183 / 1185</t>
  </si>
  <si>
    <t>MARILENE PEREIRA DE SOUZA</t>
  </si>
  <si>
    <t>367761695</t>
  </si>
  <si>
    <t>222.735.878-56</t>
  </si>
  <si>
    <t>5 / 9 / 11</t>
  </si>
  <si>
    <t>RODRIGO KEVIN SOUZA AZEVEDO COSTA</t>
  </si>
  <si>
    <t>555244106</t>
  </si>
  <si>
    <t>487.855.878-42</t>
  </si>
  <si>
    <t>DIEGO PEREIRA DA SILVA</t>
  </si>
  <si>
    <t>5814863228</t>
  </si>
  <si>
    <t>523.106.948-51</t>
  </si>
  <si>
    <t xml:space="preserve">HELENO SOARES DE LIMA </t>
  </si>
  <si>
    <t>53771521</t>
  </si>
  <si>
    <t>821.407.824-53</t>
  </si>
  <si>
    <t xml:space="preserve">RARIA DOS SANTOS LIMA </t>
  </si>
  <si>
    <t>526523918</t>
  </si>
  <si>
    <t>573.003.768-60</t>
  </si>
  <si>
    <t>409</t>
  </si>
  <si>
    <t>407 / 409 / 411</t>
  </si>
  <si>
    <t>PAULINE CELIN</t>
  </si>
  <si>
    <t>23731072874</t>
  </si>
  <si>
    <t>237.310.728-74</t>
  </si>
  <si>
    <t>626</t>
  </si>
  <si>
    <t>624 / 626 / 627</t>
  </si>
  <si>
    <t xml:space="preserve">KLEINE SANTOS PINTO BORGES </t>
  </si>
  <si>
    <t>2244163750</t>
  </si>
  <si>
    <t>035.004.925-41</t>
  </si>
  <si>
    <t>408 / 409 / 410</t>
  </si>
  <si>
    <t xml:space="preserve">FRANCISCO PEREIRA GOMES </t>
  </si>
  <si>
    <t>667955963</t>
  </si>
  <si>
    <t>746.883.753-87</t>
  </si>
  <si>
    <t>QUITERIA PEDRO DA SILVA</t>
  </si>
  <si>
    <t>564355136</t>
  </si>
  <si>
    <t>777.218.024-15</t>
  </si>
  <si>
    <t>GRACIELA RODRIGUES DA SILVA</t>
  </si>
  <si>
    <t>415695296</t>
  </si>
  <si>
    <t>356.065.028-36</t>
  </si>
  <si>
    <t>1130 / 1132 / 1134</t>
  </si>
  <si>
    <t xml:space="preserve">VANESSA SANTANA DE MOURA </t>
  </si>
  <si>
    <t>59737756X</t>
  </si>
  <si>
    <t>055.071.334-41</t>
  </si>
  <si>
    <t>3 / 5 / 0</t>
  </si>
  <si>
    <t xml:space="preserve">GILBERTO GOMES DA SILVA </t>
  </si>
  <si>
    <t>521978178</t>
  </si>
  <si>
    <t>864.757.034-00</t>
  </si>
  <si>
    <t>1033</t>
  </si>
  <si>
    <t>1031 / 1033 / 00</t>
  </si>
  <si>
    <t xml:space="preserve">MARYANE CANUTO DO MONTE </t>
  </si>
  <si>
    <t>50675196X</t>
  </si>
  <si>
    <t>541.926.868-05</t>
  </si>
  <si>
    <t>417</t>
  </si>
  <si>
    <t>415 / 417 / 419</t>
  </si>
  <si>
    <t xml:space="preserve">SILVANIA DE JESUS BISPO DIAS </t>
  </si>
  <si>
    <t>362374708</t>
  </si>
  <si>
    <t>315.953.558-47</t>
  </si>
  <si>
    <t>TRAVESSA DO CAVALÃO</t>
  </si>
  <si>
    <t xml:space="preserve">IURE PEREIRA DOS SANTOS </t>
  </si>
  <si>
    <t>642874852</t>
  </si>
  <si>
    <t>578.465.078-50</t>
  </si>
  <si>
    <t>353</t>
  </si>
  <si>
    <t>351 / 353 / 355</t>
  </si>
  <si>
    <t xml:space="preserve">RAFAELA DE JESUS BISPO DIAS </t>
  </si>
  <si>
    <t>485597305</t>
  </si>
  <si>
    <t>425.155.868-56</t>
  </si>
  <si>
    <t xml:space="preserve">TERESINHA DE ANDRADE CANUTO </t>
  </si>
  <si>
    <t>238680356</t>
  </si>
  <si>
    <t>133.819.598-08</t>
  </si>
  <si>
    <t xml:space="preserve">JULIA GONÇALVES XAVIER </t>
  </si>
  <si>
    <t>06563191904</t>
  </si>
  <si>
    <t>234.106.658-54</t>
  </si>
  <si>
    <t>393</t>
  </si>
  <si>
    <t>391 / 393 / 000</t>
  </si>
  <si>
    <t>SARA MICAELLY ELIAS DA SILVA</t>
  </si>
  <si>
    <t>544110444</t>
  </si>
  <si>
    <t>541.536.918-01</t>
  </si>
  <si>
    <t>391</t>
  </si>
  <si>
    <t>389 / 391 / 393</t>
  </si>
  <si>
    <t xml:space="preserve">LUANA MARIA PEREIRA DOS SANTOS </t>
  </si>
  <si>
    <t>45054239-7</t>
  </si>
  <si>
    <t>233.448.358-31</t>
  </si>
  <si>
    <t>BECO K9</t>
  </si>
  <si>
    <t>ADRIELE DE MELO VALENTE</t>
  </si>
  <si>
    <t>667687403</t>
  </si>
  <si>
    <t>712.377.314-45</t>
  </si>
  <si>
    <t>DAVID GONCALVES</t>
  </si>
  <si>
    <t>40126907</t>
  </si>
  <si>
    <t>424.418.568-20</t>
  </si>
  <si>
    <t>DOMICIANO ANTONIO ESTEVAM SA</t>
  </si>
  <si>
    <t>306141140</t>
  </si>
  <si>
    <t>320.985.848-90</t>
  </si>
  <si>
    <t>TAMIRES GONCALVES</t>
  </si>
  <si>
    <t>660670173</t>
  </si>
  <si>
    <t>091.501.854-38</t>
  </si>
  <si>
    <t>18 / 21 / 23</t>
  </si>
  <si>
    <t>SAULO GONCALVES DE SOUZA</t>
  </si>
  <si>
    <t>37026455</t>
  </si>
  <si>
    <t>426.041.588-33</t>
  </si>
  <si>
    <t>16 / 15 / 18</t>
  </si>
  <si>
    <t>JOSE AMILTON PEREIRA DE CASTRO</t>
  </si>
  <si>
    <t>575744960</t>
  </si>
  <si>
    <t>381.278.898-57</t>
  </si>
  <si>
    <t>13 / 16 / 18</t>
  </si>
  <si>
    <t>JOSE CARLOS TORQUATO DA SILVA</t>
  </si>
  <si>
    <t>35733223</t>
  </si>
  <si>
    <t>289.844.918-02</t>
  </si>
  <si>
    <t>YAGO SOUZA AZEVEDO DA COSTA</t>
  </si>
  <si>
    <t>555245287</t>
  </si>
  <si>
    <t>531.370.578-41</t>
  </si>
  <si>
    <t>ADELIA DE JESUS SILVINO SILVA</t>
  </si>
  <si>
    <t>332713064</t>
  </si>
  <si>
    <t>324.389.038-13</t>
  </si>
  <si>
    <t>301</t>
  </si>
  <si>
    <t>0 / 301 / 303</t>
  </si>
  <si>
    <t>MATHEUS DE JESUS SILVA</t>
  </si>
  <si>
    <t>557944892</t>
  </si>
  <si>
    <t>490.409.348-86</t>
  </si>
  <si>
    <t>303</t>
  </si>
  <si>
    <t>301 / 303 / 306</t>
  </si>
  <si>
    <t xml:space="preserve">FERNANDA DIAS DE OLIVEIRA </t>
  </si>
  <si>
    <t>365007766</t>
  </si>
  <si>
    <t>412.176.618-08</t>
  </si>
  <si>
    <t>SILVANA FERREIRA DA SILVA</t>
  </si>
  <si>
    <t>467008115</t>
  </si>
  <si>
    <t>335.186.688-70</t>
  </si>
  <si>
    <t>SALON JOSE DA SILVA</t>
  </si>
  <si>
    <t>53271397</t>
  </si>
  <si>
    <t>618.049.114-00</t>
  </si>
  <si>
    <t>JOSINALDO DA SILVA GOMES</t>
  </si>
  <si>
    <t>391440202</t>
  </si>
  <si>
    <t>327.107.918-89</t>
  </si>
  <si>
    <t>ANNELISE PRICILA DE ANDRADE CANUTO</t>
  </si>
  <si>
    <t>447773550</t>
  </si>
  <si>
    <t>360.986.198-32</t>
  </si>
  <si>
    <t>ANA CAROLINA PACHECO</t>
  </si>
  <si>
    <t>589386906</t>
  </si>
  <si>
    <t>237.396.618-28</t>
  </si>
  <si>
    <t>693</t>
  </si>
  <si>
    <t>692 / 693 / 694</t>
  </si>
  <si>
    <t>ARIANE DE JESUS SILVA</t>
  </si>
  <si>
    <t>557940965</t>
  </si>
  <si>
    <t>490.409.718-11</t>
  </si>
  <si>
    <t>301 / 303 / 305</t>
  </si>
  <si>
    <t>ROSENILDA DE LIMA SANTOS</t>
  </si>
  <si>
    <t>299468896</t>
  </si>
  <si>
    <t>350.710.688-42</t>
  </si>
  <si>
    <t>403</t>
  </si>
  <si>
    <t>402 / 403 / 404</t>
  </si>
  <si>
    <t xml:space="preserve">YASMIN RAISSA SANTOS RUFINO </t>
  </si>
  <si>
    <t>MARCELO AURÉLIO LUSTOSA</t>
  </si>
  <si>
    <t>52064993X</t>
  </si>
  <si>
    <t>974.989.123-64</t>
  </si>
  <si>
    <t>IRAC EDSON MOREIRA DA SILVA</t>
  </si>
  <si>
    <t>523805688</t>
  </si>
  <si>
    <t>430.286.178-97</t>
  </si>
  <si>
    <t>IRIS CRISTINA SOUZA</t>
  </si>
  <si>
    <t>662847556</t>
  </si>
  <si>
    <t>097.616.464-75</t>
  </si>
  <si>
    <t xml:space="preserve">EUNICE PEREIRA DA MATA </t>
  </si>
  <si>
    <t>584516460</t>
  </si>
  <si>
    <t>954.801.021-68</t>
  </si>
  <si>
    <t>BECO DO SHAKE</t>
  </si>
  <si>
    <t>423</t>
  </si>
  <si>
    <t>421 / 423 / 425</t>
  </si>
  <si>
    <t xml:space="preserve">VERA LUCIA AFONSO DA SILVA </t>
  </si>
  <si>
    <t>103659201</t>
  </si>
  <si>
    <t>641.878.538-04</t>
  </si>
  <si>
    <t>471</t>
  </si>
  <si>
    <t>740 / 471 / 472</t>
  </si>
  <si>
    <t>UBIRACI ELIAS DA SILVA</t>
  </si>
  <si>
    <t>193820262</t>
  </si>
  <si>
    <t>082.861.878-06</t>
  </si>
  <si>
    <t>474</t>
  </si>
  <si>
    <t>473 / 474 / 473</t>
  </si>
  <si>
    <t>GISSELMA DA SILVA</t>
  </si>
  <si>
    <t>533429407</t>
  </si>
  <si>
    <t>414.523.158-92</t>
  </si>
  <si>
    <t xml:space="preserve">FRANCISCO DE ASSIS GONÇALVES BATISTA </t>
  </si>
  <si>
    <t>447782289</t>
  </si>
  <si>
    <t>365.957.398-10</t>
  </si>
  <si>
    <t>S03 QD01 N34</t>
  </si>
  <si>
    <t>ERICA PERREIRA DE ULLA PETRUSSI</t>
  </si>
  <si>
    <t>335769676</t>
  </si>
  <si>
    <t>297.350.698-06</t>
  </si>
  <si>
    <t>S03 QD01 N43</t>
  </si>
  <si>
    <t>WÊNIA APARECIADA PERREIRA MARTINS</t>
  </si>
  <si>
    <t>589262506</t>
  </si>
  <si>
    <t>473.547.738-16</t>
  </si>
  <si>
    <t>S03 QD01 N42</t>
  </si>
  <si>
    <t>EDSON MENDES DA SILVA</t>
  </si>
  <si>
    <t>05502734105</t>
  </si>
  <si>
    <t>313.397.708-30</t>
  </si>
  <si>
    <t>22 / 21 / 20</t>
  </si>
  <si>
    <t>BEATRIZ LEITE DOS SANTOS</t>
  </si>
  <si>
    <t>347438015</t>
  </si>
  <si>
    <t>325.652.968-27</t>
  </si>
  <si>
    <t>MARY ITALI PEREIRA SILVA</t>
  </si>
  <si>
    <t>594916215</t>
  </si>
  <si>
    <t>527.092.908-20</t>
  </si>
  <si>
    <t>1140</t>
  </si>
  <si>
    <t xml:space="preserve">0 / 1140 / </t>
  </si>
  <si>
    <t>DAYANE DE JESUS FRANCO</t>
  </si>
  <si>
    <t>441650892</t>
  </si>
  <si>
    <t>336.150.878-95</t>
  </si>
  <si>
    <t>28 / 30 / 0</t>
  </si>
  <si>
    <t xml:space="preserve">VITORIA SOARES DE CAMPOS </t>
  </si>
  <si>
    <t>523783772</t>
  </si>
  <si>
    <t>525.262.308-29</t>
  </si>
  <si>
    <t>697</t>
  </si>
  <si>
    <t>695 / 697 / 700</t>
  </si>
  <si>
    <t>MATHEUS VINÍCIUS DOS SANTOS</t>
  </si>
  <si>
    <t>497.724.728-05</t>
  </si>
  <si>
    <t xml:space="preserve">MARINA GONCALVES DA SILVA </t>
  </si>
  <si>
    <t>37836356805</t>
  </si>
  <si>
    <t>378.363.578-05</t>
  </si>
  <si>
    <t>9 / 11 / 0</t>
  </si>
  <si>
    <t xml:space="preserve">AURELIO JOSE DA SILVA LEANDRO </t>
  </si>
  <si>
    <t>402517738</t>
  </si>
  <si>
    <t>317.951.358-67</t>
  </si>
  <si>
    <t>BECO DA MARÉ</t>
  </si>
  <si>
    <t xml:space="preserve">ALICE GABRIELE DA SILVA TAVARES </t>
  </si>
  <si>
    <t>659107958</t>
  </si>
  <si>
    <t>554.244.448-22</t>
  </si>
  <si>
    <t xml:space="preserve">EVANDRO DA SILVA QUERINO </t>
  </si>
  <si>
    <t>90080876854</t>
  </si>
  <si>
    <t>900.808.768-54</t>
  </si>
  <si>
    <t>RUA H</t>
  </si>
  <si>
    <t>804</t>
  </si>
  <si>
    <t>0 / 804 / 0</t>
  </si>
  <si>
    <t xml:space="preserve">THUANY DAS NEVES BASTOS </t>
  </si>
  <si>
    <t>461.659.998-08</t>
  </si>
  <si>
    <t>797</t>
  </si>
  <si>
    <t>795 / 797 / 0</t>
  </si>
  <si>
    <t xml:space="preserve">TIPOR FERREIRA DAS NEVES </t>
  </si>
  <si>
    <t>530571122</t>
  </si>
  <si>
    <t>452.960.688-07</t>
  </si>
  <si>
    <t>793</t>
  </si>
  <si>
    <t>791 / 793 / 795</t>
  </si>
  <si>
    <t xml:space="preserve">FLAVIA DIAS DE OLIVEIRA </t>
  </si>
  <si>
    <t>365008801</t>
  </si>
  <si>
    <t>393.632.228-70</t>
  </si>
  <si>
    <t>11 / 13 / 14</t>
  </si>
  <si>
    <t xml:space="preserve">KÊNYA EDUARDA DA SILVA SANTOS </t>
  </si>
  <si>
    <t>559268683</t>
  </si>
  <si>
    <t>538.493.438-71</t>
  </si>
  <si>
    <t>ALESSANDRA DA SILVA QUERINO</t>
  </si>
  <si>
    <t>421386988</t>
  </si>
  <si>
    <t>374.326.248-79</t>
  </si>
  <si>
    <t>77 / 78 / 80</t>
  </si>
  <si>
    <t>28876132864</t>
  </si>
  <si>
    <t>288.761.328-64</t>
  </si>
  <si>
    <t>79 / 80 / 82</t>
  </si>
  <si>
    <t>ROXANNE STEPHANYE</t>
  </si>
  <si>
    <t>457095751</t>
  </si>
  <si>
    <t>452.277.888-04</t>
  </si>
  <si>
    <t xml:space="preserve">FERNANDO CARDOSO DOS SANTOS </t>
  </si>
  <si>
    <t>591113818</t>
  </si>
  <si>
    <t>065.865.525-67</t>
  </si>
  <si>
    <t>BECO FAMÍLIA BARROS</t>
  </si>
  <si>
    <t>8 / 10 / 0</t>
  </si>
  <si>
    <t>JOAO BATISTA BARBOSA ARRUDA</t>
  </si>
  <si>
    <t>371731374</t>
  </si>
  <si>
    <t>026.574.334-64</t>
  </si>
  <si>
    <t>18 / 20 / 0</t>
  </si>
  <si>
    <t xml:space="preserve">SANDRA ALVES DOS SANTOS </t>
  </si>
  <si>
    <t>421388547</t>
  </si>
  <si>
    <t>051.776.084-33</t>
  </si>
  <si>
    <t>MARLUCE CELESTIANO DE BRITO</t>
  </si>
  <si>
    <t>350418494</t>
  </si>
  <si>
    <t>885.126.908-44</t>
  </si>
  <si>
    <t>407 / 409 / 412</t>
  </si>
  <si>
    <t>FERNANDA CRISTINA DA SILVA</t>
  </si>
  <si>
    <t>296442902</t>
  </si>
  <si>
    <t>353.220.598-06</t>
  </si>
  <si>
    <t>BECO LUIZ GUSTAVO</t>
  </si>
  <si>
    <t>LUCIANO JOSE INACIO DA SILVA</t>
  </si>
  <si>
    <t>447781339</t>
  </si>
  <si>
    <t>366.041.178-71</t>
  </si>
  <si>
    <t>3 / 5 / 8</t>
  </si>
  <si>
    <t xml:space="preserve">LILIANE LOPES DE LIMA </t>
  </si>
  <si>
    <t>443076911</t>
  </si>
  <si>
    <t>230.098.048-73</t>
  </si>
  <si>
    <t>14 / 18 / 19</t>
  </si>
  <si>
    <t>DIONNES OLIVEIRA CORREIA</t>
  </si>
  <si>
    <t>506736040</t>
  </si>
  <si>
    <t>501.500.848-11</t>
  </si>
  <si>
    <t>0 / 2 / 5</t>
  </si>
  <si>
    <t xml:space="preserve">TATIANE DOS SANTOS </t>
  </si>
  <si>
    <t>419203424</t>
  </si>
  <si>
    <t>362.760.278-12</t>
  </si>
  <si>
    <t>MIRIA DE OLIVEIRA BARROS</t>
  </si>
  <si>
    <t>589693049</t>
  </si>
  <si>
    <t>525.611.768-86</t>
  </si>
  <si>
    <t xml:space="preserve">GISELE MARIA CONCEIÇÃO DA SILVA </t>
  </si>
  <si>
    <t>421387415</t>
  </si>
  <si>
    <t>358.810.048-25</t>
  </si>
  <si>
    <t xml:space="preserve">ELIANGE ALVES DA SILVA </t>
  </si>
  <si>
    <t>376513676</t>
  </si>
  <si>
    <t>341.219.238-47</t>
  </si>
  <si>
    <t>305</t>
  </si>
  <si>
    <t>303 / 305 / 307</t>
  </si>
  <si>
    <t xml:space="preserve">CLAUDIANE DOS SANTOS </t>
  </si>
  <si>
    <t>423011194</t>
  </si>
  <si>
    <t>432.958.078-70</t>
  </si>
  <si>
    <t xml:space="preserve">EDUARDA DOS SANTOS SILVA </t>
  </si>
  <si>
    <t>47766161</t>
  </si>
  <si>
    <t>443.927.118-97</t>
  </si>
  <si>
    <t>GUILHERME MARQUES DE SOUSA</t>
  </si>
  <si>
    <t>402219338</t>
  </si>
  <si>
    <t>091.138.599-19</t>
  </si>
  <si>
    <t xml:space="preserve">EDIVÂNIA MARIA DA SILVA </t>
  </si>
  <si>
    <t>466926431</t>
  </si>
  <si>
    <t>338.519.878-02</t>
  </si>
  <si>
    <t xml:space="preserve">SEVERINA MARIA DA CONCEIÇÃO </t>
  </si>
  <si>
    <t>56408699X</t>
  </si>
  <si>
    <t>279.603.268-00</t>
  </si>
  <si>
    <t xml:space="preserve">RANIELI MARIA DA SILVA </t>
  </si>
  <si>
    <t>562193054</t>
  </si>
  <si>
    <t>452.049.018-92</t>
  </si>
  <si>
    <t xml:space="preserve">MARIA DO SOCORRO SIMÃO DE OLIVEIRA </t>
  </si>
  <si>
    <t xml:space="preserve">ANA PAULA DE OLIVEIRA DA SILVA </t>
  </si>
  <si>
    <t>324679038</t>
  </si>
  <si>
    <t>307.075.628-05</t>
  </si>
  <si>
    <t xml:space="preserve">JANDIRA GUEDES </t>
  </si>
  <si>
    <t>252581726</t>
  </si>
  <si>
    <t>246.299.738-50</t>
  </si>
  <si>
    <t>21 / 23 / 25</t>
  </si>
  <si>
    <t>21 / 25 / 0</t>
  </si>
  <si>
    <t xml:space="preserve">JOCILEIDE PEREIRA SANTANA </t>
  </si>
  <si>
    <t>49798509870</t>
  </si>
  <si>
    <t>497.985.098-70</t>
  </si>
  <si>
    <t xml:space="preserve">FABIANA APARECIDA OLIVEIRA SANTOS </t>
  </si>
  <si>
    <t>498505182</t>
  </si>
  <si>
    <t>471.671.488-81</t>
  </si>
  <si>
    <t xml:space="preserve">MANOEL DA SILVA ALVES </t>
  </si>
  <si>
    <t>48533141</t>
  </si>
  <si>
    <t>390.672.168-01</t>
  </si>
  <si>
    <t>MARIA DE LOUDES</t>
  </si>
  <si>
    <t>298638800</t>
  </si>
  <si>
    <t>279.924.098-41</t>
  </si>
  <si>
    <t>796</t>
  </si>
  <si>
    <t>795 / 796 / 797</t>
  </si>
  <si>
    <t>IRANILDO JOSE DA SILVA</t>
  </si>
  <si>
    <t>370265543</t>
  </si>
  <si>
    <t>848.845.924-68</t>
  </si>
  <si>
    <t>800</t>
  </si>
  <si>
    <t>799 / 800 / 801</t>
  </si>
  <si>
    <t>RAQUEL SILVA DE ARAGAO</t>
  </si>
  <si>
    <t>99960333</t>
  </si>
  <si>
    <t>070.296.798-06</t>
  </si>
  <si>
    <t>604</t>
  </si>
  <si>
    <t>602 / 604 / 606</t>
  </si>
  <si>
    <t xml:space="preserve">LEANDRO PEREIRA MENDES </t>
  </si>
  <si>
    <t>6547748883</t>
  </si>
  <si>
    <t>564.682.718-35</t>
  </si>
  <si>
    <t>790</t>
  </si>
  <si>
    <t>789 / 790 / 791</t>
  </si>
  <si>
    <t>MARIA OLÍVIA DOS SANTOS</t>
  </si>
  <si>
    <t>02561159825</t>
  </si>
  <si>
    <t>025.611.598-25</t>
  </si>
  <si>
    <t>792</t>
  </si>
  <si>
    <t>791 / 792 / 793</t>
  </si>
  <si>
    <t>MAURICIO DOS SANTOS PEREIRA</t>
  </si>
  <si>
    <t>32553532890</t>
  </si>
  <si>
    <t>325.535.328-90</t>
  </si>
  <si>
    <t>789</t>
  </si>
  <si>
    <t>788 / 789 / 790</t>
  </si>
  <si>
    <t xml:space="preserve">ABEL APOLINARIO DA SILVA </t>
  </si>
  <si>
    <t>1747438</t>
  </si>
  <si>
    <t>295.551.578-71</t>
  </si>
  <si>
    <t>70 / 72 / 74</t>
  </si>
  <si>
    <t xml:space="preserve">MAURICIO DOS SANTOS PEREIRA </t>
  </si>
  <si>
    <t>33553732990</t>
  </si>
  <si>
    <t>335.537.329-90</t>
  </si>
  <si>
    <t>ELAINE XAVIER DE MATOS SANTOS</t>
  </si>
  <si>
    <t>353960597</t>
  </si>
  <si>
    <t>363.833.628-01</t>
  </si>
  <si>
    <t>606</t>
  </si>
  <si>
    <t>604 / 606 / 608</t>
  </si>
  <si>
    <t xml:space="preserve">GRACIANA XAVIER DE MATOS GONÇALVES </t>
  </si>
  <si>
    <t>353960470</t>
  </si>
  <si>
    <t>344.346.108-56</t>
  </si>
  <si>
    <t xml:space="preserve"> CASA 2</t>
  </si>
  <si>
    <t>TAIANE DA NEVES BASTOS</t>
  </si>
  <si>
    <t>407413261</t>
  </si>
  <si>
    <t>452.960.928-64</t>
  </si>
  <si>
    <t>795</t>
  </si>
  <si>
    <t>794 / 795 / 796</t>
  </si>
  <si>
    <t>RIVALDINA CARVALHO LAPA</t>
  </si>
  <si>
    <t>296442999</t>
  </si>
  <si>
    <t>062.199.678-52</t>
  </si>
  <si>
    <t>621</t>
  </si>
  <si>
    <t>CASA FUNDOS</t>
  </si>
  <si>
    <t>619 / 621 / 623</t>
  </si>
  <si>
    <t xml:space="preserve">OSVANIRA MORAIS DE OLIVEIRA </t>
  </si>
  <si>
    <t>205884039</t>
  </si>
  <si>
    <t>104.050.168-08</t>
  </si>
  <si>
    <t>647</t>
  </si>
  <si>
    <t>645 / 647 / 649</t>
  </si>
  <si>
    <t>HELIO ROLIM ESMERALDO</t>
  </si>
  <si>
    <t>96820433</t>
  </si>
  <si>
    <t>884.460.008-06</t>
  </si>
  <si>
    <t>648</t>
  </si>
  <si>
    <t>646 / 648 / 650</t>
  </si>
  <si>
    <t>ANDREIA DAS NEVES RIBEIRO</t>
  </si>
  <si>
    <t>372779128</t>
  </si>
  <si>
    <t>328.062.968-38</t>
  </si>
  <si>
    <t>404</t>
  </si>
  <si>
    <t>406 / 404 / 402</t>
  </si>
  <si>
    <t>LEONOR BUENO LEITE</t>
  </si>
  <si>
    <t>284213688</t>
  </si>
  <si>
    <t>379.929.376-00</t>
  </si>
  <si>
    <t>ELAINE DE MOURA PAULINO</t>
  </si>
  <si>
    <t>658867647</t>
  </si>
  <si>
    <t>068.869.194-31</t>
  </si>
  <si>
    <t>408</t>
  </si>
  <si>
    <t>406 / 408 / 410</t>
  </si>
  <si>
    <t>JOANA D'ARC GONÇALVES LINS</t>
  </si>
  <si>
    <t>362558103</t>
  </si>
  <si>
    <t>654.769.564-68</t>
  </si>
  <si>
    <t xml:space="preserve">JOSÉ CARLOS EUCLIDES DA SILVA </t>
  </si>
  <si>
    <t>4064223</t>
  </si>
  <si>
    <t>335.215.018-41</t>
  </si>
  <si>
    <t>410</t>
  </si>
  <si>
    <t>412 / 410 / 408</t>
  </si>
  <si>
    <t xml:space="preserve">STEPHANNY DE SOUZA DA SILVA </t>
  </si>
  <si>
    <t>564149470</t>
  </si>
  <si>
    <t>518.111.368-00</t>
  </si>
  <si>
    <t>425 / 427 / 429</t>
  </si>
  <si>
    <t xml:space="preserve">LUANA CAROLINA DOS SANTOS CARVALHO </t>
  </si>
  <si>
    <t>382963830</t>
  </si>
  <si>
    <t>341.095.318-37</t>
  </si>
  <si>
    <t>009 / 403 / 405</t>
  </si>
  <si>
    <t>VALMIRA DOS SANTOS SANTANA</t>
  </si>
  <si>
    <t>540095965</t>
  </si>
  <si>
    <t>712.201.453-53</t>
  </si>
  <si>
    <t>RUA 21</t>
  </si>
  <si>
    <t xml:space="preserve">S1 QD8 N39 </t>
  </si>
  <si>
    <t>30 / 32 / 33</t>
  </si>
  <si>
    <t>NAO</t>
  </si>
  <si>
    <t>CARLA SANTANA DO CARMO</t>
  </si>
  <si>
    <t>48388452</t>
  </si>
  <si>
    <t>373.079.898-75</t>
  </si>
  <si>
    <t>S1 QD8 N40</t>
  </si>
  <si>
    <t>MARIA SUELI DE FATIMA ROSA DUARTE</t>
  </si>
  <si>
    <t>179501689</t>
  </si>
  <si>
    <t>357.187.218-58</t>
  </si>
  <si>
    <t xml:space="preserve">CLARABELA DA SILVA RIBEIRO </t>
  </si>
  <si>
    <t>554237738</t>
  </si>
  <si>
    <t>518.157.558-73</t>
  </si>
  <si>
    <t>BECO DA DONA NEIDE</t>
  </si>
  <si>
    <t>4 / 2 / 00</t>
  </si>
  <si>
    <t>DAVID FERREIRA COSTA SIMPLICIO</t>
  </si>
  <si>
    <t>419173006</t>
  </si>
  <si>
    <t>404.931.478-96</t>
  </si>
  <si>
    <t xml:space="preserve">GABRIEL DA SILVA CANUTO </t>
  </si>
  <si>
    <t>563098193</t>
  </si>
  <si>
    <t>494.520.478-01</t>
  </si>
  <si>
    <t>10 / 12 / 15</t>
  </si>
  <si>
    <t>BARBARA STEFANI FERREIRA COSTA BOSCOLO</t>
  </si>
  <si>
    <t>509773357</t>
  </si>
  <si>
    <t>429.989.408-11</t>
  </si>
  <si>
    <t>ADEMIR DA SILVA</t>
  </si>
  <si>
    <t>32146445807</t>
  </si>
  <si>
    <t>321.464.458-07</t>
  </si>
  <si>
    <t xml:space="preserve">ANTONIO CLAUDIO DOS SANTOS </t>
  </si>
  <si>
    <t>32346767</t>
  </si>
  <si>
    <t>268.739.328-25</t>
  </si>
  <si>
    <t>SINESIA DOS SANTOS PEDREIRA</t>
  </si>
  <si>
    <t>208204337</t>
  </si>
  <si>
    <t>018.060.438-40</t>
  </si>
  <si>
    <t>CIBILA ALETHEA DOS REIS PEDREIRA CAVALCANTE</t>
  </si>
  <si>
    <t>402690102</t>
  </si>
  <si>
    <t>306.683.438-77</t>
  </si>
  <si>
    <t>11 / 13 / 0</t>
  </si>
  <si>
    <t xml:space="preserve">ALINE APARECIDA  DOS SANTOS </t>
  </si>
  <si>
    <t>40318603</t>
  </si>
  <si>
    <t>360.052.308-24</t>
  </si>
  <si>
    <t>401</t>
  </si>
  <si>
    <t>399 / 401 / 403</t>
  </si>
  <si>
    <t>MARIA APARECIDA DA SILVA</t>
  </si>
  <si>
    <t>634510988</t>
  </si>
  <si>
    <t>013.624.894-25</t>
  </si>
  <si>
    <t>LENI MARIA DA SILVA</t>
  </si>
  <si>
    <t>321036165</t>
  </si>
  <si>
    <t>217.542.598-38</t>
  </si>
  <si>
    <t>406</t>
  </si>
  <si>
    <t>404 / 406 / 408</t>
  </si>
  <si>
    <t>JHENIFFER SILVA DA LIMA</t>
  </si>
  <si>
    <t>591453599</t>
  </si>
  <si>
    <t>522.018.698-41</t>
  </si>
  <si>
    <t>SEVERINA JOSEFA DA SILVA OLIVEIRA</t>
  </si>
  <si>
    <t>291385990</t>
  </si>
  <si>
    <t>693.799.394-34</t>
  </si>
  <si>
    <t>412</t>
  </si>
  <si>
    <t>410 / 412 / 414</t>
  </si>
  <si>
    <t>IRENE BARBOSA DE SOUZA</t>
  </si>
  <si>
    <t>326753655</t>
  </si>
  <si>
    <t>273.730.528-43</t>
  </si>
  <si>
    <t>425</t>
  </si>
  <si>
    <t>423 / 425 / 427</t>
  </si>
  <si>
    <t>RODRIGO NUNES VIEIRA</t>
  </si>
  <si>
    <t>334954083</t>
  </si>
  <si>
    <t>237.054.178-43</t>
  </si>
  <si>
    <t>411</t>
  </si>
  <si>
    <t>408 / 411 / 413</t>
  </si>
  <si>
    <t>NELSON GONCALVES</t>
  </si>
  <si>
    <t>66186262</t>
  </si>
  <si>
    <t>544.792.258-04</t>
  </si>
  <si>
    <t>402</t>
  </si>
  <si>
    <t>400 / 402 / 404</t>
  </si>
  <si>
    <t>RAFAELA  FERREIRA COSTA</t>
  </si>
  <si>
    <t>509773345</t>
  </si>
  <si>
    <t>429.989.368-90</t>
  </si>
  <si>
    <t>MARINEIDE FERREIRA MANDIRA</t>
  </si>
  <si>
    <t>09796812860</t>
  </si>
  <si>
    <t>097.968.128-69</t>
  </si>
  <si>
    <t>KARYSIA RHOSANA SANTOS RODRIGUES</t>
  </si>
  <si>
    <t>451643678</t>
  </si>
  <si>
    <t>328.884.298-02</t>
  </si>
  <si>
    <t>SONIA MARIA ELIAS</t>
  </si>
  <si>
    <t>578117253</t>
  </si>
  <si>
    <t>341.349.238-16</t>
  </si>
  <si>
    <t>OLGA MARTINS</t>
  </si>
  <si>
    <t>78753697</t>
  </si>
  <si>
    <t>044.567.538-11</t>
  </si>
  <si>
    <t>610 / 612 / 614</t>
  </si>
  <si>
    <t>CICERO ROMAO TAVARES SANTOS</t>
  </si>
  <si>
    <t>00738481724</t>
  </si>
  <si>
    <t>901.618.825-87</t>
  </si>
  <si>
    <t>0073848124</t>
  </si>
  <si>
    <t>DANIEL RODRIGUES DE MEDEIROS MAIA</t>
  </si>
  <si>
    <t>06871777930</t>
  </si>
  <si>
    <t>466.679.508-13</t>
  </si>
  <si>
    <t>636</t>
  </si>
  <si>
    <t>634 / 636 / 638</t>
  </si>
  <si>
    <t>GENILDA ELIZETE BATISTA DE JESUS</t>
  </si>
  <si>
    <t>299494457</t>
  </si>
  <si>
    <t>306.839.018-42</t>
  </si>
  <si>
    <t>642</t>
  </si>
  <si>
    <t>640 / 642 / 644</t>
  </si>
  <si>
    <t>VALDECI ALVES DA SILVA</t>
  </si>
  <si>
    <t>03234588263</t>
  </si>
  <si>
    <t>033.492.408-10</t>
  </si>
  <si>
    <t>649</t>
  </si>
  <si>
    <t>647 / 649 / 651</t>
  </si>
  <si>
    <t>ANGELICA CHAVES DA SILVA</t>
  </si>
  <si>
    <t>333699579</t>
  </si>
  <si>
    <t>316.931.548-03</t>
  </si>
  <si>
    <t>667</t>
  </si>
  <si>
    <t>665 / 667 / 669</t>
  </si>
  <si>
    <t>BENEDITO COSTA CANDEIA</t>
  </si>
  <si>
    <t>00789497452</t>
  </si>
  <si>
    <t>801.964.386-91</t>
  </si>
  <si>
    <t>663</t>
  </si>
  <si>
    <t>661 / 663 / 665</t>
  </si>
  <si>
    <t>38323386</t>
  </si>
  <si>
    <t>653</t>
  </si>
  <si>
    <t>651 / 653 / 655</t>
  </si>
  <si>
    <t>LEESLIE ANDRADE DA SILVA</t>
  </si>
  <si>
    <t>570098075</t>
  </si>
  <si>
    <t>507.333.968-10</t>
  </si>
  <si>
    <t>668 / 670 / 672</t>
  </si>
  <si>
    <t>CHARLES SILVA LUIZ</t>
  </si>
  <si>
    <t>46431717</t>
  </si>
  <si>
    <t>373.453.828-93</t>
  </si>
  <si>
    <t>659</t>
  </si>
  <si>
    <t>657 / 659 / 661</t>
  </si>
  <si>
    <t xml:space="preserve">ÁUREA DE OLIVEIRA PEREIRA </t>
  </si>
  <si>
    <t>323478426</t>
  </si>
  <si>
    <t>275.228.518-31</t>
  </si>
  <si>
    <t xml:space="preserve">AUGUSTO CESAR AZAMBUJA DA SILVA </t>
  </si>
  <si>
    <t>490957754</t>
  </si>
  <si>
    <t>439.364.838-25</t>
  </si>
  <si>
    <t>367</t>
  </si>
  <si>
    <t>365 / 367 / 369</t>
  </si>
  <si>
    <t>RONALDO BELO VIEIRA</t>
  </si>
  <si>
    <t>28533363</t>
  </si>
  <si>
    <t>33 / 32 / 31</t>
  </si>
  <si>
    <t>32 / 31 / 30</t>
  </si>
  <si>
    <t>RUTE LÂNIA COSTA BARBOSA</t>
  </si>
  <si>
    <t>643947437</t>
  </si>
  <si>
    <t>464.168.705-68</t>
  </si>
  <si>
    <t>34 / 33 / 32</t>
  </si>
  <si>
    <t xml:space="preserve">NADIR DA PURIFICACAO CALDAS </t>
  </si>
  <si>
    <t>2495766156</t>
  </si>
  <si>
    <t>213.961.608-17</t>
  </si>
  <si>
    <t>S01 QD08 N01</t>
  </si>
  <si>
    <t xml:space="preserve">LOURDES ALVES DA SILVA </t>
  </si>
  <si>
    <t>196549413</t>
  </si>
  <si>
    <t>087.088.328-38</t>
  </si>
  <si>
    <t>S01 QD 08 N45</t>
  </si>
  <si>
    <t xml:space="preserve">ADAMISON ALVES </t>
  </si>
  <si>
    <t>30794870</t>
  </si>
  <si>
    <t>293.752.758-25</t>
  </si>
  <si>
    <t>S01 QD08 N44</t>
  </si>
  <si>
    <t xml:space="preserve">MARIA HELENICE DE ANDRADES SILVA </t>
  </si>
  <si>
    <t>162.391.528-70</t>
  </si>
  <si>
    <t>S01 QD08 N50</t>
  </si>
  <si>
    <t xml:space="preserve">LUIZ IRINEU DA SILVA </t>
  </si>
  <si>
    <t>025.493.218-55</t>
  </si>
  <si>
    <t>S01 QD08 N46</t>
  </si>
  <si>
    <t xml:space="preserve">SALOMAO DE OLIVEIRA </t>
  </si>
  <si>
    <t>441398777</t>
  </si>
  <si>
    <t>341.664.378-01</t>
  </si>
  <si>
    <t>RUA 22</t>
  </si>
  <si>
    <t>S1 QD8 N66</t>
  </si>
  <si>
    <t xml:space="preserve">ANA PAULA FERREIRA DAS NEVES </t>
  </si>
  <si>
    <t>33.495.146-X</t>
  </si>
  <si>
    <t>348.721.988-32</t>
  </si>
  <si>
    <t>EDILSON FERNANDES ALVES</t>
  </si>
  <si>
    <t>197.516.078-92</t>
  </si>
  <si>
    <t>CS A S03 Q5 N10</t>
  </si>
  <si>
    <t xml:space="preserve">ANAIR DOS SANTOS REBOUÇAS OLIVEIRA </t>
  </si>
  <si>
    <t>339303402</t>
  </si>
  <si>
    <t>306.485.778-99</t>
  </si>
  <si>
    <t>CS A S3 QD5 N14</t>
  </si>
  <si>
    <t>CLARA DA HORA</t>
  </si>
  <si>
    <t>226798240</t>
  </si>
  <si>
    <t>108.400.638-30</t>
  </si>
  <si>
    <t>LUCIVANIA BARRETO DO NASCIMENTO</t>
  </si>
  <si>
    <t>50.282.19</t>
  </si>
  <si>
    <t>899.110.325-15</t>
  </si>
  <si>
    <t>SANDRA LUCIA DA SILVA ANTUNES</t>
  </si>
  <si>
    <t>189022838</t>
  </si>
  <si>
    <t>121.211.118-40</t>
  </si>
  <si>
    <t>LEONDIO ROCHA DA SILVA</t>
  </si>
  <si>
    <t>539796141</t>
  </si>
  <si>
    <t>649.814.364-91</t>
  </si>
  <si>
    <t>ERIKA DE JESUS FREITAS</t>
  </si>
  <si>
    <t>409156966</t>
  </si>
  <si>
    <t>386.073.788-05</t>
  </si>
  <si>
    <t>664</t>
  </si>
  <si>
    <t>662 / 664 / 666</t>
  </si>
  <si>
    <t xml:space="preserve">JOSEFA MARIA DE JESUS SOUZA </t>
  </si>
  <si>
    <t>547390981</t>
  </si>
  <si>
    <t>587.711.905-20</t>
  </si>
  <si>
    <t>672</t>
  </si>
  <si>
    <t>670 / 672 / 674</t>
  </si>
  <si>
    <t xml:space="preserve">PRISCILA SPUZA DE JESUS </t>
  </si>
  <si>
    <t>431606456</t>
  </si>
  <si>
    <t>362.274.908-30</t>
  </si>
  <si>
    <t>FUNDOS / CASA 2</t>
  </si>
  <si>
    <t>LUCIENE MARIA FERREIRA</t>
  </si>
  <si>
    <t>540920058</t>
  </si>
  <si>
    <t>998.282.784-72</t>
  </si>
  <si>
    <t>662</t>
  </si>
  <si>
    <t>660 / 662 / 664</t>
  </si>
  <si>
    <t>LUIZA GRAZIELA DE MORAES SANTANA</t>
  </si>
  <si>
    <t>53402792</t>
  </si>
  <si>
    <t>317.898.851-82</t>
  </si>
  <si>
    <t>680</t>
  </si>
  <si>
    <t>CASA 1 (BAIXO)</t>
  </si>
  <si>
    <t>678 / 680 / 682</t>
  </si>
  <si>
    <t>ANA ALICE DE JESUS COSTA</t>
  </si>
  <si>
    <t>382963532</t>
  </si>
  <si>
    <t>265.085.268-20</t>
  </si>
  <si>
    <t>678</t>
  </si>
  <si>
    <t>676 / 678 / 780</t>
  </si>
  <si>
    <t>SIDERLÂNDIA SANTOS DA SILVA</t>
  </si>
  <si>
    <t>2172473693</t>
  </si>
  <si>
    <t>083.543.305-67</t>
  </si>
  <si>
    <t>676</t>
  </si>
  <si>
    <t>674 / 676 / 678</t>
  </si>
  <si>
    <t>HELENA MARIA DE PONTES</t>
  </si>
  <si>
    <t>633035634</t>
  </si>
  <si>
    <t>891.744.024-04</t>
  </si>
  <si>
    <t>MARIA ALVEZ</t>
  </si>
  <si>
    <t>25004142X</t>
  </si>
  <si>
    <t>280.034.768-60</t>
  </si>
  <si>
    <t>737</t>
  </si>
  <si>
    <t>735 / 737 / 739</t>
  </si>
  <si>
    <t xml:space="preserve">QUITÉRIA RODRIGUES SANTOS OLIVEIRA </t>
  </si>
  <si>
    <t>647104039</t>
  </si>
  <si>
    <t>025.100.894-04</t>
  </si>
  <si>
    <t>1127 / 1129 / 1131</t>
  </si>
  <si>
    <t xml:space="preserve">NADIJANE MARIA DA SILVA </t>
  </si>
  <si>
    <t>40548365X</t>
  </si>
  <si>
    <t>371.818.178-92</t>
  </si>
  <si>
    <t>S2 QD03 N61</t>
  </si>
  <si>
    <t>ROSANA NASCIMENTO DOS SANTOS</t>
  </si>
  <si>
    <t>489007557</t>
  </si>
  <si>
    <t>413.979.808-42</t>
  </si>
  <si>
    <t>S03 QD04 N03</t>
  </si>
  <si>
    <t>GESIVALDO BARBOSA MACHADO</t>
  </si>
  <si>
    <t>590579940</t>
  </si>
  <si>
    <t>489.637.635-87</t>
  </si>
  <si>
    <t>CS2 S3 QD4 N3</t>
  </si>
  <si>
    <t>RENATA DE SENA SILVA</t>
  </si>
  <si>
    <t>463798531</t>
  </si>
  <si>
    <t>372.006.928-76</t>
  </si>
  <si>
    <t>CS1 Q3 QD4 N46</t>
  </si>
  <si>
    <t>EREDITE ALVES DE SOUZA</t>
  </si>
  <si>
    <t>294071528</t>
  </si>
  <si>
    <t>159.145.238-42</t>
  </si>
  <si>
    <t>S03 QD4 N14</t>
  </si>
  <si>
    <t>ANA PEREIRA DOS SANTOS DE SANTANA</t>
  </si>
  <si>
    <t>32915039X</t>
  </si>
  <si>
    <t>025.466.548-52</t>
  </si>
  <si>
    <t>S03 QD4 N17</t>
  </si>
  <si>
    <t xml:space="preserve">FERNANDA VITORIA DE GOIS FERNANDES </t>
  </si>
  <si>
    <t>499810284</t>
  </si>
  <si>
    <t>350.469.748-27</t>
  </si>
  <si>
    <t>S03 QD07 N04</t>
  </si>
  <si>
    <t>LUCIANO DOS SANTOS LOPES XAVIER</t>
  </si>
  <si>
    <t>59525074X</t>
  </si>
  <si>
    <t>493.588.598-06</t>
  </si>
  <si>
    <t>RUA 18</t>
  </si>
  <si>
    <t>S03 QD07 N06</t>
  </si>
  <si>
    <t>GESSICLEIDE BARBOSA DA SILVA</t>
  </si>
  <si>
    <t>230340568</t>
  </si>
  <si>
    <t>108.206.098-52</t>
  </si>
  <si>
    <t>S03 QD07 N13</t>
  </si>
  <si>
    <t>ROBSON BISPO DOS SANTOS</t>
  </si>
  <si>
    <t>422374143</t>
  </si>
  <si>
    <t>215.647.458-30</t>
  </si>
  <si>
    <t>S03 QD7 N9</t>
  </si>
  <si>
    <t xml:space="preserve">JOSE ROBERTO DA CRUZ </t>
  </si>
  <si>
    <t>32676023</t>
  </si>
  <si>
    <t>308.658.138-76</t>
  </si>
  <si>
    <t>S01 QD08 N13</t>
  </si>
  <si>
    <t xml:space="preserve">KAUE TORRES FERNSNDES </t>
  </si>
  <si>
    <t>558186646</t>
  </si>
  <si>
    <t>589.744.138-33</t>
  </si>
  <si>
    <t>S02 QD03 N59</t>
  </si>
  <si>
    <t>61 / 62 / 63</t>
  </si>
  <si>
    <t>60 / 61 / 62</t>
  </si>
  <si>
    <t xml:space="preserve">JAQUELINE DA SILVA SANTOS </t>
  </si>
  <si>
    <t>478579846</t>
  </si>
  <si>
    <t>416.375.218-80</t>
  </si>
  <si>
    <t>S03 QD04 N01</t>
  </si>
  <si>
    <t xml:space="preserve">BASILIO DE JESUS </t>
  </si>
  <si>
    <t>136214150</t>
  </si>
  <si>
    <t>025.437.908-70</t>
  </si>
  <si>
    <t>S03 QD04 N04</t>
  </si>
  <si>
    <t>S03 QD04 N08</t>
  </si>
  <si>
    <t xml:space="preserve">ALICE DA LUZ SILVA </t>
  </si>
  <si>
    <t>S03 QD04 N12</t>
  </si>
  <si>
    <t xml:space="preserve">MARCIA CRISTINA DOE SANTOS ALVES </t>
  </si>
  <si>
    <t>276628494</t>
  </si>
  <si>
    <t>295.215.328-07</t>
  </si>
  <si>
    <t>CS1 S3 QD4 N9</t>
  </si>
  <si>
    <t xml:space="preserve">RITA PEREIRA DOS SANTOS </t>
  </si>
  <si>
    <t>540921233</t>
  </si>
  <si>
    <t>169.540.758-09</t>
  </si>
  <si>
    <t>S03 QD04 N15</t>
  </si>
  <si>
    <t xml:space="preserve">VIVIANE FERREIRA DE SOUSA </t>
  </si>
  <si>
    <t>41886021X</t>
  </si>
  <si>
    <t>311.252.218-44</t>
  </si>
  <si>
    <t>S03 QD04 N18</t>
  </si>
  <si>
    <t>VALDELIRIO AMARAL DA SILVA</t>
  </si>
  <si>
    <t>297860732</t>
  </si>
  <si>
    <t>192.245.788-45</t>
  </si>
  <si>
    <t>S03 QD04 N36</t>
  </si>
  <si>
    <t xml:space="preserve">JOSE LUIZ MOREIRA XAVIER </t>
  </si>
  <si>
    <t>23453308</t>
  </si>
  <si>
    <t>192.827.198-71</t>
  </si>
  <si>
    <t>S03 QD07 N07</t>
  </si>
  <si>
    <t xml:space="preserve">MARIA ZILDA DOS SANTOS </t>
  </si>
  <si>
    <t>395057425</t>
  </si>
  <si>
    <t>017.878.908-99</t>
  </si>
  <si>
    <t>S03 QD07 N15</t>
  </si>
  <si>
    <t xml:space="preserve">ISABELLA  DOS SANTOS SILVA </t>
  </si>
  <si>
    <t>562426024</t>
  </si>
  <si>
    <t>452.446.068-32</t>
  </si>
  <si>
    <t>S03 QD07 N16</t>
  </si>
  <si>
    <t>ADAILZON PEIXOTO DA SILVA</t>
  </si>
  <si>
    <t>361954323</t>
  </si>
  <si>
    <t>690.454.534-87</t>
  </si>
  <si>
    <t>672 / 670 / 668</t>
  </si>
  <si>
    <t>IRINEU PIRES DOS SANTOS</t>
  </si>
  <si>
    <t>575942265</t>
  </si>
  <si>
    <t>153.729.285-49</t>
  </si>
  <si>
    <t>674</t>
  </si>
  <si>
    <t>672 / 674 / 676</t>
  </si>
  <si>
    <t>MAISA DOS SANTOS SILVA</t>
  </si>
  <si>
    <t>36352845</t>
  </si>
  <si>
    <t>093.103.335-70</t>
  </si>
  <si>
    <t>675</t>
  </si>
  <si>
    <t>673 / 675 / 677</t>
  </si>
  <si>
    <t>MARIA REGILAINE CENEZ DE MORAIS FLORENTINO</t>
  </si>
  <si>
    <t>423475642</t>
  </si>
  <si>
    <t>423.174.778-75</t>
  </si>
  <si>
    <t>AURINALDO MIGUEL DA SILVA</t>
  </si>
  <si>
    <t>4525146</t>
  </si>
  <si>
    <t>793.762.154-00</t>
  </si>
  <si>
    <t>MARIA IVANEIDE ROCHA DOS SANTOS</t>
  </si>
  <si>
    <t>543187469</t>
  </si>
  <si>
    <t>463.507.995-34</t>
  </si>
  <si>
    <t>671</t>
  </si>
  <si>
    <t>669 / 671 / 743</t>
  </si>
  <si>
    <t>CARMEN DE JESUS ALVARENGA</t>
  </si>
  <si>
    <t>20130045</t>
  </si>
  <si>
    <t>080.610.718-94</t>
  </si>
  <si>
    <t>724</t>
  </si>
  <si>
    <t>722 / 724 / 726</t>
  </si>
  <si>
    <t>RIVANILDA CRISTINA COSTA</t>
  </si>
  <si>
    <t>560046613</t>
  </si>
  <si>
    <t>074.842.968-99</t>
  </si>
  <si>
    <t>726</t>
  </si>
  <si>
    <t>728 / 726 / 724</t>
  </si>
  <si>
    <t xml:space="preserve">JOCILENE SOUZA NASCIMENTO </t>
  </si>
  <si>
    <t>565490096</t>
  </si>
  <si>
    <t>316.309.098-23</t>
  </si>
  <si>
    <t>679</t>
  </si>
  <si>
    <t>677 / 679 / 681</t>
  </si>
  <si>
    <t>ROGERIO ROCHA DOS SANTOS</t>
  </si>
  <si>
    <t>535301017</t>
  </si>
  <si>
    <t>000.023.595-45</t>
  </si>
  <si>
    <t>682</t>
  </si>
  <si>
    <t>680 / 682 / 684</t>
  </si>
  <si>
    <t>RIVALDO ROCHA DOS SANTOS</t>
  </si>
  <si>
    <t>384316128</t>
  </si>
  <si>
    <t>000.329.265-70</t>
  </si>
  <si>
    <t>669 / 671 / 673</t>
  </si>
  <si>
    <t>ELINEIDE MARIA DA SILVA</t>
  </si>
  <si>
    <t>571069952</t>
  </si>
  <si>
    <t>989.454.084-87</t>
  </si>
  <si>
    <t>ANDREA SANTANA MACENA</t>
  </si>
  <si>
    <t>22680382X</t>
  </si>
  <si>
    <t>197.512.488-09</t>
  </si>
  <si>
    <t>725</t>
  </si>
  <si>
    <t>723 / 725 / 727</t>
  </si>
  <si>
    <t>ANTONIO DO SANTOS</t>
  </si>
  <si>
    <t>94537197</t>
  </si>
  <si>
    <t>134.039.568-14</t>
  </si>
  <si>
    <t>629</t>
  </si>
  <si>
    <t>627 / 629 / 631</t>
  </si>
  <si>
    <t>MANOEL FERREIRA DA SILVA</t>
  </si>
  <si>
    <t>568243341</t>
  </si>
  <si>
    <t>438.015.364-91</t>
  </si>
  <si>
    <t>603 / 605 / 607</t>
  </si>
  <si>
    <t>NIVANILDA SOUZA SANTOS</t>
  </si>
  <si>
    <t>588543111</t>
  </si>
  <si>
    <t>003.994.625-89</t>
  </si>
  <si>
    <t>650</t>
  </si>
  <si>
    <t>648 / 650 / 652</t>
  </si>
  <si>
    <t>VILDOMAR CASTILHO ALVES SANTOS</t>
  </si>
  <si>
    <t>639.785.045-53</t>
  </si>
  <si>
    <t>652 / 650 / 638</t>
  </si>
  <si>
    <t>ELIANE MARIA DA SILVA</t>
  </si>
  <si>
    <t>56277206</t>
  </si>
  <si>
    <t>023.146.035-08</t>
  </si>
  <si>
    <t>666</t>
  </si>
  <si>
    <t>668 / 666 / 664</t>
  </si>
  <si>
    <t>EXPEDITO DUTRA GUIMAROES</t>
  </si>
  <si>
    <t>1146740</t>
  </si>
  <si>
    <t>649.209.504-97</t>
  </si>
  <si>
    <t>DANIEL DUTRA GUIMARÃES</t>
  </si>
  <si>
    <t>187379439</t>
  </si>
  <si>
    <t>036.860.458-69</t>
  </si>
  <si>
    <t>652</t>
  </si>
  <si>
    <t>654 / 652 / 650</t>
  </si>
  <si>
    <t xml:space="preserve">JOSÉ ANTÔNIO RODRIGUES DA SILVA </t>
  </si>
  <si>
    <t>11580318</t>
  </si>
  <si>
    <t>129.030.964-73</t>
  </si>
  <si>
    <t>GUILHERME WENDELL RUFINO SANTOS</t>
  </si>
  <si>
    <t>528027402</t>
  </si>
  <si>
    <t>546.928.778-55</t>
  </si>
  <si>
    <t>401 / 403 / 405</t>
  </si>
  <si>
    <t>KADU EDUARDO PEREIRA DA SILVA</t>
  </si>
  <si>
    <t>580774120</t>
  </si>
  <si>
    <t>572.813.688-52</t>
  </si>
  <si>
    <t xml:space="preserve">GISELE CONCEIÇÃO QUARESMA DA SILVA </t>
  </si>
  <si>
    <t>420843346</t>
  </si>
  <si>
    <t>321.695.958-99</t>
  </si>
  <si>
    <t xml:space="preserve">ROSENEIDE BEZERRA DA SILVA </t>
  </si>
  <si>
    <t>563206135</t>
  </si>
  <si>
    <t>477.515.538-55</t>
  </si>
  <si>
    <t>476</t>
  </si>
  <si>
    <t>474 / 476 / 478</t>
  </si>
  <si>
    <t xml:space="preserve">MARIA JOSÉ MORAES </t>
  </si>
  <si>
    <t>370365476</t>
  </si>
  <si>
    <t>392.983.438-33</t>
  </si>
  <si>
    <t>696</t>
  </si>
  <si>
    <t>694 / 696 / 698</t>
  </si>
  <si>
    <t>MARIA DOS PRAZERES DA SILVA</t>
  </si>
  <si>
    <t xml:space="preserve">N TEM </t>
  </si>
  <si>
    <t>083.476.564-01</t>
  </si>
  <si>
    <t xml:space="preserve">JOÃO DE PAULA PEQUENO </t>
  </si>
  <si>
    <t>384325154</t>
  </si>
  <si>
    <t>338.489.554-15</t>
  </si>
  <si>
    <t>ILONEIDE PEQUENO DA SILVA</t>
  </si>
  <si>
    <t>569141953</t>
  </si>
  <si>
    <t>982.445.404-78</t>
  </si>
  <si>
    <t>16 / 14 / 12</t>
  </si>
  <si>
    <t xml:space="preserve">MARIA DOS PRAZERES PEQUENO </t>
  </si>
  <si>
    <t>44778136</t>
  </si>
  <si>
    <t>365.215.628-51</t>
  </si>
  <si>
    <t>12 / 10 / 8</t>
  </si>
  <si>
    <t>ROSANGELA OLIVEIRA DE ESPIRITO SANTOS</t>
  </si>
  <si>
    <t>N TEM</t>
  </si>
  <si>
    <t>224.058.428-90</t>
  </si>
  <si>
    <t>14 / 18 / 00</t>
  </si>
  <si>
    <t xml:space="preserve">MEIRIELLYN ALMEIDA SOUSA BARBOSA </t>
  </si>
  <si>
    <t>387659754</t>
  </si>
  <si>
    <t>467.052.888-25</t>
  </si>
  <si>
    <t>S01 QD06 N02</t>
  </si>
  <si>
    <t>KAUANY DE SOUZA SILVA</t>
  </si>
  <si>
    <t>620819285</t>
  </si>
  <si>
    <t>599.489.018-94</t>
  </si>
  <si>
    <t xml:space="preserve">RENATA DE SOUZA AMARANTE </t>
  </si>
  <si>
    <t>41644975X</t>
  </si>
  <si>
    <t>338.736.638-80</t>
  </si>
  <si>
    <t>S01 QD08 N29</t>
  </si>
  <si>
    <t>BRUNO BARBOSA DE BARROS</t>
  </si>
  <si>
    <t>498383398</t>
  </si>
  <si>
    <t>461.167.858-08</t>
  </si>
  <si>
    <t>S03 QD04 N37</t>
  </si>
  <si>
    <t xml:space="preserve">NATALIA BARBOSA DA SILVA </t>
  </si>
  <si>
    <t>330852784</t>
  </si>
  <si>
    <t>354.001.928-66</t>
  </si>
  <si>
    <t>S03 QD04 N38</t>
  </si>
  <si>
    <t xml:space="preserve">IVAN ALVES MENDONCA FILHO </t>
  </si>
  <si>
    <t>165898069</t>
  </si>
  <si>
    <t>063.784.358-47</t>
  </si>
  <si>
    <t>S03 QD04 N06</t>
  </si>
  <si>
    <t>IVAN ALVES MENDONCA FILHO</t>
  </si>
  <si>
    <t>RUA 19</t>
  </si>
  <si>
    <t>S01 QD08 N32</t>
  </si>
  <si>
    <t xml:space="preserve">EMANUELA SOUZA DA SILVA </t>
  </si>
  <si>
    <t>456330628</t>
  </si>
  <si>
    <t>337.929.838-77</t>
  </si>
  <si>
    <t>S03 QD05 N07</t>
  </si>
  <si>
    <t xml:space="preserve">MANOEL JOSE DOS SANTOS </t>
  </si>
  <si>
    <t>562987654</t>
  </si>
  <si>
    <t>528.317.604-53</t>
  </si>
  <si>
    <t>S01 QD08 N58</t>
  </si>
  <si>
    <t xml:space="preserve">MARCOS NEVES DOS SANTOS </t>
  </si>
  <si>
    <t>242061308</t>
  </si>
  <si>
    <t>133.749.878-50</t>
  </si>
  <si>
    <t>S03 QD07 N14</t>
  </si>
  <si>
    <t xml:space="preserve">ALAIDE MARIA DOS SANTOS </t>
  </si>
  <si>
    <t>259793292</t>
  </si>
  <si>
    <t>339.349.595-07</t>
  </si>
  <si>
    <t>S03 QD07 N12</t>
  </si>
  <si>
    <t xml:space="preserve">MARIA ANTONIA DOS SANTOS OLIVEIRA </t>
  </si>
  <si>
    <t>292861540</t>
  </si>
  <si>
    <t>197.566.598-82</t>
  </si>
  <si>
    <t>S03 QD07 N08</t>
  </si>
  <si>
    <t xml:space="preserve">CELMA MARANDUBA DA SILVA </t>
  </si>
  <si>
    <t>233191422</t>
  </si>
  <si>
    <t>133.583.538-50</t>
  </si>
  <si>
    <t>S03 QD04 N16</t>
  </si>
  <si>
    <t>LEANDRO MARANDUBA FELIX DE SOUZA QUIRINO</t>
  </si>
  <si>
    <t>367117447</t>
  </si>
  <si>
    <t>377.468.218-63</t>
  </si>
  <si>
    <t>S02 QD02 N74</t>
  </si>
  <si>
    <t>47 / 48 / 49</t>
  </si>
  <si>
    <t xml:space="preserve">ELISANDRA SANTOS PEREIRA </t>
  </si>
  <si>
    <t>1373166231</t>
  </si>
  <si>
    <t>032.445.855-07</t>
  </si>
  <si>
    <t>S07 QD05 N67</t>
  </si>
  <si>
    <t xml:space="preserve">ANDRIELLY DE FREITAS SANTOS </t>
  </si>
  <si>
    <t>62557378X</t>
  </si>
  <si>
    <t>590.817.068-29</t>
  </si>
  <si>
    <t>S02 QD05 N68</t>
  </si>
  <si>
    <t>JOSE ADILSON DA SILVA SANTOS</t>
  </si>
  <si>
    <t>35958553</t>
  </si>
  <si>
    <t>372.296.228-59</t>
  </si>
  <si>
    <t>SZ02 QD03 N54</t>
  </si>
  <si>
    <t xml:space="preserve">MARIA JOSE CIRQUEIRA DA SILVA </t>
  </si>
  <si>
    <t>619.069.305-97</t>
  </si>
  <si>
    <t>S03 QD06 N17</t>
  </si>
  <si>
    <t>MARIA SONALIA SOARES PINTO</t>
  </si>
  <si>
    <t>456580220</t>
  </si>
  <si>
    <t>007.433.104-38</t>
  </si>
  <si>
    <t>S3 QD5 N4</t>
  </si>
  <si>
    <t>JUREMA PIRES DOS SANTOS</t>
  </si>
  <si>
    <t>172625075</t>
  </si>
  <si>
    <t>121.294.738-06</t>
  </si>
  <si>
    <t>CS B S3 QD5 N12</t>
  </si>
  <si>
    <t>REGIANE VIEIRA DE SANTANA</t>
  </si>
  <si>
    <t>339302896</t>
  </si>
  <si>
    <t>323.594.808-20</t>
  </si>
  <si>
    <t>S03 QD05 N22</t>
  </si>
  <si>
    <t xml:space="preserve">WILLIANY VIEIRA DE JESUS </t>
  </si>
  <si>
    <t>08672953069</t>
  </si>
  <si>
    <t>461.183.938-93</t>
  </si>
  <si>
    <t>S03 QD05 N23</t>
  </si>
  <si>
    <t>CREUZA ALBA COSTA</t>
  </si>
  <si>
    <t>070.133.568-83</t>
  </si>
  <si>
    <t xml:space="preserve">MARIA EDUARDA SANTANA NASCIMENTO </t>
  </si>
  <si>
    <t>624293427</t>
  </si>
  <si>
    <t>456.356.818-08</t>
  </si>
  <si>
    <t>2 ALTOS</t>
  </si>
  <si>
    <t>ANA CRISTINA DA CRUZ SANTOS</t>
  </si>
  <si>
    <t>359240537</t>
  </si>
  <si>
    <t>393.850.168-57</t>
  </si>
  <si>
    <t>828 / 830 / 832</t>
  </si>
  <si>
    <t xml:space="preserve">ROSANGELA COSTA OLIVEIRA </t>
  </si>
  <si>
    <t>577167844</t>
  </si>
  <si>
    <t>558.437.005-34</t>
  </si>
  <si>
    <t>837</t>
  </si>
  <si>
    <t>CASA FRENTE</t>
  </si>
  <si>
    <t>835 / 837 / 839</t>
  </si>
  <si>
    <t xml:space="preserve">MARIA DA CONCEIÇÃO DO NASCIMENTO </t>
  </si>
  <si>
    <t>365499821</t>
  </si>
  <si>
    <t>579.910.654-72</t>
  </si>
  <si>
    <t>906</t>
  </si>
  <si>
    <t>904 / 906 / 908</t>
  </si>
  <si>
    <t xml:space="preserve">CLAUCIANA DOS SANTOS SILVA </t>
  </si>
  <si>
    <t>268414531</t>
  </si>
  <si>
    <t>197.529.518-80</t>
  </si>
  <si>
    <t>S01 QD06 N15</t>
  </si>
  <si>
    <t xml:space="preserve">MACIEL ROCHA DE SOUZA </t>
  </si>
  <si>
    <t>332536130</t>
  </si>
  <si>
    <t>293.589.478-29</t>
  </si>
  <si>
    <t>S03 QD08 N01</t>
  </si>
  <si>
    <t xml:space="preserve">MARIA MARGARETH ROCHA SOUZA ALVES </t>
  </si>
  <si>
    <t>365003086</t>
  </si>
  <si>
    <t>276.652.914-49</t>
  </si>
  <si>
    <t>S03 Q08 N02</t>
  </si>
  <si>
    <t xml:space="preserve">MARIA APARECIDA NOBRE DA SILVA </t>
  </si>
  <si>
    <t>575497506</t>
  </si>
  <si>
    <t>368.563.043-15</t>
  </si>
  <si>
    <t>S01 QD01 N05</t>
  </si>
  <si>
    <t xml:space="preserve">RAFAELA DA SILVA FELIX </t>
  </si>
  <si>
    <t>443082960</t>
  </si>
  <si>
    <t>373.616.778-43</t>
  </si>
  <si>
    <t>S02 QD02 N61</t>
  </si>
  <si>
    <t xml:space="preserve">ANTONIO SERGIO ALMEIDA PEREIRA </t>
  </si>
  <si>
    <t>689718500</t>
  </si>
  <si>
    <t>863.995.385-64</t>
  </si>
  <si>
    <t xml:space="preserve">LUANA BEATRIZ DOS SANTOS </t>
  </si>
  <si>
    <t>574440963</t>
  </si>
  <si>
    <t>501.242.258-96</t>
  </si>
  <si>
    <t>S03 QD08 N03</t>
  </si>
  <si>
    <t xml:space="preserve">MARIA NELITA ANDRADE </t>
  </si>
  <si>
    <t>155326533</t>
  </si>
  <si>
    <t>040.720.828-30</t>
  </si>
  <si>
    <t>S03 QD08 N05</t>
  </si>
  <si>
    <t xml:space="preserve">MARIA SALETE DA SILVA </t>
  </si>
  <si>
    <t>661685093</t>
  </si>
  <si>
    <t>281.170.738-70</t>
  </si>
  <si>
    <t>S03 QD08 N12</t>
  </si>
  <si>
    <t xml:space="preserve">JEFFERSON PEREIRA DA SILVA </t>
  </si>
  <si>
    <t>491902499</t>
  </si>
  <si>
    <t>447.186.928-06</t>
  </si>
  <si>
    <t>S03 QD08 N13</t>
  </si>
  <si>
    <t xml:space="preserve">MARCOS ANTONIO DOS SANTOS SILVA </t>
  </si>
  <si>
    <t>622832864</t>
  </si>
  <si>
    <t>994.532.314-87</t>
  </si>
  <si>
    <t>S03 QD 08 N11</t>
  </si>
  <si>
    <t xml:space="preserve">TAISSA BEATRIZ OLIVEIRA DA SILVA </t>
  </si>
  <si>
    <t>552907509</t>
  </si>
  <si>
    <t>551.308.838-02</t>
  </si>
  <si>
    <t>S03 QD08 N10</t>
  </si>
  <si>
    <t xml:space="preserve">LEONE COSTA GOMES </t>
  </si>
  <si>
    <t>4223374830</t>
  </si>
  <si>
    <t>307.241.008-90</t>
  </si>
  <si>
    <t>S03 QD08 N18</t>
  </si>
  <si>
    <t xml:space="preserve">LUCINEIDE JESUS DA FONSECA </t>
  </si>
  <si>
    <t>246.487.208-30</t>
  </si>
  <si>
    <t>S03 QD08 N24</t>
  </si>
  <si>
    <t>MARIA DO SOCORRO COSTA</t>
  </si>
  <si>
    <t>561362142</t>
  </si>
  <si>
    <t>218.187.894-34</t>
  </si>
  <si>
    <t>S03 QD08 N28</t>
  </si>
  <si>
    <t>JOSE SEBASTIAO FILHO</t>
  </si>
  <si>
    <t>322282172</t>
  </si>
  <si>
    <t>073.764.484-20</t>
  </si>
  <si>
    <t>903</t>
  </si>
  <si>
    <t>901 / 903 / 905</t>
  </si>
  <si>
    <t>ALCILENE MARIA DE MELO</t>
  </si>
  <si>
    <t>566014464</t>
  </si>
  <si>
    <t>377.802.448-57</t>
  </si>
  <si>
    <t>839</t>
  </si>
  <si>
    <t>837 / 839 / 841</t>
  </si>
  <si>
    <t>SILVIA ELAINE LUQUI</t>
  </si>
  <si>
    <t>177522197</t>
  </si>
  <si>
    <t>051.871.558-22</t>
  </si>
  <si>
    <t>831</t>
  </si>
  <si>
    <t>829 / 831 / 833</t>
  </si>
  <si>
    <t>093.764.484-20</t>
  </si>
  <si>
    <t>3222822172</t>
  </si>
  <si>
    <t>073.764.494-20</t>
  </si>
  <si>
    <t>JICILENE  DE SOUZA DA SILVA ROCHA</t>
  </si>
  <si>
    <t>07305073630</t>
  </si>
  <si>
    <t>227.250.578-33</t>
  </si>
  <si>
    <t>673</t>
  </si>
  <si>
    <t>671 / 673 / 675</t>
  </si>
  <si>
    <t>JICILENE DE SOUZA DA SILVA ROCHA</t>
  </si>
  <si>
    <t>39226269</t>
  </si>
  <si>
    <t>ANTONIO FAUSTINO DA SILVA</t>
  </si>
  <si>
    <t>36159781</t>
  </si>
  <si>
    <t>842.439.534-49</t>
  </si>
  <si>
    <t>723</t>
  </si>
  <si>
    <t>721 / 723 / 725</t>
  </si>
  <si>
    <t>MARIZA AFANSO DA SILVA</t>
  </si>
  <si>
    <t>31491104830</t>
  </si>
  <si>
    <t>314.911.048-30</t>
  </si>
  <si>
    <t>MARIA CRISTINA PEREIRA DOS SANTOS</t>
  </si>
  <si>
    <t>00593319508</t>
  </si>
  <si>
    <t>005.933.195-08</t>
  </si>
  <si>
    <t>3 / 7 / 9</t>
  </si>
  <si>
    <t>EDIVALDETE MARIA SANTOS SILVA</t>
  </si>
  <si>
    <t>322047729</t>
  </si>
  <si>
    <t>252.754.528-96</t>
  </si>
  <si>
    <t xml:space="preserve">VANDINALVA FERREIRA DAS  NEVES </t>
  </si>
  <si>
    <t>531962209</t>
  </si>
  <si>
    <t>378.441.645-49</t>
  </si>
  <si>
    <t>CS1 S3 QD8 N60</t>
  </si>
  <si>
    <t xml:space="preserve">JORDANA DA SILVA FELIX </t>
  </si>
  <si>
    <t>463803279</t>
  </si>
  <si>
    <t>381.841.328-14</t>
  </si>
  <si>
    <t>CS2 S3 QD8 N59</t>
  </si>
  <si>
    <t xml:space="preserve">JOSEFA DE OLIVERA </t>
  </si>
  <si>
    <t>165893205</t>
  </si>
  <si>
    <t>070.185.228-38</t>
  </si>
  <si>
    <t>CS1 S3 QD8 N31</t>
  </si>
  <si>
    <t xml:space="preserve">GISELE CRISTINA OLIVEIRA DE JESUS </t>
  </si>
  <si>
    <t>415696628</t>
  </si>
  <si>
    <t>376.481.468-35</t>
  </si>
  <si>
    <t xml:space="preserve">ANGELA MARIA DE ARAUJO </t>
  </si>
  <si>
    <t>30267682X</t>
  </si>
  <si>
    <t>133.721.088-92</t>
  </si>
  <si>
    <t>CS1 S3 QD8 N34</t>
  </si>
  <si>
    <t xml:space="preserve">ANGELICA ARAUJO DOS SANTOS </t>
  </si>
  <si>
    <t>29608491</t>
  </si>
  <si>
    <t>365.354.088-76</t>
  </si>
  <si>
    <t>CS2 S3 QD8 N35</t>
  </si>
  <si>
    <t xml:space="preserve">LUIS FERNANDO LIMA </t>
  </si>
  <si>
    <t>486556876</t>
  </si>
  <si>
    <t>432.543.718-52</t>
  </si>
  <si>
    <t>S03 QD06 N07</t>
  </si>
  <si>
    <t xml:space="preserve">MARIO LUCIO VIANA </t>
  </si>
  <si>
    <t>189942423</t>
  </si>
  <si>
    <t>058.197.248-10</t>
  </si>
  <si>
    <t>RUA 12</t>
  </si>
  <si>
    <t>S03 QD08 N48</t>
  </si>
  <si>
    <t xml:space="preserve">DIOGO GOMES DEJESUS  </t>
  </si>
  <si>
    <t>221138985</t>
  </si>
  <si>
    <t>108.309.548-05</t>
  </si>
  <si>
    <t>S03 QD04 N19</t>
  </si>
  <si>
    <t xml:space="preserve">LOURDES JESUS DOS SANTOS </t>
  </si>
  <si>
    <t>219372263</t>
  </si>
  <si>
    <t>130.511.048-09</t>
  </si>
  <si>
    <t>CS3 S3 QD8 N30</t>
  </si>
  <si>
    <t>NUBIA PIRES CORREA</t>
  </si>
  <si>
    <t>347460252</t>
  </si>
  <si>
    <t>302.913.448-28</t>
  </si>
  <si>
    <t>CS4 S03 QD8 N61</t>
  </si>
  <si>
    <t xml:space="preserve">MARIA CRISTINA DOS SANTOS </t>
  </si>
  <si>
    <t>246797009</t>
  </si>
  <si>
    <t>261.258.508-70</t>
  </si>
  <si>
    <t>S03 QD08 N37</t>
  </si>
  <si>
    <t xml:space="preserve">ADAUTO MENEZES DOS SANTOS </t>
  </si>
  <si>
    <t>47284675</t>
  </si>
  <si>
    <t>208.238.008-49</t>
  </si>
  <si>
    <t>S03 QD08 N42</t>
  </si>
  <si>
    <t>JAINE ADRIANA SANTOS</t>
  </si>
  <si>
    <t>622299840</t>
  </si>
  <si>
    <t>056.332.315-97</t>
  </si>
  <si>
    <t>S03 QD08 N45</t>
  </si>
  <si>
    <t xml:space="preserve">CELIA CRISTINA DE SOUZA </t>
  </si>
  <si>
    <t>271072325</t>
  </si>
  <si>
    <t>159.002.548-28</t>
  </si>
  <si>
    <t>S03 Q08 N36</t>
  </si>
  <si>
    <t xml:space="preserve">SANDRA MARA MARQUES RUMAO </t>
  </si>
  <si>
    <t>417113602</t>
  </si>
  <si>
    <t>307.297.388-17</t>
  </si>
  <si>
    <t>S03 QD08 N49</t>
  </si>
  <si>
    <t xml:space="preserve">MARIA APARECIDA DA SILVA </t>
  </si>
  <si>
    <t>25915512X</t>
  </si>
  <si>
    <t>263.909.008-99</t>
  </si>
  <si>
    <t>S03 QD08 N54</t>
  </si>
  <si>
    <t xml:space="preserve">MARILENE BISPO DOS SANTOS </t>
  </si>
  <si>
    <t>532716073</t>
  </si>
  <si>
    <t>162.373.678-10</t>
  </si>
  <si>
    <t xml:space="preserve">ANDERSON SANTOS DA SILVA </t>
  </si>
  <si>
    <t>493575984</t>
  </si>
  <si>
    <t>377.091.668-90</t>
  </si>
  <si>
    <t>SAMANTHA OLIVEIRA DIAS ASSIAZ</t>
  </si>
  <si>
    <t>428849404</t>
  </si>
  <si>
    <t>343.154.818-07</t>
  </si>
  <si>
    <t>14 / 16 / 0</t>
  </si>
  <si>
    <t xml:space="preserve">RYAN GABRIEL NOGUEIRA </t>
  </si>
  <si>
    <t>59090180</t>
  </si>
  <si>
    <t>505.201.738-30</t>
  </si>
  <si>
    <t xml:space="preserve">MARIO FRANCISCO DOS SANTOS </t>
  </si>
  <si>
    <t>44454520-7</t>
  </si>
  <si>
    <t>233.812.268-27</t>
  </si>
  <si>
    <t xml:space="preserve">JOSE ALBERTINO DA SILVEIRA </t>
  </si>
  <si>
    <t>21248921-5</t>
  </si>
  <si>
    <t>070.121.588-75</t>
  </si>
  <si>
    <t xml:space="preserve">VANESSA SILVA DE ARAUJO </t>
  </si>
  <si>
    <t>34960071</t>
  </si>
  <si>
    <t>288.054.748-13</t>
  </si>
  <si>
    <t>CASA 02</t>
  </si>
  <si>
    <t xml:space="preserve">JOSE RUBEM SILVA DOS REIS </t>
  </si>
  <si>
    <t>15487349</t>
  </si>
  <si>
    <t>057.020.045-82</t>
  </si>
  <si>
    <t xml:space="preserve">FRANQUIN PEREIRA DE SOUZA </t>
  </si>
  <si>
    <t>429708154</t>
  </si>
  <si>
    <t>389.347.718-79</t>
  </si>
  <si>
    <t>S03 QD05 N01</t>
  </si>
  <si>
    <t>2 / 1 / 410</t>
  </si>
  <si>
    <t>ARNALDO MEDEIROS DE SOUZA</t>
  </si>
  <si>
    <t>578203996</t>
  </si>
  <si>
    <t>496.052.638-66</t>
  </si>
  <si>
    <t>S03 QD05 N05</t>
  </si>
  <si>
    <t>VANDOIR PEREIRA DO ESPIRITO SANTO</t>
  </si>
  <si>
    <t>20323568X</t>
  </si>
  <si>
    <t>130.487.128-28</t>
  </si>
  <si>
    <t>03 / 02 / 01</t>
  </si>
  <si>
    <t xml:space="preserve">RENISSOM ARAUJO DE JESUS </t>
  </si>
  <si>
    <t>566752517</t>
  </si>
  <si>
    <t>052.328.935-99</t>
  </si>
  <si>
    <t>S03 QD5 N24</t>
  </si>
  <si>
    <t>JUSSARA TEXEIRA DAS NEVES</t>
  </si>
  <si>
    <t>422376231</t>
  </si>
  <si>
    <t>217.816.788-80</t>
  </si>
  <si>
    <t>21 / 20 / 19</t>
  </si>
  <si>
    <t>MARIA DE FATIMA DANTAS SANTOS</t>
  </si>
  <si>
    <t>379476320</t>
  </si>
  <si>
    <t>322.929.388-46</t>
  </si>
  <si>
    <t>CS A S3 QD5 N28</t>
  </si>
  <si>
    <t>ANTÔNIO CARLOS DOS SANTOS</t>
  </si>
  <si>
    <t>267364015</t>
  </si>
  <si>
    <t>077.304.568-69</t>
  </si>
  <si>
    <t>1027 / 1029 / 1033</t>
  </si>
  <si>
    <t>MIKAELLE PEREIRA SILVA</t>
  </si>
  <si>
    <t>59491579</t>
  </si>
  <si>
    <t>508.763.278-54</t>
  </si>
  <si>
    <t>0 / 1140 / 1139</t>
  </si>
  <si>
    <t>JANIARA QUEIROZ SILVA</t>
  </si>
  <si>
    <t>35488081</t>
  </si>
  <si>
    <t>278.434.638-28</t>
  </si>
  <si>
    <t>611</t>
  </si>
  <si>
    <t>609 / 611 / 613</t>
  </si>
  <si>
    <t>GIOVANNA ALVES SILVA</t>
  </si>
  <si>
    <t>591841253</t>
  </si>
  <si>
    <t>527.182.268-03</t>
  </si>
  <si>
    <t>COSME DAMIÃO DA SILVA RIGHATI</t>
  </si>
  <si>
    <t>419763399</t>
  </si>
  <si>
    <t>301.712.558-01</t>
  </si>
  <si>
    <t>8 / 9 / 7</t>
  </si>
  <si>
    <t>LUCYCLEIDE PEREIRA DE LIMA</t>
  </si>
  <si>
    <t>44185131</t>
  </si>
  <si>
    <t>410.217.218-16</t>
  </si>
  <si>
    <t>909</t>
  </si>
  <si>
    <t>907 / 909 / 911</t>
  </si>
  <si>
    <t>KATLHEEN</t>
  </si>
  <si>
    <t>511.431.208-17</t>
  </si>
  <si>
    <t xml:space="preserve">JOSE ILDO DA SILVA </t>
  </si>
  <si>
    <t>281023943</t>
  </si>
  <si>
    <t>731.690.644-87</t>
  </si>
  <si>
    <t>JOSE ILDO DA SILVA</t>
  </si>
  <si>
    <t>JOSE ILDO</t>
  </si>
  <si>
    <t>CASA FUNDOS 6</t>
  </si>
  <si>
    <t xml:space="preserve">ANA CAROLINA REIS DOS SANTOS </t>
  </si>
  <si>
    <t>364650552</t>
  </si>
  <si>
    <t>411.329.238-83</t>
  </si>
  <si>
    <t>1111</t>
  </si>
  <si>
    <t>1109 / 1111 / 1113</t>
  </si>
  <si>
    <t xml:space="preserve">ALINE MAMEDE DOS SANTOS </t>
  </si>
  <si>
    <t>326497638</t>
  </si>
  <si>
    <t>275.669.238-70</t>
  </si>
  <si>
    <t>1117</t>
  </si>
  <si>
    <t>1115 / 1117 / 1119</t>
  </si>
  <si>
    <t xml:space="preserve">MARCELINO OLIVEIRA SILVA </t>
  </si>
  <si>
    <t>36351514</t>
  </si>
  <si>
    <t>678.284.185-15</t>
  </si>
  <si>
    <t>CASA 1*</t>
  </si>
  <si>
    <t xml:space="preserve">BRUNA DOS SANTOS OLIVEIRA </t>
  </si>
  <si>
    <t>580029190</t>
  </si>
  <si>
    <t>469.858.508-20</t>
  </si>
  <si>
    <t xml:space="preserve">CRISLAINE DA SILVA PEREIRA </t>
  </si>
  <si>
    <t>453920482</t>
  </si>
  <si>
    <t>385.347.498-50</t>
  </si>
  <si>
    <t xml:space="preserve">VALERIA DOS SANTOS RIBEIRO </t>
  </si>
  <si>
    <t>353955905</t>
  </si>
  <si>
    <t>277.861.848-13</t>
  </si>
  <si>
    <t>622 / 620 / 618</t>
  </si>
  <si>
    <t xml:space="preserve">JORGE LUIZ DE SOUZA BRAZ </t>
  </si>
  <si>
    <t>351458712</t>
  </si>
  <si>
    <t>382.996.218-52</t>
  </si>
  <si>
    <t xml:space="preserve">MARIVALDO SILVA DA CRUZ </t>
  </si>
  <si>
    <t>262.642.468-40</t>
  </si>
  <si>
    <t>CS2 S1 QD5 N31</t>
  </si>
  <si>
    <t xml:space="preserve">TARCISIO DE MELO </t>
  </si>
  <si>
    <t>402510598</t>
  </si>
  <si>
    <t>324.774.508-40</t>
  </si>
  <si>
    <t>S01 QD5 N32</t>
  </si>
  <si>
    <t xml:space="preserve">EVERTON GONZAGA SANTANA </t>
  </si>
  <si>
    <t>265509622</t>
  </si>
  <si>
    <t>069.984.268-95</t>
  </si>
  <si>
    <t xml:space="preserve">JOSE CRISTISNO VIANA </t>
  </si>
  <si>
    <t>48712139</t>
  </si>
  <si>
    <t>302.851.588-13</t>
  </si>
  <si>
    <t>153</t>
  </si>
  <si>
    <t>151 / 153 / 155</t>
  </si>
  <si>
    <t xml:space="preserve">JOSE CRISTIANO VIANA </t>
  </si>
  <si>
    <t>ANA CAROLINA DA SILVA BOMFIM</t>
  </si>
  <si>
    <t>545069506</t>
  </si>
  <si>
    <t>447.941.408-86</t>
  </si>
  <si>
    <t xml:space="preserve">CALUDIO SANTANA SANTOS </t>
  </si>
  <si>
    <t>683209656</t>
  </si>
  <si>
    <t>071.974.535-77</t>
  </si>
  <si>
    <t>22 / 20 / 18</t>
  </si>
  <si>
    <t xml:space="preserve">ROBERVALDO PEREIRA GOMES </t>
  </si>
  <si>
    <t>371546217</t>
  </si>
  <si>
    <t>050.560.106-00</t>
  </si>
  <si>
    <t>608</t>
  </si>
  <si>
    <t>610 / 608 / 606</t>
  </si>
  <si>
    <t xml:space="preserve">MIRELLA SANTOS DE JESUS </t>
  </si>
  <si>
    <t>4147621-2</t>
  </si>
  <si>
    <t>517.609.558-09</t>
  </si>
  <si>
    <t xml:space="preserve">ANDRE SANTOS DOS SANTOS </t>
  </si>
  <si>
    <t>366790298</t>
  </si>
  <si>
    <t>894.278.905-68</t>
  </si>
  <si>
    <t xml:space="preserve">HELENA MARIA DA SILVA </t>
  </si>
  <si>
    <t>501038784</t>
  </si>
  <si>
    <t>328.965.708-61</t>
  </si>
  <si>
    <t>TRAVESSA CENTRO COMUNITÁRIO</t>
  </si>
  <si>
    <t xml:space="preserve">KETLEY ANNY MOTA NASCIMENTO DOS SANTOS </t>
  </si>
  <si>
    <t>563487501</t>
  </si>
  <si>
    <t>477.661.248-82</t>
  </si>
  <si>
    <t xml:space="preserve">RAUL JOSE DE MORAIS </t>
  </si>
  <si>
    <t>485283128</t>
  </si>
  <si>
    <t>415.411.928-18</t>
  </si>
  <si>
    <t xml:space="preserve">WILIAM MARANHÃO RODRIGUES </t>
  </si>
  <si>
    <t>454003596</t>
  </si>
  <si>
    <t>393.098.648-50</t>
  </si>
  <si>
    <t xml:space="preserve">TAMIRES PACHECO </t>
  </si>
  <si>
    <t>530573611</t>
  </si>
  <si>
    <t>427.718.638-63</t>
  </si>
  <si>
    <t>02 / 4 / 06</t>
  </si>
  <si>
    <t>447781364</t>
  </si>
  <si>
    <t>MARIA HORTÊNCIA DOS SANTOS NEVES</t>
  </si>
  <si>
    <t>54985471X</t>
  </si>
  <si>
    <t>506.186.508-14</t>
  </si>
  <si>
    <t>85 / 87 / 89</t>
  </si>
  <si>
    <t xml:space="preserve">LUCENILDA PEREIRA DA SILVA </t>
  </si>
  <si>
    <t>393565580</t>
  </si>
  <si>
    <t>374.190.718-96</t>
  </si>
  <si>
    <t>798</t>
  </si>
  <si>
    <t>796 / 798 / 800</t>
  </si>
  <si>
    <t>RUBENS MOREIRA DE SOUZA</t>
  </si>
  <si>
    <t>440516535</t>
  </si>
  <si>
    <t>386.929.908-84</t>
  </si>
  <si>
    <t>13 / 15 / 0</t>
  </si>
  <si>
    <t xml:space="preserve">DANIELA MOREIRA DO NASCIMENTO </t>
  </si>
  <si>
    <t>247503216</t>
  </si>
  <si>
    <t>308.064.498-02</t>
  </si>
  <si>
    <t>FABIO SILVA DAS NEVES</t>
  </si>
  <si>
    <t>363522530</t>
  </si>
  <si>
    <t>225.143.478-07</t>
  </si>
  <si>
    <t>ANDRESSA MACENA DOS SANTOS</t>
  </si>
  <si>
    <t>440589332</t>
  </si>
  <si>
    <t>444.801.538-61</t>
  </si>
  <si>
    <t>YARA MARIA ALVES DOS SANTOS</t>
  </si>
  <si>
    <t>542105251</t>
  </si>
  <si>
    <t>080.472.348-62</t>
  </si>
  <si>
    <t>911</t>
  </si>
  <si>
    <t>909 / 911 / 913</t>
  </si>
  <si>
    <t>JOSE CARLOS DE OLIVEIRA</t>
  </si>
  <si>
    <t>063.978.438-07</t>
  </si>
  <si>
    <t>920</t>
  </si>
  <si>
    <t>918 / 920 / 922</t>
  </si>
  <si>
    <t>MARIA DO CARMO CORREIA</t>
  </si>
  <si>
    <t>305894523</t>
  </si>
  <si>
    <t>262.384.328-61</t>
  </si>
  <si>
    <t>910</t>
  </si>
  <si>
    <t>908 / 910 / 912</t>
  </si>
  <si>
    <t xml:space="preserve">EUDILENE RODRIGUES DE MEDEIROS </t>
  </si>
  <si>
    <t>289612779</t>
  </si>
  <si>
    <t>162.289.718-83</t>
  </si>
  <si>
    <t>634 / 636 / 636</t>
  </si>
  <si>
    <t xml:space="preserve">GILSON FRANCISCO NATALINO </t>
  </si>
  <si>
    <t>295370221</t>
  </si>
  <si>
    <t>278.798.978-01</t>
  </si>
  <si>
    <t>ILMA MARQUES PASTOR</t>
  </si>
  <si>
    <t>177516380</t>
  </si>
  <si>
    <t>066.477.388-51</t>
  </si>
  <si>
    <t>832</t>
  </si>
  <si>
    <t>830 / 832 / 934</t>
  </si>
  <si>
    <t>STHEFANY TEIXEIRA DA SILVA</t>
  </si>
  <si>
    <t>398995862</t>
  </si>
  <si>
    <t>563.443.828-48</t>
  </si>
  <si>
    <t>918</t>
  </si>
  <si>
    <t>916 / 918 / 920</t>
  </si>
  <si>
    <t xml:space="preserve">EDILEUSA MARIA DA SILVA </t>
  </si>
  <si>
    <t>55476779X</t>
  </si>
  <si>
    <t>084.862.098-46</t>
  </si>
  <si>
    <t>DINAILTON JESUS DA SILVA</t>
  </si>
  <si>
    <t>21525049</t>
  </si>
  <si>
    <t>121.214.698-00</t>
  </si>
  <si>
    <t>JOSIANE DOS SANTOS  SILVA</t>
  </si>
  <si>
    <t>578783332</t>
  </si>
  <si>
    <t>068.219.983-89</t>
  </si>
  <si>
    <t>S03 QD11 N04</t>
  </si>
  <si>
    <t>SUELANIA HERMINIA ARAUJO DOS SANTOS</t>
  </si>
  <si>
    <t>357322873</t>
  </si>
  <si>
    <t>446.033.126-87</t>
  </si>
  <si>
    <t>S03 QD8 N43</t>
  </si>
  <si>
    <t>LEDA PEREIRA DOS SANTOS</t>
  </si>
  <si>
    <t>363804497</t>
  </si>
  <si>
    <t>065.586.808-90</t>
  </si>
  <si>
    <t>S03 QD8 N47</t>
  </si>
  <si>
    <t>TATHIANA CALDAS CRUZ</t>
  </si>
  <si>
    <t>441651045</t>
  </si>
  <si>
    <t>359.739.698-43</t>
  </si>
  <si>
    <t>S03 QD12 N01</t>
  </si>
  <si>
    <t>18 / 1 / 2</t>
  </si>
  <si>
    <t>RAFAELA DE FREITAS SANTOS</t>
  </si>
  <si>
    <t>589365046</t>
  </si>
  <si>
    <t>487.295.688-54</t>
  </si>
  <si>
    <t>S03 QD12 N02</t>
  </si>
  <si>
    <t xml:space="preserve">MARIA DA CONCEIÇÃO DE JESUS </t>
  </si>
  <si>
    <t>561456999</t>
  </si>
  <si>
    <t>590.991.435-91</t>
  </si>
  <si>
    <t>S03 QD12 N10</t>
  </si>
  <si>
    <t>LUCAS CIRQUEIRA DA SILVA</t>
  </si>
  <si>
    <t>07454619586</t>
  </si>
  <si>
    <t>462.208.978-54</t>
  </si>
  <si>
    <t>JOSE CRISTIANO VIANA</t>
  </si>
  <si>
    <t>S03 QD04 N50</t>
  </si>
  <si>
    <t>MAYARA DA GAMA CORREIA</t>
  </si>
  <si>
    <t>4866722736</t>
  </si>
  <si>
    <t>413.523.078-47</t>
  </si>
  <si>
    <t>CS2 S2 QD4 N68</t>
  </si>
  <si>
    <t>67 / 68 / 69</t>
  </si>
  <si>
    <t xml:space="preserve">ELENILDE DOS SANTOS </t>
  </si>
  <si>
    <t>553328411</t>
  </si>
  <si>
    <t>266.693.665-15</t>
  </si>
  <si>
    <t>RUA 8</t>
  </si>
  <si>
    <t>S03 QD11 N09</t>
  </si>
  <si>
    <t xml:space="preserve">SABRINA CALDAS CRUZ COSTA </t>
  </si>
  <si>
    <t>640765075</t>
  </si>
  <si>
    <t>539.981.138-35</t>
  </si>
  <si>
    <t>S03 QD11 N07</t>
  </si>
  <si>
    <t xml:space="preserve">DIEGO DOS SANTOS </t>
  </si>
  <si>
    <t>492905605</t>
  </si>
  <si>
    <t>394.421.188-03</t>
  </si>
  <si>
    <t>S03 QD11 N10</t>
  </si>
  <si>
    <t xml:space="preserve">ALEXSANDRA ARRUDA DE JESUS </t>
  </si>
  <si>
    <t>323466552</t>
  </si>
  <si>
    <t>283.439.968-95</t>
  </si>
  <si>
    <t>CS1 S3 QD11 N17</t>
  </si>
  <si>
    <t>CS2 S3 QD11 N18</t>
  </si>
  <si>
    <t>GISELA APARECIDA DO AMARAL</t>
  </si>
  <si>
    <t>282329006</t>
  </si>
  <si>
    <t>169.637.298-40</t>
  </si>
  <si>
    <t>S03 QD12 N04</t>
  </si>
  <si>
    <t xml:space="preserve">BETANIA DOS SANTOS </t>
  </si>
  <si>
    <t>454423597</t>
  </si>
  <si>
    <t>017.449.154-42</t>
  </si>
  <si>
    <t>S03 QD12 N05</t>
  </si>
  <si>
    <t xml:space="preserve">RITA CRISTINA DA COSTA SIQUEIRA ALBUQUERQUE </t>
  </si>
  <si>
    <t>329154424</t>
  </si>
  <si>
    <t>219.923.178-01</t>
  </si>
  <si>
    <t>S03 QD12 N13</t>
  </si>
  <si>
    <t xml:space="preserve">EDUARDO FABIANO SILVA SANTOS </t>
  </si>
  <si>
    <t>44192842</t>
  </si>
  <si>
    <t>311.139.268-64</t>
  </si>
  <si>
    <t>S03 QD06 N12</t>
  </si>
  <si>
    <t>S02 QD04 N49</t>
  </si>
  <si>
    <t xml:space="preserve">ERICA SANTOS DE AQUINO </t>
  </si>
  <si>
    <t>446375779</t>
  </si>
  <si>
    <t>391.093.818-38</t>
  </si>
  <si>
    <t>S02 QD04 N17</t>
  </si>
  <si>
    <t>66 / 67 / 68</t>
  </si>
  <si>
    <t>MAURICIO FEITOSA RAMALHO</t>
  </si>
  <si>
    <t>43201303836</t>
  </si>
  <si>
    <t>432.013.038-36</t>
  </si>
  <si>
    <t>613 / 615 / 617</t>
  </si>
  <si>
    <t>DANIELE FERREIRA DA SILVA</t>
  </si>
  <si>
    <t>539804174</t>
  </si>
  <si>
    <t>437.169.928-60</t>
  </si>
  <si>
    <t>712</t>
  </si>
  <si>
    <t>714 / 712 / 710</t>
  </si>
  <si>
    <t>SEVERINA CONCEIÇÃO DOS SANTOS</t>
  </si>
  <si>
    <t>182698099</t>
  </si>
  <si>
    <t>080.577.428-95</t>
  </si>
  <si>
    <t>643</t>
  </si>
  <si>
    <t>641 / 643 / 645</t>
  </si>
  <si>
    <t>CARLA XAVIER DE CARVALHO</t>
  </si>
  <si>
    <t>404.978.188-33</t>
  </si>
  <si>
    <t>925</t>
  </si>
  <si>
    <t>923 / 925 / 927</t>
  </si>
  <si>
    <t>TERCIA DIAS DOS SANTOS</t>
  </si>
  <si>
    <t>140241085</t>
  </si>
  <si>
    <t>062.196.258-97</t>
  </si>
  <si>
    <t>829</t>
  </si>
  <si>
    <t>827 / 829 / 831</t>
  </si>
  <si>
    <t>JHON NIELE PEREIRA DA SILVA</t>
  </si>
  <si>
    <t>477764344</t>
  </si>
  <si>
    <t>447.278.318-56</t>
  </si>
  <si>
    <t>974</t>
  </si>
  <si>
    <t>972 / 974 / 976</t>
  </si>
  <si>
    <t>JANI PATRICIA VALENTIM DE FREITAS</t>
  </si>
  <si>
    <t>250043397</t>
  </si>
  <si>
    <t>159.005.988-37</t>
  </si>
  <si>
    <t>996</t>
  </si>
  <si>
    <t>994 / 996 / 998</t>
  </si>
  <si>
    <t>VALDEMIR ALVES CAMPOS</t>
  </si>
  <si>
    <t>302681383</t>
  </si>
  <si>
    <t>988.859.014-68</t>
  </si>
  <si>
    <t>JADIEL CAETANO DA SILVA</t>
  </si>
  <si>
    <t>56180121</t>
  </si>
  <si>
    <t>449.138.264-68</t>
  </si>
  <si>
    <t>914</t>
  </si>
  <si>
    <t>916 / 914 / 912</t>
  </si>
  <si>
    <t>162.384.328-61</t>
  </si>
  <si>
    <t>912 / 910 / 908</t>
  </si>
  <si>
    <t>ANA MARIA DA SILVA SANTOS</t>
  </si>
  <si>
    <t>544126257</t>
  </si>
  <si>
    <t>197.474.258-07</t>
  </si>
  <si>
    <t>838</t>
  </si>
  <si>
    <t>8840 / 838 / 836</t>
  </si>
  <si>
    <t>912 / 910 / 914</t>
  </si>
  <si>
    <t xml:space="preserve">EDER MOREIRA QUEIROZ </t>
  </si>
  <si>
    <t>30267773</t>
  </si>
  <si>
    <t>290.219.228-27</t>
  </si>
  <si>
    <t>468 / 470 / 472</t>
  </si>
  <si>
    <t>RENIVALDO ALMEIDA LIMA SANTOS</t>
  </si>
  <si>
    <t>415696860</t>
  </si>
  <si>
    <t>323.617.118-93</t>
  </si>
  <si>
    <t>MARIA SUELI ALMEIDA LIMA SANTOS</t>
  </si>
  <si>
    <t>246797988</t>
  </si>
  <si>
    <t>291.161.628-62</t>
  </si>
  <si>
    <t>ROSELY LIMA SANTOS</t>
  </si>
  <si>
    <t>334945641</t>
  </si>
  <si>
    <t>268.912.058-59</t>
  </si>
  <si>
    <t xml:space="preserve">PATRÍCIA ADRIANO DE VASCONCELOS </t>
  </si>
  <si>
    <t>28852455X</t>
  </si>
  <si>
    <t>300.923.588-70</t>
  </si>
  <si>
    <t>BENEDITO GUEDES</t>
  </si>
  <si>
    <t>397050513</t>
  </si>
  <si>
    <t>050.022.718-71</t>
  </si>
  <si>
    <t>S02 QD03 N08</t>
  </si>
  <si>
    <t>NIVALDO FERNANDES DA SILVA</t>
  </si>
  <si>
    <t>332526653</t>
  </si>
  <si>
    <t>121.276.428-56</t>
  </si>
  <si>
    <t>****</t>
  </si>
  <si>
    <t xml:space="preserve">SOCIEDADE DE MELHORAMENTOS DA VILA PANTANAL </t>
  </si>
  <si>
    <t>13.666.859/0001-86</t>
  </si>
  <si>
    <t>39 / 38 / 37</t>
  </si>
  <si>
    <t>ALTON FERREIRABDA SILVA</t>
  </si>
  <si>
    <t>DIEGO RODRIGO COSTA</t>
  </si>
  <si>
    <t>47088213X</t>
  </si>
  <si>
    <t>424.350.158-01</t>
  </si>
  <si>
    <t>35 / 34 / 33</t>
  </si>
  <si>
    <t>VANESSA DA SILVA FERREIRA</t>
  </si>
  <si>
    <t>401629004</t>
  </si>
  <si>
    <t>427.317.758-74</t>
  </si>
  <si>
    <t>FLAVIO ROBERTO DA SILVA</t>
  </si>
  <si>
    <t>282076657</t>
  </si>
  <si>
    <t>265.812.688-36</t>
  </si>
  <si>
    <t xml:space="preserve">DAMIÃO NASCIMENTO MARQUES </t>
  </si>
  <si>
    <t>328060392</t>
  </si>
  <si>
    <t>263.821.668-20</t>
  </si>
  <si>
    <t>634</t>
  </si>
  <si>
    <t>632 / 634 / 636</t>
  </si>
  <si>
    <t>JAMIL DA SILVA FEITOSA</t>
  </si>
  <si>
    <t>21748942</t>
  </si>
  <si>
    <t>121.193.048-31</t>
  </si>
  <si>
    <t>651</t>
  </si>
  <si>
    <t>649 / 651 / 653</t>
  </si>
  <si>
    <t xml:space="preserve">CLAUDEMIR GERALDO DOS SANTOS </t>
  </si>
  <si>
    <t>221156859</t>
  </si>
  <si>
    <t>197.652.698-11</t>
  </si>
  <si>
    <t>1003</t>
  </si>
  <si>
    <t>1001 / 1003 / 1005</t>
  </si>
  <si>
    <t xml:space="preserve">LEONARDO ZUCA PEREIRA </t>
  </si>
  <si>
    <t>29733119X</t>
  </si>
  <si>
    <t>257.463.038-60</t>
  </si>
  <si>
    <t>997</t>
  </si>
  <si>
    <t>995 / 997 / 999</t>
  </si>
  <si>
    <t xml:space="preserve">GENILDO ROCHA DOS SANTOS </t>
  </si>
  <si>
    <t>677936102</t>
  </si>
  <si>
    <t>948.665.545-68</t>
  </si>
  <si>
    <t>888</t>
  </si>
  <si>
    <t>886 / 888 / 890</t>
  </si>
  <si>
    <t>GENILDO ROCHA DOS SANTOS</t>
  </si>
  <si>
    <t>907 / 909 / 912</t>
  </si>
  <si>
    <t>MARIA DO SOCORRO PEREIRA</t>
  </si>
  <si>
    <t>374628488</t>
  </si>
  <si>
    <t>294.327.538-75</t>
  </si>
  <si>
    <t>960</t>
  </si>
  <si>
    <t>958 / 960 / 962</t>
  </si>
  <si>
    <t>MARIA JOSE SANTOS</t>
  </si>
  <si>
    <t>28534677</t>
  </si>
  <si>
    <t>062.184.168-44</t>
  </si>
  <si>
    <t>631</t>
  </si>
  <si>
    <t>629 / 631 / 633</t>
  </si>
  <si>
    <t xml:space="preserve">SOLANGE SILVA SIMÃO </t>
  </si>
  <si>
    <t>291388048</t>
  </si>
  <si>
    <t>197.472.998-28</t>
  </si>
  <si>
    <t>495</t>
  </si>
  <si>
    <t>493 / 495 / 497</t>
  </si>
  <si>
    <t>JENNIFFER DOS SANTOS CIZETTI</t>
  </si>
  <si>
    <t>06235760528</t>
  </si>
  <si>
    <t>305.567.018-36</t>
  </si>
  <si>
    <t>JOSE SEBASTIAO NETO</t>
  </si>
  <si>
    <t>221129662</t>
  </si>
  <si>
    <t>121.264.658-45</t>
  </si>
  <si>
    <t>905</t>
  </si>
  <si>
    <t>903 / 905 / 907</t>
  </si>
  <si>
    <t>ANDRESSA DA SILVA TRINDADE</t>
  </si>
  <si>
    <t>464318361</t>
  </si>
  <si>
    <t>399.359.378-28</t>
  </si>
  <si>
    <t>956</t>
  </si>
  <si>
    <t>954 / 956 / 958</t>
  </si>
  <si>
    <t>NELSON BENTO DA TRINDADE</t>
  </si>
  <si>
    <t>16954795</t>
  </si>
  <si>
    <t>051.582.988-90</t>
  </si>
  <si>
    <t>954 / 956 / 968</t>
  </si>
  <si>
    <t>NELSON BENTO DA TRINDADE JUNIOR</t>
  </si>
  <si>
    <t>42835839</t>
  </si>
  <si>
    <t>495.179.038-32</t>
  </si>
  <si>
    <t>MARIA DIANA DA SILVA SANTOS</t>
  </si>
  <si>
    <t>205856950</t>
  </si>
  <si>
    <t>113.075.568-17</t>
  </si>
  <si>
    <t xml:space="preserve">DIVA AMORIM DE QUEIROZ </t>
  </si>
  <si>
    <t>177536998</t>
  </si>
  <si>
    <t>053.108.608-94</t>
  </si>
  <si>
    <t>CS1 S1 QD4 N7</t>
  </si>
  <si>
    <t xml:space="preserve">RENATA AMORIM DE QUEIROZ COSTA </t>
  </si>
  <si>
    <t>44104203</t>
  </si>
  <si>
    <t>346.593.968-94</t>
  </si>
  <si>
    <t>CS2 S1 QD4 N8</t>
  </si>
  <si>
    <t xml:space="preserve">IVANILDA LOPES VIRIRA </t>
  </si>
  <si>
    <t>233324938</t>
  </si>
  <si>
    <t>169.542.238-40</t>
  </si>
  <si>
    <t>S01 QD05 N13</t>
  </si>
  <si>
    <t xml:space="preserve">TALITA SANTOS SILVA </t>
  </si>
  <si>
    <t>361595591</t>
  </si>
  <si>
    <t>420.855.308-18</t>
  </si>
  <si>
    <t>S01 QD05 N08</t>
  </si>
  <si>
    <t xml:space="preserve">ARLINDA SILVA DE JESUS </t>
  </si>
  <si>
    <t>263047623</t>
  </si>
  <si>
    <t>315.930.205-97</t>
  </si>
  <si>
    <t>S01 QD05 N12</t>
  </si>
  <si>
    <t xml:space="preserve">SANDRO RENATO LIMA DOS SANTOS </t>
  </si>
  <si>
    <t>215235289</t>
  </si>
  <si>
    <t>121.212.878-84</t>
  </si>
  <si>
    <t>S02 QD03 N97</t>
  </si>
  <si>
    <t>95 / 96 / 97</t>
  </si>
  <si>
    <t>KELLITON PINTO</t>
  </si>
  <si>
    <t>56895813802</t>
  </si>
  <si>
    <t>568.958.138-02</t>
  </si>
  <si>
    <t>411 / 409 / 0</t>
  </si>
  <si>
    <t>WILLIAN GRAVE DA SILVA</t>
  </si>
  <si>
    <t>45136470</t>
  </si>
  <si>
    <t>441.244.828-22</t>
  </si>
  <si>
    <t>345</t>
  </si>
  <si>
    <t>343 / 345 / 357</t>
  </si>
  <si>
    <t>SCARLETT DE OLIVEIRA PEREIRA</t>
  </si>
  <si>
    <t>42387544</t>
  </si>
  <si>
    <t>432.152.108-43</t>
  </si>
  <si>
    <t>343 / 345 / 347</t>
  </si>
  <si>
    <t>THAYNA GRAVE SANTOS</t>
  </si>
  <si>
    <t>45234189856</t>
  </si>
  <si>
    <t>452.341.898-56</t>
  </si>
  <si>
    <t xml:space="preserve">MANOEL BORGES DA SILVA </t>
  </si>
  <si>
    <t>24325521</t>
  </si>
  <si>
    <t>405.689.465-53</t>
  </si>
  <si>
    <t xml:space="preserve">EZENILTON SANTOS SILVA </t>
  </si>
  <si>
    <t>371163079</t>
  </si>
  <si>
    <t>715.224.415-49</t>
  </si>
  <si>
    <t>64 / 67 / 70</t>
  </si>
  <si>
    <t xml:space="preserve">ARLENE MARIA DOS SANTOS </t>
  </si>
  <si>
    <t>32953534415</t>
  </si>
  <si>
    <t>329.533.344-15</t>
  </si>
  <si>
    <t>TRAVESSA DO CAMPO</t>
  </si>
  <si>
    <t>881</t>
  </si>
  <si>
    <t>877 / 881 / 883</t>
  </si>
  <si>
    <t xml:space="preserve">CRISTIANE ANDREIA MACHADO DA SILVA </t>
  </si>
  <si>
    <t>32750072</t>
  </si>
  <si>
    <t>311.861.968-66</t>
  </si>
  <si>
    <t xml:space="preserve">FABIANA DOS SANTOS </t>
  </si>
  <si>
    <t>55707454X</t>
  </si>
  <si>
    <t>227.682.648-73</t>
  </si>
  <si>
    <t>883</t>
  </si>
  <si>
    <t>881 / 883 / 885</t>
  </si>
  <si>
    <t xml:space="preserve">SOCRATES FERNANDES DOS SANTOS </t>
  </si>
  <si>
    <t>34351669</t>
  </si>
  <si>
    <t>000.529.661-78</t>
  </si>
  <si>
    <t>885</t>
  </si>
  <si>
    <t>883 / 885 / 887</t>
  </si>
  <si>
    <t xml:space="preserve">JACHSON JOSE DA SILVA </t>
  </si>
  <si>
    <t>683907955</t>
  </si>
  <si>
    <t>115.928.564-03</t>
  </si>
  <si>
    <t>886</t>
  </si>
  <si>
    <t>884 / 886 / 888</t>
  </si>
  <si>
    <t>MONICA CRISTINA ARAUJO FAUSTINO DOS SANTOS</t>
  </si>
  <si>
    <t>297330810</t>
  </si>
  <si>
    <t>219.713.118-47</t>
  </si>
  <si>
    <t>S03 QD09 N12</t>
  </si>
  <si>
    <t>NAIRA ALESSANDRA CAPUTO DOS SANTOS</t>
  </si>
  <si>
    <t>522.364.758-02</t>
  </si>
  <si>
    <t>S03 QD10 N4</t>
  </si>
  <si>
    <t>THAUYSA SILVA CORTE DE OLIVEIRA</t>
  </si>
  <si>
    <t>08202887261</t>
  </si>
  <si>
    <t>460.946.988-85</t>
  </si>
  <si>
    <t>S03 QD10 N9</t>
  </si>
  <si>
    <t>BRUNO LEANDRO COSTA SANTOS</t>
  </si>
  <si>
    <t>456361960</t>
  </si>
  <si>
    <t>427.900.718-70</t>
  </si>
  <si>
    <t>S03 QD10 N11</t>
  </si>
  <si>
    <t>WESLEY VILA NOVA DOS SANTOS</t>
  </si>
  <si>
    <t>438484009</t>
  </si>
  <si>
    <t>317.432.738-51</t>
  </si>
  <si>
    <t>S03 QD10 N09</t>
  </si>
  <si>
    <t>ROSILAINE DE SOUZA MONCORVO</t>
  </si>
  <si>
    <t>25617685</t>
  </si>
  <si>
    <t>121.320.198-51</t>
  </si>
  <si>
    <t>S03 QD10 N12</t>
  </si>
  <si>
    <t xml:space="preserve">ANGELA MARIA DA SILVA RIBEIRO </t>
  </si>
  <si>
    <t>392.655.658-70</t>
  </si>
  <si>
    <t>S03 QD10 N22</t>
  </si>
  <si>
    <t xml:space="preserve">SIMONE ALAIZ MOREIRA GONÇALVES </t>
  </si>
  <si>
    <t>33114136X</t>
  </si>
  <si>
    <t>298.330.238-51</t>
  </si>
  <si>
    <t>S03 QD10 N23</t>
  </si>
  <si>
    <t xml:space="preserve">ROSANE DOS SANTOS </t>
  </si>
  <si>
    <t>2254273312</t>
  </si>
  <si>
    <t>303.511.248-03</t>
  </si>
  <si>
    <t>S03 QD10 N18</t>
  </si>
  <si>
    <t>MICHAEL JOHNSON SANTOS NIEWEG</t>
  </si>
  <si>
    <t>423134395</t>
  </si>
  <si>
    <t>333.111.038-82</t>
  </si>
  <si>
    <t>S03 QD02 N05</t>
  </si>
  <si>
    <t>DANILO FERREIRA DE MELO</t>
  </si>
  <si>
    <t>439475387</t>
  </si>
  <si>
    <t>315.459.308-05</t>
  </si>
  <si>
    <t>RUA DA PAZ</t>
  </si>
  <si>
    <t>526</t>
  </si>
  <si>
    <t>524 / 526 / 528</t>
  </si>
  <si>
    <t>LUANA DE ALMEIDA RAMOS</t>
  </si>
  <si>
    <t>431605610</t>
  </si>
  <si>
    <t>342.903.358-61</t>
  </si>
  <si>
    <t>610</t>
  </si>
  <si>
    <t>608 / 610 / 612</t>
  </si>
  <si>
    <t xml:space="preserve">YZAQUE MELO DOS SANTOS </t>
  </si>
  <si>
    <t>410.741.008-08</t>
  </si>
  <si>
    <t>546</t>
  </si>
  <si>
    <t>544 / 546 / 548</t>
  </si>
  <si>
    <t xml:space="preserve">RAYARA MELO ILÁRIO SANTOS </t>
  </si>
  <si>
    <t>609826694</t>
  </si>
  <si>
    <t>509.244.928-48</t>
  </si>
  <si>
    <t>MARISA ORGAN VALEO</t>
  </si>
  <si>
    <t>285334840</t>
  </si>
  <si>
    <t>313.086.998-08</t>
  </si>
  <si>
    <t>537</t>
  </si>
  <si>
    <t>535 / 537 / 539</t>
  </si>
  <si>
    <t xml:space="preserve">ROSEMARY DA SILVA NASCIMENTO </t>
  </si>
  <si>
    <t>695304136</t>
  </si>
  <si>
    <t>700.477.984-08</t>
  </si>
  <si>
    <t>517</t>
  </si>
  <si>
    <t>515 / 517 / 519</t>
  </si>
  <si>
    <t xml:space="preserve">KELLY CRISTINA THOMAZ OLIVEIRA </t>
  </si>
  <si>
    <t>331712167</t>
  </si>
  <si>
    <t>313.765.018-64</t>
  </si>
  <si>
    <t>519</t>
  </si>
  <si>
    <t>517 / 519 / 521</t>
  </si>
  <si>
    <t xml:space="preserve">CARMEN DE JESUS ALVARENGA </t>
  </si>
  <si>
    <t>20130045X</t>
  </si>
  <si>
    <t>502</t>
  </si>
  <si>
    <t>500 / 502 / 504</t>
  </si>
  <si>
    <t>KATIANE CORREA DOS SANTOS SILVA</t>
  </si>
  <si>
    <t>44701030X</t>
  </si>
  <si>
    <t>365.552.118-90</t>
  </si>
  <si>
    <t>521</t>
  </si>
  <si>
    <t>519 / 521 / 523</t>
  </si>
  <si>
    <t>ANALIZE DOS ANJOS SILVA</t>
  </si>
  <si>
    <t>352675743</t>
  </si>
  <si>
    <t>232.336.928-89</t>
  </si>
  <si>
    <t>515</t>
  </si>
  <si>
    <t>513 / 515 / 517</t>
  </si>
  <si>
    <t xml:space="preserve">DALVA MARIA DA SILVA </t>
  </si>
  <si>
    <t>529980010</t>
  </si>
  <si>
    <t>949.441.727-53</t>
  </si>
  <si>
    <t>542</t>
  </si>
  <si>
    <t>540 / 542 / 544</t>
  </si>
  <si>
    <t xml:space="preserve">GILSON JOSÉ DOS SANTOS </t>
  </si>
  <si>
    <t>359587707</t>
  </si>
  <si>
    <t>023.501.544-08</t>
  </si>
  <si>
    <t>524</t>
  </si>
  <si>
    <t>522 / 524 / 526</t>
  </si>
  <si>
    <t xml:space="preserve">MARIA VARDELICE DOS SANTOS </t>
  </si>
  <si>
    <t>056.206.158-47</t>
  </si>
  <si>
    <t>S03 QD03 N28</t>
  </si>
  <si>
    <t xml:space="preserve">TAINARA LUZAIK DE CASTRO </t>
  </si>
  <si>
    <t>548557172</t>
  </si>
  <si>
    <t>474.945.508-36</t>
  </si>
  <si>
    <t>CS1 S3 QD12 N22</t>
  </si>
  <si>
    <t xml:space="preserve">TAYNA GARCIA SANTOS </t>
  </si>
  <si>
    <t>556457110</t>
  </si>
  <si>
    <t>488.625.958-83</t>
  </si>
  <si>
    <t>CS2 S3 QD12 N21</t>
  </si>
  <si>
    <t xml:space="preserve">DEBORA MARIA DOS SANTOS JESUS </t>
  </si>
  <si>
    <t>374001431</t>
  </si>
  <si>
    <t>352.891.188-37</t>
  </si>
  <si>
    <t>S03 QD10 N06</t>
  </si>
  <si>
    <t>ROSA FRANCISCA RIBEIRO</t>
  </si>
  <si>
    <t>290546588</t>
  </si>
  <si>
    <t>108.379.448-56</t>
  </si>
  <si>
    <t>S03 QD10 N13</t>
  </si>
  <si>
    <t>MARIA APARECIDA PEQUENO</t>
  </si>
  <si>
    <t>71360864</t>
  </si>
  <si>
    <t>267.289.824-34</t>
  </si>
  <si>
    <t>S03 QD10 N14</t>
  </si>
  <si>
    <t xml:space="preserve">JULIEDSON DOUGLAS DUARTE </t>
  </si>
  <si>
    <t>45407915839</t>
  </si>
  <si>
    <t>454.079.158-39</t>
  </si>
  <si>
    <t>887</t>
  </si>
  <si>
    <t>885 / 887 / 889</t>
  </si>
  <si>
    <t xml:space="preserve">IZABEL FERNANDES CAIXEIRO </t>
  </si>
  <si>
    <t>126048617</t>
  </si>
  <si>
    <t>017.829.868-98</t>
  </si>
  <si>
    <t>882</t>
  </si>
  <si>
    <t>884 / 882 / 880</t>
  </si>
  <si>
    <t xml:space="preserve">CRISTIANE DE OLIVEIRA DOS SANTOS </t>
  </si>
  <si>
    <t>470857158</t>
  </si>
  <si>
    <t>343.669.258-18</t>
  </si>
  <si>
    <t>880</t>
  </si>
  <si>
    <t>882 / 880 / 878</t>
  </si>
  <si>
    <t xml:space="preserve">MARIA ALICE PEREIRA </t>
  </si>
  <si>
    <t>57906508X</t>
  </si>
  <si>
    <t>002.760.323-73</t>
  </si>
  <si>
    <t>876</t>
  </si>
  <si>
    <t xml:space="preserve">874 / 876 / </t>
  </si>
  <si>
    <t xml:space="preserve">JANAINA RODRIGUES DA SILVA </t>
  </si>
  <si>
    <t>554764386</t>
  </si>
  <si>
    <t>109.803.627-17</t>
  </si>
  <si>
    <t>880 / 876 / 878</t>
  </si>
  <si>
    <t xml:space="preserve">JOSEFA VALDILENE MACEDO SILVA </t>
  </si>
  <si>
    <t>623642219</t>
  </si>
  <si>
    <t>056.757.374-56</t>
  </si>
  <si>
    <t>868</t>
  </si>
  <si>
    <t>0 / 868 / 866</t>
  </si>
  <si>
    <t xml:space="preserve">PROFIRIO PEREIRA DA CONCEIÇÃO </t>
  </si>
  <si>
    <t>248203423</t>
  </si>
  <si>
    <t>159.167.418-20</t>
  </si>
  <si>
    <t>879</t>
  </si>
  <si>
    <t>877 / 879 / 881</t>
  </si>
  <si>
    <t xml:space="preserve">ELANE SANTOS DE MELO </t>
  </si>
  <si>
    <t>353987165</t>
  </si>
  <si>
    <t>302.282.148-40</t>
  </si>
  <si>
    <t xml:space="preserve">WELLMSON RIBEIRO DE OLIVEIRA </t>
  </si>
  <si>
    <t>335749665</t>
  </si>
  <si>
    <t>375.040.068-74</t>
  </si>
  <si>
    <t>LUIS FELIPE CALDAS SANTOS</t>
  </si>
  <si>
    <t>07454619035</t>
  </si>
  <si>
    <t>464.429.118-88</t>
  </si>
  <si>
    <t>09 / 08 / 07</t>
  </si>
  <si>
    <t>GENIVON FRANCISCO ALVES</t>
  </si>
  <si>
    <t>549849610</t>
  </si>
  <si>
    <t>045.376.325-18</t>
  </si>
  <si>
    <t>SILVANA BILLER</t>
  </si>
  <si>
    <t>362559752</t>
  </si>
  <si>
    <t>378.045.588-99</t>
  </si>
  <si>
    <t>506</t>
  </si>
  <si>
    <t>508 / 506 / 504</t>
  </si>
  <si>
    <t>BEATRIZ MARIA FERREIRA</t>
  </si>
  <si>
    <t>201310284</t>
  </si>
  <si>
    <t>070.190.038-50</t>
  </si>
  <si>
    <t>514</t>
  </si>
  <si>
    <t>516 / 514 / 512</t>
  </si>
  <si>
    <t>AFONSO CORREA DOS SANTOS</t>
  </si>
  <si>
    <t>152859718</t>
  </si>
  <si>
    <t>036.987.128-65</t>
  </si>
  <si>
    <t>LEONARDO FERREIRA SANTOS</t>
  </si>
  <si>
    <t>44842131</t>
  </si>
  <si>
    <t>385.522.858-27</t>
  </si>
  <si>
    <t>543</t>
  </si>
  <si>
    <t>541 / 543 / 545</t>
  </si>
  <si>
    <t>ROSA MARIA FERREIRA</t>
  </si>
  <si>
    <t>204603651</t>
  </si>
  <si>
    <t>003.362.268-02</t>
  </si>
  <si>
    <t>544</t>
  </si>
  <si>
    <t>546 / 544 / 542</t>
  </si>
  <si>
    <t>349119107</t>
  </si>
  <si>
    <t>548 / 546 / 544</t>
  </si>
  <si>
    <t>RAYANE MELO ILÁRIO SANTOS</t>
  </si>
  <si>
    <t>577981560</t>
  </si>
  <si>
    <t>488.281.388-23</t>
  </si>
  <si>
    <t>547</t>
  </si>
  <si>
    <t>545 / 547 / 549</t>
  </si>
  <si>
    <t>RAYANE MELO ILARIO SANTOS</t>
  </si>
  <si>
    <t>57791560</t>
  </si>
  <si>
    <t xml:space="preserve">LUCIANA CAVALCANTE DE OLIVEIRA </t>
  </si>
  <si>
    <t>28445231880</t>
  </si>
  <si>
    <t>284.452.318-80</t>
  </si>
  <si>
    <t xml:space="preserve">JOÃO VITOR DE OLIVEIRA SILVA </t>
  </si>
  <si>
    <t>54378939819</t>
  </si>
  <si>
    <t>543.789.398-19</t>
  </si>
  <si>
    <t>AGLADYS MARIA APARECIDA DOS SANTOS DOMINGUES</t>
  </si>
  <si>
    <t>45227308</t>
  </si>
  <si>
    <t>807.421.499-00</t>
  </si>
  <si>
    <t>ALLAN PALLONI PEREIRA DOS SANTOS SANTOS</t>
  </si>
  <si>
    <t>370264411</t>
  </si>
  <si>
    <t>360.977.788-56</t>
  </si>
  <si>
    <t>893</t>
  </si>
  <si>
    <t>891 / 893 / 895</t>
  </si>
  <si>
    <t>MANOEL ALVES DA SILVA</t>
  </si>
  <si>
    <t>534019055</t>
  </si>
  <si>
    <t>811.623.243-68</t>
  </si>
  <si>
    <t>891</t>
  </si>
  <si>
    <t>887 / 891 / 893</t>
  </si>
  <si>
    <t>ANTONY DOS SANTOS FERREIRA DAS NEVES</t>
  </si>
  <si>
    <t>543189284</t>
  </si>
  <si>
    <t>537.866.918-94</t>
  </si>
  <si>
    <t>866</t>
  </si>
  <si>
    <t>0 / 866 / 868</t>
  </si>
  <si>
    <t>JACKELINE CAVALCANTE MACIEL</t>
  </si>
  <si>
    <t>443081414</t>
  </si>
  <si>
    <t>351.350.688-05</t>
  </si>
  <si>
    <t>889</t>
  </si>
  <si>
    <t>887 / 889 / 891</t>
  </si>
  <si>
    <t>JOSE FRANCISCO MARCELINO</t>
  </si>
  <si>
    <t>55381232</t>
  </si>
  <si>
    <t>029.444.624-90</t>
  </si>
  <si>
    <t>869</t>
  </si>
  <si>
    <t>867 / 869 / 871</t>
  </si>
  <si>
    <t>DANIEL FRANCISCO LIMA</t>
  </si>
  <si>
    <t>44619041X</t>
  </si>
  <si>
    <t>043.179.005-13</t>
  </si>
  <si>
    <t>23 / 22 / 21</t>
  </si>
  <si>
    <t>JESSICA AUGUSTA DE MELO SANTOS</t>
  </si>
  <si>
    <t>632519381</t>
  </si>
  <si>
    <t>602.380.778-02</t>
  </si>
  <si>
    <t>S03 QD12 N11</t>
  </si>
  <si>
    <t>10 / 09 / 08</t>
  </si>
  <si>
    <t xml:space="preserve">MAXMONE MORAES DE VASCONCELOS FERRAZ DE JESUS </t>
  </si>
  <si>
    <t>48.547.534-0</t>
  </si>
  <si>
    <t>390.684.138-30</t>
  </si>
  <si>
    <t>64.894.711.7</t>
  </si>
  <si>
    <t>059.698.641-61</t>
  </si>
  <si>
    <t>SUELEN LACERDA PILATOS</t>
  </si>
  <si>
    <t>486198832</t>
  </si>
  <si>
    <t>412.287.558-76</t>
  </si>
  <si>
    <t>877</t>
  </si>
  <si>
    <t>875 / 877 / 879</t>
  </si>
  <si>
    <t>MARIA PEREIRA MARTINS</t>
  </si>
  <si>
    <t>563806321</t>
  </si>
  <si>
    <t>564.432.344-72</t>
  </si>
  <si>
    <t>NICHELLE PEREIRAVDOS SANTOS</t>
  </si>
  <si>
    <t>598625781</t>
  </si>
  <si>
    <t>497.955.908-55</t>
  </si>
  <si>
    <t>895</t>
  </si>
  <si>
    <t>891 / 895 / 897</t>
  </si>
  <si>
    <t>CARMELITA DOS SANTOS RIBEIRO</t>
  </si>
  <si>
    <t>232163881</t>
  </si>
  <si>
    <t>133.728.508-07</t>
  </si>
  <si>
    <t xml:space="preserve">NYCOLLI PEREIRA DOS SANTOS </t>
  </si>
  <si>
    <t>649670784</t>
  </si>
  <si>
    <t>525.056.948-00</t>
  </si>
  <si>
    <t>799</t>
  </si>
  <si>
    <t>0 / 799 / 801</t>
  </si>
  <si>
    <t>DENIS MICHAEL DE BRITO</t>
  </si>
  <si>
    <t>493328983</t>
  </si>
  <si>
    <t>421.571.258-09</t>
  </si>
  <si>
    <t>CARLOS CESAR GERONIMO</t>
  </si>
  <si>
    <t>214376278</t>
  </si>
  <si>
    <t>108.401.028-36</t>
  </si>
  <si>
    <t xml:space="preserve">CATIA KELLY DOS SANTOS </t>
  </si>
  <si>
    <t>591285642</t>
  </si>
  <si>
    <t>034.241.425-90</t>
  </si>
  <si>
    <t>LEILA MARIA ALVES</t>
  </si>
  <si>
    <t>88814920</t>
  </si>
  <si>
    <t>789.408.858-72</t>
  </si>
  <si>
    <t>639</t>
  </si>
  <si>
    <t>633 / 639 / 641</t>
  </si>
  <si>
    <t>DIRCE DE FÁTIMA JULIO</t>
  </si>
  <si>
    <t>18648149-4</t>
  </si>
  <si>
    <t>159.085.488-80</t>
  </si>
  <si>
    <t>S03 QD06 N02</t>
  </si>
  <si>
    <t>MICHELLE CIRQUEIRA DA SILVA</t>
  </si>
  <si>
    <t>545059859</t>
  </si>
  <si>
    <t>462.208.768-57</t>
  </si>
  <si>
    <t>S03 QD12 N28</t>
  </si>
  <si>
    <t>0 / 24 / 23</t>
  </si>
  <si>
    <t>VANESSA JULIANA MARQUES CAVALCANTE</t>
  </si>
  <si>
    <t>649678151</t>
  </si>
  <si>
    <t>574.245.968-33</t>
  </si>
  <si>
    <t>SERGIO NUNES DOS SANTOS</t>
  </si>
  <si>
    <t>18401552</t>
  </si>
  <si>
    <t>074.194.048-52</t>
  </si>
  <si>
    <t>S02 QD04 N56</t>
  </si>
  <si>
    <t>ALLANIS PESTANA DA SILVA</t>
  </si>
  <si>
    <t>535303725</t>
  </si>
  <si>
    <t>597.944.038-06</t>
  </si>
  <si>
    <t>02 QD09 N57</t>
  </si>
  <si>
    <t>52 / 51 / 50</t>
  </si>
  <si>
    <t xml:space="preserve">BRUNO ALVES DA SILVA </t>
  </si>
  <si>
    <t>463732443</t>
  </si>
  <si>
    <t>372.911.328-35</t>
  </si>
  <si>
    <t>FLAVIO SILVA DOS SANTOS FILHO</t>
  </si>
  <si>
    <t>556.900.608-79</t>
  </si>
  <si>
    <t>S02 QD03 N131</t>
  </si>
  <si>
    <t>46 / 45 / 43</t>
  </si>
  <si>
    <t>53 / 52 / 51</t>
  </si>
  <si>
    <t>IZABEL ALVES DOS SANTOS</t>
  </si>
  <si>
    <t>627655725</t>
  </si>
  <si>
    <t>595.742.675-04</t>
  </si>
  <si>
    <t>875</t>
  </si>
  <si>
    <t>873 / 875 / 977</t>
  </si>
  <si>
    <t>SEVERINO SILVIO FREIRE ALVES</t>
  </si>
  <si>
    <t>18992844</t>
  </si>
  <si>
    <t>066.490.598-62</t>
  </si>
  <si>
    <t>805</t>
  </si>
  <si>
    <t>803 / 805 / 807</t>
  </si>
  <si>
    <t xml:space="preserve">CELIA FERREIRA DA SILVA </t>
  </si>
  <si>
    <t>361836466</t>
  </si>
  <si>
    <t>139.687.898-06</t>
  </si>
  <si>
    <t>S03 QD10 N01</t>
  </si>
  <si>
    <t xml:space="preserve">MARIA VIVIANE NASCIMENTO PEREIRA </t>
  </si>
  <si>
    <t>416439184</t>
  </si>
  <si>
    <t>296.451.358-93</t>
  </si>
  <si>
    <t>S02 QD02 N64</t>
  </si>
  <si>
    <t>38 / 39 / 48</t>
  </si>
  <si>
    <t xml:space="preserve">RENATO CAMPAGNIN DE ANDRADE </t>
  </si>
  <si>
    <t>25816153</t>
  </si>
  <si>
    <t>252.035.878-50</t>
  </si>
  <si>
    <t>S02 QD03 N03</t>
  </si>
  <si>
    <t xml:space="preserve">MARIA LENILDA DE OLIVEIRA SANTOS </t>
  </si>
  <si>
    <t>177520139</t>
  </si>
  <si>
    <t>040.496.218-19</t>
  </si>
  <si>
    <t>S03 QD10 N31</t>
  </si>
  <si>
    <t>JOSE MAURICIO DA SILVA</t>
  </si>
  <si>
    <t>36500456</t>
  </si>
  <si>
    <t>777.020.004-06</t>
  </si>
  <si>
    <t>995</t>
  </si>
  <si>
    <t>993 / 995 / 997</t>
  </si>
  <si>
    <t>CINTHIA XAVIER DOS SANTOS</t>
  </si>
  <si>
    <t>431607576</t>
  </si>
  <si>
    <t>354.591.798-31</t>
  </si>
  <si>
    <t>1001</t>
  </si>
  <si>
    <t>1000 / 1001 / 1002</t>
  </si>
  <si>
    <t>ADRIANA BARBARA MARTINS</t>
  </si>
  <si>
    <t>266364834</t>
  </si>
  <si>
    <t>257.781.808-45</t>
  </si>
  <si>
    <t>VIELA DO MOACIR</t>
  </si>
  <si>
    <t xml:space="preserve">KAMILA DAURA DE BRITO LIMA </t>
  </si>
  <si>
    <t>486670272</t>
  </si>
  <si>
    <t>386.420.368-69</t>
  </si>
  <si>
    <t xml:space="preserve"> A</t>
  </si>
  <si>
    <t>MARIA RILLARY SANTOS LIMA</t>
  </si>
  <si>
    <t>555266941</t>
  </si>
  <si>
    <t>483.576.408-00</t>
  </si>
  <si>
    <t>JOSE AUGUSTO DO NASCIMENTO</t>
  </si>
  <si>
    <t>558.577.875-72</t>
  </si>
  <si>
    <t>MARIA EDUARDA DOS SANTOS MEDEIROS</t>
  </si>
  <si>
    <t>556981893</t>
  </si>
  <si>
    <t>501.901.008-18</t>
  </si>
  <si>
    <t>ANTONIO CESAR GOMES VITAL</t>
  </si>
  <si>
    <t>176395830</t>
  </si>
  <si>
    <t>108.450.958-03</t>
  </si>
  <si>
    <t>20 / 18 / 16</t>
  </si>
  <si>
    <t>JAIME DA SILVA BRITO</t>
  </si>
  <si>
    <t>44399621</t>
  </si>
  <si>
    <t>351.770.768-65</t>
  </si>
  <si>
    <t xml:space="preserve">EDVANDO SILVEIRA DA FONSECA </t>
  </si>
  <si>
    <t>56.413.752-2</t>
  </si>
  <si>
    <t>014.527.745-36</t>
  </si>
  <si>
    <t>OO / 02 / 04</t>
  </si>
  <si>
    <t xml:space="preserve">APOLINÁRIO SANTOS JUNIOR </t>
  </si>
  <si>
    <t>145488329</t>
  </si>
  <si>
    <t>973.510.678-72</t>
  </si>
  <si>
    <t>JAILSON DE SANTANA SILVA</t>
  </si>
  <si>
    <t>386032440</t>
  </si>
  <si>
    <t>268.123.458-14</t>
  </si>
  <si>
    <t>539</t>
  </si>
  <si>
    <t>537 / 539 / 541</t>
  </si>
  <si>
    <t xml:space="preserve">MARIA APARECIDA DE OLIVEIRA </t>
  </si>
  <si>
    <t>369343074</t>
  </si>
  <si>
    <t>229.823.758-18</t>
  </si>
  <si>
    <t>541</t>
  </si>
  <si>
    <t>539 / 541 / 543</t>
  </si>
  <si>
    <t>MARIA APARECIDA DE LIMA</t>
  </si>
  <si>
    <t>291372788</t>
  </si>
  <si>
    <t>197.568.548-20</t>
  </si>
  <si>
    <t>542 / 544 / 546</t>
  </si>
  <si>
    <t>IRACEMA DE JESUS BISPO</t>
  </si>
  <si>
    <t>263637499</t>
  </si>
  <si>
    <t>133.724.738-33</t>
  </si>
  <si>
    <t>715</t>
  </si>
  <si>
    <t>713 / 715 / 717</t>
  </si>
  <si>
    <t>67793610</t>
  </si>
  <si>
    <t>968.665.545-68</t>
  </si>
  <si>
    <t>677</t>
  </si>
  <si>
    <t>675 / 677 / 679</t>
  </si>
  <si>
    <t>4 / 2 / 0</t>
  </si>
  <si>
    <t>ANDRE LUIS DA SILVA</t>
  </si>
  <si>
    <t>2495835337</t>
  </si>
  <si>
    <t>069.927.888-09</t>
  </si>
  <si>
    <t>688 / 686 / 684</t>
  </si>
  <si>
    <t>TIAGO DO NASCIMENTO FRAGA</t>
  </si>
  <si>
    <t>46289287</t>
  </si>
  <si>
    <t>361.047.058-55</t>
  </si>
  <si>
    <t>908</t>
  </si>
  <si>
    <t>910 / 908 / 906</t>
  </si>
  <si>
    <t>ALESSANDRO ALVES DE SOUZA</t>
  </si>
  <si>
    <t>908.201.005-44</t>
  </si>
  <si>
    <t>912</t>
  </si>
  <si>
    <t>914 / 912 / 910</t>
  </si>
  <si>
    <t>JOSE CLAUDIO MAMEDIO SANTIAGO</t>
  </si>
  <si>
    <t>376516501</t>
  </si>
  <si>
    <t>216.466.148-60</t>
  </si>
  <si>
    <t>MACIANA CALAZANS DE OLIVEIRA</t>
  </si>
  <si>
    <t>377088894</t>
  </si>
  <si>
    <t>652.612.595-68</t>
  </si>
  <si>
    <t>692-6</t>
  </si>
  <si>
    <t>8 / 692-6 / 4</t>
  </si>
  <si>
    <t xml:space="preserve">ELIZANGELA DE JESUS VIANA </t>
  </si>
  <si>
    <t>39142097-5</t>
  </si>
  <si>
    <t>366.717.358-08</t>
  </si>
  <si>
    <t xml:space="preserve">MARCELHA KÁTIA LUSTOSA </t>
  </si>
  <si>
    <t>01943668396</t>
  </si>
  <si>
    <t>019.436.683-96</t>
  </si>
  <si>
    <t>BECO DO BIGUE</t>
  </si>
  <si>
    <t xml:space="preserve">ROBERTO DA CONCEIÇÃO </t>
  </si>
  <si>
    <t>25612980515</t>
  </si>
  <si>
    <t>256.129.805-15</t>
  </si>
  <si>
    <t xml:space="preserve">GIOVANA OLIVEIRA DOS SANTOS </t>
  </si>
  <si>
    <t>334336004</t>
  </si>
  <si>
    <t>411.595.628-30</t>
  </si>
  <si>
    <t>5 / 7 / 0</t>
  </si>
  <si>
    <t xml:space="preserve">KELLY CRISTINA MARTINS RIBEIRO </t>
  </si>
  <si>
    <t>453906163</t>
  </si>
  <si>
    <t>335.253.388-13</t>
  </si>
  <si>
    <t xml:space="preserve">BRUNA LUSTOSA  DOS SANTOS </t>
  </si>
  <si>
    <t>622450396</t>
  </si>
  <si>
    <t>513.013.848-10</t>
  </si>
  <si>
    <t xml:space="preserve">JHON JEFFERSON FERREIRA COSTA </t>
  </si>
  <si>
    <t>438065530</t>
  </si>
  <si>
    <t>433.345.378-03</t>
  </si>
  <si>
    <t xml:space="preserve">DAMIANA FERREIRA </t>
  </si>
  <si>
    <t>278796187</t>
  </si>
  <si>
    <t>044.095.888-18</t>
  </si>
  <si>
    <t xml:space="preserve">JAMILE ALMEIDA GUARDA </t>
  </si>
  <si>
    <t>308.952.038-98</t>
  </si>
  <si>
    <t>S03 QD08 N25</t>
  </si>
  <si>
    <t>ESTEFFANI OLIVEIRA DOS SANTOS</t>
  </si>
  <si>
    <t>65.098.716-0</t>
  </si>
  <si>
    <t>106.878.545-47</t>
  </si>
  <si>
    <t xml:space="preserve">KAYQUE SANTOS DA SILVA </t>
  </si>
  <si>
    <t>641157629</t>
  </si>
  <si>
    <t>577.810.718-83</t>
  </si>
  <si>
    <t>872</t>
  </si>
  <si>
    <t>870 / 872 / 874</t>
  </si>
  <si>
    <t xml:space="preserve">JOCIDALIA ARAUJO SANTOS </t>
  </si>
  <si>
    <t>642343731</t>
  </si>
  <si>
    <t>008.161.865-45</t>
  </si>
  <si>
    <t>409 / 411 / 413</t>
  </si>
  <si>
    <t>870</t>
  </si>
  <si>
    <t>8668 / 870 / 872</t>
  </si>
  <si>
    <t xml:space="preserve">PAULO ANDRE FERREIRA  DAS NEVES </t>
  </si>
  <si>
    <t>522008987</t>
  </si>
  <si>
    <t>232.947.408-32</t>
  </si>
  <si>
    <t xml:space="preserve">ANA MARIA NASCIMENTO GONÇALVES OLIVEIRA </t>
  </si>
  <si>
    <t>227776252</t>
  </si>
  <si>
    <t>204.568.738-48</t>
  </si>
  <si>
    <t>801</t>
  </si>
  <si>
    <t>799 / 801 / 803</t>
  </si>
  <si>
    <t xml:space="preserve">GILBERT ROCHA DOS SANTOS </t>
  </si>
  <si>
    <t>422566901</t>
  </si>
  <si>
    <t>370.241.808-38</t>
  </si>
  <si>
    <t xml:space="preserve">MIGUEL BATISTA DA SILVA FILHO </t>
  </si>
  <si>
    <t>264373546</t>
  </si>
  <si>
    <t>120.971.588-03</t>
  </si>
  <si>
    <t xml:space="preserve">SILVIA DE OLIVEIRA FRANCISCO </t>
  </si>
  <si>
    <t>225450707</t>
  </si>
  <si>
    <t>025.343.838-17</t>
  </si>
  <si>
    <t>ELAINE CRISTANA RODRIGUES</t>
  </si>
  <si>
    <t>182829261</t>
  </si>
  <si>
    <t>134.512.378-73</t>
  </si>
  <si>
    <t>RUA DO PEDRINHO</t>
  </si>
  <si>
    <t>172</t>
  </si>
  <si>
    <t>170 / 172 / 174</t>
  </si>
  <si>
    <t>TIAGO FIDELIS DE SOUZA</t>
  </si>
  <si>
    <t>419203266</t>
  </si>
  <si>
    <t>394.235.388-19</t>
  </si>
  <si>
    <t>RUA CAPADÓCIA</t>
  </si>
  <si>
    <t>184</t>
  </si>
  <si>
    <t>182 / 184 / 186</t>
  </si>
  <si>
    <t>ROMILDO DE JESUS SANTOS</t>
  </si>
  <si>
    <t>373046029</t>
  </si>
  <si>
    <t>557.037.985-15</t>
  </si>
  <si>
    <t>198</t>
  </si>
  <si>
    <t>196 / 198 / 200</t>
  </si>
  <si>
    <t>LUENDRO ALCANTARA SANTOS</t>
  </si>
  <si>
    <t>53647586</t>
  </si>
  <si>
    <t>457.688.008-08</t>
  </si>
  <si>
    <t>200</t>
  </si>
  <si>
    <t>188 / 200 / 202</t>
  </si>
  <si>
    <t>GONÇALO DE SOUZA SAMPAIO</t>
  </si>
  <si>
    <t>1329740</t>
  </si>
  <si>
    <t>133.867.988-02</t>
  </si>
  <si>
    <t>208</t>
  </si>
  <si>
    <t>206 / 208 / 210</t>
  </si>
  <si>
    <t>210</t>
  </si>
  <si>
    <t>208 / 210 / 212</t>
  </si>
  <si>
    <t xml:space="preserve">PATRICIA CARVALHO DE JESUS </t>
  </si>
  <si>
    <t>428468470</t>
  </si>
  <si>
    <t>351.681.948-00</t>
  </si>
  <si>
    <t xml:space="preserve">MARIA DOMINGAS DOS SANTOS </t>
  </si>
  <si>
    <t>35676597-0</t>
  </si>
  <si>
    <t>025.480.128-59</t>
  </si>
  <si>
    <t>121 / 123 / 125</t>
  </si>
  <si>
    <t>GIULIA DOS SANTOS SEGUIN</t>
  </si>
  <si>
    <t>509379953</t>
  </si>
  <si>
    <t>389.523.958-59</t>
  </si>
  <si>
    <t>S01 QD02 N16</t>
  </si>
  <si>
    <t>MARIA LEONILDA DA SILVA</t>
  </si>
  <si>
    <t>362277618</t>
  </si>
  <si>
    <t>308.028.978-19</t>
  </si>
  <si>
    <t>S01 QD02 N30</t>
  </si>
  <si>
    <t>CRISTIANO ALVES DE SOUZA</t>
  </si>
  <si>
    <t>27738437</t>
  </si>
  <si>
    <t>169.593.758-94</t>
  </si>
  <si>
    <t>S03 QD02 N25</t>
  </si>
  <si>
    <t xml:space="preserve">CLAUDIA MORGEIRO COSTAL </t>
  </si>
  <si>
    <t>189911384</t>
  </si>
  <si>
    <t>058.210.068-21</t>
  </si>
  <si>
    <t>N01 QD04 N03</t>
  </si>
  <si>
    <t>04 / 02 / 01</t>
  </si>
  <si>
    <t xml:space="preserve">ALIRIO NUNES DE AZEVENDO </t>
  </si>
  <si>
    <t>29522323-6</t>
  </si>
  <si>
    <t>689.167.875-72</t>
  </si>
  <si>
    <t>CASA 01</t>
  </si>
  <si>
    <t>128 / 130 / 131</t>
  </si>
  <si>
    <t xml:space="preserve">ALEXANDRE DE OLIVEIRA SANTANA </t>
  </si>
  <si>
    <t>23462376</t>
  </si>
  <si>
    <t>159.159.878-85</t>
  </si>
  <si>
    <t>92 / 94 / 96</t>
  </si>
  <si>
    <t>ADONIAS ARLINDO MARTINS</t>
  </si>
  <si>
    <t>215230942</t>
  </si>
  <si>
    <t>080.617.238-08</t>
  </si>
  <si>
    <t>230</t>
  </si>
  <si>
    <t>228 / 230 / 232</t>
  </si>
  <si>
    <t>EVERALDO DA SILVA AMORIM</t>
  </si>
  <si>
    <t>334946505</t>
  </si>
  <si>
    <t>957.783.654-20</t>
  </si>
  <si>
    <t>212</t>
  </si>
  <si>
    <t>210 / 212 / 214</t>
  </si>
  <si>
    <t>ROSILENE DINIZ SANTOS</t>
  </si>
  <si>
    <t>214343121</t>
  </si>
  <si>
    <t>130.508.488-80</t>
  </si>
  <si>
    <t>873</t>
  </si>
  <si>
    <t>875 / 873 / 871</t>
  </si>
  <si>
    <t>CARMELITA DOMINGUES RODRIGUES PESTANA</t>
  </si>
  <si>
    <t>590976126</t>
  </si>
  <si>
    <t>503.147.888-83</t>
  </si>
  <si>
    <t xml:space="preserve">WANESSA DOS SANTOS CONCEIÇÃO </t>
  </si>
  <si>
    <t>421388985</t>
  </si>
  <si>
    <t>349.762.189-60</t>
  </si>
  <si>
    <t>MICHAEL WESLEY  RODRIGUES PESTANA</t>
  </si>
  <si>
    <t>553831069</t>
  </si>
  <si>
    <t>477.867.383-39</t>
  </si>
  <si>
    <t>SUELLY MARIA DOS SANTOS</t>
  </si>
  <si>
    <t>010744874227</t>
  </si>
  <si>
    <t>010.744.874-27</t>
  </si>
  <si>
    <t>VALDINOMAS DE OLIVEIRA CARMO</t>
  </si>
  <si>
    <t>44454410</t>
  </si>
  <si>
    <t>228.445.458-58</t>
  </si>
  <si>
    <t>LARYSSA MANSILHA FERNANDES CAIXEIRO</t>
  </si>
  <si>
    <t>404388292</t>
  </si>
  <si>
    <t>408.504.948-85</t>
  </si>
  <si>
    <t>194</t>
  </si>
  <si>
    <t>192 / 194 / 196</t>
  </si>
  <si>
    <t>MARIA JOSE PEQUENO DA SILVA</t>
  </si>
  <si>
    <t>368796218</t>
  </si>
  <si>
    <t>306.067.588-01</t>
  </si>
  <si>
    <t>234</t>
  </si>
  <si>
    <t>232 / 234 / 0</t>
  </si>
  <si>
    <t>MAEIA JOSE PEQUENO DA SILVA</t>
  </si>
  <si>
    <t>BERENICE DE MELO</t>
  </si>
  <si>
    <t>283012523</t>
  </si>
  <si>
    <t>283.462.728-20</t>
  </si>
  <si>
    <t>MATHEUS MENEZES SCHNEIDER</t>
  </si>
  <si>
    <t>57264</t>
  </si>
  <si>
    <t>466.229.718-46</t>
  </si>
  <si>
    <t>977</t>
  </si>
  <si>
    <t>975 / 977 / 979</t>
  </si>
  <si>
    <t>THAYSSA RIBEIRO DA SILVA</t>
  </si>
  <si>
    <t>572840500</t>
  </si>
  <si>
    <t>547.355.078-92</t>
  </si>
  <si>
    <t>DANIELA VIEIRA NUNES SANTOS</t>
  </si>
  <si>
    <t>427109001</t>
  </si>
  <si>
    <t>314.628.498-73</t>
  </si>
  <si>
    <t>ANTONISON VIEIRA NUNES SANTOS</t>
  </si>
  <si>
    <t>570926543</t>
  </si>
  <si>
    <t>227.964.538-63</t>
  </si>
  <si>
    <t xml:space="preserve">REGINETE DE JESUS SANTOS </t>
  </si>
  <si>
    <t>633317974</t>
  </si>
  <si>
    <t>013.045.684-58</t>
  </si>
  <si>
    <t>162 / 160 / 0</t>
  </si>
  <si>
    <t>161</t>
  </si>
  <si>
    <t>0 / 161 / 163</t>
  </si>
  <si>
    <t xml:space="preserve">LUCIANA MARIA DA SILVA </t>
  </si>
  <si>
    <t>372779293</t>
  </si>
  <si>
    <t>315.136.518-38</t>
  </si>
  <si>
    <t>178</t>
  </si>
  <si>
    <t>0 / 178 / 176</t>
  </si>
  <si>
    <t xml:space="preserve">HAVILA TAIANY DA COSTA </t>
  </si>
  <si>
    <t>584203974</t>
  </si>
  <si>
    <t>481.452.418-80</t>
  </si>
  <si>
    <t>JHENIFER VIEIRA FREITAS DA FONSECA</t>
  </si>
  <si>
    <t>87149823020</t>
  </si>
  <si>
    <t>871.488.230-20</t>
  </si>
  <si>
    <t>176</t>
  </si>
  <si>
    <t>178 / 176 / 174</t>
  </si>
  <si>
    <t xml:space="preserve">MARCIO VIEIRA ANDRADE </t>
  </si>
  <si>
    <t>49581693</t>
  </si>
  <si>
    <t>344.395.618-10</t>
  </si>
  <si>
    <t>176 / 178 / 174</t>
  </si>
  <si>
    <t xml:space="preserve">MARIA DE FATIMA DE JESUS </t>
  </si>
  <si>
    <t>342345631</t>
  </si>
  <si>
    <t>270.678.188-26</t>
  </si>
  <si>
    <t>180</t>
  </si>
  <si>
    <t>0 / 180 / 178</t>
  </si>
  <si>
    <t xml:space="preserve">ANA CLAUDIA CANDIDO </t>
  </si>
  <si>
    <t>38178450810</t>
  </si>
  <si>
    <t>381.784.508-10</t>
  </si>
  <si>
    <t>172 / 170 / 168</t>
  </si>
  <si>
    <t xml:space="preserve">EVANICE GOMES DE ARAGRAO </t>
  </si>
  <si>
    <t>604900193</t>
  </si>
  <si>
    <t>860.648.985-93</t>
  </si>
  <si>
    <t>171</t>
  </si>
  <si>
    <t>168 / 171 / 0</t>
  </si>
  <si>
    <t xml:space="preserve">EDUARDO VIEIRA ANDRADE </t>
  </si>
  <si>
    <t>49581736</t>
  </si>
  <si>
    <t>355.344.468-11</t>
  </si>
  <si>
    <t>164 / 162 / 160</t>
  </si>
  <si>
    <t xml:space="preserve">JOSE ELIZEL FREIRE NUNES </t>
  </si>
  <si>
    <t>48658779</t>
  </si>
  <si>
    <t>420.493.928-77</t>
  </si>
  <si>
    <t>196</t>
  </si>
  <si>
    <t>198 / 196 / 194</t>
  </si>
  <si>
    <t xml:space="preserve">PAULO ALCIDES DE LIMA </t>
  </si>
  <si>
    <t>397498585</t>
  </si>
  <si>
    <t>378.125.448-85</t>
  </si>
  <si>
    <t>204</t>
  </si>
  <si>
    <t>206 / 204 / 202</t>
  </si>
  <si>
    <t xml:space="preserve">SABRINA SILVA RODRIGUES DOS SANTOS </t>
  </si>
  <si>
    <t>534026047</t>
  </si>
  <si>
    <t>416.413.218-30</t>
  </si>
  <si>
    <t>202</t>
  </si>
  <si>
    <t>204 / 202 / 198</t>
  </si>
  <si>
    <t xml:space="preserve">MARCIO KED MAIA </t>
  </si>
  <si>
    <t>33824400</t>
  </si>
  <si>
    <t>251.642.188-52</t>
  </si>
  <si>
    <t>216</t>
  </si>
  <si>
    <t>218 / 216 / 0</t>
  </si>
  <si>
    <t xml:space="preserve">DARLENE DA CONCEIÇÃO DE ARAÚJO </t>
  </si>
  <si>
    <t>644753900</t>
  </si>
  <si>
    <t>242.547.158-89</t>
  </si>
  <si>
    <t>218</t>
  </si>
  <si>
    <t>220 / 218 / 216</t>
  </si>
  <si>
    <t xml:space="preserve">LUCYMARA ALCANTARA SANTOS </t>
  </si>
  <si>
    <t>53647588</t>
  </si>
  <si>
    <t>492.632.308-70</t>
  </si>
  <si>
    <t>222</t>
  </si>
  <si>
    <t>224 / 222 / 220</t>
  </si>
  <si>
    <t xml:space="preserve">LUCIANA DA PENHA RABELO DE ALCANTARA SANTOS </t>
  </si>
  <si>
    <t>530572242</t>
  </si>
  <si>
    <t>663.303.865-87</t>
  </si>
  <si>
    <t>220</t>
  </si>
  <si>
    <t>222 / 220 / 218</t>
  </si>
  <si>
    <t xml:space="preserve">JESSICA ROSA VICENTE DA SILVA </t>
  </si>
  <si>
    <t>480553701</t>
  </si>
  <si>
    <t>427.364.938-18</t>
  </si>
  <si>
    <t>223</t>
  </si>
  <si>
    <t>0 / 223 / 0</t>
  </si>
  <si>
    <t>LIDIANE SANTIAGO DOS SANTOS</t>
  </si>
  <si>
    <t>421388948</t>
  </si>
  <si>
    <t>314.331.278-57</t>
  </si>
  <si>
    <t>188</t>
  </si>
  <si>
    <t>186 / 188 / 190</t>
  </si>
  <si>
    <t>MARIA RAIMUNDA DA CONCEIÇÃO SOUZA</t>
  </si>
  <si>
    <t>01507167539</t>
  </si>
  <si>
    <t>015.071.675-39</t>
  </si>
  <si>
    <t>192</t>
  </si>
  <si>
    <t>190 / 192 / 194</t>
  </si>
  <si>
    <t>CHARLES TOTINO RISSO</t>
  </si>
  <si>
    <t>40687371</t>
  </si>
  <si>
    <t>395.891.758-56</t>
  </si>
  <si>
    <t>174</t>
  </si>
  <si>
    <t>172 / 174 / 176</t>
  </si>
  <si>
    <t>182</t>
  </si>
  <si>
    <t>180 / 182 / 184</t>
  </si>
  <si>
    <t xml:space="preserve">ROSILDA MARIA FRANCISCA DA SILVA </t>
  </si>
  <si>
    <t>509379540</t>
  </si>
  <si>
    <t>816.783.714-91</t>
  </si>
  <si>
    <t>S01 QD05 N39</t>
  </si>
  <si>
    <t xml:space="preserve">MARIA LUCIA VICENTE </t>
  </si>
  <si>
    <t>248622274</t>
  </si>
  <si>
    <t>284.660.778-80</t>
  </si>
  <si>
    <t>S03 QD10 N15</t>
  </si>
  <si>
    <t xml:space="preserve">ELIANE GOMES DE LIMA GOIS </t>
  </si>
  <si>
    <t>432113241</t>
  </si>
  <si>
    <t>383.812.728-58</t>
  </si>
  <si>
    <t>S03 QD08 N39</t>
  </si>
  <si>
    <t xml:space="preserve">ELISA ROSA FELIX CONCEICAO COELHO DIAS </t>
  </si>
  <si>
    <t>354883562</t>
  </si>
  <si>
    <t>358.961.968-65</t>
  </si>
  <si>
    <t>S03 QD08 N27</t>
  </si>
  <si>
    <t xml:space="preserve">ANA CRISTINA GOIS </t>
  </si>
  <si>
    <t>,141231877</t>
  </si>
  <si>
    <t>032.961.978-00</t>
  </si>
  <si>
    <t>S03 QD03 N22</t>
  </si>
  <si>
    <t xml:space="preserve">ACHILLY DE LIMA SANTOS </t>
  </si>
  <si>
    <t>595900100</t>
  </si>
  <si>
    <t>494.208.768-61</t>
  </si>
  <si>
    <t>ABEL DOS SANTOS DE JESUS</t>
  </si>
  <si>
    <t>531969356</t>
  </si>
  <si>
    <t>652.773.095-00</t>
  </si>
  <si>
    <t>719</t>
  </si>
  <si>
    <t>717 / 719 / 721</t>
  </si>
  <si>
    <t>LANA PAMELA ORTIZ SIQUEIRA</t>
  </si>
  <si>
    <t>39900682</t>
  </si>
  <si>
    <t>122.264.737-00</t>
  </si>
  <si>
    <t>JOSEFA TAIS SOUZA NASCIMENTO</t>
  </si>
  <si>
    <t>499985850</t>
  </si>
  <si>
    <t>457.824.918-25</t>
  </si>
  <si>
    <t>JEFFERSON HURTADO SIERRA</t>
  </si>
  <si>
    <t>498300432</t>
  </si>
  <si>
    <t>428.705.158-04</t>
  </si>
  <si>
    <t>EUGENIA SANTOS</t>
  </si>
  <si>
    <t>547383812</t>
  </si>
  <si>
    <t>255.194.408-24</t>
  </si>
  <si>
    <t>1006 B</t>
  </si>
  <si>
    <t>1004 / 1006 / 1008</t>
  </si>
  <si>
    <t>LENIRA MARIA GREGORIO PELONHA</t>
  </si>
  <si>
    <t>208225821</t>
  </si>
  <si>
    <t>133.713.628-09</t>
  </si>
  <si>
    <t>727</t>
  </si>
  <si>
    <t>725 / 727 / 729</t>
  </si>
  <si>
    <t>ADRIANA APARECIDA SIMAO</t>
  </si>
  <si>
    <t>256848920</t>
  </si>
  <si>
    <t>153.680.938-10</t>
  </si>
  <si>
    <t>976</t>
  </si>
  <si>
    <t>974 / 976 / 978</t>
  </si>
  <si>
    <t>JOSE FRANCISCO ALCANTARA</t>
  </si>
  <si>
    <t>356765908</t>
  </si>
  <si>
    <t>280.023.798-88</t>
  </si>
  <si>
    <t xml:space="preserve">ANDRE SANTOS DO NASCIMENTO </t>
  </si>
  <si>
    <t>34475940</t>
  </si>
  <si>
    <t>042.713.895-79</t>
  </si>
  <si>
    <t xml:space="preserve">JOEL GENTIL DE SOUSA </t>
  </si>
  <si>
    <t>35.337.277-8</t>
  </si>
  <si>
    <t>216.473.538-23</t>
  </si>
  <si>
    <t>EDNESIO DA VISITACAO RODRIGUES</t>
  </si>
  <si>
    <t>552.919.78</t>
  </si>
  <si>
    <t>007.336.505-03</t>
  </si>
  <si>
    <t xml:space="preserve">MATILDE DE JESUS REIS </t>
  </si>
  <si>
    <t>58903878</t>
  </si>
  <si>
    <t>024.935.185-43</t>
  </si>
  <si>
    <t xml:space="preserve">MIRIAN MORAES </t>
  </si>
  <si>
    <t>155395026</t>
  </si>
  <si>
    <t>018.058.088-42</t>
  </si>
  <si>
    <t>169</t>
  </si>
  <si>
    <t xml:space="preserve">SILMARA MORAES DE SOUZA </t>
  </si>
  <si>
    <t>300054488</t>
  </si>
  <si>
    <t>268.361.028-90</t>
  </si>
  <si>
    <t xml:space="preserve">BRUNA LUSTOSA DOS SANTOS </t>
  </si>
  <si>
    <t>62245039</t>
  </si>
  <si>
    <t>178 / 180 / 182</t>
  </si>
  <si>
    <t xml:space="preserve">UEMERSON UNGRIA SILVA </t>
  </si>
  <si>
    <t>48927727</t>
  </si>
  <si>
    <t>438.302.108-50</t>
  </si>
  <si>
    <t xml:space="preserve">ÂNGELO CARVALHO DA SILVA </t>
  </si>
  <si>
    <t>28232611</t>
  </si>
  <si>
    <t>297.597.668-25</t>
  </si>
  <si>
    <t>1031</t>
  </si>
  <si>
    <t>1029 / 1031 / 1033</t>
  </si>
  <si>
    <t xml:space="preserve">MARIA  APARECIDA SANTOS SILVA </t>
  </si>
  <si>
    <t>01467500470</t>
  </si>
  <si>
    <t>014.675.004-70</t>
  </si>
  <si>
    <t>8 / 10 / 012</t>
  </si>
  <si>
    <t xml:space="preserve">PEDRO ALVES DO CARMO </t>
  </si>
  <si>
    <t>23319065X</t>
  </si>
  <si>
    <t>069.966.874-61</t>
  </si>
  <si>
    <t>161 / 164 / 166</t>
  </si>
  <si>
    <t xml:space="preserve">ADENILDI PEREIRA DO NASCIMENTO </t>
  </si>
  <si>
    <t>57547743X</t>
  </si>
  <si>
    <t>022.021.225-24</t>
  </si>
  <si>
    <t>752</t>
  </si>
  <si>
    <t>0 / 751 / 753</t>
  </si>
  <si>
    <t xml:space="preserve">LARYSSA VITÓRIA RODRIGUES </t>
  </si>
  <si>
    <t>694405930</t>
  </si>
  <si>
    <t>606.670.828-75</t>
  </si>
  <si>
    <t>JOSEFA LEIDE MATOS SANTOS</t>
  </si>
  <si>
    <t>620616076</t>
  </si>
  <si>
    <t>223.608.378-50</t>
  </si>
  <si>
    <t>LUCIENE DA SILVA SOUZA CASTRO</t>
  </si>
  <si>
    <t>594091160</t>
  </si>
  <si>
    <t>604.575.034-91</t>
  </si>
  <si>
    <t>S03 QD05 N26</t>
  </si>
  <si>
    <t>VITORIA DA SILVA BARROS FERREIRA</t>
  </si>
  <si>
    <t>39706407X</t>
  </si>
  <si>
    <t>525.839.158-27</t>
  </si>
  <si>
    <t>41 / 39 / 38</t>
  </si>
  <si>
    <t>RAFAELE ELIENAI DE SANTANA</t>
  </si>
  <si>
    <t>2073622461</t>
  </si>
  <si>
    <t>062.669.155-96</t>
  </si>
  <si>
    <t>S01 QD05 N01</t>
  </si>
  <si>
    <t>DAIANE CARNEIRO RIOS</t>
  </si>
  <si>
    <t>471938415</t>
  </si>
  <si>
    <t>398.490.358-89</t>
  </si>
  <si>
    <t>S02 QD05 N69</t>
  </si>
  <si>
    <t>LUCAS SOUZA SATOS</t>
  </si>
  <si>
    <t>620644151</t>
  </si>
  <si>
    <t>070.707.245-00</t>
  </si>
  <si>
    <t>S02 QD05 N70</t>
  </si>
  <si>
    <t>63 / 62 / 61</t>
  </si>
  <si>
    <t>WALTERNEY QUADROS NOGUEIRA</t>
  </si>
  <si>
    <t>59806462X</t>
  </si>
  <si>
    <t>629.606.102-10</t>
  </si>
  <si>
    <t>S02 QD05 N71</t>
  </si>
  <si>
    <t xml:space="preserve">JOSÉ ROBERTO GONÇALVES </t>
  </si>
  <si>
    <t>362274952</t>
  </si>
  <si>
    <t>463.635.134-72</t>
  </si>
  <si>
    <t>ALINE VIEIRA DE MENESES</t>
  </si>
  <si>
    <t>410173733</t>
  </si>
  <si>
    <t>345.011.448-40</t>
  </si>
  <si>
    <t>ESCADARIA 2 BECO 2</t>
  </si>
  <si>
    <t xml:space="preserve">GLAUBUAN ALMEIDA DA SILVA </t>
  </si>
  <si>
    <t>544097105</t>
  </si>
  <si>
    <t>037.116.693-44</t>
  </si>
  <si>
    <t xml:space="preserve">ANA PAULA DA CONCEIÇÃO </t>
  </si>
  <si>
    <t>334942950</t>
  </si>
  <si>
    <t>353.885.088-70</t>
  </si>
  <si>
    <t xml:space="preserve">GABRIEL ARAUJO NASCIMENTO </t>
  </si>
  <si>
    <t>598294053</t>
  </si>
  <si>
    <t>499.312.548-82</t>
  </si>
  <si>
    <t>GLEICIANE GOMES DA SILVA</t>
  </si>
  <si>
    <t>228.918.768-22</t>
  </si>
  <si>
    <t>834</t>
  </si>
  <si>
    <t>836 / 834 / 832</t>
  </si>
  <si>
    <t>WAGNER SANTANA DOS SANTOS</t>
  </si>
  <si>
    <t>594364991</t>
  </si>
  <si>
    <t>357.906.218-21</t>
  </si>
  <si>
    <t>221</t>
  </si>
  <si>
    <t>219 / 221 / 223</t>
  </si>
  <si>
    <t>ANA VITORIA ALVES VITURINO DA SILVA</t>
  </si>
  <si>
    <t>389617921</t>
  </si>
  <si>
    <t>524.266.198-48</t>
  </si>
  <si>
    <t>BECO 72</t>
  </si>
  <si>
    <t>30 / 28 / 26</t>
  </si>
  <si>
    <t>OZANIRA ALVES SOUZA</t>
  </si>
  <si>
    <t>56718964</t>
  </si>
  <si>
    <t>216.591.838-39</t>
  </si>
  <si>
    <t>720</t>
  </si>
  <si>
    <t>722 / 720 / 718</t>
  </si>
  <si>
    <t xml:space="preserve">JOSEMEIRE CARVALHO SANTOS </t>
  </si>
  <si>
    <t>13392025810</t>
  </si>
  <si>
    <t>133.920.258-10</t>
  </si>
  <si>
    <t>809</t>
  </si>
  <si>
    <t>807 / 809 / 0</t>
  </si>
  <si>
    <t xml:space="preserve">ULLISSES POLICARPO DOS SANTOS </t>
  </si>
  <si>
    <t>259235878</t>
  </si>
  <si>
    <t>175.812.608-60</t>
  </si>
  <si>
    <t xml:space="preserve">LEANDRO RAMOS DOS SANTOS </t>
  </si>
  <si>
    <t>47876308</t>
  </si>
  <si>
    <t>389.834.128-36</t>
  </si>
  <si>
    <t>791</t>
  </si>
  <si>
    <t>789 / 791 / 793</t>
  </si>
  <si>
    <t xml:space="preserve">LUCIANO ALVES DOS SANTOS </t>
  </si>
  <si>
    <t>21767944861</t>
  </si>
  <si>
    <t>217.676.448-61</t>
  </si>
  <si>
    <t>81 / 83 / 85</t>
  </si>
  <si>
    <t xml:space="preserve">CLEBER CARLOS FEREIRA SANTOS </t>
  </si>
  <si>
    <t>3424470</t>
  </si>
  <si>
    <t>090.405.454-30</t>
  </si>
  <si>
    <t xml:space="preserve">MANOELA ALMEIDA SANTOS </t>
  </si>
  <si>
    <t>632838115</t>
  </si>
  <si>
    <t>077.501.124-05</t>
  </si>
  <si>
    <t>MARIA SONIA SALGUEIRO DE MEDEIROS</t>
  </si>
  <si>
    <t>309463579</t>
  </si>
  <si>
    <t>267.654.348-28</t>
  </si>
  <si>
    <t xml:space="preserve">WYTALO EMANOEL ALMEIDA DOS SANTOS </t>
  </si>
  <si>
    <t>690230679</t>
  </si>
  <si>
    <t>129.775.144-22</t>
  </si>
  <si>
    <t xml:space="preserve">DAMIAO DIAS LEITE </t>
  </si>
  <si>
    <t>584520694</t>
  </si>
  <si>
    <t>013.210.671-00</t>
  </si>
  <si>
    <t>VILMA MARIA DA CRUZ</t>
  </si>
  <si>
    <t>228331444</t>
  </si>
  <si>
    <t>097.034.048-63</t>
  </si>
  <si>
    <t xml:space="preserve">KAYANE JESUS SANTOS </t>
  </si>
  <si>
    <t>694657165</t>
  </si>
  <si>
    <t>103.270.605-81</t>
  </si>
  <si>
    <t xml:space="preserve">JOSE LEANDRO DOS SANTOS </t>
  </si>
  <si>
    <t>487891612</t>
  </si>
  <si>
    <t>444.689.588-55</t>
  </si>
  <si>
    <t xml:space="preserve">SIDNEI DO CARMO </t>
  </si>
  <si>
    <t>35447034</t>
  </si>
  <si>
    <t>314.799.338-80</t>
  </si>
  <si>
    <t>30 / 32 / 34</t>
  </si>
  <si>
    <t xml:space="preserve">SELMA FERREIRA DOS SANTOS </t>
  </si>
  <si>
    <t>242683939</t>
  </si>
  <si>
    <t>121.484.418-92</t>
  </si>
  <si>
    <t>BECO SANTA ROSA</t>
  </si>
  <si>
    <t xml:space="preserve">DEISE MARIA DOS SANTOS LEITE </t>
  </si>
  <si>
    <t>645383892</t>
  </si>
  <si>
    <t>412.255.908-17</t>
  </si>
  <si>
    <t xml:space="preserve">RICARDO OLIVEIRA DA SILVA </t>
  </si>
  <si>
    <t>2390140</t>
  </si>
  <si>
    <t>046.937.425-03</t>
  </si>
  <si>
    <t xml:space="preserve">VANESSA KELLY DOS SANTOS </t>
  </si>
  <si>
    <t>299504426</t>
  </si>
  <si>
    <t>255.910.098-32</t>
  </si>
  <si>
    <t>98</t>
  </si>
  <si>
    <t>96 / 98 / 101</t>
  </si>
  <si>
    <t xml:space="preserve">ANA CRISTINA DE MEDEIROS </t>
  </si>
  <si>
    <t>393578628</t>
  </si>
  <si>
    <t>370.767.548-35</t>
  </si>
  <si>
    <t>98 / 100 / 103</t>
  </si>
  <si>
    <t xml:space="preserve">IVANILTON DE MEDEIROS </t>
  </si>
  <si>
    <t>372771919</t>
  </si>
  <si>
    <t>313.498.238-21</t>
  </si>
  <si>
    <t xml:space="preserve">MARIA AUXILIADOURA SILVA NASCIMENTO </t>
  </si>
  <si>
    <t>371171362</t>
  </si>
  <si>
    <t>396.423.458-58</t>
  </si>
  <si>
    <t>VALDECI SOUZA DA SILVA</t>
  </si>
  <si>
    <t>379481455</t>
  </si>
  <si>
    <t>341.148.208-76</t>
  </si>
  <si>
    <t xml:space="preserve">ROBERTO GOMES DOS SANTOS </t>
  </si>
  <si>
    <t>1798685</t>
  </si>
  <si>
    <t>320.266.288-07</t>
  </si>
  <si>
    <t>JAYME SOARES DIAS</t>
  </si>
  <si>
    <t>43793065</t>
  </si>
  <si>
    <t>317.048.108-84</t>
  </si>
  <si>
    <t>94 / 96 / 98</t>
  </si>
  <si>
    <t>DANIELLE DOS SANTOS</t>
  </si>
  <si>
    <t>41270770</t>
  </si>
  <si>
    <t>116.410.805-07</t>
  </si>
  <si>
    <t>JOSE SEVERINO CÂMARA</t>
  </si>
  <si>
    <t>597876964</t>
  </si>
  <si>
    <t>008.496.113-93</t>
  </si>
  <si>
    <t>BECO PARTICULAR</t>
  </si>
  <si>
    <t>00 / 192 / 194</t>
  </si>
  <si>
    <t xml:space="preserve">JOSÉ ADAILTON DOS SANTOS </t>
  </si>
  <si>
    <t>548547348</t>
  </si>
  <si>
    <t>366.101.888-40</t>
  </si>
  <si>
    <t>192 / 194 / 191</t>
  </si>
  <si>
    <t>MILLENA MARCOLINO FELICIANO QUEIROZ</t>
  </si>
  <si>
    <t>589570523</t>
  </si>
  <si>
    <t>487.810.138-50</t>
  </si>
  <si>
    <t>67 / 64 / 0</t>
  </si>
  <si>
    <t xml:space="preserve">TATIANA SILVA SANTOS </t>
  </si>
  <si>
    <t>451490976</t>
  </si>
  <si>
    <t>421.550.948-33</t>
  </si>
  <si>
    <t xml:space="preserve">TAINARA DA CRUZ FERREIRA </t>
  </si>
  <si>
    <t>509379412</t>
  </si>
  <si>
    <t>517.496.668-12</t>
  </si>
  <si>
    <t>79 / 78 / 00</t>
  </si>
  <si>
    <t xml:space="preserve">LEONILDO LUIZ BARBOSA </t>
  </si>
  <si>
    <t>377.126.548-75</t>
  </si>
  <si>
    <t>26 / 28 / 24</t>
  </si>
  <si>
    <t xml:space="preserve">SAMUEL ERVERTON SANTANA BARBOSA </t>
  </si>
  <si>
    <t>56174446883</t>
  </si>
  <si>
    <t>461.744.468-83</t>
  </si>
  <si>
    <t>32 / 27 / 00</t>
  </si>
  <si>
    <t xml:space="preserve">PATRICIA OLIVEIRA DA SILVA </t>
  </si>
  <si>
    <t>648103419</t>
  </si>
  <si>
    <t>859.735.325-26</t>
  </si>
  <si>
    <t>191</t>
  </si>
  <si>
    <t>193 / 191 / 00</t>
  </si>
  <si>
    <t xml:space="preserve">SEVERINO FRANCISCO XAVIER </t>
  </si>
  <si>
    <t>201330829</t>
  </si>
  <si>
    <t>088.124.308-64</t>
  </si>
  <si>
    <t>194 / 196 / 00</t>
  </si>
  <si>
    <t xml:space="preserve">RAFAEL GONÇALVES XAVIER </t>
  </si>
  <si>
    <t>427400594</t>
  </si>
  <si>
    <t>469.119.378-25</t>
  </si>
  <si>
    <t>JANAINA GONÇALVES XAVIER</t>
  </si>
  <si>
    <t>562137439</t>
  </si>
  <si>
    <t>238.403.398-04</t>
  </si>
  <si>
    <t>ALEONES DINIZ SANTOS</t>
  </si>
  <si>
    <t>37303755</t>
  </si>
  <si>
    <t>300.842.758-80</t>
  </si>
  <si>
    <t>ADRIANO GUEDES DE OLIVEIRA</t>
  </si>
  <si>
    <t>307727927</t>
  </si>
  <si>
    <t>216.563.288-95</t>
  </si>
  <si>
    <t>321</t>
  </si>
  <si>
    <t>319 / 321 / 323</t>
  </si>
  <si>
    <t>SHIRLEY GONÇALVES DE JESUS</t>
  </si>
  <si>
    <t>32376809</t>
  </si>
  <si>
    <t>328.057.878-70</t>
  </si>
  <si>
    <t>MURILLO HENRIQUE RAMOS DOS SANTOS</t>
  </si>
  <si>
    <t>555845485</t>
  </si>
  <si>
    <t>483.040.138-94</t>
  </si>
  <si>
    <t>CLAUDIANA ALMEIDA DOS SANTOS</t>
  </si>
  <si>
    <t>373999975</t>
  </si>
  <si>
    <t>338.137.838-47</t>
  </si>
  <si>
    <t>WELLINGTON TADEU DOS SANTOS JUNIOR</t>
  </si>
  <si>
    <t>443369975</t>
  </si>
  <si>
    <t>332.893.078-75</t>
  </si>
  <si>
    <t>EVELEN CRISTINA ALVES DA SILVA</t>
  </si>
  <si>
    <t>597926529</t>
  </si>
  <si>
    <t>547.811.378-65</t>
  </si>
  <si>
    <t>ALAN DAVID COSTA</t>
  </si>
  <si>
    <t>448436632</t>
  </si>
  <si>
    <t>439.085.538-73</t>
  </si>
  <si>
    <t>ADILSON CARLOS DE CARVALHO</t>
  </si>
  <si>
    <t>06994600859</t>
  </si>
  <si>
    <t>069.946.008-58</t>
  </si>
  <si>
    <t>BECO DO EVERALDO</t>
  </si>
  <si>
    <t>MARILENE NASCIMENTO DE MENEZES</t>
  </si>
  <si>
    <t>467486451</t>
  </si>
  <si>
    <t>395.405.038-25</t>
  </si>
  <si>
    <t>CAMILA DOMINGUES</t>
  </si>
  <si>
    <t>430524791</t>
  </si>
  <si>
    <t>320.297.538-23</t>
  </si>
  <si>
    <t>GIRLENE BISPO DOS SANTOS</t>
  </si>
  <si>
    <t>540110826</t>
  </si>
  <si>
    <t>388.470.458-35</t>
  </si>
  <si>
    <t>BECO DA JÉSSICA</t>
  </si>
  <si>
    <t xml:space="preserve">JULIO CESAR BISPO DOS SANTOS </t>
  </si>
  <si>
    <t>581.474.308-50</t>
  </si>
  <si>
    <t>STHEPHANIE BILLER</t>
  </si>
  <si>
    <t>649146967</t>
  </si>
  <si>
    <t>555.215.428-25</t>
  </si>
  <si>
    <t>VICTOR ARTHUR SANTOS LOPES DE OLIVEIRA</t>
  </si>
  <si>
    <t>583848965</t>
  </si>
  <si>
    <t>500.997.888-10</t>
  </si>
  <si>
    <t>WELINGTON JOSE DA SILVA</t>
  </si>
  <si>
    <t>54011271</t>
  </si>
  <si>
    <t>068.589.994-26</t>
  </si>
  <si>
    <t>557</t>
  </si>
  <si>
    <t>555 / 557 / 559</t>
  </si>
  <si>
    <t>RENATA DA CRUZ FERREIRA</t>
  </si>
  <si>
    <t>486443309</t>
  </si>
  <si>
    <t>417.145.898-62</t>
  </si>
  <si>
    <t>BECO 62</t>
  </si>
  <si>
    <t>32 / 30 / 28</t>
  </si>
  <si>
    <t>MARIA IZILDA FERREIRA DOS SANTOS</t>
  </si>
  <si>
    <t>215221291</t>
  </si>
  <si>
    <t>053.129.218-58</t>
  </si>
  <si>
    <t>CHRISTIANE CAETANO DA SILVA</t>
  </si>
  <si>
    <t>329959141</t>
  </si>
  <si>
    <t>283.758.468-13</t>
  </si>
  <si>
    <t>26 / 24 / 22</t>
  </si>
  <si>
    <t>PAULO DA CRUZ SANTOS</t>
  </si>
  <si>
    <t>43160535X</t>
  </si>
  <si>
    <t>342.191.078-27</t>
  </si>
  <si>
    <t>832 / 830 / 828</t>
  </si>
  <si>
    <t>JOSE RAIMUNDO DOS SANTOS</t>
  </si>
  <si>
    <t>34645007X</t>
  </si>
  <si>
    <t>070.177.108-79</t>
  </si>
  <si>
    <t>998 / 996 / 994</t>
  </si>
  <si>
    <t>LUCRECIA MARIA DA SILVA</t>
  </si>
  <si>
    <t>651113854</t>
  </si>
  <si>
    <t>398.934.508-70</t>
  </si>
  <si>
    <t>CLAUDIA MARIA DOS SANTOS</t>
  </si>
  <si>
    <t>238686267</t>
  </si>
  <si>
    <t>133.853.578-10</t>
  </si>
  <si>
    <t>1000</t>
  </si>
  <si>
    <t>998 / 1000 / 1002</t>
  </si>
  <si>
    <t>JULIA MANUELA PORTO DA SILVA</t>
  </si>
  <si>
    <t>486313086</t>
  </si>
  <si>
    <t>410.679.268-01</t>
  </si>
  <si>
    <t>979</t>
  </si>
  <si>
    <t>975 / 979 / 981</t>
  </si>
  <si>
    <t>ANA MARIA SOARES SANTOS</t>
  </si>
  <si>
    <t>566700918</t>
  </si>
  <si>
    <t>609.199.495-68</t>
  </si>
  <si>
    <t>924</t>
  </si>
  <si>
    <t>926 / 924 / 922</t>
  </si>
  <si>
    <t>EDGAR FARIAS DA SILVA</t>
  </si>
  <si>
    <t>48643270</t>
  </si>
  <si>
    <t>402.451.908-56</t>
  </si>
  <si>
    <t>972</t>
  </si>
  <si>
    <t>970 / 972 / 974</t>
  </si>
  <si>
    <t>LETICIA ALVES DA SILVA</t>
  </si>
  <si>
    <t>463729213</t>
  </si>
  <si>
    <t>402.058.878-30</t>
  </si>
  <si>
    <t>562</t>
  </si>
  <si>
    <t>564 / 562 / 560</t>
  </si>
  <si>
    <t>LENILDA SOARES DA SILVA</t>
  </si>
  <si>
    <t>534019249</t>
  </si>
  <si>
    <t>313.824.328-28</t>
  </si>
  <si>
    <t xml:space="preserve">JOYLENE  DA CRUZ CAIRO </t>
  </si>
  <si>
    <t>491775647</t>
  </si>
  <si>
    <t>433.134.068-66</t>
  </si>
  <si>
    <t>77 / 79 / 81</t>
  </si>
  <si>
    <t xml:space="preserve">MICHELE  BISPO </t>
  </si>
  <si>
    <t>469120630</t>
  </si>
  <si>
    <t>378.581.998-62</t>
  </si>
  <si>
    <t xml:space="preserve">ADRIANO SOUZA DO NASCIMENTO </t>
  </si>
  <si>
    <t>674404920</t>
  </si>
  <si>
    <t>061.016.785-55</t>
  </si>
  <si>
    <t xml:space="preserve">NATALI DE JESUS GONÇALVES </t>
  </si>
  <si>
    <t>41886052X</t>
  </si>
  <si>
    <t>375.906.688-77</t>
  </si>
  <si>
    <t>91 / 93 / 104</t>
  </si>
  <si>
    <t>EDMILSON FERREIRA SIQUEIRA</t>
  </si>
  <si>
    <t>530561074</t>
  </si>
  <si>
    <t>014.978.171-70</t>
  </si>
  <si>
    <t>78 / 60 / 62</t>
  </si>
  <si>
    <t xml:space="preserve">PATRICIA BATALHA DO NASCIMENTO </t>
  </si>
  <si>
    <t>489925534</t>
  </si>
  <si>
    <t>422.310.638-40</t>
  </si>
  <si>
    <t xml:space="preserve">ANA PAULA AZEVEDO DOS SANTOS </t>
  </si>
  <si>
    <t>393653249</t>
  </si>
  <si>
    <t>366.541.638-85</t>
  </si>
  <si>
    <t xml:space="preserve">SIMONE REGINA RIBEIRO </t>
  </si>
  <si>
    <t>602713687</t>
  </si>
  <si>
    <t>064.565.179-66</t>
  </si>
  <si>
    <t xml:space="preserve">JEFFERSON PEQUENO DA SILVA </t>
  </si>
  <si>
    <t>407296669</t>
  </si>
  <si>
    <t>451.280.528-18</t>
  </si>
  <si>
    <t xml:space="preserve">JOANA D'ARC SOUSA BORGES </t>
  </si>
  <si>
    <t>558584081</t>
  </si>
  <si>
    <t>012.707.511-90</t>
  </si>
  <si>
    <t>85 / 87 / 90</t>
  </si>
  <si>
    <t xml:space="preserve">ROBERTO FIRMINO DA SILVA </t>
  </si>
  <si>
    <t>104146011</t>
  </si>
  <si>
    <t>018.457.558-39</t>
  </si>
  <si>
    <t>ANGELA  MARIA HONORATO FERNANDES MENEZES</t>
  </si>
  <si>
    <t>290197764</t>
  </si>
  <si>
    <t>321.426.118-50</t>
  </si>
  <si>
    <t>224</t>
  </si>
  <si>
    <t>0 / 224 / 227</t>
  </si>
  <si>
    <t xml:space="preserve">SAMUEL  ASAFE OLIVEIRA DA SILVA </t>
  </si>
  <si>
    <t>492372603</t>
  </si>
  <si>
    <t>505.598.978-55</t>
  </si>
  <si>
    <t xml:space="preserve">JOSE VALMIR ANDRADE DOS SANTOS </t>
  </si>
  <si>
    <t>520654298</t>
  </si>
  <si>
    <t>275.515.168-40</t>
  </si>
  <si>
    <t>ALEXANDRA SOARES BARBOSA</t>
  </si>
  <si>
    <t>475053059</t>
  </si>
  <si>
    <t>356.104.168-09</t>
  </si>
  <si>
    <t>S1 QD8 N68</t>
  </si>
  <si>
    <t>CARLOS ROBERTO PEREIRA</t>
  </si>
  <si>
    <t>309457269</t>
  </si>
  <si>
    <t>228.112.588-25</t>
  </si>
  <si>
    <t>S1 QD8 N69</t>
  </si>
  <si>
    <t>08 / 07 / 06</t>
  </si>
  <si>
    <t>COSME PINHEIRO DAMASCENA</t>
  </si>
  <si>
    <t>89484630</t>
  </si>
  <si>
    <t>921.006.358-91</t>
  </si>
  <si>
    <t>S1 QD8 N73</t>
  </si>
  <si>
    <t>12 / 11 / 10</t>
  </si>
  <si>
    <t>MARIA GENIVALDA PEREIRA DA CRUZ</t>
  </si>
  <si>
    <t>52065612</t>
  </si>
  <si>
    <t>554.446.363-87</t>
  </si>
  <si>
    <t>194 / 196 / 198</t>
  </si>
  <si>
    <t>JANDILSON JOSE DOS SANTOS</t>
  </si>
  <si>
    <t>48668409X</t>
  </si>
  <si>
    <t>393.780.538-90</t>
  </si>
  <si>
    <t>14 / 13 / 12</t>
  </si>
  <si>
    <t>MANOEL JOSÉ DOS SANTOS</t>
  </si>
  <si>
    <t>MARIA CRISTIANE DA SILVA</t>
  </si>
  <si>
    <t>22436810</t>
  </si>
  <si>
    <t>108.232.188-89</t>
  </si>
  <si>
    <t>S1 QD8 N76</t>
  </si>
  <si>
    <t xml:space="preserve">MARIA DE LOURDES RODRIGUES </t>
  </si>
  <si>
    <t>298639282</t>
  </si>
  <si>
    <t>070.051.108-38</t>
  </si>
  <si>
    <t>ANDRESSA RODRIGUES DOS SANTOS ROCHA</t>
  </si>
  <si>
    <t>467441467</t>
  </si>
  <si>
    <t>443.597.438-07</t>
  </si>
  <si>
    <t>DEBORA LOUREIRO SFAIR</t>
  </si>
  <si>
    <t>463812888</t>
  </si>
  <si>
    <t>393.248.748-61</t>
  </si>
  <si>
    <t>S1 QD8 N78</t>
  </si>
  <si>
    <t>AUDERÍ GERMANO DA SILVA</t>
  </si>
  <si>
    <t>307933714</t>
  </si>
  <si>
    <t>283.460.918-77</t>
  </si>
  <si>
    <t>S1 QD8 N88</t>
  </si>
  <si>
    <t>26 / 25 / 24</t>
  </si>
  <si>
    <t xml:space="preserve">VANDA LUCIA DA LIMA </t>
  </si>
  <si>
    <t>238681841</t>
  </si>
  <si>
    <t>133.750.348-73</t>
  </si>
  <si>
    <t xml:space="preserve">CICERA ADISA MARIA CAMPOS </t>
  </si>
  <si>
    <t>342475721</t>
  </si>
  <si>
    <t>295.322.438-60</t>
  </si>
  <si>
    <t>MARIA CONCEIÇÃO APARECIDA DOS SANTOS</t>
  </si>
  <si>
    <t>350416369</t>
  </si>
  <si>
    <t>070.230.258-98</t>
  </si>
  <si>
    <t>86 / 88 / 90</t>
  </si>
  <si>
    <t>LENI BELKS SILVA</t>
  </si>
  <si>
    <t>97856599</t>
  </si>
  <si>
    <t>053.168.518-70</t>
  </si>
  <si>
    <t xml:space="preserve">ALEX ANDREWS VIEIRA </t>
  </si>
  <si>
    <t>32210879850</t>
  </si>
  <si>
    <t>322.108.798-50</t>
  </si>
  <si>
    <t xml:space="preserve">LILIAN GOMES DE ARAGÃO </t>
  </si>
  <si>
    <t>646656594</t>
  </si>
  <si>
    <t>071.006.915-40</t>
  </si>
  <si>
    <t>TATIANE APARECIDA DE OLIVEIRA SANTOS</t>
  </si>
  <si>
    <t>44399706</t>
  </si>
  <si>
    <t>347.205.778-57</t>
  </si>
  <si>
    <t>ELAINE GOMES DA NEVES</t>
  </si>
  <si>
    <t>63988744</t>
  </si>
  <si>
    <t>572.301.938-42</t>
  </si>
  <si>
    <t>CAMILA STEFANY DAS NEVES SILVA</t>
  </si>
  <si>
    <t>490472552</t>
  </si>
  <si>
    <t>434.536.598-80</t>
  </si>
  <si>
    <t>CLAUDENI SILVA DAS NEVES GOMES</t>
  </si>
  <si>
    <t>55380277</t>
  </si>
  <si>
    <t>289.401.198-94</t>
  </si>
  <si>
    <t>214</t>
  </si>
  <si>
    <t>212 / 214 / 216</t>
  </si>
  <si>
    <t>JOAQUIM ALVES SILVA</t>
  </si>
  <si>
    <t>591233113</t>
  </si>
  <si>
    <t>121.201.308-50</t>
  </si>
  <si>
    <t>206</t>
  </si>
  <si>
    <t>204 / 206 / 208</t>
  </si>
  <si>
    <t>MARCOS DOS SANTOS SILVA</t>
  </si>
  <si>
    <t>590571849</t>
  </si>
  <si>
    <t>531.085.388-02</t>
  </si>
  <si>
    <t>MARIA CLARA DE OLIVEIRA REZENDE</t>
  </si>
  <si>
    <t>575325574</t>
  </si>
  <si>
    <t>581.962.988-46</t>
  </si>
  <si>
    <t>LEONARDO JOSE BARBOSA</t>
  </si>
  <si>
    <t>544110249</t>
  </si>
  <si>
    <t>480.061.628-08</t>
  </si>
  <si>
    <t>SEBASTIÃO TEIXEIRA LORDEIRO FILHO</t>
  </si>
  <si>
    <t>00867510188</t>
  </si>
  <si>
    <t>008.675.101-88</t>
  </si>
  <si>
    <t>MARIA JOSE TENORIO DA SILVA</t>
  </si>
  <si>
    <t>35860543X</t>
  </si>
  <si>
    <t>300.214.598-00</t>
  </si>
  <si>
    <t>NATALINA QUARESMA DA CRUZ</t>
  </si>
  <si>
    <t>177518583</t>
  </si>
  <si>
    <t>280.988.488-92</t>
  </si>
  <si>
    <t>CASA A*</t>
  </si>
  <si>
    <t>JOSE MAICO DOS SANTOS</t>
  </si>
  <si>
    <t>48546908</t>
  </si>
  <si>
    <t>429.894.588-08</t>
  </si>
  <si>
    <t>561</t>
  </si>
  <si>
    <t>559 / 561 / 563</t>
  </si>
  <si>
    <t>ANDERSON DA CRUZ FERREIRA</t>
  </si>
  <si>
    <t>483611621</t>
  </si>
  <si>
    <t>401.412.878-45</t>
  </si>
  <si>
    <t>10 / 8 / 6</t>
  </si>
  <si>
    <t>ROSELI MARIA RIBEIRO</t>
  </si>
  <si>
    <t>245724552</t>
  </si>
  <si>
    <t>133.712.418-40</t>
  </si>
  <si>
    <t>22 / 18 / 16</t>
  </si>
  <si>
    <t>MIGUEL MEDEIROS DA SILVA</t>
  </si>
  <si>
    <t>915.281.196-49</t>
  </si>
  <si>
    <t>8 / 6 / 4</t>
  </si>
  <si>
    <t>JOSE ANTONIO DE NASCIMENTO</t>
  </si>
  <si>
    <t>214375201</t>
  </si>
  <si>
    <t>033.489.368-29</t>
  </si>
  <si>
    <t>904</t>
  </si>
  <si>
    <t>906 / 904 / 902</t>
  </si>
  <si>
    <t>033.489.366-82</t>
  </si>
  <si>
    <t>AGUEDA SAMARA SANTOS LIMA</t>
  </si>
  <si>
    <t>526523992</t>
  </si>
  <si>
    <t>506.159.848-27</t>
  </si>
  <si>
    <t>BECO DO APOLLO</t>
  </si>
  <si>
    <t>JOANINHA SANTOS</t>
  </si>
  <si>
    <t>112717329</t>
  </si>
  <si>
    <t>034.764.668-92</t>
  </si>
  <si>
    <t>VANDETE DOS SANTOS</t>
  </si>
  <si>
    <t>553821167</t>
  </si>
  <si>
    <t>108.404.708-00</t>
  </si>
  <si>
    <t>GILVAN OLIVEIRA CASTRO</t>
  </si>
  <si>
    <t>548869327</t>
  </si>
  <si>
    <t>042.022.635-45</t>
  </si>
  <si>
    <t>LUCINEIDE XAVIER DA SILVA</t>
  </si>
  <si>
    <t>245717298</t>
  </si>
  <si>
    <t>693.946.284-87</t>
  </si>
  <si>
    <t>35 / 37 / 0</t>
  </si>
  <si>
    <t>ROSIMEIRE LIMA SANTOS</t>
  </si>
  <si>
    <t>05693944492</t>
  </si>
  <si>
    <t>056.939.444-92</t>
  </si>
  <si>
    <t>CLEDJANE ANA DA SILVA</t>
  </si>
  <si>
    <t>543208552</t>
  </si>
  <si>
    <t>069.858.004-40</t>
  </si>
  <si>
    <t>SIRLEI DOS SANTOS SILVA</t>
  </si>
  <si>
    <t>368571981</t>
  </si>
  <si>
    <t>419.245.188-30</t>
  </si>
  <si>
    <t>232</t>
  </si>
  <si>
    <t>230 / 232 / 234</t>
  </si>
  <si>
    <t>CELIA ADELAIDE DOS SANTOS</t>
  </si>
  <si>
    <t>118585125</t>
  </si>
  <si>
    <t>028.708.418-33</t>
  </si>
  <si>
    <t xml:space="preserve">RONILSON DE JESUS SANTOS </t>
  </si>
  <si>
    <t>658333197</t>
  </si>
  <si>
    <t>076.336.865-29</t>
  </si>
  <si>
    <t xml:space="preserve">DAYANE SOARES LIMA </t>
  </si>
  <si>
    <t>470084480</t>
  </si>
  <si>
    <t>421.460.928-07</t>
  </si>
  <si>
    <t>CASA 5*</t>
  </si>
  <si>
    <t>15 / 18 / 21</t>
  </si>
  <si>
    <t xml:space="preserve">JOSÉ CLAUDIO DOS SANTOS </t>
  </si>
  <si>
    <t>533423673</t>
  </si>
  <si>
    <t>587.390.685-87</t>
  </si>
  <si>
    <t xml:space="preserve">NIVALDO DOS SANTOS </t>
  </si>
  <si>
    <t>554763394</t>
  </si>
  <si>
    <t>872.651.925-91</t>
  </si>
  <si>
    <t xml:space="preserve">JOSE AMARILDO FARIAS MELO </t>
  </si>
  <si>
    <t>33871692</t>
  </si>
  <si>
    <t>224.233.308-98</t>
  </si>
  <si>
    <t xml:space="preserve">JEANE QUARESMA  MARANHÃO </t>
  </si>
  <si>
    <t>395053511</t>
  </si>
  <si>
    <t>087.948.028-90</t>
  </si>
  <si>
    <t xml:space="preserve">ALEFF DA SILVA FIRMINO </t>
  </si>
  <si>
    <t>342561170</t>
  </si>
  <si>
    <t>432.247.498-57</t>
  </si>
  <si>
    <t>20 / 23 / 25</t>
  </si>
  <si>
    <t xml:space="preserve">LUIZ ANTONIO DE ANDRADE </t>
  </si>
  <si>
    <t>644629861</t>
  </si>
  <si>
    <t>522.680.634-53</t>
  </si>
  <si>
    <t xml:space="preserve">ANA CLÁUDIA DOS SANTOS LEITE </t>
  </si>
  <si>
    <t>397049730</t>
  </si>
  <si>
    <t>382.882.468-42</t>
  </si>
  <si>
    <t>069.966.878-61</t>
  </si>
  <si>
    <t xml:space="preserve">TABATA  LILIANE QUARESMA MARANHÃO </t>
  </si>
  <si>
    <t>420840631</t>
  </si>
  <si>
    <t>372.500.988-02</t>
  </si>
  <si>
    <t>84 / 86 / 88</t>
  </si>
  <si>
    <t xml:space="preserve">JOSE ADNILSON DO NASCIMENTO </t>
  </si>
  <si>
    <t>338242776</t>
  </si>
  <si>
    <t>294.061.668-01</t>
  </si>
  <si>
    <t xml:space="preserve">ROSILENE DA SILVA SANTOS SANTANA </t>
  </si>
  <si>
    <t>321033024</t>
  </si>
  <si>
    <t>332.223.248-40</t>
  </si>
  <si>
    <t xml:space="preserve">JÉSSICA ROSA VICENTE DA SILVA </t>
  </si>
  <si>
    <t xml:space="preserve">EMILLI VITÓRIA PEREIRA DA SILVA </t>
  </si>
  <si>
    <t>566800974</t>
  </si>
  <si>
    <t>458.502.238-43</t>
  </si>
  <si>
    <t xml:space="preserve">GLEICIANE DE OLIVEIRA PEQUENO </t>
  </si>
  <si>
    <t>505357653</t>
  </si>
  <si>
    <t>389.347.688-19</t>
  </si>
  <si>
    <t xml:space="preserve">EDICLEIDA DA CRUZ SANTOS </t>
  </si>
  <si>
    <t>480846455</t>
  </si>
  <si>
    <t>407.482.828-66</t>
  </si>
  <si>
    <t xml:space="preserve">PAULO ROBERTO DA SILVA </t>
  </si>
  <si>
    <t>397057131</t>
  </si>
  <si>
    <t>385.516.098-82</t>
  </si>
  <si>
    <t>163</t>
  </si>
  <si>
    <t>161 / 163 / 165</t>
  </si>
  <si>
    <t xml:space="preserve">MÁRCIA MARIA DA SILVA </t>
  </si>
  <si>
    <t>01309899401</t>
  </si>
  <si>
    <t>013.098.994-01</t>
  </si>
  <si>
    <t>421</t>
  </si>
  <si>
    <t>419 / 421 / 423</t>
  </si>
  <si>
    <t>ADEILSON DE JESUS ALVES</t>
  </si>
  <si>
    <t>46366404</t>
  </si>
  <si>
    <t>352.755.248-03</t>
  </si>
  <si>
    <t>TRAVESSA DA JUVENTUDE</t>
  </si>
  <si>
    <t>416</t>
  </si>
  <si>
    <t>414 / 416 / 418</t>
  </si>
  <si>
    <t>MARIA JOSE RIBEIRO</t>
  </si>
  <si>
    <t>196560194</t>
  </si>
  <si>
    <t>197.534.878-86</t>
  </si>
  <si>
    <t>520</t>
  </si>
  <si>
    <t>518 / 520 / 522</t>
  </si>
  <si>
    <t>ANGÉLICA MORAIS DE LIMA</t>
  </si>
  <si>
    <t>257382860</t>
  </si>
  <si>
    <t>297.097.548-31</t>
  </si>
  <si>
    <t>518</t>
  </si>
  <si>
    <t>516 / 518 / 520</t>
  </si>
  <si>
    <t>JOSEFA SEVERINA CAVALCANTE DA SILVA</t>
  </si>
  <si>
    <t>54715775</t>
  </si>
  <si>
    <t>025.452.868-69</t>
  </si>
  <si>
    <t>402 / 404 / 406</t>
  </si>
  <si>
    <t>JADSON DA SILVA RIBEIRO</t>
  </si>
  <si>
    <t>495.866.638-92</t>
  </si>
  <si>
    <t>414</t>
  </si>
  <si>
    <t>412 / 414 / 416</t>
  </si>
  <si>
    <t>ROSIDETE LUZ SANTOS</t>
  </si>
  <si>
    <t>25271443X</t>
  </si>
  <si>
    <t>004.124.627-61</t>
  </si>
  <si>
    <t>MÁRIO SILVA CARDOSO DA COSTA</t>
  </si>
  <si>
    <t>442701950</t>
  </si>
  <si>
    <t>387.472.138-84</t>
  </si>
  <si>
    <t>427 / 429 / 431</t>
  </si>
  <si>
    <t xml:space="preserve">ANDERSON NEVES DE ANDRADE </t>
  </si>
  <si>
    <t>334948794</t>
  </si>
  <si>
    <t>290.181.428-08</t>
  </si>
  <si>
    <t>424</t>
  </si>
  <si>
    <t>422 / 424 / 426</t>
  </si>
  <si>
    <t xml:space="preserve">MIRIAM JESUS DOS SANTOS </t>
  </si>
  <si>
    <t>38914353</t>
  </si>
  <si>
    <t>368.154.688-60</t>
  </si>
  <si>
    <t>422</t>
  </si>
  <si>
    <t>420 / 422 / 424</t>
  </si>
  <si>
    <t>ALEXSANDRO SANTOS</t>
  </si>
  <si>
    <t>45487853</t>
  </si>
  <si>
    <t>313.457.028-92</t>
  </si>
  <si>
    <t>434</t>
  </si>
  <si>
    <t>432 / 434 / 436</t>
  </si>
  <si>
    <t xml:space="preserve">CLAUDENIR JOSÉ DA CONCEIÇÃO </t>
  </si>
  <si>
    <t>138828994</t>
  </si>
  <si>
    <t>044.058.378-05</t>
  </si>
  <si>
    <t>449</t>
  </si>
  <si>
    <t>447 / 449 / 451</t>
  </si>
  <si>
    <t>JOSÉ MILTON RAMOS FLORENCIO</t>
  </si>
  <si>
    <t>345074075</t>
  </si>
  <si>
    <t>662.214.804-00</t>
  </si>
  <si>
    <t>467</t>
  </si>
  <si>
    <t>465 / 467 / 469</t>
  </si>
  <si>
    <t>RITA DE CASSIA PEREIRA DOS SANTOS</t>
  </si>
  <si>
    <t>384313346</t>
  </si>
  <si>
    <t>345.514.408-09</t>
  </si>
  <si>
    <t>465</t>
  </si>
  <si>
    <t>463 / 465 / 467</t>
  </si>
  <si>
    <t xml:space="preserve">CRISTIANE DOS SANTOS </t>
  </si>
  <si>
    <t>54319782</t>
  </si>
  <si>
    <t>323.446.428-62</t>
  </si>
  <si>
    <t>433</t>
  </si>
  <si>
    <t>431 / 433 / 435</t>
  </si>
  <si>
    <t>JANILY HEMILY DOS SANTOS LIMA</t>
  </si>
  <si>
    <t>498676299</t>
  </si>
  <si>
    <t>412.145.988-11</t>
  </si>
  <si>
    <t>PRISCILA SILVA KOORN</t>
  </si>
  <si>
    <t>351461449</t>
  </si>
  <si>
    <t>303.677.668-09</t>
  </si>
  <si>
    <t>LUCINETE FERREIRA DA SILVA</t>
  </si>
  <si>
    <t>33763049</t>
  </si>
  <si>
    <t>291.252.288-97</t>
  </si>
  <si>
    <t>488 / 470 / 472</t>
  </si>
  <si>
    <t>LUANA CRISTINA FALETTI CHAGAS</t>
  </si>
  <si>
    <t>278780714</t>
  </si>
  <si>
    <t>085.706.327-89</t>
  </si>
  <si>
    <t>428</t>
  </si>
  <si>
    <t>426 / 428 / 430</t>
  </si>
  <si>
    <t>GABRIEL RANULFO DOS SANTOS</t>
  </si>
  <si>
    <t>567580982</t>
  </si>
  <si>
    <t>517.143.948-68</t>
  </si>
  <si>
    <t xml:space="preserve">JOSE CLAUDIO SILVA </t>
  </si>
  <si>
    <t>17950770</t>
  </si>
  <si>
    <t>064.607.428-80</t>
  </si>
  <si>
    <t>420</t>
  </si>
  <si>
    <t>418 / 420 / 422</t>
  </si>
  <si>
    <t xml:space="preserve">TATIANE RIBEIRO ALMEIDA DOS SANTOS </t>
  </si>
  <si>
    <t>48917384</t>
  </si>
  <si>
    <t>412.016.188-94</t>
  </si>
  <si>
    <t>418</t>
  </si>
  <si>
    <t>416 / 418 / 420</t>
  </si>
  <si>
    <t>MARIA DO CARMO RIBEIRO</t>
  </si>
  <si>
    <t>069.943.808-07</t>
  </si>
  <si>
    <t>GELYANNE FRANCES DE ABREU DOS SANTOS</t>
  </si>
  <si>
    <t>485319512</t>
  </si>
  <si>
    <t>442.861.338-50</t>
  </si>
  <si>
    <t>435</t>
  </si>
  <si>
    <t>433 / 435 / 437</t>
  </si>
  <si>
    <t>MARIA CELESTE SALUSTIANO DOS SANTOS</t>
  </si>
  <si>
    <t>217439639</t>
  </si>
  <si>
    <t>121.281.068-69</t>
  </si>
  <si>
    <t>MARIA APARECIDA HONÓRIO CARDOSO</t>
  </si>
  <si>
    <t>141543723</t>
  </si>
  <si>
    <t>254.222.208-89</t>
  </si>
  <si>
    <t>MARIA LENILDE DE JESUS JESUS</t>
  </si>
  <si>
    <t>536497072</t>
  </si>
  <si>
    <t>192.881.388-70</t>
  </si>
  <si>
    <t>441</t>
  </si>
  <si>
    <t>439 / 441 / 443</t>
  </si>
  <si>
    <t>ARISCLEY DE CARVALHO SILVA</t>
  </si>
  <si>
    <t>269.125.868-80</t>
  </si>
  <si>
    <t>431</t>
  </si>
  <si>
    <t>429 / 431 / 433</t>
  </si>
  <si>
    <t xml:space="preserve">JULIANA MUNIZ ESMERALDO </t>
  </si>
  <si>
    <t>451508178</t>
  </si>
  <si>
    <t>339.624.358-75</t>
  </si>
  <si>
    <t>430</t>
  </si>
  <si>
    <t>428 / 430 / 432</t>
  </si>
  <si>
    <t xml:space="preserve">ALDENORA SANTOS RIBEIRO </t>
  </si>
  <si>
    <t>305904140</t>
  </si>
  <si>
    <t>557.236.325-15</t>
  </si>
  <si>
    <t>443</t>
  </si>
  <si>
    <t>441 / 443 / 445</t>
  </si>
  <si>
    <t>VALMIR BISPO DE JESUS</t>
  </si>
  <si>
    <t>367759275</t>
  </si>
  <si>
    <t>277.834.805-00</t>
  </si>
  <si>
    <t xml:space="preserve">EDER SANTOS DA CONCEIÇÃO </t>
  </si>
  <si>
    <t>483617660</t>
  </si>
  <si>
    <t>391.818.108-14</t>
  </si>
  <si>
    <t>MARTA SANTOS CINTRA</t>
  </si>
  <si>
    <t>333.814.758-94</t>
  </si>
  <si>
    <t>EDGARD APARECIDODE OLIVEIRA</t>
  </si>
  <si>
    <t>188103119</t>
  </si>
  <si>
    <t>074.194.468-57</t>
  </si>
  <si>
    <t>455</t>
  </si>
  <si>
    <t>453 / 455 / 457</t>
  </si>
  <si>
    <t>GESSIVAN EMERSON DE ABREU</t>
  </si>
  <si>
    <t>242057883</t>
  </si>
  <si>
    <t>117.510.188-57</t>
  </si>
  <si>
    <t>443 / 455 / 447</t>
  </si>
  <si>
    <t>GILMAR IVAN DE ABREU</t>
  </si>
  <si>
    <t>329958744</t>
  </si>
  <si>
    <t>280.343.538-17</t>
  </si>
  <si>
    <t>453</t>
  </si>
  <si>
    <t>451 / 453 / 455</t>
  </si>
  <si>
    <t>VANUZIA DOS SANTOS</t>
  </si>
  <si>
    <t>561575204</t>
  </si>
  <si>
    <t>518.340.065-20</t>
  </si>
  <si>
    <t>MARIA DAS DORES DOS SANTOS FEITOSA</t>
  </si>
  <si>
    <t>1080026784</t>
  </si>
  <si>
    <t>108.282.888-28</t>
  </si>
  <si>
    <t>467 / 469 / 471</t>
  </si>
  <si>
    <t xml:space="preserve">RAPHAEL AUGUSTO MARTINS DE LIMA </t>
  </si>
  <si>
    <t>43917898</t>
  </si>
  <si>
    <t>428.180.718-79</t>
  </si>
  <si>
    <t>477</t>
  </si>
  <si>
    <t>475 / 477 / 482</t>
  </si>
  <si>
    <t xml:space="preserve">SUELI MEDEIROS INÁCIO </t>
  </si>
  <si>
    <t>289209122</t>
  </si>
  <si>
    <t>199.263.728-80</t>
  </si>
  <si>
    <t>HELLYNMARES MARIA MENDES DA SILVA</t>
  </si>
  <si>
    <t>495585075</t>
  </si>
  <si>
    <t>381.345.528-97</t>
  </si>
  <si>
    <t>FUNDOS 3</t>
  </si>
  <si>
    <t>HELLYNSON MIGUEL MENDES DA SILVA</t>
  </si>
  <si>
    <t>495585142</t>
  </si>
  <si>
    <t>415.450.938-14</t>
  </si>
  <si>
    <t>PAULA FRANCIANE GOMES GERMANO</t>
  </si>
  <si>
    <t>441655142</t>
  </si>
  <si>
    <t>224.204.888-06</t>
  </si>
  <si>
    <t>436</t>
  </si>
  <si>
    <t>434 / 436 / 438</t>
  </si>
  <si>
    <t>EDNA RODRIGUES DA SILVA</t>
  </si>
  <si>
    <t>509392210</t>
  </si>
  <si>
    <t>011.118.064-38</t>
  </si>
  <si>
    <t>426</t>
  </si>
  <si>
    <t>424 / 426 / 428</t>
  </si>
  <si>
    <t xml:space="preserve">VICTOR ALMEIDA DO NASCIMENTO </t>
  </si>
  <si>
    <t>532703881</t>
  </si>
  <si>
    <t>470.157.698-08</t>
  </si>
  <si>
    <t>JOYCE FREITAS DA SILVA FEITOSA</t>
  </si>
  <si>
    <t>447773823</t>
  </si>
  <si>
    <t>346.917.168-82</t>
  </si>
  <si>
    <t>612 / 614 / 616</t>
  </si>
  <si>
    <t xml:space="preserve">VINÍCIUS CRUZ DA SILVA </t>
  </si>
  <si>
    <t>455076431</t>
  </si>
  <si>
    <t>467.943.138-55</t>
  </si>
  <si>
    <t xml:space="preserve">LENIR GONÇALVES COSTA </t>
  </si>
  <si>
    <t>263045109</t>
  </si>
  <si>
    <t>133.917.358-13</t>
  </si>
  <si>
    <t>601 / 604 / 606</t>
  </si>
  <si>
    <t xml:space="preserve">LENIR  GONÇALVES COSTA </t>
  </si>
  <si>
    <t>604 / 606 / 609</t>
  </si>
  <si>
    <t xml:space="preserve">MARIA DE FATIMA PEREIRA DA SILVA </t>
  </si>
  <si>
    <t>67167867X</t>
  </si>
  <si>
    <t>062.896.253-30</t>
  </si>
  <si>
    <t>TRAVESSA DA FÉ</t>
  </si>
  <si>
    <t>03 / 05 / 09</t>
  </si>
  <si>
    <t xml:space="preserve">ROSIVALDO DA SILVA BEZERRA </t>
  </si>
  <si>
    <t>556715688</t>
  </si>
  <si>
    <t>086.509.194-30</t>
  </si>
  <si>
    <t xml:space="preserve">RAFAEL ANTONIO VEIGA DA SILVA </t>
  </si>
  <si>
    <t>54209921</t>
  </si>
  <si>
    <t>458.583.208-48</t>
  </si>
  <si>
    <t xml:space="preserve">ANTÔNIO JOSÉ DA SILVA </t>
  </si>
  <si>
    <t>4432396</t>
  </si>
  <si>
    <t>173.871.934-48</t>
  </si>
  <si>
    <t xml:space="preserve">EDILSON PEREIRA DO MONTE </t>
  </si>
  <si>
    <t>43891194</t>
  </si>
  <si>
    <t>379 / 381 / 383</t>
  </si>
  <si>
    <t xml:space="preserve">LEILA COSTA FREITAS DA SILVA </t>
  </si>
  <si>
    <t>448693884</t>
  </si>
  <si>
    <t>382.640.148-44</t>
  </si>
  <si>
    <t>FUNDO 5</t>
  </si>
  <si>
    <t>JOSE ADELINO DOS SANTOS</t>
  </si>
  <si>
    <t>5982251157</t>
  </si>
  <si>
    <t>001.494.255-03</t>
  </si>
  <si>
    <t xml:space="preserve">JOSE RONALDO SANTOS DE CARVALHO </t>
  </si>
  <si>
    <t>284470600</t>
  </si>
  <si>
    <t>283.900.778-92</t>
  </si>
  <si>
    <t>FUNDOS 2</t>
  </si>
  <si>
    <t xml:space="preserve">ELIZABETE SILVESTRE SILVA </t>
  </si>
  <si>
    <t>353956429</t>
  </si>
  <si>
    <t>285.607.738-27</t>
  </si>
  <si>
    <t>445</t>
  </si>
  <si>
    <t>443 / 445 / 447</t>
  </si>
  <si>
    <t>EDINEIA DA SILVA</t>
  </si>
  <si>
    <t>169536403</t>
  </si>
  <si>
    <t>060.127.638-83</t>
  </si>
  <si>
    <t>CAMINHO DA ESPERANÇA</t>
  </si>
  <si>
    <t>302</t>
  </si>
  <si>
    <t>300 / 302 / 304</t>
  </si>
  <si>
    <t xml:space="preserve">SILVANA DOS SANTOS COSTA GALVÃO </t>
  </si>
  <si>
    <t>255694921</t>
  </si>
  <si>
    <t>254.121.368-93</t>
  </si>
  <si>
    <t xml:space="preserve">LARENICE MARIA DE JESUS </t>
  </si>
  <si>
    <t>189371444</t>
  </si>
  <si>
    <t>082.630.038-30</t>
  </si>
  <si>
    <t>326</t>
  </si>
  <si>
    <t>324 / 326 / 328</t>
  </si>
  <si>
    <t xml:space="preserve">ANA MARIA DOS SANTOS </t>
  </si>
  <si>
    <t>230362187</t>
  </si>
  <si>
    <t>126.455.298-01</t>
  </si>
  <si>
    <t>328</t>
  </si>
  <si>
    <t>ALTO</t>
  </si>
  <si>
    <t>326 / 328 / 330</t>
  </si>
  <si>
    <t>ANGELICA MARIA DA SILVA</t>
  </si>
  <si>
    <t>464372070</t>
  </si>
  <si>
    <t>387.573.318-55</t>
  </si>
  <si>
    <t>342</t>
  </si>
  <si>
    <t>340 / 342 / 344</t>
  </si>
  <si>
    <t>MALIZETE FERREIRA DE JESUS</t>
  </si>
  <si>
    <t>291.681.568-63</t>
  </si>
  <si>
    <t>473</t>
  </si>
  <si>
    <t>471 / 473 / 475</t>
  </si>
  <si>
    <t>VILMA MOREIRA XAVIER</t>
  </si>
  <si>
    <t>23806105X</t>
  </si>
  <si>
    <t>134.075.588-21</t>
  </si>
  <si>
    <t xml:space="preserve">ANA CRISTINA BONFIM DA SILVA </t>
  </si>
  <si>
    <t>46838182X</t>
  </si>
  <si>
    <t>310.757.308-64</t>
  </si>
  <si>
    <t>FLORIPES BARBOSA DOS SANTOS</t>
  </si>
  <si>
    <t>171326258</t>
  </si>
  <si>
    <t>108.337.608-07</t>
  </si>
  <si>
    <t>CAMINHO DA ESPERANÇA TRAVESSA DA ESPERANÇA</t>
  </si>
  <si>
    <t>310</t>
  </si>
  <si>
    <t>308 / 310 / 312</t>
  </si>
  <si>
    <t>FLAVIO DA SILVA GOES</t>
  </si>
  <si>
    <t>425541447</t>
  </si>
  <si>
    <t>374.112.728-09</t>
  </si>
  <si>
    <t>308</t>
  </si>
  <si>
    <t>306 / 308 / 310</t>
  </si>
  <si>
    <t xml:space="preserve">JOSE EVERALDO LOPES </t>
  </si>
  <si>
    <t>225456151</t>
  </si>
  <si>
    <t>108.365.068-80</t>
  </si>
  <si>
    <t>340</t>
  </si>
  <si>
    <t>338 / 340 / 342</t>
  </si>
  <si>
    <t>SIMPLICIANO DE JESUS FILHO</t>
  </si>
  <si>
    <t>128663406</t>
  </si>
  <si>
    <t>101.797.045-91</t>
  </si>
  <si>
    <t>346</t>
  </si>
  <si>
    <t>344 / 346 / 348</t>
  </si>
  <si>
    <t>VIVIANE SANTOS DE SÁ RIBEIRO</t>
  </si>
  <si>
    <t>409108601</t>
  </si>
  <si>
    <t>303.613.318-60</t>
  </si>
  <si>
    <t xml:space="preserve">MARIA RITA ALMEIDA </t>
  </si>
  <si>
    <t>535336482</t>
  </si>
  <si>
    <t>758.295.415-72</t>
  </si>
  <si>
    <t>350</t>
  </si>
  <si>
    <t>348 / 350 / 352</t>
  </si>
  <si>
    <t xml:space="preserve">MARCELO BASTOS </t>
  </si>
  <si>
    <t>221184399</t>
  </si>
  <si>
    <t>097.844.368-33</t>
  </si>
  <si>
    <t xml:space="preserve">LEANDRO CELINO DA SILVA </t>
  </si>
  <si>
    <t>50105140</t>
  </si>
  <si>
    <t>384.472.468-09</t>
  </si>
  <si>
    <t xml:space="preserve">ANTONIO BATISTA FERREIRA </t>
  </si>
  <si>
    <t>634447427</t>
  </si>
  <si>
    <t>424.804.509-53</t>
  </si>
  <si>
    <t>ANACLETO LUIZ DA SILVA</t>
  </si>
  <si>
    <t>204616517</t>
  </si>
  <si>
    <t>070.249.428-35</t>
  </si>
  <si>
    <t>CAMINHO DA ESPERANÇA VIELA C</t>
  </si>
  <si>
    <t>RITA DE CÁSSIA DIONISIO CAVALCANTE</t>
  </si>
  <si>
    <t>343.701.788-86</t>
  </si>
  <si>
    <t>IZABELLE MONTEIRO COELHO MARTINEZ</t>
  </si>
  <si>
    <t>501714844</t>
  </si>
  <si>
    <t>464.662.048-04</t>
  </si>
  <si>
    <t>CAMINHO DA ESPERANÇA VIELA B</t>
  </si>
  <si>
    <t>SIMONE LOPES MOLINA</t>
  </si>
  <si>
    <t>296080901</t>
  </si>
  <si>
    <t>323.544.858-67</t>
  </si>
  <si>
    <t>356</t>
  </si>
  <si>
    <t>354 / 356 / 358</t>
  </si>
  <si>
    <t>APARECIDA MESSIAS DE SOUZA</t>
  </si>
  <si>
    <t>537713505</t>
  </si>
  <si>
    <t>742.269.244-87</t>
  </si>
  <si>
    <t>CAMINHO DA ESPERANÇA VIELA A</t>
  </si>
  <si>
    <t>323 / 321 / 325</t>
  </si>
  <si>
    <t>CYNTHIA SOUZA MENDES</t>
  </si>
  <si>
    <t>441650648</t>
  </si>
  <si>
    <t>342.546.188-59</t>
  </si>
  <si>
    <t>ELIANA CRISTINA DE JESUS</t>
  </si>
  <si>
    <t>56809900X</t>
  </si>
  <si>
    <t>719.219.075-68</t>
  </si>
  <si>
    <t xml:space="preserve">ELAINE SOARES DE MOURA ROMÃO </t>
  </si>
  <si>
    <t>326755780</t>
  </si>
  <si>
    <t>221.413.508-16</t>
  </si>
  <si>
    <t>EDINALDO FERREIRA DE LIMA</t>
  </si>
  <si>
    <t>25700434</t>
  </si>
  <si>
    <t>256.989.218-14</t>
  </si>
  <si>
    <t>NAYRA THAMYRES PEREIRA SAMPAIO</t>
  </si>
  <si>
    <t>469263817</t>
  </si>
  <si>
    <t>469.943.898-29</t>
  </si>
  <si>
    <t>67 / 69 / 71</t>
  </si>
  <si>
    <t>CARLOS EDUARDO SAMPAIO</t>
  </si>
  <si>
    <t>53401719</t>
  </si>
  <si>
    <t>469.944.538-12</t>
  </si>
  <si>
    <t xml:space="preserve">IONETE FERNANDES DOS SANTOS </t>
  </si>
  <si>
    <t>637840884</t>
  </si>
  <si>
    <t>736.710.705-44</t>
  </si>
  <si>
    <t>VALDIRA VIEIRA DOS SANTOS</t>
  </si>
  <si>
    <t>534031687</t>
  </si>
  <si>
    <t>289.393.848-57</t>
  </si>
  <si>
    <t>ANDRÉ RODRIGUES DA SILVA</t>
  </si>
  <si>
    <t>578876346</t>
  </si>
  <si>
    <t>977.825.215-72</t>
  </si>
  <si>
    <t>360</t>
  </si>
  <si>
    <t>358 / 360 / 362</t>
  </si>
  <si>
    <t xml:space="preserve">JOSEFA MARIA DA SILVA </t>
  </si>
  <si>
    <t>525811102</t>
  </si>
  <si>
    <t>425.769.464-53</t>
  </si>
  <si>
    <t>352</t>
  </si>
  <si>
    <t>350 / 352 / 354</t>
  </si>
  <si>
    <t>JOSE EVERALDO DA SILVA</t>
  </si>
  <si>
    <t>71774579</t>
  </si>
  <si>
    <t>972.154.308-04</t>
  </si>
  <si>
    <t>LUCIENE DOS SANTOS</t>
  </si>
  <si>
    <t>601673967</t>
  </si>
  <si>
    <t>008.364.845-33</t>
  </si>
  <si>
    <t>354</t>
  </si>
  <si>
    <t>352 / 354 / 356</t>
  </si>
  <si>
    <t>IAGO TEIXEIRA DE OLIVEIRA</t>
  </si>
  <si>
    <t>499722802</t>
  </si>
  <si>
    <t>444.549.238-84</t>
  </si>
  <si>
    <t>MURILO MARTINS DA SILVA</t>
  </si>
  <si>
    <t>628522265</t>
  </si>
  <si>
    <t>517.539.388-05</t>
  </si>
  <si>
    <t>MIRALVA CALÓ SANTOS</t>
  </si>
  <si>
    <t>317.177.628-67</t>
  </si>
  <si>
    <t>358</t>
  </si>
  <si>
    <t>356 / 358 / 360</t>
  </si>
  <si>
    <t>PATRICIA BEZERRA ALVES PEREIRA</t>
  </si>
  <si>
    <t>365502406</t>
  </si>
  <si>
    <t>323.762.118-83</t>
  </si>
  <si>
    <t>437</t>
  </si>
  <si>
    <t>435 / 437 / 439</t>
  </si>
  <si>
    <t>JAIME DE JESUS ALMEIDA</t>
  </si>
  <si>
    <t>330851573</t>
  </si>
  <si>
    <t>310.728.708-35</t>
  </si>
  <si>
    <t>419</t>
  </si>
  <si>
    <t>417 / 419 / 421</t>
  </si>
  <si>
    <t>ROMINA DE PAULA RIBEIRO</t>
  </si>
  <si>
    <t>252581945</t>
  </si>
  <si>
    <t>197.552.778-03</t>
  </si>
  <si>
    <t>913</t>
  </si>
  <si>
    <t>911 / 913 / 915</t>
  </si>
  <si>
    <t>FRANCYELLE XAVIER DE JESUS</t>
  </si>
  <si>
    <t>565372993</t>
  </si>
  <si>
    <t>402.672.868-48</t>
  </si>
  <si>
    <t>JOSE MARCOS MARQUES DA SILVA</t>
  </si>
  <si>
    <t>214366650</t>
  </si>
  <si>
    <t>025.355.018-13</t>
  </si>
  <si>
    <t>921</t>
  </si>
  <si>
    <t>919 / 921 / 923</t>
  </si>
  <si>
    <t>CRISTIANA DA CRUZ</t>
  </si>
  <si>
    <t>530578554</t>
  </si>
  <si>
    <t>233.877.378-07</t>
  </si>
  <si>
    <t>JANETE BATISTA RIBEIRO</t>
  </si>
  <si>
    <t>357345496</t>
  </si>
  <si>
    <t>250.380.498-50</t>
  </si>
  <si>
    <t>JOÃO ANTONIO DA CRUZ</t>
  </si>
  <si>
    <t>10408067X</t>
  </si>
  <si>
    <t>010.611.188-43</t>
  </si>
  <si>
    <t>MONICA DA CONCEIÇÃO LAGE</t>
  </si>
  <si>
    <t>321037236</t>
  </si>
  <si>
    <t>291.839.338-08</t>
  </si>
  <si>
    <t>ANTONIO PEREIRA SANDES</t>
  </si>
  <si>
    <t>189368159</t>
  </si>
  <si>
    <t>069.939.438-40</t>
  </si>
  <si>
    <t>327</t>
  </si>
  <si>
    <t>325 / 327 / 329</t>
  </si>
  <si>
    <t xml:space="preserve">MARINALVA RODRIGUES DE SOUZA </t>
  </si>
  <si>
    <t>19901744X</t>
  </si>
  <si>
    <t>045.973.138-69</t>
  </si>
  <si>
    <t>312</t>
  </si>
  <si>
    <t>310 / 312 / 314</t>
  </si>
  <si>
    <t xml:space="preserve">MARCELO HENRIQUE SANTOS BARBOSA </t>
  </si>
  <si>
    <t>21751790</t>
  </si>
  <si>
    <t>069.384.705-02</t>
  </si>
  <si>
    <t>FRANCISCO BERNARDO</t>
  </si>
  <si>
    <t>323468718</t>
  </si>
  <si>
    <t>100.230.545-49</t>
  </si>
  <si>
    <t>321 / 323 / 325</t>
  </si>
  <si>
    <t>LEANDRO DE ANDRADE BARBOSA</t>
  </si>
  <si>
    <t>377089333</t>
  </si>
  <si>
    <t>331.732.548-80</t>
  </si>
  <si>
    <t>ROSILENE VAZ PINTO</t>
  </si>
  <si>
    <t>527782725</t>
  </si>
  <si>
    <t>038.582.429-77</t>
  </si>
  <si>
    <t>ELAINE CRISTINA FERREIRA CARVALHO</t>
  </si>
  <si>
    <t>3037533389</t>
  </si>
  <si>
    <t>284.781.048-01</t>
  </si>
  <si>
    <t>ERICA MARIA DO SACRAMENTO</t>
  </si>
  <si>
    <t>531188851</t>
  </si>
  <si>
    <t>016.874.425-25</t>
  </si>
  <si>
    <t>MILTON COIMBRA RIBEIRO</t>
  </si>
  <si>
    <t>634729573</t>
  </si>
  <si>
    <t>310.070.155-00</t>
  </si>
  <si>
    <t>348</t>
  </si>
  <si>
    <t>346 / 348 / 350</t>
  </si>
  <si>
    <t>JACIELE DA SILVA PEREIRA</t>
  </si>
  <si>
    <t>556768176</t>
  </si>
  <si>
    <t>377.707.128-58</t>
  </si>
  <si>
    <t>PABLO PEIXOTO DIMOPOULOS BUENO</t>
  </si>
  <si>
    <t>55.291.461-7</t>
  </si>
  <si>
    <t>429.234.308-08</t>
  </si>
  <si>
    <t xml:space="preserve">MARIA INES GONÇALVES DIAS DA SILVA </t>
  </si>
  <si>
    <t>549.806.958-84</t>
  </si>
  <si>
    <t xml:space="preserve">LUANA INACIO MARQUES </t>
  </si>
  <si>
    <t>37.775.303-8</t>
  </si>
  <si>
    <t>353.838.838-51</t>
  </si>
  <si>
    <t>FLAUDINEI SANTOS COSTA</t>
  </si>
  <si>
    <t>390046206</t>
  </si>
  <si>
    <t>366.773.598-75</t>
  </si>
  <si>
    <t xml:space="preserve">IRISANDRA FELIPE SILVA SANTOS MIRANDA </t>
  </si>
  <si>
    <t>275.383.268-47</t>
  </si>
  <si>
    <t>329 / 331 / 333</t>
  </si>
  <si>
    <t>VANDILSON MATIAS TRAJANO</t>
  </si>
  <si>
    <t>543184262</t>
  </si>
  <si>
    <t>029.041.214-55</t>
  </si>
  <si>
    <t>LOURIVAL RODRIGUES DE MEDEIROS</t>
  </si>
  <si>
    <t>536511585</t>
  </si>
  <si>
    <t>772.221.723-00</t>
  </si>
  <si>
    <t>327 / 329 / 331</t>
  </si>
  <si>
    <t>IRISANDRA FELIPE SILVA SANTOS MIRANDA</t>
  </si>
  <si>
    <t xml:space="preserve">JANEMEIRE DOS SANTOS </t>
  </si>
  <si>
    <t>579171371</t>
  </si>
  <si>
    <t>895.088.155-15</t>
  </si>
  <si>
    <t>CS1 S2 QD2 N36</t>
  </si>
  <si>
    <t>MARIA LOURDES DE ARAUJO</t>
  </si>
  <si>
    <t>382169827</t>
  </si>
  <si>
    <t>057.027.738-88</t>
  </si>
  <si>
    <t>S03 QD10 N35</t>
  </si>
  <si>
    <t>MOACIR INACIO DA COSTA</t>
  </si>
  <si>
    <t>55381527</t>
  </si>
  <si>
    <t>716.191.354-34</t>
  </si>
  <si>
    <t>439</t>
  </si>
  <si>
    <t>437 / 439 / 441</t>
  </si>
  <si>
    <t>MARCELO GERBI</t>
  </si>
  <si>
    <t>296453729</t>
  </si>
  <si>
    <t>264.166.178-03</t>
  </si>
  <si>
    <t>S3 QD10 N44</t>
  </si>
  <si>
    <t>CARLA MARTINI DOS SANTOS SILVA</t>
  </si>
  <si>
    <t>23869584</t>
  </si>
  <si>
    <t>187.707.348-28</t>
  </si>
  <si>
    <t xml:space="preserve">LUIZ CARLOS DA SILVA COSTA </t>
  </si>
  <si>
    <t>478635291</t>
  </si>
  <si>
    <t>377.874.758-46</t>
  </si>
  <si>
    <t>3 / 6 / 8</t>
  </si>
  <si>
    <t xml:space="preserve">JOSEFA SANTOS CONCEIÇÃO </t>
  </si>
  <si>
    <t>131512912</t>
  </si>
  <si>
    <t>276.245.148-50</t>
  </si>
  <si>
    <t>190</t>
  </si>
  <si>
    <t>188 / 190 / 193</t>
  </si>
  <si>
    <t xml:space="preserve">CATIA CILENE DOS SANTOS </t>
  </si>
  <si>
    <t>33253327X</t>
  </si>
  <si>
    <t>274.466.068-00</t>
  </si>
  <si>
    <t>803</t>
  </si>
  <si>
    <t>801 / 803 / 805</t>
  </si>
  <si>
    <t xml:space="preserve">RIAN  HENRIQUE MELCHER MIRANDA </t>
  </si>
  <si>
    <t>609111711</t>
  </si>
  <si>
    <t>519.664.968-63</t>
  </si>
  <si>
    <t>1124 / 1126 / 1128</t>
  </si>
  <si>
    <t xml:space="preserve">RAMELA ISABEL DE ASSIZ CASTRO SILVA </t>
  </si>
  <si>
    <t>675370255</t>
  </si>
  <si>
    <t>860.161.225-30</t>
  </si>
  <si>
    <t xml:space="preserve">KELLY SOUZA MIRANDA </t>
  </si>
  <si>
    <t>346462526</t>
  </si>
  <si>
    <t>227.129.358-88</t>
  </si>
  <si>
    <t xml:space="preserve">CARLOS FRANCISCO DOS SANTOS </t>
  </si>
  <si>
    <t>35632109</t>
  </si>
  <si>
    <t>317.903.178-60</t>
  </si>
  <si>
    <t>S02 QD11 N11</t>
  </si>
  <si>
    <t xml:space="preserve">MARIA JURINEYDE DE FREITAS </t>
  </si>
  <si>
    <t>165900398</t>
  </si>
  <si>
    <t>221.303.224-68</t>
  </si>
  <si>
    <t>S03 QD11 N01</t>
  </si>
  <si>
    <t xml:space="preserve">JORGE CLAUDIO DA SILVA RIBEIRO </t>
  </si>
  <si>
    <t>507541182</t>
  </si>
  <si>
    <t>197.658.000-53</t>
  </si>
  <si>
    <t>S03 QD04 N11</t>
  </si>
  <si>
    <t xml:space="preserve">GESSICA ARAUJO DOS SANTOS </t>
  </si>
  <si>
    <t>37026531</t>
  </si>
  <si>
    <t>445.999.668-51</t>
  </si>
  <si>
    <t>S03 QD058 N29</t>
  </si>
  <si>
    <t xml:space="preserve">VITORIA MELO NASCIMENTO </t>
  </si>
  <si>
    <t>533424896</t>
  </si>
  <si>
    <t>535.966.288-30</t>
  </si>
  <si>
    <t>S03 QD04 N25</t>
  </si>
  <si>
    <t xml:space="preserve">DANIELA DA CRUZ OLIVEIRA </t>
  </si>
  <si>
    <t>28534376-2</t>
  </si>
  <si>
    <t>199.421.198-92</t>
  </si>
  <si>
    <t>03 QD11 N05</t>
  </si>
  <si>
    <t>4 / 6 / 5</t>
  </si>
  <si>
    <t>BRUNA LUANA COSTA</t>
  </si>
  <si>
    <t>459065518</t>
  </si>
  <si>
    <t>389.347.738-12</t>
  </si>
  <si>
    <t>S03 QD06 N24</t>
  </si>
  <si>
    <t xml:space="preserve">ROGERIO FERNANDES DA SILVA </t>
  </si>
  <si>
    <t>298642633</t>
  </si>
  <si>
    <t>252.211.668-10</t>
  </si>
  <si>
    <t>S03 QD04 N30</t>
  </si>
  <si>
    <t xml:space="preserve">ARYSSON OLIVEIRA DOS SANTOS </t>
  </si>
  <si>
    <t>577159252</t>
  </si>
  <si>
    <t>471.520.638-26</t>
  </si>
  <si>
    <t>S03 QD04 N31</t>
  </si>
  <si>
    <t>21 / 23 / 22</t>
  </si>
  <si>
    <t>CARLOS ANTONIO BARBOSA DA SILVA</t>
  </si>
  <si>
    <t>214361913</t>
  </si>
  <si>
    <t>069.941.448-28</t>
  </si>
  <si>
    <t xml:space="preserve">ADRIANO DOS SANTOS MIRANDA </t>
  </si>
  <si>
    <t>393574167</t>
  </si>
  <si>
    <t>409.470.538-40</t>
  </si>
  <si>
    <t>CS2 S2 QD2 N95</t>
  </si>
  <si>
    <t>ALBA REGINA SANTOS SENA</t>
  </si>
  <si>
    <t>63053973X</t>
  </si>
  <si>
    <t>076.723.914-88</t>
  </si>
  <si>
    <t>S03 QD10 N50</t>
  </si>
  <si>
    <t>PRISCILA CAMPOS DE CASTRO</t>
  </si>
  <si>
    <t>347.333.578-93</t>
  </si>
  <si>
    <t>S02 QD09 N03</t>
  </si>
  <si>
    <t>ALESSANDRA CHRISTIANNE DOS SANTOS ANDRADE</t>
  </si>
  <si>
    <t>335765142</t>
  </si>
  <si>
    <t>357.806.328-20</t>
  </si>
  <si>
    <t>S03 QD11 N02</t>
  </si>
  <si>
    <t>LETICIA CRUZ RIBEIRO</t>
  </si>
  <si>
    <t>626623327</t>
  </si>
  <si>
    <t>560.888.958-45</t>
  </si>
  <si>
    <t>S03 QD 10 N28</t>
  </si>
  <si>
    <t>SEVERINO ALVES DA ROCHA FILHO</t>
  </si>
  <si>
    <t>331713512</t>
  </si>
  <si>
    <t>290.713.724-72</t>
  </si>
  <si>
    <t>S03 QD04 N22</t>
  </si>
  <si>
    <t>DOUGLAS MIRANDA DA SILVA</t>
  </si>
  <si>
    <t>483830537</t>
  </si>
  <si>
    <t>394.556.198-14</t>
  </si>
  <si>
    <t>S02 QD03 N36</t>
  </si>
  <si>
    <t>JUSCILEA TAVARES ALVES</t>
  </si>
  <si>
    <t>456355510</t>
  </si>
  <si>
    <t>360.848.178-82</t>
  </si>
  <si>
    <t>S03 QD10 N34</t>
  </si>
  <si>
    <t>MACILENE MARTINS DOS SANTOS</t>
  </si>
  <si>
    <t>601954191</t>
  </si>
  <si>
    <t>101.278.044-98</t>
  </si>
  <si>
    <t>S03 QD10 N52</t>
  </si>
  <si>
    <t>LAÍS ARRUDA DA SILVA</t>
  </si>
  <si>
    <t>682862277</t>
  </si>
  <si>
    <t>185.082.347-24</t>
  </si>
  <si>
    <t>S03 QD10 N29</t>
  </si>
  <si>
    <t>SEVERINA VITORINO DE MELO NASCIMENTO</t>
  </si>
  <si>
    <t>30794641</t>
  </si>
  <si>
    <t>192.809.738-35</t>
  </si>
  <si>
    <t>S03 QD04 N23</t>
  </si>
  <si>
    <t>THIAGO DA SILVA SANTOS</t>
  </si>
  <si>
    <t>599636403</t>
  </si>
  <si>
    <t>521.668.608-85</t>
  </si>
  <si>
    <t>34 / 32 / 30</t>
  </si>
  <si>
    <t>VICTOR JACKSON DA SILVA</t>
  </si>
  <si>
    <t>37812579</t>
  </si>
  <si>
    <t>403.756.798-98</t>
  </si>
  <si>
    <t>HIGOR TEIXEIRA DOS SANTOS</t>
  </si>
  <si>
    <t>532697145</t>
  </si>
  <si>
    <t>483.203.438-36</t>
  </si>
  <si>
    <t>644 / 642 / 640</t>
  </si>
  <si>
    <t>DOUGLAS GOMES DE JESUS</t>
  </si>
  <si>
    <t>42697381</t>
  </si>
  <si>
    <t>438.526.218-79</t>
  </si>
  <si>
    <t>ARIANE BATISTA HURTADO SIERRA</t>
  </si>
  <si>
    <t>525810043</t>
  </si>
  <si>
    <t>415.183.248-35</t>
  </si>
  <si>
    <t>917</t>
  </si>
  <si>
    <t>915 / 917 / 919</t>
  </si>
  <si>
    <t>ALICIO DOS SANTOS</t>
  </si>
  <si>
    <t>119622701</t>
  </si>
  <si>
    <t>958.007.008-34</t>
  </si>
  <si>
    <t>503</t>
  </si>
  <si>
    <t>501 / 503 / 505</t>
  </si>
  <si>
    <t xml:space="preserve">KELLI CRISTIANA DE SOUSA GONÇALVES </t>
  </si>
  <si>
    <t>43160454X</t>
  </si>
  <si>
    <t>303.597.808-57</t>
  </si>
  <si>
    <t>JUACI JOCELINO DOS SANTOS</t>
  </si>
  <si>
    <t>180873131</t>
  </si>
  <si>
    <t>023.446.418-66</t>
  </si>
  <si>
    <t>978</t>
  </si>
  <si>
    <t>980 / 978 / 976</t>
  </si>
  <si>
    <t>IZABELY PEREIRA DE SOUZA E SILVA</t>
  </si>
  <si>
    <t>592099702</t>
  </si>
  <si>
    <t>411.910.878-32</t>
  </si>
  <si>
    <t>915</t>
  </si>
  <si>
    <t>913 / 915 / 917</t>
  </si>
  <si>
    <t>MATHEUS ARAUJO DA SILVA</t>
  </si>
  <si>
    <t>502821747</t>
  </si>
  <si>
    <t>493.724.478-70</t>
  </si>
  <si>
    <t>DANIEL KNEVITZ DA SILVA</t>
  </si>
  <si>
    <t>282080016</t>
  </si>
  <si>
    <t>035.627.319/90</t>
  </si>
  <si>
    <t>S02 QD02 N33</t>
  </si>
  <si>
    <t>MAYARA DE JESUS SANTOS</t>
  </si>
  <si>
    <t>361956605</t>
  </si>
  <si>
    <t>398.714.558-79</t>
  </si>
  <si>
    <t>S03 QD10 N32</t>
  </si>
  <si>
    <t>DORIVAL DUARTE</t>
  </si>
  <si>
    <t>180621464</t>
  </si>
  <si>
    <t>025.428.998-35</t>
  </si>
  <si>
    <t>S01 QD08 N53</t>
  </si>
  <si>
    <t>52 / 51 / 53</t>
  </si>
  <si>
    <t>FLAVIA BEATRIZ DOS SANTOS SILVA</t>
  </si>
  <si>
    <t>440.023.998-50</t>
  </si>
  <si>
    <t>VALDOMIRO RICARDO DA SILVA</t>
  </si>
  <si>
    <t>108008770</t>
  </si>
  <si>
    <t>885.518.818-68</t>
  </si>
  <si>
    <t>ADRIANA MACHADO DA SILVA OURIVES</t>
  </si>
  <si>
    <t>283628455</t>
  </si>
  <si>
    <t>162.444.358-90</t>
  </si>
  <si>
    <t xml:space="preserve">LOURIVAL RODRIGUES DE MEDEIROS </t>
  </si>
  <si>
    <t xml:space="preserve">MARGARIDA FERREIRA DE LIMA </t>
  </si>
  <si>
    <t>157353564</t>
  </si>
  <si>
    <t>042.524.598-50</t>
  </si>
  <si>
    <t>S04 Q01 N03</t>
  </si>
  <si>
    <t xml:space="preserve">FERNANDA TELES DOS SANTOS </t>
  </si>
  <si>
    <t>441652293</t>
  </si>
  <si>
    <t>359.008.138-43</t>
  </si>
  <si>
    <t>S04 QD01 N01</t>
  </si>
  <si>
    <t xml:space="preserve">61 / 62 / </t>
  </si>
  <si>
    <t xml:space="preserve">VIVIANE APARECIDA MOTTA TETEO </t>
  </si>
  <si>
    <t>329154813</t>
  </si>
  <si>
    <t>315.953.588-62</t>
  </si>
  <si>
    <t>S04 QD03 N08</t>
  </si>
  <si>
    <t xml:space="preserve">ANA CLAUDIA REIS DE SOUZA </t>
  </si>
  <si>
    <t>345073186</t>
  </si>
  <si>
    <t>225.127.198-80</t>
  </si>
  <si>
    <t>CS1 S4 QD3 N61</t>
  </si>
  <si>
    <t xml:space="preserve">SOLANGE GOMES DOS SANTOS </t>
  </si>
  <si>
    <t>145470416</t>
  </si>
  <si>
    <t>133.570.898-74</t>
  </si>
  <si>
    <t>S04 QD03 N60</t>
  </si>
  <si>
    <t xml:space="preserve">MARIA LÚCIA REIS SILVA </t>
  </si>
  <si>
    <t>606416658</t>
  </si>
  <si>
    <t>133.587.358-93</t>
  </si>
  <si>
    <t>S04 QD08 N105</t>
  </si>
  <si>
    <t xml:space="preserve">REGINA ESTHER MENDES </t>
  </si>
  <si>
    <t>136181715</t>
  </si>
  <si>
    <t>054.848.678-60</t>
  </si>
  <si>
    <t>S04  QD03 N123</t>
  </si>
  <si>
    <t>DOUGLAS APARECIDO GOIS DA SILVA</t>
  </si>
  <si>
    <t>55587431X</t>
  </si>
  <si>
    <t>446.793.488-01</t>
  </si>
  <si>
    <t>S03 QD08 N55</t>
  </si>
  <si>
    <t xml:space="preserve">ISABELA RIBEIRO DA SILVA DOS SANTOS </t>
  </si>
  <si>
    <t>488028124</t>
  </si>
  <si>
    <t>471.185.608-04</t>
  </si>
  <si>
    <t>CS2 S4 QD1 N17</t>
  </si>
  <si>
    <t>PATRICIA DOS SANTOS RIBEIRO</t>
  </si>
  <si>
    <t>223919445</t>
  </si>
  <si>
    <t>199.266.048-46</t>
  </si>
  <si>
    <t>S04 QD01 N05</t>
  </si>
  <si>
    <t>GENOVAL XAVIER BORGES</t>
  </si>
  <si>
    <t>17131391</t>
  </si>
  <si>
    <t>038.443.038-47</t>
  </si>
  <si>
    <t>S04 QD01 N06</t>
  </si>
  <si>
    <t>MARIANA BARBOSA DE BARROS</t>
  </si>
  <si>
    <t>557990324</t>
  </si>
  <si>
    <t>461.167.648-00</t>
  </si>
  <si>
    <t>CS2 S4 QD3 N64</t>
  </si>
  <si>
    <t>RAFAELA DO NASCIMENTO DA SILVA</t>
  </si>
  <si>
    <t>456185318</t>
  </si>
  <si>
    <t>444.773.308-04</t>
  </si>
  <si>
    <t>ANDREY DOS SANTOS RIBEIRO</t>
  </si>
  <si>
    <t>34247976</t>
  </si>
  <si>
    <t>309.304.408-11</t>
  </si>
  <si>
    <t>S04 QD3 N106</t>
  </si>
  <si>
    <t xml:space="preserve">PALOMA GUERRA MAIA CONCEICAO </t>
  </si>
  <si>
    <t>578624588</t>
  </si>
  <si>
    <t>489.931.298-94</t>
  </si>
  <si>
    <t>S04 QD02 N03</t>
  </si>
  <si>
    <t xml:space="preserve">GENIVALDO DOS SANTOS ARAGAO </t>
  </si>
  <si>
    <t>570742602</t>
  </si>
  <si>
    <t>968.293.205-00</t>
  </si>
  <si>
    <t>S03 QD03 N38</t>
  </si>
  <si>
    <t>25 / 25 / 26</t>
  </si>
  <si>
    <t xml:space="preserve">CAIO CEZAR DE LIMA COSTA </t>
  </si>
  <si>
    <t>46379478</t>
  </si>
  <si>
    <t>387.327.208-31</t>
  </si>
  <si>
    <t>S03 QD08 N15</t>
  </si>
  <si>
    <t xml:space="preserve">NILSON PEDRO </t>
  </si>
  <si>
    <t>33252788</t>
  </si>
  <si>
    <t>294.521.388-58</t>
  </si>
  <si>
    <t>S03 QD08 N14</t>
  </si>
  <si>
    <t xml:space="preserve">MARIA SILVANIA DE AMARANTE </t>
  </si>
  <si>
    <t>369344170</t>
  </si>
  <si>
    <t>312.808.958-29</t>
  </si>
  <si>
    <t>CS1 S3 QD8 N7</t>
  </si>
  <si>
    <t xml:space="preserve">GERALDA VIEIRA LIMA NASCIMENTO </t>
  </si>
  <si>
    <t>368568945</t>
  </si>
  <si>
    <t>053.058.788-29</t>
  </si>
  <si>
    <t>S04 QD03 N07</t>
  </si>
  <si>
    <t>S04 QD03 N58</t>
  </si>
  <si>
    <t xml:space="preserve">HELENA REIS DA SILVA </t>
  </si>
  <si>
    <t>454397811</t>
  </si>
  <si>
    <t>322.416.038-13</t>
  </si>
  <si>
    <t xml:space="preserve">MARIA EDUARDA SANTOS SILVA </t>
  </si>
  <si>
    <t>593108255</t>
  </si>
  <si>
    <t>590.674.068-64</t>
  </si>
  <si>
    <t>S03 QD04 N09</t>
  </si>
  <si>
    <t>LIDIANE DOS SANTOS</t>
  </si>
  <si>
    <t>422375378</t>
  </si>
  <si>
    <t>309.003.078-03</t>
  </si>
  <si>
    <t>S04 QD03 N108</t>
  </si>
  <si>
    <t xml:space="preserve">AMANDA PEDRO DE SOUZA </t>
  </si>
  <si>
    <t>58007111X</t>
  </si>
  <si>
    <t>477.503.158-96</t>
  </si>
  <si>
    <t>S04 QD01 N04</t>
  </si>
  <si>
    <t>S04 QD02 N04</t>
  </si>
  <si>
    <t>THAMIRIS PECEGUEIRO DA SILVA</t>
  </si>
  <si>
    <t>553822135</t>
  </si>
  <si>
    <t>489.895.778-10</t>
  </si>
  <si>
    <t>S03 QD08 N16</t>
  </si>
  <si>
    <t>S02 QD08 N03</t>
  </si>
  <si>
    <t xml:space="preserve">PALOMA AMARANTE DE OLIVEIRA </t>
  </si>
  <si>
    <t>489141808</t>
  </si>
  <si>
    <t>422.155.678-13</t>
  </si>
  <si>
    <t>S03 QD08 N08</t>
  </si>
  <si>
    <t>MARIA CONCEBIDA BERNARDO</t>
  </si>
  <si>
    <t>235942911</t>
  </si>
  <si>
    <t>025.604.978-59</t>
  </si>
  <si>
    <t>S04 QD03 N01</t>
  </si>
  <si>
    <t>BARBARA DE LIMA GANTE</t>
  </si>
  <si>
    <t>251859320</t>
  </si>
  <si>
    <t>310.967.268-58</t>
  </si>
  <si>
    <t>S04 QD03 N56</t>
  </si>
  <si>
    <t>ALBERTO DOS SANTOS</t>
  </si>
  <si>
    <t>71361005</t>
  </si>
  <si>
    <t>733.450.758-49</t>
  </si>
  <si>
    <t>S04 QD03 N67</t>
  </si>
  <si>
    <t>MARIA LUCIA REIS SILVA</t>
  </si>
  <si>
    <t>606416539</t>
  </si>
  <si>
    <t>C1 S4 Q3 N104</t>
  </si>
  <si>
    <t>JOÃO JOSÉ DA SILVA</t>
  </si>
  <si>
    <t>287.828.358-96</t>
  </si>
  <si>
    <t>S04 QD2 N04</t>
  </si>
  <si>
    <t>SIDNEIA APARECIDA GUERRA MAIA</t>
  </si>
  <si>
    <t>23035283-2</t>
  </si>
  <si>
    <t>108.374.708-89</t>
  </si>
  <si>
    <t>S04 QD01 N07</t>
  </si>
  <si>
    <t xml:space="preserve">MARIA FRANCISCO DOS SANTOS </t>
  </si>
  <si>
    <t>204600303</t>
  </si>
  <si>
    <t>002.468.508-92</t>
  </si>
  <si>
    <t>CS2 S4 QD3 N8</t>
  </si>
  <si>
    <t>ARMANDO PINHO DAS NEVES</t>
  </si>
  <si>
    <t>799.597.418-34</t>
  </si>
  <si>
    <t>S04 QD03 N57</t>
  </si>
  <si>
    <t>LUCAS RICARDO DA CONCEIÇÃO</t>
  </si>
  <si>
    <t>428792649</t>
  </si>
  <si>
    <t>442.665.678-80</t>
  </si>
  <si>
    <t>S04 QD03 N103</t>
  </si>
  <si>
    <t>KELLY CRISTINA OLIVEIRA DE JESUS</t>
  </si>
  <si>
    <t>286018524</t>
  </si>
  <si>
    <t>313.555.808-89</t>
  </si>
  <si>
    <t>S04 QD03 N111</t>
  </si>
  <si>
    <t>BARBARA DE OLIVEIRA MIRANDA</t>
  </si>
  <si>
    <t>486556347</t>
  </si>
  <si>
    <t>408.529.888-77</t>
  </si>
  <si>
    <t>S04 QD03 N115</t>
  </si>
  <si>
    <t>EREC FORTUNATO DE ARAUJO</t>
  </si>
  <si>
    <t>430869836</t>
  </si>
  <si>
    <t>391.804.308-80</t>
  </si>
  <si>
    <t xml:space="preserve">SUELI GONCALVES DA PAIXÃO </t>
  </si>
  <si>
    <t>18647975X</t>
  </si>
  <si>
    <t>062.159.188-22</t>
  </si>
  <si>
    <t>MARIA AUGUSTA FERREIRA TELES SANTOS</t>
  </si>
  <si>
    <t>245720790</t>
  </si>
  <si>
    <t>121.257.718-37</t>
  </si>
  <si>
    <t>S04 QD01 N19</t>
  </si>
  <si>
    <t xml:space="preserve">VIRGILIO PINHEIRO </t>
  </si>
  <si>
    <t>3989814</t>
  </si>
  <si>
    <t>563.573.895-87</t>
  </si>
  <si>
    <t>S04 Q03 N05</t>
  </si>
  <si>
    <t>ANA CAROLINA REIS SOUZA</t>
  </si>
  <si>
    <t>345073174</t>
  </si>
  <si>
    <t>300.058.738-19</t>
  </si>
  <si>
    <t>CS1 S4 QD3 N62</t>
  </si>
  <si>
    <t>ELIZABETE ANGELINA DOS SANTOS</t>
  </si>
  <si>
    <t>338245182</t>
  </si>
  <si>
    <t>224.908.628-12</t>
  </si>
  <si>
    <t>S03 QD08 N09</t>
  </si>
  <si>
    <t xml:space="preserve">PEDRO BORGES DOS SANTOS </t>
  </si>
  <si>
    <t>04078967833</t>
  </si>
  <si>
    <t>300.222.338-73</t>
  </si>
  <si>
    <t>NATHALIA DA COSTA MOURA</t>
  </si>
  <si>
    <t>498374169</t>
  </si>
  <si>
    <t>448.364.268-55</t>
  </si>
  <si>
    <t>4 / 3 / 5</t>
  </si>
  <si>
    <t xml:space="preserve">MARIA REGINA VOLANTE DUARTE </t>
  </si>
  <si>
    <t>152871482</t>
  </si>
  <si>
    <t>080.609.028-65</t>
  </si>
  <si>
    <t>S04 QD03 N52</t>
  </si>
  <si>
    <t xml:space="preserve">JOÃO BARBOSA DOS SANTOS FILHO </t>
  </si>
  <si>
    <t>360260895</t>
  </si>
  <si>
    <t>644.778.005-68</t>
  </si>
  <si>
    <t>S04 QD3 N52</t>
  </si>
  <si>
    <t xml:space="preserve">CRISTIANE DA SILVA </t>
  </si>
  <si>
    <t>48667244</t>
  </si>
  <si>
    <t>405.823.988-35</t>
  </si>
  <si>
    <t>S04 QD03 N65</t>
  </si>
  <si>
    <t xml:space="preserve">PEDRO HENRIQUE DA SILVA </t>
  </si>
  <si>
    <t>532698113</t>
  </si>
  <si>
    <t>413.081.478-80</t>
  </si>
  <si>
    <t>08 / 10 / 11</t>
  </si>
  <si>
    <t xml:space="preserve">EVERALDO ALVES CORDEIRO FRANÇA </t>
  </si>
  <si>
    <t>326773782</t>
  </si>
  <si>
    <t>216.742.258-06</t>
  </si>
  <si>
    <t>JOSEFA NEILDE DOS SANTOS</t>
  </si>
  <si>
    <t>326.452.418-08</t>
  </si>
  <si>
    <t>ANA MATIAS ASSUNÇÃO TEXEIRA</t>
  </si>
  <si>
    <t>527903632</t>
  </si>
  <si>
    <t>058.248.158-95</t>
  </si>
  <si>
    <t>RAYSSA FELIPE AFONSO</t>
  </si>
  <si>
    <t>428.103.388-25</t>
  </si>
  <si>
    <t>MARIA DE LURDES BARBOSA</t>
  </si>
  <si>
    <t>438533392</t>
  </si>
  <si>
    <t>309.493.988-02</t>
  </si>
  <si>
    <t>UELISANGELA RIBEIRO DA SILVA</t>
  </si>
  <si>
    <t>305907566</t>
  </si>
  <si>
    <t>256.052.718-90</t>
  </si>
  <si>
    <t>S04 QD03 N15</t>
  </si>
  <si>
    <t>WILLIAN RIBEIRO DOS SANTOS</t>
  </si>
  <si>
    <t>489140634</t>
  </si>
  <si>
    <t>412.233.028-90</t>
  </si>
  <si>
    <t>S04 QD03 N14</t>
  </si>
  <si>
    <t>ELIZANGELA DA SILVA PONTES</t>
  </si>
  <si>
    <t>404313036</t>
  </si>
  <si>
    <t>384.480.438-20</t>
  </si>
  <si>
    <t xml:space="preserve">MARIA EDUARDA ANDRADE DE FRANÇA </t>
  </si>
  <si>
    <t>545097447</t>
  </si>
  <si>
    <t>549.461.488-33</t>
  </si>
  <si>
    <t>S04 QD03 N121</t>
  </si>
  <si>
    <t xml:space="preserve">VANESSA SANTOS DE JESUS </t>
  </si>
  <si>
    <t>38557082X</t>
  </si>
  <si>
    <t>231.027.778-99</t>
  </si>
  <si>
    <t>S04 QD03 N127</t>
  </si>
  <si>
    <t>64 / 65 / 66</t>
  </si>
  <si>
    <t xml:space="preserve">ROSÂNGELA LIMA DOS SANTOS </t>
  </si>
  <si>
    <t>335760661</t>
  </si>
  <si>
    <t>394.143.188-95</t>
  </si>
  <si>
    <t>S04 QD03 N130</t>
  </si>
  <si>
    <t xml:space="preserve">GILDENICE SANTANA ANDRADE </t>
  </si>
  <si>
    <t>249568152</t>
  </si>
  <si>
    <t>134.075.988-82</t>
  </si>
  <si>
    <t>S04 QD03 N128</t>
  </si>
  <si>
    <t xml:space="preserve">EVÂNIA TELES DOS SANTOS </t>
  </si>
  <si>
    <t>283252200</t>
  </si>
  <si>
    <t>163.380.707-54</t>
  </si>
  <si>
    <t>S04 QD03 N126</t>
  </si>
  <si>
    <t xml:space="preserve">GABRIEL CALAZANS SALES </t>
  </si>
  <si>
    <t>591397729</t>
  </si>
  <si>
    <t>481.648.568-60</t>
  </si>
  <si>
    <t>S04 QD03 N125</t>
  </si>
  <si>
    <t>GEOVANA SANTOS CANDIDO</t>
  </si>
  <si>
    <t>625027917</t>
  </si>
  <si>
    <t>593.158.028-02</t>
  </si>
  <si>
    <t>S01 Q08 N25</t>
  </si>
  <si>
    <t>ELIANA LOPES FAGUNDES</t>
  </si>
  <si>
    <t>246790854</t>
  </si>
  <si>
    <t>197.654.178-61</t>
  </si>
  <si>
    <t>S01 Q08 N23</t>
  </si>
  <si>
    <t>ELIANE LIMA COSTA E LIMA</t>
  </si>
  <si>
    <t>379480803</t>
  </si>
  <si>
    <t>337.404.948-67</t>
  </si>
  <si>
    <t>S03 QD12 N08</t>
  </si>
  <si>
    <t>SHIRLEY DA SILVA CAVALCANTE</t>
  </si>
  <si>
    <t>343496732</t>
  </si>
  <si>
    <t>269.956.428-13</t>
  </si>
  <si>
    <t>ANTÔNIO MUNIZ DE MENEZES</t>
  </si>
  <si>
    <t>621258167</t>
  </si>
  <si>
    <t>018.192.848-59</t>
  </si>
  <si>
    <t>S01 QD08 N18</t>
  </si>
  <si>
    <t>SABRINA FERNANDES DA SILVA</t>
  </si>
  <si>
    <t>371163984</t>
  </si>
  <si>
    <t>342.722.858-40</t>
  </si>
  <si>
    <t>CS1 S04 QD3 N18</t>
  </si>
  <si>
    <t>MARIA CLEIDIANE DOS SANTOS</t>
  </si>
  <si>
    <t>571706666</t>
  </si>
  <si>
    <t>036.136.055-03</t>
  </si>
  <si>
    <t>CS36 S4 QD3 N14</t>
  </si>
  <si>
    <t>JOSE OSMARIO DOS SANTOS</t>
  </si>
  <si>
    <t>554497323</t>
  </si>
  <si>
    <t>001.782.695-06</t>
  </si>
  <si>
    <t>CS12 S4 QD3 N27</t>
  </si>
  <si>
    <t xml:space="preserve">VILMAR ALVES VIEIRA </t>
  </si>
  <si>
    <t>351243525</t>
  </si>
  <si>
    <t>859.450.131-53</t>
  </si>
  <si>
    <t>CS2 S2 QD4 N94</t>
  </si>
  <si>
    <t>KAREN BRANDÃO MATOS</t>
  </si>
  <si>
    <t>428772560</t>
  </si>
  <si>
    <t>425.116.808-90</t>
  </si>
  <si>
    <t>S02 QD04 N90</t>
  </si>
  <si>
    <t>68 / 67 / 66</t>
  </si>
  <si>
    <t>CIBELE COSTA BUENO</t>
  </si>
  <si>
    <t>421150749</t>
  </si>
  <si>
    <t>461.898.538-03</t>
  </si>
  <si>
    <t>S04 QD03 N78</t>
  </si>
  <si>
    <t>WILSON PEREIRA DOS REIS</t>
  </si>
  <si>
    <t>188100593</t>
  </si>
  <si>
    <t>058.197.603-83</t>
  </si>
  <si>
    <t>S04 QD03 N49</t>
  </si>
  <si>
    <t xml:space="preserve">MARIA APARECIDA FERNANDES DA SILVA </t>
  </si>
  <si>
    <t>062.174.038-11</t>
  </si>
  <si>
    <t>CS2 S4 QD3 N17</t>
  </si>
  <si>
    <t>10 / 11 / 13</t>
  </si>
  <si>
    <t>LUCIANO ANTONIO DA SILVA</t>
  </si>
  <si>
    <t>314.906.138-54</t>
  </si>
  <si>
    <t>CS15 S4 QD3 N30</t>
  </si>
  <si>
    <t>S02 QD04 N92</t>
  </si>
  <si>
    <t>NATASHA THAIS DA SILVA</t>
  </si>
  <si>
    <t>48667180X</t>
  </si>
  <si>
    <t>421.713.798-20</t>
  </si>
  <si>
    <t>S02 QD04 N28</t>
  </si>
  <si>
    <t>CRISTIANE REGINA DA SILVA</t>
  </si>
  <si>
    <t>2688903377</t>
  </si>
  <si>
    <t>308.464.008-47</t>
  </si>
  <si>
    <t>116</t>
  </si>
  <si>
    <t>S02 QD03 N115</t>
  </si>
  <si>
    <t>115 / 116 / 117</t>
  </si>
  <si>
    <t>RAIMUNDO DE PAULA RAMOS</t>
  </si>
  <si>
    <t>28795478X</t>
  </si>
  <si>
    <t>249.781.834-72</t>
  </si>
  <si>
    <t>ARLINDO RODRIGUES OLIVEIRA</t>
  </si>
  <si>
    <t>18718224</t>
  </si>
  <si>
    <t>134.346.418-82</t>
  </si>
  <si>
    <t>987</t>
  </si>
  <si>
    <t>985 / 987 / 989</t>
  </si>
  <si>
    <t>ANGELICA APARECIDA CASAIS</t>
  </si>
  <si>
    <t>390558448</t>
  </si>
  <si>
    <t>371.035.338-65</t>
  </si>
  <si>
    <t>JASON NASCIMENTO SANTOS</t>
  </si>
  <si>
    <t>886.299.965-87</t>
  </si>
  <si>
    <t>MARCELO ALVES CAMPOS</t>
  </si>
  <si>
    <t>4645736</t>
  </si>
  <si>
    <t>795.931.194-34</t>
  </si>
  <si>
    <t>998</t>
  </si>
  <si>
    <t>996 / 998 / 1000</t>
  </si>
  <si>
    <t>659 / 651 / 663</t>
  </si>
  <si>
    <t xml:space="preserve">JOSEFA ELIANA VIEIRA CHAGAS </t>
  </si>
  <si>
    <t>368571786</t>
  </si>
  <si>
    <t>285.838.888-17</t>
  </si>
  <si>
    <t xml:space="preserve">PATRIK FERRO LIMA SILVA </t>
  </si>
  <si>
    <t>40268887</t>
  </si>
  <si>
    <t>231.433.648-82</t>
  </si>
  <si>
    <t xml:space="preserve">CLAYSON RIBEIRO DA SILVA </t>
  </si>
  <si>
    <t>489456170</t>
  </si>
  <si>
    <t>421.713.728-18</t>
  </si>
  <si>
    <t xml:space="preserve">DALVA CARNEIRO RIOS </t>
  </si>
  <si>
    <t>73262663</t>
  </si>
  <si>
    <t>147.097.458-46</t>
  </si>
  <si>
    <t>CS6 S2 QD3 N129</t>
  </si>
  <si>
    <t>MARIA ADENILDES DOS SANTOS COSTA</t>
  </si>
  <si>
    <t>627388061</t>
  </si>
  <si>
    <t>015.845.785-48</t>
  </si>
  <si>
    <t>CS35 S4 QD3 N13</t>
  </si>
  <si>
    <t>EDILEUZA MARIA DOS SANTOS</t>
  </si>
  <si>
    <t>275602965</t>
  </si>
  <si>
    <t>159.173.158-50</t>
  </si>
  <si>
    <t>VIVIANE ALVES FERREIRA DE SOUZA</t>
  </si>
  <si>
    <t>49.994.823-3</t>
  </si>
  <si>
    <t>443.905.098-02</t>
  </si>
  <si>
    <t xml:space="preserve">MARIA CLEIDE SOUZA SANTANA </t>
  </si>
  <si>
    <t>677784533</t>
  </si>
  <si>
    <t>443.143.965-04</t>
  </si>
  <si>
    <t xml:space="preserve">LUIZ FERNANDO SANTANA PANTALEAO </t>
  </si>
  <si>
    <t>376162764</t>
  </si>
  <si>
    <t>323.899.288-03</t>
  </si>
  <si>
    <t>JOSEFA ARRUDA DA SILVA</t>
  </si>
  <si>
    <t>379480189</t>
  </si>
  <si>
    <t>350.509.668-76</t>
  </si>
  <si>
    <t xml:space="preserve">JOSE XAVIER DE CERQUEIRA </t>
  </si>
  <si>
    <t>224642753</t>
  </si>
  <si>
    <t>025.413.908-66</t>
  </si>
  <si>
    <t>EDINELÇA</t>
  </si>
  <si>
    <t>33574459X</t>
  </si>
  <si>
    <t>215.616.618-80</t>
  </si>
  <si>
    <t>VIELA 1</t>
  </si>
  <si>
    <t xml:space="preserve">RAY DOS SANTOS HUNGRIA </t>
  </si>
  <si>
    <t>484044989</t>
  </si>
  <si>
    <t>437.310.688-69</t>
  </si>
  <si>
    <t>755</t>
  </si>
  <si>
    <t>754 / 755 / 756</t>
  </si>
  <si>
    <t>TAIS SILVA DOS SANTOS</t>
  </si>
  <si>
    <t>527093956</t>
  </si>
  <si>
    <t>446.191.308-26</t>
  </si>
  <si>
    <t>1150 / 1151 / 1152</t>
  </si>
  <si>
    <t>BEATRIS DE LIMA COSTA</t>
  </si>
  <si>
    <t>600711006</t>
  </si>
  <si>
    <t>502.887.358-54</t>
  </si>
  <si>
    <t>LETICIA BELO VIEIRA DA SILVA</t>
  </si>
  <si>
    <t>531045705</t>
  </si>
  <si>
    <t>502.136.828-18</t>
  </si>
  <si>
    <t>S04 Q03 N85</t>
  </si>
  <si>
    <t>52 / 53 / 54</t>
  </si>
  <si>
    <t xml:space="preserve">JONATHAS JOSE DA SILVA CARNEIRO </t>
  </si>
  <si>
    <t>352674209</t>
  </si>
  <si>
    <t>345.700.888-48</t>
  </si>
  <si>
    <t>S03 QD10 N25</t>
  </si>
  <si>
    <t>FERNANDA SANTOS PEREIRA</t>
  </si>
  <si>
    <t>441928924</t>
  </si>
  <si>
    <t>319.311.108-24</t>
  </si>
  <si>
    <t>S03 QD20 N48</t>
  </si>
  <si>
    <t xml:space="preserve">WILLIAM DA SILVA FERNANDES </t>
  </si>
  <si>
    <t>450921669</t>
  </si>
  <si>
    <t>331.772.828-03</t>
  </si>
  <si>
    <t>S03 QD02 N53</t>
  </si>
  <si>
    <t>JADE OLIVEIRA DE MORAES SILVA</t>
  </si>
  <si>
    <t>640932782</t>
  </si>
  <si>
    <t>538.462.958-41</t>
  </si>
  <si>
    <t>1021</t>
  </si>
  <si>
    <t>1023 / 1021 / 1019</t>
  </si>
  <si>
    <t>JESSICA OLIVEIRA DE MORAIS</t>
  </si>
  <si>
    <t>41195378890</t>
  </si>
  <si>
    <t>411.953.788-90</t>
  </si>
  <si>
    <t>1019</t>
  </si>
  <si>
    <t>1017 / 1019 / 1023</t>
  </si>
  <si>
    <t>JESSICA OLIVEIRA DE MORAES</t>
  </si>
  <si>
    <t>1017</t>
  </si>
  <si>
    <t>1015 / 1017 / 1018</t>
  </si>
  <si>
    <t>ABIMAEL PEREIRA DA CONCEICAO</t>
  </si>
  <si>
    <t>33651260828</t>
  </si>
  <si>
    <t>336.512.608-28</t>
  </si>
  <si>
    <t>HELLEN AMANDA MARTINS</t>
  </si>
  <si>
    <t>63104582X</t>
  </si>
  <si>
    <t>076.020.585-00</t>
  </si>
  <si>
    <t>77 / 80 / 89</t>
  </si>
  <si>
    <t>VILMA PEREIRA DOS SANTOS</t>
  </si>
  <si>
    <t>323.788.488-03</t>
  </si>
  <si>
    <t>BECO 65</t>
  </si>
  <si>
    <t xml:space="preserve">VERALUCIA DOS SANTOS CAMARGO </t>
  </si>
  <si>
    <t>279256528</t>
  </si>
  <si>
    <t>189.905.068-08</t>
  </si>
  <si>
    <t>JOSE DE ARAUJO</t>
  </si>
  <si>
    <t>378842584</t>
  </si>
  <si>
    <t>545.798.565-20</t>
  </si>
  <si>
    <t>AMANDA DOS SANTOS CAMARGO</t>
  </si>
  <si>
    <t>42.040.921-X</t>
  </si>
  <si>
    <t>427.674.838-06</t>
  </si>
  <si>
    <t xml:space="preserve">CAROLINA LUIZ PEREIRA </t>
  </si>
  <si>
    <t>378128085</t>
  </si>
  <si>
    <t>403.793.118-44</t>
  </si>
  <si>
    <t>KELLY SANTOS DE ARAUJO</t>
  </si>
  <si>
    <t>467338091</t>
  </si>
  <si>
    <t>422.153.058-86</t>
  </si>
  <si>
    <t>0 / 71 / 73</t>
  </si>
  <si>
    <t>JAKELINE PENHEIRO MELO</t>
  </si>
  <si>
    <t>62E47137</t>
  </si>
  <si>
    <t>058.117.663-43</t>
  </si>
  <si>
    <t>193</t>
  </si>
  <si>
    <t xml:space="preserve">191 / 193 / </t>
  </si>
  <si>
    <t>MARIA VALDIREI DA SILVA</t>
  </si>
  <si>
    <t>37.884.557-3</t>
  </si>
  <si>
    <t>338.415.798-25</t>
  </si>
  <si>
    <t>JOSIMAR OLIVEIRA COSTA</t>
  </si>
  <si>
    <t>50.674.041-9</t>
  </si>
  <si>
    <t>390.684.058-10</t>
  </si>
  <si>
    <t>545</t>
  </si>
  <si>
    <t>543 / 545 / 547</t>
  </si>
  <si>
    <t>RAFAEL DE SOUZA RAMOS</t>
  </si>
  <si>
    <t>48.269.083-7</t>
  </si>
  <si>
    <t>390.280.698-28</t>
  </si>
  <si>
    <t xml:space="preserve">JONATAS COSTAS OLIVEIRA </t>
  </si>
  <si>
    <t>66.153.188-0</t>
  </si>
  <si>
    <t>575.972.638-21</t>
  </si>
  <si>
    <t>SUELI DA SILVA ELIAS</t>
  </si>
  <si>
    <t>362274927</t>
  </si>
  <si>
    <t>061.016.814-24</t>
  </si>
  <si>
    <t>IGREJA ASSEMBLEIA DE DEUS SANTOS SP</t>
  </si>
  <si>
    <t>58.261.538/0001-30</t>
  </si>
  <si>
    <t>ANTONIO GERMANODA SILVA FILHO</t>
  </si>
  <si>
    <t>263044385</t>
  </si>
  <si>
    <t>192.828.998-37</t>
  </si>
  <si>
    <t>VENILSON XAVIER DE MATOS</t>
  </si>
  <si>
    <t>540935256</t>
  </si>
  <si>
    <t>464.550.958-53</t>
  </si>
  <si>
    <t>S02 QD02 N73</t>
  </si>
  <si>
    <t>JOSIVANIA DE JESUS</t>
  </si>
  <si>
    <t>587330715</t>
  </si>
  <si>
    <t>250.542.098-08</t>
  </si>
  <si>
    <t>S02 QD05 N75</t>
  </si>
  <si>
    <t>EDILEUSA DOS SANTOS RIBEIRO</t>
  </si>
  <si>
    <t>630284970</t>
  </si>
  <si>
    <t>000.706.715-16</t>
  </si>
  <si>
    <t>S03 QD10 N51</t>
  </si>
  <si>
    <t>JOÃO PAULO ARRUDA BELLO DA SILVA</t>
  </si>
  <si>
    <t>486673479</t>
  </si>
  <si>
    <t>417.803.798-62</t>
  </si>
  <si>
    <t>S02 QD03 N63</t>
  </si>
  <si>
    <t>ANDERSON  PEREIRA DOS SANTOS</t>
  </si>
  <si>
    <t>45572207</t>
  </si>
  <si>
    <t>RINALDO DE SOUZA PAIVA</t>
  </si>
  <si>
    <t>215245982</t>
  </si>
  <si>
    <t>108.503.008-35</t>
  </si>
  <si>
    <t>SAMANTHA CRISTINA DA SILVAALVES</t>
  </si>
  <si>
    <t>404.457.648-30</t>
  </si>
  <si>
    <t>1092</t>
  </si>
  <si>
    <t>0 / 1092 / 1094</t>
  </si>
  <si>
    <t>ERICK NELSON GUERRA ALVES</t>
  </si>
  <si>
    <t>35266661</t>
  </si>
  <si>
    <t>394.398.698-61</t>
  </si>
  <si>
    <t>CAUA NOGUEIRA PEREIRA</t>
  </si>
  <si>
    <t>50535226</t>
  </si>
  <si>
    <t>567.222.898-42</t>
  </si>
  <si>
    <t>LUANA BEATRIZ DOS SANTOS</t>
  </si>
  <si>
    <t>S04 QD03 N109</t>
  </si>
  <si>
    <t xml:space="preserve">JAIR ALEXANDRE BRAGA DE OLIVEIRA </t>
  </si>
  <si>
    <t>534013752</t>
  </si>
  <si>
    <t>394.098.758-11</t>
  </si>
  <si>
    <t>S02 QD03 N103</t>
  </si>
  <si>
    <t>101 / 102 / 103</t>
  </si>
  <si>
    <t xml:space="preserve">FRANCIO FERREIRA DOS SANTOS </t>
  </si>
  <si>
    <t>520646915</t>
  </si>
  <si>
    <t>357.290.848-54</t>
  </si>
  <si>
    <t>S02 QD03 N98</t>
  </si>
  <si>
    <t>98 / 97 / 99</t>
  </si>
  <si>
    <t>CS2 S2 Q4 N29</t>
  </si>
  <si>
    <t>CICERO BELO VIEIRA</t>
  </si>
  <si>
    <t>415694231</t>
  </si>
  <si>
    <t>391.956.498-75</t>
  </si>
  <si>
    <t>S02 QD05 N79</t>
  </si>
  <si>
    <t>ROSEANE MARIA DE OLIVEIRA</t>
  </si>
  <si>
    <t>2441120883</t>
  </si>
  <si>
    <t>033.092.675-63</t>
  </si>
  <si>
    <t>CS C S3 Q05 N27</t>
  </si>
  <si>
    <t xml:space="preserve">ISABEL CRISTINA DE OLIVEIRA </t>
  </si>
  <si>
    <t>112718218</t>
  </si>
  <si>
    <t>245.626.168-22</t>
  </si>
  <si>
    <t>S04 QD03 N119</t>
  </si>
  <si>
    <t xml:space="preserve">MARIA CECÍLIA FERREIRA DA SILVA </t>
  </si>
  <si>
    <t>217451494</t>
  </si>
  <si>
    <t>249.191.258-95</t>
  </si>
  <si>
    <t>S04 QD03 N118</t>
  </si>
  <si>
    <t xml:space="preserve">CAROLINE SANTOS SILVA </t>
  </si>
  <si>
    <t>577579071</t>
  </si>
  <si>
    <t>478.214.058-41</t>
  </si>
  <si>
    <t>S04 QD03 N112</t>
  </si>
  <si>
    <t xml:space="preserve">MARIA DO CARMO FERREIRA DA SILVA </t>
  </si>
  <si>
    <t>357329247</t>
  </si>
  <si>
    <t>038.447.598-16</t>
  </si>
  <si>
    <t>S04 QD02 N08</t>
  </si>
  <si>
    <t xml:space="preserve">MARIA DAS GRAÇAS FERREIRA DA SILVA </t>
  </si>
  <si>
    <t>236697006</t>
  </si>
  <si>
    <t>199.262.418-67</t>
  </si>
  <si>
    <t>S04 QD03 N113</t>
  </si>
  <si>
    <t xml:space="preserve">KATIA REGINA DE JESUS ALVES </t>
  </si>
  <si>
    <t>267366450</t>
  </si>
  <si>
    <t>097.813.228-96</t>
  </si>
  <si>
    <t>S04 QD03 N131</t>
  </si>
  <si>
    <t xml:space="preserve">JANAINA MARIA DA SILVA ROCHA </t>
  </si>
  <si>
    <t>334944892</t>
  </si>
  <si>
    <t>221.118.468-78</t>
  </si>
  <si>
    <t>S03 QD07 N17</t>
  </si>
  <si>
    <t xml:space="preserve">MARIA ANUNCIADA DA CONCEIÇÃO </t>
  </si>
  <si>
    <t>180597437</t>
  </si>
  <si>
    <t>025.638.738-94</t>
  </si>
  <si>
    <t>S04 QD03 N129</t>
  </si>
  <si>
    <t>VANESSA DA SILVA SANTOS</t>
  </si>
  <si>
    <t>307944037</t>
  </si>
  <si>
    <t>263.492.368-66</t>
  </si>
  <si>
    <t>S04 QD03 N02</t>
  </si>
  <si>
    <t xml:space="preserve">JOAO VICTOR NASCIMENTO </t>
  </si>
  <si>
    <t>544118091</t>
  </si>
  <si>
    <t>444.004.938-90</t>
  </si>
  <si>
    <t>S04 QD03 N120</t>
  </si>
  <si>
    <t>58 / 59 / 57</t>
  </si>
  <si>
    <t xml:space="preserve">MARLEIDE SOUZA DA SILVA MONTEIRO </t>
  </si>
  <si>
    <t>526336638</t>
  </si>
  <si>
    <t>039.984.505-48</t>
  </si>
  <si>
    <t xml:space="preserve">FABIANA MEYRE DE OLIVEIRA </t>
  </si>
  <si>
    <t>3706508227</t>
  </si>
  <si>
    <t>380.662.298-10</t>
  </si>
  <si>
    <t>S03 QD10 N46</t>
  </si>
  <si>
    <t>647804256</t>
  </si>
  <si>
    <t>229.710.718-80</t>
  </si>
  <si>
    <t>S02 QD10 N47</t>
  </si>
  <si>
    <t xml:space="preserve">EDUARDO DA SILVA BSRBOSA </t>
  </si>
  <si>
    <t>38809354</t>
  </si>
  <si>
    <t>059.389.274-71</t>
  </si>
  <si>
    <t xml:space="preserve">JOSE SANTOS DA PAIXAO </t>
  </si>
  <si>
    <t>603804147</t>
  </si>
  <si>
    <t>983.622.325-87</t>
  </si>
  <si>
    <t>S02 QD05 N57</t>
  </si>
  <si>
    <t xml:space="preserve">MARIA JOSE DE ARAUJO </t>
  </si>
  <si>
    <t>343500462</t>
  </si>
  <si>
    <t>158.986.778-52</t>
  </si>
  <si>
    <t>S03 QD08 N40</t>
  </si>
  <si>
    <t xml:space="preserve">ROSICLEIDE RIBEIRO DA SILVA </t>
  </si>
  <si>
    <t>352670976</t>
  </si>
  <si>
    <t>216.167.868-09</t>
  </si>
  <si>
    <t>S04 QD03 N79</t>
  </si>
  <si>
    <t>32 / 32 / 33</t>
  </si>
  <si>
    <t xml:space="preserve">DULCINETE RIBEIRO DA SILVA </t>
  </si>
  <si>
    <t>525823219</t>
  </si>
  <si>
    <t>178.682.034-04</t>
  </si>
  <si>
    <t>S04 QD04 N71</t>
  </si>
  <si>
    <t xml:space="preserve">VALDEMAR FERREIRA DE JESUS </t>
  </si>
  <si>
    <t>536496687</t>
  </si>
  <si>
    <t>280.419.838-39</t>
  </si>
  <si>
    <t>S03 QD02 N04</t>
  </si>
  <si>
    <t xml:space="preserve">ROSIMEIRE DE OLIVEIRA </t>
  </si>
  <si>
    <t>330852061</t>
  </si>
  <si>
    <t>264.627.878-05</t>
  </si>
  <si>
    <t>S01 QD08 N38</t>
  </si>
  <si>
    <t>GABRIEL XAVIER NEVES</t>
  </si>
  <si>
    <t>421877911</t>
  </si>
  <si>
    <t>305.639.648-47</t>
  </si>
  <si>
    <t>S02 QD02 N81</t>
  </si>
  <si>
    <t>383235686</t>
  </si>
  <si>
    <t>398.578.338-10</t>
  </si>
  <si>
    <t>CS2 S2 QD5 N22</t>
  </si>
  <si>
    <t>GENILDA DA SILVA</t>
  </si>
  <si>
    <t>337014784</t>
  </si>
  <si>
    <t>319.808.168-83</t>
  </si>
  <si>
    <t>S04 QD03 N73</t>
  </si>
  <si>
    <t>ADRIELLY APARECIDA SILVA SEVERO</t>
  </si>
  <si>
    <t>459313113</t>
  </si>
  <si>
    <t>230.708.768-03</t>
  </si>
  <si>
    <t>CS1 S4 QD3 N78</t>
  </si>
  <si>
    <t>JEFERSON DE CASSIO ALVES DE SOUZA</t>
  </si>
  <si>
    <t>447654251</t>
  </si>
  <si>
    <t>389.105.698-24</t>
  </si>
  <si>
    <t>CS2 S4 QD3 N77</t>
  </si>
  <si>
    <t>MARIA ALDONIRA DANTAS</t>
  </si>
  <si>
    <t>547417780</t>
  </si>
  <si>
    <t>201.021.515-04</t>
  </si>
  <si>
    <t>S04 QD02 N05</t>
  </si>
  <si>
    <t>SHIRLEY SANTOS DA SILVA</t>
  </si>
  <si>
    <t>50675082</t>
  </si>
  <si>
    <t>420.301.808-07</t>
  </si>
  <si>
    <t>CS B S3 QD5 N28</t>
  </si>
  <si>
    <t>EDSON EVANGELISTA RIBEIRO</t>
  </si>
  <si>
    <t>549387334</t>
  </si>
  <si>
    <t>047.206.625-01</t>
  </si>
  <si>
    <t>JOSE SANTOS DA PAIXAO</t>
  </si>
  <si>
    <t>THALITA VITORIA LIMA DOS SANTOS</t>
  </si>
  <si>
    <t>52840832X</t>
  </si>
  <si>
    <t>408.075.268-79</t>
  </si>
  <si>
    <t>S1 QD05 N62</t>
  </si>
  <si>
    <t>PRISCILA FERNANDES DE OLIVEIRA</t>
  </si>
  <si>
    <t>489502994</t>
  </si>
  <si>
    <t>471.123.998-74</t>
  </si>
  <si>
    <t>S03 QD04 N32</t>
  </si>
  <si>
    <t>ANDRESSA FERNANDES DA SILVA</t>
  </si>
  <si>
    <t>583596824</t>
  </si>
  <si>
    <t>242.929.328-59</t>
  </si>
  <si>
    <t>S03 QD04 N33</t>
  </si>
  <si>
    <t xml:space="preserve">LUCIANNA FRANCO DOS SANTOS </t>
  </si>
  <si>
    <t>299489905</t>
  </si>
  <si>
    <t>281.877.158-71</t>
  </si>
  <si>
    <t>S02 QD03 N50</t>
  </si>
  <si>
    <t>GUILHERME EDSON PINTO LIMA</t>
  </si>
  <si>
    <t>527098668</t>
  </si>
  <si>
    <t>410.154.318-60</t>
  </si>
  <si>
    <t>S02 QD05 N48</t>
  </si>
  <si>
    <t>38 / 39 / 40</t>
  </si>
  <si>
    <t xml:space="preserve">JOSE AUGUSTO SANTANA </t>
  </si>
  <si>
    <t>183997487</t>
  </si>
  <si>
    <t>042.623.418-95</t>
  </si>
  <si>
    <t xml:space="preserve">LUCAS BELO VIEIRA DA SILVA </t>
  </si>
  <si>
    <t>531045729</t>
  </si>
  <si>
    <t>599.393.448-48</t>
  </si>
  <si>
    <t>S04 QD03 N86</t>
  </si>
  <si>
    <t xml:space="preserve">VALDIR JOSE DOS SANTOS </t>
  </si>
  <si>
    <t>535329611</t>
  </si>
  <si>
    <t>370.351.988-65</t>
  </si>
  <si>
    <t>VITORIA BELO VIEIRA DA SILVA</t>
  </si>
  <si>
    <t>531045717</t>
  </si>
  <si>
    <t>502.136.558-45</t>
  </si>
  <si>
    <t>S04 QD03 N88</t>
  </si>
  <si>
    <t>FLORISVALDO BRAGA DE OLIVEIRA</t>
  </si>
  <si>
    <t>543188279</t>
  </si>
  <si>
    <t>380.620.358-08</t>
  </si>
  <si>
    <t>S02 QD03 N100</t>
  </si>
  <si>
    <t>98 / 99 / 100</t>
  </si>
  <si>
    <t>FABIO BATISTA DOS SANTOS</t>
  </si>
  <si>
    <t>636182423</t>
  </si>
  <si>
    <t>038.831.475-32</t>
  </si>
  <si>
    <t>S02 QD03 N99</t>
  </si>
  <si>
    <t>97 / 98 / 99</t>
  </si>
  <si>
    <t>GABRIELA CRISTINA DA SILVA OLIVEIRA</t>
  </si>
  <si>
    <t>462726538</t>
  </si>
  <si>
    <t>461.543.158-99</t>
  </si>
  <si>
    <t>S02 QD03 N127</t>
  </si>
  <si>
    <t>MANOEL ALVES DOS SANTOS</t>
  </si>
  <si>
    <t>565883276</t>
  </si>
  <si>
    <t>038.800.085-66</t>
  </si>
  <si>
    <t>S02 QD05 N78</t>
  </si>
  <si>
    <t xml:space="preserve">THAYS FREITAS DOS SANTOS </t>
  </si>
  <si>
    <t>44308093</t>
  </si>
  <si>
    <t>365.748.468-03</t>
  </si>
  <si>
    <t>N 55</t>
  </si>
  <si>
    <t>S03 QD09 N10</t>
  </si>
  <si>
    <t>54 / N 55 / 56</t>
  </si>
  <si>
    <t xml:space="preserve">VICTOR HUGO MELO CARVALHO </t>
  </si>
  <si>
    <t>506739077</t>
  </si>
  <si>
    <t>390.677.878-92</t>
  </si>
  <si>
    <t>1109</t>
  </si>
  <si>
    <t>1107 / 1109 / 1111</t>
  </si>
  <si>
    <t xml:space="preserve">BRUNO  RIBEIRO ANTÔNIO </t>
  </si>
  <si>
    <t>486700665</t>
  </si>
  <si>
    <t>424.293.328-25</t>
  </si>
  <si>
    <t xml:space="preserve">DRYELLIE WINNIE SILVA SANTANA </t>
  </si>
  <si>
    <t>46456122X</t>
  </si>
  <si>
    <t>415.947.298-24</t>
  </si>
  <si>
    <t>1121</t>
  </si>
  <si>
    <t>1119 / 1121 / 1123</t>
  </si>
  <si>
    <t xml:space="preserve">MANOEL APRÍGIO DA SILVA </t>
  </si>
  <si>
    <t>02181534497</t>
  </si>
  <si>
    <t>021.815.344-97</t>
  </si>
  <si>
    <t>IREMA AQUINO GUIMARÃES</t>
  </si>
  <si>
    <t>19235629X</t>
  </si>
  <si>
    <t>046.147.188-41</t>
  </si>
  <si>
    <t xml:space="preserve">MARIA DO CARMO LEITE </t>
  </si>
  <si>
    <t>9388240</t>
  </si>
  <si>
    <t>657.749.224-72</t>
  </si>
  <si>
    <t>162 / 166 / 168</t>
  </si>
  <si>
    <t xml:space="preserve">NATHASHA GABRIELLY NASCIMENTO DE MENEZES </t>
  </si>
  <si>
    <t>58636691X</t>
  </si>
  <si>
    <t>580.609.808-74</t>
  </si>
  <si>
    <t xml:space="preserve">KARINA  DARLENE SOUZA LEITE </t>
  </si>
  <si>
    <t>680769213</t>
  </si>
  <si>
    <t>069.783.521-78</t>
  </si>
  <si>
    <t>JULIANA FERREIRA PINHO</t>
  </si>
  <si>
    <t>489494912</t>
  </si>
  <si>
    <t>424.622.098-16</t>
  </si>
  <si>
    <t>89 / 91 / 0</t>
  </si>
  <si>
    <t xml:space="preserve">GIRLAN SANTOS DE OLIVEIRA </t>
  </si>
  <si>
    <t>624964048</t>
  </si>
  <si>
    <t>080.833.445-08</t>
  </si>
  <si>
    <t>87 / 89 / 91</t>
  </si>
  <si>
    <t xml:space="preserve">VITÓRIA LETÍCIA FERNANDES MENEZES </t>
  </si>
  <si>
    <t>558185629</t>
  </si>
  <si>
    <t>489.089.278-83</t>
  </si>
  <si>
    <t xml:space="preserve">THIAGO FERNANDES CAIXEIRO </t>
  </si>
  <si>
    <t>305258485</t>
  </si>
  <si>
    <t>292.257.898-40</t>
  </si>
  <si>
    <t xml:space="preserve">GENOVEVA MARIA DA SILVA </t>
  </si>
  <si>
    <t>387663538</t>
  </si>
  <si>
    <t>234.085.018-58</t>
  </si>
  <si>
    <t xml:space="preserve">JOSÉ DIEGO OLIVEIRA SANTOS </t>
  </si>
  <si>
    <t>589278514</t>
  </si>
  <si>
    <t>069.233.375-42</t>
  </si>
  <si>
    <t>78 / 80 / 82</t>
  </si>
  <si>
    <t xml:space="preserve">ANGÉLICA FARIA ALVES </t>
  </si>
  <si>
    <t>252331011</t>
  </si>
  <si>
    <t>169.655.098-05</t>
  </si>
  <si>
    <t xml:space="preserve">PITTER CARLOS FERNANDES </t>
  </si>
  <si>
    <t>278782942</t>
  </si>
  <si>
    <t>310.728.578-12</t>
  </si>
  <si>
    <t>ANA FLAVIA DA SILVA NASCIMENTO</t>
  </si>
  <si>
    <t>412525446</t>
  </si>
  <si>
    <t>408.075.078-14</t>
  </si>
  <si>
    <t>CLEONICE CLAUDINO DO CARMO</t>
  </si>
  <si>
    <t>212515202</t>
  </si>
  <si>
    <t>159.115.728-50</t>
  </si>
  <si>
    <t>660</t>
  </si>
  <si>
    <t>658 / 660 / 662</t>
  </si>
  <si>
    <t>JEFFERSON CHARLES WEGNER</t>
  </si>
  <si>
    <t>41340013X</t>
  </si>
  <si>
    <t>307.857.758-97</t>
  </si>
  <si>
    <t>17 / 15 / 13</t>
  </si>
  <si>
    <t>JOSE BASILEU VERISSIMO</t>
  </si>
  <si>
    <t>67418802</t>
  </si>
  <si>
    <t>903.656.236-87</t>
  </si>
  <si>
    <t>23 / 21 / 19</t>
  </si>
  <si>
    <t>RODRIGO CAVALCANTI</t>
  </si>
  <si>
    <t>454075942</t>
  </si>
  <si>
    <t>334.196.018-97</t>
  </si>
  <si>
    <t>MARIA ELIZABETE ALVES DE SOUZA</t>
  </si>
  <si>
    <t>536491094</t>
  </si>
  <si>
    <t>543.374.104-49</t>
  </si>
  <si>
    <t>ELISANGELA APARECIDA DE SOUZA</t>
  </si>
  <si>
    <t>55868636</t>
  </si>
  <si>
    <t>054.999.536-60</t>
  </si>
  <si>
    <t>EDGAR VINICIUS DA SILVA SANTANA</t>
  </si>
  <si>
    <t>599808032</t>
  </si>
  <si>
    <t>015.005.368-14</t>
  </si>
  <si>
    <t>NELSON FERNANDES DE CAMARGO</t>
  </si>
  <si>
    <t>55325075</t>
  </si>
  <si>
    <t>802.218.588-49</t>
  </si>
  <si>
    <t>JONATHANS XAVIER DA CONCEIÇÃO</t>
  </si>
  <si>
    <t>56.216.632-4</t>
  </si>
  <si>
    <t>453.734.978-60</t>
  </si>
  <si>
    <t>02 / 01 / 0</t>
  </si>
  <si>
    <t>GEOVANA DE OLIVEIRA</t>
  </si>
  <si>
    <t>536500472</t>
  </si>
  <si>
    <t>444.066.048-71</t>
  </si>
  <si>
    <t>ANTONIO LUIZ DOS SANTOS</t>
  </si>
  <si>
    <t>378127846</t>
  </si>
  <si>
    <t>482.475.104-72</t>
  </si>
  <si>
    <t>S01 QD08 N57</t>
  </si>
  <si>
    <t>ZELANDIA MARIA ROCHA GONCALVES</t>
  </si>
  <si>
    <t>22778341</t>
  </si>
  <si>
    <t>250.002.208-03</t>
  </si>
  <si>
    <t>CS01 S1 QD9 N2</t>
  </si>
  <si>
    <t>02 / 01 / 03</t>
  </si>
  <si>
    <t xml:space="preserve">TEREZA PORFIRA  DE OLIVEIRA SANTOS </t>
  </si>
  <si>
    <t>185017605</t>
  </si>
  <si>
    <t>429.308.058-97</t>
  </si>
  <si>
    <t>S03 QD 08 N44</t>
  </si>
  <si>
    <t xml:space="preserve">ARLETH FERNANDA ROCHA DE SOUZA </t>
  </si>
  <si>
    <t>356321265</t>
  </si>
  <si>
    <t>314.148.988-27</t>
  </si>
  <si>
    <t>06 / 44 / 07</t>
  </si>
  <si>
    <t xml:space="preserve">ANTONIO LUIZ DOS SANTOS </t>
  </si>
  <si>
    <t>S02 QD08 N56</t>
  </si>
  <si>
    <t xml:space="preserve">JONATHAN DO NASCIMENTO RODRIGUES DOS SANTOS </t>
  </si>
  <si>
    <t>452355643</t>
  </si>
  <si>
    <t>408.593.738-35</t>
  </si>
  <si>
    <t>S1 QD9 N90</t>
  </si>
  <si>
    <t>78 / 79 / 80</t>
  </si>
  <si>
    <t xml:space="preserve">LUCIANO LUIZ SILVA DE SOUZA </t>
  </si>
  <si>
    <t>284468794</t>
  </si>
  <si>
    <t>245.462.468-03</t>
  </si>
  <si>
    <t>S1 QD8 N83</t>
  </si>
  <si>
    <t>73 / 74 / 75</t>
  </si>
  <si>
    <t>ALEXANDRA DE SOUZA SILVA</t>
  </si>
  <si>
    <t>355755531</t>
  </si>
  <si>
    <t>319.862.978-02</t>
  </si>
  <si>
    <t>S01 QD08 N24</t>
  </si>
  <si>
    <t>CRISPIM GOLÇALVES DOS SANTOS</t>
  </si>
  <si>
    <t>298639683</t>
  </si>
  <si>
    <t>633.133.835-72</t>
  </si>
  <si>
    <t>CS2 S1 Q9 N1</t>
  </si>
  <si>
    <t xml:space="preserve">DOMINIQUE MEL SILVA AMORIM </t>
  </si>
  <si>
    <t>626863661</t>
  </si>
  <si>
    <t>518.015.868-02</t>
  </si>
  <si>
    <t>S04 QD03 N124</t>
  </si>
  <si>
    <t xml:space="preserve">THAYNARA COSTA DA SILVA </t>
  </si>
  <si>
    <t>577363372</t>
  </si>
  <si>
    <t>479.568.568-17</t>
  </si>
  <si>
    <t>ADILSON RODRIGUES DE MEIRELES</t>
  </si>
  <si>
    <t>579393033</t>
  </si>
  <si>
    <t>261.174.688-57</t>
  </si>
  <si>
    <t>S02 QD04 N38</t>
  </si>
  <si>
    <t>CECILIA DO NASCIMENTO VIEIRA</t>
  </si>
  <si>
    <t>301296583</t>
  </si>
  <si>
    <t>286.712.198-10</t>
  </si>
  <si>
    <t>S02 QD04 N37</t>
  </si>
  <si>
    <t xml:space="preserve">BRUNA CRISTINA FERNANDES GOMES </t>
  </si>
  <si>
    <t>8348028</t>
  </si>
  <si>
    <t>409.174.758-28</t>
  </si>
  <si>
    <t xml:space="preserve">MARIA APARECIDA COSTA </t>
  </si>
  <si>
    <t>302671183</t>
  </si>
  <si>
    <t>309.195.498-61</t>
  </si>
  <si>
    <t>S1 QD08 N17</t>
  </si>
  <si>
    <t xml:space="preserve">IVANILZA LOPES VIEIRA DE OLIVEIRA </t>
  </si>
  <si>
    <t>357349520</t>
  </si>
  <si>
    <t>290.753.588-90</t>
  </si>
  <si>
    <t>S01 QD08 N15</t>
  </si>
  <si>
    <t xml:space="preserve">PAULO SÉRGIO RAMOS </t>
  </si>
  <si>
    <t>676034251</t>
  </si>
  <si>
    <t>002.648.056-58</t>
  </si>
  <si>
    <t>S02 QD04 N51</t>
  </si>
  <si>
    <t xml:space="preserve">CLARISSE LOPES BRAVO </t>
  </si>
  <si>
    <t>S01 QD02 N23</t>
  </si>
  <si>
    <t>MARIA JOSE FERREIRA</t>
  </si>
  <si>
    <t>25.185.582-X</t>
  </si>
  <si>
    <t>070.069.208-84</t>
  </si>
  <si>
    <t xml:space="preserve">NATALIA FERREIRA RODRIGUES </t>
  </si>
  <si>
    <t>545072517</t>
  </si>
  <si>
    <t>432.118.398-79</t>
  </si>
  <si>
    <t xml:space="preserve">RUTE APARECIDA DA SILVA </t>
  </si>
  <si>
    <t>556784066</t>
  </si>
  <si>
    <t>034.672.174-19</t>
  </si>
  <si>
    <t>807 / 809 / 811</t>
  </si>
  <si>
    <t xml:space="preserve">KETLYN VITORIA DA SILVA DE OLIVEIRA </t>
  </si>
  <si>
    <t>585114112</t>
  </si>
  <si>
    <t>550.348.688-90</t>
  </si>
  <si>
    <t>94 / 81 / 83</t>
  </si>
  <si>
    <t xml:space="preserve">JENIFER PEREIRA DE OLIVEIRA </t>
  </si>
  <si>
    <t>423287977</t>
  </si>
  <si>
    <t>435.858.008-40</t>
  </si>
  <si>
    <t>89 / 90 / 0</t>
  </si>
  <si>
    <t>AMANDA CARVALHO DA SILVA SANTOS</t>
  </si>
  <si>
    <t>539815548</t>
  </si>
  <si>
    <t>495.706.358-35</t>
  </si>
  <si>
    <t>1110 / 1111 / 1112</t>
  </si>
  <si>
    <t xml:space="preserve">GIOVANA DA CONCEIÇÃO OLIVEIRA </t>
  </si>
  <si>
    <t>394197288</t>
  </si>
  <si>
    <t>498.072.757-83</t>
  </si>
  <si>
    <t>1182 / 1183 / 0</t>
  </si>
  <si>
    <t xml:space="preserve">IVANILDO BILA DA SILVA </t>
  </si>
  <si>
    <t>55.783.727-3</t>
  </si>
  <si>
    <t>504.413.454-68</t>
  </si>
  <si>
    <t xml:space="preserve">MARINALVA DOS ANJOS </t>
  </si>
  <si>
    <t>680056889</t>
  </si>
  <si>
    <t>039.937.168-09</t>
  </si>
  <si>
    <t xml:space="preserve">LUIZ JOSÉ DA SILVA </t>
  </si>
  <si>
    <t>563282861</t>
  </si>
  <si>
    <t>235.487.078/74</t>
  </si>
  <si>
    <t xml:space="preserve">JEFERSON MENDES DE SOUZA </t>
  </si>
  <si>
    <t>475953691</t>
  </si>
  <si>
    <t>407.639.938-24</t>
  </si>
  <si>
    <t xml:space="preserve">JENIFER MARIA NILZA MENDES DE SOUZA </t>
  </si>
  <si>
    <t>445895548</t>
  </si>
  <si>
    <t>470.077.498-36</t>
  </si>
  <si>
    <t xml:space="preserve">JANDIRA DE MATOS SANTA ROSA </t>
  </si>
  <si>
    <t>376514437</t>
  </si>
  <si>
    <t>252.515.138-01</t>
  </si>
  <si>
    <t>SAMIRA XAVIER DE CERQUEIRA</t>
  </si>
  <si>
    <t>44.869.270-3</t>
  </si>
  <si>
    <t>033.826.555-43</t>
  </si>
  <si>
    <t xml:space="preserve">CARLOS ANDRADE CONCEIÇÃO </t>
  </si>
  <si>
    <t>590840460</t>
  </si>
  <si>
    <t>020.339.545-92</t>
  </si>
  <si>
    <t>28.795.478-X</t>
  </si>
  <si>
    <t>816</t>
  </si>
  <si>
    <t>814 / 816 / 818</t>
  </si>
  <si>
    <t xml:space="preserve">JOSEANE XAVIER VIEIRA </t>
  </si>
  <si>
    <t>348.295.868-85</t>
  </si>
  <si>
    <t>MIRIAN CRISTINA LOPES</t>
  </si>
  <si>
    <t>271067639</t>
  </si>
  <si>
    <t>290.946.508-00</t>
  </si>
  <si>
    <t>S04 QD03 N17</t>
  </si>
  <si>
    <t>ALESSANDRO CARDOSO DE FREITAS</t>
  </si>
  <si>
    <t>535337413</t>
  </si>
  <si>
    <t>433.480.378-40</t>
  </si>
  <si>
    <t>MARIA EMILIANA DE OLIVEIRA SOUZA</t>
  </si>
  <si>
    <t>159.071.258-70</t>
  </si>
  <si>
    <t>CS2 S2 QD3 N111</t>
  </si>
  <si>
    <t>111 / 112 / 113</t>
  </si>
  <si>
    <t>ALEX SANDRO SANTOS SILVA</t>
  </si>
  <si>
    <t>486554259</t>
  </si>
  <si>
    <t>395.072.698-51</t>
  </si>
  <si>
    <t>S01 QD07 N25</t>
  </si>
  <si>
    <t xml:space="preserve">ADEMIR LIMA DOS SANTOS </t>
  </si>
  <si>
    <t>334943851</t>
  </si>
  <si>
    <t>871.171.344-53</t>
  </si>
  <si>
    <t>S01 QD06 N33</t>
  </si>
  <si>
    <t xml:space="preserve">MARILENE DE CARVALHO GONÇALVES </t>
  </si>
  <si>
    <t>188122424</t>
  </si>
  <si>
    <t>084.548.868-69</t>
  </si>
  <si>
    <t>S01 QD06 N34</t>
  </si>
  <si>
    <t xml:space="preserve">MARIA DE LOUREDES  BERTOLDO CAMPOS </t>
  </si>
  <si>
    <t>552908472</t>
  </si>
  <si>
    <t>521.192.624-20</t>
  </si>
  <si>
    <t>S1 QD8 N74</t>
  </si>
  <si>
    <t xml:space="preserve">MARIA DALVA BARBOSA DA SILVA </t>
  </si>
  <si>
    <t>187751031</t>
  </si>
  <si>
    <t>029.662.758-55</t>
  </si>
  <si>
    <t>S1 Q8 N7</t>
  </si>
  <si>
    <t>76 / 77 / 78</t>
  </si>
  <si>
    <t xml:space="preserve">CLAUDEMIR  XAVIER DOS SANTOS </t>
  </si>
  <si>
    <t>340249079</t>
  </si>
  <si>
    <t>302.773.678-75</t>
  </si>
  <si>
    <t>S1 QD9 N3</t>
  </si>
  <si>
    <t>S1 QD8 N86</t>
  </si>
  <si>
    <t>75 / 76 / 77</t>
  </si>
  <si>
    <t xml:space="preserve">HELENA MARIA DE SOUZA </t>
  </si>
  <si>
    <t>147575588</t>
  </si>
  <si>
    <t>162.431.798-77</t>
  </si>
  <si>
    <t>S1 QD9 N5</t>
  </si>
  <si>
    <t xml:space="preserve">DANIEL MARTINS DOS SANTOS </t>
  </si>
  <si>
    <t>415694498</t>
  </si>
  <si>
    <t>378.821.768-50</t>
  </si>
  <si>
    <t>CS1 S1 QD9 N7</t>
  </si>
  <si>
    <t xml:space="preserve">ZILDA MARIA DA COSTA </t>
  </si>
  <si>
    <t>356781793</t>
  </si>
  <si>
    <t>283.687.448-14</t>
  </si>
  <si>
    <t>S01 QD9 N9</t>
  </si>
  <si>
    <t xml:space="preserve">DOUGLAS SANTOS SILVA </t>
  </si>
  <si>
    <t>498219197</t>
  </si>
  <si>
    <t>421.987.878-57</t>
  </si>
  <si>
    <t>S01 QD06 N24</t>
  </si>
  <si>
    <t>ANA PAULA SANTOS DE OLIVEIRA</t>
  </si>
  <si>
    <t>505357707</t>
  </si>
  <si>
    <t>392.714.518-13</t>
  </si>
  <si>
    <t>S01 QD08 N19</t>
  </si>
  <si>
    <t xml:space="preserve">NADINE CRISTINA DE SOUZA SANTOS </t>
  </si>
  <si>
    <t>431156311</t>
  </si>
  <si>
    <t>348.047.888-32</t>
  </si>
  <si>
    <t>N01 QD02 N13</t>
  </si>
  <si>
    <t>S01 QD08 N25</t>
  </si>
  <si>
    <t>MARIA DO SOCORRO DA SILVA MEDEIROS</t>
  </si>
  <si>
    <t>306633759</t>
  </si>
  <si>
    <t>133.873.658-29</t>
  </si>
  <si>
    <t>S01 QD08 N09</t>
  </si>
  <si>
    <t>VICTORIA DOS SANTOS FONTES</t>
  </si>
  <si>
    <t>538769282</t>
  </si>
  <si>
    <t>508.654.878-04</t>
  </si>
  <si>
    <t>S04 QD03 N91</t>
  </si>
  <si>
    <t>MARIA ANUNCIADA DA CONCEIÇÃO</t>
  </si>
  <si>
    <t xml:space="preserve"> OFENILZA EMILIANA DE OLIVEIRA </t>
  </si>
  <si>
    <t>225445888</t>
  </si>
  <si>
    <t>108.353.448-35</t>
  </si>
  <si>
    <t>CS1 S2 QD3 N111</t>
  </si>
  <si>
    <t>VALDELICE MARIA DE JESUS</t>
  </si>
  <si>
    <t>136197760</t>
  </si>
  <si>
    <t>018.066.778-57</t>
  </si>
  <si>
    <t>S01 QD06 N30</t>
  </si>
  <si>
    <t>EMILY VITORIA LIMA DE OLIVEIRA</t>
  </si>
  <si>
    <t>543193172</t>
  </si>
  <si>
    <t>540.971.288-92</t>
  </si>
  <si>
    <t>02 / 03 / 01</t>
  </si>
  <si>
    <t>MARIA DO CARMO DE SOUZA SILVA</t>
  </si>
  <si>
    <t>557684614</t>
  </si>
  <si>
    <t>757.758.164-04</t>
  </si>
  <si>
    <t>CELIGIA NEVES DE MACEDO</t>
  </si>
  <si>
    <t>382645297</t>
  </si>
  <si>
    <t>013.930.206-90</t>
  </si>
  <si>
    <t>ELINE CRISTINA DE GÓIS</t>
  </si>
  <si>
    <t>41643471X</t>
  </si>
  <si>
    <t>371.945.958-69</t>
  </si>
  <si>
    <t>casa 4</t>
  </si>
  <si>
    <t>119 / 120 / 121</t>
  </si>
  <si>
    <t>DANIEL MARTINS DOS SANTOS</t>
  </si>
  <si>
    <t>CS2 S1 QD 9 N6</t>
  </si>
  <si>
    <t>ZULEIDE MARIA DA ROCHA</t>
  </si>
  <si>
    <t>175083472</t>
  </si>
  <si>
    <t>066.046.148-08</t>
  </si>
  <si>
    <t>S1 Q9 N13</t>
  </si>
  <si>
    <t>IRANDI SILVA DUARTE</t>
  </si>
  <si>
    <t>209524042</t>
  </si>
  <si>
    <t>018.077.028-44</t>
  </si>
  <si>
    <t>DHEY KETHLEEN NASCIMENTO DA SILVA</t>
  </si>
  <si>
    <t>556581611</t>
  </si>
  <si>
    <t>470.661.288-85</t>
  </si>
  <si>
    <t>516</t>
  </si>
  <si>
    <t>518 / 516 / 514</t>
  </si>
  <si>
    <t>DAYANE BORGES RODRIGUES</t>
  </si>
  <si>
    <t>327664368</t>
  </si>
  <si>
    <t>366.560.848-18</t>
  </si>
  <si>
    <t>5 / 3 / 1</t>
  </si>
  <si>
    <t>PAMELA ALVES BARRETO FERRAZ DE OLIVEIRA</t>
  </si>
  <si>
    <t>48644179</t>
  </si>
  <si>
    <t>399.096.968-43</t>
  </si>
  <si>
    <t>729</t>
  </si>
  <si>
    <t>727 / 729 / 731</t>
  </si>
  <si>
    <t>IGOR FERNANDES DE CAMARGO</t>
  </si>
  <si>
    <t>296120054</t>
  </si>
  <si>
    <t>220.182.798-23</t>
  </si>
  <si>
    <t>MAISA HELENA MOREIRA RIBEIRO</t>
  </si>
  <si>
    <t>440868567</t>
  </si>
  <si>
    <t>421.422.978-97</t>
  </si>
  <si>
    <t>39 / 37 / 35</t>
  </si>
  <si>
    <t xml:space="preserve">FERNANDA DOS SANTOS </t>
  </si>
  <si>
    <t>1635918499</t>
  </si>
  <si>
    <t>861.780.955-89</t>
  </si>
  <si>
    <t>ELAINE MARIO DA SILVA</t>
  </si>
  <si>
    <t>244033791</t>
  </si>
  <si>
    <t>159.015.898-90</t>
  </si>
  <si>
    <t>MARLEIDE DOS SANTOS</t>
  </si>
  <si>
    <t>237345559</t>
  </si>
  <si>
    <t>133.834.768-39</t>
  </si>
  <si>
    <t>522</t>
  </si>
  <si>
    <t>520 / 522 / 524</t>
  </si>
  <si>
    <t>LINCOLN FARIAS DE SOUZA</t>
  </si>
  <si>
    <t>20459706</t>
  </si>
  <si>
    <t>130.531.738-67</t>
  </si>
  <si>
    <t>GELVANIO FERREIRA LIMA</t>
  </si>
  <si>
    <t>634620708</t>
  </si>
  <si>
    <t>039.098.855-35</t>
  </si>
  <si>
    <t>ROBERTA SANTOS LUZ</t>
  </si>
  <si>
    <t>486442986</t>
  </si>
  <si>
    <t>386.823.028-96</t>
  </si>
  <si>
    <t>JOAO ROBERTO MATHIAS BARBOSA</t>
  </si>
  <si>
    <t>347427339</t>
  </si>
  <si>
    <t>221.913.188-27</t>
  </si>
  <si>
    <t>JOSE IVAN CARVALHO SANTOS</t>
  </si>
  <si>
    <t>460.764.253-34</t>
  </si>
  <si>
    <t>VANESSA MARIA HENRIQUE MENDES</t>
  </si>
  <si>
    <t>441035589</t>
  </si>
  <si>
    <t>380.861.778-07</t>
  </si>
  <si>
    <t>JOSE LUIZ DE LIMA</t>
  </si>
  <si>
    <t>331707858</t>
  </si>
  <si>
    <t>308.727.584-00</t>
  </si>
  <si>
    <t>TRAVESSA 1</t>
  </si>
  <si>
    <t>EDNA SILVA DOS SANTOS</t>
  </si>
  <si>
    <t>15.951.683-3</t>
  </si>
  <si>
    <t>039.957.028-48</t>
  </si>
  <si>
    <t xml:space="preserve">JOSE ADRIANO DA SILVA </t>
  </si>
  <si>
    <t>48.644.124-6</t>
  </si>
  <si>
    <t>402.370.268-48</t>
  </si>
  <si>
    <t>ANDRE DA SILVA</t>
  </si>
  <si>
    <t>48.852.183-X</t>
  </si>
  <si>
    <t>424.760.478-30</t>
  </si>
  <si>
    <t>FABIO LUIZ DA SILVA</t>
  </si>
  <si>
    <t>325239368</t>
  </si>
  <si>
    <t>257.004.438-56</t>
  </si>
  <si>
    <t>CAMINHO PARTICULAR SÃO JORGE</t>
  </si>
  <si>
    <t>144</t>
  </si>
  <si>
    <t>142 / 144 / 14677</t>
  </si>
  <si>
    <t>JOSÉ CLAUDIO SOARES</t>
  </si>
  <si>
    <t>245460925</t>
  </si>
  <si>
    <t>098.033.258-33</t>
  </si>
  <si>
    <t>146</t>
  </si>
  <si>
    <t>144 / 146 / 148</t>
  </si>
  <si>
    <t xml:space="preserve">LINDINALVA SANTOS DE SANTANA </t>
  </si>
  <si>
    <t>34.349.839-3</t>
  </si>
  <si>
    <t>313.215.338-96</t>
  </si>
  <si>
    <t>LINDINALVA OLIVEIRA DOS SANTOS</t>
  </si>
  <si>
    <t>22838803X</t>
  </si>
  <si>
    <t>108.308.408-93</t>
  </si>
  <si>
    <t xml:space="preserve">HUDSON LOPES DE OLIVEIRA </t>
  </si>
  <si>
    <t>402692196</t>
  </si>
  <si>
    <t>342.344.328/65</t>
  </si>
  <si>
    <t>ODILA JORGE RIBEIRO BARBOSA</t>
  </si>
  <si>
    <t>338238669</t>
  </si>
  <si>
    <t>264.871.848-61</t>
  </si>
  <si>
    <t xml:space="preserve">DANILO MANOEL DA SILVA </t>
  </si>
  <si>
    <t>41.309.484-4</t>
  </si>
  <si>
    <t>355.401.978-01</t>
  </si>
  <si>
    <t>C149</t>
  </si>
  <si>
    <t>147 / C149 / 151</t>
  </si>
  <si>
    <t xml:space="preserve">ELIANE MARIA DA SILVA </t>
  </si>
  <si>
    <t>45.633.344-7</t>
  </si>
  <si>
    <t>388.785.168-48</t>
  </si>
  <si>
    <t>MARCOMARCOS EVANGELISTA DE JESUS JUNIOR</t>
  </si>
  <si>
    <t>343495673</t>
  </si>
  <si>
    <t>303.218.528-93</t>
  </si>
  <si>
    <t>306</t>
  </si>
  <si>
    <t>304 / 306 / 308</t>
  </si>
  <si>
    <t xml:space="preserve">WILDE ALAN BARBOSA </t>
  </si>
  <si>
    <t>42.993.643-6</t>
  </si>
  <si>
    <t>375.174.238-78</t>
  </si>
  <si>
    <t>DANIELE CRISTINA WEGNER</t>
  </si>
  <si>
    <t>216.794.898-01</t>
  </si>
  <si>
    <t>RAIMUNDO CESAR MOREIRA</t>
  </si>
  <si>
    <t>57844639X</t>
  </si>
  <si>
    <t>585.975.655-00</t>
  </si>
  <si>
    <t>560</t>
  </si>
  <si>
    <t>558 / 560 / 562</t>
  </si>
  <si>
    <t>DENISE FIGUEIRA</t>
  </si>
  <si>
    <t>141215239</t>
  </si>
  <si>
    <t>049.865.878-38</t>
  </si>
  <si>
    <t>TAIS DE LIMA DOS SANTOS</t>
  </si>
  <si>
    <t>335748387</t>
  </si>
  <si>
    <t>353.517.348-50</t>
  </si>
  <si>
    <t>JOSE LEANDRO SILVA SANTOS MIRANDA</t>
  </si>
  <si>
    <t>326.678.438-35</t>
  </si>
  <si>
    <t>98 / 96 / 94</t>
  </si>
  <si>
    <t>591655159</t>
  </si>
  <si>
    <t>93 / 95 / 97</t>
  </si>
  <si>
    <t>ARLINDO BORGES DA SILVA</t>
  </si>
  <si>
    <t>189031001</t>
  </si>
  <si>
    <t>070.041.608-07</t>
  </si>
  <si>
    <t>59.165.515-9</t>
  </si>
  <si>
    <t>96 / 98 / 100</t>
  </si>
  <si>
    <t>REGIANE FERREIRA MIGUEL DA SILVA</t>
  </si>
  <si>
    <t>30.945.702-6</t>
  </si>
  <si>
    <t>220.551.968-98</t>
  </si>
  <si>
    <t>PATRICIA DOS SANTOS AVILA</t>
  </si>
  <si>
    <t>46889907</t>
  </si>
  <si>
    <t>355.277.338-00</t>
  </si>
  <si>
    <t xml:space="preserve">MATHEUS MARTINEZ DA CRUZ </t>
  </si>
  <si>
    <t>41.251.044-3</t>
  </si>
  <si>
    <t>412.926.918-67</t>
  </si>
  <si>
    <t>MARIA SOCORRO DE SENA</t>
  </si>
  <si>
    <t>372099026</t>
  </si>
  <si>
    <t>828.392.553-91</t>
  </si>
  <si>
    <t>S04 Q0D02 N10</t>
  </si>
  <si>
    <t xml:space="preserve">IRAQUITAM VIEIRA DA SILVA </t>
  </si>
  <si>
    <t>494121154</t>
  </si>
  <si>
    <t>234.560.458-16</t>
  </si>
  <si>
    <t xml:space="preserve">LUCINALDO PEREIRA DE OLIVEIRA </t>
  </si>
  <si>
    <t>372771920</t>
  </si>
  <si>
    <t>272.522.068-82</t>
  </si>
  <si>
    <t>897</t>
  </si>
  <si>
    <t>895 / 897 / 900</t>
  </si>
  <si>
    <t>ANTENOR JOSE DOS SANTOS</t>
  </si>
  <si>
    <t>25.443.706-0</t>
  </si>
  <si>
    <t>055.833.928-00</t>
  </si>
  <si>
    <t>EUNICE DOS SANTOS MORAES</t>
  </si>
  <si>
    <t>13004971</t>
  </si>
  <si>
    <t>018.460.163-19</t>
  </si>
  <si>
    <t>432</t>
  </si>
  <si>
    <t>430 / 432 / 434</t>
  </si>
  <si>
    <t>ROSANE DO NASCIMENTO SANTOS</t>
  </si>
  <si>
    <t>18.768.336-0</t>
  </si>
  <si>
    <t>147.524.558-03</t>
  </si>
  <si>
    <t xml:space="preserve">MARIA MADALENA DOS SANTOS </t>
  </si>
  <si>
    <t>22115663-X</t>
  </si>
  <si>
    <t>121.238.298-62</t>
  </si>
  <si>
    <t>ANTONIO ALVES CANUTO</t>
  </si>
  <si>
    <t>2.368.410-0</t>
  </si>
  <si>
    <t>439.949.468-91</t>
  </si>
  <si>
    <t xml:space="preserve">BRUNO XAVIER CERQUEIRA </t>
  </si>
  <si>
    <t>404.371.018-60</t>
  </si>
  <si>
    <t xml:space="preserve">ANDERSON OLIVEIRA GUIMARAES </t>
  </si>
  <si>
    <t>470785998</t>
  </si>
  <si>
    <t>308.977.148-90</t>
  </si>
  <si>
    <t>ROBSON DOS SANTOS</t>
  </si>
  <si>
    <t>431606808</t>
  </si>
  <si>
    <t>367.726.258-54</t>
  </si>
  <si>
    <t>STHEPHANE TROIOLO GUEDES</t>
  </si>
  <si>
    <t>40915860</t>
  </si>
  <si>
    <t>375.714.768-52</t>
  </si>
  <si>
    <t xml:space="preserve">111 </t>
  </si>
  <si>
    <t>109 / 111  / 113</t>
  </si>
  <si>
    <t>STEPHANE TROIOLO GUEDES</t>
  </si>
  <si>
    <t>109 / 111 / 113</t>
  </si>
  <si>
    <t>WANDRIANE MACHADO DE OLIVEIRA</t>
  </si>
  <si>
    <t>4643715882</t>
  </si>
  <si>
    <t>392.664.848-14</t>
  </si>
  <si>
    <t>BRUNO NUNES SOARES</t>
  </si>
  <si>
    <t>419094982</t>
  </si>
  <si>
    <t>434.102.398-55</t>
  </si>
  <si>
    <t>ROSANA SOUZA DE DEUS</t>
  </si>
  <si>
    <t>463873580</t>
  </si>
  <si>
    <t>378.845.448-22</t>
  </si>
  <si>
    <t>FATIMA BUENO STEFANO</t>
  </si>
  <si>
    <t>46852395</t>
  </si>
  <si>
    <t>342.979.568-02</t>
  </si>
  <si>
    <t>NATHALIE APARECIDA DE ANDRADE PITON RIBEIRO</t>
  </si>
  <si>
    <t>498055310</t>
  </si>
  <si>
    <t>486.908.798-70</t>
  </si>
  <si>
    <t>YASMIN SANTIAGO DA CRUZ</t>
  </si>
  <si>
    <t>581470163</t>
  </si>
  <si>
    <t>504.533.078-09</t>
  </si>
  <si>
    <t xml:space="preserve">KAROLINE APARECIDA LEONARDO DOS SANTOS </t>
  </si>
  <si>
    <t>485302603</t>
  </si>
  <si>
    <t>363.834.088-01</t>
  </si>
  <si>
    <t xml:space="preserve">RICARDO HONORATO DA CRUZ </t>
  </si>
  <si>
    <t>181748125</t>
  </si>
  <si>
    <t>278.852.828-05</t>
  </si>
  <si>
    <t>31 / 33 / 0</t>
  </si>
  <si>
    <t xml:space="preserve">MEIRELLEN REGINA CANDIDA </t>
  </si>
  <si>
    <t>441653029</t>
  </si>
  <si>
    <t>348.552.758-08</t>
  </si>
  <si>
    <t>1146</t>
  </si>
  <si>
    <t>1144 / 1146 / 1148</t>
  </si>
  <si>
    <t xml:space="preserve">REGINEIDE BEZERRA DA ROCHA </t>
  </si>
  <si>
    <t>33.222.111-8</t>
  </si>
  <si>
    <t>261.471.588-30</t>
  </si>
  <si>
    <t>CRISTIAN SANTIAGO CRUZ</t>
  </si>
  <si>
    <t>58142007</t>
  </si>
  <si>
    <t>513.613.598-03</t>
  </si>
  <si>
    <t>SONIA MARIA CARVALHO WASHIGTON DA CONCEIÇÃO SANTOS</t>
  </si>
  <si>
    <t>16.953.828-X</t>
  </si>
  <si>
    <t>048.726.208-52</t>
  </si>
  <si>
    <t>MARINALVA DOS SANTOS</t>
  </si>
  <si>
    <t>52.200.704-1</t>
  </si>
  <si>
    <t>073.203.388-82</t>
  </si>
  <si>
    <t xml:space="preserve">MONALISA CONCEIÇÃO ROCHA </t>
  </si>
  <si>
    <t>374.824.788-50</t>
  </si>
  <si>
    <t>LARISSA DA SILVA DE MOURA</t>
  </si>
  <si>
    <t>569894517</t>
  </si>
  <si>
    <t>567.501.048-35</t>
  </si>
  <si>
    <t>555</t>
  </si>
  <si>
    <t>553 / 555 / 557</t>
  </si>
  <si>
    <t>MAGNA DE CASSIA DA PAZ MARTINS</t>
  </si>
  <si>
    <t>283020647</t>
  </si>
  <si>
    <t>281.439.348-02</t>
  </si>
  <si>
    <t>559</t>
  </si>
  <si>
    <t>557 / 559 / 561</t>
  </si>
  <si>
    <t>JOSE CICERO BARBOSA DA SILVA</t>
  </si>
  <si>
    <t>55.188.023-5</t>
  </si>
  <si>
    <t>306.145.738-07</t>
  </si>
  <si>
    <t>661</t>
  </si>
  <si>
    <t>659 / 661 / 663</t>
  </si>
  <si>
    <t>ANTONIO FRANCISCO DE PONTES</t>
  </si>
  <si>
    <t>25.034.177</t>
  </si>
  <si>
    <t>559.836.334-53</t>
  </si>
  <si>
    <t>559 / 557 / 661</t>
  </si>
  <si>
    <t>559.836.344-53</t>
  </si>
  <si>
    <t xml:space="preserve">KARINY SILVA BATISTA MARTINEZ </t>
  </si>
  <si>
    <t>460.569.528-19</t>
  </si>
  <si>
    <t>ANA BERNARDA DO SANTOS</t>
  </si>
  <si>
    <t>149268841</t>
  </si>
  <si>
    <t>034.602.718-76</t>
  </si>
  <si>
    <t>LARISSA TAVARES DOS REIS LIMA</t>
  </si>
  <si>
    <t>55794436</t>
  </si>
  <si>
    <t>477.961.828-21</t>
  </si>
  <si>
    <t>S02 QD04 N85</t>
  </si>
  <si>
    <t xml:space="preserve">DANIELE DE PAULA FONSECA OLIVEIRA </t>
  </si>
  <si>
    <t>338238864</t>
  </si>
  <si>
    <t>330.154.408-88</t>
  </si>
  <si>
    <t>S01 QD07 N02</t>
  </si>
  <si>
    <t>PAMELA ISABELE DE PAULA CAETANO</t>
  </si>
  <si>
    <t>632828407</t>
  </si>
  <si>
    <t>562.898.388-81</t>
  </si>
  <si>
    <t>S01 QD07 N01</t>
  </si>
  <si>
    <t xml:space="preserve">IRACI JOSEFA DA SILVA </t>
  </si>
  <si>
    <t>189926090</t>
  </si>
  <si>
    <t>062.164.628-81</t>
  </si>
  <si>
    <t>S01 QD08 N30</t>
  </si>
  <si>
    <t>MARIA JOSÉ FAUSTINA DA FONSECA</t>
  </si>
  <si>
    <t>16.589.355-2</t>
  </si>
  <si>
    <t>048.289.948-40</t>
  </si>
  <si>
    <t>CAMINHO PARTICULAR SÃO JORGE  BECO 1</t>
  </si>
  <si>
    <t>CASA 2 ALTO</t>
  </si>
  <si>
    <t>MARIA LUIZA AMBROSIO NEVES</t>
  </si>
  <si>
    <t>197.480.168-38</t>
  </si>
  <si>
    <t>GIOVANNA FIGUEIRA DE AZEVEDO</t>
  </si>
  <si>
    <t>580517810</t>
  </si>
  <si>
    <t>466.026.218-90</t>
  </si>
  <si>
    <t xml:space="preserve">ROGERIO SOUZA DE DEUS </t>
  </si>
  <si>
    <t>47070100</t>
  </si>
  <si>
    <t>348.552.668-17</t>
  </si>
  <si>
    <t>114 / 116 / 118</t>
  </si>
  <si>
    <t>MARIA ANUNCIADA ALVES DA SILVA</t>
  </si>
  <si>
    <t>45.928.300-5</t>
  </si>
  <si>
    <t>300.281.698-16</t>
  </si>
  <si>
    <t>118 / 120 / 122</t>
  </si>
  <si>
    <t>CAMILA SOUZA DE DEUS</t>
  </si>
  <si>
    <t>58.118.249-2</t>
  </si>
  <si>
    <t>373.645.648-45</t>
  </si>
  <si>
    <t xml:space="preserve">MARIA LUIZA AMBROSIO NEVES </t>
  </si>
  <si>
    <t>JOSE RENATO DOS SANTOS</t>
  </si>
  <si>
    <t>1506315</t>
  </si>
  <si>
    <t>286.526.878-03</t>
  </si>
  <si>
    <t>RAFAEL BENICIO ANDRIGHETTI</t>
  </si>
  <si>
    <t>58963525</t>
  </si>
  <si>
    <t>466.321.868-74</t>
  </si>
  <si>
    <t>CAMINHO PARTICULAR SÃO JORGE BECO 2</t>
  </si>
  <si>
    <t xml:space="preserve">MARIA SANTOS CRUZ </t>
  </si>
  <si>
    <t>281345867</t>
  </si>
  <si>
    <t>199.421.398-18</t>
  </si>
  <si>
    <t>130 / 132 / 134</t>
  </si>
  <si>
    <t xml:space="preserve">MARIA EDNALVA DOS SANTOS CRUZ </t>
  </si>
  <si>
    <t>128635563</t>
  </si>
  <si>
    <t>274.678.248-07</t>
  </si>
  <si>
    <t>LARISSA TYFFANY FRUTUOSO TAVARES</t>
  </si>
  <si>
    <t>549840072</t>
  </si>
  <si>
    <t>480.013.298-36</t>
  </si>
  <si>
    <t>CAMINHO PARTICULAR SÃO JORGE BECO 3</t>
  </si>
  <si>
    <t>DENIS GERMAN SANTIBANEZ NUNES</t>
  </si>
  <si>
    <t>48950923</t>
  </si>
  <si>
    <t>435.712.448-42</t>
  </si>
  <si>
    <t>INAURIA ALBUQUERQUE SOARES</t>
  </si>
  <si>
    <t>213.209.504-34</t>
  </si>
  <si>
    <t xml:space="preserve">GILBERTO DOS SANTOS </t>
  </si>
  <si>
    <t>147564840</t>
  </si>
  <si>
    <t>065.243.048-10</t>
  </si>
  <si>
    <t xml:space="preserve">SELMA CRISTINA DOS SANTOS RODRIGUES </t>
  </si>
  <si>
    <t>054.995.368-05</t>
  </si>
  <si>
    <t>KARLA DE JESUS SILVA</t>
  </si>
  <si>
    <t>43160700X</t>
  </si>
  <si>
    <t>382.747.208-30</t>
  </si>
  <si>
    <t>DJALMA DA FRAGA SANTOS</t>
  </si>
  <si>
    <t>20384664</t>
  </si>
  <si>
    <t>015.175.265-66</t>
  </si>
  <si>
    <t>ANTONIO FRANCISCO DE JESUS</t>
  </si>
  <si>
    <t>551873723</t>
  </si>
  <si>
    <t>925.975.485-20</t>
  </si>
  <si>
    <t>CAMINHO PARTICULAR SÃO JORGE BECO 4</t>
  </si>
  <si>
    <t>SILVANIA SOARES COSTA CALVALCANTE ALMEIDA</t>
  </si>
  <si>
    <t>52.708.522-4</t>
  </si>
  <si>
    <t>562.984.804-63</t>
  </si>
  <si>
    <t>139</t>
  </si>
  <si>
    <t>137 / 139 / 141</t>
  </si>
  <si>
    <t xml:space="preserve">MARIA GILDETE MOREIRA </t>
  </si>
  <si>
    <t>161048419</t>
  </si>
  <si>
    <t>043.941.528-44</t>
  </si>
  <si>
    <t>214 / 216 / 218</t>
  </si>
  <si>
    <t>FELIPE DE SOUZA ANDRADE SANTANA</t>
  </si>
  <si>
    <t>33614041859</t>
  </si>
  <si>
    <t>336.140.418-59</t>
  </si>
  <si>
    <t>228</t>
  </si>
  <si>
    <t>226 / 228 / 230</t>
  </si>
  <si>
    <t>EDILEUZA DOS SANTOS CRUZ</t>
  </si>
  <si>
    <t>34.645.012-3</t>
  </si>
  <si>
    <t>224.673.378-20</t>
  </si>
  <si>
    <t>DAYANE EVANGELISTA DOS SANTOS</t>
  </si>
  <si>
    <t>55.3727394</t>
  </si>
  <si>
    <t>355.024.738-99</t>
  </si>
  <si>
    <t>GILSON DE JESUS ALMEIDA</t>
  </si>
  <si>
    <t>580706503</t>
  </si>
  <si>
    <t>723.053.715-00</t>
  </si>
  <si>
    <t>RAIMUNDO JOSE DIAS</t>
  </si>
  <si>
    <t>285340293</t>
  </si>
  <si>
    <t>108.248.148-35</t>
  </si>
  <si>
    <t>200 / 202 / 204</t>
  </si>
  <si>
    <t>IVAN MENEZES SANTOS</t>
  </si>
  <si>
    <t>34349292</t>
  </si>
  <si>
    <t>259.595.428-89</t>
  </si>
  <si>
    <t>SILVANA BARBOSA VIEIRA</t>
  </si>
  <si>
    <t>18449896X</t>
  </si>
  <si>
    <t>075.263.748-76</t>
  </si>
  <si>
    <t xml:space="preserve">SILVANA FRAGA DO NASCIMENTO </t>
  </si>
  <si>
    <t>35.267.599-8</t>
  </si>
  <si>
    <t>197.574.548-50</t>
  </si>
  <si>
    <t xml:space="preserve">MARLENE FRAGA NASCIMENTO </t>
  </si>
  <si>
    <t>35.398.618-5</t>
  </si>
  <si>
    <t>283.993.768-92</t>
  </si>
  <si>
    <t xml:space="preserve">VANDERLEI BERNARDO </t>
  </si>
  <si>
    <t>124.304.298-29</t>
  </si>
  <si>
    <t>LUIZ CARLOS DOS ANJOS BERNARDO</t>
  </si>
  <si>
    <t>551564933</t>
  </si>
  <si>
    <t>577.251.278-90</t>
  </si>
  <si>
    <t>LUZINETE DO NASCIMENTO SANTOS</t>
  </si>
  <si>
    <t>649795155</t>
  </si>
  <si>
    <t>060.184.545-56</t>
  </si>
  <si>
    <t xml:space="preserve">ADRIANO FRAGA DO NASCIMENTO </t>
  </si>
  <si>
    <t>458967245</t>
  </si>
  <si>
    <t>036.576.565-10</t>
  </si>
  <si>
    <t>5 / 7 / 11</t>
  </si>
  <si>
    <t>036.577.565-10</t>
  </si>
  <si>
    <t>05 / 07 / 11</t>
  </si>
  <si>
    <t>LILIAN BUENO STEFANO</t>
  </si>
  <si>
    <t>470775981</t>
  </si>
  <si>
    <t>342.979.558-30</t>
  </si>
  <si>
    <t>MARIA CICERA DO NASCIMENTO</t>
  </si>
  <si>
    <t>209560307</t>
  </si>
  <si>
    <t>314.185.878-00</t>
  </si>
  <si>
    <t>1004</t>
  </si>
  <si>
    <t>1102 / 1004 / 1006</t>
  </si>
  <si>
    <t xml:space="preserve">BRUNO MEDEIROS DA CRUZ </t>
  </si>
  <si>
    <t>58158630X</t>
  </si>
  <si>
    <t>504.375.318-80</t>
  </si>
  <si>
    <t>ELAINE ALVES FERREIRA DE SOUZA</t>
  </si>
  <si>
    <t>552902706</t>
  </si>
  <si>
    <t>443.808.898-40</t>
  </si>
  <si>
    <t>ANA MARIA SANTOS DOS SANTOS</t>
  </si>
  <si>
    <t>478721742</t>
  </si>
  <si>
    <t>391.105.388-60</t>
  </si>
  <si>
    <t>538</t>
  </si>
  <si>
    <t>540 / 538 / 536</t>
  </si>
  <si>
    <t>GENILSON APARECIDO DOS SANTOS</t>
  </si>
  <si>
    <t>377754298</t>
  </si>
  <si>
    <t>236.326.398-76</t>
  </si>
  <si>
    <t>CELIA REGINA MARQUES</t>
  </si>
  <si>
    <t>205865975</t>
  </si>
  <si>
    <t>158.972.978-19</t>
  </si>
  <si>
    <t>551</t>
  </si>
  <si>
    <t>449 / 551 / 553</t>
  </si>
  <si>
    <t>553</t>
  </si>
  <si>
    <t>551 / 553 / 555</t>
  </si>
  <si>
    <t>ANA LUCIA GOMES DA SILVA</t>
  </si>
  <si>
    <t>39.142.084-7</t>
  </si>
  <si>
    <t>380.061.278-08</t>
  </si>
  <si>
    <t>LEONARDO HENRIQUE DE SOUZA</t>
  </si>
  <si>
    <t>231588859</t>
  </si>
  <si>
    <t>118.996.788-08</t>
  </si>
  <si>
    <t>Casa 01</t>
  </si>
  <si>
    <t>8 / 10 / 13</t>
  </si>
  <si>
    <t>DAHIANA FAUSTINA DA SILVA BARBOSA</t>
  </si>
  <si>
    <t>40.548.221-8</t>
  </si>
  <si>
    <t>343.520.578-43</t>
  </si>
  <si>
    <t>SILVANIA SOARES COSTA CAVALCANTE ALMEIDA</t>
  </si>
  <si>
    <t>52.708.522-5</t>
  </si>
  <si>
    <t xml:space="preserve">SELMA CONCEIÇÃO DO NASCIMENTO </t>
  </si>
  <si>
    <t>54.741.895-4</t>
  </si>
  <si>
    <t>910.343.455-19</t>
  </si>
  <si>
    <t xml:space="preserve">FRANCISCO DE ASSIS PINTO DA SILVA </t>
  </si>
  <si>
    <t>20957213</t>
  </si>
  <si>
    <t>126.095.058-17</t>
  </si>
  <si>
    <t xml:space="preserve">JACIREMA DA SILVA DE BRITO </t>
  </si>
  <si>
    <t>284862320</t>
  </si>
  <si>
    <t>169.499.998-01</t>
  </si>
  <si>
    <t>761</t>
  </si>
  <si>
    <t>759 / 761 / 0</t>
  </si>
  <si>
    <t xml:space="preserve">EDIVALDO JOSÉ BARBOSA </t>
  </si>
  <si>
    <t>371722470</t>
  </si>
  <si>
    <t>026.992.214-81</t>
  </si>
  <si>
    <t>1187</t>
  </si>
  <si>
    <t>1185 / 1187 / 1189</t>
  </si>
  <si>
    <t xml:space="preserve">DANIELA DOS SANTOS BARBOSA </t>
  </si>
  <si>
    <t>50751194</t>
  </si>
  <si>
    <t>455.719.208-40</t>
  </si>
  <si>
    <t>1187 / 1187 / 1191</t>
  </si>
  <si>
    <t xml:space="preserve">CLAUDIO EDUARDO PEREIRA DOS SANTOS </t>
  </si>
  <si>
    <t>645565933</t>
  </si>
  <si>
    <t>548.011.408-58</t>
  </si>
  <si>
    <t xml:space="preserve">CARMELITA DANUBIA DE ARAUJO </t>
  </si>
  <si>
    <t>354871821</t>
  </si>
  <si>
    <t>302.224.578-56</t>
  </si>
  <si>
    <t xml:space="preserve">JONAS PEREIRA DE ASEVEDO </t>
  </si>
  <si>
    <t>522377688</t>
  </si>
  <si>
    <t>474.033.628-61</t>
  </si>
  <si>
    <t>894</t>
  </si>
  <si>
    <t>892 / 894 / 0</t>
  </si>
  <si>
    <t>ANTONIO MARCOS DO NASCIMENTO SANTOS LOPES</t>
  </si>
  <si>
    <t>29948578X</t>
  </si>
  <si>
    <t>272.599.938-39</t>
  </si>
  <si>
    <t>FLAVIO JESUS DA SILVA</t>
  </si>
  <si>
    <t>41569735</t>
  </si>
  <si>
    <t>225.975.708-19</t>
  </si>
  <si>
    <t>S01 QD06 N31</t>
  </si>
  <si>
    <t>BIANKA MARISONIA DOS SANTOS</t>
  </si>
  <si>
    <t>360263720</t>
  </si>
  <si>
    <t>395.810.568-82</t>
  </si>
  <si>
    <t>S01 QD07 N03</t>
  </si>
  <si>
    <t xml:space="preserve">DJAIR FELIPE DOS SANTOS </t>
  </si>
  <si>
    <t>363516918</t>
  </si>
  <si>
    <t>411.002.488-97</t>
  </si>
  <si>
    <t>1185</t>
  </si>
  <si>
    <t>1183 / 1185 / 1187</t>
  </si>
  <si>
    <t>OLIVIA CRISTINA DA SILVA PEDROSO</t>
  </si>
  <si>
    <t>682023449</t>
  </si>
  <si>
    <t>233.184.128-48</t>
  </si>
  <si>
    <t>AMANDA CARLA DA SILVA</t>
  </si>
  <si>
    <t>44700945X</t>
  </si>
  <si>
    <t>SIMONE DOS SANTOS MEDEIROS</t>
  </si>
  <si>
    <t>27.032.946-8</t>
  </si>
  <si>
    <t>162.428.008-02</t>
  </si>
  <si>
    <t>CASSIA MARIA GOMES</t>
  </si>
  <si>
    <t>141216992</t>
  </si>
  <si>
    <t>054.647.088-20</t>
  </si>
  <si>
    <t>504 / 506 / 508</t>
  </si>
  <si>
    <t>INGRIT TAINÁ DA SILVA RODRIGUES DOS SANTOS</t>
  </si>
  <si>
    <t>462535940</t>
  </si>
  <si>
    <t>413.077.528-61</t>
  </si>
  <si>
    <t>220 / 222 / 224</t>
  </si>
  <si>
    <t>RAYSSA TYFFANY TAVARES</t>
  </si>
  <si>
    <t>576978346</t>
  </si>
  <si>
    <t>480.676.138-93</t>
  </si>
  <si>
    <t xml:space="preserve">ELENILSON NORONHA SILVA </t>
  </si>
  <si>
    <t>25816756</t>
  </si>
  <si>
    <t>098.042.318-08</t>
  </si>
  <si>
    <t>511</t>
  </si>
  <si>
    <t>509 / 511 / 513</t>
  </si>
  <si>
    <t>MARIA SOARES DE OLIVEIRA</t>
  </si>
  <si>
    <t>367761373</t>
  </si>
  <si>
    <t>077.304.768-94</t>
  </si>
  <si>
    <t>216 / 218 / 220</t>
  </si>
  <si>
    <t xml:space="preserve">MARIA LUCIA SOARES DE OLIVEIRA </t>
  </si>
  <si>
    <t>540934562</t>
  </si>
  <si>
    <t>317.422.228-11</t>
  </si>
  <si>
    <t>218 / 220 / 222</t>
  </si>
  <si>
    <t>ADRIANA MENDONÇA DOS SANTOS</t>
  </si>
  <si>
    <t>558195301</t>
  </si>
  <si>
    <t>389.583.858-63</t>
  </si>
  <si>
    <t>JOÃO  FERREIRA DA SILVA</t>
  </si>
  <si>
    <t>02148536186</t>
  </si>
  <si>
    <t>108.387.578-71</t>
  </si>
  <si>
    <t>S03 QD11 N15</t>
  </si>
  <si>
    <t>CAMILA NASCIMENTO DA SILVA</t>
  </si>
  <si>
    <t>423891285</t>
  </si>
  <si>
    <t>423.568.928-26</t>
  </si>
  <si>
    <t>S03 QD11 N16</t>
  </si>
  <si>
    <t>DIECILDA CHAGAS SANTOS</t>
  </si>
  <si>
    <t>551852392</t>
  </si>
  <si>
    <t>857.272.455-91</t>
  </si>
  <si>
    <t xml:space="preserve">DAIANE CREISTINA DE SOUZA </t>
  </si>
  <si>
    <t>44874961-0</t>
  </si>
  <si>
    <t>400.314.748-02</t>
  </si>
  <si>
    <t xml:space="preserve">JESSICA  ALVES DOS SANTOS </t>
  </si>
  <si>
    <t>49827920</t>
  </si>
  <si>
    <t>450.907.068-32</t>
  </si>
  <si>
    <t xml:space="preserve">SOLIDADE FRANCISCO DA ROCHA </t>
  </si>
  <si>
    <t>599618759</t>
  </si>
  <si>
    <t>046.107.995-02</t>
  </si>
  <si>
    <t>156</t>
  </si>
  <si>
    <t>154 / 156 / 158</t>
  </si>
  <si>
    <t>GENIVALDA LIMA DE CARVALHO</t>
  </si>
  <si>
    <t>22.116.268-9</t>
  </si>
  <si>
    <t>133.980.188-40</t>
  </si>
  <si>
    <t>ADRIANO BORGES DE LIMA</t>
  </si>
  <si>
    <t>29.137.962-X</t>
  </si>
  <si>
    <t>192.884.958-00</t>
  </si>
  <si>
    <t>127 / 129 / 131</t>
  </si>
  <si>
    <t xml:space="preserve">PAULA VALERIA RAIMUNDO </t>
  </si>
  <si>
    <t>551888192</t>
  </si>
  <si>
    <t>294.731.148-50</t>
  </si>
  <si>
    <t>153 / 154 / 155</t>
  </si>
  <si>
    <t>SEVERINO DOMINGOS DA SILVA</t>
  </si>
  <si>
    <t>593225739</t>
  </si>
  <si>
    <t>025.560.398-33</t>
  </si>
  <si>
    <t>630</t>
  </si>
  <si>
    <t>628 / 630 / 632</t>
  </si>
  <si>
    <t>JOANA D'ARC APARECIDA SANTOS DOS SANTOS</t>
  </si>
  <si>
    <t>431607886</t>
  </si>
  <si>
    <t>360.137.958-94</t>
  </si>
  <si>
    <t>533</t>
  </si>
  <si>
    <t>531 / 533 / 535</t>
  </si>
  <si>
    <t xml:space="preserve">ANDERSON DE ALMEIDA COSTA </t>
  </si>
  <si>
    <t>19478918-4</t>
  </si>
  <si>
    <t>121.199.828-21</t>
  </si>
  <si>
    <t>LEOMIR RODRIGUES DE MATOS</t>
  </si>
  <si>
    <t>52708745</t>
  </si>
  <si>
    <t>030.305.265-18</t>
  </si>
  <si>
    <t>CAMINHO PARTICULAR SÃO JORGE BECO 5</t>
  </si>
  <si>
    <t>226</t>
  </si>
  <si>
    <t>224 / 226 / 228</t>
  </si>
  <si>
    <t>ELOA CARVALHO ALEIXO</t>
  </si>
  <si>
    <t>409107992</t>
  </si>
  <si>
    <t>381.070.005-48</t>
  </si>
  <si>
    <t>271</t>
  </si>
  <si>
    <t>269 / 271 / 273</t>
  </si>
  <si>
    <t>HILDA DOS SANTOS</t>
  </si>
  <si>
    <t>256378319</t>
  </si>
  <si>
    <t>101.979.388-09</t>
  </si>
  <si>
    <t>278</t>
  </si>
  <si>
    <t>276 / 278 / 280</t>
  </si>
  <si>
    <t>ANA FLÁVIA SILVA MUNHOZ</t>
  </si>
  <si>
    <t>65944278123</t>
  </si>
  <si>
    <t>573.496.758-01</t>
  </si>
  <si>
    <t>269</t>
  </si>
  <si>
    <t>267 / 269 / 271</t>
  </si>
  <si>
    <t>KELLY ANE DE SANTANA</t>
  </si>
  <si>
    <t>361.697.178-07</t>
  </si>
  <si>
    <t xml:space="preserve">KELLY ANE DE SANTANA </t>
  </si>
  <si>
    <t>207</t>
  </si>
  <si>
    <t>CS02</t>
  </si>
  <si>
    <t>205 / 207 / 209</t>
  </si>
  <si>
    <t>LEONARDO DE SANTANA SILVA</t>
  </si>
  <si>
    <t>45406783</t>
  </si>
  <si>
    <t>494.235.818-38</t>
  </si>
  <si>
    <t>LUCIANO AQUINO DA SILVA</t>
  </si>
  <si>
    <t>30.947.301-9</t>
  </si>
  <si>
    <t>215.628.868-27</t>
  </si>
  <si>
    <t>975</t>
  </si>
  <si>
    <t xml:space="preserve">CASA 2 </t>
  </si>
  <si>
    <t>973 / 975 / 977</t>
  </si>
  <si>
    <t>CESARIANA FERREIRA ZUCA</t>
  </si>
  <si>
    <t>10.442.074-0</t>
  </si>
  <si>
    <t>069.403.858-00</t>
  </si>
  <si>
    <t>JAILTON SEBASTIÃO ROMUALDO</t>
  </si>
  <si>
    <t>54854550</t>
  </si>
  <si>
    <t>055.337.354-45</t>
  </si>
  <si>
    <t>DAVID DE OLIVEIRA DA SILVA</t>
  </si>
  <si>
    <t>48.361.696-5</t>
  </si>
  <si>
    <t>453.696.128-38</t>
  </si>
  <si>
    <t>209</t>
  </si>
  <si>
    <t>207 / 209 / 211</t>
  </si>
  <si>
    <t xml:space="preserve">JOICE KAULAS DE OLIVEIRA </t>
  </si>
  <si>
    <t>43.343.249-4</t>
  </si>
  <si>
    <t>338.905.038-88</t>
  </si>
  <si>
    <t>227</t>
  </si>
  <si>
    <t>225 / 227 / 229</t>
  </si>
  <si>
    <t>CLEVERTON DO SACRAMENTO SILVA</t>
  </si>
  <si>
    <t>48443764</t>
  </si>
  <si>
    <t>342.745.228-06</t>
  </si>
  <si>
    <t>250</t>
  </si>
  <si>
    <t>248 / 250 / 252</t>
  </si>
  <si>
    <t>JANICLEIA ALVES</t>
  </si>
  <si>
    <t>476919885</t>
  </si>
  <si>
    <t>333.763.408-70</t>
  </si>
  <si>
    <t>254</t>
  </si>
  <si>
    <t>252 / 254 / 256</t>
  </si>
  <si>
    <t>GIOVANNY DA CUNHA ALVES</t>
  </si>
  <si>
    <t>566180030</t>
  </si>
  <si>
    <t>523.646.198-74</t>
  </si>
  <si>
    <t xml:space="preserve">DAVI MOURA DA COSTA </t>
  </si>
  <si>
    <t>36808295</t>
  </si>
  <si>
    <t>305.775.558-55</t>
  </si>
  <si>
    <t xml:space="preserve">LUIS FERNANDO MENEZES DA GRACA </t>
  </si>
  <si>
    <t>360.267.728-12</t>
  </si>
  <si>
    <t>CS09</t>
  </si>
  <si>
    <t>ISADORA SOARES DOS SANTOS</t>
  </si>
  <si>
    <t>36808612</t>
  </si>
  <si>
    <t>324.495.828-19</t>
  </si>
  <si>
    <t xml:space="preserve">DEBORA MOTA DA COSTA </t>
  </si>
  <si>
    <t>573330104</t>
  </si>
  <si>
    <t>077.556.444-30</t>
  </si>
  <si>
    <t>CARLA ROBERTA DOS SANTOS PALMEIRA SILVA</t>
  </si>
  <si>
    <t>332.771.888-17</t>
  </si>
  <si>
    <t>275</t>
  </si>
  <si>
    <t>273 / 275 / 277</t>
  </si>
  <si>
    <t xml:space="preserve">LUCAS EDUARDO ARAUJO DA SILVA </t>
  </si>
  <si>
    <t>54739014</t>
  </si>
  <si>
    <t>499.722.488-01</t>
  </si>
  <si>
    <t>CS 2</t>
  </si>
  <si>
    <t>ROSILDA RODRIGUES LOPES</t>
  </si>
  <si>
    <t>30,590.122-9</t>
  </si>
  <si>
    <t>252.041.678-54</t>
  </si>
  <si>
    <t>231</t>
  </si>
  <si>
    <t>229 / 231 / 233</t>
  </si>
  <si>
    <t>ALEXANDRE DA SILVA</t>
  </si>
  <si>
    <t>66.413.293-5</t>
  </si>
  <si>
    <t>109.102.734-05</t>
  </si>
  <si>
    <t>ALCINO ANTONIO DE MENEZES</t>
  </si>
  <si>
    <t>8.558.560-9</t>
  </si>
  <si>
    <t>927.266.668-68</t>
  </si>
  <si>
    <t>KARIN CRISTINA DO VALE</t>
  </si>
  <si>
    <t>22.680.431-8</t>
  </si>
  <si>
    <t>159.067.588-60</t>
  </si>
  <si>
    <t xml:space="preserve">VILMA MARIA DO SACRAMENTO </t>
  </si>
  <si>
    <t>53.649.036-3</t>
  </si>
  <si>
    <t>516.836.015-72</t>
  </si>
  <si>
    <t>251</t>
  </si>
  <si>
    <t>249 / 251 / 253</t>
  </si>
  <si>
    <t>ROSEMEIRE DOS SANTOS ETELVINO</t>
  </si>
  <si>
    <t>356759295</t>
  </si>
  <si>
    <t>337.314.888-09</t>
  </si>
  <si>
    <t>204 / 208 / 210</t>
  </si>
  <si>
    <t>SILVIA HELENA DA PENHA</t>
  </si>
  <si>
    <t>284161901</t>
  </si>
  <si>
    <t>377.947.538-30</t>
  </si>
  <si>
    <t>AMARA MARIA RODRIGUES</t>
  </si>
  <si>
    <t>564364356</t>
  </si>
  <si>
    <t>832.975.294-15</t>
  </si>
  <si>
    <t>ADILSON DA SILVA</t>
  </si>
  <si>
    <t>209539756</t>
  </si>
  <si>
    <t>158.934.468-52</t>
  </si>
  <si>
    <t>276</t>
  </si>
  <si>
    <t>274 / 276 / 278</t>
  </si>
  <si>
    <t>MIDIAM MARTIM DE LIMA</t>
  </si>
  <si>
    <t>24957794X</t>
  </si>
  <si>
    <t>275.415.918-58</t>
  </si>
  <si>
    <t>229</t>
  </si>
  <si>
    <t>227 / 229 / 231</t>
  </si>
  <si>
    <t>IRENE MARIA DE LIMA</t>
  </si>
  <si>
    <t>599446705</t>
  </si>
  <si>
    <t>398.474.464-15</t>
  </si>
  <si>
    <t>GEOVANICE ALVES</t>
  </si>
  <si>
    <t>363667751</t>
  </si>
  <si>
    <t>294.264.368-47</t>
  </si>
  <si>
    <t>257</t>
  </si>
  <si>
    <t>255 / 257 / 259</t>
  </si>
  <si>
    <t>GELCINO ARCANJO DE SOUZA</t>
  </si>
  <si>
    <t>10416366</t>
  </si>
  <si>
    <t>013.109.538-21</t>
  </si>
  <si>
    <t>238</t>
  </si>
  <si>
    <t>236 / 238 / 240</t>
  </si>
  <si>
    <t>FATIMA CARINA DO SACRAMENTO DA SILVA</t>
  </si>
  <si>
    <t>36465045X</t>
  </si>
  <si>
    <t>348.244.458-76</t>
  </si>
  <si>
    <t>LUZIENE NAZARIO DA CRUZ</t>
  </si>
  <si>
    <t>1208925</t>
  </si>
  <si>
    <t>533.445.965-00</t>
  </si>
  <si>
    <t>RUI AMORIM DOS SANTOS</t>
  </si>
  <si>
    <t>118455734</t>
  </si>
  <si>
    <t>972.556.538-04</t>
  </si>
  <si>
    <t>MARILEIDE DA SILVA</t>
  </si>
  <si>
    <t>325223932</t>
  </si>
  <si>
    <t>255.650.818-31</t>
  </si>
  <si>
    <t>922</t>
  </si>
  <si>
    <t>920 / 922 / 924</t>
  </si>
  <si>
    <t>DECIVAL OLIVEIRA DO NASCIMENTO</t>
  </si>
  <si>
    <t>86964615415</t>
  </si>
  <si>
    <t>869.646.154-15</t>
  </si>
  <si>
    <t>1006</t>
  </si>
  <si>
    <t>CS01</t>
  </si>
  <si>
    <t>1006 / 1006 / 1008</t>
  </si>
  <si>
    <t>FELIPE ARAUJO</t>
  </si>
  <si>
    <t>407108932</t>
  </si>
  <si>
    <t>462.186.848-90</t>
  </si>
  <si>
    <t>514 / 516 / 518</t>
  </si>
  <si>
    <t xml:space="preserve">VERA LUCIA MENDONCA </t>
  </si>
  <si>
    <t>235964955</t>
  </si>
  <si>
    <t>162.271.508-00</t>
  </si>
  <si>
    <t>974 / 975 / 977</t>
  </si>
  <si>
    <t>SANDRO ALEX DA SILVA</t>
  </si>
  <si>
    <t>431605403</t>
  </si>
  <si>
    <t>380.808.718-84</t>
  </si>
  <si>
    <t xml:space="preserve">LUAN RAFAEL DE OLIVEIRA DA SILVA </t>
  </si>
  <si>
    <t>498026905</t>
  </si>
  <si>
    <t>488.831.868-93</t>
  </si>
  <si>
    <t xml:space="preserve">IRAC EDSON MOREIRA DA SILVA </t>
  </si>
  <si>
    <t>NIVALDO DO PATROCINIO</t>
  </si>
  <si>
    <t>CS05</t>
  </si>
  <si>
    <t xml:space="preserve">6468 / 66 / </t>
  </si>
  <si>
    <t xml:space="preserve">ROSILENE DE FREITAS </t>
  </si>
  <si>
    <t>37.154.781.7</t>
  </si>
  <si>
    <t>356.465.578-60</t>
  </si>
  <si>
    <t>NELMARA DA SILVA VAROTO</t>
  </si>
  <si>
    <t>486282521</t>
  </si>
  <si>
    <t>393.126.048-80</t>
  </si>
  <si>
    <t>S02 QD02 N84</t>
  </si>
  <si>
    <t>JEANE OLIVEIRA DOS SANTOS</t>
  </si>
  <si>
    <t>49.296.127-X</t>
  </si>
  <si>
    <t>427.465.058-86</t>
  </si>
  <si>
    <t>252</t>
  </si>
  <si>
    <t>250 / 252 / 254</t>
  </si>
  <si>
    <t>JORGE BALDUINO</t>
  </si>
  <si>
    <t>149542434</t>
  </si>
  <si>
    <t>018.040.078-97</t>
  </si>
  <si>
    <t>EDSON SANTOS</t>
  </si>
  <si>
    <t>227789222</t>
  </si>
  <si>
    <t>070.134.118-17</t>
  </si>
  <si>
    <t>CS1 S1 QD8 N85</t>
  </si>
  <si>
    <t>77 / 76 / 75</t>
  </si>
  <si>
    <t>CARLEANGE BATISTA DE FARIAS</t>
  </si>
  <si>
    <t>291375480</t>
  </si>
  <si>
    <t>587.785.865-34</t>
  </si>
  <si>
    <t xml:space="preserve">CARLEANGE BATISTA DE FARIAS </t>
  </si>
  <si>
    <t>225</t>
  </si>
  <si>
    <t>223 / 225 / 225</t>
  </si>
  <si>
    <t>223 / 225 / 227</t>
  </si>
  <si>
    <t xml:space="preserve">ALDERLANIO MELO DONATO </t>
  </si>
  <si>
    <t>137782618</t>
  </si>
  <si>
    <t>421.845.198-20</t>
  </si>
  <si>
    <t xml:space="preserve">887 / 889 / </t>
  </si>
  <si>
    <t xml:space="preserve">JHONATA LISBOA SANCHES </t>
  </si>
  <si>
    <t>42996947</t>
  </si>
  <si>
    <t>350.326.048-01</t>
  </si>
  <si>
    <t xml:space="preserve">THIAGO LISBOA SANCHES </t>
  </si>
  <si>
    <t>281484235</t>
  </si>
  <si>
    <t>320.290.348-94</t>
  </si>
  <si>
    <t>ANTONIO FRANCISCO PEREIRA DELGADO</t>
  </si>
  <si>
    <t>861.649.293-34</t>
  </si>
  <si>
    <t>1013</t>
  </si>
  <si>
    <t>1011 / 1013 / 1015</t>
  </si>
  <si>
    <t xml:space="preserve">JESSICA JULIANA FERREIRA MARTINS </t>
  </si>
  <si>
    <t>63233003X</t>
  </si>
  <si>
    <t>115.073.194-01</t>
  </si>
  <si>
    <t>TRAVESSA 2</t>
  </si>
  <si>
    <t>MARIA LUCIA FERREIRA</t>
  </si>
  <si>
    <t>60.188.815-7</t>
  </si>
  <si>
    <t>796.096.864-00</t>
  </si>
  <si>
    <t>VITORIA DA SILVA CAMARGO</t>
  </si>
  <si>
    <t>59.017.820-9</t>
  </si>
  <si>
    <t>546.835.178-17</t>
  </si>
  <si>
    <t>JOSE COSTA DE ALMEIDA</t>
  </si>
  <si>
    <t>27559380</t>
  </si>
  <si>
    <t>442.724.724-53</t>
  </si>
  <si>
    <t>1015 / 1017 / 1019</t>
  </si>
  <si>
    <t>AMARO JOSÉ JACINTO</t>
  </si>
  <si>
    <t>567289114</t>
  </si>
  <si>
    <t>376.902.134-72</t>
  </si>
  <si>
    <t>RUA DAS PEDRAS ESCADARIA 1</t>
  </si>
  <si>
    <t>1022</t>
  </si>
  <si>
    <t>1020 / 1022 / 1024</t>
  </si>
  <si>
    <t>RAMON DA SILVA JOSÉ SANTANA</t>
  </si>
  <si>
    <t>000048901172</t>
  </si>
  <si>
    <t>397.688.008-60</t>
  </si>
  <si>
    <t>1018</t>
  </si>
  <si>
    <t>1016 / 1018 / 1020</t>
  </si>
  <si>
    <t>IRENE PEREIRA SILVA</t>
  </si>
  <si>
    <t>621.184.395-04</t>
  </si>
  <si>
    <t>MARIA JOSE COSTA SE ALMEIDA</t>
  </si>
  <si>
    <t>35.861.048-5</t>
  </si>
  <si>
    <t>097.763.988-63</t>
  </si>
  <si>
    <t>1019 / 1021 / 1023</t>
  </si>
  <si>
    <t>ALESSANDRA ALMEIDA DA SILVA</t>
  </si>
  <si>
    <t>35.861.094-1</t>
  </si>
  <si>
    <t>400.355.598-88</t>
  </si>
  <si>
    <t>JULYHERMES SILVA DE LIMA</t>
  </si>
  <si>
    <t>416116607</t>
  </si>
  <si>
    <t>340.387.928-38</t>
  </si>
  <si>
    <t>1020</t>
  </si>
  <si>
    <t>1018 / 1020 / 1022</t>
  </si>
  <si>
    <t>NEUZA JESUS OLIVEIRA</t>
  </si>
  <si>
    <t>422.427.385-34</t>
  </si>
  <si>
    <t xml:space="preserve">MAURICIO BARROS DA SILVA </t>
  </si>
  <si>
    <t>335744801</t>
  </si>
  <si>
    <t>359.668.744-68</t>
  </si>
  <si>
    <t>1030</t>
  </si>
  <si>
    <t>1028 / 1030 / 1032</t>
  </si>
  <si>
    <t>ADRIANA FERREIRA</t>
  </si>
  <si>
    <t>34.960.828-3</t>
  </si>
  <si>
    <t>227.882.378-71</t>
  </si>
  <si>
    <t>1024</t>
  </si>
  <si>
    <t>1022 / 1024 / 1026</t>
  </si>
  <si>
    <t xml:space="preserve">DANIEL RODRIGUES DE MEDEIROS MAIA </t>
  </si>
  <si>
    <t>50171521</t>
  </si>
  <si>
    <t>1017 / 1019 / 1021</t>
  </si>
  <si>
    <t xml:space="preserve">MARIA JOSÉ DA SILVA </t>
  </si>
  <si>
    <t>23.462.640-9</t>
  </si>
  <si>
    <t>660.753.864-91</t>
  </si>
  <si>
    <t>981</t>
  </si>
  <si>
    <t>979 / 981 / 983</t>
  </si>
  <si>
    <t>JAQUELINE ALVES DE JESUS</t>
  </si>
  <si>
    <t>507536186</t>
  </si>
  <si>
    <t>406.765.318-22</t>
  </si>
  <si>
    <t>AUGUSTO SILVA RAMOS</t>
  </si>
  <si>
    <t>608395158</t>
  </si>
  <si>
    <t>466.376.678-11</t>
  </si>
  <si>
    <t>1006A</t>
  </si>
  <si>
    <t>JOSE VALDIR DE SOUZA DANTAS</t>
  </si>
  <si>
    <t>54982716</t>
  </si>
  <si>
    <t>057.103.455-12</t>
  </si>
  <si>
    <t>MAIBY GONÇALVES IZIDIO</t>
  </si>
  <si>
    <t>565005571</t>
  </si>
  <si>
    <t>457.168.078-59</t>
  </si>
  <si>
    <t xml:space="preserve">CARLA SOUZA ANDRADE </t>
  </si>
  <si>
    <t>643669310</t>
  </si>
  <si>
    <t>511.569.107-62</t>
  </si>
  <si>
    <t xml:space="preserve">VITÓRIA DOS SANTOS NOGUEIRA </t>
  </si>
  <si>
    <t>550858908</t>
  </si>
  <si>
    <t>510.292.178-90</t>
  </si>
  <si>
    <t>253 / 255 / 257</t>
  </si>
  <si>
    <t xml:space="preserve">CLAUSOMIRA NUNES RIBEIRO </t>
  </si>
  <si>
    <t>351466848</t>
  </si>
  <si>
    <t>312.334.958-60</t>
  </si>
  <si>
    <t>C2S S3 QD4 N10</t>
  </si>
  <si>
    <t>07 / 08 / 08</t>
  </si>
  <si>
    <t>RITA DE CASSIA ALMEIDA SILVA</t>
  </si>
  <si>
    <t>3573419530</t>
  </si>
  <si>
    <t>282.433.418-54</t>
  </si>
  <si>
    <t>263</t>
  </si>
  <si>
    <t>261 / 263 / 265</t>
  </si>
  <si>
    <t xml:space="preserve">JÉSSICA RODRIGUES DA SILVA </t>
  </si>
  <si>
    <t>480522868</t>
  </si>
  <si>
    <t>232.345.078-64</t>
  </si>
  <si>
    <t>EDINALVA MARIA DE LIMA SANTOS</t>
  </si>
  <si>
    <t>23.462.839-X</t>
  </si>
  <si>
    <t>133.613.428-30</t>
  </si>
  <si>
    <t xml:space="preserve">ALESSANDRA DAS GRAÇAS DE SOUZA </t>
  </si>
  <si>
    <t>22.918.149-1</t>
  </si>
  <si>
    <t>261.178.288-10</t>
  </si>
  <si>
    <t>232 / 234 / 236</t>
  </si>
  <si>
    <t>JAQUELINE BEATRIZ SILVA DOS SANTOS</t>
  </si>
  <si>
    <t>49.838.639-9</t>
  </si>
  <si>
    <t>494.656.488-84</t>
  </si>
  <si>
    <t>236</t>
  </si>
  <si>
    <t>234 / 236 / 238</t>
  </si>
  <si>
    <t xml:space="preserve">HILDA APARECIDA PINTO </t>
  </si>
  <si>
    <t>345064227</t>
  </si>
  <si>
    <t>269.146.268-84</t>
  </si>
  <si>
    <t>600</t>
  </si>
  <si>
    <t>0 / 600 / 6002</t>
  </si>
  <si>
    <t xml:space="preserve">RIVANEIDE DA CONCEIÇÃO DIAS PENICHE </t>
  </si>
  <si>
    <t>53056533X</t>
  </si>
  <si>
    <t>662.626.405-25</t>
  </si>
  <si>
    <t>CAMINHO PARTICULAR SÃO JORGE ESCADARIA 1</t>
  </si>
  <si>
    <t>CRISTIANA SOUZA MATOS DO NASCIMENTO</t>
  </si>
  <si>
    <t>37066081X</t>
  </si>
  <si>
    <t>403.698.428-47</t>
  </si>
  <si>
    <t>ELLEN CRISTINA SOUZA SANTOS DA SILVA</t>
  </si>
  <si>
    <t>482.227.938-37</t>
  </si>
  <si>
    <t xml:space="preserve">RIDETE MARIA DA SILVA </t>
  </si>
  <si>
    <t>645415352</t>
  </si>
  <si>
    <t>617.876.044-20</t>
  </si>
  <si>
    <t xml:space="preserve">DAMIÃO SEVERINO DA SILVA </t>
  </si>
  <si>
    <t>28534853</t>
  </si>
  <si>
    <t>645.952.424-68</t>
  </si>
  <si>
    <t xml:space="preserve">MÔNICA FERREIRA DA SILVA </t>
  </si>
  <si>
    <t>416444283</t>
  </si>
  <si>
    <t>348.195.968-02</t>
  </si>
  <si>
    <t>267</t>
  </si>
  <si>
    <t>265 / 267 / 269</t>
  </si>
  <si>
    <t>CLAUDEMIRA DA SILVA</t>
  </si>
  <si>
    <t>246804762</t>
  </si>
  <si>
    <t>134.001.888-83</t>
  </si>
  <si>
    <t>ELIANE MARIA SANTOS</t>
  </si>
  <si>
    <t>628257223</t>
  </si>
  <si>
    <t>313.606.228-02</t>
  </si>
  <si>
    <t xml:space="preserve">WHESLLEY ALVES DA SILVA </t>
  </si>
  <si>
    <t>53056918</t>
  </si>
  <si>
    <t>431.119.688-12</t>
  </si>
  <si>
    <t>DONIZETE BEZERRA DOS SANTOS</t>
  </si>
  <si>
    <t>39.504.817-5</t>
  </si>
  <si>
    <t>045.320.428-79</t>
  </si>
  <si>
    <t>JOSE LOURENÇO DE ALMEIDA</t>
  </si>
  <si>
    <t>13.878.541-7</t>
  </si>
  <si>
    <t>164.442.214-04</t>
  </si>
  <si>
    <t>48 / 50 / 52</t>
  </si>
  <si>
    <t>MARIZA MARTINS GABRIEL</t>
  </si>
  <si>
    <t>17.511.151-0</t>
  </si>
  <si>
    <t>040.437.428-00</t>
  </si>
  <si>
    <t>58 / 60 / 62</t>
  </si>
  <si>
    <t>VIVIAN IZABEL DO CARMO</t>
  </si>
  <si>
    <t>45.700.716-3</t>
  </si>
  <si>
    <t>388.080.438-94</t>
  </si>
  <si>
    <t xml:space="preserve">MARILENE MARIA DA SILVA MARQUES </t>
  </si>
  <si>
    <t>27.877.682-6</t>
  </si>
  <si>
    <t>199.274.328-28</t>
  </si>
  <si>
    <t xml:space="preserve">KESSELIN ALVES DA SILVA </t>
  </si>
  <si>
    <t>55290889</t>
  </si>
  <si>
    <t>496.399.348-10</t>
  </si>
  <si>
    <t xml:space="preserve">JOSE RENATO DOS SANTOS </t>
  </si>
  <si>
    <t>ADRIANO HENRIQUE DE ALMEIDA SILVA</t>
  </si>
  <si>
    <t>39.706.855-4</t>
  </si>
  <si>
    <t>650.853.374-68</t>
  </si>
  <si>
    <t>JOSIVALDO DOS SANTOS</t>
  </si>
  <si>
    <t>57.502.960-2</t>
  </si>
  <si>
    <t>031.356.144-33</t>
  </si>
  <si>
    <t>JOSE WILSON SILVA DE ALMEIDA</t>
  </si>
  <si>
    <t>36350714</t>
  </si>
  <si>
    <t>294.065.328-32</t>
  </si>
  <si>
    <t>MARIA GLAUCIANA MOREIRA</t>
  </si>
  <si>
    <t>43.160.793-X</t>
  </si>
  <si>
    <t>326.252.828-51</t>
  </si>
  <si>
    <t>EDUARDO MARTINS DA SILVA</t>
  </si>
  <si>
    <t>35395323</t>
  </si>
  <si>
    <t>313.064.178-56</t>
  </si>
  <si>
    <t>CARLOS MANOEL DOS SANTOS FERREIRA</t>
  </si>
  <si>
    <t>530.047.648-06</t>
  </si>
  <si>
    <t>GILVAN DOS SANTOS JANUARIO</t>
  </si>
  <si>
    <t>36.227.872-6</t>
  </si>
  <si>
    <t>030.574.524-77</t>
  </si>
  <si>
    <t xml:space="preserve">CRISTIANE DA SILVA MORAES </t>
  </si>
  <si>
    <t>45.091.943-2</t>
  </si>
  <si>
    <t>227.608.598-35</t>
  </si>
  <si>
    <t>YASMIN DE JESUS SANTANA</t>
  </si>
  <si>
    <t>48.909.180-5</t>
  </si>
  <si>
    <t>433.636.538-59</t>
  </si>
  <si>
    <t>GREUCE MERY ALVES TAVARES</t>
  </si>
  <si>
    <t>073.516.694-30</t>
  </si>
  <si>
    <t xml:space="preserve">ANGELA CONCEIÇÃO DO NASCIMENTO </t>
  </si>
  <si>
    <t>53118554</t>
  </si>
  <si>
    <t>283.730.998-24</t>
  </si>
  <si>
    <t>EDLAINE DE NASCIMENTO SANTOS</t>
  </si>
  <si>
    <t>55476913</t>
  </si>
  <si>
    <t>355.784.308-48</t>
  </si>
  <si>
    <t>LEICIANE ALVES DE LIMA</t>
  </si>
  <si>
    <t>65.135.262-9</t>
  </si>
  <si>
    <t>151.913.154-21</t>
  </si>
  <si>
    <t>CIBELLE CRISTINA NASCIMENTO CARDOSO</t>
  </si>
  <si>
    <t>34033936823</t>
  </si>
  <si>
    <t>340.339.368-23</t>
  </si>
  <si>
    <t xml:space="preserve">BRUNA ALEXANDRA DA SILVA </t>
  </si>
  <si>
    <t>470072787</t>
  </si>
  <si>
    <t>446.131.408-11</t>
  </si>
  <si>
    <t xml:space="preserve">MAYKON ALLAN BARBOSA </t>
  </si>
  <si>
    <t>457128781</t>
  </si>
  <si>
    <t>431.097.098-21</t>
  </si>
  <si>
    <t xml:space="preserve">MARIA ELAINE CAMPOS FREIRE NUNES </t>
  </si>
  <si>
    <t>408269881</t>
  </si>
  <si>
    <t>436.769.748-75</t>
  </si>
  <si>
    <t>MARCELHA KATIA LUSTOSA</t>
  </si>
  <si>
    <t>435 / 437 / 0</t>
  </si>
  <si>
    <t>MARIA DE FATIMA OLIVEIRA SILVA</t>
  </si>
  <si>
    <t>243248301</t>
  </si>
  <si>
    <t>133.848.018-90</t>
  </si>
  <si>
    <t>S01 QD08 N64</t>
  </si>
  <si>
    <t xml:space="preserve">ANTONIO CARLOS BERNARDINO BISPO </t>
  </si>
  <si>
    <t>388700452</t>
  </si>
  <si>
    <t>417.298.974-87</t>
  </si>
  <si>
    <t>S01 QD08 N65</t>
  </si>
  <si>
    <t>MARIA APARECIDA SANTOS</t>
  </si>
  <si>
    <t>631590663</t>
  </si>
  <si>
    <t>231.167.448-07</t>
  </si>
  <si>
    <t xml:space="preserve">JHONATHAN SANTANA DOS SANTOS </t>
  </si>
  <si>
    <t>46288088</t>
  </si>
  <si>
    <t>374.721.228-07</t>
  </si>
  <si>
    <t>LEONARDO DE FREITAS ALVES</t>
  </si>
  <si>
    <t>409.200.178-94</t>
  </si>
  <si>
    <t>03 / 05 / 01</t>
  </si>
  <si>
    <t xml:space="preserve">MARIA ANTÔNIA PEREIRA DELGADO </t>
  </si>
  <si>
    <t>371546710</t>
  </si>
  <si>
    <t>343.173.698-00</t>
  </si>
  <si>
    <t>12 / 14 / 00</t>
  </si>
  <si>
    <t xml:space="preserve">RENATA MARIA SILVA CAMARGO </t>
  </si>
  <si>
    <t>44778125X</t>
  </si>
  <si>
    <t>366.311.568-23</t>
  </si>
  <si>
    <t>07 / 09 / 00</t>
  </si>
  <si>
    <t xml:space="preserve">MARCELO SOUZA DA SILVA </t>
  </si>
  <si>
    <t>332533566</t>
  </si>
  <si>
    <t>304.397.768-80</t>
  </si>
  <si>
    <t>40 / 43 / 45</t>
  </si>
  <si>
    <t xml:space="preserve">GILENO BISPO DOS SANTOS </t>
  </si>
  <si>
    <t>1296633</t>
  </si>
  <si>
    <t>719.708.945-04</t>
  </si>
  <si>
    <t>MARIA LEONICE BEZERRA DA SILVA</t>
  </si>
  <si>
    <t>6030893108</t>
  </si>
  <si>
    <t>979.320.945-34</t>
  </si>
  <si>
    <t>JOÃO VICTOR DE LIMA RAMOS</t>
  </si>
  <si>
    <t>538775270</t>
  </si>
  <si>
    <t>493.184.218-69</t>
  </si>
  <si>
    <t>JOSÉ DOS PASSOS SILVA</t>
  </si>
  <si>
    <t>33.086.129-3</t>
  </si>
  <si>
    <t>174.301.848-71</t>
  </si>
  <si>
    <t>239</t>
  </si>
  <si>
    <t>237 / 239 / 241</t>
  </si>
  <si>
    <t xml:space="preserve">NIVALDO ALMEIDA DOS SANTOS </t>
  </si>
  <si>
    <t>65.784.836-0</t>
  </si>
  <si>
    <t>626.825.715-49</t>
  </si>
  <si>
    <t>MARIA APARECIDA DORNELAS</t>
  </si>
  <si>
    <t>19.221.019-1</t>
  </si>
  <si>
    <t>082.407.638-98</t>
  </si>
  <si>
    <t>BARBARA MARIA FERREIRA NUNES</t>
  </si>
  <si>
    <t>67.109.100-1</t>
  </si>
  <si>
    <t>847.003.514-20</t>
  </si>
  <si>
    <t xml:space="preserve">BRUNO DA SILVA MOREIRA </t>
  </si>
  <si>
    <t>44.192.695-2</t>
  </si>
  <si>
    <t>387.011.158-55</t>
  </si>
  <si>
    <t>VERA LUCIA DA COSTA ROCHA</t>
  </si>
  <si>
    <t>60.500.033-5</t>
  </si>
  <si>
    <t>352.049.688-73</t>
  </si>
  <si>
    <t xml:space="preserve">DIOGO FERREIRA DOS SANTOS </t>
  </si>
  <si>
    <t>41.644.806-9</t>
  </si>
  <si>
    <t>382.806.198-28</t>
  </si>
  <si>
    <t>DIOGO FERREIRA DOS SANTOS</t>
  </si>
  <si>
    <t>VANUZA DOS ANJOS SILVA</t>
  </si>
  <si>
    <t>48.113.777-4</t>
  </si>
  <si>
    <t>428.398.168-06</t>
  </si>
  <si>
    <t>EDINALVO MATOS NASCIMENTO</t>
  </si>
  <si>
    <t>210339834</t>
  </si>
  <si>
    <t>070.124.498-45</t>
  </si>
  <si>
    <t>CAMINHO PARTICULAR SÃO JORGE ESCADARIA 2</t>
  </si>
  <si>
    <t>JOSE FIRMINO DA SILVA SOBRINHO</t>
  </si>
  <si>
    <t>375387158</t>
  </si>
  <si>
    <t>834.070.494-04</t>
  </si>
  <si>
    <t>256</t>
  </si>
  <si>
    <t>254 / 256 / 258</t>
  </si>
  <si>
    <t>MAURICIO TEIXEIRA</t>
  </si>
  <si>
    <t>971.567.798-34</t>
  </si>
  <si>
    <t>922 / 924 / 926</t>
  </si>
  <si>
    <t>MARCELO DA SILVA NOGUEIRA DE ARAUJO</t>
  </si>
  <si>
    <t>49829056</t>
  </si>
  <si>
    <t>470.107.838-70</t>
  </si>
  <si>
    <t>MARIA LEIDE DA CONCEIÇÃO LEAL</t>
  </si>
  <si>
    <t>351458219</t>
  </si>
  <si>
    <t>385.888.508-85</t>
  </si>
  <si>
    <t>TATIANE SILVA VIEIRA</t>
  </si>
  <si>
    <t>458490829</t>
  </si>
  <si>
    <t>375.353.478-19</t>
  </si>
  <si>
    <t xml:space="preserve">LUCAS ALLAN PEREIRA DOS SANTOS </t>
  </si>
  <si>
    <t>65000792X</t>
  </si>
  <si>
    <t>547.851.308-30</t>
  </si>
  <si>
    <t>773</t>
  </si>
  <si>
    <t>771 / 773 / 775</t>
  </si>
  <si>
    <t xml:space="preserve">GILBERTO BELMAIA </t>
  </si>
  <si>
    <t>556729602</t>
  </si>
  <si>
    <t>235.528.089-49</t>
  </si>
  <si>
    <t xml:space="preserve">DAVID HIAGO FERREIRA DE OLIVEIRA </t>
  </si>
  <si>
    <t>395053468</t>
  </si>
  <si>
    <t>418.020.228-05</t>
  </si>
  <si>
    <t>34 / 36 / 0</t>
  </si>
  <si>
    <t>173</t>
  </si>
  <si>
    <t>171 / 173 / 0</t>
  </si>
  <si>
    <t xml:space="preserve">JOSE SALES ALVES DA SILVA </t>
  </si>
  <si>
    <t>186.214.814-72</t>
  </si>
  <si>
    <t>CATARINA PESSOA CASTRO</t>
  </si>
  <si>
    <t>444691704</t>
  </si>
  <si>
    <t>322.014.018-10</t>
  </si>
  <si>
    <t xml:space="preserve">JORGE CAETANO </t>
  </si>
  <si>
    <t>149466079</t>
  </si>
  <si>
    <t>035.999.328-16</t>
  </si>
  <si>
    <t>6566</t>
  </si>
  <si>
    <t>656 / 6566 / 657</t>
  </si>
  <si>
    <t>TT5555</t>
  </si>
  <si>
    <t>5TG / TT5555 / YYY</t>
  </si>
  <si>
    <t>JUSSARA ALINE DE LIMA RAMOS</t>
  </si>
  <si>
    <t>48.575.610-9</t>
  </si>
  <si>
    <t>439.552.678-06</t>
  </si>
  <si>
    <t>JEAN FERNANDES LIMA RAMOS</t>
  </si>
  <si>
    <t>53.877.476-9</t>
  </si>
  <si>
    <t>473.065.498-63</t>
  </si>
  <si>
    <t>LUCIANO PINTO CARREGOSA</t>
  </si>
  <si>
    <t>32103194</t>
  </si>
  <si>
    <t>285.144.418-25</t>
  </si>
  <si>
    <t>SIDNEI VICENTE ALBUQUERQUE</t>
  </si>
  <si>
    <t>24.543.618-2</t>
  </si>
  <si>
    <t>158.986.378-00</t>
  </si>
  <si>
    <t>MARIA DA PENHA ANISIO DA SILVA DOS SANTOS</t>
  </si>
  <si>
    <t>58.242.681-9</t>
  </si>
  <si>
    <t>253.642.088-42</t>
  </si>
  <si>
    <t xml:space="preserve">ROSIMEIRE TEIXEIRA FERREIRA </t>
  </si>
  <si>
    <t>20.129.181-2</t>
  </si>
  <si>
    <t>093.782.998-65</t>
  </si>
  <si>
    <t>WILLAMS ESTEVAM FERREIRA</t>
  </si>
  <si>
    <t>56.407.252-7</t>
  </si>
  <si>
    <t>078.129.444-41</t>
  </si>
  <si>
    <t>0 / 02 / 4</t>
  </si>
  <si>
    <t>SIMONE COSTA DE CARVALHO</t>
  </si>
  <si>
    <t>32.914.861-8</t>
  </si>
  <si>
    <t>283.227.318-17</t>
  </si>
  <si>
    <t>EDÍCO JEFERSON COSTA</t>
  </si>
  <si>
    <t>357.620.828-30</t>
  </si>
  <si>
    <t>NAIDE MARIA COSTA</t>
  </si>
  <si>
    <t>1143940227</t>
  </si>
  <si>
    <t>057.158.188-93</t>
  </si>
  <si>
    <t xml:space="preserve">MARIA DE FÁTIMA DA SILVA </t>
  </si>
  <si>
    <t>371163043</t>
  </si>
  <si>
    <t>228.468.718-09</t>
  </si>
  <si>
    <t>JOSÉ JOÃO DOS SANTOS</t>
  </si>
  <si>
    <t>534025481</t>
  </si>
  <si>
    <t>531.231.077-87</t>
  </si>
  <si>
    <t>EURIDES BESERRA DA SILVA</t>
  </si>
  <si>
    <t>268897815</t>
  </si>
  <si>
    <t>159.172.378-75</t>
  </si>
  <si>
    <t>LUCE CLEIDE SILVA DE JESUS</t>
  </si>
  <si>
    <t>547404219</t>
  </si>
  <si>
    <t>248.574.358-45</t>
  </si>
  <si>
    <t>MARIA CRISTINA SANTANA DA SILVA</t>
  </si>
  <si>
    <t>525810699</t>
  </si>
  <si>
    <t>716.997.404-53</t>
  </si>
  <si>
    <t>ADRIANA DA SILVA CAMPOS</t>
  </si>
  <si>
    <t>284464375</t>
  </si>
  <si>
    <t>270.565.958-71</t>
  </si>
  <si>
    <t>74 / 72 / 76</t>
  </si>
  <si>
    <t xml:space="preserve">FABRICIO DOS SANTOS FERREIRA </t>
  </si>
  <si>
    <t>50106353</t>
  </si>
  <si>
    <t>385.029.128-60</t>
  </si>
  <si>
    <t xml:space="preserve">TRAVESSA VISTA ALTA </t>
  </si>
  <si>
    <t xml:space="preserve">LARISSA APARECIDA FERNANDES MARÇAL </t>
  </si>
  <si>
    <t>414633106</t>
  </si>
  <si>
    <t>425.979.176-86</t>
  </si>
  <si>
    <t>LETÍCIA CRISTINA FERNANDES CANUTO</t>
  </si>
  <si>
    <t>598268121</t>
  </si>
  <si>
    <t>467.354.688-13</t>
  </si>
  <si>
    <t>MILENA DE MELO FIGUEIREDO MATOS</t>
  </si>
  <si>
    <t>643720224</t>
  </si>
  <si>
    <t>544.670.798-23</t>
  </si>
  <si>
    <t>RAFAEL ALVES DA SILVA</t>
  </si>
  <si>
    <t>50675030</t>
  </si>
  <si>
    <t>394.963.998-51</t>
  </si>
  <si>
    <t xml:space="preserve">MARIA JOSÉ SANTOS DE MELO </t>
  </si>
  <si>
    <t>545074587</t>
  </si>
  <si>
    <t>958.504.064-68</t>
  </si>
  <si>
    <t xml:space="preserve">VALDICE DOS SANTOS </t>
  </si>
  <si>
    <t>597560122</t>
  </si>
  <si>
    <t>142.576.958-62</t>
  </si>
  <si>
    <t xml:space="preserve">QUITÉRIA DE LIMA SILVA </t>
  </si>
  <si>
    <t>368788891</t>
  </si>
  <si>
    <t>322.647.858-37</t>
  </si>
  <si>
    <t>LEONARDO FELIPE FERNANDES CANUTO</t>
  </si>
  <si>
    <t>50225948</t>
  </si>
  <si>
    <t>467.354.258-47</t>
  </si>
  <si>
    <t>ELIANE GOMES DA SILVA</t>
  </si>
  <si>
    <t>373039165</t>
  </si>
  <si>
    <t>317.022.398-45</t>
  </si>
  <si>
    <t>MARCIRENE GONÇALVES DE OLIVEIRA</t>
  </si>
  <si>
    <t>158.927.048-74</t>
  </si>
  <si>
    <t>NILZETE DOS SANTOS</t>
  </si>
  <si>
    <t>28.301.862-8</t>
  </si>
  <si>
    <t>162.385.738-48</t>
  </si>
  <si>
    <t>JOSÉ ALEIXO BEZERRA</t>
  </si>
  <si>
    <t>333699427</t>
  </si>
  <si>
    <t>130.493.578-78</t>
  </si>
  <si>
    <t xml:space="preserve">LIDIA DE SANTANA </t>
  </si>
  <si>
    <t>134.001.328-29</t>
  </si>
  <si>
    <t>JOSE PAULO DE MENEZES</t>
  </si>
  <si>
    <t>25.841.226-4</t>
  </si>
  <si>
    <t>121.438.608-38</t>
  </si>
  <si>
    <t>TAINÃ FERREIRA DA COSTA</t>
  </si>
  <si>
    <t>46.365.368-3</t>
  </si>
  <si>
    <t>425.596.548-06</t>
  </si>
  <si>
    <t>RAFAEL JOSE DE MACEDO</t>
  </si>
  <si>
    <t>20.821.431-8</t>
  </si>
  <si>
    <t>042.739.728-67</t>
  </si>
  <si>
    <t>EDUARDO MILONI MELO DOS SANTOS</t>
  </si>
  <si>
    <t>422153928</t>
  </si>
  <si>
    <t>420.198.558-01</t>
  </si>
  <si>
    <t>ANDREIA MARIA DE JESUS</t>
  </si>
  <si>
    <t>221161102</t>
  </si>
  <si>
    <t>130.535.198-36</t>
  </si>
  <si>
    <t>P / 1 / 3</t>
  </si>
  <si>
    <t xml:space="preserve">SIMONE APARECIDA DE OLIVEIRA </t>
  </si>
  <si>
    <t>331719563</t>
  </si>
  <si>
    <t>269.733.108-50</t>
  </si>
  <si>
    <t>FERNANDO ALEXANDRE DOS SANTOS</t>
  </si>
  <si>
    <t>456352235</t>
  </si>
  <si>
    <t>322.265.458-16</t>
  </si>
  <si>
    <t>PEDRO JULIAO DOS SANTOS</t>
  </si>
  <si>
    <t>24543723</t>
  </si>
  <si>
    <t>002.505.658-11</t>
  </si>
  <si>
    <t>261</t>
  </si>
  <si>
    <t>259 / 261 / 263</t>
  </si>
  <si>
    <t>RUBENS DA SILVA</t>
  </si>
  <si>
    <t>39504697X</t>
  </si>
  <si>
    <t>908.853.844-15</t>
  </si>
  <si>
    <t>JOSE WILSON RIBEIRO ARAUJO</t>
  </si>
  <si>
    <t>572583096</t>
  </si>
  <si>
    <t>412.697.725-20</t>
  </si>
  <si>
    <t>FRANCISCO DE ASSIS DE SANTANA</t>
  </si>
  <si>
    <t>243261585</t>
  </si>
  <si>
    <t>062.201.868-00</t>
  </si>
  <si>
    <t>GRACILIANA PEREIRA ALVES</t>
  </si>
  <si>
    <t>601672653</t>
  </si>
  <si>
    <t>015.322.595-57</t>
  </si>
  <si>
    <t>LUCIANA MUNIZ RIECHELMANN</t>
  </si>
  <si>
    <t>34506558</t>
  </si>
  <si>
    <t>320.504.218-26</t>
  </si>
  <si>
    <t>ANGELICA BERREZA DE MORAIS</t>
  </si>
  <si>
    <t>439125236</t>
  </si>
  <si>
    <t>431.637.558-01</t>
  </si>
  <si>
    <t>MARIA JOSE SENA DE JESUS</t>
  </si>
  <si>
    <t>54009643X</t>
  </si>
  <si>
    <t>329.249.778-78</t>
  </si>
  <si>
    <t>RAFAEL DE SOUZA</t>
  </si>
  <si>
    <t>431605373</t>
  </si>
  <si>
    <t>387.402.858-53</t>
  </si>
  <si>
    <t>JAQUELINE DE SOUZA FARIAS</t>
  </si>
  <si>
    <t>455241914</t>
  </si>
  <si>
    <t>456.604.668-00</t>
  </si>
  <si>
    <t>TIAGO NASCIMENTO FRAGA</t>
  </si>
  <si>
    <t>999 / 1001 / 1003</t>
  </si>
  <si>
    <t>ISABEL DE SOUZA ALVES</t>
  </si>
  <si>
    <t>581056930</t>
  </si>
  <si>
    <t>905.619.455-00</t>
  </si>
  <si>
    <t>DANIELE MUNIZ DOS SANTOS DA LUZ</t>
  </si>
  <si>
    <t>291399101</t>
  </si>
  <si>
    <t>218.421.548-18</t>
  </si>
  <si>
    <t>MAILTON MARQUES ALVES</t>
  </si>
  <si>
    <t>38323434372</t>
  </si>
  <si>
    <t>378.133.535-87</t>
  </si>
  <si>
    <t>219398197</t>
  </si>
  <si>
    <t>130.517.188-82</t>
  </si>
  <si>
    <t>ALLAN ARAUJO DA SILVA</t>
  </si>
  <si>
    <t>579929450</t>
  </si>
  <si>
    <t>502.849.218-23</t>
  </si>
  <si>
    <t>VALCLECIA ALVES DA SILVA</t>
  </si>
  <si>
    <t>489245675</t>
  </si>
  <si>
    <t>429.156.068-03</t>
  </si>
  <si>
    <t>RANIERY NASCIMENTO</t>
  </si>
  <si>
    <t>408572437</t>
  </si>
  <si>
    <t>017.581.512-77</t>
  </si>
  <si>
    <t>MARCOS SILVA EVANGELISTA</t>
  </si>
  <si>
    <t>63276497</t>
  </si>
  <si>
    <t>509.746.928-32</t>
  </si>
  <si>
    <t xml:space="preserve">RANIERY NASCIMENTO ALVES </t>
  </si>
  <si>
    <t>GUILHERME MENEZES</t>
  </si>
  <si>
    <t>543496648</t>
  </si>
  <si>
    <t>524.404.828-70</t>
  </si>
  <si>
    <t>22 / 23 / 21</t>
  </si>
  <si>
    <t>ELIANE SILVA ALVES GABRIEL</t>
  </si>
  <si>
    <t>1489769</t>
  </si>
  <si>
    <t>312.975.738-46</t>
  </si>
  <si>
    <t>LUCIANO DE FREITAS</t>
  </si>
  <si>
    <t>000000000000000</t>
  </si>
  <si>
    <t>225.462.398-21</t>
  </si>
  <si>
    <t>DARCIO DE SOUZA FERREIRA</t>
  </si>
  <si>
    <t>235974341</t>
  </si>
  <si>
    <t>108.361.978-01</t>
  </si>
  <si>
    <t>JESSICA DOS SANTOS FEITOSA</t>
  </si>
  <si>
    <t>486695372</t>
  </si>
  <si>
    <t>423.667.038-05</t>
  </si>
  <si>
    <t xml:space="preserve">FERNANDO REIS SANTOS </t>
  </si>
  <si>
    <t>467017797</t>
  </si>
  <si>
    <t>397.248.998-61</t>
  </si>
  <si>
    <t>63 / 61 / 59</t>
  </si>
  <si>
    <t xml:space="preserve">JOSE ROBERTO ALVES FEITOSA </t>
  </si>
  <si>
    <t>19656019</t>
  </si>
  <si>
    <t>025.357.568-03</t>
  </si>
  <si>
    <t xml:space="preserve">JOSE ROBETO ALVES FEITOSA </t>
  </si>
  <si>
    <t>1956019</t>
  </si>
  <si>
    <t>14A</t>
  </si>
  <si>
    <t xml:space="preserve">GERILIO RODRIGUES REGIS </t>
  </si>
  <si>
    <t>56671437</t>
  </si>
  <si>
    <t>219.798.098-01</t>
  </si>
  <si>
    <t>SAMUEL SANTOS FEITOSA</t>
  </si>
  <si>
    <t>544535984</t>
  </si>
  <si>
    <t>575.119.638-46</t>
  </si>
  <si>
    <t xml:space="preserve">OSMANY SAID SALVADOR LOPEZ </t>
  </si>
  <si>
    <t>574335869</t>
  </si>
  <si>
    <t>233.586.268-57</t>
  </si>
  <si>
    <t>429 / 431 / 0</t>
  </si>
  <si>
    <t xml:space="preserve">ALESSANDRO SILVA SANTOS </t>
  </si>
  <si>
    <t>33928433X</t>
  </si>
  <si>
    <t>220.466.388-32</t>
  </si>
  <si>
    <t xml:space="preserve">NICOLAS DOS SANTOS FORTUNATO DE SOUZA </t>
  </si>
  <si>
    <t>674668686</t>
  </si>
  <si>
    <t>423.981.868-06</t>
  </si>
  <si>
    <t xml:space="preserve">SUELI APARECIDA ALCARAS SILVA </t>
  </si>
  <si>
    <t>27296809</t>
  </si>
  <si>
    <t>138.150.848-06</t>
  </si>
  <si>
    <t>421 / 419 / 423</t>
  </si>
  <si>
    <t>VIVIANE BEZERRA GOMES</t>
  </si>
  <si>
    <t>48.396.457-8</t>
  </si>
  <si>
    <t>058.621.994-38</t>
  </si>
  <si>
    <t>CLEIDE GOMES DE JESUS</t>
  </si>
  <si>
    <t>36.991.199-4</t>
  </si>
  <si>
    <t>327.964.618-90</t>
  </si>
  <si>
    <t xml:space="preserve">EDIVANIA OLIVEIRA DO NASCIMENTO </t>
  </si>
  <si>
    <t>542093340</t>
  </si>
  <si>
    <t>324.680.188-69</t>
  </si>
  <si>
    <t>BARBARA SENA DE JESUS</t>
  </si>
  <si>
    <t>55.276.223-4</t>
  </si>
  <si>
    <t>523.770.068-33</t>
  </si>
  <si>
    <t xml:space="preserve">GILMARIA CAETANO SILVA </t>
  </si>
  <si>
    <t>65135165</t>
  </si>
  <si>
    <t>115.585.884-00</t>
  </si>
  <si>
    <t>DIOGENES DE ANDRADE ROSA</t>
  </si>
  <si>
    <t>23.217.873-2</t>
  </si>
  <si>
    <t>162.379.568-08</t>
  </si>
  <si>
    <t>52.033.029-8</t>
  </si>
  <si>
    <t>272.221.078-94</t>
  </si>
  <si>
    <t xml:space="preserve">RONALDO DOS SANTOS </t>
  </si>
  <si>
    <t>34116155</t>
  </si>
  <si>
    <t>267.828.308-92</t>
  </si>
  <si>
    <t xml:space="preserve">RONALDO DOS SANTOS SILVA </t>
  </si>
  <si>
    <t xml:space="preserve">VITOR OTÁVIO DA SILVA CANUTO </t>
  </si>
  <si>
    <t>563098521</t>
  </si>
  <si>
    <t>494.520.828-01</t>
  </si>
  <si>
    <t>CÍCERA VIEIRA FERREIRA</t>
  </si>
  <si>
    <t>347431203</t>
  </si>
  <si>
    <t>675.271.593-91</t>
  </si>
  <si>
    <t>833</t>
  </si>
  <si>
    <t>831 / 833 / 835</t>
  </si>
  <si>
    <t xml:space="preserve">CÍCERA VIEIRA FERREIRA </t>
  </si>
  <si>
    <t xml:space="preserve">GIVANE OLIVEIRA DOS SANTOS </t>
  </si>
  <si>
    <t>412732786</t>
  </si>
  <si>
    <t>428.717.058-01</t>
  </si>
  <si>
    <t>259</t>
  </si>
  <si>
    <t>257 / 259 / 261</t>
  </si>
  <si>
    <t xml:space="preserve">JOSE DE ANDRABDE BARBOSA </t>
  </si>
  <si>
    <t>383647484</t>
  </si>
  <si>
    <t>588.572.575-68</t>
  </si>
  <si>
    <t>451</t>
  </si>
  <si>
    <t>449 / 451 / 453</t>
  </si>
  <si>
    <t xml:space="preserve">MARIA IVANILDA DA SILVA </t>
  </si>
  <si>
    <t>365850159</t>
  </si>
  <si>
    <t>301.796.078-12</t>
  </si>
  <si>
    <t xml:space="preserve">EDENEIDE PEREIRA DAS CHAGAS </t>
  </si>
  <si>
    <t>254687224</t>
  </si>
  <si>
    <t>271.140.048-42</t>
  </si>
  <si>
    <t>407</t>
  </si>
  <si>
    <t>405 / 407 / 409</t>
  </si>
  <si>
    <t>ROSANGELA SANTOS TAVARES SILVA</t>
  </si>
  <si>
    <t>37.154.577-8</t>
  </si>
  <si>
    <t>345.734.858-80</t>
  </si>
  <si>
    <t>MARCIO DA SILVA SALLES</t>
  </si>
  <si>
    <t>303.886.898-11</t>
  </si>
  <si>
    <t>GILVAN GOMES DE JESUS</t>
  </si>
  <si>
    <t>53.768.561-3</t>
  </si>
  <si>
    <t>322.034.648-01</t>
  </si>
  <si>
    <t>ELIZABETE SILVA</t>
  </si>
  <si>
    <t>11.246.683-7</t>
  </si>
  <si>
    <t>018.254.998-45</t>
  </si>
  <si>
    <t>11.2466837</t>
  </si>
  <si>
    <t>CASA: 03</t>
  </si>
  <si>
    <t>CASA:04</t>
  </si>
  <si>
    <t xml:space="preserve">DOMICIO DOS SANTOS MORAES </t>
  </si>
  <si>
    <t>133563184</t>
  </si>
  <si>
    <t>025.542.308-03</t>
  </si>
  <si>
    <t>LUCIANA APARECIDA RIBEIRO</t>
  </si>
  <si>
    <t>254683320</t>
  </si>
  <si>
    <t>182.332.658-70</t>
  </si>
  <si>
    <t xml:space="preserve">LUCIANA APARECIDA RIBEIRO </t>
  </si>
  <si>
    <t>ENIRALDO FERREIRA DOS SANTOS</t>
  </si>
  <si>
    <t>376168687</t>
  </si>
  <si>
    <t>247.912.615-34</t>
  </si>
  <si>
    <t>TERESA DA COSTA ARAUJO</t>
  </si>
  <si>
    <t>118454882</t>
  </si>
  <si>
    <t>055.210.518-05</t>
  </si>
  <si>
    <t>S1QDO8N49</t>
  </si>
  <si>
    <t xml:space="preserve">EDVALDO SANTOS </t>
  </si>
  <si>
    <t>24957125</t>
  </si>
  <si>
    <t>133.816.068-08</t>
  </si>
  <si>
    <t xml:space="preserve">ADRIANA CORRÊA </t>
  </si>
  <si>
    <t>29530607</t>
  </si>
  <si>
    <t>264.881.138-95</t>
  </si>
  <si>
    <t>SIBELE OLIVEIRA MARQUES</t>
  </si>
  <si>
    <t>229.387.418-47</t>
  </si>
  <si>
    <t>IVONETE FONTES DOS SANTOS CAMPOS</t>
  </si>
  <si>
    <t>233181155</t>
  </si>
  <si>
    <t>199.398.708-84</t>
  </si>
  <si>
    <t>564</t>
  </si>
  <si>
    <t>562 / 564 / 566</t>
  </si>
  <si>
    <t xml:space="preserve">VICTOR RODRIGUES DOS SANTOS </t>
  </si>
  <si>
    <t>443084142</t>
  </si>
  <si>
    <t>339.945.518-62</t>
  </si>
  <si>
    <t>MARCELINO JOSE ALVES</t>
  </si>
  <si>
    <t>42993158</t>
  </si>
  <si>
    <t>222.828.618-41</t>
  </si>
  <si>
    <t xml:space="preserve">MARCELA CRISTINA DE OLIVEIRA </t>
  </si>
  <si>
    <t>303742616</t>
  </si>
  <si>
    <t>323.594.858-90</t>
  </si>
  <si>
    <t>KAMILLY ALMEIDA FONTES PINTO</t>
  </si>
  <si>
    <t>661960481</t>
  </si>
  <si>
    <t>546.936.458-50</t>
  </si>
  <si>
    <t>MARIA LENILDE DOS SANTOS</t>
  </si>
  <si>
    <t>561776346</t>
  </si>
  <si>
    <t>098.044.148-05</t>
  </si>
  <si>
    <t>BRIGIDA CONCEIÇÃO DE LIMA PEREIRA</t>
  </si>
  <si>
    <t>347002535</t>
  </si>
  <si>
    <t>326.036.458-70</t>
  </si>
  <si>
    <t>1028</t>
  </si>
  <si>
    <t>1026 / 1028 / 1030</t>
  </si>
  <si>
    <t>MARCIA FERREIRA DOS SANTOS</t>
  </si>
  <si>
    <t>33.577.189-0</t>
  </si>
  <si>
    <t>294.700.458-27</t>
  </si>
  <si>
    <t>THAYNA SANTOS DA SILVA</t>
  </si>
  <si>
    <t>39.899.001-3</t>
  </si>
  <si>
    <t>463.181.528-06</t>
  </si>
  <si>
    <t>ANA PAULA ELIZABETH FERNANDES</t>
  </si>
  <si>
    <t>363.473.178-85</t>
  </si>
  <si>
    <t>1014</t>
  </si>
  <si>
    <t>1012 / 1014 / 1016</t>
  </si>
  <si>
    <t>ITALO FRANCIS CHARLEAUX DA SILVA</t>
  </si>
  <si>
    <t>46287801</t>
  </si>
  <si>
    <t>381.431.058-65</t>
  </si>
  <si>
    <t xml:space="preserve">GILDA ROCHA DOS SANTOS </t>
  </si>
  <si>
    <t>5.532.303-0</t>
  </si>
  <si>
    <t>228.579.078-34</t>
  </si>
  <si>
    <t>GILDA ROCHA DOS SANTOS</t>
  </si>
  <si>
    <t>ERIKA ELIZABETH FERNANDES</t>
  </si>
  <si>
    <t>408330570</t>
  </si>
  <si>
    <t>329.789.138-60</t>
  </si>
  <si>
    <t xml:space="preserve">FABIANO CLAUDIO BELUCIO FERRAZ </t>
  </si>
  <si>
    <t>30591170</t>
  </si>
  <si>
    <t>296.828.588-28</t>
  </si>
  <si>
    <t>VINÍCIUS TOBIAS BEZERRA</t>
  </si>
  <si>
    <t>474856410</t>
  </si>
  <si>
    <t>435.737.858-32</t>
  </si>
  <si>
    <t>ROSÂNGELA BERNARDO DA SILVA</t>
  </si>
  <si>
    <t>35861025</t>
  </si>
  <si>
    <t>331.920.878-03</t>
  </si>
  <si>
    <t>TRAVESSA VISTA LINDA</t>
  </si>
  <si>
    <t xml:space="preserve">ROSANGELA PEREIRA TAVARES </t>
  </si>
  <si>
    <t>184009352</t>
  </si>
  <si>
    <t>058.221.438-65</t>
  </si>
  <si>
    <t xml:space="preserve">RAQUEL CASTRO MACIEL DE SOUZA </t>
  </si>
  <si>
    <t>623844539</t>
  </si>
  <si>
    <t>151.434.426-21</t>
  </si>
  <si>
    <t xml:space="preserve">ANDRE SANTOS DA SILVA </t>
  </si>
  <si>
    <t>26167031</t>
  </si>
  <si>
    <t>220.159.788-01</t>
  </si>
  <si>
    <t>TRAVESSA BOA VISTA</t>
  </si>
  <si>
    <t xml:space="preserve">ISABELLA JAMILE DE JESUS </t>
  </si>
  <si>
    <t>416441749</t>
  </si>
  <si>
    <t>320.297.658-30</t>
  </si>
  <si>
    <t xml:space="preserve">CREIVAN MOREIRA DA SILVA </t>
  </si>
  <si>
    <t>59794</t>
  </si>
  <si>
    <t>044.707.273-00</t>
  </si>
  <si>
    <t xml:space="preserve">RITA OLIVEIRA LIMA </t>
  </si>
  <si>
    <t>324677224</t>
  </si>
  <si>
    <t>018.328.768-10</t>
  </si>
  <si>
    <t xml:space="preserve">PATRÍCIA SANTOS DE ARAUJO </t>
  </si>
  <si>
    <t>310.410.698-39</t>
  </si>
  <si>
    <t>PATRICIA SANTOS DE ARAUJO</t>
  </si>
  <si>
    <t>GIL SOUZA ANGELIN</t>
  </si>
  <si>
    <t>49.612.550-3</t>
  </si>
  <si>
    <t>005.596.813-99</t>
  </si>
  <si>
    <t>ELLEN DE PAULA COSTA FERRAZ</t>
  </si>
  <si>
    <t>43.521.221-7</t>
  </si>
  <si>
    <t>340.005.448-88</t>
  </si>
  <si>
    <t>57 / 59 / 60</t>
  </si>
  <si>
    <t>JOSEFA VALDELICE DOS SANTOS</t>
  </si>
  <si>
    <t>65.137.001-2</t>
  </si>
  <si>
    <t>036.476.575-57</t>
  </si>
  <si>
    <t xml:space="preserve">RENATA ALVES DA SILVA </t>
  </si>
  <si>
    <t>44.663.951-5</t>
  </si>
  <si>
    <t>413.465.248-07</t>
  </si>
  <si>
    <t>JOSIÉDINA SOUZA ALVES</t>
  </si>
  <si>
    <t>48.647.098-2</t>
  </si>
  <si>
    <t>373.234.218-29</t>
  </si>
  <si>
    <t>CICERA MARIA BATISTA</t>
  </si>
  <si>
    <t>25.700.465-8</t>
  </si>
  <si>
    <t>098.027.668-36</t>
  </si>
  <si>
    <t>CRISTIANE LOPES GARCIA</t>
  </si>
  <si>
    <t>487516941</t>
  </si>
  <si>
    <t>417.051.598-69</t>
  </si>
  <si>
    <t xml:space="preserve">MARCONE VIEIRA DO NASCIMENTO </t>
  </si>
  <si>
    <t>59055199</t>
  </si>
  <si>
    <t>066.899.755-92</t>
  </si>
  <si>
    <t xml:space="preserve">JEVERSON EDUARDO DE CASTRO </t>
  </si>
  <si>
    <t>22.545.885-8</t>
  </si>
  <si>
    <t>121.476.698-65</t>
  </si>
  <si>
    <t>ADRIANE CRISTINA NASCIMENTO</t>
  </si>
  <si>
    <t>40.268.954-9</t>
  </si>
  <si>
    <t>350.698.758-50</t>
  </si>
  <si>
    <t xml:space="preserve">HENRIQUE ALVES DO NASCIMENTO </t>
  </si>
  <si>
    <t>398.805.568-95</t>
  </si>
  <si>
    <t>SEBASTIÃO APARECIDO DE PAULA</t>
  </si>
  <si>
    <t>13412199</t>
  </si>
  <si>
    <t>077.375.608-66</t>
  </si>
  <si>
    <t xml:space="preserve">FIRMINA LUSTOSA SILVA DA ANUNCIAÇÃO </t>
  </si>
  <si>
    <t>001.165.763-40</t>
  </si>
  <si>
    <t>MARIA JOSELIA PALMEIRA RODRIGUES</t>
  </si>
  <si>
    <t>22.543.642-5</t>
  </si>
  <si>
    <t>062.980.508-33</t>
  </si>
  <si>
    <t xml:space="preserve">IVANEI DOS SANTOS FELICIO </t>
  </si>
  <si>
    <t>55186150</t>
  </si>
  <si>
    <t>560.841.705-44</t>
  </si>
  <si>
    <t>304</t>
  </si>
  <si>
    <t>302 / 304 / 306</t>
  </si>
  <si>
    <t>ROSANIA ARAUJO SIMÃO SANTOS</t>
  </si>
  <si>
    <t>285353457</t>
  </si>
  <si>
    <t>218.648.758-60</t>
  </si>
  <si>
    <t xml:space="preserve">VITÓRIA PEIXOTO DOS SANTOS </t>
  </si>
  <si>
    <t>591920918</t>
  </si>
  <si>
    <t>574.863.238-18</t>
  </si>
  <si>
    <t xml:space="preserve">EUNICE DA CUNHA </t>
  </si>
  <si>
    <t>181832604</t>
  </si>
  <si>
    <t>518.022.527-20</t>
  </si>
  <si>
    <t>JOÃO VICTOR ALVES FELIX</t>
  </si>
  <si>
    <t>60651143X</t>
  </si>
  <si>
    <t>505.025.288-18</t>
  </si>
  <si>
    <t>DENISVAL ALVES DA SILVA</t>
  </si>
  <si>
    <t>283626264</t>
  </si>
  <si>
    <t>563.613.004-04</t>
  </si>
  <si>
    <t xml:space="preserve">DENISVAL ALVES DA SILVA </t>
  </si>
  <si>
    <t>LETÍCIA BARBOSA DOS SANTOS FELICIO</t>
  </si>
  <si>
    <t>55.087.718-6</t>
  </si>
  <si>
    <t>490.771.408-40</t>
  </si>
  <si>
    <t>05 / 06 / 08</t>
  </si>
  <si>
    <t>LETICIA BARBOSA DOS SANTOS FELICIO</t>
  </si>
  <si>
    <t xml:space="preserve">JOÃO VICTOR ALVES FELIX </t>
  </si>
  <si>
    <t>60.651.143-X</t>
  </si>
  <si>
    <t>THAIS APARECIDA RIBEIRO DE ARAUJO</t>
  </si>
  <si>
    <t>40.916.116-0</t>
  </si>
  <si>
    <t>226.933.258-03</t>
  </si>
  <si>
    <t>CASA 05</t>
  </si>
  <si>
    <t xml:space="preserve">EDILSON FREITAS DA SILVA </t>
  </si>
  <si>
    <t>59.040.452-0</t>
  </si>
  <si>
    <t>034.779.015-17</t>
  </si>
  <si>
    <t>FABIO FREIRE DOS SANTOS</t>
  </si>
  <si>
    <t>45.274.469-6</t>
  </si>
  <si>
    <t>362.992.268-62</t>
  </si>
  <si>
    <t>JOSÉ LEANDRO SILVA SANTOS MIRANDA</t>
  </si>
  <si>
    <t>367760137</t>
  </si>
  <si>
    <t>JOSELINO DA ANUNCIAÇÃO SILVA</t>
  </si>
  <si>
    <t>54411257X</t>
  </si>
  <si>
    <t>050.959.103-57</t>
  </si>
  <si>
    <t>BÁRBARA LUANY DOS SANTOS RIBEIRO</t>
  </si>
  <si>
    <t>54509110X</t>
  </si>
  <si>
    <t>475.730.268-11</t>
  </si>
  <si>
    <t xml:space="preserve">JAMERSON GUILHERME COSTA </t>
  </si>
  <si>
    <t>47051498X</t>
  </si>
  <si>
    <t>373.237.238-33</t>
  </si>
  <si>
    <t xml:space="preserve">JOSEILDO GOMES DA SILVA </t>
  </si>
  <si>
    <t>29407125</t>
  </si>
  <si>
    <t>257.034.538-52</t>
  </si>
  <si>
    <t xml:space="preserve">DIEGO MACEDO SILVA </t>
  </si>
  <si>
    <t>699160042</t>
  </si>
  <si>
    <t>042.275.595-88</t>
  </si>
  <si>
    <t xml:space="preserve">VIVIANE RODRIGUES DOS SANTOS </t>
  </si>
  <si>
    <t>443085444</t>
  </si>
  <si>
    <t>323.111.948-01</t>
  </si>
  <si>
    <t>LUCIA HELENA SOARES</t>
  </si>
  <si>
    <t>29.286.230-2</t>
  </si>
  <si>
    <t>308.405.788-57</t>
  </si>
  <si>
    <t>LIZIA PATRICIA RODRIGUES PEREIRA</t>
  </si>
  <si>
    <t>66.432.989-5</t>
  </si>
  <si>
    <t>061.244.183-04</t>
  </si>
  <si>
    <t>DUCILENE RODRIGUES DOS SANTOS</t>
  </si>
  <si>
    <t>65.675.572-6</t>
  </si>
  <si>
    <t>068.835.023-27</t>
  </si>
  <si>
    <t xml:space="preserve">LAZARO RAFAEL DOS SANTOS </t>
  </si>
  <si>
    <t>405.150.058-60</t>
  </si>
  <si>
    <t>MARCIO SILVA SANTOS</t>
  </si>
  <si>
    <t>54.211.144-5</t>
  </si>
  <si>
    <t>302.042.468-22</t>
  </si>
  <si>
    <t>ROSALIA RODRIGUES DOS SANTOS</t>
  </si>
  <si>
    <t>69.971.787-5</t>
  </si>
  <si>
    <t>058.970.965-89</t>
  </si>
  <si>
    <t xml:space="preserve">MARTA NASCIMENTO PEREIRA </t>
  </si>
  <si>
    <t>386031551</t>
  </si>
  <si>
    <t>371.088.338-59</t>
  </si>
  <si>
    <t>GILDETE MARIA DOS SANTOS</t>
  </si>
  <si>
    <t>55290059X</t>
  </si>
  <si>
    <t>909.752.354-00</t>
  </si>
  <si>
    <t>1016</t>
  </si>
  <si>
    <t>1014 / 1016 / 1018</t>
  </si>
  <si>
    <t>561776908</t>
  </si>
  <si>
    <t>43 / 41 / 39</t>
  </si>
  <si>
    <t>MARIA DE LOURDES DOMINGO DINIZ</t>
  </si>
  <si>
    <t>194782864</t>
  </si>
  <si>
    <t>121.306.748-01</t>
  </si>
  <si>
    <t>581-03</t>
  </si>
  <si>
    <t>01 / 581-03 / 05</t>
  </si>
  <si>
    <t>CREUSA ALBA COSTA</t>
  </si>
  <si>
    <t>501</t>
  </si>
  <si>
    <t>499 / 501 / 503</t>
  </si>
  <si>
    <t>MERIELEN GOMES DOS SANTOS</t>
  </si>
  <si>
    <t>48612221</t>
  </si>
  <si>
    <t>348.192.498-43</t>
  </si>
  <si>
    <t>MARISTELA SOARES SANTOS</t>
  </si>
  <si>
    <t>535317360</t>
  </si>
  <si>
    <t>556.691.585-04</t>
  </si>
  <si>
    <t xml:space="preserve">Status Ligação </t>
  </si>
  <si>
    <t xml:space="preserve">ABRIR OS </t>
  </si>
  <si>
    <t xml:space="preserve">Mês de Abertura </t>
  </si>
  <si>
    <t xml:space="preserve">Núcleo </t>
  </si>
  <si>
    <t xml:space="preserve">Teteu </t>
  </si>
  <si>
    <t xml:space="preserve">Vila dos Criadores </t>
  </si>
  <si>
    <t xml:space="preserve">Pantanal Baixo </t>
  </si>
  <si>
    <t xml:space="preserve">São Manoel </t>
  </si>
  <si>
    <t>João Carlos</t>
  </si>
  <si>
    <t xml:space="preserve">Vila Israel </t>
  </si>
  <si>
    <t xml:space="preserve">RUA </t>
  </si>
  <si>
    <t xml:space="preserve">TETÉU </t>
  </si>
  <si>
    <t xml:space="preserve">SÃO MANOEL </t>
  </si>
  <si>
    <t xml:space="preserve">VILA ISRAEL </t>
  </si>
  <si>
    <t xml:space="preserve">BECO 65 </t>
  </si>
  <si>
    <t xml:space="preserve">RUA 22 </t>
  </si>
  <si>
    <t xml:space="preserve">TOTAL </t>
  </si>
  <si>
    <t>OS ABERTA</t>
  </si>
  <si>
    <t>JANEIRO</t>
  </si>
  <si>
    <t>DEZEMBRO</t>
  </si>
  <si>
    <t>JANERO</t>
  </si>
  <si>
    <t>NOVEMBRO</t>
  </si>
  <si>
    <t>NOVEMNRO</t>
  </si>
  <si>
    <t>FEVEREIRO</t>
  </si>
  <si>
    <t xml:space="preserve">Ligações Cadastro Geral </t>
  </si>
  <si>
    <t>OS'S baixadas</t>
  </si>
  <si>
    <t xml:space="preserve">JANEIRO </t>
  </si>
  <si>
    <t>RUA DA PEDRAS</t>
  </si>
  <si>
    <t xml:space="preserve">ENDEREÇO </t>
  </si>
  <si>
    <t xml:space="preserve">JOÃO CARLOS </t>
  </si>
  <si>
    <t xml:space="preserve">PRÉVIA DE LIGAÇÃO - PÓS LAVAGAEM </t>
  </si>
  <si>
    <t>BECO 11</t>
  </si>
  <si>
    <t>BECO 12</t>
  </si>
  <si>
    <t>BECO 13</t>
  </si>
  <si>
    <t>BECO 14</t>
  </si>
  <si>
    <t xml:space="preserve">BECO 15 </t>
  </si>
  <si>
    <t>BECO 17</t>
  </si>
  <si>
    <t>BECO 18</t>
  </si>
  <si>
    <t xml:space="preserve">BECO 16 </t>
  </si>
  <si>
    <t xml:space="preserve">ESCADARIA 7 </t>
  </si>
  <si>
    <t xml:space="preserve">RUA PRINCIPAL </t>
  </si>
  <si>
    <t xml:space="preserve">PANTANAL </t>
  </si>
  <si>
    <t>VIELA 19</t>
  </si>
  <si>
    <t>VIELA 20</t>
  </si>
  <si>
    <t>VIELA 21</t>
  </si>
  <si>
    <t xml:space="preserve">RUA CANANÉIA </t>
  </si>
  <si>
    <t xml:space="preserve">BECO 15 E </t>
  </si>
  <si>
    <t xml:space="preserve">BECO 16 E </t>
  </si>
  <si>
    <t xml:space="preserve">BECO 17 E </t>
  </si>
  <si>
    <t xml:space="preserve">BECO 18 E </t>
  </si>
  <si>
    <t xml:space="preserve">BECO 19 E </t>
  </si>
  <si>
    <t xml:space="preserve">nº casa local </t>
  </si>
  <si>
    <t xml:space="preserve">diferença </t>
  </si>
  <si>
    <t>cadastro</t>
  </si>
  <si>
    <t xml:space="preserve">LAVAGEM PROGRAMADA </t>
  </si>
  <si>
    <t xml:space="preserve">APROVAÇÃO </t>
  </si>
  <si>
    <t>OK</t>
  </si>
  <si>
    <t xml:space="preserve">CRIADORES </t>
  </si>
  <si>
    <t xml:space="preserve">PENDÊNCIAS DE LIGAÇÃO </t>
  </si>
  <si>
    <t xml:space="preserve">PENDÊNCIA MOTIVO </t>
  </si>
  <si>
    <t xml:space="preserve">BECO DA CLEONICE </t>
  </si>
  <si>
    <t xml:space="preserve">BECO FUNDÃO DA B </t>
  </si>
  <si>
    <t xml:space="preserve">TRAVESSA DA FÉ </t>
  </si>
  <si>
    <t>BECO DO LUIS GUSTAVO</t>
  </si>
  <si>
    <t xml:space="preserve">TRAVESSA DO CAVALÃO </t>
  </si>
  <si>
    <t xml:space="preserve">BECO DA AMIZADE </t>
  </si>
  <si>
    <t xml:space="preserve">LIGAÇÃO COMPLETA, SEM LIGAÇÃO NÃO TEM EXTRAVSÃO </t>
  </si>
  <si>
    <t xml:space="preserve">TIPO DE LIGAÇÃO </t>
  </si>
  <si>
    <t>ESGOTO</t>
  </si>
  <si>
    <t xml:space="preserve">Extensão </t>
  </si>
  <si>
    <t>BECO 16</t>
  </si>
  <si>
    <t>RUA JOÃO CARLOS  1</t>
  </si>
  <si>
    <t xml:space="preserve">BECO 11 </t>
  </si>
  <si>
    <t xml:space="preserve">META </t>
  </si>
  <si>
    <t>SALDO</t>
  </si>
  <si>
    <t xml:space="preserve">RUA B </t>
  </si>
  <si>
    <t>RUA G</t>
  </si>
  <si>
    <t xml:space="preserve">RUA JOÃO CARLOS </t>
  </si>
  <si>
    <t xml:space="preserve">SUSPENSA </t>
  </si>
  <si>
    <t xml:space="preserve">BECO DA LU </t>
  </si>
  <si>
    <t xml:space="preserve">BECO DA DONA NEIDE </t>
  </si>
  <si>
    <t>BECO DA CAPOEIRA</t>
  </si>
  <si>
    <t>BECO DA SHAKE</t>
  </si>
  <si>
    <t>RUA FAMILIA BARROS</t>
  </si>
  <si>
    <t xml:space="preserve">BECO DA TATI </t>
  </si>
  <si>
    <t xml:space="preserve">ESCADARIA 6 </t>
  </si>
  <si>
    <t xml:space="preserve">ESCADRIA 7 </t>
  </si>
  <si>
    <t>CAMINHO MICHEL</t>
  </si>
  <si>
    <t xml:space="preserve">TRAVESSA E </t>
  </si>
  <si>
    <t>LA Baixadas</t>
  </si>
  <si>
    <t>LA</t>
  </si>
  <si>
    <t>LE</t>
  </si>
  <si>
    <t>saldo</t>
  </si>
  <si>
    <t>BECO 15</t>
  </si>
  <si>
    <t>RESUMO DE LIGAÇÕES  -  SLNR</t>
  </si>
  <si>
    <t xml:space="preserve">EXECUTADO </t>
  </si>
  <si>
    <t xml:space="preserve">GERAL </t>
  </si>
  <si>
    <t>FEV</t>
  </si>
  <si>
    <t>CAMINHO S. M BECO 1D</t>
  </si>
  <si>
    <t>CAMINHO S. M BECO 2D</t>
  </si>
  <si>
    <t>CAMINHO S. M BECO 3D</t>
  </si>
  <si>
    <t>CAMINHO S. M BECO 4D</t>
  </si>
  <si>
    <t>CAMINHO S. M BECO 3E</t>
  </si>
  <si>
    <t>CAMINHO S. M BECO 7E</t>
  </si>
  <si>
    <t>CAMINHO S. M BECO 8D</t>
  </si>
  <si>
    <t>CAMINHO S. M BECO 8E</t>
  </si>
  <si>
    <t>CAMINHO S. M BECO 9D</t>
  </si>
  <si>
    <t>CAMINHO S. M BECO 9E</t>
  </si>
  <si>
    <t>CAMINHO S. M BECO 11D</t>
  </si>
  <si>
    <t>CAMINHO S. M BECO 11E</t>
  </si>
  <si>
    <t>CAMINHO S. M BECO 12D</t>
  </si>
  <si>
    <t>CAMINHO S. M BECO 13D</t>
  </si>
  <si>
    <t>CAMINHO S. M BECO 14E</t>
  </si>
  <si>
    <t xml:space="preserve">TRAVESSA C </t>
  </si>
  <si>
    <t xml:space="preserve">ESCADARIA 6  </t>
  </si>
  <si>
    <t xml:space="preserve">ESCADARIA 7  </t>
  </si>
  <si>
    <t xml:space="preserve">TRAVESSA D </t>
  </si>
  <si>
    <t xml:space="preserve">TRAVESSA E  </t>
  </si>
  <si>
    <t>OS</t>
  </si>
  <si>
    <t>OS aberta SISTEMA</t>
  </si>
  <si>
    <t xml:space="preserve">saldo Água </t>
  </si>
  <si>
    <t>BECO DO PACHECO</t>
  </si>
  <si>
    <t>ÁGUA</t>
  </si>
  <si>
    <t xml:space="preserve">LIGAÇÃO COMPLETA, NÃO CHEGA ÁGUA </t>
  </si>
  <si>
    <t xml:space="preserve">BECO DO PACHECO </t>
  </si>
  <si>
    <t xml:space="preserve">Ligações Executadas Obras </t>
  </si>
  <si>
    <t xml:space="preserve">Ligações Pendentes de Execução </t>
  </si>
  <si>
    <t xml:space="preserve">Ligações Cadastradas </t>
  </si>
  <si>
    <t xml:space="preserve">LA </t>
  </si>
  <si>
    <t xml:space="preserve">Ligações Pendentes de  OS </t>
  </si>
  <si>
    <t xml:space="preserve">RESUMO OS - SISTEMA </t>
  </si>
  <si>
    <t>OS impedidas</t>
  </si>
  <si>
    <t xml:space="preserve">OS pendentes </t>
  </si>
  <si>
    <t xml:space="preserve">Saldo abrir  </t>
  </si>
  <si>
    <t xml:space="preserve">Quantidade </t>
  </si>
  <si>
    <t xml:space="preserve">Núcleo  </t>
  </si>
  <si>
    <t>Motivo</t>
  </si>
  <si>
    <t xml:space="preserve">74 ligações  </t>
  </si>
  <si>
    <t>LIGAÇÃO COMPLETA, NÃO TEM EXTRAVASÃO</t>
  </si>
  <si>
    <t xml:space="preserve">37 ligações </t>
  </si>
  <si>
    <t xml:space="preserve">Geral </t>
  </si>
  <si>
    <t xml:space="preserve">Clientes não localizados / Cliente ausente </t>
  </si>
  <si>
    <t>* OS pendentes *</t>
  </si>
  <si>
    <t>* OS impedidas *</t>
  </si>
  <si>
    <t xml:space="preserve">28  DE FEVEREIRO - META </t>
  </si>
  <si>
    <t>30 DIAS (12/03 ) - META</t>
  </si>
  <si>
    <t>CAMINHO SÃO JORGE</t>
  </si>
  <si>
    <t xml:space="preserve">TRAVESSA DA ESPERANÇA </t>
  </si>
  <si>
    <t xml:space="preserve">VIELA A </t>
  </si>
  <si>
    <t xml:space="preserve">VIELA B </t>
  </si>
  <si>
    <t>VIELA C</t>
  </si>
  <si>
    <t xml:space="preserve">agendar </t>
  </si>
  <si>
    <t>Aguardando Lib. Lav.</t>
  </si>
  <si>
    <t>Executadas Obra - OS</t>
  </si>
  <si>
    <t>Liberado Obra - OS</t>
  </si>
  <si>
    <t xml:space="preserve">Liberado Obra - OS </t>
  </si>
  <si>
    <t>Total Lig. Exec</t>
  </si>
  <si>
    <t xml:space="preserve">Lavagem </t>
  </si>
  <si>
    <t>LIGAÇÃO SUBSTITUIÇÃO</t>
  </si>
  <si>
    <t xml:space="preserve">LIGAÇÕES NOVAS </t>
  </si>
  <si>
    <t xml:space="preserve">OS aberta </t>
  </si>
  <si>
    <t>OS  SISTEMA</t>
  </si>
  <si>
    <t>TOTAL DE LIGAÇÕES  / OS</t>
  </si>
  <si>
    <t xml:space="preserve">SEM ÁGUA/ SEM EXTRAVASÃO </t>
  </si>
  <si>
    <t>Aguardando</t>
  </si>
  <si>
    <t xml:space="preserve">LE </t>
  </si>
  <si>
    <t>EXECUTADAS SALDO / LAVADAS E IMPEDIDAS</t>
  </si>
  <si>
    <t xml:space="preserve">Sub Total LA e LE </t>
  </si>
  <si>
    <t>PENDENTE ABERTURA OS</t>
  </si>
  <si>
    <t>LIG PENDETENTE</t>
  </si>
  <si>
    <t>REFERENTE A META ( 1044 ) 12/02 A  10/03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</si>
</sst>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indexed="8"/>
      <name val="Aptos Narrow"/>
      <family val="2"/>
      <scheme val="minor"/>
    </font>
    <font>
      <sz val="1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thin">
        <color auto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theme="1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thin">
        <color auto="1"/>
      </bottom>
      <diagonal/>
    </border>
    <border>
      <left style="medium">
        <color indexed="64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theme="1"/>
      </right>
      <top style="thin">
        <color auto="1"/>
      </top>
      <bottom/>
      <diagonal/>
    </border>
    <border>
      <left style="medium">
        <color indexed="64"/>
      </left>
      <right style="medium">
        <color theme="1"/>
      </right>
      <top style="thin">
        <color theme="1"/>
      </top>
      <bottom style="thin">
        <color theme="0"/>
      </bottom>
      <diagonal/>
    </border>
    <border>
      <left style="medium">
        <color indexed="64"/>
      </left>
      <right style="medium">
        <color theme="1"/>
      </right>
      <top style="thin">
        <color theme="0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/>
      <top style="thin">
        <color auto="1"/>
      </top>
      <bottom style="medium">
        <color indexed="64"/>
      </bottom>
      <diagonal/>
    </border>
    <border>
      <left/>
      <right style="medium">
        <color theme="1"/>
      </right>
      <top style="thin">
        <color auto="1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</borders>
  <cellStyleXfs count="2">
    <xf numFmtId="0" fontId="0" fillId="0" borderId="0"/>
    <xf numFmtId="44" fontId="21" fillId="0" borderId="0" applyFont="0" applyFill="0" applyBorder="0" applyAlignment="0" applyProtection="0"/>
  </cellStyleXfs>
  <cellXfs count="433">
    <xf numFmtId="0" fontId="0" fillId="0" borderId="0" xfId="0"/>
    <xf numFmtId="0" fontId="9" fillId="0" borderId="1" xfId="0" applyFont="1" applyBorder="1"/>
    <xf numFmtId="0" fontId="10" fillId="0" borderId="1" xfId="0" applyFont="1" applyBorder="1" applyAlignment="1">
      <alignment wrapText="1"/>
    </xf>
    <xf numFmtId="14" fontId="11" fillId="0" borderId="1" xfId="0" applyNumberFormat="1" applyFont="1" applyBorder="1"/>
    <xf numFmtId="0" fontId="12" fillId="0" borderId="1" xfId="0" applyFont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10" fillId="3" borderId="1" xfId="0" applyFont="1" applyFill="1" applyBorder="1" applyAlignment="1">
      <alignment wrapText="1"/>
    </xf>
    <xf numFmtId="14" fontId="11" fillId="3" borderId="1" xfId="0" applyNumberFormat="1" applyFont="1" applyFill="1" applyBorder="1"/>
    <xf numFmtId="0" fontId="9" fillId="3" borderId="1" xfId="0" applyFont="1" applyFill="1" applyBorder="1"/>
    <xf numFmtId="0" fontId="13" fillId="0" borderId="1" xfId="0" applyFont="1" applyBorder="1" applyAlignment="1">
      <alignment horizontal="center"/>
    </xf>
    <xf numFmtId="0" fontId="0" fillId="2" borderId="4" xfId="0" applyFill="1" applyBorder="1"/>
    <xf numFmtId="0" fontId="14" fillId="2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4" fillId="2" borderId="3" xfId="0" applyFont="1" applyFill="1" applyBorder="1" applyAlignment="1">
      <alignment wrapText="1"/>
    </xf>
    <xf numFmtId="0" fontId="0" fillId="2" borderId="3" xfId="0" applyFill="1" applyBorder="1"/>
    <xf numFmtId="0" fontId="10" fillId="0" borderId="4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4" fillId="2" borderId="4" xfId="0" applyFont="1" applyFill="1" applyBorder="1" applyAlignment="1">
      <alignment wrapText="1"/>
    </xf>
    <xf numFmtId="0" fontId="14" fillId="2" borderId="2" xfId="0" applyFont="1" applyFill="1" applyBorder="1" applyAlignment="1">
      <alignment wrapText="1"/>
    </xf>
    <xf numFmtId="0" fontId="0" fillId="2" borderId="2" xfId="0" applyFill="1" applyBorder="1"/>
    <xf numFmtId="0" fontId="14" fillId="0" borderId="3" xfId="0" applyFont="1" applyBorder="1" applyAlignment="1">
      <alignment wrapText="1"/>
    </xf>
    <xf numFmtId="0" fontId="0" fillId="0" borderId="3" xfId="0" applyBorder="1"/>
    <xf numFmtId="0" fontId="14" fillId="0" borderId="4" xfId="0" applyFont="1" applyBorder="1" applyAlignment="1">
      <alignment wrapText="1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1" xfId="0" applyFont="1" applyBorder="1" applyAlignment="1">
      <alignment wrapText="1"/>
    </xf>
    <xf numFmtId="0" fontId="9" fillId="4" borderId="1" xfId="0" applyFont="1" applyFill="1" applyBorder="1" applyAlignment="1">
      <alignment wrapText="1"/>
    </xf>
    <xf numFmtId="14" fontId="11" fillId="0" borderId="3" xfId="0" applyNumberFormat="1" applyFont="1" applyBorder="1"/>
    <xf numFmtId="0" fontId="9" fillId="0" borderId="3" xfId="0" applyFont="1" applyBorder="1"/>
    <xf numFmtId="0" fontId="0" fillId="0" borderId="1" xfId="0" applyBorder="1" applyAlignment="1">
      <alignment horizontal="left"/>
    </xf>
    <xf numFmtId="0" fontId="9" fillId="4" borderId="3" xfId="0" applyFont="1" applyFill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0" fillId="0" borderId="2" xfId="0" applyBorder="1"/>
    <xf numFmtId="0" fontId="9" fillId="4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4" fillId="4" borderId="1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0" fontId="14" fillId="4" borderId="3" xfId="0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0" borderId="0" xfId="0" applyFont="1" applyAlignment="1">
      <alignment vertical="center"/>
    </xf>
    <xf numFmtId="0" fontId="10" fillId="7" borderId="1" xfId="0" applyFont="1" applyFill="1" applyBorder="1" applyAlignment="1">
      <alignment wrapText="1"/>
    </xf>
    <xf numFmtId="14" fontId="11" fillId="7" borderId="1" xfId="0" applyNumberFormat="1" applyFont="1" applyFill="1" applyBorder="1"/>
    <xf numFmtId="0" fontId="9" fillId="7" borderId="1" xfId="0" applyFont="1" applyFill="1" applyBorder="1"/>
    <xf numFmtId="0" fontId="14" fillId="7" borderId="1" xfId="0" applyFont="1" applyFill="1" applyBorder="1" applyAlignment="1">
      <alignment wrapText="1"/>
    </xf>
    <xf numFmtId="0" fontId="0" fillId="7" borderId="1" xfId="0" applyFill="1" applyBorder="1"/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/>
    <xf numFmtId="0" fontId="0" fillId="5" borderId="5" xfId="0" applyFill="1" applyBorder="1"/>
    <xf numFmtId="0" fontId="0" fillId="5" borderId="11" xfId="0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vertical="center" wrapText="1"/>
    </xf>
    <xf numFmtId="0" fontId="0" fillId="0" borderId="18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0" fillId="0" borderId="13" xfId="0" applyBorder="1"/>
    <xf numFmtId="0" fontId="13" fillId="0" borderId="2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13" fillId="0" borderId="2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0" fillId="0" borderId="40" xfId="0" applyBorder="1"/>
    <xf numFmtId="0" fontId="0" fillId="0" borderId="34" xfId="0" applyBorder="1"/>
    <xf numFmtId="0" fontId="8" fillId="0" borderId="3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5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8" xfId="0" applyBorder="1" applyAlignment="1">
      <alignment horizontal="center"/>
    </xf>
    <xf numFmtId="0" fontId="13" fillId="0" borderId="53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0" fillId="0" borderId="27" xfId="0" applyBorder="1" applyAlignment="1">
      <alignment horizontal="center"/>
    </xf>
    <xf numFmtId="0" fontId="13" fillId="0" borderId="62" xfId="0" applyFont="1" applyBorder="1" applyAlignment="1">
      <alignment horizontal="center" vertical="center"/>
    </xf>
    <xf numFmtId="0" fontId="0" fillId="0" borderId="45" xfId="0" applyBorder="1"/>
    <xf numFmtId="0" fontId="0" fillId="0" borderId="46" xfId="0" applyBorder="1"/>
    <xf numFmtId="0" fontId="13" fillId="0" borderId="64" xfId="0" applyFont="1" applyBorder="1" applyAlignment="1">
      <alignment horizontal="center"/>
    </xf>
    <xf numFmtId="0" fontId="13" fillId="0" borderId="65" xfId="0" applyFont="1" applyBorder="1" applyAlignment="1">
      <alignment horizontal="center"/>
    </xf>
    <xf numFmtId="0" fontId="13" fillId="0" borderId="27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16" borderId="11" xfId="0" applyFont="1" applyFill="1" applyBorder="1" applyAlignment="1">
      <alignment horizontal="center"/>
    </xf>
    <xf numFmtId="0" fontId="16" fillId="16" borderId="6" xfId="0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6" xfId="0" applyBorder="1"/>
    <xf numFmtId="0" fontId="20" fillId="0" borderId="30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3" fillId="0" borderId="68" xfId="0" applyFont="1" applyBorder="1" applyAlignment="1">
      <alignment horizontal="center"/>
    </xf>
    <xf numFmtId="0" fontId="16" fillId="17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0" xfId="0" applyFont="1" applyAlignment="1">
      <alignment horizontal="center"/>
    </xf>
    <xf numFmtId="0" fontId="16" fillId="17" borderId="48" xfId="0" applyFont="1" applyFill="1" applyBorder="1"/>
    <xf numFmtId="0" fontId="16" fillId="17" borderId="26" xfId="0" applyFont="1" applyFill="1" applyBorder="1"/>
    <xf numFmtId="0" fontId="16" fillId="0" borderId="11" xfId="0" applyFont="1" applyBorder="1"/>
    <xf numFmtId="0" fontId="16" fillId="0" borderId="27" xfId="0" applyFont="1" applyBorder="1"/>
    <xf numFmtId="0" fontId="16" fillId="17" borderId="65" xfId="0" applyFont="1" applyFill="1" applyBorder="1"/>
    <xf numFmtId="0" fontId="13" fillId="0" borderId="44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8" xfId="0" applyFont="1" applyBorder="1"/>
    <xf numFmtId="0" fontId="16" fillId="0" borderId="12" xfId="0" applyFont="1" applyBorder="1"/>
    <xf numFmtId="0" fontId="16" fillId="0" borderId="50" xfId="0" applyFont="1" applyBorder="1"/>
    <xf numFmtId="0" fontId="16" fillId="0" borderId="8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50" xfId="0" applyFont="1" applyBorder="1" applyAlignment="1">
      <alignment horizontal="center"/>
    </xf>
    <xf numFmtId="0" fontId="16" fillId="17" borderId="24" xfId="0" applyFont="1" applyFill="1" applyBorder="1"/>
    <xf numFmtId="0" fontId="13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17" borderId="1" xfId="0" applyFont="1" applyFill="1" applyBorder="1" applyAlignment="1">
      <alignment horizontal="center"/>
    </xf>
    <xf numFmtId="0" fontId="13" fillId="0" borderId="30" xfId="0" applyFont="1" applyBorder="1" applyAlignment="1">
      <alignment horizontal="center" vertical="center"/>
    </xf>
    <xf numFmtId="0" fontId="0" fillId="0" borderId="77" xfId="0" applyBorder="1"/>
    <xf numFmtId="0" fontId="0" fillId="0" borderId="53" xfId="0" applyBorder="1"/>
    <xf numFmtId="0" fontId="0" fillId="0" borderId="78" xfId="0" applyBorder="1"/>
    <xf numFmtId="0" fontId="16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0" fillId="3" borderId="0" xfId="0" applyFill="1"/>
    <xf numFmtId="0" fontId="15" fillId="0" borderId="45" xfId="0" applyFont="1" applyBorder="1"/>
    <xf numFmtId="0" fontId="15" fillId="0" borderId="29" xfId="0" applyFont="1" applyBorder="1" applyAlignment="1">
      <alignment horizontal="center"/>
    </xf>
    <xf numFmtId="0" fontId="15" fillId="0" borderId="52" xfId="0" applyFont="1" applyBorder="1" applyAlignment="1">
      <alignment horizontal="center"/>
    </xf>
    <xf numFmtId="0" fontId="13" fillId="0" borderId="8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15" fillId="0" borderId="87" xfId="0" applyFont="1" applyBorder="1" applyAlignment="1">
      <alignment horizontal="center"/>
    </xf>
    <xf numFmtId="0" fontId="13" fillId="0" borderId="45" xfId="0" applyFont="1" applyBorder="1" applyAlignment="1">
      <alignment horizontal="center" vertical="center"/>
    </xf>
    <xf numFmtId="0" fontId="13" fillId="0" borderId="45" xfId="0" applyFont="1" applyBorder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0" fillId="20" borderId="30" xfId="0" applyFill="1" applyBorder="1" applyAlignment="1">
      <alignment horizontal="center"/>
    </xf>
    <xf numFmtId="0" fontId="0" fillId="20" borderId="29" xfId="0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22" borderId="30" xfId="0" applyFill="1" applyBorder="1" applyAlignment="1">
      <alignment horizontal="center"/>
    </xf>
    <xf numFmtId="0" fontId="0" fillId="22" borderId="29" xfId="0" applyFill="1" applyBorder="1" applyAlignment="1">
      <alignment horizontal="center"/>
    </xf>
    <xf numFmtId="0" fontId="0" fillId="17" borderId="30" xfId="0" applyFill="1" applyBorder="1" applyAlignment="1">
      <alignment horizontal="center"/>
    </xf>
    <xf numFmtId="0" fontId="0" fillId="17" borderId="29" xfId="0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13" fillId="16" borderId="30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/>
    </xf>
    <xf numFmtId="0" fontId="13" fillId="16" borderId="29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13" fillId="0" borderId="40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13" fillId="3" borderId="30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29" xfId="0" applyFont="1" applyFill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32" xfId="0" applyFont="1" applyFill="1" applyBorder="1" applyAlignment="1">
      <alignment horizontal="center"/>
    </xf>
    <xf numFmtId="0" fontId="23" fillId="3" borderId="91" xfId="0" applyFont="1" applyFill="1" applyBorder="1" applyAlignment="1">
      <alignment horizontal="center"/>
    </xf>
    <xf numFmtId="0" fontId="13" fillId="0" borderId="69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24" fillId="3" borderId="30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5" fillId="0" borderId="30" xfId="0" applyFont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0" fillId="0" borderId="102" xfId="0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3" fillId="14" borderId="94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74" xfId="0" applyFont="1" applyBorder="1" applyAlignment="1">
      <alignment horizontal="center" vertical="center"/>
    </xf>
    <xf numFmtId="0" fontId="15" fillId="0" borderId="95" xfId="0" applyFont="1" applyBorder="1" applyAlignment="1">
      <alignment vertical="center"/>
    </xf>
    <xf numFmtId="0" fontId="25" fillId="0" borderId="46" xfId="0" applyFont="1" applyBorder="1" applyAlignment="1">
      <alignment vertical="center"/>
    </xf>
    <xf numFmtId="0" fontId="16" fillId="0" borderId="8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3" fillId="0" borderId="10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03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3" fillId="16" borderId="64" xfId="0" applyFont="1" applyFill="1" applyBorder="1" applyAlignment="1">
      <alignment horizontal="center" vertical="center" wrapText="1"/>
    </xf>
    <xf numFmtId="0" fontId="13" fillId="16" borderId="96" xfId="0" applyFont="1" applyFill="1" applyBorder="1" applyAlignment="1">
      <alignment horizontal="center" vertical="center" wrapText="1"/>
    </xf>
    <xf numFmtId="0" fontId="13" fillId="16" borderId="30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17" fontId="13" fillId="16" borderId="64" xfId="0" applyNumberFormat="1" applyFont="1" applyFill="1" applyBorder="1" applyAlignment="1">
      <alignment horizontal="center" vertical="center"/>
    </xf>
    <xf numFmtId="17" fontId="13" fillId="16" borderId="96" xfId="0" applyNumberFormat="1" applyFont="1" applyFill="1" applyBorder="1" applyAlignment="1">
      <alignment horizontal="center" vertical="center"/>
    </xf>
    <xf numFmtId="17" fontId="13" fillId="16" borderId="30" xfId="0" applyNumberFormat="1" applyFont="1" applyFill="1" applyBorder="1" applyAlignment="1">
      <alignment horizontal="center" vertical="center"/>
    </xf>
    <xf numFmtId="17" fontId="13" fillId="16" borderId="5" xfId="0" applyNumberFormat="1" applyFont="1" applyFill="1" applyBorder="1" applyAlignment="1">
      <alignment horizontal="center" vertical="center"/>
    </xf>
    <xf numFmtId="0" fontId="15" fillId="0" borderId="72" xfId="0" applyFont="1" applyBorder="1" applyAlignment="1">
      <alignment horizontal="center" vertical="center"/>
    </xf>
    <xf numFmtId="0" fontId="15" fillId="0" borderId="100" xfId="0" applyFont="1" applyBorder="1" applyAlignment="1">
      <alignment horizontal="center" vertical="center"/>
    </xf>
    <xf numFmtId="0" fontId="15" fillId="0" borderId="72" xfId="0" applyFont="1" applyBorder="1" applyAlignment="1">
      <alignment horizontal="center"/>
    </xf>
    <xf numFmtId="0" fontId="15" fillId="0" borderId="100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3" fillId="0" borderId="30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14" borderId="64" xfId="0" applyFont="1" applyFill="1" applyBorder="1" applyAlignment="1">
      <alignment horizontal="center"/>
    </xf>
    <xf numFmtId="0" fontId="13" fillId="14" borderId="65" xfId="0" applyFont="1" applyFill="1" applyBorder="1" applyAlignment="1">
      <alignment horizontal="center"/>
    </xf>
    <xf numFmtId="0" fontId="13" fillId="0" borderId="45" xfId="0" applyFont="1" applyBorder="1" applyAlignment="1">
      <alignment horizontal="center" vertical="center"/>
    </xf>
    <xf numFmtId="16" fontId="13" fillId="13" borderId="99" xfId="0" applyNumberFormat="1" applyFont="1" applyFill="1" applyBorder="1" applyAlignment="1">
      <alignment horizontal="center"/>
    </xf>
    <xf numFmtId="16" fontId="13" fillId="13" borderId="26" xfId="0" applyNumberFormat="1" applyFont="1" applyFill="1" applyBorder="1" applyAlignment="1">
      <alignment horizontal="center"/>
    </xf>
    <xf numFmtId="0" fontId="13" fillId="13" borderId="69" xfId="0" applyFont="1" applyFill="1" applyBorder="1" applyAlignment="1">
      <alignment horizontal="center"/>
    </xf>
    <xf numFmtId="0" fontId="13" fillId="13" borderId="71" xfId="0" applyFont="1" applyFill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63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3" borderId="0" xfId="0" applyFont="1" applyFill="1" applyAlignment="1">
      <alignment horizontal="center"/>
    </xf>
    <xf numFmtId="0" fontId="15" fillId="0" borderId="46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98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0" fillId="0" borderId="52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3" fillId="0" borderId="66" xfId="0" applyFont="1" applyBorder="1" applyAlignment="1">
      <alignment horizontal="center"/>
    </xf>
    <xf numFmtId="0" fontId="13" fillId="0" borderId="91" xfId="0" applyFont="1" applyBorder="1" applyAlignment="1">
      <alignment horizontal="center"/>
    </xf>
    <xf numFmtId="0" fontId="13" fillId="14" borderId="10" xfId="0" applyFont="1" applyFill="1" applyBorder="1" applyAlignment="1">
      <alignment horizontal="center"/>
    </xf>
    <xf numFmtId="0" fontId="13" fillId="14" borderId="8" xfId="0" applyFont="1" applyFill="1" applyBorder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3" fillId="6" borderId="106" xfId="0" applyFont="1" applyFill="1" applyBorder="1" applyAlignment="1">
      <alignment horizontal="center" vertical="center"/>
    </xf>
    <xf numFmtId="0" fontId="13" fillId="6" borderId="107" xfId="0" applyFont="1" applyFill="1" applyBorder="1" applyAlignment="1">
      <alignment horizontal="center" vertical="center"/>
    </xf>
    <xf numFmtId="0" fontId="13" fillId="6" borderId="108" xfId="0" applyFont="1" applyFill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6" borderId="38" xfId="0" applyFont="1" applyFill="1" applyBorder="1" applyAlignment="1">
      <alignment horizontal="center" vertical="center"/>
    </xf>
    <xf numFmtId="0" fontId="13" fillId="16" borderId="74" xfId="0" applyFont="1" applyFill="1" applyBorder="1" applyAlignment="1">
      <alignment horizontal="center" vertical="center"/>
    </xf>
    <xf numFmtId="0" fontId="13" fillId="16" borderId="50" xfId="0" applyFont="1" applyFill="1" applyBorder="1" applyAlignment="1">
      <alignment horizontal="center" vertical="center"/>
    </xf>
    <xf numFmtId="0" fontId="13" fillId="16" borderId="38" xfId="0" applyFont="1" applyFill="1" applyBorder="1" applyAlignment="1">
      <alignment horizontal="center" vertical="center" wrapText="1"/>
    </xf>
    <xf numFmtId="0" fontId="13" fillId="16" borderId="74" xfId="0" applyFont="1" applyFill="1" applyBorder="1" applyAlignment="1">
      <alignment horizontal="center" vertical="center" wrapText="1"/>
    </xf>
    <xf numFmtId="0" fontId="13" fillId="16" borderId="39" xfId="0" applyFont="1" applyFill="1" applyBorder="1" applyAlignment="1">
      <alignment horizontal="center" vertical="center" wrapText="1"/>
    </xf>
    <xf numFmtId="0" fontId="13" fillId="16" borderId="50" xfId="0" applyFont="1" applyFill="1" applyBorder="1" applyAlignment="1">
      <alignment horizontal="center" vertical="center" wrapText="1"/>
    </xf>
    <xf numFmtId="0" fontId="13" fillId="16" borderId="56" xfId="0" applyFont="1" applyFill="1" applyBorder="1" applyAlignment="1">
      <alignment horizontal="center" vertical="center" wrapText="1"/>
    </xf>
    <xf numFmtId="0" fontId="13" fillId="16" borderId="57" xfId="0" applyFont="1" applyFill="1" applyBorder="1" applyAlignment="1">
      <alignment horizontal="center" vertical="center" wrapText="1"/>
    </xf>
    <xf numFmtId="0" fontId="13" fillId="6" borderId="93" xfId="0" applyFont="1" applyFill="1" applyBorder="1" applyAlignment="1">
      <alignment horizontal="center" vertical="center"/>
    </xf>
    <xf numFmtId="0" fontId="13" fillId="6" borderId="90" xfId="0" applyFont="1" applyFill="1" applyBorder="1" applyAlignment="1">
      <alignment horizontal="center" vertical="center"/>
    </xf>
    <xf numFmtId="0" fontId="13" fillId="6" borderId="97" xfId="0" applyFont="1" applyFill="1" applyBorder="1" applyAlignment="1">
      <alignment horizontal="center" vertical="center"/>
    </xf>
    <xf numFmtId="0" fontId="13" fillId="16" borderId="99" xfId="0" applyFont="1" applyFill="1" applyBorder="1" applyAlignment="1">
      <alignment horizontal="center" vertical="center"/>
    </xf>
    <xf numFmtId="0" fontId="13" fillId="16" borderId="40" xfId="0" applyFont="1" applyFill="1" applyBorder="1" applyAlignment="1">
      <alignment horizontal="center" vertical="center"/>
    </xf>
    <xf numFmtId="0" fontId="13" fillId="16" borderId="61" xfId="0" applyFont="1" applyFill="1" applyBorder="1" applyAlignment="1">
      <alignment horizontal="center" vertical="center" wrapText="1"/>
    </xf>
    <xf numFmtId="0" fontId="13" fillId="16" borderId="62" xfId="0" applyFont="1" applyFill="1" applyBorder="1" applyAlignment="1">
      <alignment horizontal="center" vertical="center" wrapText="1"/>
    </xf>
    <xf numFmtId="0" fontId="13" fillId="16" borderId="98" xfId="0" applyFont="1" applyFill="1" applyBorder="1" applyAlignment="1">
      <alignment horizontal="center" vertical="center" wrapText="1"/>
    </xf>
    <xf numFmtId="17" fontId="13" fillId="16" borderId="65" xfId="0" applyNumberFormat="1" applyFont="1" applyFill="1" applyBorder="1" applyAlignment="1">
      <alignment horizontal="center" vertical="center"/>
    </xf>
    <xf numFmtId="17" fontId="13" fillId="16" borderId="29" xfId="0" applyNumberFormat="1" applyFont="1" applyFill="1" applyBorder="1" applyAlignment="1">
      <alignment horizontal="center" vertical="center"/>
    </xf>
    <xf numFmtId="0" fontId="15" fillId="3" borderId="72" xfId="0" applyFont="1" applyFill="1" applyBorder="1" applyAlignment="1">
      <alignment horizontal="center"/>
    </xf>
    <xf numFmtId="0" fontId="15" fillId="3" borderId="73" xfId="0" applyFont="1" applyFill="1" applyBorder="1" applyAlignment="1">
      <alignment horizontal="center"/>
    </xf>
    <xf numFmtId="0" fontId="16" fillId="5" borderId="69" xfId="0" applyFont="1" applyFill="1" applyBorder="1" applyAlignment="1">
      <alignment horizontal="center" vertical="center"/>
    </xf>
    <xf numFmtId="0" fontId="16" fillId="5" borderId="71" xfId="0" applyFont="1" applyFill="1" applyBorder="1" applyAlignment="1">
      <alignment horizontal="center" vertical="center"/>
    </xf>
    <xf numFmtId="17" fontId="13" fillId="6" borderId="69" xfId="0" applyNumberFormat="1" applyFont="1" applyFill="1" applyBorder="1" applyAlignment="1">
      <alignment horizontal="center"/>
    </xf>
    <xf numFmtId="0" fontId="13" fillId="6" borderId="71" xfId="0" applyFont="1" applyFill="1" applyBorder="1" applyAlignment="1">
      <alignment horizontal="center"/>
    </xf>
    <xf numFmtId="17" fontId="13" fillId="6" borderId="71" xfId="0" applyNumberFormat="1" applyFont="1" applyFill="1" applyBorder="1" applyAlignment="1">
      <alignment horizontal="center"/>
    </xf>
    <xf numFmtId="17" fontId="13" fillId="6" borderId="70" xfId="0" applyNumberFormat="1" applyFont="1" applyFill="1" applyBorder="1" applyAlignment="1">
      <alignment horizontal="center"/>
    </xf>
    <xf numFmtId="17" fontId="13" fillId="6" borderId="35" xfId="0" applyNumberFormat="1" applyFont="1" applyFill="1" applyBorder="1" applyAlignment="1">
      <alignment horizontal="center"/>
    </xf>
    <xf numFmtId="17" fontId="13" fillId="6" borderId="36" xfId="0" applyNumberFormat="1" applyFont="1" applyFill="1" applyBorder="1" applyAlignment="1">
      <alignment horizontal="center"/>
    </xf>
    <xf numFmtId="44" fontId="16" fillId="5" borderId="70" xfId="1" applyFont="1" applyFill="1" applyBorder="1" applyAlignment="1">
      <alignment horizontal="center" vertical="center"/>
    </xf>
    <xf numFmtId="44" fontId="16" fillId="5" borderId="71" xfId="1" applyFont="1" applyFill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6" fillId="21" borderId="69" xfId="0" applyFont="1" applyFill="1" applyBorder="1" applyAlignment="1">
      <alignment horizontal="center" vertical="center"/>
    </xf>
    <xf numFmtId="0" fontId="16" fillId="21" borderId="71" xfId="0" applyFont="1" applyFill="1" applyBorder="1" applyAlignment="1">
      <alignment horizontal="center" vertical="center"/>
    </xf>
    <xf numFmtId="0" fontId="16" fillId="2" borderId="69" xfId="0" applyFont="1" applyFill="1" applyBorder="1" applyAlignment="1">
      <alignment horizontal="center" vertical="center"/>
    </xf>
    <xf numFmtId="0" fontId="16" fillId="2" borderId="71" xfId="0" applyFont="1" applyFill="1" applyBorder="1" applyAlignment="1">
      <alignment horizontal="center" vertical="center"/>
    </xf>
    <xf numFmtId="0" fontId="16" fillId="19" borderId="72" xfId="0" applyFont="1" applyFill="1" applyBorder="1" applyAlignment="1">
      <alignment horizontal="center" vertical="center"/>
    </xf>
    <xf numFmtId="0" fontId="16" fillId="19" borderId="73" xfId="0" applyFont="1" applyFill="1" applyBorder="1" applyAlignment="1">
      <alignment horizontal="center" vertical="center"/>
    </xf>
    <xf numFmtId="0" fontId="16" fillId="23" borderId="69" xfId="0" applyFont="1" applyFill="1" applyBorder="1" applyAlignment="1">
      <alignment horizontal="center" vertical="center"/>
    </xf>
    <xf numFmtId="0" fontId="16" fillId="23" borderId="71" xfId="0" applyFont="1" applyFill="1" applyBorder="1" applyAlignment="1">
      <alignment horizontal="center" vertical="center"/>
    </xf>
    <xf numFmtId="0" fontId="16" fillId="17" borderId="69" xfId="0" applyFont="1" applyFill="1" applyBorder="1" applyAlignment="1">
      <alignment horizontal="center"/>
    </xf>
    <xf numFmtId="0" fontId="16" fillId="17" borderId="70" xfId="0" applyFont="1" applyFill="1" applyBorder="1" applyAlignment="1">
      <alignment horizontal="center"/>
    </xf>
    <xf numFmtId="0" fontId="16" fillId="17" borderId="71" xfId="0" applyFont="1" applyFill="1" applyBorder="1" applyAlignment="1">
      <alignment horizontal="center"/>
    </xf>
    <xf numFmtId="0" fontId="13" fillId="0" borderId="41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14" borderId="72" xfId="0" applyFont="1" applyFill="1" applyBorder="1" applyAlignment="1">
      <alignment horizontal="center"/>
    </xf>
    <xf numFmtId="0" fontId="13" fillId="14" borderId="104" xfId="0" applyFont="1" applyFill="1" applyBorder="1" applyAlignment="1">
      <alignment horizontal="center"/>
    </xf>
    <xf numFmtId="0" fontId="13" fillId="14" borderId="100" xfId="0" applyFont="1" applyFill="1" applyBorder="1" applyAlignment="1">
      <alignment horizontal="center"/>
    </xf>
    <xf numFmtId="0" fontId="13" fillId="14" borderId="99" xfId="0" applyFont="1" applyFill="1" applyBorder="1" applyAlignment="1">
      <alignment horizontal="center"/>
    </xf>
    <xf numFmtId="0" fontId="13" fillId="14" borderId="48" xfId="0" applyFont="1" applyFill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5" fillId="0" borderId="44" xfId="0" applyFont="1" applyBorder="1" applyAlignment="1">
      <alignment horizontal="center"/>
    </xf>
    <xf numFmtId="17" fontId="13" fillId="16" borderId="0" xfId="0" applyNumberFormat="1" applyFont="1" applyFill="1" applyAlignment="1">
      <alignment horizontal="center" vertical="center"/>
    </xf>
    <xf numFmtId="17" fontId="13" fillId="16" borderId="74" xfId="0" applyNumberFormat="1" applyFont="1" applyFill="1" applyBorder="1" applyAlignment="1">
      <alignment horizontal="center" vertical="center"/>
    </xf>
    <xf numFmtId="17" fontId="13" fillId="16" borderId="12" xfId="0" applyNumberFormat="1" applyFont="1" applyFill="1" applyBorder="1" applyAlignment="1">
      <alignment horizontal="center" vertical="center"/>
    </xf>
    <xf numFmtId="17" fontId="13" fillId="16" borderId="50" xfId="0" applyNumberFormat="1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6" borderId="65" xfId="0" applyFont="1" applyFill="1" applyBorder="1" applyAlignment="1">
      <alignment horizontal="center" vertical="center"/>
    </xf>
    <xf numFmtId="17" fontId="13" fillId="16" borderId="4" xfId="0" applyNumberFormat="1" applyFont="1" applyFill="1" applyBorder="1" applyAlignment="1">
      <alignment horizontal="center" vertical="center"/>
    </xf>
    <xf numFmtId="17" fontId="13" fillId="16" borderId="1" xfId="0" applyNumberFormat="1" applyFont="1" applyFill="1" applyBorder="1" applyAlignment="1">
      <alignment horizontal="center" vertical="center"/>
    </xf>
    <xf numFmtId="0" fontId="13" fillId="16" borderId="64" xfId="0" applyFont="1" applyFill="1" applyBorder="1" applyAlignment="1">
      <alignment horizontal="center" vertical="center"/>
    </xf>
    <xf numFmtId="0" fontId="13" fillId="16" borderId="65" xfId="0" applyFont="1" applyFill="1" applyBorder="1" applyAlignment="1">
      <alignment horizontal="center" vertical="center"/>
    </xf>
    <xf numFmtId="0" fontId="13" fillId="16" borderId="30" xfId="0" applyFont="1" applyFill="1" applyBorder="1" applyAlignment="1">
      <alignment horizontal="center" vertical="center"/>
    </xf>
    <xf numFmtId="0" fontId="13" fillId="16" borderId="29" xfId="0" applyFont="1" applyFill="1" applyBorder="1" applyAlignment="1">
      <alignment horizontal="center" vertical="center"/>
    </xf>
    <xf numFmtId="0" fontId="13" fillId="16" borderId="65" xfId="0" applyFont="1" applyFill="1" applyBorder="1" applyAlignment="1">
      <alignment horizontal="center" vertical="center" wrapText="1"/>
    </xf>
    <xf numFmtId="0" fontId="13" fillId="16" borderId="29" xfId="0" applyFont="1" applyFill="1" applyBorder="1" applyAlignment="1">
      <alignment horizontal="center" vertical="center" wrapText="1"/>
    </xf>
    <xf numFmtId="0" fontId="13" fillId="16" borderId="94" xfId="0" applyFont="1" applyFill="1" applyBorder="1" applyAlignment="1">
      <alignment horizontal="center" vertical="center"/>
    </xf>
    <xf numFmtId="0" fontId="13" fillId="16" borderId="45" xfId="0" applyFont="1" applyFill="1" applyBorder="1" applyAlignment="1">
      <alignment horizontal="center" vertical="center"/>
    </xf>
    <xf numFmtId="0" fontId="13" fillId="16" borderId="0" xfId="0" applyFont="1" applyFill="1" applyAlignment="1">
      <alignment horizontal="center" vertical="center" wrapText="1"/>
    </xf>
    <xf numFmtId="0" fontId="13" fillId="16" borderId="92" xfId="0" applyFont="1" applyFill="1" applyBorder="1" applyAlignment="1">
      <alignment horizontal="center" vertical="center" wrapText="1"/>
    </xf>
    <xf numFmtId="0" fontId="16" fillId="5" borderId="72" xfId="0" applyFont="1" applyFill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91" xfId="0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3" fillId="20" borderId="61" xfId="0" applyFont="1" applyFill="1" applyBorder="1" applyAlignment="1">
      <alignment horizontal="center" wrapText="1"/>
    </xf>
    <xf numFmtId="0" fontId="13" fillId="20" borderId="47" xfId="0" applyFont="1" applyFill="1" applyBorder="1" applyAlignment="1">
      <alignment horizontal="center" wrapText="1"/>
    </xf>
    <xf numFmtId="0" fontId="13" fillId="17" borderId="5" xfId="0" applyFont="1" applyFill="1" applyBorder="1" applyAlignment="1">
      <alignment horizontal="center"/>
    </xf>
    <xf numFmtId="0" fontId="13" fillId="17" borderId="11" xfId="0" applyFont="1" applyFill="1" applyBorder="1" applyAlignment="1">
      <alignment horizontal="center"/>
    </xf>
    <xf numFmtId="0" fontId="13" fillId="17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0" fillId="5" borderId="11" xfId="0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12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6" borderId="64" xfId="0" applyFont="1" applyFill="1" applyBorder="1" applyAlignment="1">
      <alignment horizontal="center" vertical="center"/>
    </xf>
    <xf numFmtId="0" fontId="13" fillId="16" borderId="75" xfId="0" applyFont="1" applyFill="1" applyBorder="1" applyAlignment="1">
      <alignment horizontal="center" vertical="center"/>
    </xf>
    <xf numFmtId="0" fontId="13" fillId="16" borderId="76" xfId="0" applyFont="1" applyFill="1" applyBorder="1" applyAlignment="1">
      <alignment horizontal="center" vertical="center"/>
    </xf>
    <xf numFmtId="0" fontId="13" fillId="16" borderId="17" xfId="0" applyFont="1" applyFill="1" applyBorder="1" applyAlignment="1">
      <alignment horizontal="center" vertical="center" wrapText="1"/>
    </xf>
    <xf numFmtId="0" fontId="13" fillId="16" borderId="22" xfId="0" applyFont="1" applyFill="1" applyBorder="1" applyAlignment="1">
      <alignment horizontal="center" vertical="center" wrapText="1"/>
    </xf>
    <xf numFmtId="0" fontId="13" fillId="16" borderId="4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5" fillId="0" borderId="84" xfId="0" applyFont="1" applyBorder="1" applyAlignment="1">
      <alignment horizontal="center"/>
    </xf>
    <xf numFmtId="0" fontId="15" fillId="0" borderId="85" xfId="0" applyFont="1" applyBorder="1" applyAlignment="1">
      <alignment horizontal="center"/>
    </xf>
    <xf numFmtId="0" fontId="15" fillId="0" borderId="86" xfId="0" applyFont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16" fillId="18" borderId="69" xfId="0" applyFont="1" applyFill="1" applyBorder="1" applyAlignment="1">
      <alignment horizontal="center" vertical="center"/>
    </xf>
    <xf numFmtId="0" fontId="16" fillId="18" borderId="71" xfId="0" applyFont="1" applyFill="1" applyBorder="1" applyAlignment="1">
      <alignment horizontal="center" vertical="center"/>
    </xf>
    <xf numFmtId="0" fontId="16" fillId="19" borderId="69" xfId="0" applyFont="1" applyFill="1" applyBorder="1" applyAlignment="1">
      <alignment horizontal="center" vertical="center"/>
    </xf>
    <xf numFmtId="0" fontId="16" fillId="19" borderId="71" xfId="0" applyFont="1" applyFill="1" applyBorder="1" applyAlignment="1">
      <alignment horizontal="center" vertical="center"/>
    </xf>
    <xf numFmtId="0" fontId="16" fillId="5" borderId="70" xfId="0" applyFont="1" applyFill="1" applyBorder="1" applyAlignment="1">
      <alignment horizontal="center" vertical="center"/>
    </xf>
    <xf numFmtId="44" fontId="16" fillId="5" borderId="69" xfId="1" applyFont="1" applyFill="1" applyBorder="1" applyAlignment="1">
      <alignment horizontal="center" vertical="center"/>
    </xf>
    <xf numFmtId="0" fontId="13" fillId="0" borderId="79" xfId="0" applyFont="1" applyBorder="1" applyAlignment="1">
      <alignment horizontal="left" vertical="center"/>
    </xf>
    <xf numFmtId="0" fontId="13" fillId="0" borderId="80" xfId="0" applyFont="1" applyBorder="1" applyAlignment="1">
      <alignment horizontal="left" vertical="center"/>
    </xf>
    <xf numFmtId="0" fontId="13" fillId="0" borderId="19" xfId="0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715"/>
  <sheetViews>
    <sheetView zoomScale="80" workbookViewId="0">
      <selection activeCell="G3719" sqref="G3719"/>
    </sheetView>
  </sheetViews>
  <sheetFormatPr defaultRowHeight="14.4" x14ac:dyDescent="0.3"/>
  <cols>
    <col min="1" max="1" width="13.33203125" customWidth="1"/>
    <col min="2" max="2" width="31.33203125" customWidth="1"/>
    <col min="3" max="3" width="15" customWidth="1"/>
    <col min="4" max="4" width="13" customWidth="1"/>
    <col min="5" max="5" width="15" customWidth="1"/>
    <col min="6" max="6" width="17.44140625" customWidth="1"/>
    <col min="7" max="7" width="8.5546875" customWidth="1"/>
    <col min="8" max="8" width="13.21875" customWidth="1"/>
    <col min="9" max="9" width="25" customWidth="1"/>
    <col min="10" max="10" width="15" customWidth="1"/>
    <col min="11" max="11" width="14.33203125" customWidth="1"/>
    <col min="12" max="12" width="16.3320312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13176</v>
      </c>
      <c r="L1" s="4" t="s">
        <v>13178</v>
      </c>
    </row>
    <row r="2" spans="1:12" ht="27.6" hidden="1" x14ac:dyDescent="0.3">
      <c r="A2" s="2" t="s">
        <v>11</v>
      </c>
      <c r="B2" s="2" t="s">
        <v>13</v>
      </c>
      <c r="C2" s="3">
        <v>21921</v>
      </c>
      <c r="D2" s="1" t="s">
        <v>14</v>
      </c>
      <c r="E2" s="1" t="s">
        <v>15</v>
      </c>
      <c r="F2" s="2" t="s">
        <v>16</v>
      </c>
      <c r="G2" s="2" t="s">
        <v>17</v>
      </c>
      <c r="H2" s="2" t="s">
        <v>10</v>
      </c>
      <c r="I2" s="2" t="s">
        <v>11</v>
      </c>
      <c r="J2" s="2" t="s">
        <v>18</v>
      </c>
      <c r="K2" s="2" t="s">
        <v>19</v>
      </c>
      <c r="L2" s="6"/>
    </row>
    <row r="3" spans="1:12" ht="27.6" hidden="1" x14ac:dyDescent="0.3">
      <c r="A3" s="2" t="s">
        <v>11</v>
      </c>
      <c r="B3" s="2" t="s">
        <v>21</v>
      </c>
      <c r="C3" s="3">
        <v>27752</v>
      </c>
      <c r="D3" s="1" t="s">
        <v>22</v>
      </c>
      <c r="E3" s="1" t="s">
        <v>23</v>
      </c>
      <c r="F3" s="2" t="s">
        <v>24</v>
      </c>
      <c r="G3" s="2" t="s">
        <v>25</v>
      </c>
      <c r="H3" s="2" t="s">
        <v>26</v>
      </c>
      <c r="I3" s="2" t="s">
        <v>11</v>
      </c>
      <c r="J3" s="2" t="s">
        <v>27</v>
      </c>
      <c r="K3" s="30" t="s">
        <v>13193</v>
      </c>
      <c r="L3" s="6" t="s">
        <v>13195</v>
      </c>
    </row>
    <row r="4" spans="1:12" ht="27.6" hidden="1" x14ac:dyDescent="0.3">
      <c r="A4" s="2" t="s">
        <v>11</v>
      </c>
      <c r="B4" s="2" t="s">
        <v>28</v>
      </c>
      <c r="C4" s="3">
        <v>22822</v>
      </c>
      <c r="D4" s="1" t="s">
        <v>29</v>
      </c>
      <c r="E4" s="1" t="s">
        <v>30</v>
      </c>
      <c r="F4" s="2" t="s">
        <v>24</v>
      </c>
      <c r="G4" s="2" t="s">
        <v>31</v>
      </c>
      <c r="H4" s="2" t="s">
        <v>10</v>
      </c>
      <c r="I4" s="2" t="s">
        <v>11</v>
      </c>
      <c r="J4" s="2" t="s">
        <v>32</v>
      </c>
      <c r="K4" s="30" t="s">
        <v>13193</v>
      </c>
      <c r="L4" s="6" t="s">
        <v>13195</v>
      </c>
    </row>
    <row r="5" spans="1:12" ht="27.6" hidden="1" x14ac:dyDescent="0.3">
      <c r="A5" s="2" t="s">
        <v>11</v>
      </c>
      <c r="B5" s="2" t="s">
        <v>33</v>
      </c>
      <c r="C5" s="3">
        <v>26481</v>
      </c>
      <c r="D5" s="1" t="s">
        <v>34</v>
      </c>
      <c r="E5" s="1" t="s">
        <v>35</v>
      </c>
      <c r="F5" s="2" t="s">
        <v>36</v>
      </c>
      <c r="G5" s="2" t="s">
        <v>37</v>
      </c>
      <c r="H5" s="2" t="s">
        <v>10</v>
      </c>
      <c r="I5" s="2" t="s">
        <v>11</v>
      </c>
      <c r="J5" s="2" t="s">
        <v>38</v>
      </c>
      <c r="K5" s="2" t="s">
        <v>10</v>
      </c>
      <c r="L5" s="6"/>
    </row>
    <row r="6" spans="1:12" ht="27.6" hidden="1" x14ac:dyDescent="0.3">
      <c r="A6" s="2" t="s">
        <v>11</v>
      </c>
      <c r="B6" s="2" t="s">
        <v>39</v>
      </c>
      <c r="C6" s="3">
        <v>27817</v>
      </c>
      <c r="D6" s="1" t="s">
        <v>40</v>
      </c>
      <c r="E6" s="1" t="s">
        <v>41</v>
      </c>
      <c r="F6" s="2" t="s">
        <v>42</v>
      </c>
      <c r="G6" s="2" t="s">
        <v>12</v>
      </c>
      <c r="H6" s="2" t="s">
        <v>43</v>
      </c>
      <c r="I6" s="2" t="s">
        <v>11</v>
      </c>
      <c r="J6" s="2" t="s">
        <v>44</v>
      </c>
      <c r="K6" s="2" t="s">
        <v>10</v>
      </c>
      <c r="L6" s="6"/>
    </row>
    <row r="7" spans="1:12" ht="27.6" hidden="1" x14ac:dyDescent="0.3">
      <c r="A7" s="2" t="s">
        <v>11</v>
      </c>
      <c r="B7" s="2" t="s">
        <v>45</v>
      </c>
      <c r="C7" s="3">
        <v>28638</v>
      </c>
      <c r="D7" s="1" t="s">
        <v>46</v>
      </c>
      <c r="E7" s="1" t="s">
        <v>47</v>
      </c>
      <c r="F7" s="2" t="s">
        <v>42</v>
      </c>
      <c r="G7" s="2" t="s">
        <v>48</v>
      </c>
      <c r="H7" s="2" t="s">
        <v>10</v>
      </c>
      <c r="I7" s="2" t="s">
        <v>11</v>
      </c>
      <c r="J7" s="2" t="s">
        <v>49</v>
      </c>
      <c r="K7" s="2" t="s">
        <v>10</v>
      </c>
      <c r="L7" s="6"/>
    </row>
    <row r="8" spans="1:12" ht="27.6" hidden="1" x14ac:dyDescent="0.3">
      <c r="A8" s="2" t="s">
        <v>11</v>
      </c>
      <c r="B8" s="2" t="s">
        <v>50</v>
      </c>
      <c r="C8" s="3">
        <v>29953</v>
      </c>
      <c r="D8" s="1" t="s">
        <v>51</v>
      </c>
      <c r="E8" s="1" t="s">
        <v>52</v>
      </c>
      <c r="F8" s="2" t="s">
        <v>53</v>
      </c>
      <c r="G8" s="2" t="s">
        <v>12</v>
      </c>
      <c r="H8" s="2" t="s">
        <v>10</v>
      </c>
      <c r="I8" s="2" t="s">
        <v>11</v>
      </c>
      <c r="J8" s="2" t="s">
        <v>54</v>
      </c>
      <c r="K8" s="2" t="s">
        <v>10</v>
      </c>
      <c r="L8" s="6"/>
    </row>
    <row r="9" spans="1:12" ht="27.6" hidden="1" x14ac:dyDescent="0.3">
      <c r="A9" s="2" t="s">
        <v>11</v>
      </c>
      <c r="B9" s="2" t="s">
        <v>55</v>
      </c>
      <c r="C9" s="3">
        <v>18797</v>
      </c>
      <c r="D9" s="1" t="s">
        <v>56</v>
      </c>
      <c r="E9" s="1" t="s">
        <v>57</v>
      </c>
      <c r="F9" s="2" t="s">
        <v>16</v>
      </c>
      <c r="G9" s="2" t="s">
        <v>58</v>
      </c>
      <c r="H9" s="2" t="s">
        <v>43</v>
      </c>
      <c r="I9" s="2" t="s">
        <v>11</v>
      </c>
      <c r="J9" s="2" t="s">
        <v>59</v>
      </c>
      <c r="K9" s="2" t="s">
        <v>10</v>
      </c>
      <c r="L9" s="6"/>
    </row>
    <row r="10" spans="1:12" ht="27.6" hidden="1" x14ac:dyDescent="0.3">
      <c r="A10" s="2" t="s">
        <v>60</v>
      </c>
      <c r="B10" s="2" t="s">
        <v>61</v>
      </c>
      <c r="C10" s="3">
        <v>25312</v>
      </c>
      <c r="D10" s="1" t="s">
        <v>62</v>
      </c>
      <c r="E10" s="1" t="s">
        <v>63</v>
      </c>
      <c r="F10" s="2" t="s">
        <v>60</v>
      </c>
      <c r="G10" s="2" t="s">
        <v>64</v>
      </c>
      <c r="H10" s="2" t="s">
        <v>43</v>
      </c>
      <c r="I10" s="2" t="s">
        <v>60</v>
      </c>
      <c r="J10" s="2" t="s">
        <v>65</v>
      </c>
      <c r="K10" s="2" t="s">
        <v>10</v>
      </c>
      <c r="L10" s="6"/>
    </row>
    <row r="11" spans="1:12" ht="27.6" hidden="1" x14ac:dyDescent="0.3">
      <c r="A11" s="2" t="s">
        <v>60</v>
      </c>
      <c r="B11" s="2" t="s">
        <v>66</v>
      </c>
      <c r="C11" s="3">
        <v>23566</v>
      </c>
      <c r="D11" s="1" t="s">
        <v>67</v>
      </c>
      <c r="E11" s="1" t="s">
        <v>68</v>
      </c>
      <c r="F11" s="2" t="s">
        <v>60</v>
      </c>
      <c r="G11" s="2" t="s">
        <v>69</v>
      </c>
      <c r="H11" s="2" t="s">
        <v>43</v>
      </c>
      <c r="I11" s="2" t="s">
        <v>60</v>
      </c>
      <c r="J11" s="2" t="s">
        <v>70</v>
      </c>
      <c r="K11" s="2" t="s">
        <v>10</v>
      </c>
      <c r="L11" s="6"/>
    </row>
    <row r="12" spans="1:12" ht="27.6" hidden="1" x14ac:dyDescent="0.3">
      <c r="A12" s="2" t="s">
        <v>60</v>
      </c>
      <c r="B12" s="2" t="s">
        <v>71</v>
      </c>
      <c r="C12" s="3">
        <v>25359</v>
      </c>
      <c r="D12" s="1" t="s">
        <v>72</v>
      </c>
      <c r="E12" s="1" t="s">
        <v>73</v>
      </c>
      <c r="F12" s="2" t="s">
        <v>74</v>
      </c>
      <c r="G12" s="2" t="s">
        <v>75</v>
      </c>
      <c r="H12" s="2" t="s">
        <v>10</v>
      </c>
      <c r="I12" s="2" t="s">
        <v>60</v>
      </c>
      <c r="J12" s="2" t="s">
        <v>76</v>
      </c>
      <c r="K12" s="2" t="s">
        <v>10</v>
      </c>
      <c r="L12" s="6"/>
    </row>
    <row r="13" spans="1:12" ht="27.6" hidden="1" x14ac:dyDescent="0.3">
      <c r="A13" s="2" t="s">
        <v>60</v>
      </c>
      <c r="B13" s="2" t="s">
        <v>77</v>
      </c>
      <c r="C13" s="3">
        <v>36687</v>
      </c>
      <c r="D13" s="1" t="s">
        <v>78</v>
      </c>
      <c r="E13" s="1" t="s">
        <v>79</v>
      </c>
      <c r="F13" s="2" t="s">
        <v>74</v>
      </c>
      <c r="G13" s="2" t="s">
        <v>80</v>
      </c>
      <c r="H13" s="2" t="s">
        <v>81</v>
      </c>
      <c r="I13" s="2" t="s">
        <v>60</v>
      </c>
      <c r="J13" s="2" t="s">
        <v>82</v>
      </c>
      <c r="K13" s="2" t="s">
        <v>10</v>
      </c>
      <c r="L13" s="6"/>
    </row>
    <row r="14" spans="1:12" ht="27.6" hidden="1" x14ac:dyDescent="0.3">
      <c r="A14" s="2" t="s">
        <v>60</v>
      </c>
      <c r="B14" s="2" t="s">
        <v>83</v>
      </c>
      <c r="C14" s="3">
        <v>33472</v>
      </c>
      <c r="D14" s="1" t="s">
        <v>84</v>
      </c>
      <c r="E14" s="1" t="s">
        <v>85</v>
      </c>
      <c r="F14" s="2" t="s">
        <v>74</v>
      </c>
      <c r="G14" s="2" t="s">
        <v>86</v>
      </c>
      <c r="H14" s="2" t="s">
        <v>10</v>
      </c>
      <c r="I14" s="2" t="s">
        <v>60</v>
      </c>
      <c r="J14" s="2" t="s">
        <v>87</v>
      </c>
      <c r="K14" s="2" t="s">
        <v>10</v>
      </c>
      <c r="L14" s="6"/>
    </row>
    <row r="15" spans="1:12" ht="27.6" hidden="1" x14ac:dyDescent="0.3">
      <c r="A15" s="2" t="s">
        <v>11</v>
      </c>
      <c r="B15" s="2" t="s">
        <v>88</v>
      </c>
      <c r="C15" s="3">
        <v>23804</v>
      </c>
      <c r="D15" s="1" t="s">
        <v>89</v>
      </c>
      <c r="E15" s="1" t="s">
        <v>90</v>
      </c>
      <c r="F15" s="2" t="s">
        <v>91</v>
      </c>
      <c r="G15" s="2" t="s">
        <v>92</v>
      </c>
      <c r="H15" s="2" t="s">
        <v>10</v>
      </c>
      <c r="I15" s="2" t="s">
        <v>11</v>
      </c>
      <c r="J15" s="2" t="s">
        <v>93</v>
      </c>
      <c r="K15" s="30" t="s">
        <v>13193</v>
      </c>
      <c r="L15" s="6" t="s">
        <v>13195</v>
      </c>
    </row>
    <row r="16" spans="1:12" ht="27.6" hidden="1" x14ac:dyDescent="0.3">
      <c r="A16" s="2" t="s">
        <v>11</v>
      </c>
      <c r="B16" s="2" t="s">
        <v>94</v>
      </c>
      <c r="C16" s="3">
        <v>34534</v>
      </c>
      <c r="D16" s="1" t="s">
        <v>95</v>
      </c>
      <c r="E16" s="1" t="s">
        <v>96</v>
      </c>
      <c r="F16" s="2" t="s">
        <v>16</v>
      </c>
      <c r="G16" s="2" t="s">
        <v>97</v>
      </c>
      <c r="H16" s="2" t="s">
        <v>43</v>
      </c>
      <c r="I16" s="2" t="s">
        <v>11</v>
      </c>
      <c r="J16" s="2" t="s">
        <v>98</v>
      </c>
      <c r="K16" s="30" t="s">
        <v>13193</v>
      </c>
      <c r="L16" s="29" t="s">
        <v>13195</v>
      </c>
    </row>
    <row r="17" spans="1:12" ht="27.6" hidden="1" x14ac:dyDescent="0.3">
      <c r="A17" s="2" t="s">
        <v>11</v>
      </c>
      <c r="B17" s="2" t="s">
        <v>99</v>
      </c>
      <c r="C17" s="3">
        <v>26029</v>
      </c>
      <c r="D17" s="1" t="s">
        <v>100</v>
      </c>
      <c r="E17" s="1" t="s">
        <v>101</v>
      </c>
      <c r="F17" s="2" t="s">
        <v>16</v>
      </c>
      <c r="G17" s="2" t="s">
        <v>102</v>
      </c>
      <c r="H17" s="2" t="s">
        <v>103</v>
      </c>
      <c r="I17" s="2" t="s">
        <v>11</v>
      </c>
      <c r="J17" s="2" t="s">
        <v>104</v>
      </c>
      <c r="K17" s="2" t="s">
        <v>10</v>
      </c>
      <c r="L17" s="6"/>
    </row>
    <row r="18" spans="1:12" ht="27.6" hidden="1" x14ac:dyDescent="0.3">
      <c r="A18" s="2" t="s">
        <v>11</v>
      </c>
      <c r="B18" s="2" t="s">
        <v>105</v>
      </c>
      <c r="C18" s="3">
        <v>26083</v>
      </c>
      <c r="D18" s="1" t="s">
        <v>106</v>
      </c>
      <c r="E18" s="1" t="s">
        <v>107</v>
      </c>
      <c r="F18" s="2" t="s">
        <v>42</v>
      </c>
      <c r="G18" s="2" t="s">
        <v>92</v>
      </c>
      <c r="H18" s="2" t="s">
        <v>10</v>
      </c>
      <c r="I18" s="2" t="s">
        <v>11</v>
      </c>
      <c r="J18" s="2" t="s">
        <v>108</v>
      </c>
      <c r="K18" s="2" t="s">
        <v>10</v>
      </c>
      <c r="L18" s="6"/>
    </row>
    <row r="19" spans="1:12" ht="27.6" hidden="1" x14ac:dyDescent="0.3">
      <c r="A19" s="2" t="s">
        <v>11</v>
      </c>
      <c r="B19" s="2" t="s">
        <v>109</v>
      </c>
      <c r="C19" s="3">
        <v>31320</v>
      </c>
      <c r="D19" s="1" t="s">
        <v>110</v>
      </c>
      <c r="E19" s="1" t="s">
        <v>111</v>
      </c>
      <c r="F19" s="2" t="s">
        <v>53</v>
      </c>
      <c r="G19" s="2" t="s">
        <v>112</v>
      </c>
      <c r="H19" s="2" t="s">
        <v>10</v>
      </c>
      <c r="I19" s="2" t="s">
        <v>11</v>
      </c>
      <c r="J19" s="2" t="s">
        <v>113</v>
      </c>
      <c r="K19" s="2" t="s">
        <v>10</v>
      </c>
      <c r="L19" s="6"/>
    </row>
    <row r="20" spans="1:12" ht="27.6" hidden="1" x14ac:dyDescent="0.3">
      <c r="A20" s="2" t="s">
        <v>11</v>
      </c>
      <c r="B20" s="2" t="s">
        <v>114</v>
      </c>
      <c r="C20" s="3">
        <v>34233</v>
      </c>
      <c r="D20" s="1" t="s">
        <v>115</v>
      </c>
      <c r="E20" s="1" t="s">
        <v>116</v>
      </c>
      <c r="F20" s="2" t="s">
        <v>53</v>
      </c>
      <c r="G20" s="2" t="s">
        <v>25</v>
      </c>
      <c r="H20" s="2" t="s">
        <v>10</v>
      </c>
      <c r="I20" s="2" t="s">
        <v>11</v>
      </c>
      <c r="J20" s="2" t="s">
        <v>117</v>
      </c>
      <c r="K20" s="15" t="s">
        <v>10</v>
      </c>
      <c r="L20" s="6"/>
    </row>
    <row r="21" spans="1:12" ht="27.6" hidden="1" x14ac:dyDescent="0.3">
      <c r="A21" s="2" t="s">
        <v>11</v>
      </c>
      <c r="B21" s="2" t="s">
        <v>88</v>
      </c>
      <c r="C21" s="3">
        <v>23804</v>
      </c>
      <c r="D21" s="1" t="s">
        <v>89</v>
      </c>
      <c r="E21" s="1" t="s">
        <v>90</v>
      </c>
      <c r="F21" s="2" t="s">
        <v>91</v>
      </c>
      <c r="G21" s="2" t="s">
        <v>12</v>
      </c>
      <c r="H21" s="2" t="s">
        <v>10</v>
      </c>
      <c r="I21" s="2" t="s">
        <v>11</v>
      </c>
      <c r="J21" s="2" t="s">
        <v>119</v>
      </c>
      <c r="K21" s="30" t="s">
        <v>13193</v>
      </c>
      <c r="L21" s="6" t="s">
        <v>13195</v>
      </c>
    </row>
    <row r="22" spans="1:12" ht="27.6" hidden="1" x14ac:dyDescent="0.3">
      <c r="A22" s="2" t="s">
        <v>60</v>
      </c>
      <c r="B22" s="2" t="s">
        <v>120</v>
      </c>
      <c r="C22" s="3">
        <v>22499</v>
      </c>
      <c r="D22" s="1" t="s">
        <v>121</v>
      </c>
      <c r="E22" s="1" t="s">
        <v>122</v>
      </c>
      <c r="F22" s="2" t="s">
        <v>123</v>
      </c>
      <c r="G22" s="2" t="s">
        <v>124</v>
      </c>
      <c r="H22" s="2" t="s">
        <v>10</v>
      </c>
      <c r="I22" s="2" t="s">
        <v>60</v>
      </c>
      <c r="J22" s="2" t="s">
        <v>125</v>
      </c>
      <c r="K22" s="18" t="s">
        <v>10</v>
      </c>
      <c r="L22" s="6"/>
    </row>
    <row r="23" spans="1:12" ht="27.6" hidden="1" x14ac:dyDescent="0.3">
      <c r="A23" s="2" t="s">
        <v>60</v>
      </c>
      <c r="B23" s="2" t="s">
        <v>126</v>
      </c>
      <c r="C23" s="3">
        <v>23570</v>
      </c>
      <c r="D23" s="1" t="s">
        <v>127</v>
      </c>
      <c r="E23" s="1" t="s">
        <v>128</v>
      </c>
      <c r="F23" s="2" t="s">
        <v>60</v>
      </c>
      <c r="G23" s="2" t="s">
        <v>129</v>
      </c>
      <c r="H23" s="2" t="s">
        <v>10</v>
      </c>
      <c r="I23" s="2" t="s">
        <v>60</v>
      </c>
      <c r="J23" s="2" t="s">
        <v>130</v>
      </c>
      <c r="K23" s="2" t="s">
        <v>10</v>
      </c>
      <c r="L23" s="6"/>
    </row>
    <row r="24" spans="1:12" ht="27.6" hidden="1" x14ac:dyDescent="0.3">
      <c r="A24" s="2" t="s">
        <v>60</v>
      </c>
      <c r="B24" s="2" t="s">
        <v>131</v>
      </c>
      <c r="C24" s="3">
        <v>27412</v>
      </c>
      <c r="D24" s="1" t="s">
        <v>132</v>
      </c>
      <c r="E24" s="1" t="s">
        <v>133</v>
      </c>
      <c r="F24" s="2" t="s">
        <v>60</v>
      </c>
      <c r="G24" s="2" t="s">
        <v>134</v>
      </c>
      <c r="H24" s="2" t="s">
        <v>10</v>
      </c>
      <c r="I24" s="2" t="s">
        <v>60</v>
      </c>
      <c r="J24" s="2" t="s">
        <v>135</v>
      </c>
      <c r="K24" s="2" t="s">
        <v>10</v>
      </c>
      <c r="L24" s="6"/>
    </row>
    <row r="25" spans="1:12" ht="27.6" hidden="1" x14ac:dyDescent="0.3">
      <c r="A25" s="2" t="s">
        <v>60</v>
      </c>
      <c r="B25" s="2" t="s">
        <v>131</v>
      </c>
      <c r="C25" s="3">
        <v>27412</v>
      </c>
      <c r="D25" s="1" t="s">
        <v>136</v>
      </c>
      <c r="E25" s="1" t="s">
        <v>133</v>
      </c>
      <c r="F25" s="2" t="s">
        <v>60</v>
      </c>
      <c r="G25" s="2" t="s">
        <v>137</v>
      </c>
      <c r="H25" s="2" t="s">
        <v>10</v>
      </c>
      <c r="I25" s="2" t="s">
        <v>60</v>
      </c>
      <c r="J25" s="2" t="s">
        <v>138</v>
      </c>
      <c r="K25" s="2" t="s">
        <v>10</v>
      </c>
      <c r="L25" s="6"/>
    </row>
    <row r="26" spans="1:12" ht="27.6" hidden="1" x14ac:dyDescent="0.3">
      <c r="A26" s="2" t="s">
        <v>60</v>
      </c>
      <c r="B26" s="2" t="s">
        <v>139</v>
      </c>
      <c r="C26" s="3">
        <v>29677</v>
      </c>
      <c r="D26" s="1" t="s">
        <v>140</v>
      </c>
      <c r="E26" s="1" t="s">
        <v>141</v>
      </c>
      <c r="F26" s="2" t="s">
        <v>142</v>
      </c>
      <c r="G26" s="2" t="s">
        <v>143</v>
      </c>
      <c r="H26" s="2" t="s">
        <v>103</v>
      </c>
      <c r="I26" s="2" t="s">
        <v>60</v>
      </c>
      <c r="J26" s="2" t="s">
        <v>144</v>
      </c>
      <c r="K26" s="2" t="s">
        <v>10</v>
      </c>
      <c r="L26" s="6"/>
    </row>
    <row r="27" spans="1:12" ht="27.6" hidden="1" x14ac:dyDescent="0.3">
      <c r="A27" s="2" t="s">
        <v>60</v>
      </c>
      <c r="B27" s="2" t="s">
        <v>145</v>
      </c>
      <c r="C27" s="3">
        <v>35421</v>
      </c>
      <c r="D27" s="1" t="s">
        <v>146</v>
      </c>
      <c r="E27" s="1" t="s">
        <v>147</v>
      </c>
      <c r="F27" s="2" t="s">
        <v>142</v>
      </c>
      <c r="G27" s="2" t="s">
        <v>143</v>
      </c>
      <c r="H27" s="2" t="s">
        <v>81</v>
      </c>
      <c r="I27" s="2" t="s">
        <v>60</v>
      </c>
      <c r="J27" s="2" t="s">
        <v>144</v>
      </c>
      <c r="K27" s="2" t="s">
        <v>10</v>
      </c>
      <c r="L27" s="6"/>
    </row>
    <row r="28" spans="1:12" ht="27.6" hidden="1" x14ac:dyDescent="0.3">
      <c r="A28" s="2" t="s">
        <v>60</v>
      </c>
      <c r="B28" s="2" t="s">
        <v>148</v>
      </c>
      <c r="C28" s="3">
        <v>30381</v>
      </c>
      <c r="D28" s="1" t="s">
        <v>149</v>
      </c>
      <c r="E28" s="1" t="s">
        <v>150</v>
      </c>
      <c r="F28" s="2" t="s">
        <v>151</v>
      </c>
      <c r="G28" s="2" t="s">
        <v>152</v>
      </c>
      <c r="H28" s="2" t="s">
        <v>10</v>
      </c>
      <c r="I28" s="2" t="s">
        <v>60</v>
      </c>
      <c r="J28" s="2" t="s">
        <v>153</v>
      </c>
      <c r="K28" s="2" t="s">
        <v>10</v>
      </c>
      <c r="L28" s="6"/>
    </row>
    <row r="29" spans="1:12" ht="27.6" hidden="1" x14ac:dyDescent="0.3">
      <c r="A29" s="2" t="s">
        <v>60</v>
      </c>
      <c r="B29" s="2" t="s">
        <v>154</v>
      </c>
      <c r="C29" s="3">
        <v>30233</v>
      </c>
      <c r="D29" s="1" t="s">
        <v>155</v>
      </c>
      <c r="E29" s="1" t="s">
        <v>156</v>
      </c>
      <c r="F29" s="2" t="s">
        <v>151</v>
      </c>
      <c r="G29" s="2" t="s">
        <v>157</v>
      </c>
      <c r="H29" s="2" t="s">
        <v>10</v>
      </c>
      <c r="I29" s="2" t="s">
        <v>60</v>
      </c>
      <c r="J29" s="2" t="s">
        <v>158</v>
      </c>
      <c r="K29" s="2" t="s">
        <v>10</v>
      </c>
      <c r="L29" s="6"/>
    </row>
    <row r="30" spans="1:12" ht="27.6" hidden="1" x14ac:dyDescent="0.3">
      <c r="A30" s="2" t="s">
        <v>60</v>
      </c>
      <c r="B30" s="2" t="s">
        <v>159</v>
      </c>
      <c r="C30" s="3">
        <v>29540</v>
      </c>
      <c r="D30" s="1" t="s">
        <v>160</v>
      </c>
      <c r="E30" s="1" t="s">
        <v>161</v>
      </c>
      <c r="F30" s="2" t="s">
        <v>60</v>
      </c>
      <c r="G30" s="2" t="s">
        <v>162</v>
      </c>
      <c r="H30" s="2" t="s">
        <v>10</v>
      </c>
      <c r="I30" s="2" t="s">
        <v>60</v>
      </c>
      <c r="J30" s="2" t="s">
        <v>163</v>
      </c>
      <c r="K30" s="2" t="s">
        <v>10</v>
      </c>
      <c r="L30" s="6"/>
    </row>
    <row r="31" spans="1:12" ht="27.6" hidden="1" x14ac:dyDescent="0.3">
      <c r="A31" s="2" t="s">
        <v>60</v>
      </c>
      <c r="B31" s="2" t="s">
        <v>164</v>
      </c>
      <c r="C31" s="3">
        <v>19739</v>
      </c>
      <c r="D31" s="1" t="s">
        <v>165</v>
      </c>
      <c r="E31" s="1" t="s">
        <v>166</v>
      </c>
      <c r="F31" s="2" t="s">
        <v>60</v>
      </c>
      <c r="G31" s="2" t="s">
        <v>167</v>
      </c>
      <c r="H31" s="2" t="s">
        <v>10</v>
      </c>
      <c r="I31" s="2" t="s">
        <v>60</v>
      </c>
      <c r="J31" s="2" t="s">
        <v>168</v>
      </c>
      <c r="K31" s="2" t="s">
        <v>10</v>
      </c>
      <c r="L31" s="6"/>
    </row>
    <row r="32" spans="1:12" ht="27.6" hidden="1" x14ac:dyDescent="0.3">
      <c r="A32" s="2" t="s">
        <v>60</v>
      </c>
      <c r="B32" s="2" t="s">
        <v>169</v>
      </c>
      <c r="C32" s="3">
        <v>36433</v>
      </c>
      <c r="D32" s="1" t="s">
        <v>170</v>
      </c>
      <c r="E32" s="1" t="s">
        <v>171</v>
      </c>
      <c r="F32" s="2" t="s">
        <v>172</v>
      </c>
      <c r="G32" s="2" t="s">
        <v>124</v>
      </c>
      <c r="H32" s="2" t="s">
        <v>10</v>
      </c>
      <c r="I32" s="2" t="s">
        <v>60</v>
      </c>
      <c r="J32" s="2" t="s">
        <v>173</v>
      </c>
      <c r="K32" s="2" t="s">
        <v>10</v>
      </c>
      <c r="L32" s="6"/>
    </row>
    <row r="33" spans="1:12" ht="27.6" hidden="1" x14ac:dyDescent="0.3">
      <c r="A33" s="2" t="s">
        <v>60</v>
      </c>
      <c r="B33" s="2" t="s">
        <v>174</v>
      </c>
      <c r="C33" s="3">
        <v>29088</v>
      </c>
      <c r="D33" s="1" t="s">
        <v>175</v>
      </c>
      <c r="E33" s="1" t="s">
        <v>176</v>
      </c>
      <c r="F33" s="2" t="s">
        <v>60</v>
      </c>
      <c r="G33" s="2" t="s">
        <v>177</v>
      </c>
      <c r="H33" s="2" t="s">
        <v>43</v>
      </c>
      <c r="I33" s="2" t="s">
        <v>60</v>
      </c>
      <c r="J33" s="2" t="s">
        <v>178</v>
      </c>
      <c r="K33" s="2" t="s">
        <v>10</v>
      </c>
      <c r="L33" s="6"/>
    </row>
    <row r="34" spans="1:12" hidden="1" x14ac:dyDescent="0.3">
      <c r="A34" s="2" t="s">
        <v>180</v>
      </c>
      <c r="B34" s="2" t="s">
        <v>181</v>
      </c>
      <c r="C34" s="3">
        <v>29630</v>
      </c>
      <c r="D34" s="1" t="s">
        <v>182</v>
      </c>
      <c r="E34" s="1" t="s">
        <v>183</v>
      </c>
      <c r="F34" s="2" t="s">
        <v>184</v>
      </c>
      <c r="G34" s="2" t="s">
        <v>92</v>
      </c>
      <c r="H34" s="2" t="s">
        <v>10</v>
      </c>
      <c r="I34" s="2" t="s">
        <v>180</v>
      </c>
      <c r="J34" s="2" t="s">
        <v>185</v>
      </c>
      <c r="K34" s="2" t="s">
        <v>10</v>
      </c>
      <c r="L34" s="6"/>
    </row>
    <row r="35" spans="1:12" hidden="1" x14ac:dyDescent="0.3">
      <c r="A35" s="2" t="s">
        <v>180</v>
      </c>
      <c r="B35" s="2" t="s">
        <v>186</v>
      </c>
      <c r="C35" s="3">
        <v>32196</v>
      </c>
      <c r="D35" s="1" t="s">
        <v>187</v>
      </c>
      <c r="E35" s="1" t="s">
        <v>188</v>
      </c>
      <c r="F35" s="2" t="s">
        <v>189</v>
      </c>
      <c r="G35" s="2" t="s">
        <v>190</v>
      </c>
      <c r="H35" s="2" t="s">
        <v>10</v>
      </c>
      <c r="I35" s="2" t="s">
        <v>180</v>
      </c>
      <c r="J35" s="2" t="s">
        <v>191</v>
      </c>
      <c r="K35" s="2" t="s">
        <v>10</v>
      </c>
      <c r="L35" s="6"/>
    </row>
    <row r="36" spans="1:12" hidden="1" x14ac:dyDescent="0.3">
      <c r="A36" s="2" t="s">
        <v>180</v>
      </c>
      <c r="B36" s="2" t="s">
        <v>192</v>
      </c>
      <c r="C36" s="3">
        <v>31117</v>
      </c>
      <c r="D36" s="1" t="s">
        <v>193</v>
      </c>
      <c r="E36" s="1" t="s">
        <v>194</v>
      </c>
      <c r="F36" s="2" t="s">
        <v>195</v>
      </c>
      <c r="G36" s="2" t="s">
        <v>196</v>
      </c>
      <c r="H36" s="2" t="s">
        <v>10</v>
      </c>
      <c r="I36" s="2" t="s">
        <v>180</v>
      </c>
      <c r="J36" s="2" t="s">
        <v>197</v>
      </c>
      <c r="K36" s="2" t="s">
        <v>10</v>
      </c>
      <c r="L36" s="6"/>
    </row>
    <row r="37" spans="1:12" hidden="1" x14ac:dyDescent="0.3">
      <c r="A37" s="2" t="s">
        <v>180</v>
      </c>
      <c r="B37" s="2" t="s">
        <v>198</v>
      </c>
      <c r="C37" s="3">
        <v>31526</v>
      </c>
      <c r="D37" s="1" t="s">
        <v>199</v>
      </c>
      <c r="E37" s="1" t="s">
        <v>200</v>
      </c>
      <c r="F37" s="2" t="s">
        <v>201</v>
      </c>
      <c r="G37" s="2" t="s">
        <v>152</v>
      </c>
      <c r="H37" s="2" t="s">
        <v>10</v>
      </c>
      <c r="I37" s="2" t="s">
        <v>180</v>
      </c>
      <c r="J37" s="2" t="s">
        <v>202</v>
      </c>
      <c r="K37" s="30" t="s">
        <v>13193</v>
      </c>
      <c r="L37" s="6"/>
    </row>
    <row r="38" spans="1:12" hidden="1" x14ac:dyDescent="0.3">
      <c r="A38" s="2" t="s">
        <v>180</v>
      </c>
      <c r="B38" s="2" t="s">
        <v>203</v>
      </c>
      <c r="C38" s="3">
        <v>28905</v>
      </c>
      <c r="D38" s="1" t="s">
        <v>204</v>
      </c>
      <c r="E38" s="1" t="s">
        <v>205</v>
      </c>
      <c r="F38" s="2" t="s">
        <v>195</v>
      </c>
      <c r="G38" s="2" t="s">
        <v>206</v>
      </c>
      <c r="H38" s="2" t="s">
        <v>10</v>
      </c>
      <c r="I38" s="2" t="s">
        <v>180</v>
      </c>
      <c r="J38" s="2" t="s">
        <v>207</v>
      </c>
      <c r="K38" s="2" t="s">
        <v>10</v>
      </c>
      <c r="L38" s="6"/>
    </row>
    <row r="39" spans="1:12" hidden="1" x14ac:dyDescent="0.3">
      <c r="A39" s="2" t="s">
        <v>180</v>
      </c>
      <c r="B39" s="2" t="s">
        <v>208</v>
      </c>
      <c r="C39" s="3">
        <v>37065</v>
      </c>
      <c r="D39" s="1" t="s">
        <v>209</v>
      </c>
      <c r="E39" s="1" t="s">
        <v>210</v>
      </c>
      <c r="F39" s="2" t="s">
        <v>195</v>
      </c>
      <c r="G39" s="2" t="s">
        <v>211</v>
      </c>
      <c r="H39" s="2" t="s">
        <v>10</v>
      </c>
      <c r="I39" s="2" t="s">
        <v>180</v>
      </c>
      <c r="J39" s="2" t="s">
        <v>212</v>
      </c>
      <c r="K39" s="2" t="s">
        <v>10</v>
      </c>
      <c r="L39" s="6"/>
    </row>
    <row r="40" spans="1:12" hidden="1" x14ac:dyDescent="0.3">
      <c r="A40" s="2" t="s">
        <v>180</v>
      </c>
      <c r="B40" s="2" t="s">
        <v>213</v>
      </c>
      <c r="C40" s="3">
        <v>31974</v>
      </c>
      <c r="D40" s="1" t="s">
        <v>214</v>
      </c>
      <c r="E40" s="1" t="s">
        <v>215</v>
      </c>
      <c r="F40" s="2" t="s">
        <v>216</v>
      </c>
      <c r="G40" s="2" t="s">
        <v>217</v>
      </c>
      <c r="H40" s="2" t="s">
        <v>10</v>
      </c>
      <c r="I40" s="2" t="s">
        <v>180</v>
      </c>
      <c r="J40" s="2" t="s">
        <v>218</v>
      </c>
      <c r="K40" s="2" t="s">
        <v>10</v>
      </c>
      <c r="L40" s="6"/>
    </row>
    <row r="41" spans="1:12" hidden="1" x14ac:dyDescent="0.3">
      <c r="A41" s="2" t="s">
        <v>180</v>
      </c>
      <c r="B41" s="2" t="s">
        <v>219</v>
      </c>
      <c r="C41" s="3">
        <v>31680</v>
      </c>
      <c r="D41" s="1" t="s">
        <v>220</v>
      </c>
      <c r="E41" s="1" t="s">
        <v>221</v>
      </c>
      <c r="F41" s="2" t="s">
        <v>216</v>
      </c>
      <c r="G41" s="2" t="s">
        <v>222</v>
      </c>
      <c r="H41" s="2" t="s">
        <v>10</v>
      </c>
      <c r="I41" s="2" t="s">
        <v>180</v>
      </c>
      <c r="J41" s="2" t="s">
        <v>223</v>
      </c>
      <c r="K41" s="2" t="s">
        <v>10</v>
      </c>
      <c r="L41" s="6"/>
    </row>
    <row r="42" spans="1:12" hidden="1" x14ac:dyDescent="0.3">
      <c r="A42" s="2" t="s">
        <v>180</v>
      </c>
      <c r="B42" s="2" t="s">
        <v>224</v>
      </c>
      <c r="C42" s="3">
        <v>31218</v>
      </c>
      <c r="D42" s="1" t="s">
        <v>225</v>
      </c>
      <c r="E42" s="1" t="s">
        <v>226</v>
      </c>
      <c r="F42" s="2" t="s">
        <v>216</v>
      </c>
      <c r="G42" s="2" t="s">
        <v>86</v>
      </c>
      <c r="H42" s="2" t="s">
        <v>10</v>
      </c>
      <c r="I42" s="2" t="s">
        <v>180</v>
      </c>
      <c r="J42" s="2" t="s">
        <v>87</v>
      </c>
      <c r="K42" s="2" t="s">
        <v>10</v>
      </c>
      <c r="L42" s="6"/>
    </row>
    <row r="43" spans="1:12" hidden="1" x14ac:dyDescent="0.3">
      <c r="A43" s="2" t="s">
        <v>180</v>
      </c>
      <c r="B43" s="2" t="s">
        <v>227</v>
      </c>
      <c r="C43" s="3">
        <v>31168</v>
      </c>
      <c r="D43" s="1" t="s">
        <v>228</v>
      </c>
      <c r="E43" s="1" t="s">
        <v>229</v>
      </c>
      <c r="F43" s="2" t="s">
        <v>216</v>
      </c>
      <c r="G43" s="2" t="s">
        <v>230</v>
      </c>
      <c r="H43" s="2" t="s">
        <v>10</v>
      </c>
      <c r="I43" s="2" t="s">
        <v>180</v>
      </c>
      <c r="J43" s="2" t="s">
        <v>231</v>
      </c>
      <c r="K43" s="2" t="s">
        <v>232</v>
      </c>
      <c r="L43" s="6"/>
    </row>
    <row r="44" spans="1:12" hidden="1" x14ac:dyDescent="0.3">
      <c r="A44" s="2" t="s">
        <v>180</v>
      </c>
      <c r="B44" s="2" t="s">
        <v>233</v>
      </c>
      <c r="C44" s="3">
        <v>33632</v>
      </c>
      <c r="D44" s="1" t="s">
        <v>234</v>
      </c>
      <c r="E44" s="1" t="s">
        <v>235</v>
      </c>
      <c r="F44" s="2" t="s">
        <v>236</v>
      </c>
      <c r="G44" s="2" t="s">
        <v>143</v>
      </c>
      <c r="H44" s="2" t="s">
        <v>26</v>
      </c>
      <c r="I44" s="2" t="s">
        <v>180</v>
      </c>
      <c r="J44" s="2" t="s">
        <v>144</v>
      </c>
      <c r="K44" s="2" t="s">
        <v>232</v>
      </c>
      <c r="L44" s="6"/>
    </row>
    <row r="45" spans="1:12" ht="27.6" hidden="1" x14ac:dyDescent="0.3">
      <c r="A45" s="2" t="s">
        <v>180</v>
      </c>
      <c r="B45" s="2" t="s">
        <v>237</v>
      </c>
      <c r="C45" s="3">
        <v>32292</v>
      </c>
      <c r="D45" s="1" t="s">
        <v>238</v>
      </c>
      <c r="E45" s="1" t="s">
        <v>239</v>
      </c>
      <c r="F45" s="2" t="s">
        <v>240</v>
      </c>
      <c r="G45" s="2" t="s">
        <v>143</v>
      </c>
      <c r="H45" s="2" t="s">
        <v>10</v>
      </c>
      <c r="I45" s="2" t="s">
        <v>180</v>
      </c>
      <c r="J45" s="2" t="s">
        <v>144</v>
      </c>
      <c r="K45" s="2" t="s">
        <v>241</v>
      </c>
      <c r="L45" s="6"/>
    </row>
    <row r="46" spans="1:12" hidden="1" x14ac:dyDescent="0.3">
      <c r="A46" s="2" t="s">
        <v>180</v>
      </c>
      <c r="B46" s="2" t="s">
        <v>242</v>
      </c>
      <c r="C46" s="3">
        <v>23025</v>
      </c>
      <c r="D46" s="1" t="s">
        <v>243</v>
      </c>
      <c r="E46" s="1" t="s">
        <v>244</v>
      </c>
      <c r="F46" s="2" t="s">
        <v>195</v>
      </c>
      <c r="G46" s="2" t="s">
        <v>245</v>
      </c>
      <c r="H46" s="2" t="s">
        <v>246</v>
      </c>
      <c r="I46" s="2" t="s">
        <v>180</v>
      </c>
      <c r="J46" s="2" t="s">
        <v>247</v>
      </c>
      <c r="K46" s="2" t="s">
        <v>248</v>
      </c>
      <c r="L46" s="6"/>
    </row>
    <row r="47" spans="1:12" hidden="1" x14ac:dyDescent="0.3">
      <c r="A47" s="2" t="s">
        <v>180</v>
      </c>
      <c r="B47" s="2" t="s">
        <v>249</v>
      </c>
      <c r="C47" s="3">
        <v>36744</v>
      </c>
      <c r="D47" s="1" t="s">
        <v>250</v>
      </c>
      <c r="E47" s="1" t="s">
        <v>251</v>
      </c>
      <c r="F47" s="2" t="s">
        <v>195</v>
      </c>
      <c r="G47" s="2" t="s">
        <v>245</v>
      </c>
      <c r="H47" s="2" t="s">
        <v>252</v>
      </c>
      <c r="I47" s="2" t="s">
        <v>180</v>
      </c>
      <c r="J47" s="2" t="s">
        <v>247</v>
      </c>
      <c r="K47" s="2" t="s">
        <v>253</v>
      </c>
      <c r="L47" s="6"/>
    </row>
    <row r="48" spans="1:12" ht="27.6" hidden="1" x14ac:dyDescent="0.3">
      <c r="A48" s="2" t="s">
        <v>60</v>
      </c>
      <c r="B48" s="2" t="s">
        <v>254</v>
      </c>
      <c r="C48" s="3">
        <v>26100</v>
      </c>
      <c r="D48" s="1" t="s">
        <v>255</v>
      </c>
      <c r="E48" s="1" t="s">
        <v>256</v>
      </c>
      <c r="F48" s="2" t="s">
        <v>257</v>
      </c>
      <c r="G48" s="2" t="s">
        <v>258</v>
      </c>
      <c r="H48" s="2" t="s">
        <v>103</v>
      </c>
      <c r="I48" s="2" t="s">
        <v>60</v>
      </c>
      <c r="J48" s="2" t="s">
        <v>259</v>
      </c>
      <c r="K48" s="2" t="s">
        <v>10</v>
      </c>
      <c r="L48" s="6"/>
    </row>
    <row r="49" spans="1:12" ht="27.6" hidden="1" x14ac:dyDescent="0.3">
      <c r="A49" s="2" t="s">
        <v>60</v>
      </c>
      <c r="B49" s="2" t="s">
        <v>260</v>
      </c>
      <c r="C49" s="3">
        <v>31679</v>
      </c>
      <c r="D49" s="1" t="s">
        <v>261</v>
      </c>
      <c r="E49" s="1" t="s">
        <v>262</v>
      </c>
      <c r="F49" s="2" t="s">
        <v>257</v>
      </c>
      <c r="G49" s="2" t="s">
        <v>258</v>
      </c>
      <c r="H49" s="2" t="s">
        <v>81</v>
      </c>
      <c r="I49" s="2" t="s">
        <v>60</v>
      </c>
      <c r="J49" s="2" t="s">
        <v>259</v>
      </c>
      <c r="K49" s="2" t="s">
        <v>10</v>
      </c>
      <c r="L49" s="6"/>
    </row>
    <row r="50" spans="1:12" ht="27.6" hidden="1" x14ac:dyDescent="0.3">
      <c r="A50" s="2" t="s">
        <v>60</v>
      </c>
      <c r="B50" s="2" t="s">
        <v>263</v>
      </c>
      <c r="C50" s="3">
        <v>18746</v>
      </c>
      <c r="D50" s="1" t="s">
        <v>264</v>
      </c>
      <c r="E50" s="1" t="s">
        <v>265</v>
      </c>
      <c r="F50" s="2" t="s">
        <v>257</v>
      </c>
      <c r="G50" s="2" t="s">
        <v>124</v>
      </c>
      <c r="H50" s="2" t="s">
        <v>10</v>
      </c>
      <c r="I50" s="2" t="s">
        <v>60</v>
      </c>
      <c r="J50" s="2" t="s">
        <v>173</v>
      </c>
      <c r="K50" s="2" t="s">
        <v>10</v>
      </c>
      <c r="L50" s="6"/>
    </row>
    <row r="51" spans="1:12" ht="27.6" hidden="1" x14ac:dyDescent="0.3">
      <c r="A51" s="2" t="s">
        <v>60</v>
      </c>
      <c r="B51" s="2" t="s">
        <v>266</v>
      </c>
      <c r="C51" s="3">
        <v>28749</v>
      </c>
      <c r="D51" s="1" t="s">
        <v>267</v>
      </c>
      <c r="E51" s="1" t="s">
        <v>268</v>
      </c>
      <c r="F51" s="2" t="s">
        <v>269</v>
      </c>
      <c r="G51" s="2" t="s">
        <v>230</v>
      </c>
      <c r="H51" s="2" t="s">
        <v>10</v>
      </c>
      <c r="I51" s="2" t="s">
        <v>60</v>
      </c>
      <c r="J51" s="2" t="s">
        <v>270</v>
      </c>
      <c r="K51" s="2" t="s">
        <v>10</v>
      </c>
      <c r="L51" s="6"/>
    </row>
    <row r="52" spans="1:12" ht="27.6" hidden="1" x14ac:dyDescent="0.3">
      <c r="A52" s="2" t="s">
        <v>60</v>
      </c>
      <c r="B52" s="2" t="s">
        <v>271</v>
      </c>
      <c r="C52" s="3">
        <v>37142</v>
      </c>
      <c r="D52" s="1" t="s">
        <v>272</v>
      </c>
      <c r="E52" s="1" t="s">
        <v>273</v>
      </c>
      <c r="F52" s="2" t="s">
        <v>274</v>
      </c>
      <c r="G52" s="2" t="s">
        <v>211</v>
      </c>
      <c r="H52" s="2" t="s">
        <v>81</v>
      </c>
      <c r="I52" s="2" t="s">
        <v>60</v>
      </c>
      <c r="J52" s="2" t="s">
        <v>212</v>
      </c>
      <c r="K52" s="2" t="s">
        <v>10</v>
      </c>
      <c r="L52" s="6"/>
    </row>
    <row r="53" spans="1:12" ht="27.6" hidden="1" x14ac:dyDescent="0.3">
      <c r="A53" s="2" t="s">
        <v>60</v>
      </c>
      <c r="B53" s="2" t="s">
        <v>275</v>
      </c>
      <c r="C53" s="3">
        <v>34224</v>
      </c>
      <c r="D53" s="1" t="s">
        <v>276</v>
      </c>
      <c r="E53" s="1" t="s">
        <v>277</v>
      </c>
      <c r="F53" s="2" t="s">
        <v>60</v>
      </c>
      <c r="G53" s="2" t="s">
        <v>278</v>
      </c>
      <c r="H53" s="2" t="s">
        <v>10</v>
      </c>
      <c r="I53" s="2" t="s">
        <v>60</v>
      </c>
      <c r="J53" s="2" t="s">
        <v>279</v>
      </c>
      <c r="K53" s="2" t="s">
        <v>10</v>
      </c>
      <c r="L53" s="6"/>
    </row>
    <row r="54" spans="1:12" ht="27.6" hidden="1" x14ac:dyDescent="0.3">
      <c r="A54" s="2" t="s">
        <v>60</v>
      </c>
      <c r="B54" s="2" t="s">
        <v>280</v>
      </c>
      <c r="C54" s="3">
        <v>33214</v>
      </c>
      <c r="D54" s="1" t="s">
        <v>281</v>
      </c>
      <c r="E54" s="1" t="s">
        <v>282</v>
      </c>
      <c r="F54" s="2" t="s">
        <v>257</v>
      </c>
      <c r="G54" s="2" t="s">
        <v>283</v>
      </c>
      <c r="H54" s="2" t="s">
        <v>10</v>
      </c>
      <c r="I54" s="2" t="s">
        <v>60</v>
      </c>
      <c r="J54" s="2" t="s">
        <v>284</v>
      </c>
      <c r="K54" s="2" t="s">
        <v>10</v>
      </c>
      <c r="L54" s="6"/>
    </row>
    <row r="55" spans="1:12" ht="27.6" hidden="1" x14ac:dyDescent="0.3">
      <c r="A55" s="2" t="s">
        <v>60</v>
      </c>
      <c r="B55" s="2" t="s">
        <v>285</v>
      </c>
      <c r="C55" s="3">
        <v>31470</v>
      </c>
      <c r="D55" s="1" t="s">
        <v>286</v>
      </c>
      <c r="E55" s="1" t="s">
        <v>287</v>
      </c>
      <c r="F55" s="2" t="s">
        <v>257</v>
      </c>
      <c r="G55" s="2" t="s">
        <v>288</v>
      </c>
      <c r="H55" s="2" t="s">
        <v>10</v>
      </c>
      <c r="I55" s="2" t="s">
        <v>60</v>
      </c>
      <c r="J55" s="2" t="s">
        <v>289</v>
      </c>
      <c r="K55" s="2" t="s">
        <v>10</v>
      </c>
      <c r="L55" s="6"/>
    </row>
    <row r="56" spans="1:12" ht="27.6" hidden="1" x14ac:dyDescent="0.3">
      <c r="A56" s="2" t="s">
        <v>60</v>
      </c>
      <c r="B56" s="2" t="s">
        <v>290</v>
      </c>
      <c r="C56" s="3">
        <v>23706</v>
      </c>
      <c r="D56" s="1" t="s">
        <v>95</v>
      </c>
      <c r="E56" s="1" t="s">
        <v>291</v>
      </c>
      <c r="F56" s="2" t="s">
        <v>257</v>
      </c>
      <c r="G56" s="2" t="s">
        <v>292</v>
      </c>
      <c r="H56" s="2" t="s">
        <v>10</v>
      </c>
      <c r="I56" s="2" t="s">
        <v>60</v>
      </c>
      <c r="J56" s="2" t="s">
        <v>293</v>
      </c>
      <c r="K56" s="2" t="s">
        <v>10</v>
      </c>
      <c r="L56" s="6"/>
    </row>
    <row r="57" spans="1:12" ht="27.6" hidden="1" x14ac:dyDescent="0.3">
      <c r="A57" s="2" t="s">
        <v>60</v>
      </c>
      <c r="B57" s="2" t="s">
        <v>294</v>
      </c>
      <c r="C57" s="3">
        <v>33374</v>
      </c>
      <c r="D57" s="1" t="s">
        <v>295</v>
      </c>
      <c r="E57" s="1" t="s">
        <v>296</v>
      </c>
      <c r="F57" s="2" t="s">
        <v>297</v>
      </c>
      <c r="G57" s="2" t="s">
        <v>152</v>
      </c>
      <c r="H57" s="2" t="s">
        <v>10</v>
      </c>
      <c r="I57" s="2" t="s">
        <v>60</v>
      </c>
      <c r="J57" s="2" t="s">
        <v>153</v>
      </c>
      <c r="K57" s="2" t="s">
        <v>10</v>
      </c>
      <c r="L57" s="6"/>
    </row>
    <row r="58" spans="1:12" ht="27.6" hidden="1" x14ac:dyDescent="0.3">
      <c r="A58" s="2" t="s">
        <v>60</v>
      </c>
      <c r="B58" s="2" t="s">
        <v>298</v>
      </c>
      <c r="C58" s="3">
        <v>16594</v>
      </c>
      <c r="D58" s="1" t="s">
        <v>299</v>
      </c>
      <c r="E58" s="1" t="s">
        <v>300</v>
      </c>
      <c r="F58" s="2" t="s">
        <v>301</v>
      </c>
      <c r="G58" s="2" t="s">
        <v>124</v>
      </c>
      <c r="H58" s="2" t="s">
        <v>10</v>
      </c>
      <c r="I58" s="2" t="s">
        <v>60</v>
      </c>
      <c r="J58" s="2" t="s">
        <v>173</v>
      </c>
      <c r="K58" s="2" t="s">
        <v>10</v>
      </c>
      <c r="L58" s="6"/>
    </row>
    <row r="59" spans="1:12" ht="27.6" hidden="1" x14ac:dyDescent="0.3">
      <c r="A59" s="2" t="s">
        <v>60</v>
      </c>
      <c r="B59" s="2" t="s">
        <v>302</v>
      </c>
      <c r="C59" s="3">
        <v>29468</v>
      </c>
      <c r="D59" s="1" t="s">
        <v>303</v>
      </c>
      <c r="E59" s="1" t="s">
        <v>304</v>
      </c>
      <c r="F59" s="2" t="s">
        <v>123</v>
      </c>
      <c r="G59" s="2" t="s">
        <v>25</v>
      </c>
      <c r="H59" s="2" t="s">
        <v>10</v>
      </c>
      <c r="I59" s="2" t="s">
        <v>60</v>
      </c>
      <c r="J59" s="2" t="s">
        <v>305</v>
      </c>
      <c r="K59" s="2" t="s">
        <v>10</v>
      </c>
      <c r="L59" s="6"/>
    </row>
    <row r="60" spans="1:12" ht="27.6" hidden="1" x14ac:dyDescent="0.3">
      <c r="A60" s="2" t="s">
        <v>11</v>
      </c>
      <c r="B60" s="2" t="s">
        <v>306</v>
      </c>
      <c r="C60" s="3">
        <v>24182</v>
      </c>
      <c r="D60" s="1" t="s">
        <v>307</v>
      </c>
      <c r="E60" s="1" t="s">
        <v>308</v>
      </c>
      <c r="F60" s="2" t="s">
        <v>16</v>
      </c>
      <c r="G60" s="2" t="s">
        <v>309</v>
      </c>
      <c r="H60" s="2" t="s">
        <v>10</v>
      </c>
      <c r="I60" s="2" t="s">
        <v>11</v>
      </c>
      <c r="J60" s="2" t="s">
        <v>310</v>
      </c>
      <c r="K60" s="2" t="s">
        <v>10</v>
      </c>
      <c r="L60" s="6"/>
    </row>
    <row r="61" spans="1:12" ht="27.6" hidden="1" x14ac:dyDescent="0.3">
      <c r="A61" s="2" t="s">
        <v>60</v>
      </c>
      <c r="B61" s="2" t="s">
        <v>311</v>
      </c>
      <c r="C61" s="3">
        <v>25691</v>
      </c>
      <c r="D61" s="1" t="s">
        <v>312</v>
      </c>
      <c r="E61" s="1" t="s">
        <v>313</v>
      </c>
      <c r="F61" s="2" t="s">
        <v>314</v>
      </c>
      <c r="G61" s="2" t="s">
        <v>112</v>
      </c>
      <c r="H61" s="2" t="s">
        <v>10</v>
      </c>
      <c r="I61" s="2" t="s">
        <v>60</v>
      </c>
      <c r="J61" s="2" t="s">
        <v>315</v>
      </c>
      <c r="K61" s="2" t="s">
        <v>10</v>
      </c>
      <c r="L61" s="6"/>
    </row>
    <row r="62" spans="1:12" ht="27.6" hidden="1" x14ac:dyDescent="0.3">
      <c r="A62" s="2" t="s">
        <v>60</v>
      </c>
      <c r="B62" s="2" t="s">
        <v>316</v>
      </c>
      <c r="C62" s="3">
        <v>23334</v>
      </c>
      <c r="D62" s="1" t="s">
        <v>317</v>
      </c>
      <c r="E62" s="1" t="s">
        <v>318</v>
      </c>
      <c r="F62" s="2" t="s">
        <v>314</v>
      </c>
      <c r="G62" s="2" t="s">
        <v>319</v>
      </c>
      <c r="H62" s="2" t="s">
        <v>10</v>
      </c>
      <c r="I62" s="2" t="s">
        <v>60</v>
      </c>
      <c r="J62" s="2" t="s">
        <v>320</v>
      </c>
      <c r="K62" s="15" t="s">
        <v>10</v>
      </c>
      <c r="L62" s="6"/>
    </row>
    <row r="63" spans="1:12" ht="27.6" hidden="1" x14ac:dyDescent="0.3">
      <c r="A63" s="2" t="s">
        <v>11</v>
      </c>
      <c r="B63" s="2" t="s">
        <v>321</v>
      </c>
      <c r="C63" s="3">
        <v>27757</v>
      </c>
      <c r="D63" s="1" t="s">
        <v>322</v>
      </c>
      <c r="E63" s="1" t="s">
        <v>323</v>
      </c>
      <c r="F63" s="2" t="s">
        <v>91</v>
      </c>
      <c r="G63" s="2" t="s">
        <v>143</v>
      </c>
      <c r="H63" s="2" t="s">
        <v>10</v>
      </c>
      <c r="I63" s="2" t="s">
        <v>11</v>
      </c>
      <c r="J63" s="2" t="s">
        <v>324</v>
      </c>
      <c r="K63" s="30" t="s">
        <v>13193</v>
      </c>
      <c r="L63" s="6" t="s">
        <v>13195</v>
      </c>
    </row>
    <row r="64" spans="1:12" ht="27.6" hidden="1" x14ac:dyDescent="0.3">
      <c r="A64" s="2" t="s">
        <v>60</v>
      </c>
      <c r="B64" s="2" t="s">
        <v>325</v>
      </c>
      <c r="C64" s="3">
        <v>38526</v>
      </c>
      <c r="D64" s="1" t="s">
        <v>326</v>
      </c>
      <c r="E64" s="1" t="s">
        <v>327</v>
      </c>
      <c r="F64" s="2" t="s">
        <v>269</v>
      </c>
      <c r="G64" s="2" t="s">
        <v>328</v>
      </c>
      <c r="H64" s="2" t="s">
        <v>10</v>
      </c>
      <c r="I64" s="2" t="s">
        <v>60</v>
      </c>
      <c r="J64" s="2" t="s">
        <v>329</v>
      </c>
      <c r="K64" s="18" t="s">
        <v>10</v>
      </c>
      <c r="L64" s="6"/>
    </row>
    <row r="65" spans="1:12" ht="27.6" hidden="1" x14ac:dyDescent="0.3">
      <c r="A65" s="2" t="s">
        <v>60</v>
      </c>
      <c r="B65" s="2" t="s">
        <v>330</v>
      </c>
      <c r="C65" s="3">
        <v>35096</v>
      </c>
      <c r="D65" s="1" t="s">
        <v>331</v>
      </c>
      <c r="E65" s="1" t="s">
        <v>332</v>
      </c>
      <c r="F65" s="2" t="s">
        <v>274</v>
      </c>
      <c r="G65" s="2" t="s">
        <v>333</v>
      </c>
      <c r="H65" s="2" t="s">
        <v>334</v>
      </c>
      <c r="I65" s="2" t="s">
        <v>60</v>
      </c>
      <c r="J65" s="2" t="s">
        <v>335</v>
      </c>
      <c r="K65" s="2" t="s">
        <v>10</v>
      </c>
      <c r="L65" s="6"/>
    </row>
    <row r="66" spans="1:12" ht="27.6" hidden="1" x14ac:dyDescent="0.3">
      <c r="A66" s="2" t="s">
        <v>60</v>
      </c>
      <c r="B66" s="2" t="s">
        <v>336</v>
      </c>
      <c r="C66" s="3">
        <v>31449</v>
      </c>
      <c r="D66" s="1" t="s">
        <v>337</v>
      </c>
      <c r="E66" s="1" t="s">
        <v>338</v>
      </c>
      <c r="F66" s="2" t="s">
        <v>274</v>
      </c>
      <c r="G66" s="2" t="s">
        <v>211</v>
      </c>
      <c r="H66" s="2" t="s">
        <v>10</v>
      </c>
      <c r="I66" s="2" t="s">
        <v>60</v>
      </c>
      <c r="J66" s="2" t="s">
        <v>212</v>
      </c>
      <c r="K66" s="2" t="s">
        <v>10</v>
      </c>
      <c r="L66" s="6"/>
    </row>
    <row r="67" spans="1:12" ht="27.6" hidden="1" x14ac:dyDescent="0.3">
      <c r="A67" s="2" t="s">
        <v>60</v>
      </c>
      <c r="B67" s="2" t="s">
        <v>339</v>
      </c>
      <c r="C67" s="3">
        <v>32147</v>
      </c>
      <c r="D67" s="1" t="s">
        <v>340</v>
      </c>
      <c r="E67" s="1" t="s">
        <v>341</v>
      </c>
      <c r="F67" s="2" t="s">
        <v>257</v>
      </c>
      <c r="G67" s="2" t="s">
        <v>342</v>
      </c>
      <c r="H67" s="2" t="s">
        <v>10</v>
      </c>
      <c r="I67" s="2" t="s">
        <v>60</v>
      </c>
      <c r="J67" s="2" t="s">
        <v>343</v>
      </c>
      <c r="K67" s="2" t="s">
        <v>10</v>
      </c>
      <c r="L67" s="6"/>
    </row>
    <row r="68" spans="1:12" ht="27.6" hidden="1" x14ac:dyDescent="0.3">
      <c r="A68" s="2" t="s">
        <v>60</v>
      </c>
      <c r="B68" s="2" t="s">
        <v>344</v>
      </c>
      <c r="C68" s="3">
        <v>31904</v>
      </c>
      <c r="D68" s="1" t="s">
        <v>345</v>
      </c>
      <c r="E68" s="1" t="s">
        <v>346</v>
      </c>
      <c r="F68" s="2" t="s">
        <v>74</v>
      </c>
      <c r="G68" s="2" t="s">
        <v>258</v>
      </c>
      <c r="H68" s="2" t="s">
        <v>10</v>
      </c>
      <c r="I68" s="2" t="s">
        <v>60</v>
      </c>
      <c r="J68" s="2" t="s">
        <v>259</v>
      </c>
      <c r="K68" s="2" t="s">
        <v>10</v>
      </c>
      <c r="L68" s="6"/>
    </row>
    <row r="69" spans="1:12" ht="27.6" hidden="1" x14ac:dyDescent="0.3">
      <c r="A69" s="2" t="s">
        <v>60</v>
      </c>
      <c r="B69" s="2" t="s">
        <v>347</v>
      </c>
      <c r="C69" s="3">
        <v>26304</v>
      </c>
      <c r="D69" s="1" t="s">
        <v>348</v>
      </c>
      <c r="E69" s="1" t="s">
        <v>349</v>
      </c>
      <c r="F69" s="2" t="s">
        <v>274</v>
      </c>
      <c r="G69" s="2" t="s">
        <v>350</v>
      </c>
      <c r="H69" s="2" t="s">
        <v>10</v>
      </c>
      <c r="I69" s="2" t="s">
        <v>60</v>
      </c>
      <c r="J69" s="2" t="s">
        <v>351</v>
      </c>
      <c r="K69" s="15" t="s">
        <v>10</v>
      </c>
      <c r="L69" s="6"/>
    </row>
    <row r="70" spans="1:12" ht="27.6" hidden="1" x14ac:dyDescent="0.3">
      <c r="A70" s="2" t="s">
        <v>11</v>
      </c>
      <c r="B70" s="2" t="s">
        <v>352</v>
      </c>
      <c r="C70" s="3">
        <v>33202</v>
      </c>
      <c r="D70" s="1" t="s">
        <v>29</v>
      </c>
      <c r="E70" s="1" t="s">
        <v>353</v>
      </c>
      <c r="F70" s="2" t="s">
        <v>91</v>
      </c>
      <c r="G70" s="2" t="s">
        <v>48</v>
      </c>
      <c r="H70" s="2" t="s">
        <v>354</v>
      </c>
      <c r="I70" s="2" t="s">
        <v>11</v>
      </c>
      <c r="J70" s="2" t="s">
        <v>49</v>
      </c>
      <c r="K70" s="30" t="s">
        <v>13193</v>
      </c>
      <c r="L70" s="6" t="s">
        <v>13195</v>
      </c>
    </row>
    <row r="71" spans="1:12" ht="27.6" hidden="1" x14ac:dyDescent="0.3">
      <c r="A71" s="2" t="s">
        <v>11</v>
      </c>
      <c r="B71" s="2" t="s">
        <v>355</v>
      </c>
      <c r="C71" s="3">
        <v>25814</v>
      </c>
      <c r="D71" s="1" t="s">
        <v>356</v>
      </c>
      <c r="E71" s="1" t="s">
        <v>357</v>
      </c>
      <c r="F71" s="2" t="s">
        <v>358</v>
      </c>
      <c r="G71" s="2" t="s">
        <v>92</v>
      </c>
      <c r="H71" s="2" t="s">
        <v>10</v>
      </c>
      <c r="I71" s="2" t="s">
        <v>11</v>
      </c>
      <c r="J71" s="2" t="s">
        <v>93</v>
      </c>
      <c r="K71" s="38" t="s">
        <v>13193</v>
      </c>
      <c r="L71" s="26" t="s">
        <v>13195</v>
      </c>
    </row>
    <row r="72" spans="1:12" ht="27.6" hidden="1" x14ac:dyDescent="0.3">
      <c r="A72" s="2" t="s">
        <v>11</v>
      </c>
      <c r="B72" s="2" t="s">
        <v>359</v>
      </c>
      <c r="C72" s="3">
        <v>28535</v>
      </c>
      <c r="D72" s="1" t="s">
        <v>360</v>
      </c>
      <c r="E72" s="1" t="s">
        <v>361</v>
      </c>
      <c r="F72" s="2" t="s">
        <v>358</v>
      </c>
      <c r="G72" s="2" t="s">
        <v>25</v>
      </c>
      <c r="H72" s="2" t="s">
        <v>10</v>
      </c>
      <c r="I72" s="2" t="s">
        <v>11</v>
      </c>
      <c r="J72" s="2" t="s">
        <v>27</v>
      </c>
      <c r="K72" s="30" t="s">
        <v>13193</v>
      </c>
      <c r="L72" s="6" t="s">
        <v>13195</v>
      </c>
    </row>
    <row r="73" spans="1:12" ht="27.6" hidden="1" x14ac:dyDescent="0.3">
      <c r="A73" s="2" t="s">
        <v>11</v>
      </c>
      <c r="B73" s="2" t="s">
        <v>362</v>
      </c>
      <c r="C73" s="3">
        <v>27438</v>
      </c>
      <c r="D73" s="1" t="s">
        <v>363</v>
      </c>
      <c r="E73" s="1" t="s">
        <v>364</v>
      </c>
      <c r="F73" s="2" t="s">
        <v>365</v>
      </c>
      <c r="G73" s="2" t="s">
        <v>366</v>
      </c>
      <c r="H73" s="2" t="s">
        <v>43</v>
      </c>
      <c r="I73" s="2" t="s">
        <v>11</v>
      </c>
      <c r="J73" s="2" t="s">
        <v>367</v>
      </c>
      <c r="K73" s="29" t="s">
        <v>13193</v>
      </c>
      <c r="L73" s="6" t="s">
        <v>13195</v>
      </c>
    </row>
    <row r="74" spans="1:12" ht="27.6" hidden="1" x14ac:dyDescent="0.3">
      <c r="A74" s="2" t="s">
        <v>11</v>
      </c>
      <c r="B74" s="2" t="s">
        <v>368</v>
      </c>
      <c r="C74" s="3">
        <v>27673</v>
      </c>
      <c r="D74" s="1" t="s">
        <v>369</v>
      </c>
      <c r="E74" s="1" t="s">
        <v>370</v>
      </c>
      <c r="F74" s="2" t="s">
        <v>365</v>
      </c>
      <c r="G74" s="2" t="s">
        <v>92</v>
      </c>
      <c r="H74" s="2" t="s">
        <v>10</v>
      </c>
      <c r="I74" s="2" t="s">
        <v>11</v>
      </c>
      <c r="J74" s="2" t="s">
        <v>371</v>
      </c>
      <c r="K74" s="29" t="s">
        <v>13193</v>
      </c>
      <c r="L74" s="6" t="s">
        <v>13195</v>
      </c>
    </row>
    <row r="75" spans="1:12" ht="27.6" hidden="1" x14ac:dyDescent="0.3">
      <c r="A75" s="2" t="s">
        <v>11</v>
      </c>
      <c r="B75" s="2" t="s">
        <v>372</v>
      </c>
      <c r="C75" s="3">
        <v>36449</v>
      </c>
      <c r="D75" s="1" t="s">
        <v>373</v>
      </c>
      <c r="E75" s="1" t="s">
        <v>374</v>
      </c>
      <c r="F75" s="2" t="s">
        <v>365</v>
      </c>
      <c r="G75" s="2" t="s">
        <v>48</v>
      </c>
      <c r="H75" s="2" t="s">
        <v>10</v>
      </c>
      <c r="I75" s="2" t="s">
        <v>11</v>
      </c>
      <c r="J75" s="2" t="s">
        <v>375</v>
      </c>
      <c r="K75" s="29" t="s">
        <v>13193</v>
      </c>
      <c r="L75" s="6" t="s">
        <v>13195</v>
      </c>
    </row>
    <row r="76" spans="1:12" ht="27.6" hidden="1" x14ac:dyDescent="0.3">
      <c r="A76" s="2" t="s">
        <v>11</v>
      </c>
      <c r="B76" s="2" t="s">
        <v>376</v>
      </c>
      <c r="C76" s="3">
        <v>34890</v>
      </c>
      <c r="D76" s="1" t="s">
        <v>377</v>
      </c>
      <c r="E76" s="1" t="s">
        <v>378</v>
      </c>
      <c r="F76" s="2" t="s">
        <v>379</v>
      </c>
      <c r="G76" s="2" t="s">
        <v>380</v>
      </c>
      <c r="H76" s="2" t="s">
        <v>43</v>
      </c>
      <c r="I76" s="2" t="s">
        <v>11</v>
      </c>
      <c r="J76" s="2" t="s">
        <v>381</v>
      </c>
      <c r="K76" s="29" t="s">
        <v>13193</v>
      </c>
      <c r="L76" s="6" t="s">
        <v>13195</v>
      </c>
    </row>
    <row r="77" spans="1:12" ht="27.6" hidden="1" x14ac:dyDescent="0.3">
      <c r="A77" s="2" t="s">
        <v>11</v>
      </c>
      <c r="B77" s="2" t="s">
        <v>382</v>
      </c>
      <c r="C77" s="3">
        <v>35272</v>
      </c>
      <c r="D77" s="1" t="s">
        <v>383</v>
      </c>
      <c r="E77" s="1" t="s">
        <v>384</v>
      </c>
      <c r="F77" s="2" t="s">
        <v>365</v>
      </c>
      <c r="G77" s="2" t="s">
        <v>385</v>
      </c>
      <c r="H77" s="2" t="s">
        <v>43</v>
      </c>
      <c r="I77" s="2" t="s">
        <v>11</v>
      </c>
      <c r="J77" s="2" t="s">
        <v>386</v>
      </c>
      <c r="K77" s="29" t="s">
        <v>13193</v>
      </c>
      <c r="L77" s="6" t="s">
        <v>13195</v>
      </c>
    </row>
    <row r="78" spans="1:12" ht="27.6" hidden="1" x14ac:dyDescent="0.3">
      <c r="A78" s="2" t="s">
        <v>11</v>
      </c>
      <c r="B78" s="2" t="s">
        <v>387</v>
      </c>
      <c r="C78" s="3">
        <v>34890</v>
      </c>
      <c r="D78" s="1" t="s">
        <v>377</v>
      </c>
      <c r="E78" s="1" t="s">
        <v>378</v>
      </c>
      <c r="F78" s="2" t="s">
        <v>379</v>
      </c>
      <c r="G78" s="2" t="s">
        <v>380</v>
      </c>
      <c r="H78" s="2" t="s">
        <v>10</v>
      </c>
      <c r="I78" s="2" t="s">
        <v>11</v>
      </c>
      <c r="J78" s="2" t="s">
        <v>388</v>
      </c>
      <c r="K78" s="29" t="s">
        <v>13193</v>
      </c>
      <c r="L78" s="6" t="s">
        <v>13195</v>
      </c>
    </row>
    <row r="79" spans="1:12" ht="27.6" hidden="1" x14ac:dyDescent="0.3">
      <c r="A79" s="2" t="s">
        <v>11</v>
      </c>
      <c r="B79" s="2" t="s">
        <v>389</v>
      </c>
      <c r="C79" s="3">
        <v>30942</v>
      </c>
      <c r="D79" s="1" t="s">
        <v>390</v>
      </c>
      <c r="E79" s="1" t="s">
        <v>391</v>
      </c>
      <c r="F79" s="2" t="s">
        <v>16</v>
      </c>
      <c r="G79" s="2" t="s">
        <v>392</v>
      </c>
      <c r="H79" s="2" t="s">
        <v>103</v>
      </c>
      <c r="I79" s="2" t="s">
        <v>11</v>
      </c>
      <c r="J79" s="2" t="s">
        <v>393</v>
      </c>
      <c r="K79" s="29" t="s">
        <v>13193</v>
      </c>
      <c r="L79" s="6" t="s">
        <v>13195</v>
      </c>
    </row>
    <row r="80" spans="1:12" ht="27.6" hidden="1" x14ac:dyDescent="0.3">
      <c r="A80" s="2" t="s">
        <v>60</v>
      </c>
      <c r="B80" s="2" t="s">
        <v>394</v>
      </c>
      <c r="C80" s="3">
        <v>25375</v>
      </c>
      <c r="D80" s="1" t="s">
        <v>395</v>
      </c>
      <c r="E80" s="1" t="s">
        <v>396</v>
      </c>
      <c r="F80" s="2" t="s">
        <v>269</v>
      </c>
      <c r="G80" s="2" t="s">
        <v>397</v>
      </c>
      <c r="H80" s="2" t="s">
        <v>10</v>
      </c>
      <c r="I80" s="2" t="s">
        <v>60</v>
      </c>
      <c r="J80" s="2" t="s">
        <v>398</v>
      </c>
      <c r="K80" s="29" t="s">
        <v>13193</v>
      </c>
      <c r="L80" s="6" t="s">
        <v>13195</v>
      </c>
    </row>
    <row r="81" spans="1:12" ht="27.6" hidden="1" x14ac:dyDescent="0.3">
      <c r="A81" s="2" t="s">
        <v>60</v>
      </c>
      <c r="B81" s="2" t="s">
        <v>399</v>
      </c>
      <c r="C81" s="3">
        <v>20261</v>
      </c>
      <c r="D81" s="1" t="s">
        <v>400</v>
      </c>
      <c r="E81" s="1" t="s">
        <v>401</v>
      </c>
      <c r="F81" s="2" t="s">
        <v>60</v>
      </c>
      <c r="G81" s="2" t="s">
        <v>177</v>
      </c>
      <c r="H81" s="2" t="s">
        <v>26</v>
      </c>
      <c r="I81" s="2" t="s">
        <v>60</v>
      </c>
      <c r="J81" s="2" t="s">
        <v>402</v>
      </c>
      <c r="K81" s="29" t="s">
        <v>13193</v>
      </c>
      <c r="L81" s="6" t="s">
        <v>13195</v>
      </c>
    </row>
    <row r="82" spans="1:12" ht="27.6" hidden="1" x14ac:dyDescent="0.3">
      <c r="A82" s="2" t="s">
        <v>60</v>
      </c>
      <c r="B82" s="2" t="s">
        <v>403</v>
      </c>
      <c r="C82" s="3">
        <v>18477</v>
      </c>
      <c r="D82" s="1" t="s">
        <v>404</v>
      </c>
      <c r="E82" s="1" t="s">
        <v>405</v>
      </c>
      <c r="F82" s="2" t="s">
        <v>297</v>
      </c>
      <c r="G82" s="2" t="s">
        <v>37</v>
      </c>
      <c r="H82" s="2" t="s">
        <v>10</v>
      </c>
      <c r="I82" s="2" t="s">
        <v>60</v>
      </c>
      <c r="J82" s="2" t="s">
        <v>406</v>
      </c>
      <c r="K82" s="29" t="s">
        <v>13193</v>
      </c>
      <c r="L82" s="6" t="s">
        <v>13195</v>
      </c>
    </row>
    <row r="83" spans="1:12" ht="27.6" hidden="1" x14ac:dyDescent="0.3">
      <c r="A83" s="2" t="s">
        <v>60</v>
      </c>
      <c r="B83" s="2" t="s">
        <v>407</v>
      </c>
      <c r="C83" s="3">
        <v>34331</v>
      </c>
      <c r="D83" s="1" t="s">
        <v>408</v>
      </c>
      <c r="E83" s="1" t="s">
        <v>409</v>
      </c>
      <c r="F83" s="2" t="s">
        <v>410</v>
      </c>
      <c r="G83" s="2" t="s">
        <v>217</v>
      </c>
      <c r="H83" s="2" t="s">
        <v>411</v>
      </c>
      <c r="I83" s="2" t="s">
        <v>60</v>
      </c>
      <c r="J83" s="2" t="s">
        <v>412</v>
      </c>
      <c r="K83" s="29" t="s">
        <v>13193</v>
      </c>
      <c r="L83" s="6" t="s">
        <v>13195</v>
      </c>
    </row>
    <row r="84" spans="1:12" ht="27.6" hidden="1" x14ac:dyDescent="0.3">
      <c r="A84" s="2" t="s">
        <v>60</v>
      </c>
      <c r="B84" s="2" t="s">
        <v>413</v>
      </c>
      <c r="C84" s="3">
        <v>30604</v>
      </c>
      <c r="D84" s="1" t="s">
        <v>414</v>
      </c>
      <c r="E84" s="1" t="s">
        <v>415</v>
      </c>
      <c r="F84" s="2" t="s">
        <v>416</v>
      </c>
      <c r="G84" s="2" t="s">
        <v>222</v>
      </c>
      <c r="H84" s="2" t="s">
        <v>10</v>
      </c>
      <c r="I84" s="2" t="s">
        <v>60</v>
      </c>
      <c r="J84" s="2" t="s">
        <v>417</v>
      </c>
      <c r="K84" s="29" t="s">
        <v>13193</v>
      </c>
      <c r="L84" s="6" t="s">
        <v>13195</v>
      </c>
    </row>
    <row r="85" spans="1:12" ht="27.6" hidden="1" x14ac:dyDescent="0.3">
      <c r="A85" s="2" t="s">
        <v>60</v>
      </c>
      <c r="B85" s="2" t="s">
        <v>418</v>
      </c>
      <c r="C85" s="3">
        <v>30142</v>
      </c>
      <c r="D85" s="1" t="s">
        <v>419</v>
      </c>
      <c r="E85" s="1" t="s">
        <v>420</v>
      </c>
      <c r="F85" s="2" t="s">
        <v>421</v>
      </c>
      <c r="G85" s="2" t="s">
        <v>190</v>
      </c>
      <c r="H85" s="2" t="s">
        <v>10</v>
      </c>
      <c r="I85" s="2" t="s">
        <v>60</v>
      </c>
      <c r="J85" s="2" t="s">
        <v>191</v>
      </c>
      <c r="K85" s="29" t="s">
        <v>13193</v>
      </c>
      <c r="L85" s="6" t="s">
        <v>13195</v>
      </c>
    </row>
    <row r="86" spans="1:12" ht="27.6" hidden="1" x14ac:dyDescent="0.3">
      <c r="A86" s="2" t="s">
        <v>60</v>
      </c>
      <c r="B86" s="2" t="s">
        <v>422</v>
      </c>
      <c r="C86" s="3">
        <v>37341</v>
      </c>
      <c r="D86" s="1" t="s">
        <v>423</v>
      </c>
      <c r="E86" s="1" t="s">
        <v>424</v>
      </c>
      <c r="F86" s="2" t="s">
        <v>123</v>
      </c>
      <c r="G86" s="2" t="s">
        <v>425</v>
      </c>
      <c r="H86" s="2" t="s">
        <v>10</v>
      </c>
      <c r="I86" s="2" t="s">
        <v>60</v>
      </c>
      <c r="J86" s="2" t="s">
        <v>426</v>
      </c>
      <c r="K86" s="29" t="s">
        <v>13193</v>
      </c>
      <c r="L86" s="6" t="s">
        <v>13195</v>
      </c>
    </row>
    <row r="87" spans="1:12" ht="27.6" hidden="1" x14ac:dyDescent="0.3">
      <c r="A87" s="2" t="s">
        <v>60</v>
      </c>
      <c r="B87" s="2" t="s">
        <v>427</v>
      </c>
      <c r="C87" s="3">
        <v>28901</v>
      </c>
      <c r="D87" s="1" t="s">
        <v>428</v>
      </c>
      <c r="E87" s="1" t="s">
        <v>429</v>
      </c>
      <c r="F87" s="2" t="s">
        <v>274</v>
      </c>
      <c r="G87" s="2" t="s">
        <v>258</v>
      </c>
      <c r="H87" s="2" t="s">
        <v>10</v>
      </c>
      <c r="I87" s="2" t="s">
        <v>60</v>
      </c>
      <c r="J87" s="2" t="s">
        <v>430</v>
      </c>
      <c r="K87" s="29" t="s">
        <v>13193</v>
      </c>
      <c r="L87" s="6" t="s">
        <v>13195</v>
      </c>
    </row>
    <row r="88" spans="1:12" ht="27.6" hidden="1" x14ac:dyDescent="0.3">
      <c r="A88" s="2" t="s">
        <v>60</v>
      </c>
      <c r="B88" s="2" t="s">
        <v>431</v>
      </c>
      <c r="C88" s="3">
        <v>39004</v>
      </c>
      <c r="D88" s="1" t="s">
        <v>432</v>
      </c>
      <c r="E88" s="1" t="s">
        <v>433</v>
      </c>
      <c r="F88" s="2" t="s">
        <v>274</v>
      </c>
      <c r="G88" s="2" t="s">
        <v>206</v>
      </c>
      <c r="H88" s="2" t="s">
        <v>411</v>
      </c>
      <c r="I88" s="2" t="s">
        <v>60</v>
      </c>
      <c r="J88" s="2" t="s">
        <v>434</v>
      </c>
      <c r="K88" s="29" t="s">
        <v>13193</v>
      </c>
      <c r="L88" s="6" t="s">
        <v>13195</v>
      </c>
    </row>
    <row r="89" spans="1:12" ht="27.6" hidden="1" x14ac:dyDescent="0.3">
      <c r="A89" s="2" t="s">
        <v>60</v>
      </c>
      <c r="B89" s="2" t="s">
        <v>435</v>
      </c>
      <c r="C89" s="3">
        <v>33834</v>
      </c>
      <c r="D89" s="1" t="s">
        <v>95</v>
      </c>
      <c r="E89" s="1" t="s">
        <v>436</v>
      </c>
      <c r="F89" s="2" t="s">
        <v>257</v>
      </c>
      <c r="G89" s="2" t="s">
        <v>366</v>
      </c>
      <c r="H89" s="2" t="s">
        <v>103</v>
      </c>
      <c r="I89" s="2" t="s">
        <v>60</v>
      </c>
      <c r="J89" s="2" t="s">
        <v>437</v>
      </c>
      <c r="K89" s="29" t="s">
        <v>13193</v>
      </c>
      <c r="L89" s="6" t="s">
        <v>13195</v>
      </c>
    </row>
    <row r="90" spans="1:12" ht="27.6" hidden="1" x14ac:dyDescent="0.3">
      <c r="A90" s="2" t="s">
        <v>60</v>
      </c>
      <c r="B90" s="2" t="s">
        <v>438</v>
      </c>
      <c r="C90" s="3">
        <v>24904</v>
      </c>
      <c r="D90" s="1" t="s">
        <v>439</v>
      </c>
      <c r="E90" s="1" t="s">
        <v>440</v>
      </c>
      <c r="F90" s="2" t="s">
        <v>410</v>
      </c>
      <c r="G90" s="2" t="s">
        <v>143</v>
      </c>
      <c r="H90" s="2" t="s">
        <v>10</v>
      </c>
      <c r="I90" s="2" t="s">
        <v>60</v>
      </c>
      <c r="J90" s="2" t="s">
        <v>144</v>
      </c>
      <c r="K90" s="29" t="s">
        <v>13193</v>
      </c>
      <c r="L90" s="6" t="s">
        <v>13195</v>
      </c>
    </row>
    <row r="91" spans="1:12" ht="27.6" hidden="1" x14ac:dyDescent="0.3">
      <c r="A91" s="2" t="s">
        <v>60</v>
      </c>
      <c r="B91" s="2" t="s">
        <v>441</v>
      </c>
      <c r="C91" s="3">
        <v>27021</v>
      </c>
      <c r="D91" s="1" t="s">
        <v>442</v>
      </c>
      <c r="E91" s="1" t="s">
        <v>443</v>
      </c>
      <c r="F91" s="2" t="s">
        <v>444</v>
      </c>
      <c r="G91" s="2" t="s">
        <v>31</v>
      </c>
      <c r="H91" s="2" t="s">
        <v>103</v>
      </c>
      <c r="I91" s="2" t="s">
        <v>60</v>
      </c>
      <c r="J91" s="2" t="s">
        <v>144</v>
      </c>
      <c r="K91" s="29" t="s">
        <v>13193</v>
      </c>
      <c r="L91" s="24" t="s">
        <v>13195</v>
      </c>
    </row>
    <row r="92" spans="1:12" hidden="1" x14ac:dyDescent="0.3">
      <c r="A92" s="2" t="s">
        <v>180</v>
      </c>
      <c r="B92" s="2" t="s">
        <v>445</v>
      </c>
      <c r="C92" s="3">
        <v>30721</v>
      </c>
      <c r="D92" s="1" t="s">
        <v>446</v>
      </c>
      <c r="E92" s="1" t="s">
        <v>447</v>
      </c>
      <c r="F92" s="2" t="s">
        <v>195</v>
      </c>
      <c r="G92" s="2" t="s">
        <v>112</v>
      </c>
      <c r="H92" s="2" t="s">
        <v>10</v>
      </c>
      <c r="I92" s="2" t="s">
        <v>180</v>
      </c>
      <c r="J92" s="2" t="s">
        <v>315</v>
      </c>
      <c r="K92" s="29" t="s">
        <v>13193</v>
      </c>
      <c r="L92" s="6" t="s">
        <v>13195</v>
      </c>
    </row>
    <row r="93" spans="1:12" hidden="1" x14ac:dyDescent="0.3">
      <c r="A93" s="2" t="s">
        <v>180</v>
      </c>
      <c r="B93" s="2" t="s">
        <v>448</v>
      </c>
      <c r="C93" s="3">
        <v>24447</v>
      </c>
      <c r="D93" s="1" t="s">
        <v>449</v>
      </c>
      <c r="E93" s="1" t="s">
        <v>450</v>
      </c>
      <c r="F93" s="2" t="s">
        <v>451</v>
      </c>
      <c r="G93" s="2" t="s">
        <v>152</v>
      </c>
      <c r="H93" s="2" t="s">
        <v>10</v>
      </c>
      <c r="I93" s="2" t="s">
        <v>180</v>
      </c>
      <c r="J93" s="2" t="s">
        <v>153</v>
      </c>
      <c r="K93" s="29" t="s">
        <v>13193</v>
      </c>
      <c r="L93" s="6" t="s">
        <v>13195</v>
      </c>
    </row>
    <row r="94" spans="1:12" ht="27.6" hidden="1" x14ac:dyDescent="0.3">
      <c r="A94" s="2" t="s">
        <v>180</v>
      </c>
      <c r="B94" s="2" t="s">
        <v>452</v>
      </c>
      <c r="C94" s="3">
        <v>26560</v>
      </c>
      <c r="D94" s="1" t="s">
        <v>453</v>
      </c>
      <c r="E94" s="1" t="s">
        <v>454</v>
      </c>
      <c r="F94" s="2" t="s">
        <v>455</v>
      </c>
      <c r="G94" s="2" t="s">
        <v>143</v>
      </c>
      <c r="H94" s="2" t="s">
        <v>10</v>
      </c>
      <c r="I94" s="2" t="s">
        <v>180</v>
      </c>
      <c r="J94" s="2" t="s">
        <v>144</v>
      </c>
      <c r="K94" s="29" t="s">
        <v>13193</v>
      </c>
      <c r="L94" s="6" t="s">
        <v>13195</v>
      </c>
    </row>
    <row r="95" spans="1:12" hidden="1" x14ac:dyDescent="0.3">
      <c r="A95" s="2" t="s">
        <v>180</v>
      </c>
      <c r="B95" s="2" t="s">
        <v>456</v>
      </c>
      <c r="C95" s="3">
        <v>34887</v>
      </c>
      <c r="D95" s="1" t="s">
        <v>457</v>
      </c>
      <c r="E95" s="1" t="s">
        <v>458</v>
      </c>
      <c r="F95" s="2" t="s">
        <v>459</v>
      </c>
      <c r="G95" s="2" t="s">
        <v>258</v>
      </c>
      <c r="H95" s="2" t="s">
        <v>10</v>
      </c>
      <c r="I95" s="2" t="s">
        <v>180</v>
      </c>
      <c r="J95" s="2" t="s">
        <v>259</v>
      </c>
      <c r="K95" s="29" t="s">
        <v>13193</v>
      </c>
      <c r="L95" s="6" t="s">
        <v>13195</v>
      </c>
    </row>
    <row r="96" spans="1:12" hidden="1" x14ac:dyDescent="0.3">
      <c r="A96" s="2" t="s">
        <v>180</v>
      </c>
      <c r="B96" s="2" t="s">
        <v>460</v>
      </c>
      <c r="C96" s="3">
        <v>37367</v>
      </c>
      <c r="D96" s="1" t="s">
        <v>461</v>
      </c>
      <c r="E96" s="1" t="s">
        <v>462</v>
      </c>
      <c r="F96" s="2" t="s">
        <v>184</v>
      </c>
      <c r="G96" s="2" t="s">
        <v>190</v>
      </c>
      <c r="H96" s="2" t="s">
        <v>10</v>
      </c>
      <c r="I96" s="2" t="s">
        <v>180</v>
      </c>
      <c r="J96" s="2" t="s">
        <v>191</v>
      </c>
      <c r="K96" s="29" t="s">
        <v>13193</v>
      </c>
      <c r="L96" s="6" t="s">
        <v>13195</v>
      </c>
    </row>
    <row r="97" spans="1:12" hidden="1" x14ac:dyDescent="0.3">
      <c r="A97" s="2" t="s">
        <v>180</v>
      </c>
      <c r="B97" s="2" t="s">
        <v>463</v>
      </c>
      <c r="C97" s="3">
        <v>37393</v>
      </c>
      <c r="D97" s="1" t="s">
        <v>464</v>
      </c>
      <c r="E97" s="1" t="s">
        <v>465</v>
      </c>
      <c r="F97" s="2" t="s">
        <v>466</v>
      </c>
      <c r="G97" s="2" t="s">
        <v>190</v>
      </c>
      <c r="H97" s="2" t="s">
        <v>10</v>
      </c>
      <c r="I97" s="2" t="s">
        <v>180</v>
      </c>
      <c r="J97" s="2" t="s">
        <v>191</v>
      </c>
      <c r="K97" s="29" t="s">
        <v>13193</v>
      </c>
      <c r="L97" s="6" t="s">
        <v>13195</v>
      </c>
    </row>
    <row r="98" spans="1:12" ht="27.6" hidden="1" x14ac:dyDescent="0.3">
      <c r="A98" s="2" t="s">
        <v>180</v>
      </c>
      <c r="B98" s="2" t="s">
        <v>467</v>
      </c>
      <c r="C98" s="3">
        <v>28258</v>
      </c>
      <c r="D98" s="1" t="s">
        <v>468</v>
      </c>
      <c r="E98" s="1" t="s">
        <v>469</v>
      </c>
      <c r="F98" s="2" t="s">
        <v>470</v>
      </c>
      <c r="G98" s="2" t="s">
        <v>190</v>
      </c>
      <c r="H98" s="2" t="s">
        <v>10</v>
      </c>
      <c r="I98" s="2" t="s">
        <v>180</v>
      </c>
      <c r="J98" s="2" t="s">
        <v>191</v>
      </c>
      <c r="K98" s="29" t="s">
        <v>13193</v>
      </c>
      <c r="L98" s="6" t="s">
        <v>13195</v>
      </c>
    </row>
    <row r="99" spans="1:12" ht="27.6" hidden="1" x14ac:dyDescent="0.3">
      <c r="A99" s="2" t="s">
        <v>180</v>
      </c>
      <c r="B99" s="2" t="s">
        <v>471</v>
      </c>
      <c r="C99" s="3">
        <v>36428</v>
      </c>
      <c r="D99" s="1" t="s">
        <v>472</v>
      </c>
      <c r="E99" s="1" t="s">
        <v>473</v>
      </c>
      <c r="F99" s="2" t="s">
        <v>470</v>
      </c>
      <c r="G99" s="2" t="s">
        <v>124</v>
      </c>
      <c r="H99" s="2" t="s">
        <v>10</v>
      </c>
      <c r="I99" s="2" t="s">
        <v>180</v>
      </c>
      <c r="J99" s="2" t="s">
        <v>173</v>
      </c>
      <c r="K99" s="29" t="s">
        <v>13193</v>
      </c>
      <c r="L99" s="6" t="s">
        <v>13195</v>
      </c>
    </row>
    <row r="100" spans="1:12" hidden="1" x14ac:dyDescent="0.3">
      <c r="A100" s="2" t="s">
        <v>180</v>
      </c>
      <c r="B100" s="2" t="s">
        <v>474</v>
      </c>
      <c r="C100" s="3">
        <v>25143</v>
      </c>
      <c r="D100" s="1" t="s">
        <v>475</v>
      </c>
      <c r="E100" s="1" t="s">
        <v>476</v>
      </c>
      <c r="F100" s="2" t="s">
        <v>466</v>
      </c>
      <c r="G100" s="2" t="s">
        <v>152</v>
      </c>
      <c r="H100" s="2" t="s">
        <v>10</v>
      </c>
      <c r="I100" s="2" t="s">
        <v>180</v>
      </c>
      <c r="J100" s="2" t="s">
        <v>153</v>
      </c>
      <c r="K100" s="29" t="s">
        <v>13193</v>
      </c>
      <c r="L100" s="6" t="s">
        <v>13195</v>
      </c>
    </row>
    <row r="101" spans="1:12" hidden="1" x14ac:dyDescent="0.3">
      <c r="A101" s="2" t="s">
        <v>180</v>
      </c>
      <c r="B101" s="2" t="s">
        <v>477</v>
      </c>
      <c r="C101" s="3">
        <v>32563</v>
      </c>
      <c r="D101" s="1" t="s">
        <v>478</v>
      </c>
      <c r="E101" s="1" t="s">
        <v>479</v>
      </c>
      <c r="F101" s="2" t="s">
        <v>195</v>
      </c>
      <c r="G101" s="2" t="s">
        <v>283</v>
      </c>
      <c r="H101" s="2" t="s">
        <v>10</v>
      </c>
      <c r="I101" s="2" t="s">
        <v>180</v>
      </c>
      <c r="J101" s="2" t="s">
        <v>284</v>
      </c>
      <c r="K101" s="29" t="s">
        <v>13193</v>
      </c>
      <c r="L101" s="6" t="s">
        <v>13195</v>
      </c>
    </row>
    <row r="102" spans="1:12" hidden="1" x14ac:dyDescent="0.3">
      <c r="A102" s="2" t="s">
        <v>180</v>
      </c>
      <c r="B102" s="2" t="s">
        <v>480</v>
      </c>
      <c r="C102" s="3">
        <v>23636</v>
      </c>
      <c r="D102" s="1" t="s">
        <v>481</v>
      </c>
      <c r="E102" s="1" t="s">
        <v>482</v>
      </c>
      <c r="F102" s="2" t="s">
        <v>184</v>
      </c>
      <c r="G102" s="2" t="s">
        <v>157</v>
      </c>
      <c r="H102" s="2" t="s">
        <v>10</v>
      </c>
      <c r="I102" s="2" t="s">
        <v>180</v>
      </c>
      <c r="J102" s="2" t="s">
        <v>483</v>
      </c>
      <c r="K102" s="29" t="s">
        <v>13193</v>
      </c>
      <c r="L102" s="6" t="s">
        <v>13195</v>
      </c>
    </row>
    <row r="103" spans="1:12" hidden="1" x14ac:dyDescent="0.3">
      <c r="A103" s="2" t="s">
        <v>180</v>
      </c>
      <c r="B103" s="2" t="s">
        <v>484</v>
      </c>
      <c r="C103" s="3">
        <v>30598</v>
      </c>
      <c r="D103" s="1" t="s">
        <v>485</v>
      </c>
      <c r="E103" s="1" t="s">
        <v>486</v>
      </c>
      <c r="F103" s="2" t="s">
        <v>216</v>
      </c>
      <c r="G103" s="2" t="s">
        <v>425</v>
      </c>
      <c r="H103" s="2" t="s">
        <v>10</v>
      </c>
      <c r="I103" s="2" t="s">
        <v>180</v>
      </c>
      <c r="J103" s="2" t="s">
        <v>426</v>
      </c>
      <c r="K103" s="29" t="s">
        <v>13193</v>
      </c>
      <c r="L103" s="6" t="s">
        <v>13195</v>
      </c>
    </row>
    <row r="104" spans="1:12" hidden="1" x14ac:dyDescent="0.3">
      <c r="A104" s="2" t="s">
        <v>180</v>
      </c>
      <c r="B104" s="2" t="s">
        <v>487</v>
      </c>
      <c r="C104" s="3">
        <v>32712</v>
      </c>
      <c r="D104" s="1" t="s">
        <v>261</v>
      </c>
      <c r="E104" s="1" t="s">
        <v>488</v>
      </c>
      <c r="F104" s="2" t="s">
        <v>216</v>
      </c>
      <c r="G104" s="2" t="s">
        <v>37</v>
      </c>
      <c r="H104" s="2" t="s">
        <v>10</v>
      </c>
      <c r="I104" s="2" t="s">
        <v>180</v>
      </c>
      <c r="J104" s="2" t="s">
        <v>406</v>
      </c>
      <c r="K104" s="29" t="s">
        <v>13193</v>
      </c>
      <c r="L104" s="6" t="s">
        <v>13195</v>
      </c>
    </row>
    <row r="105" spans="1:12" hidden="1" x14ac:dyDescent="0.3">
      <c r="A105" s="2" t="s">
        <v>180</v>
      </c>
      <c r="B105" s="2" t="s">
        <v>489</v>
      </c>
      <c r="C105" s="3">
        <v>33465</v>
      </c>
      <c r="D105" s="1" t="s">
        <v>261</v>
      </c>
      <c r="E105" s="1" t="s">
        <v>490</v>
      </c>
      <c r="F105" s="2" t="s">
        <v>491</v>
      </c>
      <c r="G105" s="2" t="s">
        <v>492</v>
      </c>
      <c r="H105" s="2" t="s">
        <v>10</v>
      </c>
      <c r="I105" s="2" t="s">
        <v>180</v>
      </c>
      <c r="J105" s="2" t="s">
        <v>493</v>
      </c>
      <c r="K105" s="29" t="s">
        <v>13193</v>
      </c>
      <c r="L105" s="6" t="s">
        <v>13195</v>
      </c>
    </row>
    <row r="106" spans="1:12" ht="27.6" hidden="1" x14ac:dyDescent="0.3">
      <c r="A106" s="2" t="s">
        <v>180</v>
      </c>
      <c r="B106" s="2" t="s">
        <v>494</v>
      </c>
      <c r="C106" s="3">
        <v>37048</v>
      </c>
      <c r="D106" s="1" t="s">
        <v>495</v>
      </c>
      <c r="E106" s="1" t="s">
        <v>496</v>
      </c>
      <c r="F106" s="2" t="s">
        <v>497</v>
      </c>
      <c r="G106" s="2" t="s">
        <v>190</v>
      </c>
      <c r="H106" s="2" t="s">
        <v>10</v>
      </c>
      <c r="I106" s="2" t="s">
        <v>180</v>
      </c>
      <c r="J106" s="2" t="s">
        <v>498</v>
      </c>
      <c r="K106" s="29" t="s">
        <v>13193</v>
      </c>
      <c r="L106" s="6" t="s">
        <v>13195</v>
      </c>
    </row>
    <row r="107" spans="1:12" hidden="1" x14ac:dyDescent="0.3">
      <c r="A107" s="2" t="s">
        <v>180</v>
      </c>
      <c r="B107" s="2" t="s">
        <v>500</v>
      </c>
      <c r="C107" s="3">
        <v>26914</v>
      </c>
      <c r="D107" s="1" t="s">
        <v>501</v>
      </c>
      <c r="E107" s="1" t="s">
        <v>502</v>
      </c>
      <c r="F107" s="2" t="s">
        <v>466</v>
      </c>
      <c r="G107" s="2" t="s">
        <v>492</v>
      </c>
      <c r="H107" s="2" t="s">
        <v>10</v>
      </c>
      <c r="I107" s="2" t="s">
        <v>180</v>
      </c>
      <c r="J107" s="2" t="s">
        <v>503</v>
      </c>
      <c r="K107" s="29" t="s">
        <v>13193</v>
      </c>
      <c r="L107" s="6" t="s">
        <v>13195</v>
      </c>
    </row>
    <row r="108" spans="1:12" ht="27.6" hidden="1" x14ac:dyDescent="0.3">
      <c r="A108" s="2" t="s">
        <v>180</v>
      </c>
      <c r="B108" s="2" t="s">
        <v>504</v>
      </c>
      <c r="C108" s="3">
        <v>31379</v>
      </c>
      <c r="D108" s="1" t="s">
        <v>505</v>
      </c>
      <c r="E108" s="1" t="s">
        <v>506</v>
      </c>
      <c r="F108" s="2" t="s">
        <v>507</v>
      </c>
      <c r="G108" s="2" t="s">
        <v>196</v>
      </c>
      <c r="H108" s="2" t="s">
        <v>10</v>
      </c>
      <c r="I108" s="2" t="s">
        <v>180</v>
      </c>
      <c r="J108" s="2" t="s">
        <v>197</v>
      </c>
      <c r="K108" s="29" t="s">
        <v>13193</v>
      </c>
      <c r="L108" s="6" t="s">
        <v>13195</v>
      </c>
    </row>
    <row r="109" spans="1:12" hidden="1" x14ac:dyDescent="0.3">
      <c r="A109" s="2" t="s">
        <v>180</v>
      </c>
      <c r="B109" s="2" t="s">
        <v>508</v>
      </c>
      <c r="C109" s="3">
        <v>24648</v>
      </c>
      <c r="D109" s="1" t="s">
        <v>509</v>
      </c>
      <c r="E109" s="1" t="s">
        <v>510</v>
      </c>
      <c r="F109" s="2" t="s">
        <v>216</v>
      </c>
      <c r="G109" s="2" t="s">
        <v>511</v>
      </c>
      <c r="H109" s="2" t="s">
        <v>10</v>
      </c>
      <c r="I109" s="2" t="s">
        <v>180</v>
      </c>
      <c r="J109" s="2" t="s">
        <v>512</v>
      </c>
      <c r="K109" s="29" t="s">
        <v>13193</v>
      </c>
      <c r="L109" s="6" t="s">
        <v>13195</v>
      </c>
    </row>
    <row r="110" spans="1:12" hidden="1" x14ac:dyDescent="0.3">
      <c r="A110" s="2" t="s">
        <v>180</v>
      </c>
      <c r="B110" s="2" t="s">
        <v>513</v>
      </c>
      <c r="C110" s="3">
        <v>29780</v>
      </c>
      <c r="D110" s="1" t="s">
        <v>514</v>
      </c>
      <c r="E110" s="1" t="s">
        <v>515</v>
      </c>
      <c r="F110" s="2" t="s">
        <v>507</v>
      </c>
      <c r="G110" s="2" t="s">
        <v>157</v>
      </c>
      <c r="H110" s="2" t="s">
        <v>10</v>
      </c>
      <c r="I110" s="2" t="s">
        <v>180</v>
      </c>
      <c r="J110" s="2" t="s">
        <v>516</v>
      </c>
      <c r="K110" s="29" t="s">
        <v>13193</v>
      </c>
      <c r="L110" s="6" t="s">
        <v>13195</v>
      </c>
    </row>
    <row r="111" spans="1:12" hidden="1" x14ac:dyDescent="0.3">
      <c r="A111" s="2" t="s">
        <v>180</v>
      </c>
      <c r="B111" s="2" t="s">
        <v>517</v>
      </c>
      <c r="C111" s="3">
        <v>36330</v>
      </c>
      <c r="D111" s="1" t="s">
        <v>518</v>
      </c>
      <c r="E111" s="1" t="s">
        <v>519</v>
      </c>
      <c r="F111" s="2" t="s">
        <v>184</v>
      </c>
      <c r="G111" s="2" t="s">
        <v>196</v>
      </c>
      <c r="H111" s="2" t="s">
        <v>10</v>
      </c>
      <c r="I111" s="2" t="s">
        <v>180</v>
      </c>
      <c r="J111" s="2" t="s">
        <v>197</v>
      </c>
      <c r="K111" s="29" t="s">
        <v>13193</v>
      </c>
      <c r="L111" s="6" t="s">
        <v>13195</v>
      </c>
    </row>
    <row r="112" spans="1:12" hidden="1" x14ac:dyDescent="0.3">
      <c r="A112" s="2" t="s">
        <v>180</v>
      </c>
      <c r="B112" s="2" t="s">
        <v>520</v>
      </c>
      <c r="C112" s="3">
        <v>37885</v>
      </c>
      <c r="D112" s="1" t="s">
        <v>118</v>
      </c>
      <c r="E112" s="1" t="s">
        <v>521</v>
      </c>
      <c r="F112" s="2" t="s">
        <v>522</v>
      </c>
      <c r="G112" s="2" t="s">
        <v>25</v>
      </c>
      <c r="H112" s="2" t="s">
        <v>10</v>
      </c>
      <c r="I112" s="2" t="s">
        <v>180</v>
      </c>
      <c r="J112" s="2" t="s">
        <v>523</v>
      </c>
      <c r="K112" s="29" t="s">
        <v>13193</v>
      </c>
      <c r="L112" s="6" t="s">
        <v>13195</v>
      </c>
    </row>
    <row r="113" spans="1:12" hidden="1" x14ac:dyDescent="0.3">
      <c r="A113" s="2" t="s">
        <v>180</v>
      </c>
      <c r="B113" s="2" t="s">
        <v>524</v>
      </c>
      <c r="C113" s="3">
        <v>30625</v>
      </c>
      <c r="D113" s="1" t="s">
        <v>525</v>
      </c>
      <c r="E113" s="1" t="s">
        <v>526</v>
      </c>
      <c r="F113" s="2" t="s">
        <v>184</v>
      </c>
      <c r="G113" s="2" t="s">
        <v>25</v>
      </c>
      <c r="H113" s="2" t="s">
        <v>10</v>
      </c>
      <c r="I113" s="2" t="s">
        <v>180</v>
      </c>
      <c r="J113" s="2" t="s">
        <v>305</v>
      </c>
      <c r="K113" s="29" t="s">
        <v>13193</v>
      </c>
      <c r="L113" s="6" t="s">
        <v>13195</v>
      </c>
    </row>
    <row r="114" spans="1:12" hidden="1" x14ac:dyDescent="0.3">
      <c r="A114" s="2" t="s">
        <v>180</v>
      </c>
      <c r="B114" s="2" t="s">
        <v>527</v>
      </c>
      <c r="C114" s="3">
        <v>32016</v>
      </c>
      <c r="D114" s="1" t="s">
        <v>528</v>
      </c>
      <c r="E114" s="1" t="s">
        <v>529</v>
      </c>
      <c r="F114" s="2" t="s">
        <v>530</v>
      </c>
      <c r="G114" s="2" t="s">
        <v>319</v>
      </c>
      <c r="H114" s="2" t="s">
        <v>10</v>
      </c>
      <c r="I114" s="2" t="s">
        <v>180</v>
      </c>
      <c r="J114" s="2" t="s">
        <v>320</v>
      </c>
      <c r="K114" s="29" t="s">
        <v>13193</v>
      </c>
      <c r="L114" s="6" t="s">
        <v>13195</v>
      </c>
    </row>
    <row r="115" spans="1:12" hidden="1" x14ac:dyDescent="0.3">
      <c r="A115" s="2" t="s">
        <v>180</v>
      </c>
      <c r="B115" s="2" t="s">
        <v>531</v>
      </c>
      <c r="C115" s="3">
        <v>30783</v>
      </c>
      <c r="D115" s="1" t="s">
        <v>532</v>
      </c>
      <c r="E115" s="1" t="s">
        <v>533</v>
      </c>
      <c r="F115" s="2" t="s">
        <v>530</v>
      </c>
      <c r="G115" s="2" t="s">
        <v>425</v>
      </c>
      <c r="H115" s="2" t="s">
        <v>43</v>
      </c>
      <c r="I115" s="2" t="s">
        <v>180</v>
      </c>
      <c r="J115" s="2" t="s">
        <v>426</v>
      </c>
      <c r="K115" s="29" t="s">
        <v>13193</v>
      </c>
      <c r="L115" s="6" t="s">
        <v>13195</v>
      </c>
    </row>
    <row r="116" spans="1:12" ht="27.6" hidden="1" x14ac:dyDescent="0.3">
      <c r="A116" s="2" t="s">
        <v>180</v>
      </c>
      <c r="B116" s="2" t="s">
        <v>534</v>
      </c>
      <c r="C116" s="3">
        <v>37749</v>
      </c>
      <c r="D116" s="1" t="s">
        <v>535</v>
      </c>
      <c r="E116" s="1" t="s">
        <v>536</v>
      </c>
      <c r="F116" s="2" t="s">
        <v>195</v>
      </c>
      <c r="G116" s="2" t="s">
        <v>75</v>
      </c>
      <c r="H116" s="2" t="s">
        <v>10</v>
      </c>
      <c r="I116" s="2" t="s">
        <v>180</v>
      </c>
      <c r="J116" s="2" t="s">
        <v>76</v>
      </c>
      <c r="K116" s="29" t="s">
        <v>13193</v>
      </c>
      <c r="L116" s="6" t="s">
        <v>13195</v>
      </c>
    </row>
    <row r="117" spans="1:12" ht="27.6" hidden="1" x14ac:dyDescent="0.3">
      <c r="A117" s="2" t="s">
        <v>180</v>
      </c>
      <c r="B117" s="2" t="s">
        <v>537</v>
      </c>
      <c r="C117" s="3">
        <v>28908</v>
      </c>
      <c r="D117" s="1" t="s">
        <v>538</v>
      </c>
      <c r="E117" s="1" t="s">
        <v>539</v>
      </c>
      <c r="F117" s="2" t="s">
        <v>470</v>
      </c>
      <c r="G117" s="2" t="s">
        <v>12</v>
      </c>
      <c r="H117" s="2" t="s">
        <v>10</v>
      </c>
      <c r="I117" s="2" t="s">
        <v>180</v>
      </c>
      <c r="J117" s="2" t="s">
        <v>540</v>
      </c>
      <c r="K117" s="29" t="s">
        <v>13193</v>
      </c>
      <c r="L117" s="6" t="s">
        <v>13195</v>
      </c>
    </row>
    <row r="118" spans="1:12" ht="27.6" hidden="1" x14ac:dyDescent="0.3">
      <c r="A118" s="2" t="s">
        <v>180</v>
      </c>
      <c r="B118" s="2" t="s">
        <v>541</v>
      </c>
      <c r="C118" s="3">
        <v>21057</v>
      </c>
      <c r="D118" s="1" t="s">
        <v>542</v>
      </c>
      <c r="E118" s="1" t="s">
        <v>543</v>
      </c>
      <c r="F118" s="2" t="s">
        <v>470</v>
      </c>
      <c r="G118" s="2" t="s">
        <v>92</v>
      </c>
      <c r="H118" s="2" t="s">
        <v>10</v>
      </c>
      <c r="I118" s="2" t="s">
        <v>180</v>
      </c>
      <c r="J118" s="2" t="s">
        <v>544</v>
      </c>
      <c r="K118" s="29" t="s">
        <v>13193</v>
      </c>
      <c r="L118" s="6" t="s">
        <v>13195</v>
      </c>
    </row>
    <row r="119" spans="1:12" hidden="1" x14ac:dyDescent="0.3">
      <c r="A119" s="2" t="s">
        <v>180</v>
      </c>
      <c r="B119" s="2" t="s">
        <v>545</v>
      </c>
      <c r="C119" s="3">
        <v>29373</v>
      </c>
      <c r="D119" s="1" t="s">
        <v>546</v>
      </c>
      <c r="E119" s="1" t="s">
        <v>547</v>
      </c>
      <c r="F119" s="2" t="s">
        <v>548</v>
      </c>
      <c r="G119" s="2" t="s">
        <v>12</v>
      </c>
      <c r="H119" s="2" t="s">
        <v>10</v>
      </c>
      <c r="I119" s="2" t="s">
        <v>180</v>
      </c>
      <c r="J119" s="2" t="s">
        <v>540</v>
      </c>
      <c r="K119" s="29" t="s">
        <v>13193</v>
      </c>
      <c r="L119" s="6" t="s">
        <v>13195</v>
      </c>
    </row>
    <row r="120" spans="1:12" ht="27.6" hidden="1" x14ac:dyDescent="0.3">
      <c r="A120" s="2" t="s">
        <v>11</v>
      </c>
      <c r="B120" s="2" t="s">
        <v>549</v>
      </c>
      <c r="C120" s="3">
        <v>28695</v>
      </c>
      <c r="D120" s="1" t="s">
        <v>550</v>
      </c>
      <c r="E120" s="1" t="s">
        <v>551</v>
      </c>
      <c r="F120" s="2" t="s">
        <v>16</v>
      </c>
      <c r="G120" s="2" t="s">
        <v>552</v>
      </c>
      <c r="H120" s="2" t="s">
        <v>43</v>
      </c>
      <c r="I120" s="2" t="s">
        <v>11</v>
      </c>
      <c r="J120" s="2" t="s">
        <v>553</v>
      </c>
      <c r="K120" s="29"/>
      <c r="L120" s="26"/>
    </row>
    <row r="121" spans="1:12" ht="27.6" hidden="1" x14ac:dyDescent="0.3">
      <c r="A121" s="2" t="s">
        <v>11</v>
      </c>
      <c r="B121" s="2" t="s">
        <v>554</v>
      </c>
      <c r="C121" s="3">
        <v>30104</v>
      </c>
      <c r="D121" s="1" t="s">
        <v>555</v>
      </c>
      <c r="E121" s="1" t="s">
        <v>556</v>
      </c>
      <c r="F121" s="2" t="s">
        <v>557</v>
      </c>
      <c r="G121" s="2" t="s">
        <v>31</v>
      </c>
      <c r="H121" s="2" t="s">
        <v>10</v>
      </c>
      <c r="I121" s="2" t="s">
        <v>11</v>
      </c>
      <c r="J121" s="2" t="s">
        <v>558</v>
      </c>
      <c r="K121" s="29" t="s">
        <v>13193</v>
      </c>
      <c r="L121" s="6" t="s">
        <v>13195</v>
      </c>
    </row>
    <row r="122" spans="1:12" ht="27.6" hidden="1" x14ac:dyDescent="0.3">
      <c r="A122" s="2" t="s">
        <v>11</v>
      </c>
      <c r="B122" s="2" t="s">
        <v>559</v>
      </c>
      <c r="C122" s="3">
        <v>37157</v>
      </c>
      <c r="D122" s="1" t="s">
        <v>560</v>
      </c>
      <c r="E122" s="1" t="s">
        <v>561</v>
      </c>
      <c r="F122" s="2" t="s">
        <v>36</v>
      </c>
      <c r="G122" s="2" t="s">
        <v>25</v>
      </c>
      <c r="H122" s="2" t="s">
        <v>562</v>
      </c>
      <c r="I122" s="2" t="s">
        <v>11</v>
      </c>
      <c r="J122" s="2" t="s">
        <v>27</v>
      </c>
      <c r="K122" s="29" t="s">
        <v>13193</v>
      </c>
      <c r="L122" s="24" t="s">
        <v>13195</v>
      </c>
    </row>
    <row r="123" spans="1:12" ht="27.6" hidden="1" x14ac:dyDescent="0.3">
      <c r="A123" s="2" t="s">
        <v>11</v>
      </c>
      <c r="B123" s="2" t="s">
        <v>563</v>
      </c>
      <c r="C123" s="3">
        <v>32602</v>
      </c>
      <c r="D123" s="1" t="s">
        <v>564</v>
      </c>
      <c r="E123" s="1" t="s">
        <v>565</v>
      </c>
      <c r="F123" s="2" t="s">
        <v>24</v>
      </c>
      <c r="G123" s="2" t="s">
        <v>31</v>
      </c>
      <c r="H123" s="2" t="s">
        <v>43</v>
      </c>
      <c r="I123" s="2" t="s">
        <v>11</v>
      </c>
      <c r="J123" s="2" t="s">
        <v>566</v>
      </c>
      <c r="K123" s="30" t="s">
        <v>13193</v>
      </c>
      <c r="L123" s="6" t="s">
        <v>13195</v>
      </c>
    </row>
    <row r="124" spans="1:12" ht="27.6" hidden="1" x14ac:dyDescent="0.3">
      <c r="A124" s="2" t="s">
        <v>11</v>
      </c>
      <c r="B124" s="2" t="s">
        <v>567</v>
      </c>
      <c r="C124" s="3">
        <v>36018</v>
      </c>
      <c r="D124" s="1" t="s">
        <v>568</v>
      </c>
      <c r="E124" s="1" t="s">
        <v>569</v>
      </c>
      <c r="F124" s="2" t="s">
        <v>16</v>
      </c>
      <c r="G124" s="2" t="s">
        <v>570</v>
      </c>
      <c r="H124" s="2" t="s">
        <v>10</v>
      </c>
      <c r="I124" s="2" t="s">
        <v>11</v>
      </c>
      <c r="J124" s="2" t="s">
        <v>571</v>
      </c>
      <c r="K124" s="29" t="s">
        <v>13193</v>
      </c>
      <c r="L124" s="26" t="s">
        <v>13195</v>
      </c>
    </row>
    <row r="125" spans="1:12" ht="27.6" hidden="1" x14ac:dyDescent="0.3">
      <c r="A125" s="2" t="s">
        <v>11</v>
      </c>
      <c r="B125" s="2" t="s">
        <v>572</v>
      </c>
      <c r="C125" s="3">
        <v>30380</v>
      </c>
      <c r="D125" s="1" t="s">
        <v>573</v>
      </c>
      <c r="E125" s="1" t="s">
        <v>574</v>
      </c>
      <c r="F125" s="2" t="s">
        <v>575</v>
      </c>
      <c r="G125" s="2" t="s">
        <v>31</v>
      </c>
      <c r="H125" s="2" t="s">
        <v>10</v>
      </c>
      <c r="I125" s="2" t="s">
        <v>11</v>
      </c>
      <c r="J125" s="2" t="s">
        <v>324</v>
      </c>
      <c r="K125" s="29" t="s">
        <v>13193</v>
      </c>
      <c r="L125" s="6" t="s">
        <v>13195</v>
      </c>
    </row>
    <row r="126" spans="1:12" ht="27.6" hidden="1" x14ac:dyDescent="0.3">
      <c r="A126" s="2" t="s">
        <v>11</v>
      </c>
      <c r="B126" s="2" t="s">
        <v>576</v>
      </c>
      <c r="C126" s="3">
        <v>33279</v>
      </c>
      <c r="D126" s="1" t="s">
        <v>577</v>
      </c>
      <c r="E126" s="1" t="s">
        <v>578</v>
      </c>
      <c r="F126" s="2" t="s">
        <v>91</v>
      </c>
      <c r="G126" s="2" t="s">
        <v>380</v>
      </c>
      <c r="H126" s="2" t="s">
        <v>26</v>
      </c>
      <c r="I126" s="2" t="s">
        <v>11</v>
      </c>
      <c r="J126" s="2" t="s">
        <v>579</v>
      </c>
      <c r="K126" s="30" t="s">
        <v>13193</v>
      </c>
      <c r="L126" s="6" t="s">
        <v>13195</v>
      </c>
    </row>
    <row r="127" spans="1:12" ht="27.6" hidden="1" x14ac:dyDescent="0.3">
      <c r="A127" s="2" t="s">
        <v>11</v>
      </c>
      <c r="B127" s="2" t="s">
        <v>580</v>
      </c>
      <c r="C127" s="3">
        <v>28490</v>
      </c>
      <c r="D127" s="1" t="s">
        <v>581</v>
      </c>
      <c r="E127" s="1" t="s">
        <v>582</v>
      </c>
      <c r="F127" s="2" t="s">
        <v>583</v>
      </c>
      <c r="G127" s="2" t="s">
        <v>12</v>
      </c>
      <c r="H127" s="2" t="s">
        <v>10</v>
      </c>
      <c r="I127" s="2" t="s">
        <v>11</v>
      </c>
      <c r="J127" s="2" t="s">
        <v>54</v>
      </c>
      <c r="K127" s="29"/>
      <c r="L127" s="6"/>
    </row>
    <row r="128" spans="1:12" ht="27.6" hidden="1" x14ac:dyDescent="0.3">
      <c r="A128" s="2" t="s">
        <v>11</v>
      </c>
      <c r="B128" s="2" t="s">
        <v>584</v>
      </c>
      <c r="C128" s="3">
        <v>30942</v>
      </c>
      <c r="D128" s="1" t="s">
        <v>585</v>
      </c>
      <c r="E128" s="1" t="s">
        <v>586</v>
      </c>
      <c r="F128" s="2" t="s">
        <v>91</v>
      </c>
      <c r="G128" s="2" t="s">
        <v>48</v>
      </c>
      <c r="H128" s="2" t="s">
        <v>26</v>
      </c>
      <c r="I128" s="2" t="s">
        <v>11</v>
      </c>
      <c r="J128" s="2" t="s">
        <v>587</v>
      </c>
      <c r="K128" s="30" t="s">
        <v>13193</v>
      </c>
      <c r="L128" s="6" t="s">
        <v>13195</v>
      </c>
    </row>
    <row r="129" spans="1:12" ht="27.6" hidden="1" x14ac:dyDescent="0.3">
      <c r="A129" s="2" t="s">
        <v>11</v>
      </c>
      <c r="B129" s="2" t="s">
        <v>584</v>
      </c>
      <c r="C129" s="3">
        <v>30942</v>
      </c>
      <c r="D129" s="1" t="s">
        <v>585</v>
      </c>
      <c r="E129" s="1" t="s">
        <v>586</v>
      </c>
      <c r="F129" s="2" t="s">
        <v>91</v>
      </c>
      <c r="G129" s="2" t="s">
        <v>48</v>
      </c>
      <c r="H129" s="2" t="s">
        <v>43</v>
      </c>
      <c r="I129" s="2" t="s">
        <v>11</v>
      </c>
      <c r="J129" s="2" t="s">
        <v>588</v>
      </c>
      <c r="K129" s="30" t="s">
        <v>13193</v>
      </c>
      <c r="L129" s="6" t="s">
        <v>13195</v>
      </c>
    </row>
    <row r="130" spans="1:12" ht="27.6" hidden="1" x14ac:dyDescent="0.3">
      <c r="A130" s="2" t="s">
        <v>11</v>
      </c>
      <c r="B130" s="2" t="s">
        <v>589</v>
      </c>
      <c r="C130" s="3">
        <v>35078</v>
      </c>
      <c r="D130" s="1" t="s">
        <v>590</v>
      </c>
      <c r="E130" s="1" t="s">
        <v>591</v>
      </c>
      <c r="F130" s="2" t="s">
        <v>358</v>
      </c>
      <c r="G130" s="2" t="s">
        <v>48</v>
      </c>
      <c r="H130" s="2" t="s">
        <v>43</v>
      </c>
      <c r="I130" s="2" t="s">
        <v>11</v>
      </c>
      <c r="J130" s="2" t="s">
        <v>592</v>
      </c>
      <c r="K130" s="30" t="s">
        <v>13193</v>
      </c>
      <c r="L130" s="6" t="s">
        <v>13195</v>
      </c>
    </row>
    <row r="131" spans="1:12" ht="27.6" hidden="1" x14ac:dyDescent="0.3">
      <c r="A131" s="2" t="s">
        <v>11</v>
      </c>
      <c r="B131" s="2" t="s">
        <v>593</v>
      </c>
      <c r="C131" s="3">
        <v>21249</v>
      </c>
      <c r="D131" s="1" t="s">
        <v>594</v>
      </c>
      <c r="E131" s="1" t="s">
        <v>595</v>
      </c>
      <c r="F131" s="2" t="s">
        <v>16</v>
      </c>
      <c r="G131" s="2" t="s">
        <v>596</v>
      </c>
      <c r="H131" s="2" t="s">
        <v>43</v>
      </c>
      <c r="I131" s="2" t="s">
        <v>11</v>
      </c>
      <c r="J131" s="2" t="s">
        <v>597</v>
      </c>
      <c r="K131" s="2" t="s">
        <v>10</v>
      </c>
      <c r="L131" s="6"/>
    </row>
    <row r="132" spans="1:12" ht="27.6" hidden="1" x14ac:dyDescent="0.3">
      <c r="A132" s="2" t="s">
        <v>60</v>
      </c>
      <c r="B132" s="2" t="s">
        <v>598</v>
      </c>
      <c r="C132" s="3">
        <v>33122</v>
      </c>
      <c r="D132" s="1" t="s">
        <v>599</v>
      </c>
      <c r="E132" s="1" t="s">
        <v>600</v>
      </c>
      <c r="F132" s="2" t="s">
        <v>74</v>
      </c>
      <c r="G132" s="2" t="s">
        <v>211</v>
      </c>
      <c r="H132" s="2" t="s">
        <v>10</v>
      </c>
      <c r="I132" s="2" t="s">
        <v>60</v>
      </c>
      <c r="J132" s="2" t="s">
        <v>601</v>
      </c>
      <c r="K132" s="2" t="s">
        <v>10</v>
      </c>
      <c r="L132" s="6"/>
    </row>
    <row r="133" spans="1:12" ht="27.6" hidden="1" x14ac:dyDescent="0.3">
      <c r="A133" s="2" t="s">
        <v>60</v>
      </c>
      <c r="B133" s="2" t="s">
        <v>598</v>
      </c>
      <c r="C133" s="3">
        <v>33122</v>
      </c>
      <c r="D133" s="1" t="s">
        <v>602</v>
      </c>
      <c r="E133" s="1" t="s">
        <v>603</v>
      </c>
      <c r="F133" s="2" t="s">
        <v>74</v>
      </c>
      <c r="G133" s="2" t="s">
        <v>604</v>
      </c>
      <c r="H133" s="2" t="s">
        <v>10</v>
      </c>
      <c r="I133" s="2" t="s">
        <v>60</v>
      </c>
      <c r="J133" s="2" t="s">
        <v>605</v>
      </c>
      <c r="K133" s="2" t="s">
        <v>10</v>
      </c>
      <c r="L133" s="6"/>
    </row>
    <row r="134" spans="1:12" ht="27.6" hidden="1" x14ac:dyDescent="0.3">
      <c r="A134" s="2" t="s">
        <v>60</v>
      </c>
      <c r="B134" s="2" t="s">
        <v>606</v>
      </c>
      <c r="C134" s="3">
        <v>22210</v>
      </c>
      <c r="D134" s="1" t="s">
        <v>607</v>
      </c>
      <c r="E134" s="1" t="s">
        <v>608</v>
      </c>
      <c r="F134" s="2" t="s">
        <v>609</v>
      </c>
      <c r="G134" s="2" t="s">
        <v>80</v>
      </c>
      <c r="H134" s="2" t="s">
        <v>411</v>
      </c>
      <c r="I134" s="2" t="s">
        <v>60</v>
      </c>
      <c r="J134" s="2" t="s">
        <v>610</v>
      </c>
      <c r="K134" s="2" t="s">
        <v>10</v>
      </c>
      <c r="L134" s="6"/>
    </row>
    <row r="135" spans="1:12" ht="27.6" hidden="1" x14ac:dyDescent="0.3">
      <c r="A135" s="2" t="s">
        <v>60</v>
      </c>
      <c r="B135" s="2" t="s">
        <v>611</v>
      </c>
      <c r="C135" s="3">
        <v>27962</v>
      </c>
      <c r="D135" s="1" t="s">
        <v>612</v>
      </c>
      <c r="E135" s="1" t="s">
        <v>613</v>
      </c>
      <c r="F135" s="2" t="s">
        <v>614</v>
      </c>
      <c r="G135" s="2" t="s">
        <v>80</v>
      </c>
      <c r="H135" s="2" t="s">
        <v>10</v>
      </c>
      <c r="I135" s="2" t="s">
        <v>60</v>
      </c>
      <c r="J135" s="2" t="s">
        <v>82</v>
      </c>
      <c r="K135" s="2" t="s">
        <v>10</v>
      </c>
      <c r="L135" s="6"/>
    </row>
    <row r="136" spans="1:12" ht="27.6" hidden="1" x14ac:dyDescent="0.3">
      <c r="A136" s="2" t="s">
        <v>60</v>
      </c>
      <c r="B136" s="2" t="s">
        <v>615</v>
      </c>
      <c r="C136" s="3">
        <v>25374</v>
      </c>
      <c r="D136" s="1" t="s">
        <v>616</v>
      </c>
      <c r="E136" s="1" t="s">
        <v>617</v>
      </c>
      <c r="F136" s="2" t="s">
        <v>618</v>
      </c>
      <c r="G136" s="2" t="s">
        <v>492</v>
      </c>
      <c r="H136" s="2" t="s">
        <v>103</v>
      </c>
      <c r="I136" s="2" t="s">
        <v>60</v>
      </c>
      <c r="J136" s="2" t="s">
        <v>619</v>
      </c>
      <c r="K136" s="2" t="s">
        <v>10</v>
      </c>
      <c r="L136" s="6"/>
    </row>
    <row r="137" spans="1:12" ht="27.6" hidden="1" x14ac:dyDescent="0.3">
      <c r="A137" s="2" t="s">
        <v>60</v>
      </c>
      <c r="B137" s="2" t="s">
        <v>620</v>
      </c>
      <c r="C137" s="3">
        <v>29261</v>
      </c>
      <c r="D137" s="1" t="s">
        <v>621</v>
      </c>
      <c r="E137" s="1" t="s">
        <v>622</v>
      </c>
      <c r="F137" s="2" t="s">
        <v>623</v>
      </c>
      <c r="G137" s="2" t="s">
        <v>319</v>
      </c>
      <c r="H137" s="2" t="s">
        <v>10</v>
      </c>
      <c r="I137" s="2" t="s">
        <v>60</v>
      </c>
      <c r="J137" s="2" t="s">
        <v>320</v>
      </c>
      <c r="K137" s="2" t="s">
        <v>10</v>
      </c>
      <c r="L137" s="6"/>
    </row>
    <row r="138" spans="1:12" ht="27.6" hidden="1" x14ac:dyDescent="0.3">
      <c r="A138" s="2" t="s">
        <v>60</v>
      </c>
      <c r="B138" s="2" t="s">
        <v>624</v>
      </c>
      <c r="C138" s="3">
        <v>28001</v>
      </c>
      <c r="D138" s="1" t="s">
        <v>625</v>
      </c>
      <c r="E138" s="1" t="s">
        <v>626</v>
      </c>
      <c r="F138" s="2" t="s">
        <v>60</v>
      </c>
      <c r="G138" s="2" t="s">
        <v>627</v>
      </c>
      <c r="H138" s="2" t="s">
        <v>334</v>
      </c>
      <c r="I138" s="2" t="s">
        <v>60</v>
      </c>
      <c r="J138" s="2" t="s">
        <v>628</v>
      </c>
      <c r="K138" s="2" t="s">
        <v>10</v>
      </c>
      <c r="L138" s="6"/>
    </row>
    <row r="139" spans="1:12" ht="27.6" hidden="1" x14ac:dyDescent="0.3">
      <c r="A139" s="2" t="s">
        <v>60</v>
      </c>
      <c r="B139" s="2" t="s">
        <v>629</v>
      </c>
      <c r="C139" s="3">
        <v>33707</v>
      </c>
      <c r="D139" s="1" t="s">
        <v>630</v>
      </c>
      <c r="E139" s="1" t="s">
        <v>631</v>
      </c>
      <c r="F139" s="2" t="s">
        <v>632</v>
      </c>
      <c r="G139" s="2" t="s">
        <v>190</v>
      </c>
      <c r="H139" s="2" t="s">
        <v>10</v>
      </c>
      <c r="I139" s="2" t="s">
        <v>60</v>
      </c>
      <c r="J139" s="2" t="s">
        <v>191</v>
      </c>
      <c r="K139" s="2" t="s">
        <v>10</v>
      </c>
      <c r="L139" s="6"/>
    </row>
    <row r="140" spans="1:12" ht="27.6" hidden="1" x14ac:dyDescent="0.3">
      <c r="A140" s="2" t="s">
        <v>60</v>
      </c>
      <c r="B140" s="2" t="s">
        <v>633</v>
      </c>
      <c r="C140" s="3">
        <v>29721</v>
      </c>
      <c r="D140" s="1" t="s">
        <v>634</v>
      </c>
      <c r="E140" s="1" t="s">
        <v>635</v>
      </c>
      <c r="F140" s="2" t="s">
        <v>636</v>
      </c>
      <c r="G140" s="2" t="s">
        <v>152</v>
      </c>
      <c r="H140" s="2" t="s">
        <v>10</v>
      </c>
      <c r="I140" s="2" t="s">
        <v>60</v>
      </c>
      <c r="J140" s="2" t="s">
        <v>153</v>
      </c>
      <c r="K140" s="2" t="s">
        <v>10</v>
      </c>
      <c r="L140" s="6"/>
    </row>
    <row r="141" spans="1:12" ht="27.6" hidden="1" x14ac:dyDescent="0.3">
      <c r="A141" s="2" t="s">
        <v>60</v>
      </c>
      <c r="B141" s="2" t="s">
        <v>637</v>
      </c>
      <c r="C141" s="3">
        <v>28792</v>
      </c>
      <c r="D141" s="1" t="s">
        <v>638</v>
      </c>
      <c r="E141" s="1" t="s">
        <v>639</v>
      </c>
      <c r="F141" s="2" t="s">
        <v>257</v>
      </c>
      <c r="G141" s="2" t="s">
        <v>157</v>
      </c>
      <c r="H141" s="2" t="s">
        <v>10</v>
      </c>
      <c r="I141" s="2" t="s">
        <v>60</v>
      </c>
      <c r="J141" s="2" t="s">
        <v>158</v>
      </c>
      <c r="K141" s="2" t="s">
        <v>10</v>
      </c>
      <c r="L141" s="6"/>
    </row>
    <row r="142" spans="1:12" ht="27.6" hidden="1" x14ac:dyDescent="0.3">
      <c r="A142" s="2" t="s">
        <v>60</v>
      </c>
      <c r="B142" s="2" t="s">
        <v>640</v>
      </c>
      <c r="C142" s="3">
        <v>35342</v>
      </c>
      <c r="D142" s="1" t="s">
        <v>641</v>
      </c>
      <c r="E142" s="1" t="s">
        <v>642</v>
      </c>
      <c r="F142" s="2" t="s">
        <v>60</v>
      </c>
      <c r="G142" s="2" t="s">
        <v>643</v>
      </c>
      <c r="H142" s="2" t="s">
        <v>10</v>
      </c>
      <c r="I142" s="2" t="s">
        <v>60</v>
      </c>
      <c r="J142" s="2" t="s">
        <v>644</v>
      </c>
      <c r="K142" s="2" t="s">
        <v>10</v>
      </c>
      <c r="L142" s="6"/>
    </row>
    <row r="143" spans="1:12" ht="27.6" hidden="1" x14ac:dyDescent="0.3">
      <c r="A143" s="2" t="s">
        <v>60</v>
      </c>
      <c r="B143" s="2" t="s">
        <v>645</v>
      </c>
      <c r="C143" s="3">
        <v>26590</v>
      </c>
      <c r="D143" s="1" t="s">
        <v>646</v>
      </c>
      <c r="E143" s="1" t="s">
        <v>647</v>
      </c>
      <c r="F143" s="2" t="s">
        <v>60</v>
      </c>
      <c r="G143" s="2" t="s">
        <v>648</v>
      </c>
      <c r="H143" s="2" t="s">
        <v>649</v>
      </c>
      <c r="I143" s="2" t="s">
        <v>60</v>
      </c>
      <c r="J143" s="2" t="s">
        <v>650</v>
      </c>
      <c r="K143" s="2" t="s">
        <v>10</v>
      </c>
      <c r="L143" s="6"/>
    </row>
    <row r="144" spans="1:12" ht="27.6" hidden="1" x14ac:dyDescent="0.3">
      <c r="A144" s="2" t="s">
        <v>60</v>
      </c>
      <c r="B144" s="2" t="s">
        <v>651</v>
      </c>
      <c r="C144" s="3">
        <v>41766</v>
      </c>
      <c r="D144" s="1" t="s">
        <v>652</v>
      </c>
      <c r="E144" s="1" t="s">
        <v>653</v>
      </c>
      <c r="F144" s="2" t="s">
        <v>74</v>
      </c>
      <c r="G144" s="2" t="s">
        <v>511</v>
      </c>
      <c r="H144" s="2" t="s">
        <v>10</v>
      </c>
      <c r="I144" s="2" t="s">
        <v>60</v>
      </c>
      <c r="J144" s="2" t="s">
        <v>512</v>
      </c>
      <c r="K144" s="2" t="s">
        <v>10</v>
      </c>
      <c r="L144" s="6"/>
    </row>
    <row r="145" spans="1:12" hidden="1" x14ac:dyDescent="0.3">
      <c r="A145" s="2" t="s">
        <v>180</v>
      </c>
      <c r="B145" s="2" t="s">
        <v>654</v>
      </c>
      <c r="C145" s="3">
        <v>37045</v>
      </c>
      <c r="D145" s="1" t="s">
        <v>655</v>
      </c>
      <c r="E145" s="1" t="s">
        <v>656</v>
      </c>
      <c r="F145" s="2" t="s">
        <v>522</v>
      </c>
      <c r="G145" s="2" t="s">
        <v>190</v>
      </c>
      <c r="H145" s="2" t="s">
        <v>10</v>
      </c>
      <c r="I145" s="2" t="s">
        <v>180</v>
      </c>
      <c r="J145" s="2" t="s">
        <v>191</v>
      </c>
      <c r="K145" s="2" t="s">
        <v>10</v>
      </c>
      <c r="L145" s="6"/>
    </row>
    <row r="146" spans="1:12" hidden="1" x14ac:dyDescent="0.3">
      <c r="A146" s="2" t="s">
        <v>180</v>
      </c>
      <c r="B146" s="2" t="s">
        <v>657</v>
      </c>
      <c r="C146" s="3">
        <v>36030</v>
      </c>
      <c r="D146" s="1" t="s">
        <v>658</v>
      </c>
      <c r="E146" s="1" t="s">
        <v>659</v>
      </c>
      <c r="F146" s="2" t="s">
        <v>459</v>
      </c>
      <c r="G146" s="2" t="s">
        <v>230</v>
      </c>
      <c r="H146" s="2" t="s">
        <v>10</v>
      </c>
      <c r="I146" s="2" t="s">
        <v>180</v>
      </c>
      <c r="J146" s="2" t="s">
        <v>270</v>
      </c>
      <c r="K146" s="2" t="s">
        <v>10</v>
      </c>
      <c r="L146" s="6"/>
    </row>
    <row r="147" spans="1:12" hidden="1" x14ac:dyDescent="0.3">
      <c r="A147" s="2" t="s">
        <v>180</v>
      </c>
      <c r="B147" s="2" t="s">
        <v>660</v>
      </c>
      <c r="C147" s="3">
        <v>31772</v>
      </c>
      <c r="D147" s="1" t="s">
        <v>661</v>
      </c>
      <c r="E147" s="1" t="s">
        <v>662</v>
      </c>
      <c r="F147" s="2" t="s">
        <v>491</v>
      </c>
      <c r="G147" s="2" t="s">
        <v>124</v>
      </c>
      <c r="H147" s="2" t="s">
        <v>10</v>
      </c>
      <c r="I147" s="2" t="s">
        <v>180</v>
      </c>
      <c r="J147" s="2" t="s">
        <v>173</v>
      </c>
      <c r="K147" s="2" t="s">
        <v>10</v>
      </c>
      <c r="L147" s="6"/>
    </row>
    <row r="148" spans="1:12" ht="27.6" hidden="1" x14ac:dyDescent="0.3">
      <c r="A148" s="2" t="s">
        <v>60</v>
      </c>
      <c r="B148" s="2" t="s">
        <v>663</v>
      </c>
      <c r="C148" s="3">
        <v>27692</v>
      </c>
      <c r="D148" s="1" t="s">
        <v>442</v>
      </c>
      <c r="E148" s="1" t="s">
        <v>664</v>
      </c>
      <c r="F148" s="2" t="s">
        <v>410</v>
      </c>
      <c r="G148" s="2" t="s">
        <v>86</v>
      </c>
      <c r="H148" s="2" t="s">
        <v>10</v>
      </c>
      <c r="I148" s="2" t="s">
        <v>60</v>
      </c>
      <c r="J148" s="2" t="s">
        <v>87</v>
      </c>
      <c r="K148" s="2" t="s">
        <v>10</v>
      </c>
      <c r="L148" s="6"/>
    </row>
    <row r="149" spans="1:12" hidden="1" x14ac:dyDescent="0.3">
      <c r="A149" s="2" t="s">
        <v>180</v>
      </c>
      <c r="B149" s="2" t="s">
        <v>666</v>
      </c>
      <c r="C149" s="3">
        <v>23442</v>
      </c>
      <c r="D149" s="1" t="s">
        <v>667</v>
      </c>
      <c r="E149" s="1" t="s">
        <v>668</v>
      </c>
      <c r="F149" s="2" t="s">
        <v>195</v>
      </c>
      <c r="G149" s="2" t="s">
        <v>669</v>
      </c>
      <c r="H149" s="2" t="s">
        <v>10</v>
      </c>
      <c r="I149" s="2" t="s">
        <v>180</v>
      </c>
      <c r="J149" s="2" t="s">
        <v>670</v>
      </c>
      <c r="K149" s="2" t="s">
        <v>10</v>
      </c>
      <c r="L149" s="6"/>
    </row>
    <row r="150" spans="1:12" hidden="1" x14ac:dyDescent="0.3">
      <c r="A150" s="2" t="s">
        <v>180</v>
      </c>
      <c r="B150" s="2" t="s">
        <v>671</v>
      </c>
      <c r="C150" s="3">
        <v>33179</v>
      </c>
      <c r="D150" s="1" t="s">
        <v>672</v>
      </c>
      <c r="E150" s="1" t="s">
        <v>673</v>
      </c>
      <c r="F150" s="2" t="s">
        <v>189</v>
      </c>
      <c r="G150" s="2" t="s">
        <v>12</v>
      </c>
      <c r="H150" s="2" t="s">
        <v>10</v>
      </c>
      <c r="I150" s="2" t="s">
        <v>180</v>
      </c>
      <c r="J150" s="2" t="s">
        <v>674</v>
      </c>
      <c r="K150" s="2" t="s">
        <v>10</v>
      </c>
      <c r="L150" s="6"/>
    </row>
    <row r="151" spans="1:12" ht="27.6" hidden="1" x14ac:dyDescent="0.3">
      <c r="A151" s="2" t="s">
        <v>180</v>
      </c>
      <c r="B151" s="2" t="s">
        <v>675</v>
      </c>
      <c r="C151" s="3">
        <v>24440</v>
      </c>
      <c r="D151" s="1" t="s">
        <v>676</v>
      </c>
      <c r="E151" s="1" t="s">
        <v>677</v>
      </c>
      <c r="F151" s="2" t="s">
        <v>470</v>
      </c>
      <c r="G151" s="2" t="s">
        <v>143</v>
      </c>
      <c r="H151" s="2" t="s">
        <v>10</v>
      </c>
      <c r="I151" s="2" t="s">
        <v>180</v>
      </c>
      <c r="J151" s="2" t="s">
        <v>678</v>
      </c>
      <c r="K151" s="2" t="s">
        <v>10</v>
      </c>
      <c r="L151" s="6"/>
    </row>
    <row r="152" spans="1:12" hidden="1" x14ac:dyDescent="0.3">
      <c r="A152" s="2" t="s">
        <v>180</v>
      </c>
      <c r="B152" s="2" t="s">
        <v>680</v>
      </c>
      <c r="C152" s="3">
        <v>33557</v>
      </c>
      <c r="D152" s="1" t="s">
        <v>681</v>
      </c>
      <c r="E152" s="1" t="s">
        <v>682</v>
      </c>
      <c r="F152" s="2" t="s">
        <v>683</v>
      </c>
      <c r="G152" s="2" t="s">
        <v>31</v>
      </c>
      <c r="H152" s="2" t="s">
        <v>10</v>
      </c>
      <c r="I152" s="2" t="s">
        <v>180</v>
      </c>
      <c r="J152" s="2" t="s">
        <v>684</v>
      </c>
      <c r="K152" s="2" t="s">
        <v>10</v>
      </c>
      <c r="L152" s="6"/>
    </row>
    <row r="153" spans="1:12" ht="27.6" hidden="1" x14ac:dyDescent="0.3">
      <c r="A153" s="2" t="s">
        <v>180</v>
      </c>
      <c r="B153" s="2" t="s">
        <v>685</v>
      </c>
      <c r="C153" s="3">
        <v>35986</v>
      </c>
      <c r="D153" s="1" t="s">
        <v>686</v>
      </c>
      <c r="E153" s="1" t="s">
        <v>687</v>
      </c>
      <c r="F153" s="2" t="s">
        <v>216</v>
      </c>
      <c r="G153" s="2" t="s">
        <v>143</v>
      </c>
      <c r="H153" s="2" t="s">
        <v>10</v>
      </c>
      <c r="I153" s="2" t="s">
        <v>180</v>
      </c>
      <c r="J153" s="2" t="s">
        <v>678</v>
      </c>
      <c r="K153" s="2" t="s">
        <v>10</v>
      </c>
      <c r="L153" s="6"/>
    </row>
    <row r="154" spans="1:12" ht="27.6" hidden="1" x14ac:dyDescent="0.3">
      <c r="A154" s="2" t="s">
        <v>180</v>
      </c>
      <c r="B154" s="2" t="s">
        <v>688</v>
      </c>
      <c r="C154" s="3">
        <v>36290</v>
      </c>
      <c r="D154" s="1" t="s">
        <v>689</v>
      </c>
      <c r="E154" s="1" t="s">
        <v>690</v>
      </c>
      <c r="F154" s="2" t="s">
        <v>691</v>
      </c>
      <c r="G154" s="2" t="s">
        <v>12</v>
      </c>
      <c r="H154" s="2" t="s">
        <v>10</v>
      </c>
      <c r="I154" s="2" t="s">
        <v>180</v>
      </c>
      <c r="J154" s="2" t="s">
        <v>692</v>
      </c>
      <c r="K154" s="2" t="s">
        <v>10</v>
      </c>
      <c r="L154" s="6"/>
    </row>
    <row r="155" spans="1:12" hidden="1" x14ac:dyDescent="0.3">
      <c r="A155" s="2" t="s">
        <v>180</v>
      </c>
      <c r="B155" s="2" t="s">
        <v>693</v>
      </c>
      <c r="C155" s="3">
        <v>23442</v>
      </c>
      <c r="D155" s="1" t="s">
        <v>694</v>
      </c>
      <c r="E155" s="1" t="s">
        <v>695</v>
      </c>
      <c r="F155" s="2" t="s">
        <v>216</v>
      </c>
      <c r="G155" s="2" t="s">
        <v>696</v>
      </c>
      <c r="H155" s="2" t="s">
        <v>10</v>
      </c>
      <c r="I155" s="2" t="s">
        <v>180</v>
      </c>
      <c r="J155" s="2" t="s">
        <v>697</v>
      </c>
      <c r="K155" s="2" t="s">
        <v>10</v>
      </c>
      <c r="L155" s="6"/>
    </row>
    <row r="156" spans="1:12" ht="27.6" hidden="1" x14ac:dyDescent="0.3">
      <c r="A156" s="2" t="s">
        <v>11</v>
      </c>
      <c r="B156" s="2" t="s">
        <v>698</v>
      </c>
      <c r="C156" s="3">
        <v>33429</v>
      </c>
      <c r="D156" s="1" t="s">
        <v>442</v>
      </c>
      <c r="E156" s="1" t="s">
        <v>699</v>
      </c>
      <c r="F156" s="2" t="s">
        <v>557</v>
      </c>
      <c r="G156" s="2" t="s">
        <v>48</v>
      </c>
      <c r="H156" s="2" t="s">
        <v>10</v>
      </c>
      <c r="I156" s="2" t="s">
        <v>11</v>
      </c>
      <c r="J156" s="2" t="s">
        <v>700</v>
      </c>
      <c r="K156" s="2" t="s">
        <v>10</v>
      </c>
      <c r="L156" s="6"/>
    </row>
    <row r="157" spans="1:12" ht="27.6" hidden="1" x14ac:dyDescent="0.3">
      <c r="A157" s="2" t="s">
        <v>11</v>
      </c>
      <c r="B157" s="2" t="s">
        <v>698</v>
      </c>
      <c r="C157" s="3">
        <v>33429</v>
      </c>
      <c r="D157" s="1" t="s">
        <v>442</v>
      </c>
      <c r="E157" s="1" t="s">
        <v>699</v>
      </c>
      <c r="F157" s="2" t="s">
        <v>557</v>
      </c>
      <c r="G157" s="2" t="s">
        <v>366</v>
      </c>
      <c r="H157" s="2" t="s">
        <v>10</v>
      </c>
      <c r="I157" s="2" t="s">
        <v>11</v>
      </c>
      <c r="J157" s="2" t="s">
        <v>701</v>
      </c>
      <c r="K157" s="2" t="s">
        <v>10</v>
      </c>
    </row>
    <row r="158" spans="1:12" ht="27.6" hidden="1" x14ac:dyDescent="0.3">
      <c r="A158" s="2" t="s">
        <v>180</v>
      </c>
      <c r="B158" s="2" t="s">
        <v>702</v>
      </c>
      <c r="C158" s="3">
        <v>36248</v>
      </c>
      <c r="D158" s="1" t="s">
        <v>703</v>
      </c>
      <c r="E158" s="1" t="s">
        <v>704</v>
      </c>
      <c r="F158" s="2" t="s">
        <v>705</v>
      </c>
      <c r="G158" s="2" t="s">
        <v>143</v>
      </c>
      <c r="H158" s="2" t="s">
        <v>10</v>
      </c>
      <c r="I158" s="2" t="s">
        <v>180</v>
      </c>
      <c r="J158" s="2" t="s">
        <v>144</v>
      </c>
      <c r="K158" s="2" t="s">
        <v>10</v>
      </c>
      <c r="L158" s="6"/>
    </row>
    <row r="159" spans="1:12" ht="27.6" hidden="1" x14ac:dyDescent="0.3">
      <c r="A159" s="2" t="s">
        <v>60</v>
      </c>
      <c r="B159" s="2" t="s">
        <v>706</v>
      </c>
      <c r="C159" s="3">
        <v>25470</v>
      </c>
      <c r="D159" s="1" t="s">
        <v>707</v>
      </c>
      <c r="E159" s="1" t="s">
        <v>708</v>
      </c>
      <c r="F159" s="2" t="s">
        <v>74</v>
      </c>
      <c r="G159" s="2" t="s">
        <v>86</v>
      </c>
      <c r="H159" s="2" t="s">
        <v>334</v>
      </c>
      <c r="I159" s="2" t="s">
        <v>60</v>
      </c>
      <c r="J159" s="2" t="s">
        <v>87</v>
      </c>
      <c r="K159" s="2" t="s">
        <v>10</v>
      </c>
    </row>
    <row r="160" spans="1:12" ht="27.6" hidden="1" x14ac:dyDescent="0.3">
      <c r="A160" s="2" t="s">
        <v>11</v>
      </c>
      <c r="B160" s="2" t="s">
        <v>709</v>
      </c>
      <c r="C160" s="3">
        <v>32206</v>
      </c>
      <c r="D160" s="1" t="s">
        <v>710</v>
      </c>
      <c r="E160" s="1" t="s">
        <v>711</v>
      </c>
      <c r="F160" s="2" t="s">
        <v>16</v>
      </c>
      <c r="G160" s="2" t="s">
        <v>712</v>
      </c>
      <c r="H160" s="2" t="s">
        <v>10</v>
      </c>
      <c r="I160" s="2" t="s">
        <v>11</v>
      </c>
      <c r="J160" s="2" t="s">
        <v>713</v>
      </c>
      <c r="K160" s="2" t="s">
        <v>10</v>
      </c>
    </row>
    <row r="161" spans="1:12" ht="27.6" hidden="1" x14ac:dyDescent="0.3">
      <c r="A161" s="2" t="s">
        <v>180</v>
      </c>
      <c r="B161" s="2" t="s">
        <v>714</v>
      </c>
      <c r="C161" s="3">
        <v>31714</v>
      </c>
      <c r="D161" s="1" t="s">
        <v>715</v>
      </c>
      <c r="E161" s="1" t="s">
        <v>716</v>
      </c>
      <c r="F161" s="2" t="s">
        <v>717</v>
      </c>
      <c r="G161" s="2" t="s">
        <v>31</v>
      </c>
      <c r="H161" s="2" t="s">
        <v>252</v>
      </c>
      <c r="I161" s="2" t="s">
        <v>180</v>
      </c>
      <c r="J161" s="2" t="s">
        <v>718</v>
      </c>
      <c r="K161" s="2" t="s">
        <v>10</v>
      </c>
      <c r="L161" s="6"/>
    </row>
    <row r="162" spans="1:12" hidden="1" x14ac:dyDescent="0.3">
      <c r="A162" s="2" t="s">
        <v>180</v>
      </c>
      <c r="B162" s="2" t="s">
        <v>719</v>
      </c>
      <c r="C162" s="3">
        <v>32456</v>
      </c>
      <c r="D162" s="1" t="s">
        <v>720</v>
      </c>
      <c r="E162" s="1" t="s">
        <v>721</v>
      </c>
      <c r="F162" s="2" t="s">
        <v>466</v>
      </c>
      <c r="G162" s="2" t="s">
        <v>366</v>
      </c>
      <c r="H162" s="2" t="s">
        <v>10</v>
      </c>
      <c r="I162" s="2" t="s">
        <v>180</v>
      </c>
      <c r="J162" s="2" t="s">
        <v>437</v>
      </c>
      <c r="K162" s="2" t="s">
        <v>10</v>
      </c>
      <c r="L162" s="6"/>
    </row>
    <row r="163" spans="1:12" ht="27.6" hidden="1" x14ac:dyDescent="0.3">
      <c r="A163" s="2" t="s">
        <v>60</v>
      </c>
      <c r="B163" s="2" t="s">
        <v>722</v>
      </c>
      <c r="C163" s="3">
        <v>37761</v>
      </c>
      <c r="D163" s="1" t="s">
        <v>723</v>
      </c>
      <c r="E163" s="1" t="s">
        <v>724</v>
      </c>
      <c r="F163" s="2" t="s">
        <v>74</v>
      </c>
      <c r="G163" s="2" t="s">
        <v>206</v>
      </c>
      <c r="H163" s="2" t="s">
        <v>10</v>
      </c>
      <c r="I163" s="2" t="s">
        <v>60</v>
      </c>
      <c r="J163" s="2" t="s">
        <v>207</v>
      </c>
      <c r="K163" s="2" t="s">
        <v>10</v>
      </c>
    </row>
    <row r="164" spans="1:12" ht="27.6" hidden="1" x14ac:dyDescent="0.3">
      <c r="A164" s="2" t="s">
        <v>60</v>
      </c>
      <c r="B164" s="2" t="s">
        <v>725</v>
      </c>
      <c r="C164" s="3">
        <v>33858</v>
      </c>
      <c r="D164" s="1" t="s">
        <v>726</v>
      </c>
      <c r="E164" s="1" t="s">
        <v>727</v>
      </c>
      <c r="F164" s="2" t="s">
        <v>728</v>
      </c>
      <c r="G164" s="2" t="s">
        <v>31</v>
      </c>
      <c r="H164" s="2" t="s">
        <v>10</v>
      </c>
      <c r="I164" s="2" t="s">
        <v>60</v>
      </c>
      <c r="J164" s="2" t="s">
        <v>729</v>
      </c>
      <c r="K164" s="2" t="s">
        <v>10</v>
      </c>
    </row>
    <row r="165" spans="1:12" ht="27.6" hidden="1" x14ac:dyDescent="0.3">
      <c r="A165" s="2" t="s">
        <v>60</v>
      </c>
      <c r="B165" s="2" t="s">
        <v>730</v>
      </c>
      <c r="C165" s="3">
        <v>32549</v>
      </c>
      <c r="D165" s="1" t="s">
        <v>10</v>
      </c>
      <c r="E165" s="1" t="s">
        <v>731</v>
      </c>
      <c r="F165" s="2" t="s">
        <v>74</v>
      </c>
      <c r="G165" s="2" t="s">
        <v>124</v>
      </c>
      <c r="H165" s="2" t="s">
        <v>10</v>
      </c>
      <c r="I165" s="2" t="s">
        <v>60</v>
      </c>
      <c r="J165" s="2" t="s">
        <v>732</v>
      </c>
      <c r="K165" s="2" t="s">
        <v>10</v>
      </c>
    </row>
    <row r="166" spans="1:12" ht="27.6" hidden="1" x14ac:dyDescent="0.3">
      <c r="A166" s="2" t="s">
        <v>11</v>
      </c>
      <c r="B166" s="2" t="s">
        <v>733</v>
      </c>
      <c r="C166" s="3">
        <v>32237</v>
      </c>
      <c r="D166" s="1" t="s">
        <v>710</v>
      </c>
      <c r="E166" s="1" t="s">
        <v>711</v>
      </c>
      <c r="F166" s="2" t="s">
        <v>16</v>
      </c>
      <c r="G166" s="2" t="s">
        <v>734</v>
      </c>
      <c r="H166" s="2" t="s">
        <v>10</v>
      </c>
      <c r="I166" s="2" t="s">
        <v>11</v>
      </c>
      <c r="J166" s="2" t="s">
        <v>735</v>
      </c>
      <c r="K166" s="30" t="s">
        <v>13193</v>
      </c>
      <c r="L166" s="39" t="s">
        <v>13195</v>
      </c>
    </row>
    <row r="167" spans="1:12" ht="27.6" hidden="1" x14ac:dyDescent="0.3">
      <c r="A167" s="2" t="s">
        <v>11</v>
      </c>
      <c r="B167" s="2" t="s">
        <v>736</v>
      </c>
      <c r="C167" s="3">
        <v>26412</v>
      </c>
      <c r="D167" s="1" t="s">
        <v>737</v>
      </c>
      <c r="E167" s="1" t="s">
        <v>738</v>
      </c>
      <c r="F167" s="2" t="s">
        <v>16</v>
      </c>
      <c r="G167" s="2" t="s">
        <v>739</v>
      </c>
      <c r="H167" s="2" t="s">
        <v>10</v>
      </c>
      <c r="I167" s="2" t="s">
        <v>11</v>
      </c>
      <c r="J167" s="2" t="s">
        <v>740</v>
      </c>
      <c r="K167" s="2" t="s">
        <v>10</v>
      </c>
    </row>
    <row r="168" spans="1:12" ht="27.6" hidden="1" x14ac:dyDescent="0.3">
      <c r="A168" s="2" t="s">
        <v>11</v>
      </c>
      <c r="B168" s="2" t="s">
        <v>741</v>
      </c>
      <c r="C168" s="3">
        <v>25168</v>
      </c>
      <c r="D168" s="1" t="s">
        <v>742</v>
      </c>
      <c r="E168" s="1" t="s">
        <v>743</v>
      </c>
      <c r="F168" s="2" t="s">
        <v>557</v>
      </c>
      <c r="G168" s="2" t="s">
        <v>380</v>
      </c>
      <c r="H168" s="2" t="s">
        <v>10</v>
      </c>
      <c r="I168" s="2" t="s">
        <v>11</v>
      </c>
      <c r="J168" s="2" t="s">
        <v>744</v>
      </c>
      <c r="K168" s="2" t="s">
        <v>10</v>
      </c>
    </row>
    <row r="169" spans="1:12" ht="27.6" hidden="1" x14ac:dyDescent="0.3">
      <c r="A169" s="2" t="s">
        <v>60</v>
      </c>
      <c r="B169" s="2" t="s">
        <v>745</v>
      </c>
      <c r="C169" s="3">
        <v>31018</v>
      </c>
      <c r="D169" s="1" t="s">
        <v>746</v>
      </c>
      <c r="E169" s="1" t="s">
        <v>747</v>
      </c>
      <c r="F169" s="2" t="s">
        <v>614</v>
      </c>
      <c r="G169" s="2" t="s">
        <v>217</v>
      </c>
      <c r="H169" s="2" t="s">
        <v>10</v>
      </c>
      <c r="I169" s="2" t="s">
        <v>60</v>
      </c>
      <c r="J169" s="2" t="s">
        <v>218</v>
      </c>
      <c r="K169" s="2" t="s">
        <v>10</v>
      </c>
    </row>
    <row r="170" spans="1:12" ht="27.6" hidden="1" x14ac:dyDescent="0.3">
      <c r="A170" s="2" t="s">
        <v>60</v>
      </c>
      <c r="B170" s="2" t="s">
        <v>748</v>
      </c>
      <c r="C170" s="3">
        <v>36177</v>
      </c>
      <c r="D170" s="1" t="s">
        <v>749</v>
      </c>
      <c r="E170" s="1" t="s">
        <v>750</v>
      </c>
      <c r="F170" s="2" t="s">
        <v>410</v>
      </c>
      <c r="G170" s="2" t="s">
        <v>425</v>
      </c>
      <c r="H170" s="2" t="s">
        <v>751</v>
      </c>
      <c r="I170" s="2" t="s">
        <v>60</v>
      </c>
      <c r="J170" s="2" t="s">
        <v>426</v>
      </c>
      <c r="K170" s="2" t="s">
        <v>10</v>
      </c>
    </row>
    <row r="171" spans="1:12" ht="27.6" hidden="1" x14ac:dyDescent="0.3">
      <c r="A171" s="2" t="s">
        <v>60</v>
      </c>
      <c r="B171" s="2" t="s">
        <v>752</v>
      </c>
      <c r="C171" s="3">
        <v>28860</v>
      </c>
      <c r="D171" s="1" t="s">
        <v>753</v>
      </c>
      <c r="E171" s="1" t="s">
        <v>754</v>
      </c>
      <c r="F171" s="2" t="s">
        <v>728</v>
      </c>
      <c r="G171" s="2" t="s">
        <v>143</v>
      </c>
      <c r="H171" s="2" t="s">
        <v>10</v>
      </c>
      <c r="I171" s="2" t="s">
        <v>60</v>
      </c>
      <c r="J171" s="2" t="s">
        <v>144</v>
      </c>
      <c r="K171" s="2" t="s">
        <v>10</v>
      </c>
    </row>
    <row r="172" spans="1:12" ht="27.6" hidden="1" x14ac:dyDescent="0.3">
      <c r="A172" s="2" t="s">
        <v>60</v>
      </c>
      <c r="B172" s="2" t="s">
        <v>755</v>
      </c>
      <c r="C172" s="3">
        <v>34226</v>
      </c>
      <c r="D172" s="1" t="s">
        <v>756</v>
      </c>
      <c r="E172" s="1" t="s">
        <v>757</v>
      </c>
      <c r="F172" s="2" t="s">
        <v>728</v>
      </c>
      <c r="G172" s="2" t="s">
        <v>425</v>
      </c>
      <c r="H172" s="2" t="s">
        <v>10</v>
      </c>
      <c r="I172" s="2" t="s">
        <v>60</v>
      </c>
      <c r="J172" s="2" t="s">
        <v>426</v>
      </c>
      <c r="K172" s="2" t="s">
        <v>10</v>
      </c>
    </row>
    <row r="173" spans="1:12" ht="27.6" hidden="1" x14ac:dyDescent="0.3">
      <c r="A173" s="2" t="s">
        <v>60</v>
      </c>
      <c r="B173" s="2" t="s">
        <v>758</v>
      </c>
      <c r="C173" s="3">
        <v>34034</v>
      </c>
      <c r="D173" s="1" t="s">
        <v>759</v>
      </c>
      <c r="E173" s="1" t="s">
        <v>760</v>
      </c>
      <c r="F173" s="2" t="s">
        <v>410</v>
      </c>
      <c r="G173" s="2" t="s">
        <v>92</v>
      </c>
      <c r="H173" s="2" t="s">
        <v>10</v>
      </c>
      <c r="I173" s="2" t="s">
        <v>60</v>
      </c>
      <c r="J173" s="2" t="s">
        <v>153</v>
      </c>
      <c r="K173" s="2" t="s">
        <v>10</v>
      </c>
    </row>
    <row r="174" spans="1:12" ht="27.6" hidden="1" x14ac:dyDescent="0.3">
      <c r="A174" s="2" t="s">
        <v>60</v>
      </c>
      <c r="B174" s="2" t="s">
        <v>761</v>
      </c>
      <c r="C174" s="3">
        <v>36791</v>
      </c>
      <c r="D174" s="1" t="s">
        <v>762</v>
      </c>
      <c r="E174" s="1" t="s">
        <v>763</v>
      </c>
      <c r="F174" s="2" t="s">
        <v>764</v>
      </c>
      <c r="G174" s="2" t="s">
        <v>112</v>
      </c>
      <c r="H174" s="2" t="s">
        <v>10</v>
      </c>
      <c r="I174" s="2" t="s">
        <v>60</v>
      </c>
      <c r="J174" s="2" t="s">
        <v>315</v>
      </c>
      <c r="K174" s="2" t="s">
        <v>10</v>
      </c>
    </row>
    <row r="175" spans="1:12" ht="27.6" hidden="1" x14ac:dyDescent="0.3">
      <c r="A175" s="2" t="s">
        <v>60</v>
      </c>
      <c r="B175" s="2" t="s">
        <v>765</v>
      </c>
      <c r="C175" s="3">
        <v>32217</v>
      </c>
      <c r="D175" s="1" t="s">
        <v>766</v>
      </c>
      <c r="E175" s="1" t="s">
        <v>767</v>
      </c>
      <c r="F175" s="2" t="s">
        <v>764</v>
      </c>
      <c r="G175" s="2" t="s">
        <v>190</v>
      </c>
      <c r="H175" s="2" t="s">
        <v>10</v>
      </c>
      <c r="I175" s="2" t="s">
        <v>60</v>
      </c>
      <c r="J175" s="2" t="s">
        <v>768</v>
      </c>
      <c r="K175" s="2" t="s">
        <v>10</v>
      </c>
    </row>
    <row r="176" spans="1:12" ht="27.6" hidden="1" x14ac:dyDescent="0.3">
      <c r="A176" s="2" t="s">
        <v>60</v>
      </c>
      <c r="B176" s="2" t="s">
        <v>769</v>
      </c>
      <c r="C176" s="3">
        <v>26916</v>
      </c>
      <c r="D176" s="1" t="s">
        <v>770</v>
      </c>
      <c r="E176" s="1" t="s">
        <v>771</v>
      </c>
      <c r="F176" s="2" t="s">
        <v>764</v>
      </c>
      <c r="G176" s="2" t="s">
        <v>143</v>
      </c>
      <c r="H176" s="2" t="s">
        <v>10</v>
      </c>
      <c r="I176" s="2" t="s">
        <v>60</v>
      </c>
      <c r="J176" s="2" t="s">
        <v>324</v>
      </c>
      <c r="K176" s="2" t="s">
        <v>10</v>
      </c>
    </row>
    <row r="177" spans="1:11" ht="27.6" hidden="1" x14ac:dyDescent="0.3">
      <c r="A177" s="2" t="s">
        <v>60</v>
      </c>
      <c r="B177" s="2" t="s">
        <v>772</v>
      </c>
      <c r="C177" s="3">
        <v>36646</v>
      </c>
      <c r="D177" s="1" t="s">
        <v>773</v>
      </c>
      <c r="E177" s="1" t="s">
        <v>774</v>
      </c>
      <c r="F177" s="2" t="s">
        <v>775</v>
      </c>
      <c r="G177" s="2" t="s">
        <v>143</v>
      </c>
      <c r="H177" s="2" t="s">
        <v>10</v>
      </c>
      <c r="I177" s="2" t="s">
        <v>60</v>
      </c>
      <c r="J177" s="2" t="s">
        <v>776</v>
      </c>
      <c r="K177" s="2" t="s">
        <v>10</v>
      </c>
    </row>
    <row r="178" spans="1:11" ht="27.6" hidden="1" x14ac:dyDescent="0.3">
      <c r="A178" s="2" t="s">
        <v>60</v>
      </c>
      <c r="B178" s="2" t="s">
        <v>777</v>
      </c>
      <c r="C178" s="3">
        <v>35869</v>
      </c>
      <c r="D178" s="1" t="s">
        <v>778</v>
      </c>
      <c r="E178" s="1" t="s">
        <v>779</v>
      </c>
      <c r="F178" s="2" t="s">
        <v>60</v>
      </c>
      <c r="G178" s="2" t="s">
        <v>780</v>
      </c>
      <c r="H178" s="2" t="s">
        <v>103</v>
      </c>
      <c r="I178" s="2" t="s">
        <v>60</v>
      </c>
      <c r="J178" s="2" t="s">
        <v>781</v>
      </c>
      <c r="K178" s="2" t="s">
        <v>10</v>
      </c>
    </row>
    <row r="179" spans="1:11" ht="27.6" hidden="1" x14ac:dyDescent="0.3">
      <c r="A179" s="2" t="s">
        <v>60</v>
      </c>
      <c r="B179" s="2" t="s">
        <v>777</v>
      </c>
      <c r="C179" s="3">
        <v>35869</v>
      </c>
      <c r="D179" s="1" t="s">
        <v>778</v>
      </c>
      <c r="E179" s="1" t="s">
        <v>779</v>
      </c>
      <c r="F179" s="2" t="s">
        <v>60</v>
      </c>
      <c r="G179" s="2" t="s">
        <v>780</v>
      </c>
      <c r="H179" s="2" t="s">
        <v>81</v>
      </c>
      <c r="I179" s="2" t="s">
        <v>60</v>
      </c>
      <c r="J179" s="2" t="s">
        <v>781</v>
      </c>
      <c r="K179" s="2" t="s">
        <v>10</v>
      </c>
    </row>
    <row r="180" spans="1:11" ht="27.6" hidden="1" x14ac:dyDescent="0.3">
      <c r="A180" s="2" t="s">
        <v>60</v>
      </c>
      <c r="B180" s="2" t="s">
        <v>782</v>
      </c>
      <c r="C180" s="3">
        <v>28380</v>
      </c>
      <c r="D180" s="1" t="s">
        <v>783</v>
      </c>
      <c r="E180" s="1" t="s">
        <v>784</v>
      </c>
      <c r="F180" s="2" t="s">
        <v>614</v>
      </c>
      <c r="G180" s="2" t="s">
        <v>366</v>
      </c>
      <c r="H180" s="2" t="s">
        <v>10</v>
      </c>
      <c r="I180" s="2" t="s">
        <v>60</v>
      </c>
      <c r="J180" s="2" t="s">
        <v>437</v>
      </c>
      <c r="K180" s="2" t="s">
        <v>10</v>
      </c>
    </row>
    <row r="181" spans="1:11" ht="27.6" hidden="1" x14ac:dyDescent="0.3">
      <c r="A181" s="2" t="s">
        <v>60</v>
      </c>
      <c r="B181" s="2" t="s">
        <v>785</v>
      </c>
      <c r="C181" s="3">
        <v>35667</v>
      </c>
      <c r="D181" s="1" t="s">
        <v>786</v>
      </c>
      <c r="E181" s="1" t="s">
        <v>787</v>
      </c>
      <c r="F181" s="2" t="s">
        <v>74</v>
      </c>
      <c r="G181" s="2" t="s">
        <v>112</v>
      </c>
      <c r="H181" s="2" t="s">
        <v>334</v>
      </c>
      <c r="I181" s="2" t="s">
        <v>60</v>
      </c>
      <c r="J181" s="2" t="s">
        <v>315</v>
      </c>
      <c r="K181" s="2" t="s">
        <v>10</v>
      </c>
    </row>
    <row r="182" spans="1:11" ht="27.6" hidden="1" x14ac:dyDescent="0.3">
      <c r="A182" s="2" t="s">
        <v>60</v>
      </c>
      <c r="B182" s="2" t="s">
        <v>788</v>
      </c>
      <c r="C182" s="3">
        <v>36751</v>
      </c>
      <c r="D182" s="1" t="s">
        <v>789</v>
      </c>
      <c r="E182" s="1" t="s">
        <v>790</v>
      </c>
      <c r="F182" s="2" t="s">
        <v>74</v>
      </c>
      <c r="G182" s="2" t="s">
        <v>80</v>
      </c>
      <c r="H182" s="2" t="s">
        <v>10</v>
      </c>
      <c r="I182" s="2" t="s">
        <v>60</v>
      </c>
      <c r="J182" s="2" t="s">
        <v>82</v>
      </c>
      <c r="K182" s="2" t="s">
        <v>10</v>
      </c>
    </row>
    <row r="183" spans="1:11" ht="27.6" hidden="1" x14ac:dyDescent="0.3">
      <c r="A183" s="2" t="s">
        <v>60</v>
      </c>
      <c r="B183" s="2" t="s">
        <v>791</v>
      </c>
      <c r="C183" s="3">
        <v>32265</v>
      </c>
      <c r="D183" s="1" t="s">
        <v>792</v>
      </c>
      <c r="E183" s="1" t="s">
        <v>793</v>
      </c>
      <c r="F183" s="2" t="s">
        <v>60</v>
      </c>
      <c r="G183" s="2" t="s">
        <v>794</v>
      </c>
      <c r="H183" s="2" t="s">
        <v>10</v>
      </c>
      <c r="I183" s="2" t="s">
        <v>60</v>
      </c>
      <c r="J183" s="2" t="s">
        <v>795</v>
      </c>
      <c r="K183" s="2" t="s">
        <v>10</v>
      </c>
    </row>
    <row r="184" spans="1:11" ht="27.6" hidden="1" x14ac:dyDescent="0.3">
      <c r="A184" s="2" t="s">
        <v>60</v>
      </c>
      <c r="B184" s="2" t="s">
        <v>791</v>
      </c>
      <c r="C184" s="3">
        <v>35917</v>
      </c>
      <c r="D184" s="1" t="s">
        <v>792</v>
      </c>
      <c r="E184" s="1" t="s">
        <v>793</v>
      </c>
      <c r="F184" s="2" t="s">
        <v>60</v>
      </c>
      <c r="G184" s="2" t="s">
        <v>796</v>
      </c>
      <c r="H184" s="2" t="s">
        <v>10</v>
      </c>
      <c r="I184" s="2" t="s">
        <v>60</v>
      </c>
      <c r="J184" s="2" t="s">
        <v>797</v>
      </c>
      <c r="K184" s="2" t="s">
        <v>10</v>
      </c>
    </row>
    <row r="185" spans="1:11" ht="27.6" hidden="1" x14ac:dyDescent="0.3">
      <c r="A185" s="2" t="s">
        <v>60</v>
      </c>
      <c r="B185" s="2" t="s">
        <v>798</v>
      </c>
      <c r="C185" s="3">
        <v>22318</v>
      </c>
      <c r="D185" s="1" t="s">
        <v>799</v>
      </c>
      <c r="E185" s="1" t="s">
        <v>799</v>
      </c>
      <c r="F185" s="2" t="s">
        <v>632</v>
      </c>
      <c r="G185" s="2" t="s">
        <v>152</v>
      </c>
      <c r="H185" s="2" t="s">
        <v>10</v>
      </c>
      <c r="I185" s="2" t="s">
        <v>60</v>
      </c>
      <c r="J185" s="2" t="s">
        <v>153</v>
      </c>
      <c r="K185" s="2" t="s">
        <v>10</v>
      </c>
    </row>
    <row r="186" spans="1:11" ht="27.6" hidden="1" x14ac:dyDescent="0.3">
      <c r="A186" s="2" t="s">
        <v>60</v>
      </c>
      <c r="B186" s="2" t="s">
        <v>800</v>
      </c>
      <c r="C186" s="3">
        <v>34505</v>
      </c>
      <c r="D186" s="1" t="s">
        <v>801</v>
      </c>
      <c r="E186" s="1" t="s">
        <v>802</v>
      </c>
      <c r="F186" s="2" t="s">
        <v>60</v>
      </c>
      <c r="G186" s="2" t="s">
        <v>803</v>
      </c>
      <c r="H186" s="2" t="s">
        <v>10</v>
      </c>
      <c r="I186" s="2" t="s">
        <v>60</v>
      </c>
      <c r="J186" s="2" t="s">
        <v>804</v>
      </c>
      <c r="K186" s="2" t="s">
        <v>10</v>
      </c>
    </row>
    <row r="187" spans="1:11" ht="27.6" hidden="1" x14ac:dyDescent="0.3">
      <c r="A187" s="2" t="s">
        <v>60</v>
      </c>
      <c r="B187" s="2" t="s">
        <v>805</v>
      </c>
      <c r="C187" s="3">
        <v>34682</v>
      </c>
      <c r="D187" s="1" t="s">
        <v>806</v>
      </c>
      <c r="E187" s="1" t="s">
        <v>807</v>
      </c>
      <c r="F187" s="2" t="s">
        <v>60</v>
      </c>
      <c r="G187" s="2" t="s">
        <v>808</v>
      </c>
      <c r="H187" s="2" t="s">
        <v>10</v>
      </c>
      <c r="I187" s="2" t="s">
        <v>60</v>
      </c>
      <c r="J187" s="2" t="s">
        <v>809</v>
      </c>
      <c r="K187" s="2" t="s">
        <v>10</v>
      </c>
    </row>
    <row r="188" spans="1:11" ht="27.6" hidden="1" x14ac:dyDescent="0.3">
      <c r="A188" s="2" t="s">
        <v>60</v>
      </c>
      <c r="B188" s="2" t="s">
        <v>810</v>
      </c>
      <c r="C188" s="3">
        <v>25169</v>
      </c>
      <c r="D188" s="1" t="s">
        <v>811</v>
      </c>
      <c r="E188" s="1" t="s">
        <v>812</v>
      </c>
      <c r="F188" s="2" t="s">
        <v>813</v>
      </c>
      <c r="G188" s="2" t="s">
        <v>143</v>
      </c>
      <c r="H188" s="2" t="s">
        <v>10</v>
      </c>
      <c r="I188" s="2" t="s">
        <v>60</v>
      </c>
      <c r="J188" s="2" t="s">
        <v>144</v>
      </c>
      <c r="K188" s="2" t="s">
        <v>10</v>
      </c>
    </row>
    <row r="189" spans="1:11" ht="27.6" hidden="1" x14ac:dyDescent="0.3">
      <c r="A189" s="2" t="s">
        <v>60</v>
      </c>
      <c r="B189" s="2" t="s">
        <v>814</v>
      </c>
      <c r="C189" s="3">
        <v>34262</v>
      </c>
      <c r="D189" s="1" t="s">
        <v>815</v>
      </c>
      <c r="E189" s="1" t="s">
        <v>816</v>
      </c>
      <c r="F189" s="2" t="s">
        <v>614</v>
      </c>
      <c r="G189" s="2" t="s">
        <v>425</v>
      </c>
      <c r="H189" s="2" t="s">
        <v>334</v>
      </c>
      <c r="I189" s="2" t="s">
        <v>60</v>
      </c>
      <c r="J189" s="2" t="s">
        <v>426</v>
      </c>
      <c r="K189" s="2" t="s">
        <v>10</v>
      </c>
    </row>
    <row r="190" spans="1:11" ht="27.6" hidden="1" x14ac:dyDescent="0.3">
      <c r="A190" s="2" t="s">
        <v>60</v>
      </c>
      <c r="B190" s="2" t="s">
        <v>817</v>
      </c>
      <c r="C190" s="3">
        <v>30644</v>
      </c>
      <c r="D190" s="1" t="s">
        <v>10</v>
      </c>
      <c r="E190" s="1" t="s">
        <v>818</v>
      </c>
      <c r="F190" s="2" t="s">
        <v>764</v>
      </c>
      <c r="G190" s="2" t="s">
        <v>492</v>
      </c>
      <c r="H190" s="2" t="s">
        <v>10</v>
      </c>
      <c r="I190" s="2" t="s">
        <v>60</v>
      </c>
      <c r="J190" s="2" t="s">
        <v>619</v>
      </c>
      <c r="K190" s="2" t="s">
        <v>10</v>
      </c>
    </row>
    <row r="191" spans="1:11" ht="27.6" hidden="1" x14ac:dyDescent="0.3">
      <c r="A191" s="2" t="s">
        <v>60</v>
      </c>
      <c r="B191" s="2" t="s">
        <v>819</v>
      </c>
      <c r="C191" s="3">
        <v>35925</v>
      </c>
      <c r="D191" s="1" t="s">
        <v>820</v>
      </c>
      <c r="E191" s="1" t="s">
        <v>821</v>
      </c>
      <c r="F191" s="2" t="s">
        <v>728</v>
      </c>
      <c r="G191" s="2" t="s">
        <v>492</v>
      </c>
      <c r="H191" s="2" t="s">
        <v>822</v>
      </c>
      <c r="I191" s="2" t="s">
        <v>60</v>
      </c>
      <c r="J191" s="2" t="s">
        <v>223</v>
      </c>
      <c r="K191" s="2" t="s">
        <v>10</v>
      </c>
    </row>
    <row r="192" spans="1:11" ht="27.6" hidden="1" x14ac:dyDescent="0.3">
      <c r="A192" s="2" t="s">
        <v>60</v>
      </c>
      <c r="B192" s="2" t="s">
        <v>823</v>
      </c>
      <c r="C192" s="3">
        <v>25559</v>
      </c>
      <c r="D192" s="1" t="s">
        <v>442</v>
      </c>
      <c r="E192" s="1" t="s">
        <v>824</v>
      </c>
      <c r="F192" s="2" t="s">
        <v>825</v>
      </c>
      <c r="G192" s="2" t="s">
        <v>92</v>
      </c>
      <c r="H192" s="2" t="s">
        <v>10</v>
      </c>
      <c r="I192" s="2" t="s">
        <v>60</v>
      </c>
      <c r="J192" s="2" t="s">
        <v>826</v>
      </c>
      <c r="K192" s="2" t="s">
        <v>10</v>
      </c>
    </row>
    <row r="193" spans="1:12" ht="27.6" hidden="1" x14ac:dyDescent="0.3">
      <c r="A193" s="2" t="s">
        <v>60</v>
      </c>
      <c r="B193" s="2" t="s">
        <v>827</v>
      </c>
      <c r="C193" s="3">
        <v>28911</v>
      </c>
      <c r="D193" s="1" t="s">
        <v>828</v>
      </c>
      <c r="E193" s="1" t="s">
        <v>829</v>
      </c>
      <c r="F193" s="2" t="s">
        <v>257</v>
      </c>
      <c r="G193" s="2" t="s">
        <v>196</v>
      </c>
      <c r="H193" s="2" t="s">
        <v>10</v>
      </c>
      <c r="I193" s="2" t="s">
        <v>60</v>
      </c>
      <c r="J193" s="2" t="s">
        <v>197</v>
      </c>
      <c r="K193" s="2" t="s">
        <v>10</v>
      </c>
    </row>
    <row r="194" spans="1:12" ht="27.6" hidden="1" x14ac:dyDescent="0.3">
      <c r="A194" s="2" t="s">
        <v>60</v>
      </c>
      <c r="B194" s="2" t="s">
        <v>830</v>
      </c>
      <c r="C194" s="3">
        <v>26050</v>
      </c>
      <c r="D194" s="1" t="s">
        <v>831</v>
      </c>
      <c r="E194" s="1" t="s">
        <v>832</v>
      </c>
      <c r="F194" s="2" t="s">
        <v>825</v>
      </c>
      <c r="G194" s="2" t="s">
        <v>425</v>
      </c>
      <c r="H194" s="2" t="s">
        <v>10</v>
      </c>
      <c r="I194" s="2" t="s">
        <v>60</v>
      </c>
      <c r="J194" s="2" t="s">
        <v>426</v>
      </c>
      <c r="K194" s="2" t="s">
        <v>10</v>
      </c>
    </row>
    <row r="195" spans="1:12" ht="27.6" hidden="1" x14ac:dyDescent="0.3">
      <c r="A195" s="2" t="s">
        <v>60</v>
      </c>
      <c r="B195" s="2" t="s">
        <v>833</v>
      </c>
      <c r="C195" s="3">
        <v>27598</v>
      </c>
      <c r="D195" s="1" t="s">
        <v>834</v>
      </c>
      <c r="E195" s="1" t="s">
        <v>835</v>
      </c>
      <c r="F195" s="2" t="s">
        <v>825</v>
      </c>
      <c r="G195" s="2" t="s">
        <v>37</v>
      </c>
      <c r="H195" s="2" t="s">
        <v>10</v>
      </c>
      <c r="I195" s="2" t="s">
        <v>60</v>
      </c>
      <c r="J195" s="2" t="s">
        <v>406</v>
      </c>
      <c r="K195" s="2" t="s">
        <v>10</v>
      </c>
    </row>
    <row r="196" spans="1:12" ht="27.6" hidden="1" x14ac:dyDescent="0.3">
      <c r="A196" s="2" t="s">
        <v>60</v>
      </c>
      <c r="B196" s="2" t="s">
        <v>836</v>
      </c>
      <c r="C196" s="3">
        <v>32438</v>
      </c>
      <c r="D196" s="1" t="s">
        <v>442</v>
      </c>
      <c r="E196" s="1" t="s">
        <v>837</v>
      </c>
      <c r="F196" s="2" t="s">
        <v>632</v>
      </c>
      <c r="G196" s="2" t="s">
        <v>196</v>
      </c>
      <c r="H196" s="2" t="s">
        <v>10</v>
      </c>
      <c r="I196" s="2" t="s">
        <v>60</v>
      </c>
      <c r="J196" s="2" t="s">
        <v>197</v>
      </c>
      <c r="K196" s="2" t="s">
        <v>10</v>
      </c>
    </row>
    <row r="197" spans="1:12" ht="27.6" hidden="1" x14ac:dyDescent="0.3">
      <c r="A197" s="2" t="s">
        <v>60</v>
      </c>
      <c r="B197" s="2" t="s">
        <v>838</v>
      </c>
      <c r="C197" s="3">
        <v>35537</v>
      </c>
      <c r="D197" s="1" t="s">
        <v>839</v>
      </c>
      <c r="E197" s="1" t="s">
        <v>840</v>
      </c>
      <c r="F197" s="2" t="s">
        <v>257</v>
      </c>
      <c r="G197" s="2" t="s">
        <v>425</v>
      </c>
      <c r="H197" s="2" t="s">
        <v>10</v>
      </c>
      <c r="I197" s="2" t="s">
        <v>60</v>
      </c>
      <c r="J197" s="2" t="s">
        <v>841</v>
      </c>
      <c r="K197" s="2" t="s">
        <v>10</v>
      </c>
    </row>
    <row r="198" spans="1:12" hidden="1" x14ac:dyDescent="0.3">
      <c r="A198" s="2" t="s">
        <v>180</v>
      </c>
      <c r="B198" s="2" t="s">
        <v>842</v>
      </c>
      <c r="C198" s="3">
        <v>36432</v>
      </c>
      <c r="D198" s="1" t="s">
        <v>843</v>
      </c>
      <c r="E198" s="1" t="s">
        <v>844</v>
      </c>
      <c r="F198" s="2" t="s">
        <v>195</v>
      </c>
      <c r="G198" s="2" t="s">
        <v>80</v>
      </c>
      <c r="H198" s="2" t="s">
        <v>10</v>
      </c>
      <c r="I198" s="2" t="s">
        <v>180</v>
      </c>
      <c r="J198" s="2" t="s">
        <v>845</v>
      </c>
      <c r="K198" s="2" t="s">
        <v>10</v>
      </c>
      <c r="L198" s="6"/>
    </row>
    <row r="199" spans="1:12" ht="27.6" hidden="1" x14ac:dyDescent="0.3">
      <c r="A199" s="2" t="s">
        <v>60</v>
      </c>
      <c r="B199" s="2" t="s">
        <v>846</v>
      </c>
      <c r="C199" s="3">
        <v>29194</v>
      </c>
      <c r="D199" s="1" t="s">
        <v>847</v>
      </c>
      <c r="E199" s="1" t="s">
        <v>848</v>
      </c>
      <c r="F199" s="2" t="s">
        <v>728</v>
      </c>
      <c r="G199" s="2" t="s">
        <v>124</v>
      </c>
      <c r="H199" s="2" t="s">
        <v>10</v>
      </c>
      <c r="I199" s="2" t="s">
        <v>60</v>
      </c>
      <c r="J199" s="2" t="s">
        <v>173</v>
      </c>
      <c r="K199" s="2" t="s">
        <v>10</v>
      </c>
    </row>
    <row r="200" spans="1:12" ht="27.6" hidden="1" x14ac:dyDescent="0.3">
      <c r="A200" s="2" t="s">
        <v>60</v>
      </c>
      <c r="B200" s="2" t="s">
        <v>849</v>
      </c>
      <c r="C200" s="3">
        <v>31010</v>
      </c>
      <c r="D200" s="1" t="s">
        <v>850</v>
      </c>
      <c r="E200" s="1" t="s">
        <v>851</v>
      </c>
      <c r="F200" s="2" t="s">
        <v>74</v>
      </c>
      <c r="G200" s="2" t="s">
        <v>852</v>
      </c>
      <c r="H200" s="2" t="s">
        <v>10</v>
      </c>
      <c r="I200" s="2" t="s">
        <v>60</v>
      </c>
      <c r="J200" s="2" t="s">
        <v>650</v>
      </c>
      <c r="K200" s="2" t="s">
        <v>10</v>
      </c>
    </row>
    <row r="201" spans="1:12" ht="27.6" hidden="1" x14ac:dyDescent="0.3">
      <c r="A201" s="2" t="s">
        <v>60</v>
      </c>
      <c r="B201" s="2" t="s">
        <v>853</v>
      </c>
      <c r="C201" s="3">
        <v>26182</v>
      </c>
      <c r="D201" s="1" t="s">
        <v>854</v>
      </c>
      <c r="E201" s="1" t="s">
        <v>855</v>
      </c>
      <c r="F201" s="2" t="s">
        <v>856</v>
      </c>
      <c r="G201" s="2" t="s">
        <v>157</v>
      </c>
      <c r="H201" s="2" t="s">
        <v>10</v>
      </c>
      <c r="I201" s="2" t="s">
        <v>60</v>
      </c>
      <c r="J201" s="2" t="s">
        <v>158</v>
      </c>
      <c r="K201" s="2" t="s">
        <v>10</v>
      </c>
    </row>
    <row r="202" spans="1:12" ht="27.6" hidden="1" x14ac:dyDescent="0.3">
      <c r="A202" s="2" t="s">
        <v>60</v>
      </c>
      <c r="B202" s="2" t="s">
        <v>857</v>
      </c>
      <c r="C202" s="3">
        <v>26495</v>
      </c>
      <c r="D202" s="1" t="s">
        <v>858</v>
      </c>
      <c r="E202" s="1" t="s">
        <v>859</v>
      </c>
      <c r="F202" s="2" t="s">
        <v>257</v>
      </c>
      <c r="G202" s="2" t="s">
        <v>860</v>
      </c>
      <c r="H202" s="2" t="s">
        <v>10</v>
      </c>
      <c r="I202" s="2" t="s">
        <v>60</v>
      </c>
      <c r="J202" s="2" t="s">
        <v>861</v>
      </c>
      <c r="K202" s="2" t="s">
        <v>10</v>
      </c>
    </row>
    <row r="203" spans="1:12" ht="27.6" hidden="1" x14ac:dyDescent="0.3">
      <c r="A203" s="2" t="s">
        <v>60</v>
      </c>
      <c r="B203" s="2" t="s">
        <v>862</v>
      </c>
      <c r="C203" s="3">
        <v>32414</v>
      </c>
      <c r="D203" s="1" t="s">
        <v>863</v>
      </c>
      <c r="E203" s="1" t="s">
        <v>864</v>
      </c>
      <c r="F203" s="2" t="s">
        <v>865</v>
      </c>
      <c r="G203" s="2" t="s">
        <v>157</v>
      </c>
      <c r="H203" s="2" t="s">
        <v>10</v>
      </c>
      <c r="I203" s="2" t="s">
        <v>60</v>
      </c>
      <c r="J203" s="2" t="s">
        <v>158</v>
      </c>
      <c r="K203" s="2" t="s">
        <v>10</v>
      </c>
    </row>
    <row r="204" spans="1:12" ht="27.6" hidden="1" x14ac:dyDescent="0.3">
      <c r="A204" s="2" t="s">
        <v>60</v>
      </c>
      <c r="B204" s="2" t="s">
        <v>866</v>
      </c>
      <c r="C204" s="3">
        <v>37093</v>
      </c>
      <c r="D204" s="1" t="s">
        <v>867</v>
      </c>
      <c r="E204" s="1" t="s">
        <v>868</v>
      </c>
      <c r="F204" s="2" t="s">
        <v>301</v>
      </c>
      <c r="G204" s="2" t="s">
        <v>124</v>
      </c>
      <c r="H204" s="2" t="s">
        <v>334</v>
      </c>
      <c r="I204" s="2" t="s">
        <v>60</v>
      </c>
      <c r="J204" s="2" t="s">
        <v>173</v>
      </c>
      <c r="K204" s="2" t="s">
        <v>380</v>
      </c>
    </row>
    <row r="205" spans="1:12" ht="27.6" hidden="1" x14ac:dyDescent="0.3">
      <c r="A205" s="2" t="s">
        <v>60</v>
      </c>
      <c r="B205" s="2" t="s">
        <v>869</v>
      </c>
      <c r="C205" s="3">
        <v>36516</v>
      </c>
      <c r="D205" s="1" t="s">
        <v>870</v>
      </c>
      <c r="E205" s="1" t="s">
        <v>871</v>
      </c>
      <c r="F205" s="2" t="s">
        <v>872</v>
      </c>
      <c r="G205" s="2" t="s">
        <v>492</v>
      </c>
      <c r="H205" s="2" t="s">
        <v>10</v>
      </c>
      <c r="I205" s="2" t="s">
        <v>60</v>
      </c>
      <c r="J205" s="2" t="s">
        <v>619</v>
      </c>
      <c r="K205" s="2" t="s">
        <v>10</v>
      </c>
    </row>
    <row r="206" spans="1:12" ht="27.6" hidden="1" x14ac:dyDescent="0.3">
      <c r="A206" s="2" t="s">
        <v>60</v>
      </c>
      <c r="B206" s="2" t="s">
        <v>873</v>
      </c>
      <c r="C206" s="3">
        <v>27100</v>
      </c>
      <c r="D206" s="1" t="s">
        <v>874</v>
      </c>
      <c r="E206" s="1" t="s">
        <v>875</v>
      </c>
      <c r="F206" s="2" t="s">
        <v>257</v>
      </c>
      <c r="G206" s="2" t="s">
        <v>217</v>
      </c>
      <c r="H206" s="2" t="s">
        <v>43</v>
      </c>
      <c r="I206" s="2" t="s">
        <v>60</v>
      </c>
      <c r="J206" s="2" t="s">
        <v>876</v>
      </c>
      <c r="K206" s="2" t="s">
        <v>10</v>
      </c>
    </row>
    <row r="207" spans="1:12" ht="27.6" hidden="1" x14ac:dyDescent="0.3">
      <c r="A207" s="2" t="s">
        <v>60</v>
      </c>
      <c r="B207" s="2" t="s">
        <v>877</v>
      </c>
      <c r="C207" s="3">
        <v>19269</v>
      </c>
      <c r="D207" s="1" t="s">
        <v>878</v>
      </c>
      <c r="E207" s="1" t="s">
        <v>879</v>
      </c>
      <c r="F207" s="2" t="s">
        <v>257</v>
      </c>
      <c r="G207" s="2" t="s">
        <v>880</v>
      </c>
      <c r="H207" s="2" t="s">
        <v>10</v>
      </c>
      <c r="I207" s="2" t="s">
        <v>60</v>
      </c>
      <c r="J207" s="2" t="s">
        <v>881</v>
      </c>
      <c r="K207" s="2" t="s">
        <v>10</v>
      </c>
    </row>
    <row r="208" spans="1:12" ht="27.6" hidden="1" x14ac:dyDescent="0.3">
      <c r="A208" s="2" t="s">
        <v>60</v>
      </c>
      <c r="B208" s="2" t="s">
        <v>882</v>
      </c>
      <c r="C208" s="3">
        <v>24082</v>
      </c>
      <c r="D208" s="1" t="s">
        <v>883</v>
      </c>
      <c r="E208" s="1" t="s">
        <v>884</v>
      </c>
      <c r="F208" s="2" t="s">
        <v>301</v>
      </c>
      <c r="G208" s="2" t="s">
        <v>425</v>
      </c>
      <c r="H208" s="2" t="s">
        <v>334</v>
      </c>
      <c r="I208" s="2" t="s">
        <v>60</v>
      </c>
      <c r="J208" s="2" t="s">
        <v>426</v>
      </c>
      <c r="K208" s="2" t="s">
        <v>10</v>
      </c>
    </row>
    <row r="209" spans="1:12" ht="27.6" hidden="1" x14ac:dyDescent="0.3">
      <c r="A209" s="2" t="s">
        <v>60</v>
      </c>
      <c r="B209" s="2" t="s">
        <v>885</v>
      </c>
      <c r="C209" s="3">
        <v>24356</v>
      </c>
      <c r="D209" s="1" t="s">
        <v>886</v>
      </c>
      <c r="E209" s="1" t="s">
        <v>887</v>
      </c>
      <c r="F209" s="2" t="s">
        <v>872</v>
      </c>
      <c r="G209" s="2" t="s">
        <v>80</v>
      </c>
      <c r="H209" s="2" t="s">
        <v>10</v>
      </c>
      <c r="I209" s="2" t="s">
        <v>60</v>
      </c>
      <c r="J209" s="2" t="s">
        <v>845</v>
      </c>
      <c r="K209" s="2" t="s">
        <v>10</v>
      </c>
    </row>
    <row r="210" spans="1:12" hidden="1" x14ac:dyDescent="0.3">
      <c r="A210" s="2" t="s">
        <v>180</v>
      </c>
      <c r="B210" s="2" t="s">
        <v>888</v>
      </c>
      <c r="C210" s="3">
        <v>30552</v>
      </c>
      <c r="D210" s="1" t="s">
        <v>889</v>
      </c>
      <c r="E210" s="1" t="s">
        <v>890</v>
      </c>
      <c r="F210" s="2" t="s">
        <v>891</v>
      </c>
      <c r="G210" s="2" t="s">
        <v>366</v>
      </c>
      <c r="H210" s="2" t="s">
        <v>892</v>
      </c>
      <c r="I210" s="2" t="s">
        <v>180</v>
      </c>
      <c r="J210" s="2" t="s">
        <v>893</v>
      </c>
      <c r="K210" s="2" t="s">
        <v>10</v>
      </c>
      <c r="L210" s="6"/>
    </row>
    <row r="211" spans="1:12" ht="27.6" hidden="1" x14ac:dyDescent="0.3">
      <c r="A211" s="2" t="s">
        <v>60</v>
      </c>
      <c r="B211" s="2" t="s">
        <v>894</v>
      </c>
      <c r="C211" s="3">
        <v>36504</v>
      </c>
      <c r="D211" s="1" t="s">
        <v>895</v>
      </c>
      <c r="E211" s="1" t="s">
        <v>896</v>
      </c>
      <c r="F211" s="2" t="s">
        <v>421</v>
      </c>
      <c r="G211" s="2" t="s">
        <v>124</v>
      </c>
      <c r="H211" s="2" t="s">
        <v>10</v>
      </c>
      <c r="I211" s="2" t="s">
        <v>60</v>
      </c>
      <c r="J211" s="2" t="s">
        <v>173</v>
      </c>
      <c r="K211" s="2" t="s">
        <v>10</v>
      </c>
    </row>
    <row r="212" spans="1:12" ht="27.6" hidden="1" x14ac:dyDescent="0.3">
      <c r="A212" s="2" t="s">
        <v>60</v>
      </c>
      <c r="B212" s="2" t="s">
        <v>897</v>
      </c>
      <c r="C212" s="3">
        <v>37116</v>
      </c>
      <c r="D212" s="1" t="s">
        <v>898</v>
      </c>
      <c r="E212" s="1" t="s">
        <v>899</v>
      </c>
      <c r="F212" s="2" t="s">
        <v>900</v>
      </c>
      <c r="G212" s="2" t="s">
        <v>492</v>
      </c>
      <c r="H212" s="2" t="s">
        <v>10</v>
      </c>
      <c r="I212" s="2" t="s">
        <v>60</v>
      </c>
      <c r="J212" s="2" t="s">
        <v>619</v>
      </c>
      <c r="K212" s="2" t="s">
        <v>10</v>
      </c>
    </row>
    <row r="213" spans="1:12" ht="27.6" hidden="1" x14ac:dyDescent="0.3">
      <c r="A213" s="2" t="s">
        <v>60</v>
      </c>
      <c r="B213" s="2" t="s">
        <v>901</v>
      </c>
      <c r="C213" s="3">
        <v>37014</v>
      </c>
      <c r="D213" s="1" t="s">
        <v>902</v>
      </c>
      <c r="E213" s="1" t="s">
        <v>903</v>
      </c>
      <c r="F213" s="2" t="s">
        <v>60</v>
      </c>
      <c r="G213" s="2" t="s">
        <v>904</v>
      </c>
      <c r="H213" s="2" t="s">
        <v>10</v>
      </c>
      <c r="I213" s="2" t="s">
        <v>60</v>
      </c>
      <c r="J213" s="2" t="s">
        <v>905</v>
      </c>
      <c r="K213" s="2" t="s">
        <v>10</v>
      </c>
    </row>
    <row r="214" spans="1:12" hidden="1" x14ac:dyDescent="0.3">
      <c r="A214" s="2" t="s">
        <v>180</v>
      </c>
      <c r="B214" s="2" t="s">
        <v>906</v>
      </c>
      <c r="C214" s="3">
        <v>30298</v>
      </c>
      <c r="D214" s="1" t="s">
        <v>907</v>
      </c>
      <c r="E214" s="1" t="s">
        <v>908</v>
      </c>
      <c r="F214" s="2" t="s">
        <v>909</v>
      </c>
      <c r="G214" s="2" t="s">
        <v>31</v>
      </c>
      <c r="H214" s="2" t="s">
        <v>10</v>
      </c>
      <c r="I214" s="2" t="s">
        <v>180</v>
      </c>
      <c r="J214" s="2" t="s">
        <v>684</v>
      </c>
      <c r="K214" s="2" t="s">
        <v>10</v>
      </c>
      <c r="L214" s="6"/>
    </row>
    <row r="215" spans="1:12" ht="27.6" hidden="1" x14ac:dyDescent="0.3">
      <c r="A215" s="2" t="s">
        <v>60</v>
      </c>
      <c r="B215" s="2" t="s">
        <v>910</v>
      </c>
      <c r="C215" s="3">
        <v>22366</v>
      </c>
      <c r="D215" s="1" t="s">
        <v>911</v>
      </c>
      <c r="E215" s="1" t="s">
        <v>912</v>
      </c>
      <c r="F215" s="2" t="s">
        <v>444</v>
      </c>
      <c r="G215" s="2" t="s">
        <v>385</v>
      </c>
      <c r="H215" s="2" t="s">
        <v>411</v>
      </c>
      <c r="I215" s="2" t="s">
        <v>60</v>
      </c>
      <c r="J215" s="2" t="s">
        <v>913</v>
      </c>
      <c r="K215" s="2" t="s">
        <v>10</v>
      </c>
    </row>
    <row r="216" spans="1:12" ht="27.6" hidden="1" x14ac:dyDescent="0.3">
      <c r="A216" s="2" t="s">
        <v>60</v>
      </c>
      <c r="B216" s="2" t="s">
        <v>914</v>
      </c>
      <c r="C216" s="3">
        <v>33105</v>
      </c>
      <c r="D216" s="1" t="s">
        <v>915</v>
      </c>
      <c r="E216" s="1" t="s">
        <v>916</v>
      </c>
      <c r="F216" s="2" t="s">
        <v>274</v>
      </c>
      <c r="G216" s="2" t="s">
        <v>604</v>
      </c>
      <c r="H216" s="2" t="s">
        <v>10</v>
      </c>
      <c r="I216" s="2" t="s">
        <v>60</v>
      </c>
      <c r="J216" s="2" t="s">
        <v>605</v>
      </c>
      <c r="K216" s="2" t="s">
        <v>10</v>
      </c>
    </row>
    <row r="217" spans="1:12" ht="27.6" hidden="1" x14ac:dyDescent="0.3">
      <c r="A217" s="2" t="s">
        <v>60</v>
      </c>
      <c r="B217" s="2" t="s">
        <v>917</v>
      </c>
      <c r="C217" s="3">
        <v>36557</v>
      </c>
      <c r="D217" s="1" t="s">
        <v>918</v>
      </c>
      <c r="E217" s="1" t="s">
        <v>919</v>
      </c>
      <c r="F217" s="2" t="s">
        <v>410</v>
      </c>
      <c r="G217" s="2" t="s">
        <v>319</v>
      </c>
      <c r="H217" s="2" t="s">
        <v>10</v>
      </c>
      <c r="I217" s="2" t="s">
        <v>60</v>
      </c>
      <c r="J217" s="2" t="s">
        <v>320</v>
      </c>
      <c r="K217" s="2" t="s">
        <v>10</v>
      </c>
    </row>
    <row r="218" spans="1:12" ht="27.6" hidden="1" x14ac:dyDescent="0.3">
      <c r="A218" s="2" t="s">
        <v>60</v>
      </c>
      <c r="B218" s="2" t="s">
        <v>920</v>
      </c>
      <c r="C218" s="3">
        <v>34043</v>
      </c>
      <c r="D218" s="1" t="s">
        <v>921</v>
      </c>
      <c r="E218" s="1" t="s">
        <v>922</v>
      </c>
      <c r="F218" s="2" t="s">
        <v>728</v>
      </c>
      <c r="G218" s="2" t="s">
        <v>196</v>
      </c>
      <c r="H218" s="2" t="s">
        <v>334</v>
      </c>
      <c r="I218" s="2" t="s">
        <v>60</v>
      </c>
      <c r="J218" s="2" t="s">
        <v>197</v>
      </c>
      <c r="K218" s="2" t="s">
        <v>10</v>
      </c>
    </row>
    <row r="219" spans="1:12" ht="27.6" hidden="1" x14ac:dyDescent="0.3">
      <c r="A219" s="2" t="s">
        <v>60</v>
      </c>
      <c r="B219" s="2" t="s">
        <v>923</v>
      </c>
      <c r="C219" s="3">
        <v>38384</v>
      </c>
      <c r="D219" s="1" t="s">
        <v>924</v>
      </c>
      <c r="E219" s="1" t="s">
        <v>925</v>
      </c>
      <c r="F219" s="2" t="s">
        <v>926</v>
      </c>
      <c r="G219" s="2" t="s">
        <v>152</v>
      </c>
      <c r="H219" s="2" t="s">
        <v>10</v>
      </c>
      <c r="I219" s="2" t="s">
        <v>60</v>
      </c>
      <c r="J219" s="2" t="s">
        <v>153</v>
      </c>
      <c r="K219" s="2" t="s">
        <v>10</v>
      </c>
    </row>
    <row r="220" spans="1:12" ht="27.6" hidden="1" x14ac:dyDescent="0.3">
      <c r="A220" s="2" t="s">
        <v>60</v>
      </c>
      <c r="B220" s="2" t="s">
        <v>927</v>
      </c>
      <c r="C220" s="3">
        <v>31593</v>
      </c>
      <c r="D220" s="1" t="s">
        <v>928</v>
      </c>
      <c r="E220" s="1" t="s">
        <v>929</v>
      </c>
      <c r="F220" s="2" t="s">
        <v>872</v>
      </c>
      <c r="G220" s="2" t="s">
        <v>143</v>
      </c>
      <c r="H220" s="2" t="s">
        <v>10</v>
      </c>
      <c r="I220" s="2" t="s">
        <v>60</v>
      </c>
      <c r="J220" s="2" t="s">
        <v>144</v>
      </c>
      <c r="K220" s="2" t="s">
        <v>10</v>
      </c>
    </row>
    <row r="221" spans="1:12" ht="27.6" hidden="1" x14ac:dyDescent="0.3">
      <c r="A221" s="2" t="s">
        <v>60</v>
      </c>
      <c r="B221" s="2" t="s">
        <v>930</v>
      </c>
      <c r="C221" s="3">
        <v>26521</v>
      </c>
      <c r="D221" s="1" t="s">
        <v>931</v>
      </c>
      <c r="E221" s="1" t="s">
        <v>932</v>
      </c>
      <c r="F221" s="2" t="s">
        <v>60</v>
      </c>
      <c r="G221" s="2" t="s">
        <v>933</v>
      </c>
      <c r="H221" s="2" t="s">
        <v>10</v>
      </c>
      <c r="I221" s="2" t="s">
        <v>60</v>
      </c>
      <c r="J221" s="2" t="s">
        <v>934</v>
      </c>
      <c r="K221" s="2" t="s">
        <v>10</v>
      </c>
    </row>
    <row r="222" spans="1:12" ht="27.6" hidden="1" x14ac:dyDescent="0.3">
      <c r="A222" s="2" t="s">
        <v>60</v>
      </c>
      <c r="B222" s="2" t="s">
        <v>935</v>
      </c>
      <c r="C222" s="3">
        <v>30538</v>
      </c>
      <c r="D222" s="1" t="s">
        <v>936</v>
      </c>
      <c r="E222" s="1" t="s">
        <v>937</v>
      </c>
      <c r="F222" s="2" t="s">
        <v>825</v>
      </c>
      <c r="G222" s="2" t="s">
        <v>278</v>
      </c>
      <c r="H222" s="2" t="s">
        <v>10</v>
      </c>
      <c r="I222" s="2" t="s">
        <v>60</v>
      </c>
      <c r="J222" s="2" t="s">
        <v>279</v>
      </c>
      <c r="K222" s="2" t="s">
        <v>10</v>
      </c>
    </row>
    <row r="223" spans="1:12" ht="27.6" hidden="1" x14ac:dyDescent="0.3">
      <c r="A223" s="2" t="s">
        <v>60</v>
      </c>
      <c r="B223" s="2" t="s">
        <v>938</v>
      </c>
      <c r="C223" s="3">
        <v>25821</v>
      </c>
      <c r="D223" s="1" t="s">
        <v>939</v>
      </c>
      <c r="E223" s="1" t="s">
        <v>940</v>
      </c>
      <c r="F223" s="2" t="s">
        <v>941</v>
      </c>
      <c r="G223" s="2" t="s">
        <v>143</v>
      </c>
      <c r="H223" s="2" t="s">
        <v>10</v>
      </c>
      <c r="I223" s="2" t="s">
        <v>60</v>
      </c>
      <c r="J223" s="2" t="s">
        <v>144</v>
      </c>
      <c r="K223" s="2" t="s">
        <v>10</v>
      </c>
    </row>
    <row r="224" spans="1:12" ht="27.6" hidden="1" x14ac:dyDescent="0.3">
      <c r="A224" s="2" t="s">
        <v>60</v>
      </c>
      <c r="B224" s="2" t="s">
        <v>942</v>
      </c>
      <c r="C224" s="3">
        <v>30967</v>
      </c>
      <c r="D224" s="1" t="s">
        <v>943</v>
      </c>
      <c r="E224" s="1" t="s">
        <v>944</v>
      </c>
      <c r="F224" s="2" t="s">
        <v>269</v>
      </c>
      <c r="G224" s="2" t="s">
        <v>258</v>
      </c>
      <c r="H224" s="2" t="s">
        <v>10</v>
      </c>
      <c r="I224" s="2" t="s">
        <v>60</v>
      </c>
      <c r="J224" s="2" t="s">
        <v>259</v>
      </c>
      <c r="K224" s="2" t="s">
        <v>10</v>
      </c>
    </row>
    <row r="225" spans="1:12" ht="27.6" hidden="1" x14ac:dyDescent="0.3">
      <c r="A225" s="2" t="s">
        <v>60</v>
      </c>
      <c r="B225" s="2" t="s">
        <v>945</v>
      </c>
      <c r="C225" s="3">
        <v>23551</v>
      </c>
      <c r="D225" s="1" t="s">
        <v>946</v>
      </c>
      <c r="E225" s="1" t="s">
        <v>947</v>
      </c>
      <c r="F225" s="2" t="s">
        <v>269</v>
      </c>
      <c r="G225" s="2" t="s">
        <v>425</v>
      </c>
      <c r="H225" s="2" t="s">
        <v>10</v>
      </c>
      <c r="I225" s="2" t="s">
        <v>60</v>
      </c>
      <c r="J225" s="2" t="s">
        <v>426</v>
      </c>
      <c r="K225" s="2" t="s">
        <v>10</v>
      </c>
    </row>
    <row r="226" spans="1:12" ht="27.6" hidden="1" x14ac:dyDescent="0.3">
      <c r="A226" s="2" t="s">
        <v>60</v>
      </c>
      <c r="B226" s="2" t="s">
        <v>948</v>
      </c>
      <c r="C226" s="3">
        <v>37374</v>
      </c>
      <c r="D226" s="1" t="s">
        <v>261</v>
      </c>
      <c r="E226" s="1" t="s">
        <v>949</v>
      </c>
      <c r="F226" s="2" t="s">
        <v>60</v>
      </c>
      <c r="G226" s="2" t="s">
        <v>950</v>
      </c>
      <c r="H226" s="2" t="s">
        <v>10</v>
      </c>
      <c r="I226" s="2" t="s">
        <v>60</v>
      </c>
      <c r="J226" s="2" t="s">
        <v>951</v>
      </c>
      <c r="K226" s="2" t="s">
        <v>10</v>
      </c>
    </row>
    <row r="227" spans="1:12" ht="27.6" hidden="1" x14ac:dyDescent="0.3">
      <c r="A227" s="2" t="s">
        <v>60</v>
      </c>
      <c r="B227" s="2" t="s">
        <v>952</v>
      </c>
      <c r="C227" s="3">
        <v>33316</v>
      </c>
      <c r="D227" s="1" t="s">
        <v>442</v>
      </c>
      <c r="E227" s="1" t="s">
        <v>953</v>
      </c>
      <c r="F227" s="2" t="s">
        <v>856</v>
      </c>
      <c r="G227" s="2" t="s">
        <v>196</v>
      </c>
      <c r="H227" s="2" t="s">
        <v>10</v>
      </c>
      <c r="I227" s="2" t="s">
        <v>60</v>
      </c>
      <c r="J227" s="2" t="s">
        <v>197</v>
      </c>
      <c r="K227" s="2" t="s">
        <v>10</v>
      </c>
    </row>
    <row r="228" spans="1:12" ht="27.6" hidden="1" x14ac:dyDescent="0.3">
      <c r="A228" s="2" t="s">
        <v>60</v>
      </c>
      <c r="B228" s="2" t="s">
        <v>954</v>
      </c>
      <c r="C228" s="3">
        <v>21382</v>
      </c>
      <c r="D228" s="1" t="s">
        <v>955</v>
      </c>
      <c r="E228" s="1" t="s">
        <v>956</v>
      </c>
      <c r="F228" s="2" t="s">
        <v>74</v>
      </c>
      <c r="G228" s="2" t="s">
        <v>288</v>
      </c>
      <c r="H228" s="2" t="s">
        <v>334</v>
      </c>
      <c r="I228" s="2" t="s">
        <v>60</v>
      </c>
      <c r="J228" s="2" t="s">
        <v>289</v>
      </c>
      <c r="K228" s="2" t="s">
        <v>10</v>
      </c>
    </row>
    <row r="229" spans="1:12" ht="27.6" hidden="1" x14ac:dyDescent="0.3">
      <c r="A229" s="2" t="s">
        <v>60</v>
      </c>
      <c r="B229" s="2" t="s">
        <v>957</v>
      </c>
      <c r="C229" s="3">
        <v>23108</v>
      </c>
      <c r="D229" s="1" t="s">
        <v>958</v>
      </c>
      <c r="E229" s="1" t="s">
        <v>959</v>
      </c>
      <c r="F229" s="2" t="s">
        <v>60</v>
      </c>
      <c r="G229" s="2" t="s">
        <v>511</v>
      </c>
      <c r="H229" s="2" t="s">
        <v>562</v>
      </c>
      <c r="I229" s="2" t="s">
        <v>60</v>
      </c>
      <c r="J229" s="2" t="s">
        <v>512</v>
      </c>
      <c r="K229" s="2" t="s">
        <v>10</v>
      </c>
    </row>
    <row r="230" spans="1:12" ht="27.6" hidden="1" x14ac:dyDescent="0.3">
      <c r="A230" s="2" t="s">
        <v>180</v>
      </c>
      <c r="B230" s="2" t="s">
        <v>960</v>
      </c>
      <c r="C230" s="3">
        <v>37106</v>
      </c>
      <c r="D230" s="1" t="s">
        <v>961</v>
      </c>
      <c r="E230" s="1" t="s">
        <v>962</v>
      </c>
      <c r="F230" s="2" t="s">
        <v>497</v>
      </c>
      <c r="G230" s="2" t="s">
        <v>196</v>
      </c>
      <c r="H230" s="2" t="s">
        <v>10</v>
      </c>
      <c r="I230" s="2" t="s">
        <v>180</v>
      </c>
      <c r="J230" s="2" t="s">
        <v>963</v>
      </c>
      <c r="K230" s="2" t="s">
        <v>10</v>
      </c>
      <c r="L230" s="6"/>
    </row>
    <row r="231" spans="1:12" ht="27.6" hidden="1" x14ac:dyDescent="0.3">
      <c r="A231" s="2" t="s">
        <v>11</v>
      </c>
      <c r="B231" s="2" t="s">
        <v>964</v>
      </c>
      <c r="C231" s="3">
        <v>38792</v>
      </c>
      <c r="D231" s="1" t="s">
        <v>965</v>
      </c>
      <c r="E231" s="1" t="s">
        <v>966</v>
      </c>
      <c r="F231" s="2" t="s">
        <v>967</v>
      </c>
      <c r="G231" s="2" t="s">
        <v>366</v>
      </c>
      <c r="H231" s="2" t="s">
        <v>10</v>
      </c>
      <c r="I231" s="2" t="s">
        <v>11</v>
      </c>
      <c r="J231" s="2" t="s">
        <v>968</v>
      </c>
      <c r="K231" s="30" t="s">
        <v>13193</v>
      </c>
      <c r="L231" s="26" t="s">
        <v>13195</v>
      </c>
    </row>
    <row r="232" spans="1:12" ht="27.6" hidden="1" x14ac:dyDescent="0.3">
      <c r="A232" s="2" t="s">
        <v>11</v>
      </c>
      <c r="B232" s="2" t="s">
        <v>969</v>
      </c>
      <c r="C232" s="3">
        <v>36433</v>
      </c>
      <c r="D232" s="1" t="s">
        <v>442</v>
      </c>
      <c r="E232" s="1" t="s">
        <v>970</v>
      </c>
      <c r="F232" s="2" t="s">
        <v>971</v>
      </c>
      <c r="G232" s="2" t="s">
        <v>25</v>
      </c>
      <c r="H232" s="2" t="s">
        <v>10</v>
      </c>
      <c r="I232" s="2" t="s">
        <v>11</v>
      </c>
      <c r="J232" s="2" t="s">
        <v>27</v>
      </c>
      <c r="K232" s="2" t="s">
        <v>10</v>
      </c>
    </row>
    <row r="233" spans="1:12" ht="27.6" hidden="1" x14ac:dyDescent="0.3">
      <c r="A233" s="2" t="s">
        <v>11</v>
      </c>
      <c r="B233" s="2" t="s">
        <v>972</v>
      </c>
      <c r="C233" s="3">
        <v>33512</v>
      </c>
      <c r="D233" s="1" t="s">
        <v>973</v>
      </c>
      <c r="E233" s="1" t="s">
        <v>974</v>
      </c>
      <c r="F233" s="2" t="s">
        <v>365</v>
      </c>
      <c r="G233" s="2" t="s">
        <v>385</v>
      </c>
      <c r="H233" s="2" t="s">
        <v>26</v>
      </c>
      <c r="I233" s="2" t="s">
        <v>11</v>
      </c>
      <c r="J233" s="2" t="s">
        <v>975</v>
      </c>
      <c r="K233" s="2" t="s">
        <v>10</v>
      </c>
    </row>
    <row r="234" spans="1:12" ht="27.6" hidden="1" x14ac:dyDescent="0.3">
      <c r="A234" s="2" t="s">
        <v>11</v>
      </c>
      <c r="B234" s="2" t="s">
        <v>976</v>
      </c>
      <c r="C234" s="3">
        <v>36745</v>
      </c>
      <c r="D234" s="1" t="s">
        <v>977</v>
      </c>
      <c r="E234" s="1" t="s">
        <v>978</v>
      </c>
      <c r="F234" s="2" t="s">
        <v>557</v>
      </c>
      <c r="G234" s="2" t="s">
        <v>12</v>
      </c>
      <c r="H234" s="2" t="s">
        <v>10</v>
      </c>
      <c r="I234" s="2" t="s">
        <v>11</v>
      </c>
      <c r="J234" s="2" t="s">
        <v>54</v>
      </c>
      <c r="K234" s="2" t="s">
        <v>10</v>
      </c>
    </row>
    <row r="235" spans="1:12" ht="27.6" hidden="1" x14ac:dyDescent="0.3">
      <c r="A235" s="2" t="s">
        <v>11</v>
      </c>
      <c r="B235" s="2" t="s">
        <v>979</v>
      </c>
      <c r="C235" s="3">
        <v>35994</v>
      </c>
      <c r="D235" s="1" t="s">
        <v>980</v>
      </c>
      <c r="E235" s="1" t="s">
        <v>981</v>
      </c>
      <c r="F235" s="2" t="s">
        <v>16</v>
      </c>
      <c r="G235" s="2" t="s">
        <v>982</v>
      </c>
      <c r="H235" s="2" t="s">
        <v>103</v>
      </c>
      <c r="I235" s="2" t="s">
        <v>11</v>
      </c>
      <c r="J235" s="2" t="s">
        <v>983</v>
      </c>
      <c r="K235" s="2" t="s">
        <v>10</v>
      </c>
    </row>
    <row r="236" spans="1:12" ht="27.6" hidden="1" x14ac:dyDescent="0.3">
      <c r="A236" s="2" t="s">
        <v>11</v>
      </c>
      <c r="B236" s="2" t="s">
        <v>984</v>
      </c>
      <c r="C236" s="3">
        <v>29335</v>
      </c>
      <c r="D236" s="1" t="s">
        <v>985</v>
      </c>
      <c r="E236" s="1" t="s">
        <v>986</v>
      </c>
      <c r="F236" s="2" t="s">
        <v>16</v>
      </c>
      <c r="G236" s="2" t="s">
        <v>987</v>
      </c>
      <c r="H236" s="2" t="s">
        <v>26</v>
      </c>
      <c r="I236" s="2" t="s">
        <v>11</v>
      </c>
      <c r="J236" s="2" t="s">
        <v>988</v>
      </c>
      <c r="K236" s="2" t="s">
        <v>10</v>
      </c>
    </row>
    <row r="237" spans="1:12" ht="27.6" hidden="1" x14ac:dyDescent="0.3">
      <c r="A237" s="2" t="s">
        <v>11</v>
      </c>
      <c r="B237" s="2" t="s">
        <v>989</v>
      </c>
      <c r="C237" s="3">
        <v>34599</v>
      </c>
      <c r="D237" s="1" t="s">
        <v>990</v>
      </c>
      <c r="E237" s="1" t="s">
        <v>991</v>
      </c>
      <c r="F237" s="2" t="s">
        <v>992</v>
      </c>
      <c r="G237" s="2" t="s">
        <v>31</v>
      </c>
      <c r="H237" s="2" t="s">
        <v>10</v>
      </c>
      <c r="I237" s="2" t="s">
        <v>11</v>
      </c>
      <c r="J237" s="2" t="s">
        <v>558</v>
      </c>
      <c r="K237" s="30" t="s">
        <v>13193</v>
      </c>
      <c r="L237" s="6" t="s">
        <v>13195</v>
      </c>
    </row>
    <row r="238" spans="1:12" ht="27.6" hidden="1" x14ac:dyDescent="0.3">
      <c r="A238" s="2" t="s">
        <v>11</v>
      </c>
      <c r="B238" s="2" t="s">
        <v>993</v>
      </c>
      <c r="C238" s="3">
        <v>33530</v>
      </c>
      <c r="D238" s="1" t="s">
        <v>442</v>
      </c>
      <c r="E238" s="1" t="s">
        <v>994</v>
      </c>
      <c r="F238" s="2" t="s">
        <v>971</v>
      </c>
      <c r="G238" s="2" t="s">
        <v>48</v>
      </c>
      <c r="H238" s="2" t="s">
        <v>10</v>
      </c>
      <c r="I238" s="2" t="s">
        <v>11</v>
      </c>
      <c r="J238" s="2" t="s">
        <v>700</v>
      </c>
      <c r="K238" s="2" t="s">
        <v>10</v>
      </c>
    </row>
    <row r="239" spans="1:12" ht="27.6" hidden="1" x14ac:dyDescent="0.3">
      <c r="A239" s="2" t="s">
        <v>11</v>
      </c>
      <c r="B239" s="2" t="s">
        <v>995</v>
      </c>
      <c r="C239" s="3">
        <v>33512</v>
      </c>
      <c r="D239" s="1" t="s">
        <v>973</v>
      </c>
      <c r="E239" s="1" t="s">
        <v>974</v>
      </c>
      <c r="F239" s="2" t="s">
        <v>365</v>
      </c>
      <c r="G239" s="2" t="s">
        <v>80</v>
      </c>
      <c r="H239" s="2" t="s">
        <v>10</v>
      </c>
      <c r="I239" s="2" t="s">
        <v>11</v>
      </c>
      <c r="J239" s="2" t="s">
        <v>996</v>
      </c>
      <c r="K239" s="2" t="s">
        <v>10</v>
      </c>
    </row>
    <row r="240" spans="1:12" ht="27.6" hidden="1" x14ac:dyDescent="0.3">
      <c r="A240" s="2" t="s">
        <v>11</v>
      </c>
      <c r="B240" s="2" t="s">
        <v>997</v>
      </c>
      <c r="C240" s="3">
        <v>28344</v>
      </c>
      <c r="D240" s="1" t="s">
        <v>998</v>
      </c>
      <c r="E240" s="1" t="s">
        <v>999</v>
      </c>
      <c r="F240" s="2" t="s">
        <v>379</v>
      </c>
      <c r="G240" s="2" t="s">
        <v>31</v>
      </c>
      <c r="H240" s="2" t="s">
        <v>10</v>
      </c>
      <c r="I240" s="2" t="s">
        <v>11</v>
      </c>
      <c r="J240" s="2" t="s">
        <v>1000</v>
      </c>
      <c r="K240" s="2" t="s">
        <v>10</v>
      </c>
    </row>
    <row r="241" spans="1:12" ht="27.6" hidden="1" x14ac:dyDescent="0.3">
      <c r="A241" s="2" t="s">
        <v>11</v>
      </c>
      <c r="B241" s="2" t="s">
        <v>1001</v>
      </c>
      <c r="C241" s="3">
        <v>29066</v>
      </c>
      <c r="D241" s="1" t="s">
        <v>1002</v>
      </c>
      <c r="E241" s="1" t="s">
        <v>1003</v>
      </c>
      <c r="F241" s="2" t="s">
        <v>16</v>
      </c>
      <c r="G241" s="2" t="s">
        <v>1004</v>
      </c>
      <c r="H241" s="2" t="s">
        <v>43</v>
      </c>
      <c r="I241" s="2" t="s">
        <v>11</v>
      </c>
      <c r="J241" s="2" t="s">
        <v>1005</v>
      </c>
      <c r="K241" s="2" t="s">
        <v>10</v>
      </c>
    </row>
    <row r="242" spans="1:12" ht="27.6" hidden="1" x14ac:dyDescent="0.3">
      <c r="A242" s="2" t="s">
        <v>11</v>
      </c>
      <c r="B242" s="2" t="s">
        <v>1006</v>
      </c>
      <c r="C242" s="3">
        <v>30860</v>
      </c>
      <c r="D242" s="1" t="s">
        <v>1007</v>
      </c>
      <c r="E242" s="1" t="s">
        <v>1008</v>
      </c>
      <c r="F242" s="2" t="s">
        <v>16</v>
      </c>
      <c r="G242" s="2" t="s">
        <v>1009</v>
      </c>
      <c r="H242" s="2" t="s">
        <v>103</v>
      </c>
      <c r="I242" s="2" t="s">
        <v>11</v>
      </c>
      <c r="J242" s="2" t="s">
        <v>1010</v>
      </c>
      <c r="K242" s="30" t="s">
        <v>13193</v>
      </c>
      <c r="L242" s="6"/>
    </row>
    <row r="243" spans="1:12" ht="27.6" hidden="1" x14ac:dyDescent="0.3">
      <c r="A243" s="2" t="s">
        <v>11</v>
      </c>
      <c r="B243" s="2" t="s">
        <v>1006</v>
      </c>
      <c r="C243" s="3">
        <v>30860</v>
      </c>
      <c r="D243" s="1" t="s">
        <v>1007</v>
      </c>
      <c r="E243" s="1" t="s">
        <v>1008</v>
      </c>
      <c r="F243" s="2" t="s">
        <v>16</v>
      </c>
      <c r="G243" s="2" t="s">
        <v>1009</v>
      </c>
      <c r="H243" s="2" t="s">
        <v>81</v>
      </c>
      <c r="I243" s="2" t="s">
        <v>11</v>
      </c>
      <c r="J243" s="2" t="s">
        <v>1011</v>
      </c>
      <c r="K243" s="30" t="s">
        <v>13193</v>
      </c>
      <c r="L243" s="6"/>
    </row>
    <row r="244" spans="1:12" ht="27.6" hidden="1" x14ac:dyDescent="0.3">
      <c r="A244" s="2" t="s">
        <v>11</v>
      </c>
      <c r="B244" s="2" t="s">
        <v>1012</v>
      </c>
      <c r="C244" s="3">
        <v>34140</v>
      </c>
      <c r="D244" s="1" t="s">
        <v>1013</v>
      </c>
      <c r="E244" s="1" t="s">
        <v>1014</v>
      </c>
      <c r="F244" s="2" t="s">
        <v>16</v>
      </c>
      <c r="G244" s="2" t="s">
        <v>1015</v>
      </c>
      <c r="H244" s="2" t="s">
        <v>43</v>
      </c>
      <c r="I244" s="2" t="s">
        <v>11</v>
      </c>
      <c r="J244" s="2" t="s">
        <v>1016</v>
      </c>
      <c r="K244" s="2" t="s">
        <v>10</v>
      </c>
      <c r="L244" s="6"/>
    </row>
    <row r="245" spans="1:12" ht="27.6" hidden="1" x14ac:dyDescent="0.3">
      <c r="A245" s="2" t="s">
        <v>11</v>
      </c>
      <c r="B245" s="2" t="s">
        <v>1017</v>
      </c>
      <c r="C245" s="3">
        <v>27357</v>
      </c>
      <c r="D245" s="1" t="s">
        <v>1018</v>
      </c>
      <c r="E245" s="1" t="s">
        <v>1019</v>
      </c>
      <c r="F245" s="2" t="s">
        <v>16</v>
      </c>
      <c r="G245" s="2" t="s">
        <v>222</v>
      </c>
      <c r="H245" s="2" t="s">
        <v>10</v>
      </c>
      <c r="I245" s="2" t="s">
        <v>11</v>
      </c>
      <c r="J245" s="2" t="s">
        <v>223</v>
      </c>
      <c r="K245" s="2" t="s">
        <v>10</v>
      </c>
      <c r="L245" s="6"/>
    </row>
    <row r="246" spans="1:12" ht="27.6" hidden="1" x14ac:dyDescent="0.3">
      <c r="A246" s="2" t="s">
        <v>11</v>
      </c>
      <c r="B246" s="2" t="s">
        <v>1020</v>
      </c>
      <c r="C246" s="3">
        <v>31515</v>
      </c>
      <c r="D246" s="1" t="s">
        <v>1021</v>
      </c>
      <c r="E246" s="1" t="s">
        <v>1022</v>
      </c>
      <c r="F246" s="2" t="s">
        <v>16</v>
      </c>
      <c r="G246" s="2" t="s">
        <v>292</v>
      </c>
      <c r="H246" s="2" t="s">
        <v>103</v>
      </c>
      <c r="I246" s="2" t="s">
        <v>11</v>
      </c>
      <c r="J246" s="2" t="s">
        <v>430</v>
      </c>
      <c r="K246" s="2" t="s">
        <v>10</v>
      </c>
      <c r="L246" s="6"/>
    </row>
    <row r="247" spans="1:12" ht="27.6" hidden="1" x14ac:dyDescent="0.3">
      <c r="A247" s="2" t="s">
        <v>11</v>
      </c>
      <c r="B247" s="2" t="s">
        <v>1023</v>
      </c>
      <c r="C247" s="3">
        <v>22179</v>
      </c>
      <c r="D247" s="1" t="s">
        <v>1024</v>
      </c>
      <c r="E247" s="1" t="s">
        <v>1025</v>
      </c>
      <c r="F247" s="2" t="s">
        <v>16</v>
      </c>
      <c r="G247" s="2" t="s">
        <v>292</v>
      </c>
      <c r="H247" s="2" t="s">
        <v>81</v>
      </c>
      <c r="I247" s="2" t="s">
        <v>11</v>
      </c>
      <c r="J247" s="2" t="s">
        <v>1026</v>
      </c>
      <c r="K247" s="2" t="s">
        <v>10</v>
      </c>
      <c r="L247" s="6"/>
    </row>
    <row r="248" spans="1:12" ht="27.6" hidden="1" x14ac:dyDescent="0.3">
      <c r="A248" s="2" t="s">
        <v>60</v>
      </c>
      <c r="B248" s="2" t="s">
        <v>1027</v>
      </c>
      <c r="C248" s="3">
        <v>29182</v>
      </c>
      <c r="D248" s="1" t="s">
        <v>1028</v>
      </c>
      <c r="E248" s="1" t="s">
        <v>1029</v>
      </c>
      <c r="F248" s="2" t="s">
        <v>410</v>
      </c>
      <c r="G248" s="2" t="s">
        <v>80</v>
      </c>
      <c r="H248" s="2" t="s">
        <v>10</v>
      </c>
      <c r="I248" s="2" t="s">
        <v>60</v>
      </c>
      <c r="J248" s="2" t="s">
        <v>82</v>
      </c>
      <c r="K248" s="2" t="s">
        <v>10</v>
      </c>
      <c r="L248" s="6"/>
    </row>
    <row r="249" spans="1:12" ht="27.6" hidden="1" x14ac:dyDescent="0.3">
      <c r="A249" s="2" t="s">
        <v>60</v>
      </c>
      <c r="B249" s="2" t="s">
        <v>1030</v>
      </c>
      <c r="C249" s="3">
        <v>29660</v>
      </c>
      <c r="D249" s="1" t="s">
        <v>1031</v>
      </c>
      <c r="E249" s="1" t="s">
        <v>1032</v>
      </c>
      <c r="F249" s="2" t="s">
        <v>410</v>
      </c>
      <c r="G249" s="2" t="s">
        <v>196</v>
      </c>
      <c r="H249" s="2" t="s">
        <v>10</v>
      </c>
      <c r="I249" s="2" t="s">
        <v>60</v>
      </c>
      <c r="J249" s="2" t="s">
        <v>197</v>
      </c>
      <c r="K249" s="2" t="s">
        <v>10</v>
      </c>
      <c r="L249" s="6"/>
    </row>
    <row r="250" spans="1:12" ht="27.6" hidden="1" x14ac:dyDescent="0.3">
      <c r="A250" s="2" t="s">
        <v>60</v>
      </c>
      <c r="B250" s="2" t="s">
        <v>1033</v>
      </c>
      <c r="C250" s="3">
        <v>26797</v>
      </c>
      <c r="D250" s="1" t="s">
        <v>1034</v>
      </c>
      <c r="E250" s="1" t="s">
        <v>1035</v>
      </c>
      <c r="F250" s="2" t="s">
        <v>60</v>
      </c>
      <c r="G250" s="2" t="s">
        <v>1036</v>
      </c>
      <c r="H250" s="2" t="s">
        <v>103</v>
      </c>
      <c r="I250" s="2" t="s">
        <v>60</v>
      </c>
      <c r="J250" s="2" t="s">
        <v>1037</v>
      </c>
      <c r="K250" s="2" t="s">
        <v>10</v>
      </c>
      <c r="L250" s="6"/>
    </row>
    <row r="251" spans="1:12" ht="27.6" hidden="1" x14ac:dyDescent="0.3">
      <c r="A251" s="2" t="s">
        <v>60</v>
      </c>
      <c r="B251" s="2" t="s">
        <v>1038</v>
      </c>
      <c r="C251" s="3">
        <v>25272</v>
      </c>
      <c r="D251" s="1" t="s">
        <v>442</v>
      </c>
      <c r="E251" s="1" t="s">
        <v>1039</v>
      </c>
      <c r="F251" s="2" t="s">
        <v>60</v>
      </c>
      <c r="G251" s="2" t="s">
        <v>1036</v>
      </c>
      <c r="H251" s="2" t="s">
        <v>81</v>
      </c>
      <c r="I251" s="2" t="s">
        <v>60</v>
      </c>
      <c r="J251" s="2" t="s">
        <v>1037</v>
      </c>
      <c r="K251" s="2" t="s">
        <v>10</v>
      </c>
      <c r="L251" s="6"/>
    </row>
    <row r="252" spans="1:12" ht="27.6" hidden="1" x14ac:dyDescent="0.3">
      <c r="A252" s="2" t="s">
        <v>60</v>
      </c>
      <c r="B252" s="2" t="s">
        <v>1040</v>
      </c>
      <c r="C252" s="3">
        <v>32247</v>
      </c>
      <c r="D252" s="1" t="s">
        <v>1041</v>
      </c>
      <c r="E252" s="1" t="s">
        <v>1042</v>
      </c>
      <c r="F252" s="2" t="s">
        <v>1043</v>
      </c>
      <c r="G252" s="2" t="s">
        <v>152</v>
      </c>
      <c r="H252" s="2" t="s">
        <v>10</v>
      </c>
      <c r="I252" s="2" t="s">
        <v>60</v>
      </c>
      <c r="J252" s="2" t="s">
        <v>1044</v>
      </c>
      <c r="K252" s="2" t="s">
        <v>10</v>
      </c>
      <c r="L252" s="6"/>
    </row>
    <row r="253" spans="1:12" ht="27.6" hidden="1" x14ac:dyDescent="0.3">
      <c r="A253" s="2" t="s">
        <v>60</v>
      </c>
      <c r="B253" s="2" t="s">
        <v>1045</v>
      </c>
      <c r="C253" s="3">
        <v>32570</v>
      </c>
      <c r="D253" s="1" t="s">
        <v>1046</v>
      </c>
      <c r="E253" s="1" t="s">
        <v>1047</v>
      </c>
      <c r="F253" s="2" t="s">
        <v>269</v>
      </c>
      <c r="G253" s="2" t="s">
        <v>152</v>
      </c>
      <c r="H253" s="2" t="s">
        <v>43</v>
      </c>
      <c r="I253" s="2" t="s">
        <v>60</v>
      </c>
      <c r="J253" s="2" t="s">
        <v>1048</v>
      </c>
      <c r="K253" s="2" t="s">
        <v>10</v>
      </c>
      <c r="L253" s="6"/>
    </row>
    <row r="254" spans="1:12" ht="27.6" hidden="1" x14ac:dyDescent="0.3">
      <c r="A254" s="2" t="s">
        <v>60</v>
      </c>
      <c r="B254" s="2" t="s">
        <v>1049</v>
      </c>
      <c r="C254" s="3">
        <v>26400</v>
      </c>
      <c r="D254" s="1" t="s">
        <v>1050</v>
      </c>
      <c r="E254" s="1" t="s">
        <v>1051</v>
      </c>
      <c r="F254" s="2" t="s">
        <v>269</v>
      </c>
      <c r="G254" s="2" t="s">
        <v>385</v>
      </c>
      <c r="H254" s="2" t="s">
        <v>10</v>
      </c>
      <c r="I254" s="2" t="s">
        <v>60</v>
      </c>
      <c r="J254" s="2" t="s">
        <v>913</v>
      </c>
      <c r="K254" s="2" t="s">
        <v>10</v>
      </c>
      <c r="L254" s="6"/>
    </row>
    <row r="255" spans="1:12" ht="27.6" hidden="1" x14ac:dyDescent="0.3">
      <c r="A255" s="2" t="s">
        <v>60</v>
      </c>
      <c r="B255" s="2" t="s">
        <v>1052</v>
      </c>
      <c r="C255" s="3">
        <v>36250</v>
      </c>
      <c r="D255" s="1" t="s">
        <v>442</v>
      </c>
      <c r="E255" s="1" t="s">
        <v>1053</v>
      </c>
      <c r="F255" s="2" t="s">
        <v>269</v>
      </c>
      <c r="G255" s="2" t="s">
        <v>211</v>
      </c>
      <c r="H255" s="2" t="s">
        <v>354</v>
      </c>
      <c r="I255" s="2" t="s">
        <v>60</v>
      </c>
      <c r="J255" s="2" t="s">
        <v>1054</v>
      </c>
      <c r="K255" s="2" t="s">
        <v>1055</v>
      </c>
      <c r="L255" s="6"/>
    </row>
    <row r="256" spans="1:12" ht="27.6" hidden="1" x14ac:dyDescent="0.3">
      <c r="A256" s="2" t="s">
        <v>60</v>
      </c>
      <c r="B256" s="2" t="s">
        <v>1056</v>
      </c>
      <c r="C256" s="3">
        <v>24905</v>
      </c>
      <c r="D256" s="1" t="s">
        <v>1057</v>
      </c>
      <c r="E256" s="1" t="s">
        <v>1058</v>
      </c>
      <c r="F256" s="2" t="s">
        <v>269</v>
      </c>
      <c r="G256" s="2" t="s">
        <v>333</v>
      </c>
      <c r="H256" s="2" t="s">
        <v>10</v>
      </c>
      <c r="I256" s="2" t="s">
        <v>60</v>
      </c>
      <c r="J256" s="2" t="s">
        <v>1059</v>
      </c>
      <c r="K256" s="2" t="s">
        <v>10</v>
      </c>
      <c r="L256" s="6"/>
    </row>
    <row r="257" spans="1:12" ht="27.6" hidden="1" x14ac:dyDescent="0.3">
      <c r="A257" s="2" t="s">
        <v>60</v>
      </c>
      <c r="B257" s="2" t="s">
        <v>1060</v>
      </c>
      <c r="C257" s="3">
        <v>37320</v>
      </c>
      <c r="D257" s="1" t="s">
        <v>442</v>
      </c>
      <c r="E257" s="1" t="s">
        <v>1061</v>
      </c>
      <c r="F257" s="2" t="s">
        <v>269</v>
      </c>
      <c r="G257" s="2" t="s">
        <v>211</v>
      </c>
      <c r="H257" s="2" t="s">
        <v>26</v>
      </c>
      <c r="I257" s="2" t="s">
        <v>60</v>
      </c>
      <c r="J257" s="2" t="s">
        <v>1062</v>
      </c>
      <c r="K257" s="2" t="s">
        <v>10</v>
      </c>
      <c r="L257" s="6"/>
    </row>
    <row r="258" spans="1:12" ht="27.6" hidden="1" x14ac:dyDescent="0.3">
      <c r="A258" s="2" t="s">
        <v>60</v>
      </c>
      <c r="B258" s="2" t="s">
        <v>1063</v>
      </c>
      <c r="C258" s="3">
        <v>26479</v>
      </c>
      <c r="D258" s="1" t="s">
        <v>1064</v>
      </c>
      <c r="E258" s="1" t="s">
        <v>1065</v>
      </c>
      <c r="F258" s="2" t="s">
        <v>269</v>
      </c>
      <c r="G258" s="2" t="s">
        <v>696</v>
      </c>
      <c r="H258" s="2" t="s">
        <v>10</v>
      </c>
      <c r="I258" s="2" t="s">
        <v>60</v>
      </c>
      <c r="J258" s="2" t="s">
        <v>697</v>
      </c>
      <c r="K258" s="2" t="s">
        <v>10</v>
      </c>
      <c r="L258" s="6"/>
    </row>
    <row r="259" spans="1:12" ht="27.6" hidden="1" x14ac:dyDescent="0.3">
      <c r="A259" s="2" t="s">
        <v>11</v>
      </c>
      <c r="B259" s="2" t="s">
        <v>1066</v>
      </c>
      <c r="C259" s="3">
        <v>37804</v>
      </c>
      <c r="D259" s="1" t="s">
        <v>1067</v>
      </c>
      <c r="E259" s="1" t="s">
        <v>1068</v>
      </c>
      <c r="F259" s="2" t="s">
        <v>16</v>
      </c>
      <c r="G259" s="2" t="s">
        <v>1069</v>
      </c>
      <c r="H259" s="2" t="s">
        <v>81</v>
      </c>
      <c r="I259" s="2" t="s">
        <v>11</v>
      </c>
      <c r="J259" s="2" t="s">
        <v>1070</v>
      </c>
      <c r="K259" s="2" t="s">
        <v>10</v>
      </c>
      <c r="L259" s="6"/>
    </row>
    <row r="260" spans="1:12" ht="27.6" hidden="1" x14ac:dyDescent="0.3">
      <c r="A260" s="2" t="s">
        <v>180</v>
      </c>
      <c r="B260" s="2" t="s">
        <v>1071</v>
      </c>
      <c r="C260" s="3">
        <v>39284</v>
      </c>
      <c r="D260" s="1" t="s">
        <v>1072</v>
      </c>
      <c r="E260" s="1" t="s">
        <v>1073</v>
      </c>
      <c r="F260" s="2" t="s">
        <v>691</v>
      </c>
      <c r="G260" s="2" t="s">
        <v>385</v>
      </c>
      <c r="H260" s="2" t="s">
        <v>10</v>
      </c>
      <c r="I260" s="2" t="s">
        <v>180</v>
      </c>
      <c r="J260" s="2" t="s">
        <v>1074</v>
      </c>
      <c r="K260" s="2" t="s">
        <v>10</v>
      </c>
      <c r="L260" s="6"/>
    </row>
    <row r="261" spans="1:12" hidden="1" x14ac:dyDescent="0.3">
      <c r="A261" s="2" t="s">
        <v>180</v>
      </c>
      <c r="B261" s="2" t="s">
        <v>1075</v>
      </c>
      <c r="C261" s="3">
        <v>30043</v>
      </c>
      <c r="D261" s="1" t="s">
        <v>1076</v>
      </c>
      <c r="E261" s="1" t="s">
        <v>1077</v>
      </c>
      <c r="F261" s="2" t="s">
        <v>1078</v>
      </c>
      <c r="G261" s="2" t="s">
        <v>196</v>
      </c>
      <c r="H261" s="2" t="s">
        <v>10</v>
      </c>
      <c r="I261" s="2" t="s">
        <v>180</v>
      </c>
      <c r="J261" s="2" t="s">
        <v>1079</v>
      </c>
      <c r="K261" s="2" t="s">
        <v>10</v>
      </c>
      <c r="L261" s="6"/>
    </row>
    <row r="262" spans="1:12" hidden="1" x14ac:dyDescent="0.3">
      <c r="A262" s="2" t="s">
        <v>180</v>
      </c>
      <c r="B262" s="2" t="s">
        <v>1080</v>
      </c>
      <c r="C262" s="3">
        <v>36824</v>
      </c>
      <c r="D262" s="1" t="s">
        <v>1081</v>
      </c>
      <c r="E262" s="1" t="s">
        <v>1082</v>
      </c>
      <c r="F262" s="2" t="s">
        <v>195</v>
      </c>
      <c r="G262" s="2" t="s">
        <v>380</v>
      </c>
      <c r="H262" s="2" t="s">
        <v>43</v>
      </c>
      <c r="I262" s="2" t="s">
        <v>180</v>
      </c>
      <c r="J262" s="2" t="s">
        <v>1083</v>
      </c>
      <c r="K262" s="2" t="s">
        <v>10</v>
      </c>
      <c r="L262" s="6"/>
    </row>
    <row r="263" spans="1:12" hidden="1" x14ac:dyDescent="0.3">
      <c r="A263" s="2" t="s">
        <v>180</v>
      </c>
      <c r="B263" s="2" t="s">
        <v>1084</v>
      </c>
      <c r="C263" s="3">
        <v>34477</v>
      </c>
      <c r="D263" s="1" t="s">
        <v>1085</v>
      </c>
      <c r="E263" s="1" t="s">
        <v>1086</v>
      </c>
      <c r="F263" s="2" t="s">
        <v>201</v>
      </c>
      <c r="G263" s="2" t="s">
        <v>157</v>
      </c>
      <c r="H263" s="2" t="s">
        <v>10</v>
      </c>
      <c r="I263" s="2" t="s">
        <v>180</v>
      </c>
      <c r="J263" s="2" t="s">
        <v>158</v>
      </c>
      <c r="K263" s="30" t="s">
        <v>13193</v>
      </c>
      <c r="L263" s="6"/>
    </row>
    <row r="264" spans="1:12" hidden="1" x14ac:dyDescent="0.3">
      <c r="A264" s="2" t="s">
        <v>180</v>
      </c>
      <c r="B264" s="2" t="s">
        <v>1087</v>
      </c>
      <c r="C264" s="3">
        <v>32571</v>
      </c>
      <c r="D264" s="1" t="s">
        <v>1088</v>
      </c>
      <c r="E264" s="1" t="s">
        <v>1089</v>
      </c>
      <c r="F264" s="2" t="s">
        <v>459</v>
      </c>
      <c r="G264" s="2" t="s">
        <v>278</v>
      </c>
      <c r="H264" s="2" t="s">
        <v>10</v>
      </c>
      <c r="I264" s="2" t="s">
        <v>180</v>
      </c>
      <c r="J264" s="2" t="s">
        <v>1090</v>
      </c>
      <c r="K264" s="2" t="s">
        <v>10</v>
      </c>
      <c r="L264" s="6"/>
    </row>
    <row r="265" spans="1:12" hidden="1" x14ac:dyDescent="0.3">
      <c r="A265" s="2" t="s">
        <v>180</v>
      </c>
      <c r="B265" s="2" t="s">
        <v>1091</v>
      </c>
      <c r="C265" s="3">
        <v>34209</v>
      </c>
      <c r="D265" s="1" t="s">
        <v>1092</v>
      </c>
      <c r="E265" s="1" t="s">
        <v>1093</v>
      </c>
      <c r="F265" s="2" t="s">
        <v>1094</v>
      </c>
      <c r="G265" s="2" t="s">
        <v>380</v>
      </c>
      <c r="H265" s="2" t="s">
        <v>10</v>
      </c>
      <c r="I265" s="2" t="s">
        <v>180</v>
      </c>
      <c r="J265" s="2" t="s">
        <v>1083</v>
      </c>
      <c r="K265" s="2" t="s">
        <v>10</v>
      </c>
      <c r="L265" s="6"/>
    </row>
    <row r="266" spans="1:12" hidden="1" x14ac:dyDescent="0.3">
      <c r="A266" s="2" t="s">
        <v>180</v>
      </c>
      <c r="B266" s="2" t="s">
        <v>1095</v>
      </c>
      <c r="C266" s="3">
        <v>26411</v>
      </c>
      <c r="D266" s="1" t="s">
        <v>1096</v>
      </c>
      <c r="E266" s="1" t="s">
        <v>1097</v>
      </c>
      <c r="F266" s="2" t="s">
        <v>909</v>
      </c>
      <c r="G266" s="2" t="s">
        <v>157</v>
      </c>
      <c r="H266" s="2" t="s">
        <v>10</v>
      </c>
      <c r="I266" s="2" t="s">
        <v>180</v>
      </c>
      <c r="J266" s="2" t="s">
        <v>1098</v>
      </c>
      <c r="K266" s="2" t="s">
        <v>10</v>
      </c>
      <c r="L266" s="6"/>
    </row>
    <row r="267" spans="1:12" hidden="1" x14ac:dyDescent="0.3">
      <c r="A267" s="2" t="s">
        <v>180</v>
      </c>
      <c r="B267" s="2" t="s">
        <v>1099</v>
      </c>
      <c r="C267" s="3">
        <v>25600</v>
      </c>
      <c r="D267" s="1" t="s">
        <v>1100</v>
      </c>
      <c r="E267" s="1" t="s">
        <v>1101</v>
      </c>
      <c r="F267" s="2" t="s">
        <v>1102</v>
      </c>
      <c r="G267" s="2" t="s">
        <v>12</v>
      </c>
      <c r="H267" s="2" t="s">
        <v>10</v>
      </c>
      <c r="I267" s="2" t="s">
        <v>180</v>
      </c>
      <c r="J267" s="2" t="s">
        <v>1103</v>
      </c>
      <c r="K267" s="2" t="s">
        <v>10</v>
      </c>
      <c r="L267" s="6"/>
    </row>
    <row r="268" spans="1:12" hidden="1" x14ac:dyDescent="0.3">
      <c r="A268" s="2" t="s">
        <v>180</v>
      </c>
      <c r="B268" s="2" t="s">
        <v>1104</v>
      </c>
      <c r="C268" s="3">
        <v>34703</v>
      </c>
      <c r="D268" s="1" t="s">
        <v>10</v>
      </c>
      <c r="E268" s="1" t="s">
        <v>1105</v>
      </c>
      <c r="F268" s="2" t="s">
        <v>195</v>
      </c>
      <c r="G268" s="2" t="s">
        <v>25</v>
      </c>
      <c r="H268" s="2" t="s">
        <v>10</v>
      </c>
      <c r="I268" s="2" t="s">
        <v>180</v>
      </c>
      <c r="J268" s="2" t="s">
        <v>305</v>
      </c>
      <c r="K268" s="2" t="s">
        <v>10</v>
      </c>
      <c r="L268" s="6"/>
    </row>
    <row r="269" spans="1:12" hidden="1" x14ac:dyDescent="0.3">
      <c r="A269" s="2" t="s">
        <v>180</v>
      </c>
      <c r="B269" s="2" t="s">
        <v>1106</v>
      </c>
      <c r="C269" s="3">
        <v>35327</v>
      </c>
      <c r="D269" s="1" t="s">
        <v>1107</v>
      </c>
      <c r="E269" s="1" t="s">
        <v>1108</v>
      </c>
      <c r="F269" s="2" t="s">
        <v>1094</v>
      </c>
      <c r="G269" s="2" t="s">
        <v>12</v>
      </c>
      <c r="H269" s="2" t="s">
        <v>10</v>
      </c>
      <c r="I269" s="2" t="s">
        <v>180</v>
      </c>
      <c r="J269" s="2" t="s">
        <v>1103</v>
      </c>
      <c r="K269" s="2" t="s">
        <v>10</v>
      </c>
      <c r="L269" s="6"/>
    </row>
    <row r="270" spans="1:12" ht="27.6" hidden="1" x14ac:dyDescent="0.3">
      <c r="A270" s="2" t="s">
        <v>180</v>
      </c>
      <c r="B270" s="2" t="s">
        <v>1109</v>
      </c>
      <c r="C270" s="3">
        <v>23713</v>
      </c>
      <c r="D270" s="1" t="s">
        <v>1110</v>
      </c>
      <c r="E270" s="1" t="s">
        <v>1111</v>
      </c>
      <c r="F270" s="2" t="s">
        <v>717</v>
      </c>
      <c r="G270" s="2" t="s">
        <v>31</v>
      </c>
      <c r="H270" s="2" t="s">
        <v>1112</v>
      </c>
      <c r="I270" s="2" t="s">
        <v>180</v>
      </c>
      <c r="J270" s="2" t="s">
        <v>684</v>
      </c>
      <c r="K270" s="2" t="s">
        <v>10</v>
      </c>
      <c r="L270" s="6"/>
    </row>
    <row r="271" spans="1:12" ht="27.6" hidden="1" x14ac:dyDescent="0.3">
      <c r="A271" s="2" t="s">
        <v>180</v>
      </c>
      <c r="B271" s="2" t="s">
        <v>1113</v>
      </c>
      <c r="C271" s="3">
        <v>30945</v>
      </c>
      <c r="D271" s="1" t="s">
        <v>1114</v>
      </c>
      <c r="E271" s="1" t="s">
        <v>1115</v>
      </c>
      <c r="F271" s="2" t="s">
        <v>717</v>
      </c>
      <c r="G271" s="2" t="s">
        <v>92</v>
      </c>
      <c r="H271" s="2" t="s">
        <v>10</v>
      </c>
      <c r="I271" s="2" t="s">
        <v>180</v>
      </c>
      <c r="J271" s="2" t="s">
        <v>544</v>
      </c>
      <c r="K271" s="2" t="s">
        <v>10</v>
      </c>
      <c r="L271" s="6"/>
    </row>
    <row r="272" spans="1:12" ht="27.6" hidden="1" x14ac:dyDescent="0.3">
      <c r="A272" s="2" t="s">
        <v>180</v>
      </c>
      <c r="B272" s="2" t="s">
        <v>1116</v>
      </c>
      <c r="C272" s="3">
        <v>35344.041666666664</v>
      </c>
      <c r="D272" s="1" t="s">
        <v>1117</v>
      </c>
      <c r="E272" s="1" t="s">
        <v>1118</v>
      </c>
      <c r="F272" s="2" t="s">
        <v>1119</v>
      </c>
      <c r="G272" s="2" t="s">
        <v>196</v>
      </c>
      <c r="H272" s="2" t="s">
        <v>10</v>
      </c>
      <c r="I272" s="2" t="s">
        <v>180</v>
      </c>
      <c r="J272" s="2" t="s">
        <v>963</v>
      </c>
      <c r="K272" s="2" t="s">
        <v>10</v>
      </c>
      <c r="L272" s="6"/>
    </row>
    <row r="273" spans="1:12" hidden="1" x14ac:dyDescent="0.3">
      <c r="A273" s="2" t="s">
        <v>180</v>
      </c>
      <c r="B273" s="2" t="s">
        <v>1120</v>
      </c>
      <c r="C273" s="3">
        <v>26758</v>
      </c>
      <c r="D273" s="1" t="s">
        <v>1121</v>
      </c>
      <c r="E273" s="1" t="s">
        <v>1122</v>
      </c>
      <c r="F273" s="2" t="s">
        <v>1123</v>
      </c>
      <c r="G273" s="2" t="s">
        <v>25</v>
      </c>
      <c r="H273" s="2" t="s">
        <v>10</v>
      </c>
      <c r="I273" s="2" t="s">
        <v>180</v>
      </c>
      <c r="J273" s="2" t="s">
        <v>305</v>
      </c>
      <c r="K273" s="30" t="s">
        <v>13193</v>
      </c>
      <c r="L273" s="6" t="s">
        <v>13197</v>
      </c>
    </row>
    <row r="274" spans="1:12" ht="27.6" hidden="1" x14ac:dyDescent="0.3">
      <c r="A274" s="2" t="s">
        <v>11</v>
      </c>
      <c r="B274" s="2" t="s">
        <v>1124</v>
      </c>
      <c r="C274" s="3">
        <v>26137</v>
      </c>
      <c r="D274" s="1" t="s">
        <v>1125</v>
      </c>
      <c r="E274" s="1" t="s">
        <v>1126</v>
      </c>
      <c r="F274" s="2" t="s">
        <v>16</v>
      </c>
      <c r="G274" s="2" t="s">
        <v>380</v>
      </c>
      <c r="H274" s="2" t="s">
        <v>103</v>
      </c>
      <c r="I274" s="2" t="s">
        <v>11</v>
      </c>
      <c r="J274" s="2" t="s">
        <v>1127</v>
      </c>
      <c r="K274" s="2" t="s">
        <v>10</v>
      </c>
      <c r="L274" s="6"/>
    </row>
    <row r="275" spans="1:12" ht="27.6" hidden="1" x14ac:dyDescent="0.3">
      <c r="A275" s="2" t="s">
        <v>11</v>
      </c>
      <c r="B275" s="2" t="s">
        <v>1128</v>
      </c>
      <c r="C275" s="3">
        <v>17309</v>
      </c>
      <c r="D275" s="1" t="s">
        <v>442</v>
      </c>
      <c r="E275" s="1" t="s">
        <v>1129</v>
      </c>
      <c r="F275" s="2" t="s">
        <v>16</v>
      </c>
      <c r="G275" s="2" t="s">
        <v>380</v>
      </c>
      <c r="H275" s="2" t="s">
        <v>81</v>
      </c>
      <c r="I275" s="2" t="s">
        <v>11</v>
      </c>
      <c r="J275" s="2" t="s">
        <v>1130</v>
      </c>
      <c r="K275" s="2" t="s">
        <v>10</v>
      </c>
      <c r="L275" s="6"/>
    </row>
    <row r="276" spans="1:12" ht="27.6" hidden="1" x14ac:dyDescent="0.3">
      <c r="A276" s="2" t="s">
        <v>11</v>
      </c>
      <c r="B276" s="2" t="s">
        <v>1131</v>
      </c>
      <c r="C276" s="3">
        <v>26137</v>
      </c>
      <c r="D276" s="1" t="s">
        <v>1125</v>
      </c>
      <c r="E276" s="1" t="s">
        <v>1126</v>
      </c>
      <c r="F276" s="2" t="s">
        <v>16</v>
      </c>
      <c r="G276" s="2" t="s">
        <v>380</v>
      </c>
      <c r="H276" s="2" t="s">
        <v>562</v>
      </c>
      <c r="I276" s="2" t="s">
        <v>11</v>
      </c>
      <c r="J276" s="2" t="s">
        <v>1127</v>
      </c>
      <c r="K276" s="2" t="s">
        <v>10</v>
      </c>
      <c r="L276" s="6"/>
    </row>
    <row r="277" spans="1:12" ht="27.6" hidden="1" x14ac:dyDescent="0.3">
      <c r="A277" s="2" t="s">
        <v>11</v>
      </c>
      <c r="B277" s="2" t="s">
        <v>1132</v>
      </c>
      <c r="C277" s="3">
        <v>27039</v>
      </c>
      <c r="D277" s="1" t="s">
        <v>1133</v>
      </c>
      <c r="E277" s="1" t="s">
        <v>1134</v>
      </c>
      <c r="F277" s="2" t="s">
        <v>16</v>
      </c>
      <c r="G277" s="2" t="s">
        <v>1135</v>
      </c>
      <c r="H277" s="2" t="s">
        <v>26</v>
      </c>
      <c r="I277" s="2" t="s">
        <v>11</v>
      </c>
      <c r="J277" s="2" t="s">
        <v>1136</v>
      </c>
      <c r="K277" s="2" t="s">
        <v>10</v>
      </c>
      <c r="L277" s="6"/>
    </row>
    <row r="278" spans="1:12" ht="27.6" hidden="1" x14ac:dyDescent="0.3">
      <c r="A278" s="2" t="s">
        <v>11</v>
      </c>
      <c r="B278" s="2" t="s">
        <v>1137</v>
      </c>
      <c r="C278" s="3">
        <v>31976</v>
      </c>
      <c r="D278" s="1" t="s">
        <v>442</v>
      </c>
      <c r="E278" s="1" t="s">
        <v>1138</v>
      </c>
      <c r="F278" s="2" t="s">
        <v>24</v>
      </c>
      <c r="G278" s="2" t="s">
        <v>12</v>
      </c>
      <c r="H278" s="2" t="s">
        <v>10</v>
      </c>
      <c r="I278" s="2" t="s">
        <v>11</v>
      </c>
      <c r="J278" s="2" t="s">
        <v>54</v>
      </c>
      <c r="K278" s="30" t="s">
        <v>13193</v>
      </c>
      <c r="L278" s="6" t="s">
        <v>13195</v>
      </c>
    </row>
    <row r="279" spans="1:12" ht="27.6" hidden="1" x14ac:dyDescent="0.3">
      <c r="A279" s="2" t="s">
        <v>11</v>
      </c>
      <c r="B279" s="2" t="s">
        <v>1139</v>
      </c>
      <c r="C279" s="3">
        <v>39156</v>
      </c>
      <c r="D279" s="1" t="s">
        <v>442</v>
      </c>
      <c r="E279" s="1" t="s">
        <v>1140</v>
      </c>
      <c r="F279" s="2" t="s">
        <v>1141</v>
      </c>
      <c r="G279" s="2" t="s">
        <v>31</v>
      </c>
      <c r="H279" s="2" t="s">
        <v>10</v>
      </c>
      <c r="I279" s="2" t="s">
        <v>11</v>
      </c>
      <c r="J279" s="2" t="s">
        <v>558</v>
      </c>
      <c r="K279" s="30" t="s">
        <v>13193</v>
      </c>
      <c r="L279" s="37" t="s">
        <v>13195</v>
      </c>
    </row>
    <row r="280" spans="1:12" ht="27.6" hidden="1" x14ac:dyDescent="0.3">
      <c r="A280" s="2" t="s">
        <v>11</v>
      </c>
      <c r="B280" s="2" t="s">
        <v>1142</v>
      </c>
      <c r="C280" s="3">
        <v>31976</v>
      </c>
      <c r="D280" s="1" t="s">
        <v>442</v>
      </c>
      <c r="E280" s="1" t="s">
        <v>1143</v>
      </c>
      <c r="F280" s="2" t="s">
        <v>24</v>
      </c>
      <c r="G280" s="2" t="s">
        <v>380</v>
      </c>
      <c r="H280" s="2" t="s">
        <v>26</v>
      </c>
      <c r="I280" s="2" t="s">
        <v>11</v>
      </c>
      <c r="J280" s="2" t="s">
        <v>1144</v>
      </c>
      <c r="K280" s="30" t="s">
        <v>13193</v>
      </c>
      <c r="L280" s="6" t="s">
        <v>13195</v>
      </c>
    </row>
    <row r="281" spans="1:12" ht="27.6" hidden="1" x14ac:dyDescent="0.3">
      <c r="A281" s="2" t="s">
        <v>11</v>
      </c>
      <c r="B281" s="2" t="s">
        <v>1145</v>
      </c>
      <c r="C281" s="3">
        <v>31976</v>
      </c>
      <c r="D281" s="1" t="s">
        <v>442</v>
      </c>
      <c r="E281" s="1" t="s">
        <v>1138</v>
      </c>
      <c r="F281" s="2" t="s">
        <v>16</v>
      </c>
      <c r="G281" s="2" t="s">
        <v>1146</v>
      </c>
      <c r="H281" s="2" t="s">
        <v>10</v>
      </c>
      <c r="I281" s="2" t="s">
        <v>11</v>
      </c>
      <c r="J281" s="2" t="s">
        <v>1147</v>
      </c>
      <c r="K281" s="2" t="s">
        <v>10</v>
      </c>
      <c r="L281" s="6"/>
    </row>
    <row r="282" spans="1:12" ht="27.6" hidden="1" x14ac:dyDescent="0.3">
      <c r="A282" s="2" t="s">
        <v>11</v>
      </c>
      <c r="B282" s="2" t="s">
        <v>1148</v>
      </c>
      <c r="C282" s="3">
        <v>34725</v>
      </c>
      <c r="D282" s="1" t="s">
        <v>1149</v>
      </c>
      <c r="E282" s="1" t="s">
        <v>1150</v>
      </c>
      <c r="F282" s="2" t="s">
        <v>992</v>
      </c>
      <c r="G282" s="2" t="s">
        <v>380</v>
      </c>
      <c r="H282" s="2" t="s">
        <v>10</v>
      </c>
      <c r="I282" s="2" t="s">
        <v>11</v>
      </c>
      <c r="J282" s="2" t="s">
        <v>744</v>
      </c>
      <c r="K282" s="30" t="s">
        <v>13193</v>
      </c>
      <c r="L282" s="6" t="s">
        <v>13195</v>
      </c>
    </row>
    <row r="283" spans="1:12" hidden="1" x14ac:dyDescent="0.3">
      <c r="A283" s="2" t="s">
        <v>180</v>
      </c>
      <c r="B283" s="2" t="s">
        <v>1151</v>
      </c>
      <c r="C283" s="3">
        <v>34764</v>
      </c>
      <c r="D283" s="1" t="s">
        <v>1152</v>
      </c>
      <c r="E283" s="1" t="s">
        <v>1153</v>
      </c>
      <c r="F283" s="2" t="s">
        <v>1154</v>
      </c>
      <c r="G283" s="2" t="s">
        <v>190</v>
      </c>
      <c r="H283" s="2" t="s">
        <v>10</v>
      </c>
      <c r="I283" s="2" t="s">
        <v>180</v>
      </c>
      <c r="J283" s="2" t="s">
        <v>1155</v>
      </c>
      <c r="K283" s="30" t="s">
        <v>13193</v>
      </c>
      <c r="L283" s="6" t="s">
        <v>13197</v>
      </c>
    </row>
    <row r="284" spans="1:12" ht="27.6" hidden="1" x14ac:dyDescent="0.3">
      <c r="A284" s="2" t="s">
        <v>11</v>
      </c>
      <c r="B284" s="2" t="s">
        <v>1156</v>
      </c>
      <c r="C284" s="3">
        <v>21342</v>
      </c>
      <c r="D284" s="1" t="s">
        <v>1157</v>
      </c>
      <c r="E284" s="1" t="s">
        <v>1158</v>
      </c>
      <c r="F284" s="2" t="s">
        <v>16</v>
      </c>
      <c r="G284" s="2" t="s">
        <v>245</v>
      </c>
      <c r="H284" s="2" t="s">
        <v>10</v>
      </c>
      <c r="I284" s="2" t="s">
        <v>11</v>
      </c>
      <c r="J284" s="2" t="s">
        <v>247</v>
      </c>
      <c r="K284" s="2" t="s">
        <v>10</v>
      </c>
      <c r="L284" s="6"/>
    </row>
    <row r="285" spans="1:12" ht="27.6" hidden="1" x14ac:dyDescent="0.3">
      <c r="A285" s="2" t="s">
        <v>60</v>
      </c>
      <c r="B285" s="2" t="s">
        <v>1159</v>
      </c>
      <c r="C285" s="3">
        <v>35039</v>
      </c>
      <c r="D285" s="1" t="s">
        <v>1160</v>
      </c>
      <c r="E285" s="1" t="s">
        <v>1161</v>
      </c>
      <c r="F285" s="2" t="s">
        <v>872</v>
      </c>
      <c r="G285" s="2" t="s">
        <v>124</v>
      </c>
      <c r="H285" s="2" t="s">
        <v>334</v>
      </c>
      <c r="I285" s="2" t="s">
        <v>60</v>
      </c>
      <c r="J285" s="2" t="s">
        <v>173</v>
      </c>
      <c r="K285" s="2" t="s">
        <v>10</v>
      </c>
      <c r="L285" s="6"/>
    </row>
    <row r="286" spans="1:12" ht="27.6" hidden="1" x14ac:dyDescent="0.3">
      <c r="A286" s="2" t="s">
        <v>60</v>
      </c>
      <c r="B286" s="2" t="s">
        <v>1162</v>
      </c>
      <c r="C286" s="3">
        <v>34032</v>
      </c>
      <c r="D286" s="1" t="s">
        <v>1163</v>
      </c>
      <c r="E286" s="1" t="s">
        <v>1164</v>
      </c>
      <c r="F286" s="2" t="s">
        <v>872</v>
      </c>
      <c r="G286" s="2" t="s">
        <v>75</v>
      </c>
      <c r="H286" s="2" t="s">
        <v>10</v>
      </c>
      <c r="I286" s="2" t="s">
        <v>60</v>
      </c>
      <c r="J286" s="2" t="s">
        <v>1165</v>
      </c>
      <c r="K286" s="2" t="s">
        <v>10</v>
      </c>
      <c r="L286" s="6"/>
    </row>
    <row r="287" spans="1:12" ht="27.6" hidden="1" x14ac:dyDescent="0.3">
      <c r="A287" s="2" t="s">
        <v>60</v>
      </c>
      <c r="B287" s="2" t="s">
        <v>1166</v>
      </c>
      <c r="C287" s="3">
        <v>31406</v>
      </c>
      <c r="D287" s="1" t="s">
        <v>1167</v>
      </c>
      <c r="E287" s="1" t="s">
        <v>1168</v>
      </c>
      <c r="F287" s="2" t="s">
        <v>269</v>
      </c>
      <c r="G287" s="2" t="s">
        <v>190</v>
      </c>
      <c r="H287" s="2" t="s">
        <v>10</v>
      </c>
      <c r="I287" s="2" t="s">
        <v>60</v>
      </c>
      <c r="J287" s="2" t="s">
        <v>768</v>
      </c>
      <c r="K287" s="2" t="s">
        <v>10</v>
      </c>
      <c r="L287" s="6"/>
    </row>
    <row r="288" spans="1:12" ht="27.6" hidden="1" x14ac:dyDescent="0.3">
      <c r="A288" s="2" t="s">
        <v>60</v>
      </c>
      <c r="B288" s="2" t="s">
        <v>1169</v>
      </c>
      <c r="C288" s="3">
        <v>36616</v>
      </c>
      <c r="D288" s="1" t="s">
        <v>1170</v>
      </c>
      <c r="E288" s="1" t="s">
        <v>1171</v>
      </c>
      <c r="F288" s="2" t="s">
        <v>618</v>
      </c>
      <c r="G288" s="2" t="s">
        <v>143</v>
      </c>
      <c r="H288" s="2" t="s">
        <v>10</v>
      </c>
      <c r="I288" s="2" t="s">
        <v>60</v>
      </c>
      <c r="J288" s="2" t="s">
        <v>197</v>
      </c>
      <c r="K288" s="2" t="s">
        <v>10</v>
      </c>
      <c r="L288" s="6"/>
    </row>
    <row r="289" spans="1:12" ht="27.6" hidden="1" x14ac:dyDescent="0.3">
      <c r="A289" s="2" t="s">
        <v>60</v>
      </c>
      <c r="B289" s="2" t="s">
        <v>1172</v>
      </c>
      <c r="C289" s="3">
        <v>29844</v>
      </c>
      <c r="D289" s="1" t="s">
        <v>1173</v>
      </c>
      <c r="E289" s="1" t="s">
        <v>1174</v>
      </c>
      <c r="F289" s="2" t="s">
        <v>872</v>
      </c>
      <c r="G289" s="2" t="s">
        <v>25</v>
      </c>
      <c r="H289" s="2" t="s">
        <v>10</v>
      </c>
      <c r="I289" s="2" t="s">
        <v>60</v>
      </c>
      <c r="J289" s="2" t="s">
        <v>305</v>
      </c>
      <c r="K289" s="2" t="s">
        <v>10</v>
      </c>
      <c r="L289" s="6"/>
    </row>
    <row r="290" spans="1:12" ht="27.6" hidden="1" x14ac:dyDescent="0.3">
      <c r="A290" s="2" t="s">
        <v>60</v>
      </c>
      <c r="B290" s="2" t="s">
        <v>1175</v>
      </c>
      <c r="C290" s="3">
        <v>34407</v>
      </c>
      <c r="D290" s="1" t="s">
        <v>1176</v>
      </c>
      <c r="E290" s="1" t="s">
        <v>1177</v>
      </c>
      <c r="F290" s="2" t="s">
        <v>872</v>
      </c>
      <c r="G290" s="2" t="s">
        <v>124</v>
      </c>
      <c r="H290" s="2" t="s">
        <v>10</v>
      </c>
      <c r="I290" s="2" t="s">
        <v>60</v>
      </c>
      <c r="J290" s="2" t="s">
        <v>173</v>
      </c>
      <c r="K290" s="2" t="s">
        <v>10</v>
      </c>
      <c r="L290" s="6"/>
    </row>
    <row r="291" spans="1:12" ht="27.6" hidden="1" x14ac:dyDescent="0.3">
      <c r="A291" s="2" t="s">
        <v>60</v>
      </c>
      <c r="B291" s="2" t="s">
        <v>1178</v>
      </c>
      <c r="C291" s="3">
        <v>38333</v>
      </c>
      <c r="D291" s="1" t="s">
        <v>1179</v>
      </c>
      <c r="E291" s="1" t="s">
        <v>1180</v>
      </c>
      <c r="F291" s="2" t="s">
        <v>636</v>
      </c>
      <c r="G291" s="2" t="s">
        <v>425</v>
      </c>
      <c r="H291" s="2" t="s">
        <v>334</v>
      </c>
      <c r="I291" s="2" t="s">
        <v>60</v>
      </c>
      <c r="J291" s="2" t="s">
        <v>1181</v>
      </c>
      <c r="K291" s="2" t="s">
        <v>10</v>
      </c>
      <c r="L291" s="6"/>
    </row>
    <row r="292" spans="1:12" ht="27.6" hidden="1" x14ac:dyDescent="0.3">
      <c r="A292" s="2" t="s">
        <v>60</v>
      </c>
      <c r="B292" s="2" t="s">
        <v>1182</v>
      </c>
      <c r="C292" s="3">
        <v>26147</v>
      </c>
      <c r="D292" s="1" t="s">
        <v>1183</v>
      </c>
      <c r="E292" s="1" t="s">
        <v>1184</v>
      </c>
      <c r="F292" s="2" t="s">
        <v>636</v>
      </c>
      <c r="G292" s="2" t="s">
        <v>196</v>
      </c>
      <c r="H292" s="2" t="s">
        <v>10</v>
      </c>
      <c r="I292" s="2" t="s">
        <v>60</v>
      </c>
      <c r="J292" s="2" t="s">
        <v>197</v>
      </c>
      <c r="K292" s="2" t="s">
        <v>10</v>
      </c>
      <c r="L292" s="6"/>
    </row>
    <row r="293" spans="1:12" ht="27.6" hidden="1" x14ac:dyDescent="0.3">
      <c r="A293" s="2" t="s">
        <v>60</v>
      </c>
      <c r="B293" s="2" t="s">
        <v>1185</v>
      </c>
      <c r="C293" s="3">
        <v>32204</v>
      </c>
      <c r="D293" s="1" t="s">
        <v>1186</v>
      </c>
      <c r="E293" s="1" t="s">
        <v>1187</v>
      </c>
      <c r="F293" s="2" t="s">
        <v>636</v>
      </c>
      <c r="G293" s="2" t="s">
        <v>492</v>
      </c>
      <c r="H293" s="2" t="s">
        <v>10</v>
      </c>
      <c r="I293" s="2" t="s">
        <v>60</v>
      </c>
      <c r="J293" s="2" t="s">
        <v>619</v>
      </c>
      <c r="K293" s="2" t="s">
        <v>10</v>
      </c>
      <c r="L293" s="6"/>
    </row>
    <row r="294" spans="1:12" hidden="1" x14ac:dyDescent="0.3">
      <c r="A294" s="2" t="s">
        <v>180</v>
      </c>
      <c r="B294" s="2" t="s">
        <v>1188</v>
      </c>
      <c r="C294" s="3">
        <v>33325</v>
      </c>
      <c r="D294" s="1" t="s">
        <v>1189</v>
      </c>
      <c r="E294" s="1" t="s">
        <v>1190</v>
      </c>
      <c r="F294" s="2" t="s">
        <v>1191</v>
      </c>
      <c r="G294" s="2" t="s">
        <v>80</v>
      </c>
      <c r="H294" s="2" t="s">
        <v>10</v>
      </c>
      <c r="I294" s="2" t="s">
        <v>180</v>
      </c>
      <c r="J294" s="2" t="s">
        <v>82</v>
      </c>
      <c r="K294" s="34" t="s">
        <v>13193</v>
      </c>
      <c r="L294" s="6" t="s">
        <v>13197</v>
      </c>
    </row>
    <row r="295" spans="1:12" ht="27.6" hidden="1" x14ac:dyDescent="0.3">
      <c r="A295" s="2" t="s">
        <v>11</v>
      </c>
      <c r="B295" s="2" t="s">
        <v>1192</v>
      </c>
      <c r="C295" s="3">
        <v>31130</v>
      </c>
      <c r="D295" s="1" t="s">
        <v>1193</v>
      </c>
      <c r="E295" s="1" t="s">
        <v>1194</v>
      </c>
      <c r="F295" s="2" t="s">
        <v>583</v>
      </c>
      <c r="G295" s="2" t="s">
        <v>31</v>
      </c>
      <c r="H295" s="2" t="s">
        <v>43</v>
      </c>
      <c r="I295" s="2" t="s">
        <v>11</v>
      </c>
      <c r="J295" s="2" t="s">
        <v>1195</v>
      </c>
      <c r="K295" s="30" t="s">
        <v>13193</v>
      </c>
      <c r="L295" s="37" t="s">
        <v>13195</v>
      </c>
    </row>
    <row r="296" spans="1:12" ht="27.6" hidden="1" x14ac:dyDescent="0.3">
      <c r="A296" s="2" t="s">
        <v>180</v>
      </c>
      <c r="B296" s="2" t="s">
        <v>1196</v>
      </c>
      <c r="C296" s="3">
        <v>32860</v>
      </c>
      <c r="D296" s="1" t="s">
        <v>1197</v>
      </c>
      <c r="E296" s="1" t="s">
        <v>1198</v>
      </c>
      <c r="F296" s="2" t="s">
        <v>1199</v>
      </c>
      <c r="G296" s="2" t="s">
        <v>31</v>
      </c>
      <c r="H296" s="2" t="s">
        <v>10</v>
      </c>
      <c r="I296" s="2" t="s">
        <v>180</v>
      </c>
      <c r="J296" s="2" t="s">
        <v>718</v>
      </c>
      <c r="K296" s="18" t="s">
        <v>10</v>
      </c>
      <c r="L296" s="6"/>
    </row>
    <row r="297" spans="1:12" hidden="1" x14ac:dyDescent="0.3">
      <c r="A297" s="2" t="s">
        <v>180</v>
      </c>
      <c r="B297" s="2" t="s">
        <v>1200</v>
      </c>
      <c r="C297" s="3">
        <v>33434</v>
      </c>
      <c r="D297" s="1" t="s">
        <v>1201</v>
      </c>
      <c r="E297" s="1" t="s">
        <v>1202</v>
      </c>
      <c r="F297" s="2" t="s">
        <v>1203</v>
      </c>
      <c r="G297" s="2" t="s">
        <v>380</v>
      </c>
      <c r="H297" s="2" t="s">
        <v>10</v>
      </c>
      <c r="I297" s="2" t="s">
        <v>180</v>
      </c>
      <c r="J297" s="2" t="s">
        <v>1083</v>
      </c>
      <c r="K297" s="30" t="s">
        <v>13193</v>
      </c>
      <c r="L297" s="6" t="s">
        <v>13194</v>
      </c>
    </row>
    <row r="298" spans="1:12" hidden="1" x14ac:dyDescent="0.3">
      <c r="A298" s="2" t="s">
        <v>180</v>
      </c>
      <c r="B298" s="2" t="s">
        <v>1204</v>
      </c>
      <c r="C298" s="3">
        <v>35996</v>
      </c>
      <c r="D298" s="1" t="s">
        <v>1205</v>
      </c>
      <c r="E298" s="1" t="s">
        <v>1206</v>
      </c>
      <c r="F298" s="2" t="s">
        <v>1123</v>
      </c>
      <c r="G298" s="2" t="s">
        <v>196</v>
      </c>
      <c r="H298" s="2" t="s">
        <v>10</v>
      </c>
      <c r="I298" s="2" t="s">
        <v>180</v>
      </c>
      <c r="J298" s="2" t="s">
        <v>197</v>
      </c>
      <c r="K298" s="30" t="s">
        <v>13193</v>
      </c>
      <c r="L298" s="6" t="s">
        <v>13197</v>
      </c>
    </row>
    <row r="299" spans="1:12" hidden="1" x14ac:dyDescent="0.3">
      <c r="A299" s="2" t="s">
        <v>180</v>
      </c>
      <c r="B299" s="2" t="s">
        <v>1207</v>
      </c>
      <c r="C299" s="3">
        <v>21806</v>
      </c>
      <c r="D299" s="1" t="s">
        <v>1208</v>
      </c>
      <c r="E299" s="1" t="s">
        <v>1209</v>
      </c>
      <c r="F299" s="2" t="s">
        <v>1123</v>
      </c>
      <c r="G299" s="2" t="s">
        <v>48</v>
      </c>
      <c r="H299" s="2" t="s">
        <v>334</v>
      </c>
      <c r="I299" s="2" t="s">
        <v>180</v>
      </c>
      <c r="J299" s="2" t="s">
        <v>49</v>
      </c>
      <c r="K299" s="30" t="s">
        <v>13193</v>
      </c>
      <c r="L299" s="6" t="s">
        <v>13197</v>
      </c>
    </row>
    <row r="300" spans="1:12" ht="27.6" hidden="1" x14ac:dyDescent="0.3">
      <c r="A300" s="2" t="s">
        <v>60</v>
      </c>
      <c r="B300" s="2" t="s">
        <v>1210</v>
      </c>
      <c r="C300" s="3">
        <v>27793</v>
      </c>
      <c r="D300" s="1" t="s">
        <v>1211</v>
      </c>
      <c r="E300" s="1" t="s">
        <v>1212</v>
      </c>
      <c r="F300" s="2" t="s">
        <v>257</v>
      </c>
      <c r="G300" s="2" t="s">
        <v>392</v>
      </c>
      <c r="H300" s="2" t="s">
        <v>10</v>
      </c>
      <c r="I300" s="2" t="s">
        <v>60</v>
      </c>
      <c r="J300" s="2" t="s">
        <v>1213</v>
      </c>
      <c r="K300" s="2" t="s">
        <v>10</v>
      </c>
      <c r="L300" s="6"/>
    </row>
    <row r="301" spans="1:12" ht="27.6" hidden="1" x14ac:dyDescent="0.3">
      <c r="A301" s="2" t="s">
        <v>60</v>
      </c>
      <c r="B301" s="2" t="s">
        <v>1214</v>
      </c>
      <c r="C301" s="3">
        <v>28829</v>
      </c>
      <c r="D301" s="1" t="s">
        <v>1215</v>
      </c>
      <c r="E301" s="1" t="s">
        <v>1216</v>
      </c>
      <c r="F301" s="2" t="s">
        <v>257</v>
      </c>
      <c r="G301" s="2" t="s">
        <v>1217</v>
      </c>
      <c r="H301" s="2" t="s">
        <v>10</v>
      </c>
      <c r="I301" s="2" t="s">
        <v>60</v>
      </c>
      <c r="J301" s="2" t="s">
        <v>1218</v>
      </c>
      <c r="K301" s="2" t="s">
        <v>10</v>
      </c>
      <c r="L301" s="6"/>
    </row>
    <row r="302" spans="1:12" hidden="1" x14ac:dyDescent="0.3">
      <c r="A302" s="2" t="s">
        <v>180</v>
      </c>
      <c r="B302" s="2" t="s">
        <v>1219</v>
      </c>
      <c r="C302" s="3">
        <v>32613</v>
      </c>
      <c r="D302" s="1" t="s">
        <v>1220</v>
      </c>
      <c r="E302" s="1" t="s">
        <v>1221</v>
      </c>
      <c r="F302" s="2" t="s">
        <v>195</v>
      </c>
      <c r="G302" s="2" t="s">
        <v>1222</v>
      </c>
      <c r="H302" s="2" t="s">
        <v>10</v>
      </c>
      <c r="I302" s="2" t="s">
        <v>180</v>
      </c>
      <c r="J302" s="2" t="s">
        <v>1223</v>
      </c>
      <c r="K302" s="2" t="s">
        <v>10</v>
      </c>
      <c r="L302" s="6"/>
    </row>
    <row r="303" spans="1:12" hidden="1" x14ac:dyDescent="0.3">
      <c r="A303" s="2" t="s">
        <v>180</v>
      </c>
      <c r="B303" s="2" t="s">
        <v>1219</v>
      </c>
      <c r="C303" s="3">
        <v>32613</v>
      </c>
      <c r="D303" s="1" t="s">
        <v>1220</v>
      </c>
      <c r="E303" s="1" t="s">
        <v>1221</v>
      </c>
      <c r="F303" s="2" t="s">
        <v>195</v>
      </c>
      <c r="G303" s="2" t="s">
        <v>350</v>
      </c>
      <c r="H303" s="2" t="s">
        <v>10</v>
      </c>
      <c r="I303" s="2" t="s">
        <v>180</v>
      </c>
      <c r="J303" s="2" t="s">
        <v>1224</v>
      </c>
      <c r="K303" s="2" t="s">
        <v>10</v>
      </c>
      <c r="L303" s="6"/>
    </row>
    <row r="304" spans="1:12" hidden="1" x14ac:dyDescent="0.3">
      <c r="A304" s="2" t="s">
        <v>180</v>
      </c>
      <c r="B304" s="2" t="s">
        <v>1225</v>
      </c>
      <c r="C304" s="3">
        <v>34701</v>
      </c>
      <c r="D304" s="1" t="s">
        <v>1226</v>
      </c>
      <c r="E304" s="1" t="s">
        <v>1227</v>
      </c>
      <c r="F304" s="2" t="s">
        <v>195</v>
      </c>
      <c r="G304" s="2" t="s">
        <v>1228</v>
      </c>
      <c r="H304" s="2" t="s">
        <v>10</v>
      </c>
      <c r="I304" s="2" t="s">
        <v>180</v>
      </c>
      <c r="J304" s="2" t="s">
        <v>1229</v>
      </c>
      <c r="K304" s="2" t="s">
        <v>10</v>
      </c>
      <c r="L304" s="6"/>
    </row>
    <row r="305" spans="1:12" hidden="1" x14ac:dyDescent="0.3">
      <c r="A305" s="2" t="s">
        <v>180</v>
      </c>
      <c r="B305" s="2" t="s">
        <v>249</v>
      </c>
      <c r="C305" s="3">
        <v>36744</v>
      </c>
      <c r="D305" s="1" t="s">
        <v>250</v>
      </c>
      <c r="E305" s="1" t="s">
        <v>251</v>
      </c>
      <c r="F305" s="2" t="s">
        <v>195</v>
      </c>
      <c r="G305" s="2" t="s">
        <v>552</v>
      </c>
      <c r="H305" s="2" t="s">
        <v>10</v>
      </c>
      <c r="I305" s="2" t="s">
        <v>180</v>
      </c>
      <c r="J305" s="2" t="s">
        <v>1230</v>
      </c>
      <c r="K305" s="2" t="s">
        <v>10</v>
      </c>
      <c r="L305" s="6"/>
    </row>
    <row r="306" spans="1:12" ht="27.6" hidden="1" x14ac:dyDescent="0.3">
      <c r="A306" s="2" t="s">
        <v>60</v>
      </c>
      <c r="B306" s="2" t="s">
        <v>1231</v>
      </c>
      <c r="C306" s="3">
        <v>36718</v>
      </c>
      <c r="D306" s="1" t="s">
        <v>1232</v>
      </c>
      <c r="E306" s="1" t="s">
        <v>1233</v>
      </c>
      <c r="F306" s="2" t="s">
        <v>636</v>
      </c>
      <c r="G306" s="2" t="s">
        <v>124</v>
      </c>
      <c r="H306" s="2" t="s">
        <v>334</v>
      </c>
      <c r="I306" s="2" t="s">
        <v>60</v>
      </c>
      <c r="J306" s="2" t="s">
        <v>173</v>
      </c>
      <c r="K306" s="2" t="s">
        <v>10</v>
      </c>
      <c r="L306" s="6"/>
    </row>
    <row r="307" spans="1:12" ht="27.6" hidden="1" x14ac:dyDescent="0.3">
      <c r="A307" s="2" t="s">
        <v>60</v>
      </c>
      <c r="B307" s="2" t="s">
        <v>1234</v>
      </c>
      <c r="C307" s="3">
        <v>32763</v>
      </c>
      <c r="D307" s="1" t="s">
        <v>1235</v>
      </c>
      <c r="E307" s="1" t="s">
        <v>1236</v>
      </c>
      <c r="F307" s="2" t="s">
        <v>614</v>
      </c>
      <c r="G307" s="2" t="s">
        <v>288</v>
      </c>
      <c r="H307" s="2" t="s">
        <v>562</v>
      </c>
      <c r="I307" s="2" t="s">
        <v>60</v>
      </c>
      <c r="J307" s="2" t="s">
        <v>289</v>
      </c>
      <c r="K307" s="2" t="s">
        <v>10</v>
      </c>
      <c r="L307" s="6"/>
    </row>
    <row r="308" spans="1:12" ht="27.6" hidden="1" x14ac:dyDescent="0.3">
      <c r="A308" s="2" t="s">
        <v>60</v>
      </c>
      <c r="B308" s="2" t="s">
        <v>1237</v>
      </c>
      <c r="C308" s="3">
        <v>32254</v>
      </c>
      <c r="D308" s="1" t="s">
        <v>1238</v>
      </c>
      <c r="E308" s="1" t="s">
        <v>1239</v>
      </c>
      <c r="F308" s="2" t="s">
        <v>614</v>
      </c>
      <c r="G308" s="2" t="s">
        <v>206</v>
      </c>
      <c r="H308" s="2" t="s">
        <v>10</v>
      </c>
      <c r="I308" s="2" t="s">
        <v>60</v>
      </c>
      <c r="J308" s="2" t="s">
        <v>207</v>
      </c>
      <c r="K308" s="2" t="s">
        <v>10</v>
      </c>
      <c r="L308" s="6"/>
    </row>
    <row r="309" spans="1:12" ht="27.6" hidden="1" x14ac:dyDescent="0.3">
      <c r="A309" s="2" t="s">
        <v>60</v>
      </c>
      <c r="B309" s="2" t="s">
        <v>1240</v>
      </c>
      <c r="C309" s="3">
        <v>25386</v>
      </c>
      <c r="D309" s="1" t="s">
        <v>1241</v>
      </c>
      <c r="E309" s="1" t="s">
        <v>1242</v>
      </c>
      <c r="F309" s="2" t="s">
        <v>614</v>
      </c>
      <c r="G309" s="2" t="s">
        <v>397</v>
      </c>
      <c r="H309" s="2" t="s">
        <v>10</v>
      </c>
      <c r="I309" s="2" t="s">
        <v>60</v>
      </c>
      <c r="J309" s="2" t="s">
        <v>398</v>
      </c>
      <c r="K309" s="2" t="s">
        <v>10</v>
      </c>
      <c r="L309" s="6"/>
    </row>
    <row r="310" spans="1:12" ht="27.6" hidden="1" x14ac:dyDescent="0.3">
      <c r="A310" s="2" t="s">
        <v>60</v>
      </c>
      <c r="B310" s="2" t="s">
        <v>1243</v>
      </c>
      <c r="C310" s="3">
        <v>30156</v>
      </c>
      <c r="D310" s="1" t="s">
        <v>1244</v>
      </c>
      <c r="E310" s="1" t="s">
        <v>1245</v>
      </c>
      <c r="F310" s="2" t="s">
        <v>825</v>
      </c>
      <c r="G310" s="2" t="s">
        <v>211</v>
      </c>
      <c r="H310" s="2" t="s">
        <v>10</v>
      </c>
      <c r="I310" s="2" t="s">
        <v>60</v>
      </c>
      <c r="J310" s="2" t="s">
        <v>212</v>
      </c>
      <c r="K310" s="2" t="s">
        <v>10</v>
      </c>
      <c r="L310" s="6"/>
    </row>
    <row r="311" spans="1:12" ht="27.6" hidden="1" x14ac:dyDescent="0.3">
      <c r="A311" s="2" t="s">
        <v>60</v>
      </c>
      <c r="B311" s="2" t="s">
        <v>1246</v>
      </c>
      <c r="C311" s="3">
        <v>34180</v>
      </c>
      <c r="D311" s="1" t="s">
        <v>1247</v>
      </c>
      <c r="E311" s="1" t="s">
        <v>1248</v>
      </c>
      <c r="F311" s="2" t="s">
        <v>1249</v>
      </c>
      <c r="G311" s="2" t="s">
        <v>425</v>
      </c>
      <c r="H311" s="2" t="s">
        <v>10</v>
      </c>
      <c r="I311" s="2" t="s">
        <v>60</v>
      </c>
      <c r="J311" s="2" t="s">
        <v>1250</v>
      </c>
      <c r="K311" s="2" t="s">
        <v>10</v>
      </c>
      <c r="L311" s="6"/>
    </row>
    <row r="312" spans="1:12" ht="27.6" hidden="1" x14ac:dyDescent="0.3">
      <c r="A312" s="2" t="s">
        <v>60</v>
      </c>
      <c r="B312" s="2" t="s">
        <v>1251</v>
      </c>
      <c r="C312" s="3">
        <v>36570</v>
      </c>
      <c r="D312" s="1" t="s">
        <v>261</v>
      </c>
      <c r="E312" s="1" t="s">
        <v>1252</v>
      </c>
      <c r="F312" s="2" t="s">
        <v>257</v>
      </c>
      <c r="G312" s="2" t="s">
        <v>669</v>
      </c>
      <c r="H312" s="2" t="s">
        <v>10</v>
      </c>
      <c r="I312" s="2" t="s">
        <v>60</v>
      </c>
      <c r="J312" s="2" t="s">
        <v>1253</v>
      </c>
      <c r="K312" s="2" t="s">
        <v>10</v>
      </c>
      <c r="L312" s="6"/>
    </row>
    <row r="313" spans="1:12" ht="27.6" hidden="1" x14ac:dyDescent="0.3">
      <c r="A313" s="2" t="s">
        <v>60</v>
      </c>
      <c r="B313" s="2" t="s">
        <v>1254</v>
      </c>
      <c r="C313" s="3">
        <v>38654</v>
      </c>
      <c r="D313" s="1" t="s">
        <v>1255</v>
      </c>
      <c r="E313" s="1" t="s">
        <v>1256</v>
      </c>
      <c r="F313" s="2" t="s">
        <v>257</v>
      </c>
      <c r="G313" s="2" t="s">
        <v>80</v>
      </c>
      <c r="H313" s="2" t="s">
        <v>10</v>
      </c>
      <c r="I313" s="2" t="s">
        <v>60</v>
      </c>
      <c r="J313" s="2" t="s">
        <v>845</v>
      </c>
      <c r="K313" s="2" t="s">
        <v>10</v>
      </c>
      <c r="L313" s="6"/>
    </row>
    <row r="314" spans="1:12" hidden="1" x14ac:dyDescent="0.3">
      <c r="A314" s="2" t="s">
        <v>180</v>
      </c>
      <c r="B314" s="2" t="s">
        <v>1257</v>
      </c>
      <c r="C314" s="3">
        <v>32613</v>
      </c>
      <c r="D314" s="1" t="s">
        <v>1220</v>
      </c>
      <c r="E314" s="1" t="s">
        <v>1221</v>
      </c>
      <c r="F314" s="2" t="s">
        <v>195</v>
      </c>
      <c r="G314" s="2" t="s">
        <v>392</v>
      </c>
      <c r="H314" s="2" t="s">
        <v>10</v>
      </c>
      <c r="I314" s="2" t="s">
        <v>180</v>
      </c>
      <c r="J314" s="2" t="s">
        <v>1258</v>
      </c>
      <c r="K314" s="2" t="s">
        <v>10</v>
      </c>
      <c r="L314" s="6"/>
    </row>
    <row r="315" spans="1:12" ht="27.6" hidden="1" x14ac:dyDescent="0.3">
      <c r="A315" s="2" t="s">
        <v>11</v>
      </c>
      <c r="B315" s="2" t="s">
        <v>1259</v>
      </c>
      <c r="C315" s="3">
        <v>30502</v>
      </c>
      <c r="D315" s="1" t="s">
        <v>1260</v>
      </c>
      <c r="E315" s="1" t="s">
        <v>1261</v>
      </c>
      <c r="F315" s="2" t="s">
        <v>1141</v>
      </c>
      <c r="G315" s="2" t="s">
        <v>380</v>
      </c>
      <c r="H315" s="2" t="s">
        <v>43</v>
      </c>
      <c r="I315" s="2" t="s">
        <v>11</v>
      </c>
      <c r="J315" s="2" t="s">
        <v>1262</v>
      </c>
      <c r="K315" s="30" t="s">
        <v>13193</v>
      </c>
      <c r="L315" s="6" t="s">
        <v>13195</v>
      </c>
    </row>
    <row r="316" spans="1:12" ht="27.6" hidden="1" x14ac:dyDescent="0.3">
      <c r="A316" s="2" t="s">
        <v>60</v>
      </c>
      <c r="B316" s="2" t="s">
        <v>1263</v>
      </c>
      <c r="C316" s="3">
        <v>38510</v>
      </c>
      <c r="D316" s="1" t="s">
        <v>1264</v>
      </c>
      <c r="E316" s="1" t="s">
        <v>1265</v>
      </c>
      <c r="F316" s="2" t="s">
        <v>274</v>
      </c>
      <c r="G316" s="2" t="s">
        <v>1266</v>
      </c>
      <c r="H316" s="2" t="s">
        <v>10</v>
      </c>
      <c r="I316" s="2" t="s">
        <v>60</v>
      </c>
      <c r="J316" s="2" t="s">
        <v>1267</v>
      </c>
      <c r="K316" s="2" t="s">
        <v>10</v>
      </c>
      <c r="L316" s="6"/>
    </row>
    <row r="317" spans="1:12" hidden="1" x14ac:dyDescent="0.3">
      <c r="A317" s="2" t="s">
        <v>180</v>
      </c>
      <c r="B317" s="2" t="s">
        <v>1268</v>
      </c>
      <c r="C317" s="3">
        <v>30647</v>
      </c>
      <c r="D317" s="1" t="s">
        <v>1269</v>
      </c>
      <c r="E317" s="1" t="s">
        <v>1270</v>
      </c>
      <c r="F317" s="2" t="s">
        <v>240</v>
      </c>
      <c r="G317" s="2" t="s">
        <v>380</v>
      </c>
      <c r="H317" s="2" t="s">
        <v>10</v>
      </c>
      <c r="I317" s="2" t="s">
        <v>180</v>
      </c>
      <c r="J317" s="2" t="s">
        <v>1271</v>
      </c>
      <c r="K317" s="2" t="s">
        <v>10</v>
      </c>
      <c r="L317" s="6"/>
    </row>
    <row r="318" spans="1:12" ht="27.6" hidden="1" x14ac:dyDescent="0.3">
      <c r="A318" s="2" t="s">
        <v>60</v>
      </c>
      <c r="B318" s="2" t="s">
        <v>1272</v>
      </c>
      <c r="C318" s="3">
        <v>37316</v>
      </c>
      <c r="D318" s="1" t="s">
        <v>1273</v>
      </c>
      <c r="E318" s="1" t="s">
        <v>1274</v>
      </c>
      <c r="F318" s="2" t="s">
        <v>60</v>
      </c>
      <c r="G318" s="2" t="s">
        <v>1275</v>
      </c>
      <c r="H318" s="2" t="s">
        <v>103</v>
      </c>
      <c r="I318" s="2" t="s">
        <v>60</v>
      </c>
      <c r="J318" s="2" t="s">
        <v>1276</v>
      </c>
      <c r="K318" s="2" t="s">
        <v>10</v>
      </c>
      <c r="L318" s="6"/>
    </row>
    <row r="319" spans="1:12" ht="27.6" hidden="1" x14ac:dyDescent="0.3">
      <c r="A319" s="2" t="s">
        <v>60</v>
      </c>
      <c r="B319" s="2" t="s">
        <v>1277</v>
      </c>
      <c r="C319" s="3">
        <v>24294</v>
      </c>
      <c r="D319" s="1" t="s">
        <v>1278</v>
      </c>
      <c r="E319" s="1" t="s">
        <v>1279</v>
      </c>
      <c r="F319" s="2" t="s">
        <v>60</v>
      </c>
      <c r="G319" s="2" t="s">
        <v>1280</v>
      </c>
      <c r="H319" s="2" t="s">
        <v>10</v>
      </c>
      <c r="I319" s="2" t="s">
        <v>60</v>
      </c>
      <c r="J319" s="2" t="s">
        <v>1281</v>
      </c>
      <c r="K319" s="2" t="s">
        <v>10</v>
      </c>
      <c r="L319" s="6"/>
    </row>
    <row r="320" spans="1:12" ht="27.6" hidden="1" x14ac:dyDescent="0.3">
      <c r="A320" s="2" t="s">
        <v>60</v>
      </c>
      <c r="B320" s="2" t="s">
        <v>1282</v>
      </c>
      <c r="C320" s="3">
        <v>23469</v>
      </c>
      <c r="D320" s="1" t="s">
        <v>261</v>
      </c>
      <c r="E320" s="1" t="s">
        <v>1283</v>
      </c>
      <c r="F320" s="2" t="s">
        <v>274</v>
      </c>
      <c r="G320" s="2" t="s">
        <v>1228</v>
      </c>
      <c r="H320" s="2" t="s">
        <v>10</v>
      </c>
      <c r="I320" s="2" t="s">
        <v>60</v>
      </c>
      <c r="J320" s="2" t="s">
        <v>1229</v>
      </c>
      <c r="K320" s="2" t="s">
        <v>10</v>
      </c>
      <c r="L320" s="6"/>
    </row>
    <row r="321" spans="1:12" ht="27.6" hidden="1" x14ac:dyDescent="0.3">
      <c r="A321" s="2" t="s">
        <v>60</v>
      </c>
      <c r="B321" s="2" t="s">
        <v>1284</v>
      </c>
      <c r="C321" s="3">
        <v>27062</v>
      </c>
      <c r="D321" s="1" t="s">
        <v>1285</v>
      </c>
      <c r="E321" s="1" t="s">
        <v>1286</v>
      </c>
      <c r="F321" s="2" t="s">
        <v>825</v>
      </c>
      <c r="G321" s="2" t="s">
        <v>492</v>
      </c>
      <c r="H321" s="2" t="s">
        <v>10</v>
      </c>
      <c r="I321" s="2" t="s">
        <v>60</v>
      </c>
      <c r="J321" s="2" t="s">
        <v>619</v>
      </c>
      <c r="K321" s="2" t="s">
        <v>10</v>
      </c>
      <c r="L321" s="6"/>
    </row>
    <row r="322" spans="1:12" ht="27.6" hidden="1" x14ac:dyDescent="0.3">
      <c r="A322" s="2" t="s">
        <v>60</v>
      </c>
      <c r="B322" s="2" t="s">
        <v>1287</v>
      </c>
      <c r="C322" s="3">
        <v>30867</v>
      </c>
      <c r="D322" s="1" t="s">
        <v>1288</v>
      </c>
      <c r="E322" s="1" t="s">
        <v>1289</v>
      </c>
      <c r="F322" s="2" t="s">
        <v>1290</v>
      </c>
      <c r="G322" s="2" t="s">
        <v>190</v>
      </c>
      <c r="H322" s="2" t="s">
        <v>10</v>
      </c>
      <c r="I322" s="2" t="s">
        <v>60</v>
      </c>
      <c r="J322" s="2" t="s">
        <v>191</v>
      </c>
      <c r="K322" s="2" t="s">
        <v>10</v>
      </c>
      <c r="L322" s="6"/>
    </row>
    <row r="323" spans="1:12" ht="27.6" hidden="1" x14ac:dyDescent="0.3">
      <c r="A323" s="2" t="s">
        <v>60</v>
      </c>
      <c r="B323" s="2" t="s">
        <v>1291</v>
      </c>
      <c r="C323" s="3">
        <v>25149</v>
      </c>
      <c r="D323" s="1" t="s">
        <v>1292</v>
      </c>
      <c r="E323" s="1" t="s">
        <v>1293</v>
      </c>
      <c r="F323" s="2" t="s">
        <v>60</v>
      </c>
      <c r="G323" s="2" t="s">
        <v>1294</v>
      </c>
      <c r="H323" s="2" t="s">
        <v>1295</v>
      </c>
      <c r="I323" s="2" t="s">
        <v>60</v>
      </c>
      <c r="J323" s="2" t="s">
        <v>1296</v>
      </c>
      <c r="K323" s="2" t="s">
        <v>10</v>
      </c>
      <c r="L323" s="6"/>
    </row>
    <row r="324" spans="1:12" ht="27.6" hidden="1" x14ac:dyDescent="0.3">
      <c r="A324" s="2" t="s">
        <v>60</v>
      </c>
      <c r="B324" s="2" t="s">
        <v>1297</v>
      </c>
      <c r="C324" s="3">
        <v>34986</v>
      </c>
      <c r="D324" s="1" t="s">
        <v>1298</v>
      </c>
      <c r="E324" s="1" t="s">
        <v>1299</v>
      </c>
      <c r="F324" s="2" t="s">
        <v>632</v>
      </c>
      <c r="G324" s="2" t="s">
        <v>112</v>
      </c>
      <c r="H324" s="2" t="s">
        <v>562</v>
      </c>
      <c r="I324" s="2" t="s">
        <v>60</v>
      </c>
      <c r="J324" s="2" t="s">
        <v>315</v>
      </c>
      <c r="K324" s="2" t="s">
        <v>10</v>
      </c>
      <c r="L324" s="6"/>
    </row>
    <row r="325" spans="1:12" ht="27.6" hidden="1" x14ac:dyDescent="0.3">
      <c r="A325" s="2" t="s">
        <v>60</v>
      </c>
      <c r="B325" s="2" t="s">
        <v>1300</v>
      </c>
      <c r="C325" s="3">
        <v>28044</v>
      </c>
      <c r="D325" s="1" t="s">
        <v>1301</v>
      </c>
      <c r="E325" s="1" t="s">
        <v>1302</v>
      </c>
      <c r="F325" s="2" t="s">
        <v>632</v>
      </c>
      <c r="G325" s="2" t="s">
        <v>112</v>
      </c>
      <c r="H325" s="2" t="s">
        <v>81</v>
      </c>
      <c r="I325" s="2" t="s">
        <v>60</v>
      </c>
      <c r="J325" s="2" t="s">
        <v>315</v>
      </c>
      <c r="K325" s="2" t="s">
        <v>10</v>
      </c>
      <c r="L325" s="6"/>
    </row>
    <row r="326" spans="1:12" ht="27.6" hidden="1" x14ac:dyDescent="0.3">
      <c r="A326" s="2" t="s">
        <v>60</v>
      </c>
      <c r="B326" s="2" t="s">
        <v>1303</v>
      </c>
      <c r="C326" s="3">
        <v>26830</v>
      </c>
      <c r="D326" s="1" t="s">
        <v>1304</v>
      </c>
      <c r="E326" s="1" t="s">
        <v>1305</v>
      </c>
      <c r="F326" s="2" t="s">
        <v>297</v>
      </c>
      <c r="G326" s="2" t="s">
        <v>86</v>
      </c>
      <c r="H326" s="2" t="s">
        <v>10</v>
      </c>
      <c r="I326" s="2" t="s">
        <v>60</v>
      </c>
      <c r="J326" s="2" t="s">
        <v>87</v>
      </c>
      <c r="K326" s="2" t="s">
        <v>10</v>
      </c>
      <c r="L326" s="6"/>
    </row>
    <row r="327" spans="1:12" ht="27.6" hidden="1" x14ac:dyDescent="0.3">
      <c r="A327" s="2" t="s">
        <v>60</v>
      </c>
      <c r="B327" s="2" t="s">
        <v>1306</v>
      </c>
      <c r="C327" s="3">
        <v>17100</v>
      </c>
      <c r="D327" s="1" t="s">
        <v>1307</v>
      </c>
      <c r="E327" s="1" t="s">
        <v>1308</v>
      </c>
      <c r="F327" s="2" t="s">
        <v>60</v>
      </c>
      <c r="G327" s="2" t="s">
        <v>987</v>
      </c>
      <c r="H327" s="2" t="s">
        <v>10</v>
      </c>
      <c r="I327" s="2" t="s">
        <v>60</v>
      </c>
      <c r="J327" s="2" t="s">
        <v>1309</v>
      </c>
      <c r="K327" s="2" t="s">
        <v>10</v>
      </c>
      <c r="L327" s="6"/>
    </row>
    <row r="328" spans="1:12" ht="27.6" hidden="1" x14ac:dyDescent="0.3">
      <c r="A328" s="2" t="s">
        <v>11</v>
      </c>
      <c r="B328" s="2" t="s">
        <v>1310</v>
      </c>
      <c r="C328" s="3">
        <v>32989</v>
      </c>
      <c r="D328" s="1" t="s">
        <v>1311</v>
      </c>
      <c r="E328" s="1" t="s">
        <v>1312</v>
      </c>
      <c r="F328" s="2" t="s">
        <v>16</v>
      </c>
      <c r="G328" s="2" t="s">
        <v>25</v>
      </c>
      <c r="H328" s="2" t="s">
        <v>81</v>
      </c>
      <c r="I328" s="2" t="s">
        <v>11</v>
      </c>
      <c r="J328" s="2" t="s">
        <v>305</v>
      </c>
      <c r="K328" s="30" t="s">
        <v>13193</v>
      </c>
      <c r="L328" s="29" t="s">
        <v>13194</v>
      </c>
    </row>
    <row r="329" spans="1:12" ht="27.6" hidden="1" x14ac:dyDescent="0.3">
      <c r="A329" s="2" t="s">
        <v>60</v>
      </c>
      <c r="B329" s="2" t="s">
        <v>1313</v>
      </c>
      <c r="C329" s="3">
        <v>27800</v>
      </c>
      <c r="D329" s="1" t="s">
        <v>1314</v>
      </c>
      <c r="E329" s="1" t="s">
        <v>1315</v>
      </c>
      <c r="F329" s="2" t="s">
        <v>60</v>
      </c>
      <c r="G329" s="2" t="s">
        <v>1316</v>
      </c>
      <c r="H329" s="2" t="s">
        <v>81</v>
      </c>
      <c r="I329" s="2" t="s">
        <v>60</v>
      </c>
      <c r="J329" s="2" t="s">
        <v>1317</v>
      </c>
      <c r="K329" s="2" t="s">
        <v>10</v>
      </c>
      <c r="L329" s="6"/>
    </row>
    <row r="330" spans="1:12" ht="27.6" hidden="1" x14ac:dyDescent="0.3">
      <c r="A330" s="2" t="s">
        <v>60</v>
      </c>
      <c r="B330" s="2" t="s">
        <v>1318</v>
      </c>
      <c r="C330" s="3">
        <v>35351</v>
      </c>
      <c r="D330" s="1" t="s">
        <v>1319</v>
      </c>
      <c r="E330" s="1" t="s">
        <v>1320</v>
      </c>
      <c r="F330" s="2" t="s">
        <v>609</v>
      </c>
      <c r="G330" s="2" t="s">
        <v>190</v>
      </c>
      <c r="H330" s="2" t="s">
        <v>10</v>
      </c>
      <c r="I330" s="2" t="s">
        <v>60</v>
      </c>
      <c r="J330" s="2" t="s">
        <v>191</v>
      </c>
      <c r="K330" s="2" t="s">
        <v>10</v>
      </c>
      <c r="L330" s="6"/>
    </row>
    <row r="331" spans="1:12" ht="27.6" hidden="1" x14ac:dyDescent="0.3">
      <c r="A331" s="2" t="s">
        <v>60</v>
      </c>
      <c r="B331" s="2" t="s">
        <v>1321</v>
      </c>
      <c r="C331" s="3">
        <v>22304</v>
      </c>
      <c r="D331" s="1" t="s">
        <v>1322</v>
      </c>
      <c r="E331" s="1" t="s">
        <v>1323</v>
      </c>
      <c r="F331" s="2" t="s">
        <v>301</v>
      </c>
      <c r="G331" s="2" t="s">
        <v>112</v>
      </c>
      <c r="H331" s="2" t="s">
        <v>1324</v>
      </c>
      <c r="I331" s="2" t="s">
        <v>60</v>
      </c>
      <c r="J331" s="2" t="s">
        <v>315</v>
      </c>
      <c r="K331" s="2" t="s">
        <v>10</v>
      </c>
      <c r="L331" s="6"/>
    </row>
    <row r="332" spans="1:12" ht="27.6" hidden="1" x14ac:dyDescent="0.3">
      <c r="A332" s="2" t="s">
        <v>11</v>
      </c>
      <c r="B332" s="2" t="s">
        <v>1325</v>
      </c>
      <c r="C332" s="3">
        <v>36452</v>
      </c>
      <c r="D332" s="1" t="s">
        <v>1326</v>
      </c>
      <c r="E332" s="1" t="s">
        <v>1327</v>
      </c>
      <c r="F332" s="2" t="s">
        <v>16</v>
      </c>
      <c r="G332" s="2" t="s">
        <v>1328</v>
      </c>
      <c r="H332" s="2" t="s">
        <v>103</v>
      </c>
      <c r="I332" s="2" t="s">
        <v>11</v>
      </c>
      <c r="J332" s="2" t="s">
        <v>1329</v>
      </c>
      <c r="K332" s="2" t="s">
        <v>10</v>
      </c>
      <c r="L332" s="6"/>
    </row>
    <row r="333" spans="1:12" ht="27.6" hidden="1" x14ac:dyDescent="0.3">
      <c r="A333" s="2" t="s">
        <v>11</v>
      </c>
      <c r="B333" s="2" t="s">
        <v>1330</v>
      </c>
      <c r="C333" s="3">
        <v>31946</v>
      </c>
      <c r="D333" s="1" t="s">
        <v>1331</v>
      </c>
      <c r="E333" s="1" t="s">
        <v>1332</v>
      </c>
      <c r="F333" s="2" t="s">
        <v>16</v>
      </c>
      <c r="G333" s="2" t="s">
        <v>97</v>
      </c>
      <c r="H333" s="2" t="s">
        <v>1333</v>
      </c>
      <c r="I333" s="2" t="s">
        <v>11</v>
      </c>
      <c r="J333" s="2" t="s">
        <v>1334</v>
      </c>
      <c r="K333" s="30" t="s">
        <v>13193</v>
      </c>
      <c r="L333" s="29" t="s">
        <v>13195</v>
      </c>
    </row>
    <row r="334" spans="1:12" ht="27.6" hidden="1" x14ac:dyDescent="0.3">
      <c r="A334" s="2" t="s">
        <v>11</v>
      </c>
      <c r="B334" s="2" t="s">
        <v>1335</v>
      </c>
      <c r="C334" s="3">
        <v>21325</v>
      </c>
      <c r="D334" s="1" t="s">
        <v>1336</v>
      </c>
      <c r="E334" s="1" t="s">
        <v>1337</v>
      </c>
      <c r="F334" s="2" t="s">
        <v>16</v>
      </c>
      <c r="G334" s="2" t="s">
        <v>217</v>
      </c>
      <c r="H334" s="2" t="s">
        <v>43</v>
      </c>
      <c r="I334" s="2" t="s">
        <v>11</v>
      </c>
      <c r="J334" s="2" t="s">
        <v>412</v>
      </c>
      <c r="K334" s="2" t="s">
        <v>10</v>
      </c>
      <c r="L334" s="6"/>
    </row>
    <row r="335" spans="1:12" ht="27.6" hidden="1" x14ac:dyDescent="0.3">
      <c r="A335" s="2" t="s">
        <v>11</v>
      </c>
      <c r="B335" s="2" t="s">
        <v>1338</v>
      </c>
      <c r="C335" s="3">
        <v>33927</v>
      </c>
      <c r="D335" s="1" t="s">
        <v>1339</v>
      </c>
      <c r="E335" s="1" t="s">
        <v>1340</v>
      </c>
      <c r="F335" s="2" t="s">
        <v>16</v>
      </c>
      <c r="G335" s="2" t="s">
        <v>97</v>
      </c>
      <c r="H335" s="2" t="s">
        <v>1341</v>
      </c>
      <c r="I335" s="2" t="s">
        <v>11</v>
      </c>
      <c r="J335" s="2" t="s">
        <v>1342</v>
      </c>
      <c r="K335" s="30" t="s">
        <v>13193</v>
      </c>
      <c r="L335" s="29" t="s">
        <v>13195</v>
      </c>
    </row>
    <row r="336" spans="1:12" ht="27.6" hidden="1" x14ac:dyDescent="0.3">
      <c r="A336" s="2" t="s">
        <v>11</v>
      </c>
      <c r="B336" s="2" t="s">
        <v>1343</v>
      </c>
      <c r="C336" s="3">
        <v>21560</v>
      </c>
      <c r="D336" s="1" t="s">
        <v>1344</v>
      </c>
      <c r="E336" s="1" t="s">
        <v>1345</v>
      </c>
      <c r="F336" s="2" t="s">
        <v>16</v>
      </c>
      <c r="G336" s="2" t="s">
        <v>25</v>
      </c>
      <c r="H336" s="2" t="s">
        <v>43</v>
      </c>
      <c r="I336" s="2" t="s">
        <v>11</v>
      </c>
      <c r="J336" s="2" t="s">
        <v>93</v>
      </c>
      <c r="K336" s="2" t="s">
        <v>10</v>
      </c>
      <c r="L336" s="6"/>
    </row>
    <row r="337" spans="1:12" ht="27.6" hidden="1" x14ac:dyDescent="0.3">
      <c r="A337" s="2" t="s">
        <v>11</v>
      </c>
      <c r="B337" s="2" t="s">
        <v>1346</v>
      </c>
      <c r="C337" s="3">
        <v>36452</v>
      </c>
      <c r="D337" s="1" t="s">
        <v>1326</v>
      </c>
      <c r="E337" s="1" t="s">
        <v>1327</v>
      </c>
      <c r="F337" s="2" t="s">
        <v>16</v>
      </c>
      <c r="G337" s="2" t="s">
        <v>1328</v>
      </c>
      <c r="H337" s="2" t="s">
        <v>81</v>
      </c>
      <c r="I337" s="2" t="s">
        <v>11</v>
      </c>
      <c r="J337" s="2" t="s">
        <v>1347</v>
      </c>
      <c r="K337" s="15" t="s">
        <v>10</v>
      </c>
      <c r="L337" s="6"/>
    </row>
    <row r="338" spans="1:12" ht="27.6" hidden="1" x14ac:dyDescent="0.3">
      <c r="A338" s="2" t="s">
        <v>11</v>
      </c>
      <c r="B338" s="2" t="s">
        <v>1348</v>
      </c>
      <c r="C338" s="3">
        <v>34872</v>
      </c>
      <c r="D338" s="1" t="s">
        <v>1349</v>
      </c>
      <c r="E338" s="1" t="s">
        <v>1350</v>
      </c>
      <c r="F338" s="2" t="s">
        <v>583</v>
      </c>
      <c r="G338" s="2" t="s">
        <v>380</v>
      </c>
      <c r="H338" s="2" t="s">
        <v>10</v>
      </c>
      <c r="I338" s="2" t="s">
        <v>11</v>
      </c>
      <c r="J338" s="2" t="s">
        <v>744</v>
      </c>
      <c r="K338" s="34" t="s">
        <v>13193</v>
      </c>
      <c r="L338" s="6" t="s">
        <v>13195</v>
      </c>
    </row>
    <row r="339" spans="1:12" ht="27.6" hidden="1" x14ac:dyDescent="0.3">
      <c r="A339" s="2" t="s">
        <v>11</v>
      </c>
      <c r="B339" s="2" t="s">
        <v>1351</v>
      </c>
      <c r="C339" s="3">
        <v>20812</v>
      </c>
      <c r="D339" s="1" t="s">
        <v>1352</v>
      </c>
      <c r="E339" s="1" t="s">
        <v>1353</v>
      </c>
      <c r="F339" s="2" t="s">
        <v>16</v>
      </c>
      <c r="G339" s="2" t="s">
        <v>1354</v>
      </c>
      <c r="H339" s="2" t="s">
        <v>26</v>
      </c>
      <c r="I339" s="2" t="s">
        <v>11</v>
      </c>
      <c r="J339" s="2" t="s">
        <v>1355</v>
      </c>
      <c r="K339" s="30" t="s">
        <v>13193</v>
      </c>
      <c r="L339" s="6" t="s">
        <v>13195</v>
      </c>
    </row>
    <row r="340" spans="1:12" ht="27.6" hidden="1" x14ac:dyDescent="0.3">
      <c r="A340" s="2" t="s">
        <v>60</v>
      </c>
      <c r="B340" s="2" t="s">
        <v>1356</v>
      </c>
      <c r="C340" s="3">
        <v>34789</v>
      </c>
      <c r="D340" s="1" t="s">
        <v>1357</v>
      </c>
      <c r="E340" s="1" t="s">
        <v>1358</v>
      </c>
      <c r="F340" s="2" t="s">
        <v>269</v>
      </c>
      <c r="G340" s="2" t="s">
        <v>157</v>
      </c>
      <c r="H340" s="2" t="s">
        <v>10</v>
      </c>
      <c r="I340" s="2" t="s">
        <v>60</v>
      </c>
      <c r="J340" s="2" t="s">
        <v>158</v>
      </c>
      <c r="K340" s="18" t="s">
        <v>10</v>
      </c>
      <c r="L340" s="6"/>
    </row>
    <row r="341" spans="1:12" ht="27.6" hidden="1" x14ac:dyDescent="0.3">
      <c r="A341" s="2" t="s">
        <v>60</v>
      </c>
      <c r="B341" s="2" t="s">
        <v>1359</v>
      </c>
      <c r="C341" s="3">
        <v>22441</v>
      </c>
      <c r="D341" s="1" t="s">
        <v>1360</v>
      </c>
      <c r="E341" s="1" t="s">
        <v>1361</v>
      </c>
      <c r="F341" s="2" t="s">
        <v>60</v>
      </c>
      <c r="G341" s="2" t="s">
        <v>1362</v>
      </c>
      <c r="H341" s="2" t="s">
        <v>10</v>
      </c>
      <c r="I341" s="2" t="s">
        <v>60</v>
      </c>
      <c r="J341" s="2" t="s">
        <v>1363</v>
      </c>
      <c r="K341" s="2" t="s">
        <v>10</v>
      </c>
      <c r="L341" s="6"/>
    </row>
    <row r="342" spans="1:12" ht="27.6" hidden="1" x14ac:dyDescent="0.3">
      <c r="A342" s="2" t="s">
        <v>60</v>
      </c>
      <c r="B342" s="2" t="s">
        <v>1364</v>
      </c>
      <c r="C342" s="3">
        <v>34545</v>
      </c>
      <c r="D342" s="1" t="s">
        <v>1365</v>
      </c>
      <c r="E342" s="1" t="s">
        <v>1366</v>
      </c>
      <c r="F342" s="2" t="s">
        <v>172</v>
      </c>
      <c r="G342" s="2" t="s">
        <v>157</v>
      </c>
      <c r="H342" s="2" t="s">
        <v>10</v>
      </c>
      <c r="I342" s="2" t="s">
        <v>60</v>
      </c>
      <c r="J342" s="2" t="s">
        <v>158</v>
      </c>
      <c r="K342" s="2" t="s">
        <v>10</v>
      </c>
      <c r="L342" s="6"/>
    </row>
    <row r="343" spans="1:12" ht="27.6" hidden="1" x14ac:dyDescent="0.3">
      <c r="A343" s="2" t="s">
        <v>60</v>
      </c>
      <c r="B343" s="2" t="s">
        <v>1367</v>
      </c>
      <c r="C343" s="3">
        <v>28947</v>
      </c>
      <c r="D343" s="1" t="s">
        <v>1368</v>
      </c>
      <c r="E343" s="1" t="s">
        <v>1369</v>
      </c>
      <c r="F343" s="2" t="s">
        <v>172</v>
      </c>
      <c r="G343" s="2" t="s">
        <v>143</v>
      </c>
      <c r="H343" s="2" t="s">
        <v>10</v>
      </c>
      <c r="I343" s="2" t="s">
        <v>60</v>
      </c>
      <c r="J343" s="2" t="s">
        <v>144</v>
      </c>
      <c r="K343" s="2" t="s">
        <v>10</v>
      </c>
      <c r="L343" s="6"/>
    </row>
    <row r="344" spans="1:12" ht="27.6" hidden="1" x14ac:dyDescent="0.3">
      <c r="A344" s="2" t="s">
        <v>60</v>
      </c>
      <c r="B344" s="2" t="s">
        <v>1370</v>
      </c>
      <c r="C344" s="3">
        <v>19915</v>
      </c>
      <c r="D344" s="1" t="s">
        <v>1371</v>
      </c>
      <c r="E344" s="1" t="s">
        <v>1372</v>
      </c>
      <c r="F344" s="2" t="s">
        <v>60</v>
      </c>
      <c r="G344" s="2" t="s">
        <v>380</v>
      </c>
      <c r="H344" s="2" t="s">
        <v>103</v>
      </c>
      <c r="I344" s="2" t="s">
        <v>60</v>
      </c>
      <c r="J344" s="2" t="s">
        <v>191</v>
      </c>
      <c r="K344" s="2" t="s">
        <v>10</v>
      </c>
      <c r="L344" s="6"/>
    </row>
    <row r="345" spans="1:12" ht="27.6" hidden="1" x14ac:dyDescent="0.3">
      <c r="A345" s="2" t="s">
        <v>60</v>
      </c>
      <c r="B345" s="2" t="s">
        <v>1373</v>
      </c>
      <c r="C345" s="3">
        <v>19915</v>
      </c>
      <c r="D345" s="1" t="s">
        <v>1374</v>
      </c>
      <c r="E345" s="1" t="s">
        <v>1372</v>
      </c>
      <c r="F345" s="2" t="s">
        <v>60</v>
      </c>
      <c r="G345" s="2" t="s">
        <v>157</v>
      </c>
      <c r="H345" s="2" t="s">
        <v>43</v>
      </c>
      <c r="I345" s="2" t="s">
        <v>60</v>
      </c>
      <c r="J345" s="2" t="s">
        <v>158</v>
      </c>
      <c r="K345" s="2" t="s">
        <v>10</v>
      </c>
      <c r="L345" s="6"/>
    </row>
    <row r="346" spans="1:12" ht="27.6" hidden="1" x14ac:dyDescent="0.3">
      <c r="A346" s="2" t="s">
        <v>60</v>
      </c>
      <c r="B346" s="2" t="s">
        <v>1373</v>
      </c>
      <c r="C346" s="3">
        <v>19915</v>
      </c>
      <c r="D346" s="1" t="s">
        <v>1374</v>
      </c>
      <c r="E346" s="1" t="s">
        <v>1372</v>
      </c>
      <c r="F346" s="2" t="s">
        <v>60</v>
      </c>
      <c r="G346" s="2" t="s">
        <v>380</v>
      </c>
      <c r="H346" s="2" t="s">
        <v>81</v>
      </c>
      <c r="I346" s="2" t="s">
        <v>60</v>
      </c>
      <c r="J346" s="2" t="s">
        <v>191</v>
      </c>
      <c r="K346" s="2" t="s">
        <v>10</v>
      </c>
      <c r="L346" s="6"/>
    </row>
    <row r="347" spans="1:12" ht="27.6" hidden="1" x14ac:dyDescent="0.3">
      <c r="A347" s="2" t="s">
        <v>60</v>
      </c>
      <c r="B347" s="2" t="s">
        <v>1375</v>
      </c>
      <c r="C347" s="3">
        <v>26550</v>
      </c>
      <c r="D347" s="1" t="s">
        <v>1376</v>
      </c>
      <c r="E347" s="1" t="s">
        <v>1377</v>
      </c>
      <c r="F347" s="2" t="s">
        <v>60</v>
      </c>
      <c r="G347" s="2" t="s">
        <v>190</v>
      </c>
      <c r="H347" s="2" t="s">
        <v>562</v>
      </c>
      <c r="I347" s="2" t="s">
        <v>60</v>
      </c>
      <c r="J347" s="2" t="s">
        <v>191</v>
      </c>
      <c r="K347" s="2" t="s">
        <v>10</v>
      </c>
      <c r="L347" s="6"/>
    </row>
    <row r="348" spans="1:12" ht="27.6" hidden="1" x14ac:dyDescent="0.3">
      <c r="A348" s="2" t="s">
        <v>11</v>
      </c>
      <c r="B348" s="2" t="s">
        <v>1378</v>
      </c>
      <c r="C348" s="3">
        <v>25365</v>
      </c>
      <c r="D348" s="1" t="s">
        <v>1379</v>
      </c>
      <c r="E348" s="1" t="s">
        <v>1380</v>
      </c>
      <c r="F348" s="2" t="s">
        <v>16</v>
      </c>
      <c r="G348" s="2" t="s">
        <v>31</v>
      </c>
      <c r="H348" s="2" t="s">
        <v>10</v>
      </c>
      <c r="I348" s="2" t="s">
        <v>11</v>
      </c>
      <c r="J348" s="2" t="s">
        <v>324</v>
      </c>
      <c r="K348" s="2" t="s">
        <v>10</v>
      </c>
      <c r="L348" s="6"/>
    </row>
    <row r="349" spans="1:12" ht="27.6" hidden="1" x14ac:dyDescent="0.3">
      <c r="A349" s="2" t="s">
        <v>60</v>
      </c>
      <c r="B349" s="2" t="s">
        <v>1381</v>
      </c>
      <c r="C349" s="3">
        <v>29638</v>
      </c>
      <c r="D349" s="1" t="s">
        <v>1382</v>
      </c>
      <c r="E349" s="1" t="s">
        <v>1383</v>
      </c>
      <c r="F349" s="2" t="s">
        <v>257</v>
      </c>
      <c r="G349" s="2" t="s">
        <v>350</v>
      </c>
      <c r="H349" s="2" t="s">
        <v>10</v>
      </c>
      <c r="I349" s="2" t="s">
        <v>60</v>
      </c>
      <c r="J349" s="2" t="s">
        <v>1224</v>
      </c>
      <c r="K349" s="2" t="s">
        <v>10</v>
      </c>
      <c r="L349" s="6"/>
    </row>
    <row r="350" spans="1:12" hidden="1" x14ac:dyDescent="0.3">
      <c r="A350" s="2" t="s">
        <v>180</v>
      </c>
      <c r="B350" s="2" t="s">
        <v>1384</v>
      </c>
      <c r="C350" s="3">
        <v>36459</v>
      </c>
      <c r="D350" s="1" t="s">
        <v>1385</v>
      </c>
      <c r="E350" s="1" t="s">
        <v>1386</v>
      </c>
      <c r="F350" s="2" t="s">
        <v>1191</v>
      </c>
      <c r="G350" s="2" t="s">
        <v>152</v>
      </c>
      <c r="H350" s="2" t="s">
        <v>10</v>
      </c>
      <c r="I350" s="2" t="s">
        <v>180</v>
      </c>
      <c r="J350" s="2" t="s">
        <v>1387</v>
      </c>
      <c r="K350" s="2" t="s">
        <v>10</v>
      </c>
      <c r="L350" s="6"/>
    </row>
    <row r="351" spans="1:12" hidden="1" x14ac:dyDescent="0.3">
      <c r="A351" s="2" t="s">
        <v>180</v>
      </c>
      <c r="B351" s="2" t="s">
        <v>1388</v>
      </c>
      <c r="C351" s="3">
        <v>28994</v>
      </c>
      <c r="D351" s="1" t="s">
        <v>1389</v>
      </c>
      <c r="E351" s="1" t="s">
        <v>1390</v>
      </c>
      <c r="F351" s="2" t="s">
        <v>1191</v>
      </c>
      <c r="G351" s="2" t="s">
        <v>86</v>
      </c>
      <c r="H351" s="2" t="s">
        <v>10</v>
      </c>
      <c r="I351" s="2" t="s">
        <v>180</v>
      </c>
      <c r="J351" s="2" t="s">
        <v>1391</v>
      </c>
      <c r="K351" s="30" t="s">
        <v>13193</v>
      </c>
      <c r="L351" s="6" t="s">
        <v>13198</v>
      </c>
    </row>
    <row r="352" spans="1:12" hidden="1" x14ac:dyDescent="0.3">
      <c r="A352" s="2" t="s">
        <v>180</v>
      </c>
      <c r="B352" s="2" t="s">
        <v>1392</v>
      </c>
      <c r="C352" s="3">
        <v>34724</v>
      </c>
      <c r="D352" s="1" t="s">
        <v>1393</v>
      </c>
      <c r="E352" s="1" t="s">
        <v>1394</v>
      </c>
      <c r="F352" s="2" t="s">
        <v>1191</v>
      </c>
      <c r="G352" s="2" t="s">
        <v>112</v>
      </c>
      <c r="H352" s="2" t="s">
        <v>10</v>
      </c>
      <c r="I352" s="2" t="s">
        <v>180</v>
      </c>
      <c r="J352" s="2" t="s">
        <v>1395</v>
      </c>
      <c r="K352" s="30" t="s">
        <v>13193</v>
      </c>
      <c r="L352" s="6" t="s">
        <v>13197</v>
      </c>
    </row>
    <row r="353" spans="1:12" hidden="1" x14ac:dyDescent="0.3">
      <c r="A353" s="2" t="s">
        <v>180</v>
      </c>
      <c r="B353" s="2" t="s">
        <v>1396</v>
      </c>
      <c r="C353" s="3">
        <v>30128</v>
      </c>
      <c r="D353" s="1" t="s">
        <v>1397</v>
      </c>
      <c r="E353" s="1" t="s">
        <v>1398</v>
      </c>
      <c r="F353" s="2" t="s">
        <v>1191</v>
      </c>
      <c r="G353" s="2" t="s">
        <v>37</v>
      </c>
      <c r="H353" s="2" t="s">
        <v>10</v>
      </c>
      <c r="I353" s="2" t="s">
        <v>180</v>
      </c>
      <c r="J353" s="2" t="s">
        <v>1399</v>
      </c>
      <c r="K353" s="30" t="s">
        <v>13193</v>
      </c>
      <c r="L353" s="6" t="s">
        <v>13197</v>
      </c>
    </row>
    <row r="354" spans="1:12" hidden="1" x14ac:dyDescent="0.3">
      <c r="A354" s="2" t="s">
        <v>180</v>
      </c>
      <c r="B354" s="2" t="s">
        <v>1400</v>
      </c>
      <c r="C354" s="3">
        <v>30912</v>
      </c>
      <c r="D354" s="1" t="s">
        <v>1401</v>
      </c>
      <c r="E354" s="1" t="s">
        <v>1402</v>
      </c>
      <c r="F354" s="2" t="s">
        <v>1191</v>
      </c>
      <c r="G354" s="2" t="s">
        <v>1403</v>
      </c>
      <c r="H354" s="2" t="s">
        <v>10</v>
      </c>
      <c r="I354" s="2" t="s">
        <v>180</v>
      </c>
      <c r="J354" s="2" t="s">
        <v>1404</v>
      </c>
      <c r="K354" s="2" t="s">
        <v>10</v>
      </c>
      <c r="L354" s="6"/>
    </row>
    <row r="355" spans="1:12" hidden="1" x14ac:dyDescent="0.3">
      <c r="A355" s="2" t="s">
        <v>180</v>
      </c>
      <c r="B355" s="2" t="s">
        <v>1405</v>
      </c>
      <c r="C355" s="3">
        <v>28798</v>
      </c>
      <c r="D355" s="1" t="s">
        <v>1406</v>
      </c>
      <c r="E355" s="1" t="s">
        <v>1407</v>
      </c>
      <c r="F355" s="2" t="s">
        <v>1123</v>
      </c>
      <c r="G355" s="2" t="s">
        <v>86</v>
      </c>
      <c r="H355" s="2" t="s">
        <v>10</v>
      </c>
      <c r="I355" s="2" t="s">
        <v>180</v>
      </c>
      <c r="J355" s="2" t="s">
        <v>1391</v>
      </c>
      <c r="K355" s="30" t="s">
        <v>13193</v>
      </c>
      <c r="L355" s="6" t="s">
        <v>13197</v>
      </c>
    </row>
    <row r="356" spans="1:12" hidden="1" x14ac:dyDescent="0.3">
      <c r="A356" s="2" t="s">
        <v>180</v>
      </c>
      <c r="B356" s="2" t="s">
        <v>1408</v>
      </c>
      <c r="C356" s="3">
        <v>29228</v>
      </c>
      <c r="D356" s="1" t="s">
        <v>1409</v>
      </c>
      <c r="E356" s="1" t="s">
        <v>1410</v>
      </c>
      <c r="F356" s="2" t="s">
        <v>1123</v>
      </c>
      <c r="G356" s="2" t="s">
        <v>143</v>
      </c>
      <c r="H356" s="2" t="s">
        <v>10</v>
      </c>
      <c r="I356" s="2" t="s">
        <v>180</v>
      </c>
      <c r="J356" s="2" t="s">
        <v>1411</v>
      </c>
      <c r="K356" s="30" t="s">
        <v>13193</v>
      </c>
      <c r="L356" s="6" t="s">
        <v>13197</v>
      </c>
    </row>
    <row r="357" spans="1:12" hidden="1" x14ac:dyDescent="0.3">
      <c r="A357" s="2" t="s">
        <v>180</v>
      </c>
      <c r="B357" s="2" t="s">
        <v>1412</v>
      </c>
      <c r="C357" s="3">
        <v>36661</v>
      </c>
      <c r="D357" s="1" t="s">
        <v>1413</v>
      </c>
      <c r="E357" s="1" t="s">
        <v>1414</v>
      </c>
      <c r="F357" s="2" t="s">
        <v>459</v>
      </c>
      <c r="G357" s="2" t="s">
        <v>206</v>
      </c>
      <c r="H357" s="2" t="s">
        <v>10</v>
      </c>
      <c r="I357" s="2" t="s">
        <v>180</v>
      </c>
      <c r="J357" s="2" t="s">
        <v>1415</v>
      </c>
      <c r="K357" s="2" t="s">
        <v>10</v>
      </c>
      <c r="L357" s="6"/>
    </row>
    <row r="358" spans="1:12" hidden="1" x14ac:dyDescent="0.3">
      <c r="A358" s="2" t="s">
        <v>180</v>
      </c>
      <c r="B358" s="2" t="s">
        <v>1416</v>
      </c>
      <c r="C358" s="3">
        <v>29132</v>
      </c>
      <c r="D358" s="1" t="s">
        <v>1417</v>
      </c>
      <c r="E358" s="1" t="s">
        <v>1418</v>
      </c>
      <c r="F358" s="2" t="s">
        <v>459</v>
      </c>
      <c r="G358" s="2" t="s">
        <v>288</v>
      </c>
      <c r="H358" s="2" t="s">
        <v>1419</v>
      </c>
      <c r="I358" s="2" t="s">
        <v>180</v>
      </c>
      <c r="J358" s="2" t="s">
        <v>1420</v>
      </c>
      <c r="K358" s="2" t="s">
        <v>10</v>
      </c>
      <c r="L358" s="6"/>
    </row>
    <row r="359" spans="1:12" hidden="1" x14ac:dyDescent="0.3">
      <c r="A359" s="2" t="s">
        <v>180</v>
      </c>
      <c r="B359" s="2" t="s">
        <v>1416</v>
      </c>
      <c r="C359" s="3">
        <v>29132</v>
      </c>
      <c r="D359" s="1" t="s">
        <v>1417</v>
      </c>
      <c r="E359" s="1" t="s">
        <v>1418</v>
      </c>
      <c r="F359" s="2" t="s">
        <v>459</v>
      </c>
      <c r="G359" s="2" t="s">
        <v>288</v>
      </c>
      <c r="H359" s="2" t="s">
        <v>1421</v>
      </c>
      <c r="I359" s="2" t="s">
        <v>180</v>
      </c>
      <c r="J359" s="2" t="s">
        <v>1420</v>
      </c>
      <c r="K359" s="2" t="s">
        <v>10</v>
      </c>
      <c r="L359" s="6"/>
    </row>
    <row r="360" spans="1:12" hidden="1" x14ac:dyDescent="0.3">
      <c r="A360" s="2" t="s">
        <v>180</v>
      </c>
      <c r="B360" s="2" t="s">
        <v>1422</v>
      </c>
      <c r="C360" s="3">
        <v>26524</v>
      </c>
      <c r="D360" s="1" t="s">
        <v>1423</v>
      </c>
      <c r="E360" s="1" t="s">
        <v>1424</v>
      </c>
      <c r="F360" s="2" t="s">
        <v>236</v>
      </c>
      <c r="G360" s="2" t="s">
        <v>190</v>
      </c>
      <c r="H360" s="2" t="s">
        <v>10</v>
      </c>
      <c r="I360" s="2" t="s">
        <v>180</v>
      </c>
      <c r="J360" s="2" t="s">
        <v>1425</v>
      </c>
      <c r="K360" s="2" t="s">
        <v>10</v>
      </c>
      <c r="L360" s="6"/>
    </row>
    <row r="361" spans="1:12" hidden="1" x14ac:dyDescent="0.3">
      <c r="A361" s="2" t="s">
        <v>180</v>
      </c>
      <c r="B361" s="2" t="s">
        <v>179</v>
      </c>
      <c r="C361" s="3">
        <v>30250</v>
      </c>
      <c r="D361" s="1" t="s">
        <v>1426</v>
      </c>
      <c r="E361" s="1" t="s">
        <v>1427</v>
      </c>
      <c r="F361" s="2" t="s">
        <v>459</v>
      </c>
      <c r="G361" s="2" t="s">
        <v>217</v>
      </c>
      <c r="H361" s="2" t="s">
        <v>10</v>
      </c>
      <c r="I361" s="2" t="s">
        <v>180</v>
      </c>
      <c r="J361" s="2" t="s">
        <v>1428</v>
      </c>
      <c r="K361" s="2" t="s">
        <v>10</v>
      </c>
      <c r="L361" s="6"/>
    </row>
    <row r="362" spans="1:12" hidden="1" x14ac:dyDescent="0.3">
      <c r="A362" s="2" t="s">
        <v>180</v>
      </c>
      <c r="B362" s="2" t="s">
        <v>1429</v>
      </c>
      <c r="C362" s="3">
        <v>26003</v>
      </c>
      <c r="D362" s="1" t="s">
        <v>1430</v>
      </c>
      <c r="E362" s="1" t="s">
        <v>1431</v>
      </c>
      <c r="F362" s="2" t="s">
        <v>1078</v>
      </c>
      <c r="G362" s="2" t="s">
        <v>124</v>
      </c>
      <c r="H362" s="2" t="s">
        <v>10</v>
      </c>
      <c r="I362" s="2" t="s">
        <v>180</v>
      </c>
      <c r="J362" s="2" t="s">
        <v>1432</v>
      </c>
      <c r="K362" s="2" t="s">
        <v>10</v>
      </c>
      <c r="L362" s="6"/>
    </row>
    <row r="363" spans="1:12" hidden="1" x14ac:dyDescent="0.3">
      <c r="A363" s="2" t="s">
        <v>180</v>
      </c>
      <c r="B363" s="2" t="s">
        <v>1433</v>
      </c>
      <c r="C363" s="3">
        <v>31592</v>
      </c>
      <c r="D363" s="1" t="s">
        <v>1434</v>
      </c>
      <c r="E363" s="1" t="s">
        <v>1435</v>
      </c>
      <c r="F363" s="2" t="s">
        <v>1078</v>
      </c>
      <c r="G363" s="2" t="s">
        <v>143</v>
      </c>
      <c r="H363" s="2" t="s">
        <v>10</v>
      </c>
      <c r="I363" s="2" t="s">
        <v>180</v>
      </c>
      <c r="J363" s="2" t="s">
        <v>1436</v>
      </c>
      <c r="K363" s="2" t="s">
        <v>10</v>
      </c>
      <c r="L363" s="6"/>
    </row>
    <row r="364" spans="1:12" ht="27.6" hidden="1" x14ac:dyDescent="0.3">
      <c r="A364" s="2" t="s">
        <v>180</v>
      </c>
      <c r="B364" s="2" t="s">
        <v>1437</v>
      </c>
      <c r="C364" s="3">
        <v>32783</v>
      </c>
      <c r="D364" s="1" t="s">
        <v>1438</v>
      </c>
      <c r="E364" s="1" t="s">
        <v>1439</v>
      </c>
      <c r="F364" s="2" t="s">
        <v>522</v>
      </c>
      <c r="G364" s="2" t="s">
        <v>143</v>
      </c>
      <c r="H364" s="2" t="s">
        <v>10</v>
      </c>
      <c r="I364" s="2" t="s">
        <v>180</v>
      </c>
      <c r="J364" s="2" t="s">
        <v>144</v>
      </c>
      <c r="K364" s="2" t="s">
        <v>10</v>
      </c>
      <c r="L364" s="6"/>
    </row>
    <row r="365" spans="1:12" hidden="1" x14ac:dyDescent="0.3">
      <c r="A365" s="2" t="s">
        <v>180</v>
      </c>
      <c r="B365" s="2" t="s">
        <v>1440</v>
      </c>
      <c r="C365" s="3">
        <v>25128</v>
      </c>
      <c r="D365" s="1" t="s">
        <v>1441</v>
      </c>
      <c r="E365" s="1" t="s">
        <v>1442</v>
      </c>
      <c r="F365" s="2" t="s">
        <v>530</v>
      </c>
      <c r="G365" s="2" t="s">
        <v>80</v>
      </c>
      <c r="H365" s="2" t="s">
        <v>10</v>
      </c>
      <c r="I365" s="2" t="s">
        <v>180</v>
      </c>
      <c r="J365" s="2" t="s">
        <v>1391</v>
      </c>
      <c r="K365" s="2" t="s">
        <v>10</v>
      </c>
      <c r="L365" s="6"/>
    </row>
    <row r="366" spans="1:12" hidden="1" x14ac:dyDescent="0.3">
      <c r="A366" s="2" t="s">
        <v>180</v>
      </c>
      <c r="B366" s="2" t="s">
        <v>1443</v>
      </c>
      <c r="C366" s="3">
        <v>31849</v>
      </c>
      <c r="D366" s="1" t="s">
        <v>1444</v>
      </c>
      <c r="E366" s="1" t="s">
        <v>1445</v>
      </c>
      <c r="F366" s="2" t="s">
        <v>548</v>
      </c>
      <c r="G366" s="2" t="s">
        <v>143</v>
      </c>
      <c r="H366" s="2" t="s">
        <v>10</v>
      </c>
      <c r="I366" s="2" t="s">
        <v>180</v>
      </c>
      <c r="J366" s="2" t="s">
        <v>1446</v>
      </c>
      <c r="K366" s="2" t="s">
        <v>10</v>
      </c>
      <c r="L366" s="6"/>
    </row>
    <row r="367" spans="1:12" ht="27.6" hidden="1" x14ac:dyDescent="0.3">
      <c r="A367" s="2" t="s">
        <v>180</v>
      </c>
      <c r="B367" s="2" t="s">
        <v>1447</v>
      </c>
      <c r="C367" s="3">
        <v>35473</v>
      </c>
      <c r="D367" s="1" t="s">
        <v>1448</v>
      </c>
      <c r="E367" s="1" t="s">
        <v>1449</v>
      </c>
      <c r="F367" s="2" t="s">
        <v>497</v>
      </c>
      <c r="G367" s="2" t="s">
        <v>157</v>
      </c>
      <c r="H367" s="2" t="s">
        <v>10</v>
      </c>
      <c r="I367" s="2" t="s">
        <v>180</v>
      </c>
      <c r="J367" s="2" t="s">
        <v>1450</v>
      </c>
      <c r="K367" s="2" t="s">
        <v>10</v>
      </c>
      <c r="L367" s="6"/>
    </row>
    <row r="368" spans="1:12" ht="27.6" hidden="1" x14ac:dyDescent="0.3">
      <c r="A368" s="2" t="s">
        <v>180</v>
      </c>
      <c r="B368" s="2" t="s">
        <v>1451</v>
      </c>
      <c r="C368" s="3">
        <v>30224</v>
      </c>
      <c r="D368" s="1" t="s">
        <v>1452</v>
      </c>
      <c r="E368" s="1" t="s">
        <v>1453</v>
      </c>
      <c r="F368" s="2" t="s">
        <v>497</v>
      </c>
      <c r="G368" s="2" t="s">
        <v>86</v>
      </c>
      <c r="H368" s="2" t="s">
        <v>10</v>
      </c>
      <c r="I368" s="2" t="s">
        <v>180</v>
      </c>
      <c r="J368" s="2" t="s">
        <v>1391</v>
      </c>
      <c r="K368" s="2" t="s">
        <v>10</v>
      </c>
      <c r="L368" s="6"/>
    </row>
    <row r="369" spans="1:12" hidden="1" x14ac:dyDescent="0.3">
      <c r="A369" s="2" t="s">
        <v>180</v>
      </c>
      <c r="B369" s="2" t="s">
        <v>1454</v>
      </c>
      <c r="C369" s="3">
        <v>30195</v>
      </c>
      <c r="D369" s="1" t="s">
        <v>1455</v>
      </c>
      <c r="E369" s="1" t="s">
        <v>1456</v>
      </c>
      <c r="F369" s="2" t="s">
        <v>1094</v>
      </c>
      <c r="G369" s="2" t="s">
        <v>196</v>
      </c>
      <c r="H369" s="2" t="s">
        <v>10</v>
      </c>
      <c r="I369" s="2" t="s">
        <v>180</v>
      </c>
      <c r="J369" s="2" t="s">
        <v>1457</v>
      </c>
      <c r="K369" s="2" t="s">
        <v>10</v>
      </c>
      <c r="L369" s="6"/>
    </row>
    <row r="370" spans="1:12" hidden="1" x14ac:dyDescent="0.3">
      <c r="A370" s="2" t="s">
        <v>180</v>
      </c>
      <c r="B370" s="2" t="s">
        <v>1458</v>
      </c>
      <c r="C370" s="3">
        <v>30866</v>
      </c>
      <c r="D370" s="1" t="s">
        <v>1459</v>
      </c>
      <c r="E370" s="1" t="s">
        <v>1460</v>
      </c>
      <c r="F370" s="2" t="s">
        <v>891</v>
      </c>
      <c r="G370" s="2" t="s">
        <v>196</v>
      </c>
      <c r="H370" s="2" t="s">
        <v>10</v>
      </c>
      <c r="I370" s="2" t="s">
        <v>180</v>
      </c>
      <c r="J370" s="2" t="s">
        <v>1457</v>
      </c>
      <c r="K370" s="2" t="s">
        <v>10</v>
      </c>
      <c r="L370" s="6"/>
    </row>
    <row r="371" spans="1:12" hidden="1" x14ac:dyDescent="0.3">
      <c r="A371" s="2" t="s">
        <v>180</v>
      </c>
      <c r="B371" s="2" t="s">
        <v>1461</v>
      </c>
      <c r="C371" s="3">
        <v>35695</v>
      </c>
      <c r="D371" s="1" t="s">
        <v>1462</v>
      </c>
      <c r="E371" s="1" t="s">
        <v>1463</v>
      </c>
      <c r="F371" s="2" t="s">
        <v>530</v>
      </c>
      <c r="G371" s="2" t="s">
        <v>157</v>
      </c>
      <c r="H371" s="2" t="s">
        <v>10</v>
      </c>
      <c r="I371" s="2" t="s">
        <v>180</v>
      </c>
      <c r="J371" s="2" t="s">
        <v>1450</v>
      </c>
      <c r="K371" s="2" t="s">
        <v>10</v>
      </c>
      <c r="L371" s="6"/>
    </row>
    <row r="372" spans="1:12" hidden="1" x14ac:dyDescent="0.3">
      <c r="A372" s="2" t="s">
        <v>180</v>
      </c>
      <c r="B372" s="2" t="s">
        <v>1464</v>
      </c>
      <c r="C372" s="3">
        <v>26418</v>
      </c>
      <c r="D372" s="1" t="s">
        <v>261</v>
      </c>
      <c r="E372" s="1" t="s">
        <v>1465</v>
      </c>
      <c r="F372" s="2" t="s">
        <v>530</v>
      </c>
      <c r="G372" s="2" t="s">
        <v>492</v>
      </c>
      <c r="H372" s="2" t="s">
        <v>252</v>
      </c>
      <c r="I372" s="2" t="s">
        <v>180</v>
      </c>
      <c r="J372" s="2" t="s">
        <v>1466</v>
      </c>
      <c r="K372" s="2" t="s">
        <v>10</v>
      </c>
      <c r="L372" s="6"/>
    </row>
    <row r="373" spans="1:12" hidden="1" x14ac:dyDescent="0.3">
      <c r="A373" s="2" t="s">
        <v>180</v>
      </c>
      <c r="B373" s="2" t="s">
        <v>1467</v>
      </c>
      <c r="C373" s="3">
        <v>28689</v>
      </c>
      <c r="D373" s="1" t="s">
        <v>1468</v>
      </c>
      <c r="E373" s="1" t="s">
        <v>1469</v>
      </c>
      <c r="F373" s="2" t="s">
        <v>459</v>
      </c>
      <c r="G373" s="2" t="s">
        <v>80</v>
      </c>
      <c r="H373" s="2" t="s">
        <v>10</v>
      </c>
      <c r="I373" s="2" t="s">
        <v>180</v>
      </c>
      <c r="J373" s="2" t="s">
        <v>1470</v>
      </c>
      <c r="K373" s="2" t="s">
        <v>10</v>
      </c>
      <c r="L373" s="6"/>
    </row>
    <row r="374" spans="1:12" hidden="1" x14ac:dyDescent="0.3">
      <c r="A374" s="2" t="s">
        <v>180</v>
      </c>
      <c r="B374" s="2" t="s">
        <v>1471</v>
      </c>
      <c r="C374" s="3">
        <v>28183</v>
      </c>
      <c r="D374" s="1" t="s">
        <v>1472</v>
      </c>
      <c r="E374" s="1" t="s">
        <v>1473</v>
      </c>
      <c r="F374" s="2" t="s">
        <v>216</v>
      </c>
      <c r="G374" s="2" t="s">
        <v>1403</v>
      </c>
      <c r="H374" s="2" t="s">
        <v>10</v>
      </c>
      <c r="I374" s="2" t="s">
        <v>180</v>
      </c>
      <c r="J374" s="2" t="s">
        <v>1404</v>
      </c>
      <c r="K374" s="2" t="s">
        <v>10</v>
      </c>
      <c r="L374" s="6"/>
    </row>
    <row r="375" spans="1:12" hidden="1" x14ac:dyDescent="0.3">
      <c r="A375" s="2" t="s">
        <v>180</v>
      </c>
      <c r="B375" s="2" t="s">
        <v>1474</v>
      </c>
      <c r="C375" s="3">
        <v>25820</v>
      </c>
      <c r="D375" s="1" t="s">
        <v>1475</v>
      </c>
      <c r="E375" s="1" t="s">
        <v>1476</v>
      </c>
      <c r="F375" s="2" t="s">
        <v>216</v>
      </c>
      <c r="G375" s="2" t="s">
        <v>206</v>
      </c>
      <c r="H375" s="2" t="s">
        <v>10</v>
      </c>
      <c r="I375" s="2" t="s">
        <v>180</v>
      </c>
      <c r="J375" s="2" t="s">
        <v>1415</v>
      </c>
      <c r="K375" s="2" t="s">
        <v>10</v>
      </c>
      <c r="L375" s="6"/>
    </row>
    <row r="376" spans="1:12" hidden="1" x14ac:dyDescent="0.3">
      <c r="A376" s="2" t="s">
        <v>180</v>
      </c>
      <c r="B376" s="2" t="s">
        <v>1477</v>
      </c>
      <c r="C376" s="3">
        <v>36609</v>
      </c>
      <c r="D376" s="1" t="s">
        <v>1478</v>
      </c>
      <c r="E376" s="1" t="s">
        <v>1479</v>
      </c>
      <c r="F376" s="2" t="s">
        <v>451</v>
      </c>
      <c r="G376" s="2" t="s">
        <v>143</v>
      </c>
      <c r="H376" s="2" t="s">
        <v>10</v>
      </c>
      <c r="I376" s="2" t="s">
        <v>180</v>
      </c>
      <c r="J376" s="2" t="s">
        <v>1480</v>
      </c>
      <c r="K376" s="2" t="s">
        <v>10</v>
      </c>
      <c r="L376" s="6"/>
    </row>
    <row r="377" spans="1:12" hidden="1" x14ac:dyDescent="0.3">
      <c r="A377" s="2" t="s">
        <v>180</v>
      </c>
      <c r="B377" s="2" t="s">
        <v>1481</v>
      </c>
      <c r="C377" s="3">
        <v>33282</v>
      </c>
      <c r="D377" s="1" t="s">
        <v>1482</v>
      </c>
      <c r="E377" s="1" t="s">
        <v>1483</v>
      </c>
      <c r="F377" s="2" t="s">
        <v>522</v>
      </c>
      <c r="G377" s="2" t="s">
        <v>157</v>
      </c>
      <c r="H377" s="2" t="s">
        <v>10</v>
      </c>
      <c r="I377" s="2" t="s">
        <v>180</v>
      </c>
      <c r="J377" s="2" t="s">
        <v>1450</v>
      </c>
      <c r="K377" s="2" t="s">
        <v>10</v>
      </c>
      <c r="L377" s="6"/>
    </row>
    <row r="378" spans="1:12" hidden="1" x14ac:dyDescent="0.3">
      <c r="A378" s="2" t="s">
        <v>180</v>
      </c>
      <c r="B378" s="2" t="s">
        <v>1484</v>
      </c>
      <c r="C378" s="3">
        <v>30820</v>
      </c>
      <c r="D378" s="1" t="s">
        <v>1485</v>
      </c>
      <c r="E378" s="1" t="s">
        <v>1486</v>
      </c>
      <c r="F378" s="2" t="s">
        <v>459</v>
      </c>
      <c r="G378" s="2" t="s">
        <v>696</v>
      </c>
      <c r="H378" s="2" t="s">
        <v>10</v>
      </c>
      <c r="I378" s="2" t="s">
        <v>180</v>
      </c>
      <c r="J378" s="2" t="s">
        <v>1487</v>
      </c>
      <c r="K378" s="2" t="s">
        <v>10</v>
      </c>
      <c r="L378" s="6"/>
    </row>
    <row r="379" spans="1:12" hidden="1" x14ac:dyDescent="0.3">
      <c r="A379" s="2" t="s">
        <v>180</v>
      </c>
      <c r="B379" s="2" t="s">
        <v>1488</v>
      </c>
      <c r="C379" s="3">
        <v>29792</v>
      </c>
      <c r="D379" s="1" t="s">
        <v>1489</v>
      </c>
      <c r="E379" s="1" t="s">
        <v>1490</v>
      </c>
      <c r="F379" s="2" t="s">
        <v>507</v>
      </c>
      <c r="G379" s="2" t="s">
        <v>492</v>
      </c>
      <c r="H379" s="2" t="s">
        <v>10</v>
      </c>
      <c r="I379" s="2" t="s">
        <v>180</v>
      </c>
      <c r="J379" s="2" t="s">
        <v>1466</v>
      </c>
      <c r="K379" s="2" t="s">
        <v>10</v>
      </c>
      <c r="L379" s="6"/>
    </row>
    <row r="380" spans="1:12" hidden="1" x14ac:dyDescent="0.3">
      <c r="A380" s="2" t="s">
        <v>180</v>
      </c>
      <c r="B380" s="2" t="s">
        <v>1491</v>
      </c>
      <c r="C380" s="3">
        <v>31180</v>
      </c>
      <c r="D380" s="1" t="s">
        <v>1492</v>
      </c>
      <c r="E380" s="1" t="s">
        <v>1493</v>
      </c>
      <c r="F380" s="2" t="s">
        <v>195</v>
      </c>
      <c r="G380" s="2" t="s">
        <v>643</v>
      </c>
      <c r="H380" s="2" t="s">
        <v>10</v>
      </c>
      <c r="I380" s="2" t="s">
        <v>180</v>
      </c>
      <c r="J380" s="2" t="s">
        <v>1494</v>
      </c>
      <c r="K380" s="2" t="s">
        <v>10</v>
      </c>
      <c r="L380" s="6"/>
    </row>
    <row r="381" spans="1:12" hidden="1" x14ac:dyDescent="0.3">
      <c r="A381" s="2" t="s">
        <v>180</v>
      </c>
      <c r="B381" s="2" t="s">
        <v>1495</v>
      </c>
      <c r="C381" s="3">
        <v>32500</v>
      </c>
      <c r="D381" s="1" t="s">
        <v>1496</v>
      </c>
      <c r="E381" s="1" t="s">
        <v>1497</v>
      </c>
      <c r="F381" s="2" t="s">
        <v>459</v>
      </c>
      <c r="G381" s="2" t="s">
        <v>328</v>
      </c>
      <c r="H381" s="2" t="s">
        <v>10</v>
      </c>
      <c r="I381" s="2" t="s">
        <v>180</v>
      </c>
      <c r="J381" s="2" t="s">
        <v>329</v>
      </c>
      <c r="K381" s="2" t="s">
        <v>10</v>
      </c>
      <c r="L381" s="6"/>
    </row>
    <row r="382" spans="1:12" hidden="1" x14ac:dyDescent="0.3">
      <c r="A382" s="2" t="s">
        <v>180</v>
      </c>
      <c r="B382" s="2" t="s">
        <v>1498</v>
      </c>
      <c r="C382" s="3">
        <v>26158</v>
      </c>
      <c r="D382" s="1" t="s">
        <v>1499</v>
      </c>
      <c r="E382" s="1" t="s">
        <v>1500</v>
      </c>
      <c r="F382" s="2" t="s">
        <v>459</v>
      </c>
      <c r="G382" s="2" t="s">
        <v>511</v>
      </c>
      <c r="H382" s="2" t="s">
        <v>10</v>
      </c>
      <c r="I382" s="2" t="s">
        <v>180</v>
      </c>
      <c r="J382" s="2" t="s">
        <v>512</v>
      </c>
      <c r="K382" s="2" t="s">
        <v>10</v>
      </c>
      <c r="L382" s="6"/>
    </row>
    <row r="383" spans="1:12" hidden="1" x14ac:dyDescent="0.3">
      <c r="A383" s="2" t="s">
        <v>180</v>
      </c>
      <c r="B383" s="2" t="s">
        <v>1501</v>
      </c>
      <c r="C383" s="3">
        <v>34770</v>
      </c>
      <c r="D383" s="1" t="s">
        <v>1502</v>
      </c>
      <c r="E383" s="1" t="s">
        <v>1503</v>
      </c>
      <c r="F383" s="2" t="s">
        <v>195</v>
      </c>
      <c r="G383" s="2" t="s">
        <v>1504</v>
      </c>
      <c r="H383" s="2" t="s">
        <v>10</v>
      </c>
      <c r="I383" s="2" t="s">
        <v>180</v>
      </c>
      <c r="J383" s="2" t="s">
        <v>1505</v>
      </c>
      <c r="K383" s="2" t="s">
        <v>10</v>
      </c>
      <c r="L383" s="6"/>
    </row>
    <row r="384" spans="1:12" hidden="1" x14ac:dyDescent="0.3">
      <c r="A384" s="2" t="s">
        <v>180</v>
      </c>
      <c r="B384" s="2" t="s">
        <v>1506</v>
      </c>
      <c r="C384" s="3">
        <v>28289</v>
      </c>
      <c r="D384" s="1" t="s">
        <v>10</v>
      </c>
      <c r="E384" s="1" t="s">
        <v>10</v>
      </c>
      <c r="F384" s="2" t="s">
        <v>459</v>
      </c>
      <c r="G384" s="2" t="s">
        <v>37</v>
      </c>
      <c r="H384" s="2" t="s">
        <v>10</v>
      </c>
      <c r="I384" s="2" t="s">
        <v>180</v>
      </c>
      <c r="J384" s="2" t="s">
        <v>1399</v>
      </c>
      <c r="K384" s="2" t="s">
        <v>10</v>
      </c>
      <c r="L384" s="6"/>
    </row>
    <row r="385" spans="1:12" ht="27.6" hidden="1" x14ac:dyDescent="0.3">
      <c r="A385" s="2" t="s">
        <v>180</v>
      </c>
      <c r="B385" s="2" t="s">
        <v>1507</v>
      </c>
      <c r="C385" s="3">
        <v>35086</v>
      </c>
      <c r="D385" s="1" t="s">
        <v>1508</v>
      </c>
      <c r="E385" s="1" t="s">
        <v>1509</v>
      </c>
      <c r="F385" s="2" t="s">
        <v>691</v>
      </c>
      <c r="G385" s="2" t="s">
        <v>143</v>
      </c>
      <c r="H385" s="2" t="s">
        <v>10</v>
      </c>
      <c r="I385" s="2" t="s">
        <v>180</v>
      </c>
      <c r="J385" s="2" t="s">
        <v>1480</v>
      </c>
      <c r="K385" s="2" t="s">
        <v>10</v>
      </c>
      <c r="L385" s="6"/>
    </row>
    <row r="386" spans="1:12" hidden="1" x14ac:dyDescent="0.3">
      <c r="A386" s="2" t="s">
        <v>180</v>
      </c>
      <c r="B386" s="2" t="s">
        <v>1510</v>
      </c>
      <c r="C386" s="3">
        <v>29931</v>
      </c>
      <c r="D386" s="1" t="s">
        <v>1511</v>
      </c>
      <c r="E386" s="1" t="s">
        <v>1512</v>
      </c>
      <c r="F386" s="2" t="s">
        <v>184</v>
      </c>
      <c r="G386" s="2" t="s">
        <v>492</v>
      </c>
      <c r="H386" s="2" t="s">
        <v>10</v>
      </c>
      <c r="I386" s="2" t="s">
        <v>180</v>
      </c>
      <c r="J386" s="2" t="s">
        <v>1466</v>
      </c>
      <c r="K386" s="2" t="s">
        <v>10</v>
      </c>
      <c r="L386" s="6"/>
    </row>
    <row r="387" spans="1:12" hidden="1" x14ac:dyDescent="0.3">
      <c r="A387" s="2" t="s">
        <v>180</v>
      </c>
      <c r="B387" s="2" t="s">
        <v>1513</v>
      </c>
      <c r="C387" s="3">
        <v>21317</v>
      </c>
      <c r="D387" s="1" t="s">
        <v>1514</v>
      </c>
      <c r="E387" s="1" t="s">
        <v>1515</v>
      </c>
      <c r="F387" s="2" t="s">
        <v>195</v>
      </c>
      <c r="G387" s="2" t="s">
        <v>230</v>
      </c>
      <c r="H387" s="2" t="s">
        <v>10</v>
      </c>
      <c r="I387" s="2" t="s">
        <v>180</v>
      </c>
      <c r="J387" s="2" t="s">
        <v>1516</v>
      </c>
      <c r="K387" s="2" t="s">
        <v>10</v>
      </c>
      <c r="L387" s="6"/>
    </row>
    <row r="388" spans="1:12" hidden="1" x14ac:dyDescent="0.3">
      <c r="A388" s="2" t="s">
        <v>180</v>
      </c>
      <c r="B388" s="2" t="s">
        <v>1517</v>
      </c>
      <c r="C388" s="3">
        <v>25339</v>
      </c>
      <c r="D388" s="1" t="s">
        <v>1518</v>
      </c>
      <c r="E388" s="1" t="s">
        <v>1519</v>
      </c>
      <c r="F388" s="2" t="s">
        <v>195</v>
      </c>
      <c r="G388" s="2" t="s">
        <v>157</v>
      </c>
      <c r="H388" s="2" t="s">
        <v>10</v>
      </c>
      <c r="I388" s="2" t="s">
        <v>180</v>
      </c>
      <c r="J388" s="2" t="s">
        <v>158</v>
      </c>
      <c r="K388" s="2" t="s">
        <v>10</v>
      </c>
      <c r="L388" s="6"/>
    </row>
    <row r="389" spans="1:12" hidden="1" x14ac:dyDescent="0.3">
      <c r="A389" s="2" t="s">
        <v>180</v>
      </c>
      <c r="B389" s="2" t="s">
        <v>1517</v>
      </c>
      <c r="C389" s="3">
        <v>25339</v>
      </c>
      <c r="D389" s="1" t="s">
        <v>1518</v>
      </c>
      <c r="E389" s="1" t="s">
        <v>1519</v>
      </c>
      <c r="F389" s="2" t="s">
        <v>1123</v>
      </c>
      <c r="G389" s="2" t="s">
        <v>425</v>
      </c>
      <c r="H389" s="2" t="s">
        <v>10</v>
      </c>
      <c r="I389" s="2" t="s">
        <v>180</v>
      </c>
      <c r="J389" s="2" t="s">
        <v>1520</v>
      </c>
      <c r="K389" s="30" t="s">
        <v>13193</v>
      </c>
      <c r="L389" s="6" t="s">
        <v>13197</v>
      </c>
    </row>
    <row r="390" spans="1:12" hidden="1" x14ac:dyDescent="0.3">
      <c r="A390" s="2" t="s">
        <v>180</v>
      </c>
      <c r="B390" s="2" t="s">
        <v>1521</v>
      </c>
      <c r="C390" s="3">
        <v>30863</v>
      </c>
      <c r="D390" s="1" t="s">
        <v>1522</v>
      </c>
      <c r="E390" s="1" t="s">
        <v>1523</v>
      </c>
      <c r="F390" s="2" t="s">
        <v>1123</v>
      </c>
      <c r="G390" s="2" t="s">
        <v>75</v>
      </c>
      <c r="H390" s="2" t="s">
        <v>10</v>
      </c>
      <c r="I390" s="2" t="s">
        <v>180</v>
      </c>
      <c r="J390" s="2" t="s">
        <v>76</v>
      </c>
      <c r="K390" s="2" t="s">
        <v>10</v>
      </c>
      <c r="L390" s="6"/>
    </row>
    <row r="391" spans="1:12" hidden="1" x14ac:dyDescent="0.3">
      <c r="A391" s="2" t="s">
        <v>180</v>
      </c>
      <c r="B391" s="2" t="s">
        <v>1524</v>
      </c>
      <c r="C391" s="3">
        <v>36580</v>
      </c>
      <c r="D391" s="1" t="s">
        <v>1525</v>
      </c>
      <c r="E391" s="1" t="s">
        <v>1526</v>
      </c>
      <c r="F391" s="2" t="s">
        <v>195</v>
      </c>
      <c r="G391" s="2" t="s">
        <v>511</v>
      </c>
      <c r="H391" s="2" t="s">
        <v>334</v>
      </c>
      <c r="I391" s="2" t="s">
        <v>180</v>
      </c>
      <c r="J391" s="2" t="s">
        <v>512</v>
      </c>
      <c r="K391" s="2" t="s">
        <v>10</v>
      </c>
      <c r="L391" s="6"/>
    </row>
    <row r="392" spans="1:12" hidden="1" x14ac:dyDescent="0.3">
      <c r="A392" s="2" t="s">
        <v>180</v>
      </c>
      <c r="B392" s="2" t="s">
        <v>1527</v>
      </c>
      <c r="C392" s="3">
        <v>24999</v>
      </c>
      <c r="D392" s="1" t="s">
        <v>1528</v>
      </c>
      <c r="E392" s="1" t="s">
        <v>1529</v>
      </c>
      <c r="F392" s="2" t="s">
        <v>1123</v>
      </c>
      <c r="G392" s="2" t="s">
        <v>92</v>
      </c>
      <c r="H392" s="2" t="s">
        <v>10</v>
      </c>
      <c r="I392" s="2" t="s">
        <v>180</v>
      </c>
      <c r="J392" s="2" t="s">
        <v>1530</v>
      </c>
      <c r="K392" s="30" t="s">
        <v>13193</v>
      </c>
      <c r="L392" s="6" t="s">
        <v>13197</v>
      </c>
    </row>
    <row r="393" spans="1:12" hidden="1" x14ac:dyDescent="0.3">
      <c r="A393" s="2" t="s">
        <v>180</v>
      </c>
      <c r="B393" s="2" t="s">
        <v>1531</v>
      </c>
      <c r="C393" s="3">
        <v>31830</v>
      </c>
      <c r="D393" s="1" t="s">
        <v>1532</v>
      </c>
      <c r="E393" s="1" t="s">
        <v>1533</v>
      </c>
      <c r="F393" s="2" t="s">
        <v>195</v>
      </c>
      <c r="G393" s="2" t="s">
        <v>31</v>
      </c>
      <c r="H393" s="2" t="s">
        <v>10</v>
      </c>
      <c r="I393" s="2" t="s">
        <v>180</v>
      </c>
      <c r="J393" s="2" t="s">
        <v>1534</v>
      </c>
      <c r="K393" s="2" t="s">
        <v>10</v>
      </c>
      <c r="L393" s="6"/>
    </row>
    <row r="394" spans="1:12" hidden="1" x14ac:dyDescent="0.3">
      <c r="A394" s="2" t="s">
        <v>180</v>
      </c>
      <c r="B394" s="2" t="s">
        <v>1535</v>
      </c>
      <c r="C394" s="3">
        <v>22869</v>
      </c>
      <c r="D394" s="1" t="s">
        <v>1536</v>
      </c>
      <c r="E394" s="1" t="s">
        <v>1537</v>
      </c>
      <c r="F394" s="2" t="s">
        <v>195</v>
      </c>
      <c r="G394" s="2" t="s">
        <v>511</v>
      </c>
      <c r="H394" s="2" t="s">
        <v>10</v>
      </c>
      <c r="I394" s="2" t="s">
        <v>180</v>
      </c>
      <c r="J394" s="2" t="s">
        <v>1538</v>
      </c>
      <c r="K394" s="2" t="s">
        <v>10</v>
      </c>
      <c r="L394" s="6"/>
    </row>
    <row r="395" spans="1:12" hidden="1" x14ac:dyDescent="0.3">
      <c r="A395" s="2" t="s">
        <v>180</v>
      </c>
      <c r="B395" s="2" t="s">
        <v>1539</v>
      </c>
      <c r="C395" s="3">
        <v>31559</v>
      </c>
      <c r="D395" s="1" t="s">
        <v>1540</v>
      </c>
      <c r="E395" s="1" t="s">
        <v>1541</v>
      </c>
      <c r="F395" s="2" t="s">
        <v>195</v>
      </c>
      <c r="G395" s="2" t="s">
        <v>492</v>
      </c>
      <c r="H395" s="2" t="s">
        <v>10</v>
      </c>
      <c r="I395" s="2" t="s">
        <v>180</v>
      </c>
      <c r="J395" s="2" t="s">
        <v>619</v>
      </c>
      <c r="K395" s="2" t="s">
        <v>10</v>
      </c>
      <c r="L395" s="6"/>
    </row>
    <row r="396" spans="1:12" hidden="1" x14ac:dyDescent="0.3">
      <c r="A396" s="2" t="s">
        <v>180</v>
      </c>
      <c r="B396" s="2" t="s">
        <v>1542</v>
      </c>
      <c r="C396" s="3">
        <v>35669</v>
      </c>
      <c r="D396" s="1" t="s">
        <v>1543</v>
      </c>
      <c r="E396" s="1" t="s">
        <v>1544</v>
      </c>
      <c r="F396" s="2" t="s">
        <v>195</v>
      </c>
      <c r="G396" s="2" t="s">
        <v>1403</v>
      </c>
      <c r="H396" s="2" t="s">
        <v>10</v>
      </c>
      <c r="I396" s="2" t="s">
        <v>180</v>
      </c>
      <c r="J396" s="2" t="s">
        <v>1404</v>
      </c>
      <c r="K396" s="2" t="s">
        <v>10</v>
      </c>
      <c r="L396" s="6"/>
    </row>
    <row r="397" spans="1:12" hidden="1" x14ac:dyDescent="0.3">
      <c r="A397" s="2" t="s">
        <v>180</v>
      </c>
      <c r="B397" s="2" t="s">
        <v>1545</v>
      </c>
      <c r="C397" s="3">
        <v>28573</v>
      </c>
      <c r="D397" s="1" t="s">
        <v>1546</v>
      </c>
      <c r="E397" s="1" t="s">
        <v>1547</v>
      </c>
      <c r="F397" s="2" t="s">
        <v>1191</v>
      </c>
      <c r="G397" s="2" t="s">
        <v>696</v>
      </c>
      <c r="H397" s="2" t="s">
        <v>10</v>
      </c>
      <c r="I397" s="2" t="s">
        <v>180</v>
      </c>
      <c r="J397" s="2" t="s">
        <v>1548</v>
      </c>
      <c r="K397" s="2" t="s">
        <v>10</v>
      </c>
      <c r="L397" s="6"/>
    </row>
    <row r="398" spans="1:12" hidden="1" x14ac:dyDescent="0.3">
      <c r="A398" s="2" t="s">
        <v>180</v>
      </c>
      <c r="B398" s="2" t="s">
        <v>1549</v>
      </c>
      <c r="C398" s="3">
        <v>34850</v>
      </c>
      <c r="D398" s="1" t="s">
        <v>1550</v>
      </c>
      <c r="E398" s="1" t="s">
        <v>1551</v>
      </c>
      <c r="F398" s="2" t="s">
        <v>1191</v>
      </c>
      <c r="G398" s="2" t="s">
        <v>206</v>
      </c>
      <c r="H398" s="2" t="s">
        <v>10</v>
      </c>
      <c r="I398" s="2" t="s">
        <v>180</v>
      </c>
      <c r="J398" s="2" t="s">
        <v>1552</v>
      </c>
      <c r="K398" s="2" t="s">
        <v>10</v>
      </c>
      <c r="L398" s="6"/>
    </row>
    <row r="399" spans="1:12" hidden="1" x14ac:dyDescent="0.3">
      <c r="A399" s="2" t="s">
        <v>180</v>
      </c>
      <c r="B399" s="2" t="s">
        <v>1553</v>
      </c>
      <c r="C399" s="3">
        <v>29913</v>
      </c>
      <c r="D399" s="1" t="s">
        <v>1554</v>
      </c>
      <c r="E399" s="1" t="s">
        <v>1555</v>
      </c>
      <c r="F399" s="2" t="s">
        <v>1191</v>
      </c>
      <c r="G399" s="2" t="s">
        <v>230</v>
      </c>
      <c r="H399" s="2" t="s">
        <v>10</v>
      </c>
      <c r="I399" s="2" t="s">
        <v>180</v>
      </c>
      <c r="J399" s="2" t="s">
        <v>1556</v>
      </c>
      <c r="K399" s="2" t="s">
        <v>10</v>
      </c>
      <c r="L399" s="6"/>
    </row>
    <row r="400" spans="1:12" hidden="1" x14ac:dyDescent="0.3">
      <c r="A400" s="2" t="s">
        <v>180</v>
      </c>
      <c r="B400" s="2" t="s">
        <v>1557</v>
      </c>
      <c r="C400" s="3">
        <v>33803</v>
      </c>
      <c r="D400" s="1" t="s">
        <v>1558</v>
      </c>
      <c r="E400" s="1" t="s">
        <v>1559</v>
      </c>
      <c r="F400" s="2" t="s">
        <v>1123</v>
      </c>
      <c r="G400" s="2" t="s">
        <v>12</v>
      </c>
      <c r="H400" s="2" t="s">
        <v>10</v>
      </c>
      <c r="I400" s="2" t="s">
        <v>180</v>
      </c>
      <c r="J400" s="2" t="s">
        <v>1560</v>
      </c>
      <c r="K400" s="30" t="s">
        <v>13193</v>
      </c>
      <c r="L400" s="6" t="s">
        <v>13197</v>
      </c>
    </row>
    <row r="401" spans="1:12" hidden="1" x14ac:dyDescent="0.3">
      <c r="A401" s="2" t="s">
        <v>180</v>
      </c>
      <c r="B401" s="2" t="s">
        <v>1561</v>
      </c>
      <c r="C401" s="3">
        <v>37113</v>
      </c>
      <c r="D401" s="1" t="s">
        <v>1562</v>
      </c>
      <c r="E401" s="1" t="s">
        <v>1563</v>
      </c>
      <c r="F401" s="2" t="s">
        <v>201</v>
      </c>
      <c r="G401" s="2" t="s">
        <v>196</v>
      </c>
      <c r="H401" s="2" t="s">
        <v>10</v>
      </c>
      <c r="I401" s="2" t="s">
        <v>180</v>
      </c>
      <c r="J401" s="2" t="s">
        <v>963</v>
      </c>
      <c r="K401" s="30" t="s">
        <v>13193</v>
      </c>
      <c r="L401" s="6"/>
    </row>
    <row r="402" spans="1:12" hidden="1" x14ac:dyDescent="0.3">
      <c r="A402" s="2" t="s">
        <v>180</v>
      </c>
      <c r="B402" s="2" t="s">
        <v>1564</v>
      </c>
      <c r="C402" s="3">
        <v>29787</v>
      </c>
      <c r="D402" s="1" t="s">
        <v>1565</v>
      </c>
      <c r="E402" s="1" t="s">
        <v>1566</v>
      </c>
      <c r="F402" s="2" t="s">
        <v>195</v>
      </c>
      <c r="G402" s="2" t="s">
        <v>190</v>
      </c>
      <c r="H402" s="2" t="s">
        <v>26</v>
      </c>
      <c r="I402" s="2" t="s">
        <v>180</v>
      </c>
      <c r="J402" s="2" t="s">
        <v>1567</v>
      </c>
      <c r="K402" s="2" t="s">
        <v>10</v>
      </c>
      <c r="L402" s="6"/>
    </row>
    <row r="403" spans="1:12" hidden="1" x14ac:dyDescent="0.3">
      <c r="A403" s="2" t="s">
        <v>180</v>
      </c>
      <c r="B403" s="2" t="s">
        <v>1568</v>
      </c>
      <c r="C403" s="3">
        <v>32783</v>
      </c>
      <c r="D403" s="1" t="s">
        <v>1569</v>
      </c>
      <c r="E403" s="1" t="s">
        <v>1570</v>
      </c>
      <c r="F403" s="2" t="s">
        <v>195</v>
      </c>
      <c r="G403" s="2" t="s">
        <v>880</v>
      </c>
      <c r="H403" s="2" t="s">
        <v>10</v>
      </c>
      <c r="I403" s="2" t="s">
        <v>180</v>
      </c>
      <c r="J403" s="2" t="s">
        <v>1571</v>
      </c>
      <c r="K403" s="2" t="s">
        <v>10</v>
      </c>
      <c r="L403" s="6"/>
    </row>
    <row r="404" spans="1:12" hidden="1" x14ac:dyDescent="0.3">
      <c r="A404" s="2" t="s">
        <v>180</v>
      </c>
      <c r="B404" s="2" t="s">
        <v>1572</v>
      </c>
      <c r="C404" s="3">
        <v>30035</v>
      </c>
      <c r="D404" s="1" t="s">
        <v>1573</v>
      </c>
      <c r="E404" s="1" t="s">
        <v>1574</v>
      </c>
      <c r="F404" s="2" t="s">
        <v>548</v>
      </c>
      <c r="G404" s="2" t="s">
        <v>124</v>
      </c>
      <c r="H404" s="2" t="s">
        <v>10</v>
      </c>
      <c r="I404" s="2" t="s">
        <v>180</v>
      </c>
      <c r="J404" s="2" t="s">
        <v>173</v>
      </c>
      <c r="K404" s="2" t="s">
        <v>10</v>
      </c>
      <c r="L404" s="6"/>
    </row>
    <row r="405" spans="1:12" hidden="1" x14ac:dyDescent="0.3">
      <c r="A405" s="2" t="s">
        <v>180</v>
      </c>
      <c r="B405" s="2" t="s">
        <v>1575</v>
      </c>
      <c r="C405" s="3">
        <v>35074</v>
      </c>
      <c r="D405" s="1" t="s">
        <v>1576</v>
      </c>
      <c r="E405" s="1" t="s">
        <v>1577</v>
      </c>
      <c r="F405" s="2" t="s">
        <v>683</v>
      </c>
      <c r="G405" s="2" t="s">
        <v>124</v>
      </c>
      <c r="H405" s="2" t="s">
        <v>10</v>
      </c>
      <c r="I405" s="2" t="s">
        <v>180</v>
      </c>
      <c r="J405" s="2" t="s">
        <v>1432</v>
      </c>
      <c r="K405" s="2" t="s">
        <v>10</v>
      </c>
      <c r="L405" s="6"/>
    </row>
    <row r="406" spans="1:12" hidden="1" x14ac:dyDescent="0.3">
      <c r="A406" s="2" t="s">
        <v>180</v>
      </c>
      <c r="B406" s="2" t="s">
        <v>1578</v>
      </c>
      <c r="C406" s="3">
        <v>35529</v>
      </c>
      <c r="D406" s="1" t="s">
        <v>1579</v>
      </c>
      <c r="E406" s="1" t="s">
        <v>1580</v>
      </c>
      <c r="F406" s="2" t="s">
        <v>683</v>
      </c>
      <c r="G406" s="2" t="s">
        <v>157</v>
      </c>
      <c r="H406" s="2" t="s">
        <v>10</v>
      </c>
      <c r="I406" s="2" t="s">
        <v>180</v>
      </c>
      <c r="J406" s="2" t="s">
        <v>1450</v>
      </c>
      <c r="K406" s="2" t="s">
        <v>10</v>
      </c>
      <c r="L406" s="6"/>
    </row>
    <row r="407" spans="1:12" hidden="1" x14ac:dyDescent="0.3">
      <c r="A407" s="2" t="s">
        <v>180</v>
      </c>
      <c r="B407" s="2" t="s">
        <v>1581</v>
      </c>
      <c r="C407" s="3">
        <v>31135</v>
      </c>
      <c r="D407" s="1" t="s">
        <v>1582</v>
      </c>
      <c r="E407" s="1" t="s">
        <v>1583</v>
      </c>
      <c r="F407" s="2" t="s">
        <v>1154</v>
      </c>
      <c r="G407" s="2" t="s">
        <v>157</v>
      </c>
      <c r="H407" s="2" t="s">
        <v>10</v>
      </c>
      <c r="I407" s="2" t="s">
        <v>180</v>
      </c>
      <c r="J407" s="2" t="s">
        <v>1584</v>
      </c>
      <c r="K407" s="2" t="s">
        <v>10</v>
      </c>
      <c r="L407" s="6"/>
    </row>
    <row r="408" spans="1:12" hidden="1" x14ac:dyDescent="0.3">
      <c r="A408" s="2" t="s">
        <v>180</v>
      </c>
      <c r="B408" s="2" t="s">
        <v>1585</v>
      </c>
      <c r="C408" s="3">
        <v>29803</v>
      </c>
      <c r="D408" s="1" t="s">
        <v>1586</v>
      </c>
      <c r="E408" s="1" t="s">
        <v>1587</v>
      </c>
      <c r="F408" s="2" t="s">
        <v>683</v>
      </c>
      <c r="G408" s="2" t="s">
        <v>492</v>
      </c>
      <c r="H408" s="2" t="s">
        <v>10</v>
      </c>
      <c r="I408" s="2" t="s">
        <v>180</v>
      </c>
      <c r="J408" s="2" t="s">
        <v>619</v>
      </c>
      <c r="K408" s="2" t="s">
        <v>10</v>
      </c>
      <c r="L408" s="6"/>
    </row>
    <row r="409" spans="1:12" hidden="1" x14ac:dyDescent="0.3">
      <c r="A409" s="2" t="s">
        <v>180</v>
      </c>
      <c r="B409" s="2" t="s">
        <v>665</v>
      </c>
      <c r="C409" s="3">
        <v>32426</v>
      </c>
      <c r="D409" s="1" t="s">
        <v>1588</v>
      </c>
      <c r="E409" s="1" t="s">
        <v>1589</v>
      </c>
      <c r="F409" s="2" t="s">
        <v>216</v>
      </c>
      <c r="G409" s="2" t="s">
        <v>319</v>
      </c>
      <c r="H409" s="2" t="s">
        <v>10</v>
      </c>
      <c r="I409" s="2" t="s">
        <v>180</v>
      </c>
      <c r="J409" s="2" t="s">
        <v>1590</v>
      </c>
      <c r="K409" s="2" t="s">
        <v>10</v>
      </c>
      <c r="L409" s="6"/>
    </row>
    <row r="410" spans="1:12" hidden="1" x14ac:dyDescent="0.3">
      <c r="A410" s="2" t="s">
        <v>180</v>
      </c>
      <c r="B410" s="2" t="s">
        <v>1591</v>
      </c>
      <c r="C410" s="3">
        <v>35474</v>
      </c>
      <c r="D410" s="1" t="s">
        <v>1592</v>
      </c>
      <c r="E410" s="1" t="s">
        <v>1593</v>
      </c>
      <c r="F410" s="2" t="s">
        <v>1102</v>
      </c>
      <c r="G410" s="2" t="s">
        <v>190</v>
      </c>
      <c r="H410" s="2" t="s">
        <v>10</v>
      </c>
      <c r="I410" s="2" t="s">
        <v>180</v>
      </c>
      <c r="J410" s="2" t="s">
        <v>1567</v>
      </c>
      <c r="K410" s="2" t="s">
        <v>10</v>
      </c>
      <c r="L410" s="6"/>
    </row>
    <row r="411" spans="1:12" hidden="1" x14ac:dyDescent="0.3">
      <c r="A411" s="2" t="s">
        <v>180</v>
      </c>
      <c r="B411" s="2" t="s">
        <v>1594</v>
      </c>
      <c r="C411" s="3">
        <v>38142</v>
      </c>
      <c r="D411" s="1" t="s">
        <v>1595</v>
      </c>
      <c r="E411" s="1" t="s">
        <v>1596</v>
      </c>
      <c r="F411" s="2" t="s">
        <v>184</v>
      </c>
      <c r="G411" s="2" t="s">
        <v>143</v>
      </c>
      <c r="H411" s="2" t="s">
        <v>10</v>
      </c>
      <c r="I411" s="2" t="s">
        <v>180</v>
      </c>
      <c r="J411" s="2" t="s">
        <v>1411</v>
      </c>
      <c r="K411" s="2" t="s">
        <v>10</v>
      </c>
      <c r="L411" s="6"/>
    </row>
    <row r="412" spans="1:12" hidden="1" x14ac:dyDescent="0.3">
      <c r="A412" s="2" t="s">
        <v>180</v>
      </c>
      <c r="B412" s="2" t="s">
        <v>1597</v>
      </c>
      <c r="C412" s="3">
        <v>32529</v>
      </c>
      <c r="D412" s="1" t="s">
        <v>1598</v>
      </c>
      <c r="E412" s="1" t="s">
        <v>1599</v>
      </c>
      <c r="F412" s="2" t="s">
        <v>1154</v>
      </c>
      <c r="G412" s="2" t="s">
        <v>492</v>
      </c>
      <c r="H412" s="2" t="s">
        <v>10</v>
      </c>
      <c r="I412" s="2" t="s">
        <v>180</v>
      </c>
      <c r="J412" s="2" t="s">
        <v>1600</v>
      </c>
      <c r="K412" s="2" t="s">
        <v>10</v>
      </c>
      <c r="L412" s="6"/>
    </row>
    <row r="413" spans="1:12" hidden="1" x14ac:dyDescent="0.3">
      <c r="A413" s="2" t="s">
        <v>180</v>
      </c>
      <c r="B413" s="2" t="s">
        <v>1601</v>
      </c>
      <c r="C413" s="3">
        <v>31979</v>
      </c>
      <c r="D413" s="1" t="s">
        <v>1602</v>
      </c>
      <c r="E413" s="1" t="s">
        <v>1603</v>
      </c>
      <c r="F413" s="2" t="s">
        <v>216</v>
      </c>
      <c r="G413" s="2" t="s">
        <v>124</v>
      </c>
      <c r="H413" s="2" t="s">
        <v>10</v>
      </c>
      <c r="I413" s="2" t="s">
        <v>180</v>
      </c>
      <c r="J413" s="2" t="s">
        <v>1604</v>
      </c>
      <c r="K413" s="2" t="s">
        <v>10</v>
      </c>
      <c r="L413" s="6"/>
    </row>
    <row r="414" spans="1:12" hidden="1" x14ac:dyDescent="0.3">
      <c r="A414" s="2" t="s">
        <v>180</v>
      </c>
      <c r="B414" s="2" t="s">
        <v>1605</v>
      </c>
      <c r="C414" s="3">
        <v>32456</v>
      </c>
      <c r="D414" s="1" t="s">
        <v>720</v>
      </c>
      <c r="E414" s="1" t="s">
        <v>1606</v>
      </c>
      <c r="F414" s="2" t="s">
        <v>466</v>
      </c>
      <c r="G414" s="2" t="s">
        <v>124</v>
      </c>
      <c r="H414" s="2" t="s">
        <v>10</v>
      </c>
      <c r="I414" s="2" t="s">
        <v>180</v>
      </c>
      <c r="J414" s="2" t="s">
        <v>173</v>
      </c>
      <c r="K414" s="2" t="s">
        <v>10</v>
      </c>
      <c r="L414" s="6"/>
    </row>
    <row r="415" spans="1:12" ht="27.6" hidden="1" x14ac:dyDescent="0.3">
      <c r="A415" s="2" t="s">
        <v>180</v>
      </c>
      <c r="B415" s="2" t="s">
        <v>1607</v>
      </c>
      <c r="C415" s="3">
        <v>35727</v>
      </c>
      <c r="D415" s="1" t="s">
        <v>1608</v>
      </c>
      <c r="E415" s="1" t="s">
        <v>1609</v>
      </c>
      <c r="F415" s="2" t="s">
        <v>717</v>
      </c>
      <c r="G415" s="2" t="s">
        <v>124</v>
      </c>
      <c r="H415" s="2" t="s">
        <v>10</v>
      </c>
      <c r="I415" s="2" t="s">
        <v>180</v>
      </c>
      <c r="J415" s="2" t="s">
        <v>1610</v>
      </c>
      <c r="K415" s="2" t="s">
        <v>10</v>
      </c>
      <c r="L415" s="6"/>
    </row>
    <row r="416" spans="1:12" ht="27.6" hidden="1" x14ac:dyDescent="0.3">
      <c r="A416" s="2" t="s">
        <v>180</v>
      </c>
      <c r="B416" s="2" t="s">
        <v>1611</v>
      </c>
      <c r="C416" s="3">
        <v>36634</v>
      </c>
      <c r="D416" s="1" t="s">
        <v>1612</v>
      </c>
      <c r="E416" s="1" t="s">
        <v>1613</v>
      </c>
      <c r="F416" s="2" t="s">
        <v>705</v>
      </c>
      <c r="G416" s="2" t="s">
        <v>12</v>
      </c>
      <c r="H416" s="2" t="s">
        <v>10</v>
      </c>
      <c r="I416" s="2" t="s">
        <v>180</v>
      </c>
      <c r="J416" s="2" t="s">
        <v>1614</v>
      </c>
      <c r="K416" s="2" t="s">
        <v>10</v>
      </c>
      <c r="L416" s="6"/>
    </row>
    <row r="417" spans="1:12" hidden="1" x14ac:dyDescent="0.3">
      <c r="A417" s="2" t="s">
        <v>180</v>
      </c>
      <c r="B417" s="2" t="s">
        <v>1615</v>
      </c>
      <c r="C417" s="3">
        <v>31124</v>
      </c>
      <c r="D417" s="1" t="s">
        <v>1616</v>
      </c>
      <c r="E417" s="1" t="s">
        <v>1617</v>
      </c>
      <c r="F417" s="2" t="s">
        <v>195</v>
      </c>
      <c r="G417" s="2" t="s">
        <v>292</v>
      </c>
      <c r="H417" s="2" t="s">
        <v>10</v>
      </c>
      <c r="I417" s="2" t="s">
        <v>180</v>
      </c>
      <c r="J417" s="2" t="s">
        <v>1618</v>
      </c>
      <c r="K417" s="2" t="s">
        <v>10</v>
      </c>
      <c r="L417" s="6"/>
    </row>
    <row r="418" spans="1:12" hidden="1" x14ac:dyDescent="0.3">
      <c r="A418" s="2" t="s">
        <v>180</v>
      </c>
      <c r="B418" s="2" t="s">
        <v>1619</v>
      </c>
      <c r="C418" s="3">
        <v>26704</v>
      </c>
      <c r="D418" s="1" t="s">
        <v>118</v>
      </c>
      <c r="E418" s="1" t="s">
        <v>1620</v>
      </c>
      <c r="F418" s="2" t="s">
        <v>195</v>
      </c>
      <c r="G418" s="2" t="s">
        <v>328</v>
      </c>
      <c r="H418" s="2" t="s">
        <v>10</v>
      </c>
      <c r="I418" s="2" t="s">
        <v>180</v>
      </c>
      <c r="J418" s="2" t="s">
        <v>1621</v>
      </c>
      <c r="K418" s="2" t="s">
        <v>10</v>
      </c>
      <c r="L418" s="6"/>
    </row>
    <row r="419" spans="1:12" hidden="1" x14ac:dyDescent="0.3">
      <c r="A419" s="2" t="s">
        <v>180</v>
      </c>
      <c r="B419" s="2" t="s">
        <v>1622</v>
      </c>
      <c r="C419" s="3">
        <v>29068</v>
      </c>
      <c r="D419" s="1" t="s">
        <v>1623</v>
      </c>
      <c r="E419" s="1" t="s">
        <v>1624</v>
      </c>
      <c r="F419" s="2" t="s">
        <v>195</v>
      </c>
      <c r="G419" s="2" t="s">
        <v>112</v>
      </c>
      <c r="H419" s="2" t="s">
        <v>43</v>
      </c>
      <c r="I419" s="2" t="s">
        <v>180</v>
      </c>
      <c r="J419" s="2" t="s">
        <v>1625</v>
      </c>
      <c r="K419" s="2" t="s">
        <v>10</v>
      </c>
      <c r="L419" s="6"/>
    </row>
    <row r="420" spans="1:12" hidden="1" x14ac:dyDescent="0.3">
      <c r="A420" s="2" t="s">
        <v>180</v>
      </c>
      <c r="B420" s="2" t="s">
        <v>1626</v>
      </c>
      <c r="C420" s="3">
        <v>23943</v>
      </c>
      <c r="D420" s="1" t="s">
        <v>1627</v>
      </c>
      <c r="E420" s="1" t="s">
        <v>1628</v>
      </c>
      <c r="F420" s="2" t="s">
        <v>195</v>
      </c>
      <c r="G420" s="2" t="s">
        <v>696</v>
      </c>
      <c r="H420" s="2" t="s">
        <v>10</v>
      </c>
      <c r="I420" s="2" t="s">
        <v>180</v>
      </c>
      <c r="J420" s="2" t="s">
        <v>697</v>
      </c>
      <c r="K420" s="2" t="s">
        <v>10</v>
      </c>
      <c r="L420" s="6"/>
    </row>
    <row r="421" spans="1:12" hidden="1" x14ac:dyDescent="0.3">
      <c r="A421" s="2" t="s">
        <v>180</v>
      </c>
      <c r="B421" s="2" t="s">
        <v>1629</v>
      </c>
      <c r="C421" s="3">
        <v>21540</v>
      </c>
      <c r="D421" s="1" t="s">
        <v>1630</v>
      </c>
      <c r="E421" s="1" t="s">
        <v>1631</v>
      </c>
      <c r="F421" s="2" t="s">
        <v>195</v>
      </c>
      <c r="G421" s="2" t="s">
        <v>37</v>
      </c>
      <c r="H421" s="2" t="s">
        <v>10</v>
      </c>
      <c r="I421" s="2" t="s">
        <v>180</v>
      </c>
      <c r="J421" s="2" t="s">
        <v>406</v>
      </c>
      <c r="K421" s="2" t="s">
        <v>10</v>
      </c>
      <c r="L421" s="6"/>
    </row>
    <row r="422" spans="1:12" hidden="1" x14ac:dyDescent="0.3">
      <c r="A422" s="2" t="s">
        <v>180</v>
      </c>
      <c r="B422" s="2" t="s">
        <v>1632</v>
      </c>
      <c r="C422" s="3">
        <v>24392</v>
      </c>
      <c r="D422" s="1" t="s">
        <v>1633</v>
      </c>
      <c r="E422" s="1" t="s">
        <v>1634</v>
      </c>
      <c r="F422" s="2" t="s">
        <v>1203</v>
      </c>
      <c r="G422" s="2" t="s">
        <v>143</v>
      </c>
      <c r="H422" s="2" t="s">
        <v>10</v>
      </c>
      <c r="I422" s="2" t="s">
        <v>180</v>
      </c>
      <c r="J422" s="2" t="s">
        <v>1635</v>
      </c>
      <c r="K422" s="30" t="s">
        <v>13193</v>
      </c>
      <c r="L422" s="6" t="s">
        <v>13194</v>
      </c>
    </row>
    <row r="423" spans="1:12" hidden="1" x14ac:dyDescent="0.3">
      <c r="A423" s="2" t="s">
        <v>180</v>
      </c>
      <c r="B423" s="2" t="s">
        <v>1636</v>
      </c>
      <c r="C423" s="3">
        <v>35384</v>
      </c>
      <c r="D423" s="1" t="s">
        <v>1637</v>
      </c>
      <c r="E423" s="1" t="s">
        <v>1638</v>
      </c>
      <c r="F423" s="2" t="s">
        <v>1191</v>
      </c>
      <c r="G423" s="2" t="s">
        <v>190</v>
      </c>
      <c r="H423" s="2" t="s">
        <v>10</v>
      </c>
      <c r="I423" s="2" t="s">
        <v>180</v>
      </c>
      <c r="J423" s="2" t="s">
        <v>1639</v>
      </c>
      <c r="K423" s="2" t="s">
        <v>10</v>
      </c>
      <c r="L423" s="6"/>
    </row>
    <row r="424" spans="1:12" hidden="1" x14ac:dyDescent="0.3">
      <c r="A424" s="2" t="s">
        <v>180</v>
      </c>
      <c r="B424" s="2" t="s">
        <v>1640</v>
      </c>
      <c r="C424" s="3">
        <v>29830</v>
      </c>
      <c r="D424" s="1" t="s">
        <v>1641</v>
      </c>
      <c r="E424" s="1" t="s">
        <v>1642</v>
      </c>
      <c r="F424" s="2" t="s">
        <v>1191</v>
      </c>
      <c r="G424" s="2" t="s">
        <v>31</v>
      </c>
      <c r="H424" s="2" t="s">
        <v>10</v>
      </c>
      <c r="I424" s="2" t="s">
        <v>180</v>
      </c>
      <c r="J424" s="2" t="s">
        <v>1643</v>
      </c>
      <c r="K424" s="2" t="s">
        <v>10</v>
      </c>
      <c r="L424" s="6"/>
    </row>
    <row r="425" spans="1:12" hidden="1" x14ac:dyDescent="0.3">
      <c r="A425" s="2" t="s">
        <v>180</v>
      </c>
      <c r="B425" s="2" t="s">
        <v>1644</v>
      </c>
      <c r="C425" s="3">
        <v>39163</v>
      </c>
      <c r="D425" s="1" t="s">
        <v>1645</v>
      </c>
      <c r="E425" s="1" t="s">
        <v>1646</v>
      </c>
      <c r="F425" s="2" t="s">
        <v>1191</v>
      </c>
      <c r="G425" s="2" t="s">
        <v>12</v>
      </c>
      <c r="H425" s="2" t="s">
        <v>10</v>
      </c>
      <c r="I425" s="2" t="s">
        <v>180</v>
      </c>
      <c r="J425" s="2" t="s">
        <v>1560</v>
      </c>
      <c r="K425" s="2" t="s">
        <v>10</v>
      </c>
      <c r="L425" s="6"/>
    </row>
    <row r="426" spans="1:12" hidden="1" x14ac:dyDescent="0.3">
      <c r="A426" s="2" t="s">
        <v>180</v>
      </c>
      <c r="B426" s="2" t="s">
        <v>1647</v>
      </c>
      <c r="C426" s="3">
        <v>29589</v>
      </c>
      <c r="D426" s="1" t="s">
        <v>1648</v>
      </c>
      <c r="E426" s="1" t="s">
        <v>1649</v>
      </c>
      <c r="F426" s="2" t="s">
        <v>1119</v>
      </c>
      <c r="G426" s="2" t="s">
        <v>380</v>
      </c>
      <c r="H426" s="2" t="s">
        <v>10</v>
      </c>
      <c r="I426" s="2" t="s">
        <v>180</v>
      </c>
      <c r="J426" s="2" t="s">
        <v>1650</v>
      </c>
      <c r="K426" s="2" t="s">
        <v>10</v>
      </c>
      <c r="L426" s="6"/>
    </row>
    <row r="427" spans="1:12" hidden="1" x14ac:dyDescent="0.3">
      <c r="A427" s="2" t="s">
        <v>180</v>
      </c>
      <c r="B427" s="2" t="s">
        <v>1651</v>
      </c>
      <c r="C427" s="3">
        <v>38559</v>
      </c>
      <c r="D427" s="1" t="s">
        <v>1652</v>
      </c>
      <c r="E427" s="1" t="s">
        <v>1653</v>
      </c>
      <c r="F427" s="2" t="s">
        <v>1191</v>
      </c>
      <c r="G427" s="2" t="s">
        <v>25</v>
      </c>
      <c r="H427" s="2" t="s">
        <v>10</v>
      </c>
      <c r="I427" s="2" t="s">
        <v>180</v>
      </c>
      <c r="J427" s="2" t="s">
        <v>1654</v>
      </c>
      <c r="K427" s="2" t="s">
        <v>10</v>
      </c>
      <c r="L427" s="6"/>
    </row>
    <row r="428" spans="1:12" hidden="1" x14ac:dyDescent="0.3">
      <c r="A428" s="2" t="s">
        <v>180</v>
      </c>
      <c r="B428" s="2" t="s">
        <v>1655</v>
      </c>
      <c r="C428" s="3">
        <v>28348</v>
      </c>
      <c r="D428" s="1" t="s">
        <v>1656</v>
      </c>
      <c r="E428" s="1" t="s">
        <v>1657</v>
      </c>
      <c r="F428" s="2" t="s">
        <v>1191</v>
      </c>
      <c r="G428" s="2" t="s">
        <v>75</v>
      </c>
      <c r="H428" s="2" t="s">
        <v>10</v>
      </c>
      <c r="I428" s="2" t="s">
        <v>180</v>
      </c>
      <c r="J428" s="2" t="s">
        <v>1658</v>
      </c>
      <c r="K428" s="2" t="s">
        <v>10</v>
      </c>
      <c r="L428" s="6"/>
    </row>
    <row r="429" spans="1:12" hidden="1" x14ac:dyDescent="0.3">
      <c r="A429" s="2" t="s">
        <v>180</v>
      </c>
      <c r="B429" s="2" t="s">
        <v>1659</v>
      </c>
      <c r="C429" s="3">
        <v>29024</v>
      </c>
      <c r="D429" s="1" t="s">
        <v>1660</v>
      </c>
      <c r="E429" s="1" t="s">
        <v>1661</v>
      </c>
      <c r="F429" s="2" t="s">
        <v>1191</v>
      </c>
      <c r="G429" s="2" t="s">
        <v>222</v>
      </c>
      <c r="H429" s="2" t="s">
        <v>10</v>
      </c>
      <c r="I429" s="2" t="s">
        <v>180</v>
      </c>
      <c r="J429" s="2" t="s">
        <v>1662</v>
      </c>
      <c r="K429" s="30" t="s">
        <v>13193</v>
      </c>
      <c r="L429" s="6" t="s">
        <v>13197</v>
      </c>
    </row>
    <row r="430" spans="1:12" hidden="1" x14ac:dyDescent="0.3">
      <c r="A430" s="2" t="s">
        <v>180</v>
      </c>
      <c r="B430" s="2" t="s">
        <v>1663</v>
      </c>
      <c r="C430" s="3">
        <v>33261</v>
      </c>
      <c r="D430" s="1" t="s">
        <v>1664</v>
      </c>
      <c r="E430" s="1" t="s">
        <v>1665</v>
      </c>
      <c r="F430" s="2" t="s">
        <v>1123</v>
      </c>
      <c r="G430" s="2" t="s">
        <v>380</v>
      </c>
      <c r="H430" s="2" t="s">
        <v>10</v>
      </c>
      <c r="I430" s="2" t="s">
        <v>180</v>
      </c>
      <c r="J430" s="2" t="s">
        <v>1650</v>
      </c>
      <c r="K430" s="30" t="s">
        <v>13193</v>
      </c>
      <c r="L430" s="6" t="s">
        <v>13197</v>
      </c>
    </row>
    <row r="431" spans="1:12" hidden="1" x14ac:dyDescent="0.3">
      <c r="A431" s="2" t="s">
        <v>180</v>
      </c>
      <c r="B431" s="2" t="s">
        <v>1666</v>
      </c>
      <c r="C431" s="3">
        <v>31926</v>
      </c>
      <c r="D431" s="1" t="s">
        <v>1667</v>
      </c>
      <c r="E431" s="1" t="s">
        <v>1668</v>
      </c>
      <c r="F431" s="2" t="s">
        <v>1191</v>
      </c>
      <c r="G431" s="2" t="s">
        <v>48</v>
      </c>
      <c r="H431" s="2" t="s">
        <v>10</v>
      </c>
      <c r="I431" s="2" t="s">
        <v>180</v>
      </c>
      <c r="J431" s="2" t="s">
        <v>1669</v>
      </c>
      <c r="K431" s="2" t="s">
        <v>10</v>
      </c>
      <c r="L431" s="6"/>
    </row>
    <row r="432" spans="1:12" ht="27.6" hidden="1" x14ac:dyDescent="0.3">
      <c r="A432" s="2" t="s">
        <v>180</v>
      </c>
      <c r="B432" s="2" t="s">
        <v>1670</v>
      </c>
      <c r="C432" s="3">
        <v>33459</v>
      </c>
      <c r="D432" s="1" t="s">
        <v>1671</v>
      </c>
      <c r="E432" s="1" t="s">
        <v>1672</v>
      </c>
      <c r="F432" s="2" t="s">
        <v>1191</v>
      </c>
      <c r="G432" s="2" t="s">
        <v>328</v>
      </c>
      <c r="H432" s="2" t="s">
        <v>10</v>
      </c>
      <c r="I432" s="2" t="s">
        <v>180</v>
      </c>
      <c r="J432" s="2" t="s">
        <v>1621</v>
      </c>
      <c r="K432" s="30" t="s">
        <v>13193</v>
      </c>
      <c r="L432" s="6" t="s">
        <v>13197</v>
      </c>
    </row>
    <row r="433" spans="1:12" hidden="1" x14ac:dyDescent="0.3">
      <c r="A433" s="2" t="s">
        <v>180</v>
      </c>
      <c r="B433" s="2" t="s">
        <v>1673</v>
      </c>
      <c r="C433" s="3">
        <v>34875</v>
      </c>
      <c r="D433" s="1" t="s">
        <v>1674</v>
      </c>
      <c r="E433" s="1" t="s">
        <v>1675</v>
      </c>
      <c r="F433" s="2" t="s">
        <v>1191</v>
      </c>
      <c r="G433" s="2" t="s">
        <v>425</v>
      </c>
      <c r="H433" s="2" t="s">
        <v>10</v>
      </c>
      <c r="I433" s="2" t="s">
        <v>180</v>
      </c>
      <c r="J433" s="2" t="s">
        <v>1676</v>
      </c>
      <c r="K433" s="30" t="s">
        <v>13193</v>
      </c>
      <c r="L433" s="6" t="s">
        <v>13197</v>
      </c>
    </row>
    <row r="434" spans="1:12" hidden="1" x14ac:dyDescent="0.3">
      <c r="A434" s="2" t="s">
        <v>180</v>
      </c>
      <c r="B434" s="2" t="s">
        <v>1677</v>
      </c>
      <c r="C434" s="3">
        <v>27928</v>
      </c>
      <c r="D434" s="1" t="s">
        <v>924</v>
      </c>
      <c r="E434" s="1" t="s">
        <v>1678</v>
      </c>
      <c r="F434" s="2" t="s">
        <v>548</v>
      </c>
      <c r="G434" s="2" t="s">
        <v>380</v>
      </c>
      <c r="H434" s="2" t="s">
        <v>10</v>
      </c>
      <c r="I434" s="2" t="s">
        <v>180</v>
      </c>
      <c r="J434" s="2" t="s">
        <v>1679</v>
      </c>
      <c r="K434" s="2" t="s">
        <v>10</v>
      </c>
      <c r="L434" s="6"/>
    </row>
    <row r="435" spans="1:12" ht="27.6" hidden="1" x14ac:dyDescent="0.3">
      <c r="A435" s="2" t="s">
        <v>180</v>
      </c>
      <c r="B435" s="2" t="s">
        <v>1680</v>
      </c>
      <c r="C435" s="3">
        <v>27172</v>
      </c>
      <c r="D435" s="1" t="s">
        <v>1681</v>
      </c>
      <c r="E435" s="1" t="s">
        <v>1682</v>
      </c>
      <c r="F435" s="2" t="s">
        <v>497</v>
      </c>
      <c r="G435" s="2" t="s">
        <v>92</v>
      </c>
      <c r="H435" s="2" t="s">
        <v>10</v>
      </c>
      <c r="I435" s="2" t="s">
        <v>180</v>
      </c>
      <c r="J435" s="2" t="s">
        <v>1530</v>
      </c>
      <c r="K435" s="2" t="s">
        <v>10</v>
      </c>
      <c r="L435" s="6"/>
    </row>
    <row r="436" spans="1:12" hidden="1" x14ac:dyDescent="0.3">
      <c r="A436" s="2" t="s">
        <v>180</v>
      </c>
      <c r="B436" s="2" t="s">
        <v>1683</v>
      </c>
      <c r="C436" s="3">
        <v>31990</v>
      </c>
      <c r="D436" s="1" t="s">
        <v>1684</v>
      </c>
      <c r="E436" s="1" t="s">
        <v>1685</v>
      </c>
      <c r="F436" s="2" t="s">
        <v>1686</v>
      </c>
      <c r="G436" s="2" t="s">
        <v>31</v>
      </c>
      <c r="H436" s="2" t="s">
        <v>10</v>
      </c>
      <c r="I436" s="2" t="s">
        <v>180</v>
      </c>
      <c r="J436" s="2" t="s">
        <v>1534</v>
      </c>
      <c r="K436" s="2" t="s">
        <v>10</v>
      </c>
      <c r="L436" s="6"/>
    </row>
    <row r="437" spans="1:12" hidden="1" x14ac:dyDescent="0.3">
      <c r="A437" s="2" t="s">
        <v>180</v>
      </c>
      <c r="B437" s="2" t="s">
        <v>1687</v>
      </c>
      <c r="C437" s="3">
        <v>38247</v>
      </c>
      <c r="D437" s="1" t="s">
        <v>1688</v>
      </c>
      <c r="E437" s="1" t="s">
        <v>1689</v>
      </c>
      <c r="F437" s="2" t="s">
        <v>891</v>
      </c>
      <c r="G437" s="2" t="s">
        <v>48</v>
      </c>
      <c r="H437" s="2" t="s">
        <v>10</v>
      </c>
      <c r="I437" s="2" t="s">
        <v>180</v>
      </c>
      <c r="J437" s="2" t="s">
        <v>1690</v>
      </c>
      <c r="K437" s="2" t="s">
        <v>10</v>
      </c>
      <c r="L437" s="6"/>
    </row>
    <row r="438" spans="1:12" hidden="1" x14ac:dyDescent="0.3">
      <c r="A438" s="2" t="s">
        <v>180</v>
      </c>
      <c r="B438" s="2" t="s">
        <v>1691</v>
      </c>
      <c r="C438" s="3">
        <v>34858</v>
      </c>
      <c r="D438" s="1" t="s">
        <v>1692</v>
      </c>
      <c r="E438" s="1" t="s">
        <v>1693</v>
      </c>
      <c r="F438" s="2" t="s">
        <v>1686</v>
      </c>
      <c r="G438" s="2" t="s">
        <v>25</v>
      </c>
      <c r="H438" s="2" t="s">
        <v>10</v>
      </c>
      <c r="I438" s="2" t="s">
        <v>180</v>
      </c>
      <c r="J438" s="2" t="s">
        <v>1694</v>
      </c>
      <c r="K438" s="2" t="s">
        <v>10</v>
      </c>
      <c r="L438" s="6"/>
    </row>
    <row r="439" spans="1:12" hidden="1" x14ac:dyDescent="0.3">
      <c r="A439" s="2" t="s">
        <v>180</v>
      </c>
      <c r="B439" s="2" t="s">
        <v>1695</v>
      </c>
      <c r="C439" s="3">
        <v>23325</v>
      </c>
      <c r="D439" s="1" t="s">
        <v>924</v>
      </c>
      <c r="E439" s="1" t="s">
        <v>1696</v>
      </c>
      <c r="F439" s="2" t="s">
        <v>459</v>
      </c>
      <c r="G439" s="2" t="s">
        <v>222</v>
      </c>
      <c r="H439" s="2" t="s">
        <v>10</v>
      </c>
      <c r="I439" s="2" t="s">
        <v>180</v>
      </c>
      <c r="J439" s="2" t="s">
        <v>1662</v>
      </c>
      <c r="K439" s="2" t="s">
        <v>10</v>
      </c>
      <c r="L439" s="6"/>
    </row>
    <row r="440" spans="1:12" hidden="1" x14ac:dyDescent="0.3">
      <c r="A440" s="2" t="s">
        <v>180</v>
      </c>
      <c r="B440" s="2" t="s">
        <v>1697</v>
      </c>
      <c r="C440" s="3">
        <v>23991</v>
      </c>
      <c r="D440" s="1" t="s">
        <v>924</v>
      </c>
      <c r="E440" s="1" t="s">
        <v>1698</v>
      </c>
      <c r="F440" s="2" t="s">
        <v>459</v>
      </c>
      <c r="G440" s="2" t="s">
        <v>425</v>
      </c>
      <c r="H440" s="2" t="s">
        <v>10</v>
      </c>
      <c r="I440" s="2" t="s">
        <v>180</v>
      </c>
      <c r="J440" s="2" t="s">
        <v>1699</v>
      </c>
      <c r="K440" s="2" t="s">
        <v>10</v>
      </c>
      <c r="L440" s="6"/>
    </row>
    <row r="441" spans="1:12" hidden="1" x14ac:dyDescent="0.3">
      <c r="A441" s="2" t="s">
        <v>180</v>
      </c>
      <c r="B441" s="2" t="s">
        <v>1700</v>
      </c>
      <c r="C441" s="3">
        <v>32878</v>
      </c>
      <c r="D441" s="1" t="s">
        <v>1701</v>
      </c>
      <c r="E441" s="1" t="s">
        <v>1702</v>
      </c>
      <c r="F441" s="2" t="s">
        <v>1686</v>
      </c>
      <c r="G441" s="2" t="s">
        <v>92</v>
      </c>
      <c r="H441" s="2" t="s">
        <v>10</v>
      </c>
      <c r="I441" s="2" t="s">
        <v>180</v>
      </c>
      <c r="J441" s="2" t="s">
        <v>1703</v>
      </c>
      <c r="K441" s="2" t="s">
        <v>10</v>
      </c>
      <c r="L441" s="6"/>
    </row>
    <row r="442" spans="1:12" hidden="1" x14ac:dyDescent="0.3">
      <c r="A442" s="2" t="s">
        <v>180</v>
      </c>
      <c r="B442" s="2" t="s">
        <v>1704</v>
      </c>
      <c r="C442" s="3">
        <v>35141</v>
      </c>
      <c r="D442" s="1" t="s">
        <v>1705</v>
      </c>
      <c r="E442" s="1" t="s">
        <v>1706</v>
      </c>
      <c r="F442" s="2" t="s">
        <v>1686</v>
      </c>
      <c r="G442" s="2" t="s">
        <v>190</v>
      </c>
      <c r="H442" s="2" t="s">
        <v>10</v>
      </c>
      <c r="I442" s="2" t="s">
        <v>180</v>
      </c>
      <c r="J442" s="2" t="s">
        <v>1707</v>
      </c>
      <c r="K442" s="2" t="s">
        <v>10</v>
      </c>
      <c r="L442" s="6"/>
    </row>
    <row r="443" spans="1:12" hidden="1" x14ac:dyDescent="0.3">
      <c r="A443" s="2" t="s">
        <v>180</v>
      </c>
      <c r="B443" s="2" t="s">
        <v>1708</v>
      </c>
      <c r="C443" s="3">
        <v>26999</v>
      </c>
      <c r="D443" s="1" t="s">
        <v>1709</v>
      </c>
      <c r="E443" s="1" t="s">
        <v>1710</v>
      </c>
      <c r="F443" s="2" t="s">
        <v>683</v>
      </c>
      <c r="G443" s="2" t="s">
        <v>380</v>
      </c>
      <c r="H443" s="2" t="s">
        <v>10</v>
      </c>
      <c r="I443" s="2" t="s">
        <v>180</v>
      </c>
      <c r="J443" s="2" t="s">
        <v>1711</v>
      </c>
      <c r="K443" s="2" t="s">
        <v>10</v>
      </c>
      <c r="L443" s="6"/>
    </row>
    <row r="444" spans="1:12" hidden="1" x14ac:dyDescent="0.3">
      <c r="A444" s="2" t="s">
        <v>180</v>
      </c>
      <c r="B444" s="2" t="s">
        <v>1712</v>
      </c>
      <c r="C444" s="3">
        <v>30988</v>
      </c>
      <c r="D444" s="1" t="s">
        <v>1713</v>
      </c>
      <c r="E444" s="1" t="s">
        <v>1714</v>
      </c>
      <c r="F444" s="2" t="s">
        <v>1191</v>
      </c>
      <c r="G444" s="2" t="s">
        <v>511</v>
      </c>
      <c r="H444" s="2" t="s">
        <v>10</v>
      </c>
      <c r="I444" s="2" t="s">
        <v>180</v>
      </c>
      <c r="J444" s="2" t="s">
        <v>512</v>
      </c>
      <c r="K444" s="30" t="s">
        <v>13193</v>
      </c>
      <c r="L444" s="6" t="s">
        <v>13197</v>
      </c>
    </row>
    <row r="445" spans="1:12" hidden="1" x14ac:dyDescent="0.3">
      <c r="A445" s="2" t="s">
        <v>180</v>
      </c>
      <c r="B445" s="2" t="s">
        <v>1715</v>
      </c>
      <c r="C445" s="3">
        <v>35881</v>
      </c>
      <c r="D445" s="1" t="s">
        <v>1716</v>
      </c>
      <c r="E445" s="1" t="s">
        <v>1717</v>
      </c>
      <c r="F445" s="2" t="s">
        <v>1119</v>
      </c>
      <c r="G445" s="2" t="s">
        <v>12</v>
      </c>
      <c r="H445" s="2" t="s">
        <v>10</v>
      </c>
      <c r="I445" s="2" t="s">
        <v>180</v>
      </c>
      <c r="J445" s="2" t="s">
        <v>1614</v>
      </c>
      <c r="K445" s="2" t="s">
        <v>10</v>
      </c>
      <c r="L445" s="6"/>
    </row>
    <row r="446" spans="1:12" hidden="1" x14ac:dyDescent="0.3">
      <c r="A446" s="2" t="s">
        <v>180</v>
      </c>
      <c r="B446" s="2" t="s">
        <v>1718</v>
      </c>
      <c r="C446" s="3">
        <v>31924</v>
      </c>
      <c r="D446" s="1" t="s">
        <v>1719</v>
      </c>
      <c r="E446" s="1" t="s">
        <v>1720</v>
      </c>
      <c r="F446" s="2" t="s">
        <v>1191</v>
      </c>
      <c r="G446" s="2" t="s">
        <v>217</v>
      </c>
      <c r="H446" s="2" t="s">
        <v>10</v>
      </c>
      <c r="I446" s="2" t="s">
        <v>180</v>
      </c>
      <c r="J446" s="2" t="s">
        <v>1428</v>
      </c>
      <c r="K446" s="2" t="s">
        <v>10</v>
      </c>
      <c r="L446" s="6"/>
    </row>
    <row r="447" spans="1:12" hidden="1" x14ac:dyDescent="0.3">
      <c r="A447" s="2" t="s">
        <v>180</v>
      </c>
      <c r="B447" s="2" t="s">
        <v>1721</v>
      </c>
      <c r="C447" s="3">
        <v>24578</v>
      </c>
      <c r="D447" s="1" t="s">
        <v>1722</v>
      </c>
      <c r="E447" s="1" t="s">
        <v>1723</v>
      </c>
      <c r="F447" s="2" t="s">
        <v>683</v>
      </c>
      <c r="G447" s="2" t="s">
        <v>152</v>
      </c>
      <c r="H447" s="2" t="s">
        <v>10</v>
      </c>
      <c r="I447" s="2" t="s">
        <v>180</v>
      </c>
      <c r="J447" s="2" t="s">
        <v>1724</v>
      </c>
      <c r="K447" s="2" t="s">
        <v>10</v>
      </c>
      <c r="L447" s="6"/>
    </row>
    <row r="448" spans="1:12" ht="27.6" hidden="1" x14ac:dyDescent="0.3">
      <c r="A448" s="2" t="s">
        <v>180</v>
      </c>
      <c r="B448" s="2" t="s">
        <v>1725</v>
      </c>
      <c r="C448" s="3">
        <v>33761</v>
      </c>
      <c r="D448" s="1" t="s">
        <v>1726</v>
      </c>
      <c r="E448" s="1" t="s">
        <v>1727</v>
      </c>
      <c r="F448" s="2" t="s">
        <v>470</v>
      </c>
      <c r="G448" s="2" t="s">
        <v>196</v>
      </c>
      <c r="H448" s="2" t="s">
        <v>10</v>
      </c>
      <c r="I448" s="2" t="s">
        <v>180</v>
      </c>
      <c r="J448" s="2" t="s">
        <v>1457</v>
      </c>
      <c r="K448" s="2" t="s">
        <v>10</v>
      </c>
      <c r="L448" s="6"/>
    </row>
    <row r="449" spans="1:12" ht="27.6" hidden="1" x14ac:dyDescent="0.3">
      <c r="A449" s="2" t="s">
        <v>180</v>
      </c>
      <c r="B449" s="2" t="s">
        <v>1728</v>
      </c>
      <c r="C449" s="3">
        <v>35001</v>
      </c>
      <c r="D449" s="1" t="s">
        <v>1729</v>
      </c>
      <c r="E449" s="1" t="s">
        <v>1730</v>
      </c>
      <c r="F449" s="2" t="s">
        <v>705</v>
      </c>
      <c r="G449" s="2" t="s">
        <v>25</v>
      </c>
      <c r="H449" s="2" t="s">
        <v>10</v>
      </c>
      <c r="I449" s="2" t="s">
        <v>180</v>
      </c>
      <c r="J449" s="2" t="s">
        <v>1654</v>
      </c>
      <c r="K449" s="2" t="s">
        <v>10</v>
      </c>
      <c r="L449" s="6"/>
    </row>
    <row r="450" spans="1:12" ht="27.6" hidden="1" x14ac:dyDescent="0.3">
      <c r="A450" s="2" t="s">
        <v>180</v>
      </c>
      <c r="B450" s="2" t="s">
        <v>1731</v>
      </c>
      <c r="C450" s="3">
        <v>35689</v>
      </c>
      <c r="D450" s="1" t="s">
        <v>1732</v>
      </c>
      <c r="E450" s="1" t="s">
        <v>1733</v>
      </c>
      <c r="F450" s="2" t="s">
        <v>705</v>
      </c>
      <c r="G450" s="2" t="s">
        <v>380</v>
      </c>
      <c r="H450" s="2" t="s">
        <v>10</v>
      </c>
      <c r="I450" s="2" t="s">
        <v>180</v>
      </c>
      <c r="J450" s="2" t="s">
        <v>1711</v>
      </c>
      <c r="K450" s="2" t="s">
        <v>10</v>
      </c>
      <c r="L450" s="6"/>
    </row>
    <row r="451" spans="1:12" hidden="1" x14ac:dyDescent="0.3">
      <c r="A451" s="2" t="s">
        <v>180</v>
      </c>
      <c r="B451" s="2" t="s">
        <v>1734</v>
      </c>
      <c r="C451" s="3">
        <v>36582</v>
      </c>
      <c r="D451" s="1" t="s">
        <v>1735</v>
      </c>
      <c r="E451" s="1" t="s">
        <v>1736</v>
      </c>
      <c r="F451" s="2" t="s">
        <v>195</v>
      </c>
      <c r="G451" s="2" t="s">
        <v>604</v>
      </c>
      <c r="H451" s="2" t="s">
        <v>43</v>
      </c>
      <c r="I451" s="2" t="s">
        <v>180</v>
      </c>
      <c r="J451" s="2" t="s">
        <v>1737</v>
      </c>
      <c r="K451" s="2" t="s">
        <v>10</v>
      </c>
      <c r="L451" s="6"/>
    </row>
    <row r="452" spans="1:12" hidden="1" x14ac:dyDescent="0.3">
      <c r="A452" s="2" t="s">
        <v>180</v>
      </c>
      <c r="B452" s="2" t="s">
        <v>1738</v>
      </c>
      <c r="C452" s="3">
        <v>21776</v>
      </c>
      <c r="D452" s="1" t="s">
        <v>1739</v>
      </c>
      <c r="E452" s="1" t="s">
        <v>1740</v>
      </c>
      <c r="F452" s="2" t="s">
        <v>195</v>
      </c>
      <c r="G452" s="2" t="s">
        <v>604</v>
      </c>
      <c r="H452" s="2" t="s">
        <v>26</v>
      </c>
      <c r="I452" s="2" t="s">
        <v>180</v>
      </c>
      <c r="J452" s="2" t="s">
        <v>1737</v>
      </c>
      <c r="K452" s="2" t="s">
        <v>10</v>
      </c>
      <c r="L452" s="6"/>
    </row>
    <row r="453" spans="1:12" hidden="1" x14ac:dyDescent="0.3">
      <c r="A453" s="2" t="s">
        <v>180</v>
      </c>
      <c r="B453" s="2" t="s">
        <v>1741</v>
      </c>
      <c r="C453" s="3">
        <v>36578</v>
      </c>
      <c r="D453" s="1" t="s">
        <v>1742</v>
      </c>
      <c r="E453" s="1" t="s">
        <v>1743</v>
      </c>
      <c r="F453" s="2" t="s">
        <v>195</v>
      </c>
      <c r="G453" s="2" t="s">
        <v>292</v>
      </c>
      <c r="H453" s="2" t="s">
        <v>1744</v>
      </c>
      <c r="I453" s="2" t="s">
        <v>180</v>
      </c>
      <c r="J453" s="2" t="s">
        <v>1745</v>
      </c>
      <c r="K453" s="2" t="s">
        <v>10</v>
      </c>
      <c r="L453" s="6"/>
    </row>
    <row r="454" spans="1:12" hidden="1" x14ac:dyDescent="0.3">
      <c r="A454" s="2" t="s">
        <v>180</v>
      </c>
      <c r="B454" s="2" t="s">
        <v>1746</v>
      </c>
      <c r="C454" s="3">
        <v>38849</v>
      </c>
      <c r="D454" s="1" t="s">
        <v>1747</v>
      </c>
      <c r="E454" s="1" t="s">
        <v>1748</v>
      </c>
      <c r="F454" s="2" t="s">
        <v>459</v>
      </c>
      <c r="G454" s="2" t="s">
        <v>1403</v>
      </c>
      <c r="H454" s="2" t="s">
        <v>10</v>
      </c>
      <c r="I454" s="2" t="s">
        <v>180</v>
      </c>
      <c r="J454" s="2" t="s">
        <v>1404</v>
      </c>
      <c r="K454" s="2" t="s">
        <v>10</v>
      </c>
      <c r="L454" s="6"/>
    </row>
    <row r="455" spans="1:12" hidden="1" x14ac:dyDescent="0.3">
      <c r="A455" s="2" t="s">
        <v>180</v>
      </c>
      <c r="B455" s="2" t="s">
        <v>1749</v>
      </c>
      <c r="C455" s="3">
        <v>38532</v>
      </c>
      <c r="D455" s="1" t="s">
        <v>1750</v>
      </c>
      <c r="E455" s="1" t="s">
        <v>1751</v>
      </c>
      <c r="F455" s="2" t="s">
        <v>891</v>
      </c>
      <c r="G455" s="2" t="s">
        <v>157</v>
      </c>
      <c r="H455" s="2" t="s">
        <v>334</v>
      </c>
      <c r="I455" s="2" t="s">
        <v>180</v>
      </c>
      <c r="J455" s="2" t="s">
        <v>540</v>
      </c>
      <c r="K455" s="2" t="s">
        <v>10</v>
      </c>
      <c r="L455" s="6"/>
    </row>
    <row r="456" spans="1:12" ht="27.6" hidden="1" x14ac:dyDescent="0.3">
      <c r="A456" s="2" t="s">
        <v>60</v>
      </c>
      <c r="B456" s="2" t="s">
        <v>1752</v>
      </c>
      <c r="C456" s="3">
        <v>23662</v>
      </c>
      <c r="D456" s="1" t="s">
        <v>1753</v>
      </c>
      <c r="E456" s="1" t="s">
        <v>1754</v>
      </c>
      <c r="F456" s="2" t="s">
        <v>614</v>
      </c>
      <c r="G456" s="2" t="s">
        <v>425</v>
      </c>
      <c r="H456" s="2" t="s">
        <v>10</v>
      </c>
      <c r="I456" s="2" t="s">
        <v>60</v>
      </c>
      <c r="J456" s="2" t="s">
        <v>426</v>
      </c>
      <c r="K456" s="2" t="s">
        <v>10</v>
      </c>
    </row>
    <row r="457" spans="1:12" ht="27.6" hidden="1" x14ac:dyDescent="0.3">
      <c r="A457" s="2" t="s">
        <v>60</v>
      </c>
      <c r="B457" s="2" t="s">
        <v>1755</v>
      </c>
      <c r="C457" s="3">
        <v>24572</v>
      </c>
      <c r="D457" s="1" t="s">
        <v>1756</v>
      </c>
      <c r="E457" s="1" t="s">
        <v>1757</v>
      </c>
      <c r="F457" s="2" t="s">
        <v>60</v>
      </c>
      <c r="G457" s="2" t="s">
        <v>1758</v>
      </c>
      <c r="H457" s="2" t="s">
        <v>10</v>
      </c>
      <c r="I457" s="2" t="s">
        <v>60</v>
      </c>
      <c r="J457" s="2" t="s">
        <v>1759</v>
      </c>
      <c r="K457" s="2" t="s">
        <v>10</v>
      </c>
    </row>
    <row r="458" spans="1:12" ht="27.6" hidden="1" x14ac:dyDescent="0.3">
      <c r="A458" s="2" t="s">
        <v>60</v>
      </c>
      <c r="B458" s="2" t="s">
        <v>1760</v>
      </c>
      <c r="C458" s="3">
        <v>34378</v>
      </c>
      <c r="D458" s="1" t="s">
        <v>1761</v>
      </c>
      <c r="E458" s="1" t="s">
        <v>1762</v>
      </c>
      <c r="F458" s="2" t="s">
        <v>813</v>
      </c>
      <c r="G458" s="2" t="s">
        <v>206</v>
      </c>
      <c r="H458" s="2" t="s">
        <v>10</v>
      </c>
      <c r="I458" s="2" t="s">
        <v>60</v>
      </c>
      <c r="J458" s="2" t="s">
        <v>1552</v>
      </c>
      <c r="K458" s="2" t="s">
        <v>10</v>
      </c>
    </row>
    <row r="459" spans="1:12" ht="27.6" hidden="1" x14ac:dyDescent="0.3">
      <c r="A459" s="2" t="s">
        <v>60</v>
      </c>
      <c r="B459" s="2" t="s">
        <v>1760</v>
      </c>
      <c r="C459" s="3">
        <v>34378</v>
      </c>
      <c r="D459" s="1" t="s">
        <v>1761</v>
      </c>
      <c r="E459" s="1" t="s">
        <v>1762</v>
      </c>
      <c r="F459" s="2" t="s">
        <v>60</v>
      </c>
      <c r="G459" s="2" t="s">
        <v>1763</v>
      </c>
      <c r="H459" s="2" t="s">
        <v>10</v>
      </c>
      <c r="I459" s="2" t="s">
        <v>60</v>
      </c>
      <c r="J459" s="2" t="s">
        <v>1764</v>
      </c>
      <c r="K459" s="2" t="s">
        <v>10</v>
      </c>
    </row>
    <row r="460" spans="1:12" ht="27.6" hidden="1" x14ac:dyDescent="0.3">
      <c r="A460" s="2" t="s">
        <v>60</v>
      </c>
      <c r="B460" s="2" t="s">
        <v>1765</v>
      </c>
      <c r="C460" s="3">
        <v>29502</v>
      </c>
      <c r="D460" s="1" t="s">
        <v>1766</v>
      </c>
      <c r="E460" s="1" t="s">
        <v>1767</v>
      </c>
      <c r="F460" s="2" t="s">
        <v>60</v>
      </c>
      <c r="G460" s="2" t="s">
        <v>1763</v>
      </c>
      <c r="H460" s="2" t="s">
        <v>43</v>
      </c>
      <c r="I460" s="2" t="s">
        <v>60</v>
      </c>
      <c r="J460" s="2" t="s">
        <v>1768</v>
      </c>
      <c r="K460" s="2" t="s">
        <v>10</v>
      </c>
    </row>
    <row r="461" spans="1:12" ht="27.6" hidden="1" x14ac:dyDescent="0.3">
      <c r="A461" s="2" t="s">
        <v>60</v>
      </c>
      <c r="B461" s="2" t="s">
        <v>1769</v>
      </c>
      <c r="C461" s="3">
        <v>29502</v>
      </c>
      <c r="D461" s="1" t="s">
        <v>1766</v>
      </c>
      <c r="E461" s="1" t="s">
        <v>1767</v>
      </c>
      <c r="F461" s="2" t="s">
        <v>1770</v>
      </c>
      <c r="G461" s="2" t="s">
        <v>492</v>
      </c>
      <c r="H461" s="2" t="s">
        <v>10</v>
      </c>
      <c r="I461" s="2" t="s">
        <v>60</v>
      </c>
      <c r="J461" s="2" t="s">
        <v>619</v>
      </c>
      <c r="K461" s="2" t="s">
        <v>10</v>
      </c>
    </row>
    <row r="462" spans="1:12" hidden="1" x14ac:dyDescent="0.3">
      <c r="A462" s="2" t="s">
        <v>180</v>
      </c>
      <c r="B462" s="2" t="s">
        <v>1771</v>
      </c>
      <c r="C462" s="3">
        <v>34386</v>
      </c>
      <c r="D462" s="1" t="s">
        <v>1772</v>
      </c>
      <c r="E462" s="1" t="s">
        <v>1773</v>
      </c>
      <c r="F462" s="2" t="s">
        <v>891</v>
      </c>
      <c r="G462" s="2" t="s">
        <v>152</v>
      </c>
      <c r="H462" s="2" t="s">
        <v>10</v>
      </c>
      <c r="I462" s="2" t="s">
        <v>180</v>
      </c>
      <c r="J462" s="2" t="s">
        <v>1774</v>
      </c>
      <c r="K462" s="2" t="s">
        <v>10</v>
      </c>
      <c r="L462" s="6"/>
    </row>
    <row r="463" spans="1:12" ht="27.6" hidden="1" x14ac:dyDescent="0.3">
      <c r="A463" s="2" t="s">
        <v>180</v>
      </c>
      <c r="B463" s="2" t="s">
        <v>1775</v>
      </c>
      <c r="C463" s="3">
        <v>37824</v>
      </c>
      <c r="D463" s="1" t="s">
        <v>1776</v>
      </c>
      <c r="E463" s="1" t="s">
        <v>1777</v>
      </c>
      <c r="F463" s="2" t="s">
        <v>497</v>
      </c>
      <c r="G463" s="2" t="s">
        <v>124</v>
      </c>
      <c r="H463" s="2" t="s">
        <v>10</v>
      </c>
      <c r="I463" s="2" t="s">
        <v>180</v>
      </c>
      <c r="J463" s="2" t="s">
        <v>173</v>
      </c>
      <c r="K463" s="2" t="s">
        <v>10</v>
      </c>
      <c r="L463" s="6"/>
    </row>
    <row r="464" spans="1:12" ht="27.6" hidden="1" x14ac:dyDescent="0.3">
      <c r="A464" s="2" t="s">
        <v>180</v>
      </c>
      <c r="B464" s="2" t="s">
        <v>1778</v>
      </c>
      <c r="C464" s="3">
        <v>24676</v>
      </c>
      <c r="D464" s="1" t="s">
        <v>1779</v>
      </c>
      <c r="E464" s="1" t="s">
        <v>1780</v>
      </c>
      <c r="F464" s="2" t="s">
        <v>216</v>
      </c>
      <c r="G464" s="2" t="s">
        <v>112</v>
      </c>
      <c r="H464" s="2" t="s">
        <v>10</v>
      </c>
      <c r="I464" s="2" t="s">
        <v>180</v>
      </c>
      <c r="J464" s="2" t="s">
        <v>315</v>
      </c>
      <c r="K464" s="2" t="s">
        <v>10</v>
      </c>
      <c r="L464" s="6"/>
    </row>
    <row r="465" spans="1:12" hidden="1" x14ac:dyDescent="0.3">
      <c r="A465" s="2" t="s">
        <v>180</v>
      </c>
      <c r="B465" s="2" t="s">
        <v>1781</v>
      </c>
      <c r="C465" s="3">
        <v>27190</v>
      </c>
      <c r="D465" s="1" t="s">
        <v>1782</v>
      </c>
      <c r="E465" s="1" t="s">
        <v>1783</v>
      </c>
      <c r="F465" s="2" t="s">
        <v>548</v>
      </c>
      <c r="G465" s="2" t="s">
        <v>86</v>
      </c>
      <c r="H465" s="2" t="s">
        <v>10</v>
      </c>
      <c r="I465" s="2" t="s">
        <v>180</v>
      </c>
      <c r="J465" s="2" t="s">
        <v>1784</v>
      </c>
      <c r="K465" s="2" t="s">
        <v>10</v>
      </c>
      <c r="L465" s="6"/>
    </row>
    <row r="466" spans="1:12" hidden="1" x14ac:dyDescent="0.3">
      <c r="A466" s="2" t="s">
        <v>180</v>
      </c>
      <c r="B466" s="2" t="s">
        <v>1785</v>
      </c>
      <c r="C466" s="3">
        <v>26220</v>
      </c>
      <c r="D466" s="1" t="s">
        <v>1786</v>
      </c>
      <c r="E466" s="1" t="s">
        <v>1787</v>
      </c>
      <c r="F466" s="2" t="s">
        <v>683</v>
      </c>
      <c r="G466" s="2" t="s">
        <v>222</v>
      </c>
      <c r="H466" s="2" t="s">
        <v>10</v>
      </c>
      <c r="I466" s="2" t="s">
        <v>180</v>
      </c>
      <c r="J466" s="2" t="s">
        <v>1788</v>
      </c>
      <c r="K466" s="2" t="s">
        <v>10</v>
      </c>
      <c r="L466" s="6"/>
    </row>
    <row r="467" spans="1:12" hidden="1" x14ac:dyDescent="0.3">
      <c r="A467" s="2" t="s">
        <v>180</v>
      </c>
      <c r="B467" s="2" t="s">
        <v>1789</v>
      </c>
      <c r="C467" s="3">
        <v>32724</v>
      </c>
      <c r="D467" s="1" t="s">
        <v>261</v>
      </c>
      <c r="E467" s="1" t="s">
        <v>1790</v>
      </c>
      <c r="F467" s="2" t="s">
        <v>1078</v>
      </c>
      <c r="G467" s="2" t="s">
        <v>190</v>
      </c>
      <c r="H467" s="2" t="s">
        <v>10</v>
      </c>
      <c r="I467" s="2" t="s">
        <v>180</v>
      </c>
      <c r="J467" s="2" t="s">
        <v>191</v>
      </c>
      <c r="K467" s="2" t="s">
        <v>10</v>
      </c>
      <c r="L467" s="6"/>
    </row>
    <row r="468" spans="1:12" hidden="1" x14ac:dyDescent="0.3">
      <c r="A468" s="2" t="s">
        <v>180</v>
      </c>
      <c r="B468" s="2" t="s">
        <v>1791</v>
      </c>
      <c r="C468" s="3">
        <v>32480</v>
      </c>
      <c r="D468" s="1" t="s">
        <v>1792</v>
      </c>
      <c r="E468" s="1" t="s">
        <v>1793</v>
      </c>
      <c r="F468" s="2" t="s">
        <v>195</v>
      </c>
      <c r="G468" s="2" t="s">
        <v>258</v>
      </c>
      <c r="H468" s="2" t="s">
        <v>10</v>
      </c>
      <c r="I468" s="2" t="s">
        <v>180</v>
      </c>
      <c r="J468" s="2" t="s">
        <v>1794</v>
      </c>
      <c r="K468" s="2" t="s">
        <v>10</v>
      </c>
      <c r="L468" s="6"/>
    </row>
    <row r="469" spans="1:12" hidden="1" x14ac:dyDescent="0.3">
      <c r="A469" s="2" t="s">
        <v>180</v>
      </c>
      <c r="B469" s="2" t="s">
        <v>1795</v>
      </c>
      <c r="C469" s="3">
        <v>22073</v>
      </c>
      <c r="D469" s="1" t="s">
        <v>1796</v>
      </c>
      <c r="E469" s="1" t="s">
        <v>1797</v>
      </c>
      <c r="F469" s="2" t="s">
        <v>683</v>
      </c>
      <c r="G469" s="2" t="s">
        <v>319</v>
      </c>
      <c r="H469" s="2" t="s">
        <v>10</v>
      </c>
      <c r="I469" s="2" t="s">
        <v>180</v>
      </c>
      <c r="J469" s="2" t="s">
        <v>1798</v>
      </c>
      <c r="K469" s="2" t="s">
        <v>10</v>
      </c>
      <c r="L469" s="6"/>
    </row>
    <row r="470" spans="1:12" hidden="1" x14ac:dyDescent="0.3">
      <c r="A470" s="2" t="s">
        <v>180</v>
      </c>
      <c r="B470" s="2" t="s">
        <v>1799</v>
      </c>
      <c r="C470" s="3">
        <v>30502</v>
      </c>
      <c r="D470" s="1" t="s">
        <v>1800</v>
      </c>
      <c r="E470" s="1" t="s">
        <v>1801</v>
      </c>
      <c r="F470" s="2" t="s">
        <v>548</v>
      </c>
      <c r="G470" s="2" t="s">
        <v>366</v>
      </c>
      <c r="H470" s="2" t="s">
        <v>10</v>
      </c>
      <c r="I470" s="2" t="s">
        <v>180</v>
      </c>
      <c r="J470" s="2" t="s">
        <v>1802</v>
      </c>
      <c r="K470" s="2" t="s">
        <v>10</v>
      </c>
      <c r="L470" s="6"/>
    </row>
    <row r="471" spans="1:12" hidden="1" x14ac:dyDescent="0.3">
      <c r="A471" s="2" t="s">
        <v>180</v>
      </c>
      <c r="B471" s="2" t="s">
        <v>1803</v>
      </c>
      <c r="C471" s="3">
        <v>32426</v>
      </c>
      <c r="D471" s="1" t="s">
        <v>1588</v>
      </c>
      <c r="E471" s="1" t="s">
        <v>1804</v>
      </c>
      <c r="F471" s="2" t="s">
        <v>216</v>
      </c>
      <c r="G471" s="2" t="s">
        <v>48</v>
      </c>
      <c r="H471" s="2" t="s">
        <v>10</v>
      </c>
      <c r="I471" s="2" t="s">
        <v>180</v>
      </c>
      <c r="J471" s="2" t="s">
        <v>1805</v>
      </c>
      <c r="K471" s="2" t="s">
        <v>10</v>
      </c>
      <c r="L471" s="6"/>
    </row>
    <row r="472" spans="1:12" ht="27.6" hidden="1" x14ac:dyDescent="0.3">
      <c r="A472" s="2" t="s">
        <v>60</v>
      </c>
      <c r="B472" s="2" t="s">
        <v>1806</v>
      </c>
      <c r="C472" s="3">
        <v>33948</v>
      </c>
      <c r="D472" s="1" t="s">
        <v>1807</v>
      </c>
      <c r="E472" s="1" t="s">
        <v>1808</v>
      </c>
      <c r="F472" s="2" t="s">
        <v>60</v>
      </c>
      <c r="G472" s="2" t="s">
        <v>397</v>
      </c>
      <c r="H472" s="2" t="s">
        <v>10</v>
      </c>
      <c r="I472" s="2" t="s">
        <v>60</v>
      </c>
      <c r="J472" s="2" t="s">
        <v>398</v>
      </c>
      <c r="K472" s="2" t="s">
        <v>10</v>
      </c>
    </row>
    <row r="473" spans="1:12" ht="27.6" hidden="1" x14ac:dyDescent="0.3">
      <c r="A473" s="2" t="s">
        <v>60</v>
      </c>
      <c r="B473" s="2" t="s">
        <v>1809</v>
      </c>
      <c r="C473" s="3">
        <v>24518</v>
      </c>
      <c r="D473" s="1" t="s">
        <v>1810</v>
      </c>
      <c r="E473" s="1" t="s">
        <v>1811</v>
      </c>
      <c r="F473" s="2" t="s">
        <v>825</v>
      </c>
      <c r="G473" s="2" t="s">
        <v>380</v>
      </c>
      <c r="H473" s="2" t="s">
        <v>10</v>
      </c>
      <c r="I473" s="2" t="s">
        <v>60</v>
      </c>
      <c r="J473" s="2" t="s">
        <v>191</v>
      </c>
      <c r="K473" s="2" t="s">
        <v>10</v>
      </c>
    </row>
    <row r="474" spans="1:12" ht="27.6" hidden="1" x14ac:dyDescent="0.3">
      <c r="A474" s="2" t="s">
        <v>60</v>
      </c>
      <c r="B474" s="2" t="s">
        <v>1812</v>
      </c>
      <c r="C474" s="3">
        <v>30317</v>
      </c>
      <c r="D474" s="1" t="s">
        <v>1813</v>
      </c>
      <c r="E474" s="1" t="s">
        <v>1814</v>
      </c>
      <c r="F474" s="2" t="s">
        <v>60</v>
      </c>
      <c r="G474" s="2" t="s">
        <v>1815</v>
      </c>
      <c r="H474" s="2" t="s">
        <v>10</v>
      </c>
      <c r="I474" s="2" t="s">
        <v>60</v>
      </c>
      <c r="J474" s="2" t="s">
        <v>1816</v>
      </c>
      <c r="K474" s="2" t="s">
        <v>10</v>
      </c>
    </row>
    <row r="475" spans="1:12" ht="27.6" hidden="1" x14ac:dyDescent="0.3">
      <c r="A475" s="2" t="s">
        <v>60</v>
      </c>
      <c r="B475" s="2" t="s">
        <v>1817</v>
      </c>
      <c r="C475" s="3">
        <v>30710</v>
      </c>
      <c r="D475" s="1" t="s">
        <v>1818</v>
      </c>
      <c r="E475" s="1" t="s">
        <v>1819</v>
      </c>
      <c r="F475" s="2" t="s">
        <v>1820</v>
      </c>
      <c r="G475" s="2" t="s">
        <v>190</v>
      </c>
      <c r="H475" s="2" t="s">
        <v>10</v>
      </c>
      <c r="I475" s="2" t="s">
        <v>60</v>
      </c>
      <c r="J475" s="2" t="s">
        <v>191</v>
      </c>
      <c r="K475" s="2" t="s">
        <v>10</v>
      </c>
    </row>
    <row r="476" spans="1:12" ht="27.6" hidden="1" x14ac:dyDescent="0.3">
      <c r="A476" s="2" t="s">
        <v>60</v>
      </c>
      <c r="B476" s="2" t="s">
        <v>1821</v>
      </c>
      <c r="C476" s="3">
        <v>24623</v>
      </c>
      <c r="D476" s="1" t="s">
        <v>1822</v>
      </c>
      <c r="E476" s="1" t="s">
        <v>1823</v>
      </c>
      <c r="F476" s="2" t="s">
        <v>60</v>
      </c>
      <c r="G476" s="2" t="s">
        <v>1824</v>
      </c>
      <c r="H476" s="2" t="s">
        <v>10</v>
      </c>
      <c r="I476" s="2" t="s">
        <v>60</v>
      </c>
      <c r="J476" s="2" t="s">
        <v>1825</v>
      </c>
      <c r="K476" s="2" t="s">
        <v>10</v>
      </c>
    </row>
    <row r="477" spans="1:12" ht="27.6" hidden="1" x14ac:dyDescent="0.3">
      <c r="A477" s="2" t="s">
        <v>11</v>
      </c>
      <c r="B477" s="2" t="s">
        <v>1826</v>
      </c>
      <c r="C477" s="3">
        <v>24190</v>
      </c>
      <c r="D477" s="1" t="s">
        <v>1827</v>
      </c>
      <c r="E477" s="1" t="s">
        <v>1828</v>
      </c>
      <c r="F477" s="2" t="s">
        <v>36</v>
      </c>
      <c r="G477" s="2" t="s">
        <v>92</v>
      </c>
      <c r="H477" s="2" t="s">
        <v>1829</v>
      </c>
      <c r="I477" s="2" t="s">
        <v>11</v>
      </c>
      <c r="J477" s="2" t="s">
        <v>135</v>
      </c>
      <c r="K477" s="2" t="s">
        <v>10</v>
      </c>
    </row>
    <row r="478" spans="1:12" ht="27.6" hidden="1" x14ac:dyDescent="0.3">
      <c r="A478" s="2" t="s">
        <v>60</v>
      </c>
      <c r="B478" s="2" t="s">
        <v>1830</v>
      </c>
      <c r="C478" s="3">
        <v>33624</v>
      </c>
      <c r="D478" s="1" t="s">
        <v>1831</v>
      </c>
      <c r="E478" s="1" t="s">
        <v>1832</v>
      </c>
      <c r="F478" s="2" t="s">
        <v>257</v>
      </c>
      <c r="G478" s="2" t="s">
        <v>319</v>
      </c>
      <c r="H478" s="2" t="s">
        <v>10</v>
      </c>
      <c r="I478" s="2" t="s">
        <v>60</v>
      </c>
      <c r="J478" s="2" t="s">
        <v>320</v>
      </c>
      <c r="K478" s="2" t="s">
        <v>10</v>
      </c>
    </row>
    <row r="479" spans="1:12" ht="27.6" hidden="1" x14ac:dyDescent="0.3">
      <c r="A479" s="2" t="s">
        <v>60</v>
      </c>
      <c r="B479" s="2" t="s">
        <v>1833</v>
      </c>
      <c r="C479" s="3">
        <v>29721</v>
      </c>
      <c r="D479" s="1" t="s">
        <v>1834</v>
      </c>
      <c r="E479" s="1" t="s">
        <v>635</v>
      </c>
      <c r="F479" s="2" t="s">
        <v>900</v>
      </c>
      <c r="G479" s="2" t="s">
        <v>380</v>
      </c>
      <c r="H479" s="2" t="s">
        <v>10</v>
      </c>
      <c r="I479" s="2" t="s">
        <v>60</v>
      </c>
      <c r="J479" s="2" t="s">
        <v>191</v>
      </c>
      <c r="K479" s="2" t="s">
        <v>10</v>
      </c>
    </row>
    <row r="480" spans="1:12" ht="27.6" hidden="1" x14ac:dyDescent="0.3">
      <c r="A480" s="2" t="s">
        <v>60</v>
      </c>
      <c r="B480" s="2" t="s">
        <v>1835</v>
      </c>
      <c r="C480" s="3">
        <v>25586</v>
      </c>
      <c r="D480" s="1" t="s">
        <v>1836</v>
      </c>
      <c r="E480" s="1" t="s">
        <v>1837</v>
      </c>
      <c r="F480" s="2" t="s">
        <v>1838</v>
      </c>
      <c r="G480" s="2" t="s">
        <v>328</v>
      </c>
      <c r="H480" s="2" t="s">
        <v>10</v>
      </c>
      <c r="I480" s="2" t="s">
        <v>60</v>
      </c>
      <c r="J480" s="2" t="s">
        <v>1839</v>
      </c>
      <c r="K480" s="2" t="s">
        <v>10</v>
      </c>
    </row>
    <row r="481" spans="1:12" ht="27.6" hidden="1" x14ac:dyDescent="0.3">
      <c r="A481" s="2" t="s">
        <v>60</v>
      </c>
      <c r="B481" s="2" t="s">
        <v>1840</v>
      </c>
      <c r="C481" s="3">
        <v>30480</v>
      </c>
      <c r="D481" s="1" t="s">
        <v>1841</v>
      </c>
      <c r="E481" s="1" t="s">
        <v>1842</v>
      </c>
      <c r="F481" s="2" t="s">
        <v>1770</v>
      </c>
      <c r="G481" s="2" t="s">
        <v>48</v>
      </c>
      <c r="H481" s="2" t="s">
        <v>10</v>
      </c>
      <c r="I481" s="2" t="s">
        <v>60</v>
      </c>
      <c r="J481" s="2" t="s">
        <v>49</v>
      </c>
      <c r="K481" s="2" t="s">
        <v>10</v>
      </c>
    </row>
    <row r="482" spans="1:12" ht="27.6" hidden="1" x14ac:dyDescent="0.3">
      <c r="A482" s="2" t="s">
        <v>11</v>
      </c>
      <c r="B482" s="2" t="s">
        <v>1843</v>
      </c>
      <c r="C482" s="3">
        <v>23942</v>
      </c>
      <c r="D482" s="1" t="s">
        <v>1844</v>
      </c>
      <c r="E482" s="1" t="s">
        <v>1845</v>
      </c>
      <c r="F482" s="2" t="s">
        <v>1846</v>
      </c>
      <c r="G482" s="2" t="s">
        <v>366</v>
      </c>
      <c r="H482" s="2" t="s">
        <v>10</v>
      </c>
      <c r="I482" s="2" t="s">
        <v>11</v>
      </c>
      <c r="J482" s="2" t="s">
        <v>1847</v>
      </c>
      <c r="K482" s="34" t="s">
        <v>13193</v>
      </c>
      <c r="L482" s="24" t="s">
        <v>13195</v>
      </c>
    </row>
    <row r="483" spans="1:12" ht="27.6" hidden="1" x14ac:dyDescent="0.3">
      <c r="A483" s="2" t="s">
        <v>11</v>
      </c>
      <c r="B483" s="2" t="s">
        <v>1848</v>
      </c>
      <c r="C483" s="3">
        <v>39235</v>
      </c>
      <c r="D483" s="1" t="s">
        <v>1849</v>
      </c>
      <c r="E483" s="1" t="s">
        <v>1850</v>
      </c>
      <c r="F483" s="2" t="s">
        <v>583</v>
      </c>
      <c r="G483" s="2" t="s">
        <v>366</v>
      </c>
      <c r="H483" s="2" t="s">
        <v>43</v>
      </c>
      <c r="I483" s="2" t="s">
        <v>11</v>
      </c>
      <c r="J483" s="2" t="s">
        <v>437</v>
      </c>
      <c r="K483" s="30" t="s">
        <v>13193</v>
      </c>
      <c r="L483" s="6" t="s">
        <v>13195</v>
      </c>
    </row>
    <row r="484" spans="1:12" ht="27.6" hidden="1" x14ac:dyDescent="0.3">
      <c r="A484" s="2" t="s">
        <v>60</v>
      </c>
      <c r="B484" s="2" t="s">
        <v>1851</v>
      </c>
      <c r="C484" s="3">
        <v>31980</v>
      </c>
      <c r="D484" s="1" t="s">
        <v>1852</v>
      </c>
      <c r="E484" s="1" t="s">
        <v>1853</v>
      </c>
      <c r="F484" s="2" t="s">
        <v>728</v>
      </c>
      <c r="G484" s="2" t="s">
        <v>196</v>
      </c>
      <c r="H484" s="2" t="s">
        <v>10</v>
      </c>
      <c r="I484" s="2" t="s">
        <v>60</v>
      </c>
      <c r="J484" s="2" t="s">
        <v>197</v>
      </c>
      <c r="K484" s="18" t="s">
        <v>10</v>
      </c>
    </row>
    <row r="485" spans="1:12" ht="27.6" hidden="1" x14ac:dyDescent="0.3">
      <c r="A485" s="2" t="s">
        <v>60</v>
      </c>
      <c r="B485" s="2" t="s">
        <v>1854</v>
      </c>
      <c r="C485" s="3">
        <v>30724</v>
      </c>
      <c r="D485" s="1" t="s">
        <v>1855</v>
      </c>
      <c r="E485" s="1" t="s">
        <v>1856</v>
      </c>
      <c r="F485" s="2" t="s">
        <v>1838</v>
      </c>
      <c r="G485" s="2" t="s">
        <v>143</v>
      </c>
      <c r="H485" s="2" t="s">
        <v>1857</v>
      </c>
      <c r="I485" s="2" t="s">
        <v>60</v>
      </c>
      <c r="J485" s="2" t="s">
        <v>1858</v>
      </c>
      <c r="K485" s="2" t="s">
        <v>10</v>
      </c>
    </row>
    <row r="486" spans="1:12" ht="27.6" hidden="1" x14ac:dyDescent="0.3">
      <c r="A486" s="2" t="s">
        <v>11</v>
      </c>
      <c r="B486" s="2" t="s">
        <v>1859</v>
      </c>
      <c r="C486" s="3">
        <v>32944</v>
      </c>
      <c r="D486" s="1" t="s">
        <v>1860</v>
      </c>
      <c r="E486" s="1" t="s">
        <v>1861</v>
      </c>
      <c r="F486" s="2" t="s">
        <v>992</v>
      </c>
      <c r="G486" s="2" t="s">
        <v>12</v>
      </c>
      <c r="H486" s="2" t="s">
        <v>10</v>
      </c>
      <c r="I486" s="2" t="s">
        <v>11</v>
      </c>
      <c r="J486" s="2" t="s">
        <v>54</v>
      </c>
      <c r="K486" s="30" t="s">
        <v>13193</v>
      </c>
      <c r="L486" s="24" t="s">
        <v>13195</v>
      </c>
    </row>
    <row r="487" spans="1:12" ht="27.6" hidden="1" x14ac:dyDescent="0.3">
      <c r="A487" s="2" t="s">
        <v>11</v>
      </c>
      <c r="B487" s="2" t="s">
        <v>1862</v>
      </c>
      <c r="C487" s="3">
        <v>31144</v>
      </c>
      <c r="D487" s="1" t="s">
        <v>1863</v>
      </c>
      <c r="E487" s="1" t="s">
        <v>1864</v>
      </c>
      <c r="F487" s="2" t="s">
        <v>1846</v>
      </c>
      <c r="G487" s="2" t="s">
        <v>25</v>
      </c>
      <c r="H487" s="2" t="s">
        <v>10</v>
      </c>
      <c r="I487" s="2" t="s">
        <v>11</v>
      </c>
      <c r="J487" s="2" t="s">
        <v>27</v>
      </c>
      <c r="K487" s="30" t="s">
        <v>13193</v>
      </c>
      <c r="L487" s="6" t="s">
        <v>13195</v>
      </c>
    </row>
    <row r="488" spans="1:12" ht="27.6" hidden="1" x14ac:dyDescent="0.3">
      <c r="A488" s="2" t="s">
        <v>60</v>
      </c>
      <c r="B488" s="2" t="s">
        <v>1865</v>
      </c>
      <c r="C488" s="3">
        <v>37244</v>
      </c>
      <c r="D488" s="1" t="s">
        <v>1866</v>
      </c>
      <c r="E488" s="1" t="s">
        <v>1867</v>
      </c>
      <c r="F488" s="2" t="s">
        <v>614</v>
      </c>
      <c r="G488" s="2" t="s">
        <v>288</v>
      </c>
      <c r="H488" s="2" t="s">
        <v>43</v>
      </c>
      <c r="I488" s="2" t="s">
        <v>60</v>
      </c>
      <c r="J488" s="2" t="s">
        <v>289</v>
      </c>
      <c r="K488" s="2" t="s">
        <v>10</v>
      </c>
    </row>
    <row r="489" spans="1:12" ht="27.6" hidden="1" x14ac:dyDescent="0.3">
      <c r="A489" s="2" t="s">
        <v>60</v>
      </c>
      <c r="B489" s="2" t="s">
        <v>1868</v>
      </c>
      <c r="C489" s="3">
        <v>38993</v>
      </c>
      <c r="D489" s="1" t="s">
        <v>261</v>
      </c>
      <c r="E489" s="1" t="s">
        <v>1869</v>
      </c>
      <c r="F489" s="2" t="s">
        <v>614</v>
      </c>
      <c r="G489" s="2" t="s">
        <v>1763</v>
      </c>
      <c r="H489" s="2" t="s">
        <v>10</v>
      </c>
      <c r="I489" s="2" t="s">
        <v>60</v>
      </c>
      <c r="J489" s="2" t="s">
        <v>1764</v>
      </c>
      <c r="K489" s="2" t="s">
        <v>10</v>
      </c>
    </row>
    <row r="490" spans="1:12" ht="27.6" hidden="1" x14ac:dyDescent="0.3">
      <c r="A490" s="2" t="s">
        <v>11</v>
      </c>
      <c r="B490" s="2" t="s">
        <v>1870</v>
      </c>
      <c r="C490" s="3">
        <v>29351</v>
      </c>
      <c r="D490" s="1" t="s">
        <v>1871</v>
      </c>
      <c r="E490" s="1" t="s">
        <v>1872</v>
      </c>
      <c r="F490" s="2" t="s">
        <v>53</v>
      </c>
      <c r="G490" s="2" t="s">
        <v>366</v>
      </c>
      <c r="H490" s="2" t="s">
        <v>10</v>
      </c>
      <c r="I490" s="2" t="s">
        <v>11</v>
      </c>
      <c r="J490" s="2" t="s">
        <v>701</v>
      </c>
      <c r="K490" s="2" t="s">
        <v>10</v>
      </c>
    </row>
    <row r="491" spans="1:12" ht="27.6" hidden="1" x14ac:dyDescent="0.3">
      <c r="A491" s="2" t="s">
        <v>11</v>
      </c>
      <c r="B491" s="2" t="s">
        <v>1873</v>
      </c>
      <c r="C491" s="3">
        <v>23270</v>
      </c>
      <c r="D491" s="1" t="s">
        <v>1874</v>
      </c>
      <c r="E491" s="1" t="s">
        <v>1875</v>
      </c>
      <c r="F491" s="2" t="s">
        <v>16</v>
      </c>
      <c r="G491" s="2" t="s">
        <v>1876</v>
      </c>
      <c r="H491" s="2" t="s">
        <v>103</v>
      </c>
      <c r="I491" s="2" t="s">
        <v>11</v>
      </c>
      <c r="J491" s="2" t="s">
        <v>1877</v>
      </c>
      <c r="K491" s="2" t="s">
        <v>10</v>
      </c>
    </row>
    <row r="492" spans="1:12" ht="27.6" hidden="1" x14ac:dyDescent="0.3">
      <c r="A492" s="2" t="s">
        <v>11</v>
      </c>
      <c r="B492" s="2" t="s">
        <v>1878</v>
      </c>
      <c r="C492" s="3">
        <v>35975</v>
      </c>
      <c r="D492" s="1" t="s">
        <v>1879</v>
      </c>
      <c r="E492" s="1" t="s">
        <v>1880</v>
      </c>
      <c r="F492" s="2" t="s">
        <v>53</v>
      </c>
      <c r="G492" s="2" t="s">
        <v>80</v>
      </c>
      <c r="H492" s="2" t="s">
        <v>43</v>
      </c>
      <c r="I492" s="2" t="s">
        <v>11</v>
      </c>
      <c r="J492" s="2" t="s">
        <v>1881</v>
      </c>
      <c r="K492" s="2" t="s">
        <v>10</v>
      </c>
    </row>
    <row r="493" spans="1:12" ht="27.6" hidden="1" x14ac:dyDescent="0.3">
      <c r="A493" s="2" t="s">
        <v>11</v>
      </c>
      <c r="B493" s="2" t="s">
        <v>1882</v>
      </c>
      <c r="C493" s="3">
        <v>26518</v>
      </c>
      <c r="D493" s="1" t="s">
        <v>1883</v>
      </c>
      <c r="E493" s="1" t="s">
        <v>1884</v>
      </c>
      <c r="F493" s="2" t="s">
        <v>42</v>
      </c>
      <c r="G493" s="2" t="s">
        <v>366</v>
      </c>
      <c r="H493" s="2" t="s">
        <v>10</v>
      </c>
      <c r="I493" s="2" t="s">
        <v>11</v>
      </c>
      <c r="J493" s="2" t="s">
        <v>701</v>
      </c>
      <c r="K493" s="2" t="s">
        <v>10</v>
      </c>
    </row>
    <row r="494" spans="1:12" ht="27.6" hidden="1" x14ac:dyDescent="0.3">
      <c r="A494" s="2" t="s">
        <v>11</v>
      </c>
      <c r="B494" s="2" t="s">
        <v>1885</v>
      </c>
      <c r="C494" s="3">
        <v>34076</v>
      </c>
      <c r="D494" s="1" t="s">
        <v>1886</v>
      </c>
      <c r="E494" s="1" t="s">
        <v>1887</v>
      </c>
      <c r="F494" s="2" t="s">
        <v>16</v>
      </c>
      <c r="G494" s="2" t="s">
        <v>292</v>
      </c>
      <c r="H494" s="2" t="s">
        <v>43</v>
      </c>
      <c r="I494" s="2" t="s">
        <v>11</v>
      </c>
      <c r="J494" s="2" t="s">
        <v>1888</v>
      </c>
      <c r="K494" s="2" t="s">
        <v>10</v>
      </c>
    </row>
    <row r="495" spans="1:12" ht="27.6" hidden="1" x14ac:dyDescent="0.3">
      <c r="A495" s="2" t="s">
        <v>11</v>
      </c>
      <c r="B495" s="2" t="s">
        <v>1889</v>
      </c>
      <c r="C495" s="3">
        <v>34556</v>
      </c>
      <c r="D495" s="1" t="s">
        <v>1890</v>
      </c>
      <c r="E495" s="1" t="s">
        <v>1891</v>
      </c>
      <c r="F495" s="2" t="s">
        <v>16</v>
      </c>
      <c r="G495" s="2" t="s">
        <v>1015</v>
      </c>
      <c r="H495" s="2" t="s">
        <v>10</v>
      </c>
      <c r="I495" s="2" t="s">
        <v>11</v>
      </c>
      <c r="J495" s="2" t="s">
        <v>1892</v>
      </c>
      <c r="K495" s="2" t="s">
        <v>10</v>
      </c>
    </row>
    <row r="496" spans="1:12" ht="27.6" hidden="1" x14ac:dyDescent="0.3">
      <c r="A496" s="2" t="s">
        <v>11</v>
      </c>
      <c r="B496" s="2" t="s">
        <v>1893</v>
      </c>
      <c r="C496" s="3">
        <v>32904</v>
      </c>
      <c r="D496" s="1" t="s">
        <v>1894</v>
      </c>
      <c r="E496" s="1" t="s">
        <v>1895</v>
      </c>
      <c r="F496" s="2" t="s">
        <v>971</v>
      </c>
      <c r="G496" s="2" t="s">
        <v>12</v>
      </c>
      <c r="H496" s="2" t="s">
        <v>10</v>
      </c>
      <c r="I496" s="2" t="s">
        <v>11</v>
      </c>
      <c r="J496" s="2" t="s">
        <v>54</v>
      </c>
      <c r="K496" s="2" t="s">
        <v>10</v>
      </c>
    </row>
    <row r="497" spans="1:12" ht="27.6" hidden="1" x14ac:dyDescent="0.3">
      <c r="A497" s="2" t="s">
        <v>11</v>
      </c>
      <c r="B497" s="2" t="s">
        <v>1896</v>
      </c>
      <c r="C497" s="3">
        <v>26518</v>
      </c>
      <c r="D497" s="1" t="s">
        <v>1883</v>
      </c>
      <c r="E497" s="1" t="s">
        <v>1884</v>
      </c>
      <c r="F497" s="2" t="s">
        <v>42</v>
      </c>
      <c r="G497" s="2" t="s">
        <v>25</v>
      </c>
      <c r="H497" s="2" t="s">
        <v>10</v>
      </c>
      <c r="I497" s="2" t="s">
        <v>11</v>
      </c>
      <c r="J497" s="2" t="s">
        <v>27</v>
      </c>
      <c r="K497" s="2" t="s">
        <v>10</v>
      </c>
    </row>
    <row r="498" spans="1:12" hidden="1" x14ac:dyDescent="0.3">
      <c r="A498" s="2" t="s">
        <v>180</v>
      </c>
      <c r="B498" s="2" t="s">
        <v>1897</v>
      </c>
      <c r="C498" s="3">
        <v>35884</v>
      </c>
      <c r="D498" s="1" t="s">
        <v>1898</v>
      </c>
      <c r="E498" s="1" t="s">
        <v>1899</v>
      </c>
      <c r="F498" s="2" t="s">
        <v>507</v>
      </c>
      <c r="G498" s="2" t="s">
        <v>124</v>
      </c>
      <c r="H498" s="2" t="s">
        <v>10</v>
      </c>
      <c r="I498" s="2" t="s">
        <v>180</v>
      </c>
      <c r="J498" s="2" t="s">
        <v>732</v>
      </c>
      <c r="K498" s="2" t="s">
        <v>10</v>
      </c>
      <c r="L498" s="6"/>
    </row>
    <row r="499" spans="1:12" ht="27.6" hidden="1" x14ac:dyDescent="0.3">
      <c r="A499" s="2" t="s">
        <v>11</v>
      </c>
      <c r="B499" s="2" t="s">
        <v>1900</v>
      </c>
      <c r="C499" s="3">
        <v>27510</v>
      </c>
      <c r="D499" s="1" t="s">
        <v>1901</v>
      </c>
      <c r="E499" s="1" t="s">
        <v>1902</v>
      </c>
      <c r="F499" s="2" t="s">
        <v>16</v>
      </c>
      <c r="G499" s="2" t="s">
        <v>1903</v>
      </c>
      <c r="H499" s="2" t="s">
        <v>103</v>
      </c>
      <c r="I499" s="2" t="s">
        <v>11</v>
      </c>
      <c r="J499" s="2" t="s">
        <v>1904</v>
      </c>
      <c r="K499" s="2" t="s">
        <v>10</v>
      </c>
    </row>
    <row r="500" spans="1:12" ht="27.6" hidden="1" x14ac:dyDescent="0.3">
      <c r="A500" s="2" t="s">
        <v>11</v>
      </c>
      <c r="B500" s="2" t="s">
        <v>1905</v>
      </c>
      <c r="C500" s="3">
        <v>32106</v>
      </c>
      <c r="D500" s="1" t="s">
        <v>1906</v>
      </c>
      <c r="E500" s="1" t="s">
        <v>1907</v>
      </c>
      <c r="F500" s="2" t="s">
        <v>36</v>
      </c>
      <c r="G500" s="2" t="s">
        <v>385</v>
      </c>
      <c r="H500" s="2" t="s">
        <v>10</v>
      </c>
      <c r="I500" s="2" t="s">
        <v>11</v>
      </c>
      <c r="J500" s="2" t="s">
        <v>87</v>
      </c>
      <c r="K500" s="2" t="s">
        <v>10</v>
      </c>
    </row>
    <row r="501" spans="1:12" ht="27.6" hidden="1" x14ac:dyDescent="0.3">
      <c r="A501" s="2" t="s">
        <v>60</v>
      </c>
      <c r="B501" s="2" t="s">
        <v>1908</v>
      </c>
      <c r="C501" s="3">
        <v>35081</v>
      </c>
      <c r="D501" s="1" t="s">
        <v>1909</v>
      </c>
      <c r="E501" s="1" t="s">
        <v>1910</v>
      </c>
      <c r="F501" s="2" t="s">
        <v>926</v>
      </c>
      <c r="G501" s="2" t="s">
        <v>196</v>
      </c>
      <c r="H501" s="2" t="s">
        <v>10</v>
      </c>
      <c r="I501" s="2" t="s">
        <v>60</v>
      </c>
      <c r="J501" s="2" t="s">
        <v>197</v>
      </c>
      <c r="K501" s="2" t="s">
        <v>10</v>
      </c>
    </row>
    <row r="502" spans="1:12" ht="27.6" hidden="1" x14ac:dyDescent="0.3">
      <c r="A502" s="2" t="s">
        <v>60</v>
      </c>
      <c r="B502" s="2" t="s">
        <v>1911</v>
      </c>
      <c r="C502" s="3">
        <v>27445</v>
      </c>
      <c r="D502" s="1" t="s">
        <v>1912</v>
      </c>
      <c r="E502" s="1" t="s">
        <v>1913</v>
      </c>
      <c r="F502" s="2" t="s">
        <v>1914</v>
      </c>
      <c r="G502" s="2" t="s">
        <v>143</v>
      </c>
      <c r="H502" s="2" t="s">
        <v>10</v>
      </c>
      <c r="I502" s="2" t="s">
        <v>60</v>
      </c>
      <c r="J502" s="2" t="s">
        <v>144</v>
      </c>
      <c r="K502" s="2" t="s">
        <v>10</v>
      </c>
    </row>
    <row r="503" spans="1:12" ht="27.6" hidden="1" x14ac:dyDescent="0.3">
      <c r="A503" s="2" t="s">
        <v>60</v>
      </c>
      <c r="B503" s="2" t="s">
        <v>1915</v>
      </c>
      <c r="C503" s="3">
        <v>35973</v>
      </c>
      <c r="D503" s="1" t="s">
        <v>1916</v>
      </c>
      <c r="E503" s="1" t="s">
        <v>1917</v>
      </c>
      <c r="F503" s="2" t="s">
        <v>1918</v>
      </c>
      <c r="G503" s="2" t="s">
        <v>196</v>
      </c>
      <c r="H503" s="2" t="s">
        <v>10</v>
      </c>
      <c r="I503" s="2" t="s">
        <v>60</v>
      </c>
      <c r="J503" s="2" t="s">
        <v>197</v>
      </c>
      <c r="K503" s="2" t="s">
        <v>10</v>
      </c>
    </row>
    <row r="504" spans="1:12" ht="27.6" hidden="1" x14ac:dyDescent="0.3">
      <c r="A504" s="2" t="s">
        <v>11</v>
      </c>
      <c r="B504" s="2" t="s">
        <v>1919</v>
      </c>
      <c r="C504" s="3">
        <v>28614</v>
      </c>
      <c r="D504" s="1" t="s">
        <v>1920</v>
      </c>
      <c r="E504" s="1" t="s">
        <v>1921</v>
      </c>
      <c r="F504" s="2" t="s">
        <v>16</v>
      </c>
      <c r="G504" s="2" t="s">
        <v>222</v>
      </c>
      <c r="H504" s="2" t="s">
        <v>751</v>
      </c>
      <c r="I504" s="2" t="s">
        <v>11</v>
      </c>
      <c r="J504" s="2" t="s">
        <v>1922</v>
      </c>
      <c r="K504" s="2" t="s">
        <v>10</v>
      </c>
    </row>
    <row r="505" spans="1:12" ht="27.6" hidden="1" x14ac:dyDescent="0.3">
      <c r="A505" s="2" t="s">
        <v>60</v>
      </c>
      <c r="B505" s="2" t="s">
        <v>1923</v>
      </c>
      <c r="C505" s="3">
        <v>31316</v>
      </c>
      <c r="D505" s="1" t="s">
        <v>1924</v>
      </c>
      <c r="E505" s="1" t="s">
        <v>1925</v>
      </c>
      <c r="F505" s="2" t="s">
        <v>1838</v>
      </c>
      <c r="G505" s="2" t="s">
        <v>190</v>
      </c>
      <c r="H505" s="2" t="s">
        <v>10</v>
      </c>
      <c r="I505" s="2" t="s">
        <v>60</v>
      </c>
      <c r="J505" s="2" t="s">
        <v>768</v>
      </c>
      <c r="K505" s="2" t="s">
        <v>10</v>
      </c>
    </row>
    <row r="506" spans="1:12" ht="27.6" hidden="1" x14ac:dyDescent="0.3">
      <c r="A506" s="2" t="s">
        <v>60</v>
      </c>
      <c r="B506" s="2" t="s">
        <v>1926</v>
      </c>
      <c r="C506" s="3">
        <v>35094</v>
      </c>
      <c r="D506" s="1" t="s">
        <v>1927</v>
      </c>
      <c r="E506" s="1" t="s">
        <v>1928</v>
      </c>
      <c r="F506" s="2" t="s">
        <v>825</v>
      </c>
      <c r="G506" s="2" t="s">
        <v>328</v>
      </c>
      <c r="H506" s="2" t="s">
        <v>10</v>
      </c>
      <c r="I506" s="2" t="s">
        <v>60</v>
      </c>
      <c r="J506" s="2" t="s">
        <v>329</v>
      </c>
      <c r="K506" s="2" t="s">
        <v>10</v>
      </c>
    </row>
    <row r="507" spans="1:12" ht="27.6" hidden="1" x14ac:dyDescent="0.3">
      <c r="A507" s="2" t="s">
        <v>60</v>
      </c>
      <c r="B507" s="2" t="s">
        <v>1929</v>
      </c>
      <c r="C507" s="3">
        <v>29428</v>
      </c>
      <c r="D507" s="1" t="s">
        <v>1930</v>
      </c>
      <c r="E507" s="1" t="s">
        <v>1931</v>
      </c>
      <c r="F507" s="2" t="s">
        <v>825</v>
      </c>
      <c r="G507" s="2" t="s">
        <v>319</v>
      </c>
      <c r="H507" s="2" t="s">
        <v>10</v>
      </c>
      <c r="I507" s="2" t="s">
        <v>60</v>
      </c>
      <c r="J507" s="2" t="s">
        <v>320</v>
      </c>
      <c r="K507" s="2" t="s">
        <v>10</v>
      </c>
    </row>
    <row r="508" spans="1:12" ht="27.6" hidden="1" x14ac:dyDescent="0.3">
      <c r="A508" s="2" t="s">
        <v>11</v>
      </c>
      <c r="B508" s="2" t="s">
        <v>1932</v>
      </c>
      <c r="C508" s="3">
        <v>18768</v>
      </c>
      <c r="D508" s="1" t="s">
        <v>1933</v>
      </c>
      <c r="E508" s="1" t="s">
        <v>1934</v>
      </c>
      <c r="F508" s="2" t="s">
        <v>16</v>
      </c>
      <c r="G508" s="2" t="s">
        <v>1935</v>
      </c>
      <c r="H508" s="2" t="s">
        <v>10</v>
      </c>
      <c r="I508" s="2" t="s">
        <v>11</v>
      </c>
      <c r="J508" s="2" t="s">
        <v>1936</v>
      </c>
      <c r="K508" s="2" t="s">
        <v>10</v>
      </c>
    </row>
    <row r="509" spans="1:12" hidden="1" x14ac:dyDescent="0.3">
      <c r="A509" s="2" t="s">
        <v>180</v>
      </c>
      <c r="B509" s="2" t="s">
        <v>1937</v>
      </c>
      <c r="C509" s="3">
        <v>25376</v>
      </c>
      <c r="D509" s="1" t="s">
        <v>1938</v>
      </c>
      <c r="E509" s="1" t="s">
        <v>1939</v>
      </c>
      <c r="F509" s="2" t="s">
        <v>195</v>
      </c>
      <c r="G509" s="2" t="s">
        <v>397</v>
      </c>
      <c r="H509" s="2" t="s">
        <v>10</v>
      </c>
      <c r="I509" s="2" t="s">
        <v>180</v>
      </c>
      <c r="J509" s="2" t="s">
        <v>398</v>
      </c>
      <c r="K509" s="2" t="s">
        <v>10</v>
      </c>
      <c r="L509" s="6"/>
    </row>
    <row r="510" spans="1:12" hidden="1" x14ac:dyDescent="0.3">
      <c r="A510" s="2" t="s">
        <v>180</v>
      </c>
      <c r="B510" s="2" t="s">
        <v>1940</v>
      </c>
      <c r="C510" s="3">
        <v>26418</v>
      </c>
      <c r="D510" s="1" t="s">
        <v>261</v>
      </c>
      <c r="E510" s="1" t="s">
        <v>1465</v>
      </c>
      <c r="F510" s="2" t="s">
        <v>530</v>
      </c>
      <c r="G510" s="2" t="s">
        <v>492</v>
      </c>
      <c r="H510" s="2" t="s">
        <v>10</v>
      </c>
      <c r="I510" s="2" t="s">
        <v>180</v>
      </c>
      <c r="J510" s="2" t="s">
        <v>619</v>
      </c>
      <c r="K510" s="2" t="s">
        <v>10</v>
      </c>
      <c r="L510" s="6"/>
    </row>
    <row r="511" spans="1:12" ht="27.6" hidden="1" x14ac:dyDescent="0.3">
      <c r="A511" s="2" t="s">
        <v>180</v>
      </c>
      <c r="B511" s="2" t="s">
        <v>1941</v>
      </c>
      <c r="C511" s="3">
        <v>27407</v>
      </c>
      <c r="D511" s="1" t="s">
        <v>261</v>
      </c>
      <c r="E511" s="1" t="s">
        <v>1942</v>
      </c>
      <c r="F511" s="2" t="s">
        <v>1199</v>
      </c>
      <c r="G511" s="2" t="s">
        <v>157</v>
      </c>
      <c r="H511" s="2" t="s">
        <v>10</v>
      </c>
      <c r="I511" s="2" t="s">
        <v>180</v>
      </c>
      <c r="J511" s="2" t="s">
        <v>1943</v>
      </c>
      <c r="K511" s="2" t="s">
        <v>10</v>
      </c>
      <c r="L511" s="6"/>
    </row>
    <row r="512" spans="1:12" ht="27.6" hidden="1" x14ac:dyDescent="0.3">
      <c r="A512" s="2" t="s">
        <v>60</v>
      </c>
      <c r="B512" s="2" t="s">
        <v>1944</v>
      </c>
      <c r="C512" s="3">
        <v>25306</v>
      </c>
      <c r="D512" s="1" t="s">
        <v>1945</v>
      </c>
      <c r="E512" s="1" t="s">
        <v>1946</v>
      </c>
      <c r="F512" s="2" t="s">
        <v>813</v>
      </c>
      <c r="G512" s="2" t="s">
        <v>86</v>
      </c>
      <c r="H512" s="2" t="s">
        <v>10</v>
      </c>
      <c r="I512" s="2" t="s">
        <v>60</v>
      </c>
      <c r="J512" s="2" t="s">
        <v>87</v>
      </c>
      <c r="K512" s="2" t="s">
        <v>10</v>
      </c>
    </row>
    <row r="513" spans="1:12" ht="27.6" hidden="1" x14ac:dyDescent="0.3">
      <c r="A513" s="2" t="s">
        <v>60</v>
      </c>
      <c r="B513" s="2" t="s">
        <v>1947</v>
      </c>
      <c r="C513" s="3">
        <v>38204</v>
      </c>
      <c r="D513" s="1" t="s">
        <v>1948</v>
      </c>
      <c r="E513" s="1" t="s">
        <v>1949</v>
      </c>
      <c r="F513" s="2" t="s">
        <v>941</v>
      </c>
      <c r="G513" s="2" t="s">
        <v>492</v>
      </c>
      <c r="H513" s="2" t="s">
        <v>334</v>
      </c>
      <c r="I513" s="2" t="s">
        <v>60</v>
      </c>
      <c r="J513" s="2" t="s">
        <v>619</v>
      </c>
      <c r="K513" s="2" t="s">
        <v>10</v>
      </c>
    </row>
    <row r="514" spans="1:12" ht="27.6" hidden="1" x14ac:dyDescent="0.3">
      <c r="A514" s="2" t="s">
        <v>180</v>
      </c>
      <c r="B514" s="2" t="s">
        <v>1950</v>
      </c>
      <c r="C514" s="3">
        <v>37422</v>
      </c>
      <c r="D514" s="1" t="s">
        <v>1951</v>
      </c>
      <c r="E514" s="1" t="s">
        <v>1952</v>
      </c>
      <c r="F514" s="2" t="s">
        <v>195</v>
      </c>
      <c r="G514" s="2" t="s">
        <v>278</v>
      </c>
      <c r="H514" s="2" t="s">
        <v>10</v>
      </c>
      <c r="I514" s="2" t="s">
        <v>180</v>
      </c>
      <c r="J514" s="2" t="s">
        <v>279</v>
      </c>
      <c r="K514" s="2" t="s">
        <v>10</v>
      </c>
      <c r="L514" s="6"/>
    </row>
    <row r="515" spans="1:12" hidden="1" x14ac:dyDescent="0.3">
      <c r="A515" s="2" t="s">
        <v>180</v>
      </c>
      <c r="B515" s="2" t="s">
        <v>1953</v>
      </c>
      <c r="C515" s="3">
        <v>21317</v>
      </c>
      <c r="D515" s="1" t="s">
        <v>1514</v>
      </c>
      <c r="E515" s="1" t="s">
        <v>1954</v>
      </c>
      <c r="F515" s="2" t="s">
        <v>195</v>
      </c>
      <c r="G515" s="2" t="s">
        <v>1955</v>
      </c>
      <c r="H515" s="2" t="s">
        <v>10</v>
      </c>
      <c r="I515" s="2" t="s">
        <v>180</v>
      </c>
      <c r="J515" s="2" t="s">
        <v>1956</v>
      </c>
      <c r="K515" s="2" t="s">
        <v>10</v>
      </c>
      <c r="L515" s="6"/>
    </row>
    <row r="516" spans="1:12" ht="27.6" hidden="1" x14ac:dyDescent="0.3">
      <c r="A516" s="2" t="s">
        <v>1957</v>
      </c>
      <c r="B516" s="2" t="s">
        <v>1958</v>
      </c>
      <c r="C516" s="3">
        <v>22226</v>
      </c>
      <c r="D516" s="1" t="s">
        <v>1959</v>
      </c>
      <c r="E516" s="1" t="s">
        <v>1960</v>
      </c>
      <c r="F516" s="2" t="s">
        <v>1961</v>
      </c>
      <c r="G516" s="2" t="s">
        <v>75</v>
      </c>
      <c r="H516" s="2" t="s">
        <v>10</v>
      </c>
      <c r="I516" s="2" t="s">
        <v>1957</v>
      </c>
      <c r="J516" s="2" t="s">
        <v>76</v>
      </c>
      <c r="K516" s="2" t="s">
        <v>10</v>
      </c>
    </row>
    <row r="517" spans="1:12" ht="27.6" hidden="1" x14ac:dyDescent="0.3">
      <c r="A517" s="2" t="s">
        <v>1962</v>
      </c>
      <c r="B517" s="2" t="s">
        <v>1963</v>
      </c>
      <c r="C517" s="3">
        <v>23046</v>
      </c>
      <c r="D517" s="1" t="s">
        <v>1964</v>
      </c>
      <c r="E517" s="1" t="s">
        <v>1965</v>
      </c>
      <c r="F517" s="2" t="s">
        <v>1961</v>
      </c>
      <c r="G517" s="2" t="s">
        <v>385</v>
      </c>
      <c r="H517" s="2" t="s">
        <v>43</v>
      </c>
      <c r="I517" s="2" t="s">
        <v>1962</v>
      </c>
      <c r="J517" s="2" t="s">
        <v>1966</v>
      </c>
      <c r="K517" s="2" t="s">
        <v>10</v>
      </c>
    </row>
    <row r="518" spans="1:12" ht="27.6" hidden="1" x14ac:dyDescent="0.3">
      <c r="A518" s="2" t="s">
        <v>1957</v>
      </c>
      <c r="B518" s="2" t="s">
        <v>1967</v>
      </c>
      <c r="C518" s="3">
        <v>33068</v>
      </c>
      <c r="D518" s="1" t="s">
        <v>1968</v>
      </c>
      <c r="E518" s="1" t="s">
        <v>1969</v>
      </c>
      <c r="F518" s="2" t="s">
        <v>1961</v>
      </c>
      <c r="G518" s="2" t="s">
        <v>492</v>
      </c>
      <c r="H518" s="2" t="s">
        <v>10</v>
      </c>
      <c r="I518" s="2" t="s">
        <v>1957</v>
      </c>
      <c r="J518" s="2" t="s">
        <v>1970</v>
      </c>
      <c r="K518" s="2" t="s">
        <v>10</v>
      </c>
    </row>
    <row r="519" spans="1:12" hidden="1" x14ac:dyDescent="0.3">
      <c r="A519" s="2" t="s">
        <v>1957</v>
      </c>
      <c r="B519" s="2" t="s">
        <v>1971</v>
      </c>
      <c r="C519" s="3">
        <v>28033</v>
      </c>
      <c r="D519" s="1" t="s">
        <v>1972</v>
      </c>
      <c r="E519" s="1" t="s">
        <v>1973</v>
      </c>
      <c r="F519" s="2" t="s">
        <v>1974</v>
      </c>
      <c r="G519" s="2" t="s">
        <v>124</v>
      </c>
      <c r="H519" s="2" t="s">
        <v>10</v>
      </c>
      <c r="I519" s="2" t="s">
        <v>1957</v>
      </c>
      <c r="J519" s="2" t="s">
        <v>173</v>
      </c>
      <c r="K519" s="2" t="s">
        <v>10</v>
      </c>
    </row>
    <row r="520" spans="1:12" ht="27.6" hidden="1" x14ac:dyDescent="0.3">
      <c r="A520" s="2" t="s">
        <v>60</v>
      </c>
      <c r="B520" s="2" t="s">
        <v>1908</v>
      </c>
      <c r="C520" s="3">
        <v>35081</v>
      </c>
      <c r="D520" s="1" t="s">
        <v>1975</v>
      </c>
      <c r="E520" s="1" t="s">
        <v>1910</v>
      </c>
      <c r="F520" s="2" t="s">
        <v>728</v>
      </c>
      <c r="G520" s="2" t="s">
        <v>196</v>
      </c>
      <c r="H520" s="2" t="s">
        <v>43</v>
      </c>
      <c r="I520" s="2" t="s">
        <v>60</v>
      </c>
      <c r="J520" s="2" t="s">
        <v>1976</v>
      </c>
      <c r="K520" s="2" t="s">
        <v>10</v>
      </c>
    </row>
    <row r="521" spans="1:12" ht="27.6" hidden="1" x14ac:dyDescent="0.3">
      <c r="A521" s="2" t="s">
        <v>60</v>
      </c>
      <c r="B521" s="2" t="s">
        <v>1977</v>
      </c>
      <c r="C521" s="3">
        <v>22274</v>
      </c>
      <c r="D521" s="1" t="s">
        <v>1978</v>
      </c>
      <c r="E521" s="1" t="s">
        <v>1979</v>
      </c>
      <c r="F521" s="2" t="s">
        <v>74</v>
      </c>
      <c r="G521" s="2" t="s">
        <v>222</v>
      </c>
      <c r="H521" s="2" t="s">
        <v>10</v>
      </c>
      <c r="I521" s="2" t="s">
        <v>60</v>
      </c>
      <c r="J521" s="2" t="s">
        <v>223</v>
      </c>
      <c r="K521" s="2" t="s">
        <v>10</v>
      </c>
    </row>
    <row r="522" spans="1:12" ht="27.6" hidden="1" x14ac:dyDescent="0.3">
      <c r="A522" s="2" t="s">
        <v>60</v>
      </c>
      <c r="B522" s="2" t="s">
        <v>1980</v>
      </c>
      <c r="C522" s="3">
        <v>25474</v>
      </c>
      <c r="D522" s="1" t="s">
        <v>1981</v>
      </c>
      <c r="E522" s="1" t="s">
        <v>1982</v>
      </c>
      <c r="F522" s="2" t="s">
        <v>872</v>
      </c>
      <c r="G522" s="2" t="s">
        <v>319</v>
      </c>
      <c r="H522" s="2" t="s">
        <v>10</v>
      </c>
      <c r="I522" s="2" t="s">
        <v>60</v>
      </c>
      <c r="J522" s="2" t="s">
        <v>320</v>
      </c>
      <c r="K522" s="2" t="s">
        <v>10</v>
      </c>
    </row>
    <row r="523" spans="1:12" ht="27.6" hidden="1" x14ac:dyDescent="0.3">
      <c r="A523" s="2" t="s">
        <v>60</v>
      </c>
      <c r="B523" s="2" t="s">
        <v>1983</v>
      </c>
      <c r="C523" s="3">
        <v>32838</v>
      </c>
      <c r="D523" s="1" t="s">
        <v>1984</v>
      </c>
      <c r="E523" s="1" t="s">
        <v>1985</v>
      </c>
      <c r="F523" s="2" t="s">
        <v>1986</v>
      </c>
      <c r="G523" s="2" t="s">
        <v>86</v>
      </c>
      <c r="H523" s="2" t="s">
        <v>334</v>
      </c>
      <c r="I523" s="2" t="s">
        <v>60</v>
      </c>
      <c r="J523" s="2" t="s">
        <v>87</v>
      </c>
      <c r="K523" s="2" t="s">
        <v>10</v>
      </c>
    </row>
    <row r="524" spans="1:12" ht="27.6" hidden="1" x14ac:dyDescent="0.3">
      <c r="A524" s="2" t="s">
        <v>60</v>
      </c>
      <c r="B524" s="2" t="s">
        <v>1987</v>
      </c>
      <c r="C524" s="3">
        <v>32838</v>
      </c>
      <c r="D524" s="1" t="s">
        <v>1988</v>
      </c>
      <c r="E524" s="1" t="s">
        <v>1985</v>
      </c>
      <c r="F524" s="2" t="s">
        <v>1986</v>
      </c>
      <c r="G524" s="2" t="s">
        <v>152</v>
      </c>
      <c r="H524" s="2" t="s">
        <v>10</v>
      </c>
      <c r="I524" s="2" t="s">
        <v>60</v>
      </c>
      <c r="J524" s="2" t="s">
        <v>153</v>
      </c>
      <c r="K524" s="2" t="s">
        <v>10</v>
      </c>
    </row>
    <row r="525" spans="1:12" ht="27.6" hidden="1" x14ac:dyDescent="0.3">
      <c r="A525" s="2" t="s">
        <v>60</v>
      </c>
      <c r="B525" s="2" t="s">
        <v>1989</v>
      </c>
      <c r="C525" s="3">
        <v>23653</v>
      </c>
      <c r="D525" s="1" t="s">
        <v>1990</v>
      </c>
      <c r="E525" s="1" t="s">
        <v>1991</v>
      </c>
      <c r="F525" s="2" t="s">
        <v>1918</v>
      </c>
      <c r="G525" s="2" t="s">
        <v>37</v>
      </c>
      <c r="H525" s="2" t="s">
        <v>10</v>
      </c>
      <c r="I525" s="2" t="s">
        <v>60</v>
      </c>
      <c r="J525" s="2" t="s">
        <v>406</v>
      </c>
      <c r="K525" s="2" t="s">
        <v>10</v>
      </c>
    </row>
    <row r="526" spans="1:12" ht="27.6" hidden="1" x14ac:dyDescent="0.3">
      <c r="A526" s="2" t="s">
        <v>60</v>
      </c>
      <c r="B526" s="2" t="s">
        <v>1992</v>
      </c>
      <c r="C526" s="3">
        <v>38816</v>
      </c>
      <c r="D526" s="1" t="s">
        <v>1993</v>
      </c>
      <c r="E526" s="1" t="s">
        <v>1994</v>
      </c>
      <c r="F526" s="2" t="s">
        <v>872</v>
      </c>
      <c r="G526" s="2" t="s">
        <v>112</v>
      </c>
      <c r="H526" s="2" t="s">
        <v>10</v>
      </c>
      <c r="I526" s="2" t="s">
        <v>60</v>
      </c>
      <c r="J526" s="2" t="s">
        <v>315</v>
      </c>
      <c r="K526" s="2" t="s">
        <v>10</v>
      </c>
    </row>
    <row r="527" spans="1:12" ht="27.6" hidden="1" x14ac:dyDescent="0.3">
      <c r="A527" s="2" t="s">
        <v>1962</v>
      </c>
      <c r="B527" s="2" t="s">
        <v>1995</v>
      </c>
      <c r="C527" s="3">
        <v>21319</v>
      </c>
      <c r="D527" s="1" t="s">
        <v>1996</v>
      </c>
      <c r="E527" s="1" t="s">
        <v>1997</v>
      </c>
      <c r="F527" s="2" t="s">
        <v>1961</v>
      </c>
      <c r="G527" s="2" t="s">
        <v>143</v>
      </c>
      <c r="H527" s="2" t="s">
        <v>1998</v>
      </c>
      <c r="I527" s="2" t="s">
        <v>1962</v>
      </c>
      <c r="J527" s="2" t="s">
        <v>678</v>
      </c>
      <c r="K527" s="2" t="s">
        <v>10</v>
      </c>
    </row>
    <row r="528" spans="1:12" ht="27.6" hidden="1" x14ac:dyDescent="0.3">
      <c r="A528" s="2" t="s">
        <v>1962</v>
      </c>
      <c r="B528" s="2" t="s">
        <v>1995</v>
      </c>
      <c r="C528" s="3">
        <v>21319</v>
      </c>
      <c r="D528" s="1" t="s">
        <v>1996</v>
      </c>
      <c r="E528" s="1" t="s">
        <v>1997</v>
      </c>
      <c r="F528" s="2" t="s">
        <v>1961</v>
      </c>
      <c r="G528" s="2" t="s">
        <v>31</v>
      </c>
      <c r="H528" s="2" t="s">
        <v>892</v>
      </c>
      <c r="I528" s="2" t="s">
        <v>1962</v>
      </c>
      <c r="J528" s="2" t="s">
        <v>1999</v>
      </c>
      <c r="K528" s="2" t="s">
        <v>10</v>
      </c>
    </row>
    <row r="529" spans="1:12" ht="27.6" hidden="1" x14ac:dyDescent="0.3">
      <c r="A529" s="2" t="s">
        <v>1962</v>
      </c>
      <c r="B529" s="2" t="s">
        <v>1995</v>
      </c>
      <c r="C529" s="3">
        <v>21319</v>
      </c>
      <c r="D529" s="1" t="s">
        <v>1996</v>
      </c>
      <c r="E529" s="1" t="s">
        <v>1997</v>
      </c>
      <c r="F529" s="2" t="s">
        <v>2000</v>
      </c>
      <c r="G529" s="2" t="s">
        <v>380</v>
      </c>
      <c r="H529" s="2" t="s">
        <v>10</v>
      </c>
      <c r="I529" s="2" t="s">
        <v>1962</v>
      </c>
      <c r="J529" s="2" t="s">
        <v>1083</v>
      </c>
      <c r="K529" s="2" t="s">
        <v>10</v>
      </c>
    </row>
    <row r="530" spans="1:12" ht="27.6" hidden="1" x14ac:dyDescent="0.3">
      <c r="A530" s="2" t="s">
        <v>1962</v>
      </c>
      <c r="B530" s="2" t="s">
        <v>1995</v>
      </c>
      <c r="C530" s="3">
        <v>21319</v>
      </c>
      <c r="D530" s="1" t="s">
        <v>1996</v>
      </c>
      <c r="E530" s="1" t="s">
        <v>1997</v>
      </c>
      <c r="F530" s="2" t="s">
        <v>1961</v>
      </c>
      <c r="G530" s="2" t="s">
        <v>124</v>
      </c>
      <c r="H530" s="2" t="s">
        <v>2001</v>
      </c>
      <c r="I530" s="2" t="s">
        <v>1962</v>
      </c>
      <c r="J530" s="2" t="s">
        <v>173</v>
      </c>
      <c r="K530" s="2" t="s">
        <v>10</v>
      </c>
    </row>
    <row r="531" spans="1:12" ht="27.6" hidden="1" x14ac:dyDescent="0.3">
      <c r="A531" s="2" t="s">
        <v>1962</v>
      </c>
      <c r="B531" s="2" t="s">
        <v>2002</v>
      </c>
      <c r="C531" s="3">
        <v>21319</v>
      </c>
      <c r="D531" s="1" t="s">
        <v>1996</v>
      </c>
      <c r="E531" s="1" t="s">
        <v>1997</v>
      </c>
      <c r="F531" s="2" t="s">
        <v>1961</v>
      </c>
      <c r="G531" s="2" t="s">
        <v>124</v>
      </c>
      <c r="H531" s="2" t="s">
        <v>892</v>
      </c>
      <c r="I531" s="2" t="s">
        <v>1962</v>
      </c>
      <c r="J531" s="2" t="s">
        <v>173</v>
      </c>
      <c r="K531" s="2" t="s">
        <v>10</v>
      </c>
    </row>
    <row r="532" spans="1:12" ht="27.6" hidden="1" x14ac:dyDescent="0.3">
      <c r="A532" s="2" t="s">
        <v>1962</v>
      </c>
      <c r="B532" s="2" t="s">
        <v>1995</v>
      </c>
      <c r="C532" s="3">
        <v>21319</v>
      </c>
      <c r="D532" s="1" t="s">
        <v>1996</v>
      </c>
      <c r="E532" s="1" t="s">
        <v>1997</v>
      </c>
      <c r="F532" s="2" t="s">
        <v>1961</v>
      </c>
      <c r="G532" s="2" t="s">
        <v>124</v>
      </c>
      <c r="H532" s="2" t="s">
        <v>2003</v>
      </c>
      <c r="I532" s="2" t="s">
        <v>1962</v>
      </c>
      <c r="J532" s="2" t="s">
        <v>173</v>
      </c>
      <c r="K532" s="2" t="s">
        <v>10</v>
      </c>
    </row>
    <row r="533" spans="1:12" ht="27.6" hidden="1" x14ac:dyDescent="0.3">
      <c r="A533" s="2" t="s">
        <v>1962</v>
      </c>
      <c r="B533" s="2" t="s">
        <v>1995</v>
      </c>
      <c r="C533" s="3">
        <v>21319</v>
      </c>
      <c r="D533" s="1" t="s">
        <v>1996</v>
      </c>
      <c r="E533" s="1" t="s">
        <v>1997</v>
      </c>
      <c r="F533" s="2" t="s">
        <v>1961</v>
      </c>
      <c r="G533" s="2" t="s">
        <v>152</v>
      </c>
      <c r="H533" s="2" t="s">
        <v>10</v>
      </c>
      <c r="I533" s="2" t="s">
        <v>1962</v>
      </c>
      <c r="J533" s="2" t="s">
        <v>153</v>
      </c>
      <c r="K533" s="2" t="s">
        <v>10</v>
      </c>
    </row>
    <row r="534" spans="1:12" hidden="1" x14ac:dyDescent="0.3">
      <c r="A534" s="2" t="s">
        <v>1957</v>
      </c>
      <c r="B534" s="2" t="s">
        <v>2004</v>
      </c>
      <c r="C534" s="3">
        <v>35157</v>
      </c>
      <c r="D534" s="1" t="s">
        <v>2005</v>
      </c>
      <c r="E534" s="1" t="s">
        <v>2006</v>
      </c>
      <c r="F534" s="2" t="s">
        <v>1974</v>
      </c>
      <c r="G534" s="2" t="s">
        <v>152</v>
      </c>
      <c r="H534" s="2" t="s">
        <v>2001</v>
      </c>
      <c r="I534" s="2" t="s">
        <v>1957</v>
      </c>
      <c r="J534" s="2" t="s">
        <v>153</v>
      </c>
      <c r="K534" s="2" t="s">
        <v>10</v>
      </c>
    </row>
    <row r="535" spans="1:12" hidden="1" x14ac:dyDescent="0.3">
      <c r="A535" s="2" t="s">
        <v>1957</v>
      </c>
      <c r="B535" s="2" t="s">
        <v>2007</v>
      </c>
      <c r="C535" s="3">
        <v>30212</v>
      </c>
      <c r="D535" s="1" t="s">
        <v>2008</v>
      </c>
      <c r="E535" s="1" t="s">
        <v>2009</v>
      </c>
      <c r="F535" s="2" t="s">
        <v>1974</v>
      </c>
      <c r="G535" s="2" t="s">
        <v>492</v>
      </c>
      <c r="H535" s="2" t="s">
        <v>2001</v>
      </c>
      <c r="I535" s="2" t="s">
        <v>1957</v>
      </c>
      <c r="J535" s="2" t="s">
        <v>2010</v>
      </c>
      <c r="K535" s="2" t="s">
        <v>10</v>
      </c>
    </row>
    <row r="536" spans="1:12" hidden="1" x14ac:dyDescent="0.3">
      <c r="A536" s="2" t="s">
        <v>1957</v>
      </c>
      <c r="B536" s="2" t="s">
        <v>2011</v>
      </c>
      <c r="C536" s="3">
        <v>22907</v>
      </c>
      <c r="D536" s="1" t="s">
        <v>2008</v>
      </c>
      <c r="E536" s="1" t="s">
        <v>2009</v>
      </c>
      <c r="F536" s="2" t="s">
        <v>1974</v>
      </c>
      <c r="G536" s="2" t="s">
        <v>492</v>
      </c>
      <c r="H536" s="2" t="s">
        <v>892</v>
      </c>
      <c r="I536" s="2" t="s">
        <v>1957</v>
      </c>
      <c r="J536" s="2" t="s">
        <v>2010</v>
      </c>
      <c r="K536" s="2" t="s">
        <v>10</v>
      </c>
    </row>
    <row r="537" spans="1:12" ht="27.6" hidden="1" x14ac:dyDescent="0.3">
      <c r="A537" s="2" t="s">
        <v>1962</v>
      </c>
      <c r="B537" s="2" t="s">
        <v>2012</v>
      </c>
      <c r="C537" s="3">
        <v>29223</v>
      </c>
      <c r="D537" s="1" t="s">
        <v>2013</v>
      </c>
      <c r="E537" s="1" t="s">
        <v>2014</v>
      </c>
      <c r="F537" s="2" t="s">
        <v>1191</v>
      </c>
      <c r="G537" s="2" t="s">
        <v>196</v>
      </c>
      <c r="H537" s="2" t="s">
        <v>10</v>
      </c>
      <c r="I537" s="2" t="s">
        <v>1962</v>
      </c>
      <c r="J537" s="2" t="s">
        <v>197</v>
      </c>
      <c r="K537" s="2" t="s">
        <v>10</v>
      </c>
    </row>
    <row r="538" spans="1:12" ht="27.6" hidden="1" x14ac:dyDescent="0.3">
      <c r="A538" s="2" t="s">
        <v>1957</v>
      </c>
      <c r="B538" s="2" t="s">
        <v>2015</v>
      </c>
      <c r="C538" s="3">
        <v>34429</v>
      </c>
      <c r="D538" s="1" t="s">
        <v>2016</v>
      </c>
      <c r="E538" s="1" t="s">
        <v>2017</v>
      </c>
      <c r="F538" s="2" t="s">
        <v>2018</v>
      </c>
      <c r="G538" s="2" t="s">
        <v>112</v>
      </c>
      <c r="H538" s="2" t="s">
        <v>10</v>
      </c>
      <c r="I538" s="2" t="s">
        <v>1957</v>
      </c>
      <c r="J538" s="2" t="s">
        <v>315</v>
      </c>
      <c r="K538" s="2" t="s">
        <v>10</v>
      </c>
    </row>
    <row r="539" spans="1:12" ht="27.6" hidden="1" x14ac:dyDescent="0.3">
      <c r="A539" s="2" t="s">
        <v>60</v>
      </c>
      <c r="B539" s="2" t="s">
        <v>2019</v>
      </c>
      <c r="C539" s="3">
        <v>32621</v>
      </c>
      <c r="D539" s="1" t="s">
        <v>2020</v>
      </c>
      <c r="E539" s="1" t="s">
        <v>2021</v>
      </c>
      <c r="F539" s="2" t="s">
        <v>2022</v>
      </c>
      <c r="G539" s="2" t="s">
        <v>80</v>
      </c>
      <c r="H539" s="2" t="s">
        <v>10</v>
      </c>
      <c r="I539" s="2" t="s">
        <v>60</v>
      </c>
      <c r="J539" s="2" t="s">
        <v>82</v>
      </c>
      <c r="K539" s="2" t="s">
        <v>10</v>
      </c>
    </row>
    <row r="540" spans="1:12" ht="27.6" hidden="1" x14ac:dyDescent="0.3">
      <c r="A540" s="2" t="s">
        <v>60</v>
      </c>
      <c r="B540" s="2" t="s">
        <v>2023</v>
      </c>
      <c r="C540" s="3">
        <v>33831</v>
      </c>
      <c r="D540" s="1" t="s">
        <v>2024</v>
      </c>
      <c r="E540" s="1" t="s">
        <v>2025</v>
      </c>
      <c r="F540" s="2" t="s">
        <v>1986</v>
      </c>
      <c r="G540" s="2" t="s">
        <v>366</v>
      </c>
      <c r="H540" s="2" t="s">
        <v>10</v>
      </c>
      <c r="I540" s="2" t="s">
        <v>60</v>
      </c>
      <c r="J540" s="2" t="s">
        <v>437</v>
      </c>
      <c r="K540" s="2" t="s">
        <v>10</v>
      </c>
    </row>
    <row r="541" spans="1:12" hidden="1" x14ac:dyDescent="0.3">
      <c r="A541" s="2" t="s">
        <v>1957</v>
      </c>
      <c r="B541" s="2" t="s">
        <v>2026</v>
      </c>
      <c r="C541" s="3">
        <v>38559</v>
      </c>
      <c r="D541" s="1" t="s">
        <v>1652</v>
      </c>
      <c r="E541" s="1" t="s">
        <v>2027</v>
      </c>
      <c r="F541" s="2" t="s">
        <v>1974</v>
      </c>
      <c r="G541" s="2" t="s">
        <v>143</v>
      </c>
      <c r="H541" s="2" t="s">
        <v>10</v>
      </c>
      <c r="I541" s="2" t="s">
        <v>1957</v>
      </c>
      <c r="J541" s="2" t="s">
        <v>678</v>
      </c>
      <c r="K541" s="2" t="s">
        <v>10</v>
      </c>
    </row>
    <row r="542" spans="1:12" ht="27.6" hidden="1" x14ac:dyDescent="0.3">
      <c r="A542" s="2" t="s">
        <v>60</v>
      </c>
      <c r="B542" s="2" t="s">
        <v>2028</v>
      </c>
      <c r="C542" s="3">
        <v>32248</v>
      </c>
      <c r="D542" s="1" t="s">
        <v>2029</v>
      </c>
      <c r="E542" s="1" t="s">
        <v>2030</v>
      </c>
      <c r="F542" s="2" t="s">
        <v>1918</v>
      </c>
      <c r="G542" s="2" t="s">
        <v>143</v>
      </c>
      <c r="H542" s="2" t="s">
        <v>10</v>
      </c>
      <c r="I542" s="2" t="s">
        <v>60</v>
      </c>
      <c r="J542" s="2" t="s">
        <v>144</v>
      </c>
      <c r="K542" s="2" t="s">
        <v>10</v>
      </c>
    </row>
    <row r="543" spans="1:12" hidden="1" x14ac:dyDescent="0.3">
      <c r="A543" s="2" t="s">
        <v>180</v>
      </c>
      <c r="B543" s="2" t="s">
        <v>2031</v>
      </c>
      <c r="C543" s="3">
        <v>32354</v>
      </c>
      <c r="D543" s="1" t="s">
        <v>2032</v>
      </c>
      <c r="E543" s="1" t="s">
        <v>2033</v>
      </c>
      <c r="F543" s="2" t="s">
        <v>201</v>
      </c>
      <c r="G543" s="2" t="s">
        <v>124</v>
      </c>
      <c r="H543" s="2" t="s">
        <v>10</v>
      </c>
      <c r="I543" s="2" t="s">
        <v>180</v>
      </c>
      <c r="J543" s="2" t="s">
        <v>173</v>
      </c>
      <c r="K543" s="30" t="s">
        <v>13193</v>
      </c>
      <c r="L543" s="6"/>
    </row>
    <row r="544" spans="1:12" hidden="1" x14ac:dyDescent="0.3">
      <c r="A544" s="2" t="s">
        <v>1957</v>
      </c>
      <c r="B544" s="2" t="s">
        <v>2034</v>
      </c>
      <c r="C544" s="3">
        <v>21493</v>
      </c>
      <c r="D544" s="1" t="s">
        <v>2035</v>
      </c>
      <c r="E544" s="1" t="s">
        <v>2036</v>
      </c>
      <c r="F544" s="2" t="s">
        <v>1974</v>
      </c>
      <c r="G544" s="2" t="s">
        <v>190</v>
      </c>
      <c r="H544" s="2" t="s">
        <v>10</v>
      </c>
      <c r="I544" s="2" t="s">
        <v>1957</v>
      </c>
      <c r="J544" s="2" t="s">
        <v>191</v>
      </c>
      <c r="K544" s="2" t="s">
        <v>10</v>
      </c>
    </row>
    <row r="545" spans="1:12" ht="27.6" hidden="1" x14ac:dyDescent="0.3">
      <c r="A545" s="2" t="s">
        <v>180</v>
      </c>
      <c r="B545" s="2" t="s">
        <v>2037</v>
      </c>
      <c r="C545" s="3">
        <v>25464</v>
      </c>
      <c r="D545" s="1" t="s">
        <v>261</v>
      </c>
      <c r="E545" s="1" t="s">
        <v>2038</v>
      </c>
      <c r="F545" s="2" t="s">
        <v>507</v>
      </c>
      <c r="G545" s="2" t="s">
        <v>190</v>
      </c>
      <c r="H545" s="2" t="s">
        <v>10</v>
      </c>
      <c r="I545" s="2" t="s">
        <v>180</v>
      </c>
      <c r="J545" s="2" t="s">
        <v>191</v>
      </c>
      <c r="K545" s="2" t="s">
        <v>10</v>
      </c>
      <c r="L545" s="6"/>
    </row>
    <row r="546" spans="1:12" hidden="1" x14ac:dyDescent="0.3">
      <c r="A546" s="2" t="s">
        <v>180</v>
      </c>
      <c r="B546" s="2" t="s">
        <v>2039</v>
      </c>
      <c r="C546" s="3">
        <v>32528</v>
      </c>
      <c r="D546" s="1" t="s">
        <v>261</v>
      </c>
      <c r="E546" s="1" t="s">
        <v>2040</v>
      </c>
      <c r="F546" s="2" t="s">
        <v>240</v>
      </c>
      <c r="G546" s="2" t="s">
        <v>124</v>
      </c>
      <c r="H546" s="2" t="s">
        <v>10</v>
      </c>
      <c r="I546" s="2" t="s">
        <v>180</v>
      </c>
      <c r="J546" s="2" t="s">
        <v>2041</v>
      </c>
      <c r="K546" s="2" t="s">
        <v>10</v>
      </c>
      <c r="L546" s="6"/>
    </row>
    <row r="547" spans="1:12" hidden="1" x14ac:dyDescent="0.3">
      <c r="A547" s="2" t="s">
        <v>1957</v>
      </c>
      <c r="B547" s="2" t="s">
        <v>2042</v>
      </c>
      <c r="C547" s="3">
        <v>33975</v>
      </c>
      <c r="D547" s="1" t="s">
        <v>2043</v>
      </c>
      <c r="E547" s="1" t="s">
        <v>2044</v>
      </c>
      <c r="F547" s="2" t="s">
        <v>1974</v>
      </c>
      <c r="G547" s="2" t="s">
        <v>157</v>
      </c>
      <c r="H547" s="2" t="s">
        <v>10</v>
      </c>
      <c r="I547" s="2" t="s">
        <v>1957</v>
      </c>
      <c r="J547" s="2" t="s">
        <v>158</v>
      </c>
      <c r="K547" s="2" t="s">
        <v>10</v>
      </c>
    </row>
    <row r="548" spans="1:12" hidden="1" x14ac:dyDescent="0.3">
      <c r="A548" s="2" t="s">
        <v>1957</v>
      </c>
      <c r="B548" s="2" t="s">
        <v>2045</v>
      </c>
      <c r="C548" s="3">
        <v>29305</v>
      </c>
      <c r="D548" s="1" t="s">
        <v>261</v>
      </c>
      <c r="E548" s="1" t="s">
        <v>2046</v>
      </c>
      <c r="F548" s="2" t="s">
        <v>1974</v>
      </c>
      <c r="G548" s="2" t="s">
        <v>385</v>
      </c>
      <c r="H548" s="2" t="s">
        <v>10</v>
      </c>
      <c r="I548" s="2" t="s">
        <v>1957</v>
      </c>
      <c r="J548" s="2" t="s">
        <v>2047</v>
      </c>
      <c r="K548" s="2" t="s">
        <v>10</v>
      </c>
    </row>
    <row r="549" spans="1:12" hidden="1" x14ac:dyDescent="0.3">
      <c r="A549" s="2" t="s">
        <v>1957</v>
      </c>
      <c r="B549" s="2" t="s">
        <v>2048</v>
      </c>
      <c r="C549" s="3">
        <v>30782</v>
      </c>
      <c r="D549" s="1" t="s">
        <v>2049</v>
      </c>
      <c r="E549" s="1" t="s">
        <v>2050</v>
      </c>
      <c r="F549" s="2" t="s">
        <v>1974</v>
      </c>
      <c r="G549" s="2" t="s">
        <v>196</v>
      </c>
      <c r="H549" s="2" t="s">
        <v>10</v>
      </c>
      <c r="I549" s="2" t="s">
        <v>1957</v>
      </c>
      <c r="J549" s="2" t="s">
        <v>197</v>
      </c>
      <c r="K549" s="2" t="s">
        <v>10</v>
      </c>
    </row>
    <row r="550" spans="1:12" hidden="1" x14ac:dyDescent="0.3">
      <c r="A550" s="2" t="s">
        <v>1957</v>
      </c>
      <c r="B550" s="2" t="s">
        <v>2051</v>
      </c>
      <c r="C550" s="3">
        <v>36943</v>
      </c>
      <c r="D550" s="1" t="s">
        <v>2052</v>
      </c>
      <c r="E550" s="1" t="s">
        <v>2053</v>
      </c>
      <c r="F550" s="2" t="s">
        <v>1154</v>
      </c>
      <c r="G550" s="2" t="s">
        <v>48</v>
      </c>
      <c r="H550" s="2" t="s">
        <v>43</v>
      </c>
      <c r="I550" s="2" t="s">
        <v>1957</v>
      </c>
      <c r="J550" s="2" t="s">
        <v>49</v>
      </c>
      <c r="K550" s="2" t="s">
        <v>10</v>
      </c>
    </row>
    <row r="551" spans="1:12" ht="27.6" hidden="1" x14ac:dyDescent="0.3">
      <c r="A551" s="2" t="s">
        <v>1957</v>
      </c>
      <c r="B551" s="2" t="s">
        <v>2054</v>
      </c>
      <c r="C551" s="3">
        <v>23023</v>
      </c>
      <c r="D551" s="1" t="s">
        <v>2055</v>
      </c>
      <c r="E551" s="1" t="s">
        <v>2056</v>
      </c>
      <c r="F551" s="2" t="s">
        <v>1154</v>
      </c>
      <c r="G551" s="2" t="s">
        <v>380</v>
      </c>
      <c r="H551" s="2" t="s">
        <v>43</v>
      </c>
      <c r="I551" s="2" t="s">
        <v>1957</v>
      </c>
      <c r="J551" s="2" t="s">
        <v>1271</v>
      </c>
      <c r="K551" s="2" t="s">
        <v>10</v>
      </c>
    </row>
    <row r="552" spans="1:12" hidden="1" x14ac:dyDescent="0.3">
      <c r="A552" s="2" t="s">
        <v>1957</v>
      </c>
      <c r="B552" s="2" t="s">
        <v>2057</v>
      </c>
      <c r="C552" s="3">
        <v>25600</v>
      </c>
      <c r="D552" s="1" t="s">
        <v>2058</v>
      </c>
      <c r="E552" s="1" t="s">
        <v>2059</v>
      </c>
      <c r="F552" s="2" t="s">
        <v>1974</v>
      </c>
      <c r="G552" s="2" t="s">
        <v>124</v>
      </c>
      <c r="H552" s="2" t="s">
        <v>334</v>
      </c>
      <c r="I552" s="2" t="s">
        <v>1957</v>
      </c>
      <c r="J552" s="2" t="s">
        <v>173</v>
      </c>
      <c r="K552" s="2" t="s">
        <v>10</v>
      </c>
    </row>
    <row r="553" spans="1:12" ht="27.6" hidden="1" x14ac:dyDescent="0.3">
      <c r="A553" s="2" t="s">
        <v>60</v>
      </c>
      <c r="B553" s="2" t="s">
        <v>2060</v>
      </c>
      <c r="C553" s="3">
        <v>35837</v>
      </c>
      <c r="D553" s="1" t="s">
        <v>2061</v>
      </c>
      <c r="E553" s="1" t="s">
        <v>2062</v>
      </c>
      <c r="F553" s="2" t="s">
        <v>618</v>
      </c>
      <c r="G553" s="2" t="s">
        <v>222</v>
      </c>
      <c r="H553" s="2" t="s">
        <v>10</v>
      </c>
      <c r="I553" s="2" t="s">
        <v>60</v>
      </c>
      <c r="J553" s="2" t="s">
        <v>223</v>
      </c>
      <c r="K553" s="2" t="s">
        <v>10</v>
      </c>
    </row>
    <row r="554" spans="1:12" ht="27.6" hidden="1" x14ac:dyDescent="0.3">
      <c r="A554" s="2" t="s">
        <v>60</v>
      </c>
      <c r="B554" s="2" t="s">
        <v>2063</v>
      </c>
      <c r="C554" s="3">
        <v>32605</v>
      </c>
      <c r="D554" s="1" t="s">
        <v>2064</v>
      </c>
      <c r="E554" s="1" t="s">
        <v>2065</v>
      </c>
      <c r="F554" s="2" t="s">
        <v>274</v>
      </c>
      <c r="G554" s="2" t="s">
        <v>1504</v>
      </c>
      <c r="H554" s="2" t="s">
        <v>10</v>
      </c>
      <c r="I554" s="2" t="s">
        <v>60</v>
      </c>
      <c r="J554" s="2" t="s">
        <v>2066</v>
      </c>
      <c r="K554" s="2" t="s">
        <v>10</v>
      </c>
    </row>
    <row r="555" spans="1:12" ht="27.6" hidden="1" x14ac:dyDescent="0.3">
      <c r="A555" s="2" t="s">
        <v>60</v>
      </c>
      <c r="B555" s="2" t="s">
        <v>2067</v>
      </c>
      <c r="C555" s="3">
        <v>31687</v>
      </c>
      <c r="D555" s="1" t="s">
        <v>2068</v>
      </c>
      <c r="E555" s="1" t="s">
        <v>2069</v>
      </c>
      <c r="F555" s="2" t="s">
        <v>60</v>
      </c>
      <c r="G555" s="2" t="s">
        <v>860</v>
      </c>
      <c r="H555" s="2" t="s">
        <v>103</v>
      </c>
      <c r="I555" s="2" t="s">
        <v>60</v>
      </c>
      <c r="J555" s="2" t="s">
        <v>861</v>
      </c>
      <c r="K555" s="2" t="s">
        <v>10</v>
      </c>
    </row>
    <row r="556" spans="1:12" ht="27.6" hidden="1" x14ac:dyDescent="0.3">
      <c r="A556" s="2" t="s">
        <v>60</v>
      </c>
      <c r="B556" s="2" t="s">
        <v>2067</v>
      </c>
      <c r="C556" s="3">
        <v>31687</v>
      </c>
      <c r="D556" s="1" t="s">
        <v>2068</v>
      </c>
      <c r="E556" s="1" t="s">
        <v>2069</v>
      </c>
      <c r="F556" s="2" t="s">
        <v>60</v>
      </c>
      <c r="G556" s="2" t="s">
        <v>860</v>
      </c>
      <c r="H556" s="2" t="s">
        <v>81</v>
      </c>
      <c r="I556" s="2" t="s">
        <v>60</v>
      </c>
      <c r="J556" s="2" t="s">
        <v>861</v>
      </c>
      <c r="K556" s="2" t="s">
        <v>10</v>
      </c>
    </row>
    <row r="557" spans="1:12" ht="27.6" hidden="1" x14ac:dyDescent="0.3">
      <c r="A557" s="2" t="s">
        <v>60</v>
      </c>
      <c r="B557" s="2" t="s">
        <v>2067</v>
      </c>
      <c r="C557" s="3">
        <v>31687</v>
      </c>
      <c r="D557" s="1" t="s">
        <v>2068</v>
      </c>
      <c r="E557" s="1" t="s">
        <v>2069</v>
      </c>
      <c r="F557" s="2" t="s">
        <v>60</v>
      </c>
      <c r="G557" s="2" t="s">
        <v>860</v>
      </c>
      <c r="H557" s="2" t="s">
        <v>562</v>
      </c>
      <c r="I557" s="2" t="s">
        <v>60</v>
      </c>
      <c r="J557" s="2" t="s">
        <v>861</v>
      </c>
      <c r="K557" s="2" t="s">
        <v>10</v>
      </c>
    </row>
    <row r="558" spans="1:12" ht="27.6" hidden="1" x14ac:dyDescent="0.3">
      <c r="A558" s="2" t="s">
        <v>60</v>
      </c>
      <c r="B558" s="2" t="s">
        <v>2070</v>
      </c>
      <c r="C558" s="3">
        <v>22243</v>
      </c>
      <c r="D558" s="1" t="s">
        <v>2071</v>
      </c>
      <c r="E558" s="1" t="s">
        <v>2072</v>
      </c>
      <c r="F558" s="2" t="s">
        <v>74</v>
      </c>
      <c r="G558" s="2" t="s">
        <v>196</v>
      </c>
      <c r="H558" s="2" t="s">
        <v>334</v>
      </c>
      <c r="I558" s="2" t="s">
        <v>60</v>
      </c>
      <c r="J558" s="2" t="s">
        <v>197</v>
      </c>
      <c r="K558" s="2" t="s">
        <v>10</v>
      </c>
    </row>
    <row r="559" spans="1:12" ht="27.6" hidden="1" x14ac:dyDescent="0.3">
      <c r="A559" s="2" t="s">
        <v>60</v>
      </c>
      <c r="B559" s="2" t="s">
        <v>2073</v>
      </c>
      <c r="C559" s="3">
        <v>33823</v>
      </c>
      <c r="D559" s="1" t="s">
        <v>2074</v>
      </c>
      <c r="E559" s="1" t="s">
        <v>2075</v>
      </c>
      <c r="F559" s="2" t="s">
        <v>74</v>
      </c>
      <c r="G559" s="2" t="s">
        <v>1763</v>
      </c>
      <c r="H559" s="2" t="s">
        <v>10</v>
      </c>
      <c r="I559" s="2" t="s">
        <v>60</v>
      </c>
      <c r="J559" s="2" t="s">
        <v>1764</v>
      </c>
      <c r="K559" s="2" t="s">
        <v>10</v>
      </c>
    </row>
    <row r="560" spans="1:12" ht="27.6" hidden="1" x14ac:dyDescent="0.3">
      <c r="A560" s="2" t="s">
        <v>60</v>
      </c>
      <c r="B560" s="2" t="s">
        <v>2076</v>
      </c>
      <c r="C560" s="3">
        <v>29628</v>
      </c>
      <c r="D560" s="1" t="s">
        <v>2077</v>
      </c>
      <c r="E560" s="1" t="s">
        <v>2078</v>
      </c>
      <c r="F560" s="2" t="s">
        <v>60</v>
      </c>
      <c r="G560" s="2" t="s">
        <v>2079</v>
      </c>
      <c r="H560" s="2" t="s">
        <v>81</v>
      </c>
      <c r="I560" s="2" t="s">
        <v>60</v>
      </c>
      <c r="J560" s="2" t="s">
        <v>2080</v>
      </c>
      <c r="K560" s="2" t="s">
        <v>10</v>
      </c>
    </row>
    <row r="561" spans="1:12" hidden="1" x14ac:dyDescent="0.3">
      <c r="A561" s="2" t="s">
        <v>1957</v>
      </c>
      <c r="B561" s="2" t="s">
        <v>1963</v>
      </c>
      <c r="C561" s="3">
        <v>23046</v>
      </c>
      <c r="D561" s="1" t="s">
        <v>1964</v>
      </c>
      <c r="E561" s="1" t="s">
        <v>1965</v>
      </c>
      <c r="F561" s="2" t="s">
        <v>1191</v>
      </c>
      <c r="G561" s="2" t="s">
        <v>31</v>
      </c>
      <c r="H561" s="2" t="s">
        <v>43</v>
      </c>
      <c r="I561" s="2" t="s">
        <v>1957</v>
      </c>
      <c r="J561" s="2" t="s">
        <v>144</v>
      </c>
      <c r="K561" s="2" t="s">
        <v>10</v>
      </c>
    </row>
    <row r="562" spans="1:12" hidden="1" x14ac:dyDescent="0.3">
      <c r="A562" s="2" t="s">
        <v>1957</v>
      </c>
      <c r="B562" s="2" t="s">
        <v>2081</v>
      </c>
      <c r="C562" s="3">
        <v>36680</v>
      </c>
      <c r="D562" s="1" t="s">
        <v>2082</v>
      </c>
      <c r="E562" s="1" t="s">
        <v>2083</v>
      </c>
      <c r="F562" s="2" t="s">
        <v>1974</v>
      </c>
      <c r="G562" s="2" t="s">
        <v>92</v>
      </c>
      <c r="H562" s="2" t="s">
        <v>26</v>
      </c>
      <c r="I562" s="2" t="s">
        <v>1957</v>
      </c>
      <c r="J562" s="2" t="s">
        <v>2084</v>
      </c>
      <c r="K562" s="2" t="s">
        <v>10</v>
      </c>
    </row>
    <row r="563" spans="1:12" hidden="1" x14ac:dyDescent="0.3">
      <c r="A563" s="2" t="s">
        <v>180</v>
      </c>
      <c r="B563" s="2" t="s">
        <v>2085</v>
      </c>
      <c r="C563" s="3">
        <v>34385</v>
      </c>
      <c r="D563" s="1" t="s">
        <v>2086</v>
      </c>
      <c r="E563" s="1" t="s">
        <v>2087</v>
      </c>
      <c r="F563" s="2" t="s">
        <v>216</v>
      </c>
      <c r="G563" s="2" t="s">
        <v>328</v>
      </c>
      <c r="H563" s="2" t="s">
        <v>10</v>
      </c>
      <c r="I563" s="2" t="s">
        <v>180</v>
      </c>
      <c r="J563" s="2" t="s">
        <v>329</v>
      </c>
      <c r="K563" s="2" t="s">
        <v>10</v>
      </c>
      <c r="L563" s="6"/>
    </row>
    <row r="564" spans="1:12" ht="27.6" hidden="1" x14ac:dyDescent="0.3">
      <c r="A564" s="2" t="s">
        <v>60</v>
      </c>
      <c r="B564" s="2" t="s">
        <v>2088</v>
      </c>
      <c r="C564" s="3">
        <v>25797</v>
      </c>
      <c r="D564" s="1" t="s">
        <v>2089</v>
      </c>
      <c r="E564" s="1" t="s">
        <v>2090</v>
      </c>
      <c r="F564" s="2" t="s">
        <v>632</v>
      </c>
      <c r="G564" s="2" t="s">
        <v>143</v>
      </c>
      <c r="H564" s="2" t="s">
        <v>10</v>
      </c>
      <c r="I564" s="2" t="s">
        <v>60</v>
      </c>
      <c r="J564" s="2" t="s">
        <v>144</v>
      </c>
      <c r="K564" s="2" t="s">
        <v>10</v>
      </c>
    </row>
    <row r="565" spans="1:12" ht="27.6" hidden="1" x14ac:dyDescent="0.3">
      <c r="A565" s="2" t="s">
        <v>60</v>
      </c>
      <c r="B565" s="2" t="s">
        <v>2091</v>
      </c>
      <c r="C565" s="3">
        <v>29333</v>
      </c>
      <c r="D565" s="1" t="s">
        <v>2092</v>
      </c>
      <c r="E565" s="1" t="s">
        <v>2093</v>
      </c>
      <c r="F565" s="2" t="s">
        <v>60</v>
      </c>
      <c r="G565" s="2" t="s">
        <v>2079</v>
      </c>
      <c r="H565" s="2" t="s">
        <v>103</v>
      </c>
      <c r="I565" s="2" t="s">
        <v>60</v>
      </c>
      <c r="J565" s="2" t="s">
        <v>2080</v>
      </c>
      <c r="K565" s="2" t="s">
        <v>10</v>
      </c>
    </row>
    <row r="566" spans="1:12" ht="27.6" hidden="1" x14ac:dyDescent="0.3">
      <c r="A566" s="2" t="s">
        <v>60</v>
      </c>
      <c r="B566" s="2" t="s">
        <v>2094</v>
      </c>
      <c r="C566" s="3">
        <v>30325</v>
      </c>
      <c r="D566" s="1" t="s">
        <v>2095</v>
      </c>
      <c r="E566" s="1" t="s">
        <v>2096</v>
      </c>
      <c r="F566" s="2" t="s">
        <v>60</v>
      </c>
      <c r="G566" s="2" t="s">
        <v>245</v>
      </c>
      <c r="H566" s="2" t="s">
        <v>10</v>
      </c>
      <c r="I566" s="2" t="s">
        <v>60</v>
      </c>
      <c r="J566" s="2" t="s">
        <v>247</v>
      </c>
      <c r="K566" s="2" t="s">
        <v>10</v>
      </c>
    </row>
    <row r="567" spans="1:12" ht="27.6" hidden="1" x14ac:dyDescent="0.3">
      <c r="A567" s="2" t="s">
        <v>60</v>
      </c>
      <c r="B567" s="2" t="s">
        <v>2097</v>
      </c>
      <c r="C567" s="3">
        <v>30383</v>
      </c>
      <c r="D567" s="1" t="s">
        <v>2098</v>
      </c>
      <c r="E567" s="1" t="s">
        <v>2099</v>
      </c>
      <c r="F567" s="2" t="s">
        <v>1918</v>
      </c>
      <c r="G567" s="2" t="s">
        <v>124</v>
      </c>
      <c r="H567" s="2" t="s">
        <v>10</v>
      </c>
      <c r="I567" s="2" t="s">
        <v>60</v>
      </c>
      <c r="J567" s="2" t="s">
        <v>173</v>
      </c>
      <c r="K567" s="2" t="s">
        <v>10</v>
      </c>
    </row>
    <row r="568" spans="1:12" ht="27.6" hidden="1" x14ac:dyDescent="0.3">
      <c r="A568" s="2" t="s">
        <v>60</v>
      </c>
      <c r="B568" s="2" t="s">
        <v>2100</v>
      </c>
      <c r="C568" s="3">
        <v>31206</v>
      </c>
      <c r="D568" s="1" t="s">
        <v>2101</v>
      </c>
      <c r="E568" s="1" t="s">
        <v>2102</v>
      </c>
      <c r="F568" s="2" t="s">
        <v>2103</v>
      </c>
      <c r="G568" s="2" t="s">
        <v>152</v>
      </c>
      <c r="H568" s="2" t="s">
        <v>10</v>
      </c>
      <c r="I568" s="2" t="s">
        <v>60</v>
      </c>
      <c r="J568" s="2" t="s">
        <v>153</v>
      </c>
      <c r="K568" s="2" t="s">
        <v>10</v>
      </c>
    </row>
    <row r="569" spans="1:12" ht="27.6" hidden="1" x14ac:dyDescent="0.3">
      <c r="A569" s="2" t="s">
        <v>60</v>
      </c>
      <c r="B569" s="2" t="s">
        <v>2104</v>
      </c>
      <c r="C569" s="3">
        <v>36293</v>
      </c>
      <c r="D569" s="1" t="s">
        <v>261</v>
      </c>
      <c r="E569" s="1" t="s">
        <v>2105</v>
      </c>
      <c r="F569" s="2" t="s">
        <v>60</v>
      </c>
      <c r="G569" s="2" t="s">
        <v>1758</v>
      </c>
      <c r="H569" s="2" t="s">
        <v>81</v>
      </c>
      <c r="I569" s="2" t="s">
        <v>60</v>
      </c>
      <c r="J569" s="2" t="s">
        <v>1759</v>
      </c>
      <c r="K569" s="2" t="s">
        <v>10</v>
      </c>
    </row>
    <row r="570" spans="1:12" ht="27.6" hidden="1" x14ac:dyDescent="0.3">
      <c r="A570" s="2" t="s">
        <v>60</v>
      </c>
      <c r="B570" s="2" t="s">
        <v>2106</v>
      </c>
      <c r="C570" s="3">
        <v>30620</v>
      </c>
      <c r="D570" s="1" t="s">
        <v>2107</v>
      </c>
      <c r="E570" s="1" t="s">
        <v>2108</v>
      </c>
      <c r="F570" s="2" t="s">
        <v>60</v>
      </c>
      <c r="G570" s="2" t="s">
        <v>1758</v>
      </c>
      <c r="H570" s="2" t="s">
        <v>103</v>
      </c>
      <c r="I570" s="2" t="s">
        <v>60</v>
      </c>
      <c r="J570" s="2" t="s">
        <v>1759</v>
      </c>
      <c r="K570" s="2" t="s">
        <v>10</v>
      </c>
    </row>
    <row r="571" spans="1:12" ht="27.6" hidden="1" x14ac:dyDescent="0.3">
      <c r="A571" s="2" t="s">
        <v>60</v>
      </c>
      <c r="B571" s="2" t="s">
        <v>2109</v>
      </c>
      <c r="C571" s="3">
        <v>31914</v>
      </c>
      <c r="D571" s="1" t="s">
        <v>2110</v>
      </c>
      <c r="E571" s="1" t="s">
        <v>2111</v>
      </c>
      <c r="F571" s="2" t="s">
        <v>60</v>
      </c>
      <c r="G571" s="2" t="s">
        <v>206</v>
      </c>
      <c r="H571" s="2" t="s">
        <v>10</v>
      </c>
      <c r="I571" s="2" t="s">
        <v>60</v>
      </c>
      <c r="J571" s="2" t="s">
        <v>207</v>
      </c>
      <c r="K571" s="2" t="s">
        <v>10</v>
      </c>
    </row>
    <row r="572" spans="1:12" ht="27.6" hidden="1" x14ac:dyDescent="0.3">
      <c r="A572" s="2" t="s">
        <v>60</v>
      </c>
      <c r="B572" s="2" t="s">
        <v>2112</v>
      </c>
      <c r="C572" s="3">
        <v>31684</v>
      </c>
      <c r="D572" s="1" t="s">
        <v>2113</v>
      </c>
      <c r="E572" s="1" t="s">
        <v>2114</v>
      </c>
      <c r="F572" s="2" t="s">
        <v>74</v>
      </c>
      <c r="G572" s="2" t="s">
        <v>278</v>
      </c>
      <c r="H572" s="2" t="s">
        <v>10</v>
      </c>
      <c r="I572" s="2" t="s">
        <v>60</v>
      </c>
      <c r="J572" s="2" t="s">
        <v>279</v>
      </c>
      <c r="K572" s="2" t="s">
        <v>10</v>
      </c>
    </row>
    <row r="573" spans="1:12" ht="27.6" hidden="1" x14ac:dyDescent="0.3">
      <c r="A573" s="2" t="s">
        <v>60</v>
      </c>
      <c r="B573" s="2" t="s">
        <v>2115</v>
      </c>
      <c r="C573" s="3">
        <v>26977</v>
      </c>
      <c r="D573" s="1" t="s">
        <v>2116</v>
      </c>
      <c r="E573" s="1" t="s">
        <v>2117</v>
      </c>
      <c r="F573" s="2" t="s">
        <v>1838</v>
      </c>
      <c r="G573" s="2" t="s">
        <v>492</v>
      </c>
      <c r="H573" s="2" t="s">
        <v>103</v>
      </c>
      <c r="I573" s="2" t="s">
        <v>60</v>
      </c>
      <c r="J573" s="2" t="s">
        <v>619</v>
      </c>
      <c r="K573" s="2" t="s">
        <v>10</v>
      </c>
    </row>
    <row r="574" spans="1:12" ht="27.6" hidden="1" x14ac:dyDescent="0.3">
      <c r="A574" s="2" t="s">
        <v>60</v>
      </c>
      <c r="B574" s="2" t="s">
        <v>2118</v>
      </c>
      <c r="C574" s="3">
        <v>34368</v>
      </c>
      <c r="D574" s="1" t="s">
        <v>10</v>
      </c>
      <c r="E574" s="1" t="s">
        <v>2119</v>
      </c>
      <c r="F574" s="2" t="s">
        <v>1838</v>
      </c>
      <c r="G574" s="2" t="s">
        <v>492</v>
      </c>
      <c r="H574" s="2" t="s">
        <v>822</v>
      </c>
      <c r="I574" s="2" t="s">
        <v>60</v>
      </c>
      <c r="J574" s="2" t="s">
        <v>2120</v>
      </c>
      <c r="K574" s="2" t="s">
        <v>10</v>
      </c>
    </row>
    <row r="575" spans="1:12" ht="27.6" hidden="1" x14ac:dyDescent="0.3">
      <c r="A575" s="2" t="s">
        <v>60</v>
      </c>
      <c r="B575" s="2" t="s">
        <v>2121</v>
      </c>
      <c r="C575" s="3">
        <v>23775</v>
      </c>
      <c r="D575" s="1" t="s">
        <v>2122</v>
      </c>
      <c r="E575" s="1" t="s">
        <v>2123</v>
      </c>
      <c r="F575" s="2" t="s">
        <v>60</v>
      </c>
      <c r="G575" s="2" t="s">
        <v>2124</v>
      </c>
      <c r="H575" s="2" t="s">
        <v>10</v>
      </c>
      <c r="I575" s="2" t="s">
        <v>60</v>
      </c>
      <c r="J575" s="2" t="s">
        <v>1877</v>
      </c>
      <c r="K575" s="2" t="s">
        <v>10</v>
      </c>
    </row>
    <row r="576" spans="1:12" ht="27.6" hidden="1" x14ac:dyDescent="0.3">
      <c r="A576" s="2" t="s">
        <v>60</v>
      </c>
      <c r="B576" s="2" t="s">
        <v>2125</v>
      </c>
      <c r="C576" s="3">
        <v>25668</v>
      </c>
      <c r="D576" s="1" t="s">
        <v>2126</v>
      </c>
      <c r="E576" s="1" t="s">
        <v>2127</v>
      </c>
      <c r="F576" s="2" t="s">
        <v>172</v>
      </c>
      <c r="G576" s="2" t="s">
        <v>190</v>
      </c>
      <c r="H576" s="2" t="s">
        <v>43</v>
      </c>
      <c r="I576" s="2" t="s">
        <v>60</v>
      </c>
      <c r="J576" s="2" t="s">
        <v>191</v>
      </c>
      <c r="K576" s="2" t="s">
        <v>10</v>
      </c>
    </row>
    <row r="577" spans="1:11" ht="27.6" hidden="1" x14ac:dyDescent="0.3">
      <c r="A577" s="2" t="s">
        <v>60</v>
      </c>
      <c r="B577" s="2" t="s">
        <v>2128</v>
      </c>
      <c r="C577" s="3">
        <v>23640</v>
      </c>
      <c r="D577" s="1" t="s">
        <v>2129</v>
      </c>
      <c r="E577" s="1" t="s">
        <v>2130</v>
      </c>
      <c r="F577" s="2" t="s">
        <v>60</v>
      </c>
      <c r="G577" s="2" t="s">
        <v>2131</v>
      </c>
      <c r="H577" s="2" t="s">
        <v>10</v>
      </c>
      <c r="I577" s="2" t="s">
        <v>60</v>
      </c>
      <c r="J577" s="2" t="s">
        <v>2132</v>
      </c>
      <c r="K577" s="2" t="s">
        <v>10</v>
      </c>
    </row>
    <row r="578" spans="1:11" ht="27.6" hidden="1" x14ac:dyDescent="0.3">
      <c r="A578" s="2" t="s">
        <v>60</v>
      </c>
      <c r="B578" s="2" t="s">
        <v>2133</v>
      </c>
      <c r="C578" s="3">
        <v>22139</v>
      </c>
      <c r="D578" s="1" t="s">
        <v>2134</v>
      </c>
      <c r="E578" s="1" t="s">
        <v>2135</v>
      </c>
      <c r="F578" s="2" t="s">
        <v>60</v>
      </c>
      <c r="G578" s="2" t="s">
        <v>2136</v>
      </c>
      <c r="H578" s="2" t="s">
        <v>10</v>
      </c>
      <c r="I578" s="2" t="s">
        <v>60</v>
      </c>
      <c r="J578" s="2" t="s">
        <v>2137</v>
      </c>
      <c r="K578" s="2" t="s">
        <v>10</v>
      </c>
    </row>
    <row r="579" spans="1:11" ht="27.6" hidden="1" x14ac:dyDescent="0.3">
      <c r="A579" s="2" t="s">
        <v>60</v>
      </c>
      <c r="B579" s="2" t="s">
        <v>2138</v>
      </c>
      <c r="C579" s="3">
        <v>31531</v>
      </c>
      <c r="D579" s="1" t="s">
        <v>2139</v>
      </c>
      <c r="E579" s="1" t="s">
        <v>2140</v>
      </c>
      <c r="F579" s="2" t="s">
        <v>60</v>
      </c>
      <c r="G579" s="2" t="s">
        <v>2141</v>
      </c>
      <c r="H579" s="2" t="s">
        <v>10</v>
      </c>
      <c r="I579" s="2" t="s">
        <v>60</v>
      </c>
      <c r="J579" s="2" t="s">
        <v>2142</v>
      </c>
      <c r="K579" s="2" t="s">
        <v>10</v>
      </c>
    </row>
    <row r="580" spans="1:11" ht="27.6" hidden="1" x14ac:dyDescent="0.3">
      <c r="A580" s="2" t="s">
        <v>60</v>
      </c>
      <c r="B580" s="2" t="s">
        <v>2143</v>
      </c>
      <c r="C580" s="3">
        <v>30282</v>
      </c>
      <c r="D580" s="1" t="s">
        <v>2144</v>
      </c>
      <c r="E580" s="1" t="s">
        <v>2145</v>
      </c>
      <c r="F580" s="2" t="s">
        <v>2146</v>
      </c>
      <c r="G580" s="2" t="s">
        <v>190</v>
      </c>
      <c r="H580" s="2" t="s">
        <v>10</v>
      </c>
      <c r="I580" s="2" t="s">
        <v>60</v>
      </c>
      <c r="J580" s="2" t="s">
        <v>191</v>
      </c>
      <c r="K580" s="2" t="s">
        <v>10</v>
      </c>
    </row>
    <row r="581" spans="1:11" ht="27.6" hidden="1" x14ac:dyDescent="0.3">
      <c r="A581" s="2" t="s">
        <v>60</v>
      </c>
      <c r="B581" s="2" t="s">
        <v>2147</v>
      </c>
      <c r="C581" s="3">
        <v>30703</v>
      </c>
      <c r="D581" s="1" t="s">
        <v>2148</v>
      </c>
      <c r="E581" s="1" t="s">
        <v>2149</v>
      </c>
      <c r="F581" s="2" t="s">
        <v>74</v>
      </c>
      <c r="G581" s="2" t="s">
        <v>552</v>
      </c>
      <c r="H581" s="2" t="s">
        <v>10</v>
      </c>
      <c r="I581" s="2" t="s">
        <v>60</v>
      </c>
      <c r="J581" s="2" t="s">
        <v>1230</v>
      </c>
      <c r="K581" s="2" t="s">
        <v>10</v>
      </c>
    </row>
    <row r="582" spans="1:11" ht="27.6" hidden="1" x14ac:dyDescent="0.3">
      <c r="A582" s="2" t="s">
        <v>60</v>
      </c>
      <c r="B582" s="2" t="s">
        <v>2150</v>
      </c>
      <c r="C582" s="3">
        <v>35192</v>
      </c>
      <c r="D582" s="1" t="s">
        <v>2151</v>
      </c>
      <c r="E582" s="1" t="s">
        <v>2152</v>
      </c>
      <c r="F582" s="2" t="s">
        <v>623</v>
      </c>
      <c r="G582" s="2" t="s">
        <v>190</v>
      </c>
      <c r="H582" s="2" t="s">
        <v>10</v>
      </c>
      <c r="I582" s="2" t="s">
        <v>60</v>
      </c>
      <c r="J582" s="2" t="s">
        <v>191</v>
      </c>
      <c r="K582" s="2" t="s">
        <v>10</v>
      </c>
    </row>
    <row r="583" spans="1:11" ht="27.6" hidden="1" x14ac:dyDescent="0.3">
      <c r="A583" s="2" t="s">
        <v>60</v>
      </c>
      <c r="B583" s="2" t="s">
        <v>2153</v>
      </c>
      <c r="C583" s="3">
        <v>27677</v>
      </c>
      <c r="D583" s="1" t="s">
        <v>2154</v>
      </c>
      <c r="E583" s="1" t="s">
        <v>2155</v>
      </c>
      <c r="F583" s="2" t="s">
        <v>74</v>
      </c>
      <c r="G583" s="2" t="s">
        <v>288</v>
      </c>
      <c r="H583" s="2" t="s">
        <v>10</v>
      </c>
      <c r="I583" s="2" t="s">
        <v>60</v>
      </c>
      <c r="J583" s="2" t="s">
        <v>289</v>
      </c>
      <c r="K583" s="2" t="s">
        <v>10</v>
      </c>
    </row>
    <row r="584" spans="1:11" ht="27.6" hidden="1" x14ac:dyDescent="0.3">
      <c r="A584" s="2" t="s">
        <v>60</v>
      </c>
      <c r="B584" s="2" t="s">
        <v>2156</v>
      </c>
      <c r="C584" s="3">
        <v>25424</v>
      </c>
      <c r="D584" s="1" t="s">
        <v>2157</v>
      </c>
      <c r="E584" s="1" t="s">
        <v>2158</v>
      </c>
      <c r="F584" s="2" t="s">
        <v>632</v>
      </c>
      <c r="G584" s="2" t="s">
        <v>157</v>
      </c>
      <c r="H584" s="2" t="s">
        <v>334</v>
      </c>
      <c r="I584" s="2" t="s">
        <v>60</v>
      </c>
      <c r="J584" s="2" t="s">
        <v>158</v>
      </c>
      <c r="K584" s="2" t="s">
        <v>10</v>
      </c>
    </row>
    <row r="585" spans="1:11" ht="27.6" hidden="1" x14ac:dyDescent="0.3">
      <c r="A585" s="2" t="s">
        <v>60</v>
      </c>
      <c r="B585" s="2" t="s">
        <v>2159</v>
      </c>
      <c r="C585" s="3">
        <v>23540</v>
      </c>
      <c r="D585" s="1" t="s">
        <v>2160</v>
      </c>
      <c r="E585" s="1" t="s">
        <v>2161</v>
      </c>
      <c r="F585" s="2" t="s">
        <v>632</v>
      </c>
      <c r="G585" s="2" t="s">
        <v>319</v>
      </c>
      <c r="H585" s="2" t="s">
        <v>10</v>
      </c>
      <c r="I585" s="2" t="s">
        <v>60</v>
      </c>
      <c r="J585" s="2" t="s">
        <v>320</v>
      </c>
      <c r="K585" s="2" t="s">
        <v>10</v>
      </c>
    </row>
    <row r="586" spans="1:11" ht="27.6" hidden="1" x14ac:dyDescent="0.3">
      <c r="A586" s="2" t="s">
        <v>60</v>
      </c>
      <c r="B586" s="2" t="s">
        <v>2162</v>
      </c>
      <c r="C586" s="3">
        <v>21428</v>
      </c>
      <c r="D586" s="1" t="s">
        <v>2163</v>
      </c>
      <c r="E586" s="1" t="s">
        <v>2164</v>
      </c>
      <c r="F586" s="2" t="s">
        <v>74</v>
      </c>
      <c r="G586" s="2" t="s">
        <v>230</v>
      </c>
      <c r="H586" s="2" t="s">
        <v>10</v>
      </c>
      <c r="I586" s="2" t="s">
        <v>60</v>
      </c>
      <c r="J586" s="2" t="s">
        <v>270</v>
      </c>
      <c r="K586" s="2" t="s">
        <v>10</v>
      </c>
    </row>
    <row r="587" spans="1:11" ht="27.6" hidden="1" x14ac:dyDescent="0.3">
      <c r="A587" s="2" t="s">
        <v>60</v>
      </c>
      <c r="B587" s="2" t="s">
        <v>2165</v>
      </c>
      <c r="C587" s="3">
        <v>26676</v>
      </c>
      <c r="D587" s="1" t="s">
        <v>2166</v>
      </c>
      <c r="E587" s="1" t="s">
        <v>2167</v>
      </c>
      <c r="F587" s="2" t="s">
        <v>825</v>
      </c>
      <c r="G587" s="2" t="s">
        <v>112</v>
      </c>
      <c r="H587" s="2" t="s">
        <v>10</v>
      </c>
      <c r="I587" s="2" t="s">
        <v>60</v>
      </c>
      <c r="J587" s="2" t="s">
        <v>315</v>
      </c>
      <c r="K587" s="2" t="s">
        <v>10</v>
      </c>
    </row>
    <row r="588" spans="1:11" ht="27.6" hidden="1" x14ac:dyDescent="0.3">
      <c r="A588" s="2" t="s">
        <v>60</v>
      </c>
      <c r="B588" s="2" t="s">
        <v>2168</v>
      </c>
      <c r="C588" s="3">
        <v>29485</v>
      </c>
      <c r="D588" s="1" t="s">
        <v>2169</v>
      </c>
      <c r="E588" s="1" t="s">
        <v>2170</v>
      </c>
      <c r="F588" s="2" t="s">
        <v>865</v>
      </c>
      <c r="G588" s="2" t="s">
        <v>319</v>
      </c>
      <c r="H588" s="2" t="s">
        <v>334</v>
      </c>
      <c r="I588" s="2" t="s">
        <v>60</v>
      </c>
      <c r="J588" s="2" t="s">
        <v>320</v>
      </c>
      <c r="K588" s="2" t="s">
        <v>10</v>
      </c>
    </row>
    <row r="589" spans="1:11" ht="27.6" hidden="1" x14ac:dyDescent="0.3">
      <c r="A589" s="2" t="s">
        <v>60</v>
      </c>
      <c r="B589" s="2" t="s">
        <v>2171</v>
      </c>
      <c r="C589" s="3">
        <v>24487</v>
      </c>
      <c r="D589" s="1" t="s">
        <v>2172</v>
      </c>
      <c r="E589" s="1" t="s">
        <v>2173</v>
      </c>
      <c r="F589" s="2" t="s">
        <v>2174</v>
      </c>
      <c r="G589" s="2" t="s">
        <v>124</v>
      </c>
      <c r="H589" s="2" t="s">
        <v>10</v>
      </c>
      <c r="I589" s="2" t="s">
        <v>60</v>
      </c>
      <c r="J589" s="2" t="s">
        <v>173</v>
      </c>
      <c r="K589" s="2" t="s">
        <v>10</v>
      </c>
    </row>
    <row r="590" spans="1:11" ht="27.6" hidden="1" x14ac:dyDescent="0.3">
      <c r="A590" s="2" t="s">
        <v>60</v>
      </c>
      <c r="B590" s="2" t="s">
        <v>2175</v>
      </c>
      <c r="C590" s="3">
        <v>24122</v>
      </c>
      <c r="D590" s="1" t="s">
        <v>2172</v>
      </c>
      <c r="E590" s="1" t="s">
        <v>2173</v>
      </c>
      <c r="F590" s="2" t="s">
        <v>2174</v>
      </c>
      <c r="G590" s="2" t="s">
        <v>12</v>
      </c>
      <c r="H590" s="2" t="s">
        <v>10</v>
      </c>
      <c r="I590" s="2" t="s">
        <v>60</v>
      </c>
      <c r="J590" s="2" t="s">
        <v>158</v>
      </c>
      <c r="K590" s="2" t="s">
        <v>10</v>
      </c>
    </row>
    <row r="591" spans="1:11" ht="27.6" hidden="1" x14ac:dyDescent="0.3">
      <c r="A591" s="2" t="s">
        <v>60</v>
      </c>
      <c r="B591" s="2" t="s">
        <v>2176</v>
      </c>
      <c r="C591" s="3">
        <v>21300</v>
      </c>
      <c r="D591" s="1" t="s">
        <v>2177</v>
      </c>
      <c r="E591" s="1" t="s">
        <v>2178</v>
      </c>
      <c r="F591" s="2" t="s">
        <v>60</v>
      </c>
      <c r="G591" s="2" t="s">
        <v>1328</v>
      </c>
      <c r="H591" s="2" t="s">
        <v>10</v>
      </c>
      <c r="I591" s="2" t="s">
        <v>60</v>
      </c>
      <c r="J591" s="2" t="s">
        <v>2179</v>
      </c>
      <c r="K591" s="2" t="s">
        <v>10</v>
      </c>
    </row>
    <row r="592" spans="1:11" ht="27.6" hidden="1" x14ac:dyDescent="0.3">
      <c r="A592" s="2" t="s">
        <v>60</v>
      </c>
      <c r="B592" s="2" t="s">
        <v>2180</v>
      </c>
      <c r="C592" s="3">
        <v>32787</v>
      </c>
      <c r="D592" s="1" t="s">
        <v>2181</v>
      </c>
      <c r="E592" s="1" t="s">
        <v>2182</v>
      </c>
      <c r="F592" s="2" t="s">
        <v>123</v>
      </c>
      <c r="G592" s="2" t="s">
        <v>143</v>
      </c>
      <c r="H592" s="2" t="s">
        <v>10</v>
      </c>
      <c r="I592" s="2" t="s">
        <v>60</v>
      </c>
      <c r="J592" s="2" t="s">
        <v>144</v>
      </c>
      <c r="K592" s="2" t="s">
        <v>10</v>
      </c>
    </row>
    <row r="593" spans="1:11" ht="27.6" hidden="1" x14ac:dyDescent="0.3">
      <c r="A593" s="2" t="s">
        <v>60</v>
      </c>
      <c r="B593" s="2" t="s">
        <v>2183</v>
      </c>
      <c r="C593" s="3">
        <v>17547</v>
      </c>
      <c r="D593" s="1" t="s">
        <v>2184</v>
      </c>
      <c r="E593" s="1" t="s">
        <v>2185</v>
      </c>
      <c r="F593" s="2" t="s">
        <v>1838</v>
      </c>
      <c r="G593" s="2" t="s">
        <v>152</v>
      </c>
      <c r="H593" s="2" t="s">
        <v>334</v>
      </c>
      <c r="I593" s="2" t="s">
        <v>60</v>
      </c>
      <c r="J593" s="2" t="s">
        <v>153</v>
      </c>
      <c r="K593" s="2" t="s">
        <v>10</v>
      </c>
    </row>
    <row r="594" spans="1:11" ht="27.6" hidden="1" x14ac:dyDescent="0.3">
      <c r="A594" s="2" t="s">
        <v>60</v>
      </c>
      <c r="B594" s="2" t="s">
        <v>2186</v>
      </c>
      <c r="C594" s="3">
        <v>25840</v>
      </c>
      <c r="D594" s="1" t="s">
        <v>2187</v>
      </c>
      <c r="E594" s="1" t="s">
        <v>2188</v>
      </c>
      <c r="F594" s="2" t="s">
        <v>60</v>
      </c>
      <c r="G594" s="2" t="s">
        <v>2189</v>
      </c>
      <c r="H594" s="2" t="s">
        <v>822</v>
      </c>
      <c r="I594" s="2" t="s">
        <v>60</v>
      </c>
      <c r="J594" s="2" t="s">
        <v>2190</v>
      </c>
      <c r="K594" s="2" t="s">
        <v>10</v>
      </c>
    </row>
    <row r="595" spans="1:11" ht="27.6" hidden="1" x14ac:dyDescent="0.3">
      <c r="A595" s="2" t="s">
        <v>60</v>
      </c>
      <c r="B595" s="2" t="s">
        <v>2191</v>
      </c>
      <c r="C595" s="3">
        <v>25832</v>
      </c>
      <c r="D595" s="1" t="s">
        <v>2192</v>
      </c>
      <c r="E595" s="1" t="s">
        <v>2193</v>
      </c>
      <c r="F595" s="2" t="s">
        <v>60</v>
      </c>
      <c r="G595" s="2" t="s">
        <v>2194</v>
      </c>
      <c r="H595" s="2" t="s">
        <v>10</v>
      </c>
      <c r="I595" s="2" t="s">
        <v>60</v>
      </c>
      <c r="J595" s="2" t="s">
        <v>2195</v>
      </c>
      <c r="K595" s="2" t="s">
        <v>10</v>
      </c>
    </row>
    <row r="596" spans="1:11" ht="27.6" hidden="1" x14ac:dyDescent="0.3">
      <c r="A596" s="2" t="s">
        <v>60</v>
      </c>
      <c r="B596" s="2" t="s">
        <v>2196</v>
      </c>
      <c r="C596" s="3">
        <v>20832</v>
      </c>
      <c r="D596" s="1" t="s">
        <v>2197</v>
      </c>
      <c r="E596" s="1" t="s">
        <v>2198</v>
      </c>
      <c r="F596" s="2" t="s">
        <v>1820</v>
      </c>
      <c r="G596" s="2" t="s">
        <v>152</v>
      </c>
      <c r="H596" s="2" t="s">
        <v>10</v>
      </c>
      <c r="I596" s="2" t="s">
        <v>60</v>
      </c>
      <c r="J596" s="2" t="s">
        <v>153</v>
      </c>
      <c r="K596" s="2" t="s">
        <v>10</v>
      </c>
    </row>
    <row r="597" spans="1:11" ht="27.6" hidden="1" x14ac:dyDescent="0.3">
      <c r="A597" s="2" t="s">
        <v>60</v>
      </c>
      <c r="B597" s="2" t="s">
        <v>2199</v>
      </c>
      <c r="C597" s="3">
        <v>26161</v>
      </c>
      <c r="D597" s="1" t="s">
        <v>2200</v>
      </c>
      <c r="E597" s="1" t="s">
        <v>2201</v>
      </c>
      <c r="F597" s="2" t="s">
        <v>60</v>
      </c>
      <c r="G597" s="2" t="s">
        <v>69</v>
      </c>
      <c r="H597" s="2" t="s">
        <v>334</v>
      </c>
      <c r="I597" s="2" t="s">
        <v>60</v>
      </c>
      <c r="J597" s="2" t="s">
        <v>740</v>
      </c>
      <c r="K597" s="2" t="s">
        <v>10</v>
      </c>
    </row>
    <row r="598" spans="1:11" ht="27.6" hidden="1" x14ac:dyDescent="0.3">
      <c r="A598" s="2" t="s">
        <v>60</v>
      </c>
      <c r="B598" s="2" t="s">
        <v>2202</v>
      </c>
      <c r="C598" s="3">
        <v>29209</v>
      </c>
      <c r="D598" s="1" t="s">
        <v>2203</v>
      </c>
      <c r="E598" s="1" t="s">
        <v>2204</v>
      </c>
      <c r="F598" s="2" t="s">
        <v>2205</v>
      </c>
      <c r="G598" s="2" t="s">
        <v>124</v>
      </c>
      <c r="H598" s="2" t="s">
        <v>10</v>
      </c>
      <c r="I598" s="2" t="s">
        <v>60</v>
      </c>
      <c r="J598" s="2" t="s">
        <v>173</v>
      </c>
      <c r="K598" s="2" t="s">
        <v>10</v>
      </c>
    </row>
    <row r="599" spans="1:11" ht="27.6" hidden="1" x14ac:dyDescent="0.3">
      <c r="A599" s="2" t="s">
        <v>60</v>
      </c>
      <c r="B599" s="2" t="s">
        <v>2206</v>
      </c>
      <c r="C599" s="3">
        <v>32109</v>
      </c>
      <c r="D599" s="1" t="s">
        <v>2207</v>
      </c>
      <c r="E599" s="1" t="s">
        <v>2208</v>
      </c>
      <c r="F599" s="2" t="s">
        <v>2209</v>
      </c>
      <c r="G599" s="2" t="s">
        <v>196</v>
      </c>
      <c r="H599" s="2" t="s">
        <v>10</v>
      </c>
      <c r="I599" s="2" t="s">
        <v>60</v>
      </c>
      <c r="J599" s="2" t="s">
        <v>197</v>
      </c>
      <c r="K599" s="2" t="s">
        <v>10</v>
      </c>
    </row>
    <row r="600" spans="1:11" ht="27.6" hidden="1" x14ac:dyDescent="0.3">
      <c r="A600" s="2" t="s">
        <v>60</v>
      </c>
      <c r="B600" s="2" t="s">
        <v>2210</v>
      </c>
      <c r="C600" s="3">
        <v>23132</v>
      </c>
      <c r="D600" s="1" t="s">
        <v>2211</v>
      </c>
      <c r="E600" s="1" t="s">
        <v>2212</v>
      </c>
      <c r="F600" s="2" t="s">
        <v>2209</v>
      </c>
      <c r="G600" s="2" t="s">
        <v>157</v>
      </c>
      <c r="H600" s="2" t="s">
        <v>10</v>
      </c>
      <c r="I600" s="2" t="s">
        <v>60</v>
      </c>
      <c r="J600" s="2" t="s">
        <v>158</v>
      </c>
      <c r="K600" s="2" t="s">
        <v>10</v>
      </c>
    </row>
    <row r="601" spans="1:11" ht="27.6" hidden="1" x14ac:dyDescent="0.3">
      <c r="A601" s="2" t="s">
        <v>60</v>
      </c>
      <c r="B601" s="2" t="s">
        <v>2213</v>
      </c>
      <c r="C601" s="3">
        <v>27198</v>
      </c>
      <c r="D601" s="1" t="s">
        <v>2214</v>
      </c>
      <c r="E601" s="1" t="s">
        <v>2215</v>
      </c>
      <c r="F601" s="2" t="s">
        <v>60</v>
      </c>
      <c r="G601" s="2" t="s">
        <v>2216</v>
      </c>
      <c r="H601" s="2" t="s">
        <v>103</v>
      </c>
      <c r="I601" s="2" t="s">
        <v>60</v>
      </c>
      <c r="J601" s="2" t="s">
        <v>2217</v>
      </c>
      <c r="K601" s="2" t="s">
        <v>10</v>
      </c>
    </row>
    <row r="602" spans="1:11" ht="27.6" hidden="1" x14ac:dyDescent="0.3">
      <c r="A602" s="2" t="s">
        <v>60</v>
      </c>
      <c r="B602" s="2" t="s">
        <v>2218</v>
      </c>
      <c r="C602" s="3">
        <v>17654</v>
      </c>
      <c r="D602" s="1" t="s">
        <v>2219</v>
      </c>
      <c r="E602" s="1" t="s">
        <v>2220</v>
      </c>
      <c r="F602" s="2" t="s">
        <v>2221</v>
      </c>
      <c r="G602" s="2" t="s">
        <v>143</v>
      </c>
      <c r="H602" s="2" t="s">
        <v>10</v>
      </c>
      <c r="I602" s="2" t="s">
        <v>60</v>
      </c>
      <c r="J602" s="2" t="s">
        <v>2222</v>
      </c>
      <c r="K602" s="2" t="s">
        <v>10</v>
      </c>
    </row>
    <row r="603" spans="1:11" ht="27.6" hidden="1" x14ac:dyDescent="0.3">
      <c r="A603" s="2" t="s">
        <v>60</v>
      </c>
      <c r="B603" s="2" t="s">
        <v>2223</v>
      </c>
      <c r="C603" s="3">
        <v>35061</v>
      </c>
      <c r="D603" s="1" t="s">
        <v>2224</v>
      </c>
      <c r="E603" s="1" t="s">
        <v>2225</v>
      </c>
      <c r="F603" s="2" t="s">
        <v>2226</v>
      </c>
      <c r="G603" s="2" t="s">
        <v>37</v>
      </c>
      <c r="H603" s="2" t="s">
        <v>10</v>
      </c>
      <c r="I603" s="2" t="s">
        <v>60</v>
      </c>
      <c r="J603" s="2" t="s">
        <v>406</v>
      </c>
      <c r="K603" s="2" t="s">
        <v>10</v>
      </c>
    </row>
    <row r="604" spans="1:11" ht="27.6" hidden="1" x14ac:dyDescent="0.3">
      <c r="A604" s="2" t="s">
        <v>60</v>
      </c>
      <c r="B604" s="2" t="s">
        <v>2227</v>
      </c>
      <c r="C604" s="3">
        <v>20035</v>
      </c>
      <c r="D604" s="1" t="s">
        <v>2228</v>
      </c>
      <c r="E604" s="1" t="s">
        <v>2229</v>
      </c>
      <c r="F604" s="2" t="s">
        <v>614</v>
      </c>
      <c r="G604" s="2" t="s">
        <v>37</v>
      </c>
      <c r="H604" s="2" t="s">
        <v>334</v>
      </c>
      <c r="I604" s="2" t="s">
        <v>60</v>
      </c>
      <c r="J604" s="2" t="s">
        <v>406</v>
      </c>
      <c r="K604" s="2" t="s">
        <v>10</v>
      </c>
    </row>
    <row r="605" spans="1:11" ht="27.6" hidden="1" x14ac:dyDescent="0.3">
      <c r="A605" s="2" t="s">
        <v>60</v>
      </c>
      <c r="B605" s="2" t="s">
        <v>2230</v>
      </c>
      <c r="C605" s="3">
        <v>30666</v>
      </c>
      <c r="D605" s="1" t="s">
        <v>2231</v>
      </c>
      <c r="E605" s="1" t="s">
        <v>2232</v>
      </c>
      <c r="F605" s="2" t="s">
        <v>1838</v>
      </c>
      <c r="G605" s="2" t="s">
        <v>511</v>
      </c>
      <c r="H605" s="2" t="s">
        <v>10</v>
      </c>
      <c r="I605" s="2" t="s">
        <v>60</v>
      </c>
      <c r="J605" s="2" t="s">
        <v>512</v>
      </c>
      <c r="K605" s="2" t="s">
        <v>10</v>
      </c>
    </row>
    <row r="606" spans="1:11" ht="27.6" hidden="1" x14ac:dyDescent="0.3">
      <c r="A606" s="2" t="s">
        <v>60</v>
      </c>
      <c r="B606" s="2" t="s">
        <v>2233</v>
      </c>
      <c r="C606" s="3">
        <v>34953</v>
      </c>
      <c r="D606" s="1" t="s">
        <v>2234</v>
      </c>
      <c r="E606" s="1" t="s">
        <v>2235</v>
      </c>
      <c r="F606" s="2" t="s">
        <v>2236</v>
      </c>
      <c r="G606" s="2" t="s">
        <v>12</v>
      </c>
      <c r="H606" s="2" t="s">
        <v>10</v>
      </c>
      <c r="I606" s="2" t="s">
        <v>60</v>
      </c>
      <c r="J606" s="2" t="s">
        <v>158</v>
      </c>
      <c r="K606" s="2" t="s">
        <v>10</v>
      </c>
    </row>
    <row r="607" spans="1:11" ht="27.6" hidden="1" x14ac:dyDescent="0.3">
      <c r="A607" s="2" t="s">
        <v>60</v>
      </c>
      <c r="B607" s="2" t="s">
        <v>2237</v>
      </c>
      <c r="C607" s="3">
        <v>28796</v>
      </c>
      <c r="D607" s="1" t="s">
        <v>2238</v>
      </c>
      <c r="E607" s="1" t="s">
        <v>2239</v>
      </c>
      <c r="F607" s="2" t="s">
        <v>2240</v>
      </c>
      <c r="G607" s="2" t="s">
        <v>492</v>
      </c>
      <c r="H607" s="2" t="s">
        <v>10</v>
      </c>
      <c r="I607" s="2" t="s">
        <v>60</v>
      </c>
      <c r="J607" s="2" t="s">
        <v>619</v>
      </c>
      <c r="K607" s="2" t="s">
        <v>10</v>
      </c>
    </row>
    <row r="608" spans="1:11" ht="27.6" hidden="1" x14ac:dyDescent="0.3">
      <c r="A608" s="2" t="s">
        <v>60</v>
      </c>
      <c r="B608" s="2" t="s">
        <v>2241</v>
      </c>
      <c r="C608" s="3">
        <v>19044</v>
      </c>
      <c r="D608" s="1" t="s">
        <v>2242</v>
      </c>
      <c r="E608" s="1" t="s">
        <v>2243</v>
      </c>
      <c r="F608" s="2" t="s">
        <v>614</v>
      </c>
      <c r="G608" s="2" t="s">
        <v>319</v>
      </c>
      <c r="H608" s="2" t="s">
        <v>10</v>
      </c>
      <c r="I608" s="2" t="s">
        <v>60</v>
      </c>
      <c r="J608" s="2" t="s">
        <v>320</v>
      </c>
      <c r="K608" s="2" t="s">
        <v>10</v>
      </c>
    </row>
    <row r="609" spans="1:11" ht="27.6" hidden="1" x14ac:dyDescent="0.3">
      <c r="A609" s="2" t="s">
        <v>60</v>
      </c>
      <c r="B609" s="2" t="s">
        <v>2244</v>
      </c>
      <c r="C609" s="3">
        <v>29792</v>
      </c>
      <c r="D609" s="1" t="s">
        <v>2245</v>
      </c>
      <c r="E609" s="1" t="s">
        <v>2246</v>
      </c>
      <c r="F609" s="2" t="s">
        <v>2247</v>
      </c>
      <c r="G609" s="2" t="s">
        <v>425</v>
      </c>
      <c r="H609" s="2" t="s">
        <v>10</v>
      </c>
      <c r="I609" s="2" t="s">
        <v>60</v>
      </c>
      <c r="J609" s="2" t="s">
        <v>426</v>
      </c>
      <c r="K609" s="2" t="s">
        <v>10</v>
      </c>
    </row>
    <row r="610" spans="1:11" ht="27.6" hidden="1" x14ac:dyDescent="0.3">
      <c r="A610" s="2" t="s">
        <v>60</v>
      </c>
      <c r="B610" s="2" t="s">
        <v>2248</v>
      </c>
      <c r="C610" s="3">
        <v>27590</v>
      </c>
      <c r="D610" s="1" t="s">
        <v>2249</v>
      </c>
      <c r="E610" s="1" t="s">
        <v>2250</v>
      </c>
      <c r="F610" s="2" t="s">
        <v>1918</v>
      </c>
      <c r="G610" s="2" t="s">
        <v>190</v>
      </c>
      <c r="H610" s="2" t="s">
        <v>10</v>
      </c>
      <c r="I610" s="2" t="s">
        <v>60</v>
      </c>
      <c r="J610" s="2" t="s">
        <v>191</v>
      </c>
      <c r="K610" s="2" t="s">
        <v>10</v>
      </c>
    </row>
    <row r="611" spans="1:11" ht="27.6" hidden="1" x14ac:dyDescent="0.3">
      <c r="A611" s="2" t="s">
        <v>60</v>
      </c>
      <c r="B611" s="2" t="s">
        <v>2251</v>
      </c>
      <c r="C611" s="3">
        <v>34914</v>
      </c>
      <c r="D611" s="1" t="s">
        <v>2252</v>
      </c>
      <c r="E611" s="1" t="s">
        <v>2253</v>
      </c>
      <c r="F611" s="2" t="s">
        <v>123</v>
      </c>
      <c r="G611" s="2" t="s">
        <v>157</v>
      </c>
      <c r="H611" s="2" t="s">
        <v>10</v>
      </c>
      <c r="I611" s="2" t="s">
        <v>60</v>
      </c>
      <c r="J611" s="2" t="s">
        <v>158</v>
      </c>
      <c r="K611" s="2" t="s">
        <v>10</v>
      </c>
    </row>
    <row r="612" spans="1:11" ht="27.6" hidden="1" x14ac:dyDescent="0.3">
      <c r="A612" s="2" t="s">
        <v>60</v>
      </c>
      <c r="B612" s="2" t="s">
        <v>2254</v>
      </c>
      <c r="C612" s="3">
        <v>37075</v>
      </c>
      <c r="D612" s="1" t="s">
        <v>2255</v>
      </c>
      <c r="E612" s="1" t="s">
        <v>2256</v>
      </c>
      <c r="F612" s="2" t="s">
        <v>60</v>
      </c>
      <c r="G612" s="2" t="s">
        <v>1146</v>
      </c>
      <c r="H612" s="2" t="s">
        <v>10</v>
      </c>
      <c r="I612" s="2" t="s">
        <v>60</v>
      </c>
      <c r="J612" s="2" t="s">
        <v>1147</v>
      </c>
      <c r="K612" s="2" t="s">
        <v>10</v>
      </c>
    </row>
    <row r="613" spans="1:11" ht="27.6" hidden="1" x14ac:dyDescent="0.3">
      <c r="A613" s="2" t="s">
        <v>60</v>
      </c>
      <c r="B613" s="2" t="s">
        <v>2257</v>
      </c>
      <c r="C613" s="3">
        <v>27125</v>
      </c>
      <c r="D613" s="1" t="s">
        <v>2258</v>
      </c>
      <c r="E613" s="1" t="s">
        <v>2259</v>
      </c>
      <c r="F613" s="2" t="s">
        <v>301</v>
      </c>
      <c r="G613" s="2" t="s">
        <v>190</v>
      </c>
      <c r="H613" s="2" t="s">
        <v>10</v>
      </c>
      <c r="I613" s="2" t="s">
        <v>60</v>
      </c>
      <c r="J613" s="2" t="s">
        <v>191</v>
      </c>
      <c r="K613" s="2" t="s">
        <v>10</v>
      </c>
    </row>
    <row r="614" spans="1:11" ht="27.6" hidden="1" x14ac:dyDescent="0.3">
      <c r="A614" s="2" t="s">
        <v>60</v>
      </c>
      <c r="B614" s="2" t="s">
        <v>2260</v>
      </c>
      <c r="C614" s="3">
        <v>31960</v>
      </c>
      <c r="D614" s="1" t="s">
        <v>2261</v>
      </c>
      <c r="E614" s="1" t="s">
        <v>2262</v>
      </c>
      <c r="F614" s="2" t="s">
        <v>74</v>
      </c>
      <c r="G614" s="2" t="s">
        <v>1069</v>
      </c>
      <c r="H614" s="2" t="s">
        <v>10</v>
      </c>
      <c r="I614" s="2" t="s">
        <v>60</v>
      </c>
      <c r="J614" s="2" t="s">
        <v>2263</v>
      </c>
      <c r="K614" s="2" t="s">
        <v>10</v>
      </c>
    </row>
    <row r="615" spans="1:11" ht="27.6" hidden="1" x14ac:dyDescent="0.3">
      <c r="A615" s="2" t="s">
        <v>60</v>
      </c>
      <c r="B615" s="2" t="s">
        <v>2264</v>
      </c>
      <c r="C615" s="3">
        <v>34989</v>
      </c>
      <c r="D615" s="1" t="s">
        <v>2265</v>
      </c>
      <c r="E615" s="1" t="s">
        <v>2266</v>
      </c>
      <c r="F615" s="2" t="s">
        <v>74</v>
      </c>
      <c r="G615" s="2" t="s">
        <v>2267</v>
      </c>
      <c r="H615" s="2" t="s">
        <v>10</v>
      </c>
      <c r="I615" s="2" t="s">
        <v>60</v>
      </c>
      <c r="J615" s="2" t="s">
        <v>2268</v>
      </c>
      <c r="K615" s="2" t="s">
        <v>10</v>
      </c>
    </row>
    <row r="616" spans="1:11" ht="27.6" hidden="1" x14ac:dyDescent="0.3">
      <c r="A616" s="2" t="s">
        <v>60</v>
      </c>
      <c r="B616" s="2" t="s">
        <v>2269</v>
      </c>
      <c r="C616" s="3">
        <v>35498</v>
      </c>
      <c r="D616" s="1" t="s">
        <v>2270</v>
      </c>
      <c r="E616" s="1" t="s">
        <v>2271</v>
      </c>
      <c r="F616" s="2" t="s">
        <v>618</v>
      </c>
      <c r="G616" s="2" t="s">
        <v>319</v>
      </c>
      <c r="H616" s="2" t="s">
        <v>10</v>
      </c>
      <c r="I616" s="2" t="s">
        <v>60</v>
      </c>
      <c r="J616" s="2" t="s">
        <v>320</v>
      </c>
      <c r="K616" s="2" t="s">
        <v>10</v>
      </c>
    </row>
    <row r="617" spans="1:11" ht="27.6" hidden="1" x14ac:dyDescent="0.3">
      <c r="A617" s="2" t="s">
        <v>60</v>
      </c>
      <c r="B617" s="2" t="s">
        <v>2272</v>
      </c>
      <c r="C617" s="3">
        <v>34794</v>
      </c>
      <c r="D617" s="1" t="s">
        <v>2273</v>
      </c>
      <c r="E617" s="1" t="s">
        <v>2274</v>
      </c>
      <c r="F617" s="2" t="s">
        <v>2209</v>
      </c>
      <c r="G617" s="2" t="s">
        <v>190</v>
      </c>
      <c r="H617" s="2" t="s">
        <v>10</v>
      </c>
      <c r="I617" s="2" t="s">
        <v>60</v>
      </c>
      <c r="J617" s="2" t="s">
        <v>191</v>
      </c>
      <c r="K617" s="2" t="s">
        <v>10</v>
      </c>
    </row>
    <row r="618" spans="1:11" ht="27.6" hidden="1" x14ac:dyDescent="0.3">
      <c r="A618" s="2" t="s">
        <v>60</v>
      </c>
      <c r="B618" s="2" t="s">
        <v>2275</v>
      </c>
      <c r="C618" s="3">
        <v>31271</v>
      </c>
      <c r="D618" s="1" t="s">
        <v>2276</v>
      </c>
      <c r="E618" s="1" t="s">
        <v>2276</v>
      </c>
      <c r="F618" s="2" t="s">
        <v>2205</v>
      </c>
      <c r="G618" s="2" t="s">
        <v>492</v>
      </c>
      <c r="H618" s="2" t="s">
        <v>10</v>
      </c>
      <c r="I618" s="2" t="s">
        <v>60</v>
      </c>
      <c r="J618" s="2" t="s">
        <v>619</v>
      </c>
      <c r="K618" s="2" t="s">
        <v>10</v>
      </c>
    </row>
    <row r="619" spans="1:11" ht="27.6" hidden="1" x14ac:dyDescent="0.3">
      <c r="A619" s="2" t="s">
        <v>60</v>
      </c>
      <c r="B619" s="2" t="s">
        <v>2277</v>
      </c>
      <c r="C619" s="3">
        <v>35526</v>
      </c>
      <c r="D619" s="1" t="s">
        <v>2278</v>
      </c>
      <c r="E619" s="1" t="s">
        <v>2279</v>
      </c>
      <c r="F619" s="2" t="s">
        <v>1918</v>
      </c>
      <c r="G619" s="2" t="s">
        <v>190</v>
      </c>
      <c r="H619" s="2" t="s">
        <v>334</v>
      </c>
      <c r="I619" s="2" t="s">
        <v>60</v>
      </c>
      <c r="J619" s="2" t="s">
        <v>191</v>
      </c>
      <c r="K619" s="2" t="s">
        <v>10</v>
      </c>
    </row>
    <row r="620" spans="1:11" ht="27.6" hidden="1" x14ac:dyDescent="0.3">
      <c r="A620" s="2" t="s">
        <v>60</v>
      </c>
      <c r="B620" s="2" t="s">
        <v>2280</v>
      </c>
      <c r="C620" s="3">
        <v>31023</v>
      </c>
      <c r="D620" s="1" t="s">
        <v>2281</v>
      </c>
      <c r="E620" s="1" t="s">
        <v>2282</v>
      </c>
      <c r="F620" s="2" t="s">
        <v>60</v>
      </c>
      <c r="G620" s="2" t="s">
        <v>2283</v>
      </c>
      <c r="H620" s="2" t="s">
        <v>10</v>
      </c>
      <c r="I620" s="2" t="s">
        <v>60</v>
      </c>
      <c r="J620" s="2" t="s">
        <v>2284</v>
      </c>
      <c r="K620" s="2" t="s">
        <v>10</v>
      </c>
    </row>
    <row r="621" spans="1:11" ht="27.6" hidden="1" x14ac:dyDescent="0.3">
      <c r="A621" s="2" t="s">
        <v>60</v>
      </c>
      <c r="B621" s="2" t="s">
        <v>2285</v>
      </c>
      <c r="C621" s="3">
        <v>29481</v>
      </c>
      <c r="D621" s="1" t="s">
        <v>2286</v>
      </c>
      <c r="E621" s="1" t="s">
        <v>2287</v>
      </c>
      <c r="F621" s="2" t="s">
        <v>123</v>
      </c>
      <c r="G621" s="2" t="s">
        <v>152</v>
      </c>
      <c r="H621" s="2" t="s">
        <v>10</v>
      </c>
      <c r="I621" s="2" t="s">
        <v>60</v>
      </c>
      <c r="J621" s="2" t="s">
        <v>153</v>
      </c>
      <c r="K621" s="2" t="s">
        <v>10</v>
      </c>
    </row>
    <row r="622" spans="1:11" ht="27.6" hidden="1" x14ac:dyDescent="0.3">
      <c r="A622" s="2" t="s">
        <v>60</v>
      </c>
      <c r="B622" s="2" t="s">
        <v>2288</v>
      </c>
      <c r="C622" s="3">
        <v>33137</v>
      </c>
      <c r="D622" s="1" t="s">
        <v>2289</v>
      </c>
      <c r="E622" s="1" t="s">
        <v>2290</v>
      </c>
      <c r="F622" s="2" t="s">
        <v>74</v>
      </c>
      <c r="G622" s="2" t="s">
        <v>37</v>
      </c>
      <c r="H622" s="2" t="s">
        <v>10</v>
      </c>
      <c r="I622" s="2" t="s">
        <v>60</v>
      </c>
      <c r="J622" s="2" t="s">
        <v>406</v>
      </c>
      <c r="K622" s="2" t="s">
        <v>10</v>
      </c>
    </row>
    <row r="623" spans="1:11" ht="27.6" hidden="1" x14ac:dyDescent="0.3">
      <c r="A623" s="2" t="s">
        <v>60</v>
      </c>
      <c r="B623" s="2" t="s">
        <v>2291</v>
      </c>
      <c r="C623" s="3">
        <v>27583</v>
      </c>
      <c r="D623" s="1" t="s">
        <v>2292</v>
      </c>
      <c r="E623" s="1" t="s">
        <v>2293</v>
      </c>
      <c r="F623" s="2" t="s">
        <v>2240</v>
      </c>
      <c r="G623" s="2" t="s">
        <v>86</v>
      </c>
      <c r="H623" s="2" t="s">
        <v>10</v>
      </c>
      <c r="I623" s="2" t="s">
        <v>60</v>
      </c>
      <c r="J623" s="2" t="s">
        <v>87</v>
      </c>
      <c r="K623" s="2" t="s">
        <v>10</v>
      </c>
    </row>
    <row r="624" spans="1:11" ht="27.6" hidden="1" x14ac:dyDescent="0.3">
      <c r="A624" s="2" t="s">
        <v>60</v>
      </c>
      <c r="B624" s="2" t="s">
        <v>2294</v>
      </c>
      <c r="C624" s="3">
        <v>22456</v>
      </c>
      <c r="D624" s="1" t="s">
        <v>2295</v>
      </c>
      <c r="E624" s="1" t="s">
        <v>2296</v>
      </c>
      <c r="F624" s="2" t="s">
        <v>872</v>
      </c>
      <c r="G624" s="2" t="s">
        <v>190</v>
      </c>
      <c r="H624" s="2" t="s">
        <v>10</v>
      </c>
      <c r="I624" s="2" t="s">
        <v>60</v>
      </c>
      <c r="J624" s="2" t="s">
        <v>191</v>
      </c>
      <c r="K624" s="2" t="s">
        <v>10</v>
      </c>
    </row>
    <row r="625" spans="1:11" ht="27.6" hidden="1" x14ac:dyDescent="0.3">
      <c r="A625" s="2" t="s">
        <v>60</v>
      </c>
      <c r="B625" s="2" t="s">
        <v>2294</v>
      </c>
      <c r="C625" s="3">
        <v>22456</v>
      </c>
      <c r="D625" s="1" t="s">
        <v>2295</v>
      </c>
      <c r="E625" s="1" t="s">
        <v>2296</v>
      </c>
      <c r="F625" s="2" t="s">
        <v>872</v>
      </c>
      <c r="G625" s="2" t="s">
        <v>157</v>
      </c>
      <c r="H625" s="2" t="s">
        <v>10</v>
      </c>
      <c r="I625" s="2" t="s">
        <v>60</v>
      </c>
      <c r="J625" s="2" t="s">
        <v>158</v>
      </c>
      <c r="K625" s="2" t="s">
        <v>10</v>
      </c>
    </row>
    <row r="626" spans="1:11" ht="27.6" hidden="1" x14ac:dyDescent="0.3">
      <c r="A626" s="2" t="s">
        <v>60</v>
      </c>
      <c r="B626" s="2" t="s">
        <v>2297</v>
      </c>
      <c r="C626" s="3">
        <v>28087</v>
      </c>
      <c r="D626" s="1" t="s">
        <v>2298</v>
      </c>
      <c r="E626" s="1" t="s">
        <v>2299</v>
      </c>
      <c r="F626" s="2" t="s">
        <v>2226</v>
      </c>
      <c r="G626" s="2" t="s">
        <v>157</v>
      </c>
      <c r="H626" s="2" t="s">
        <v>10</v>
      </c>
      <c r="I626" s="2" t="s">
        <v>60</v>
      </c>
      <c r="J626" s="2" t="s">
        <v>158</v>
      </c>
      <c r="K626" s="2" t="s">
        <v>10</v>
      </c>
    </row>
    <row r="627" spans="1:11" ht="27.6" hidden="1" x14ac:dyDescent="0.3">
      <c r="A627" s="2" t="s">
        <v>60</v>
      </c>
      <c r="B627" s="2" t="s">
        <v>2300</v>
      </c>
      <c r="C627" s="3">
        <v>37226</v>
      </c>
      <c r="D627" s="1" t="s">
        <v>2301</v>
      </c>
      <c r="E627" s="1" t="s">
        <v>2302</v>
      </c>
      <c r="F627" s="2" t="s">
        <v>2226</v>
      </c>
      <c r="G627" s="2" t="s">
        <v>190</v>
      </c>
      <c r="H627" s="2" t="s">
        <v>10</v>
      </c>
      <c r="I627" s="2" t="s">
        <v>60</v>
      </c>
      <c r="J627" s="2" t="s">
        <v>768</v>
      </c>
      <c r="K627" s="2" t="s">
        <v>10</v>
      </c>
    </row>
    <row r="628" spans="1:11" ht="27.6" hidden="1" x14ac:dyDescent="0.3">
      <c r="A628" s="2" t="s">
        <v>60</v>
      </c>
      <c r="B628" s="2" t="s">
        <v>2303</v>
      </c>
      <c r="C628" s="3">
        <v>21307</v>
      </c>
      <c r="D628" s="1" t="s">
        <v>2304</v>
      </c>
      <c r="E628" s="1" t="s">
        <v>2305</v>
      </c>
      <c r="F628" s="2" t="s">
        <v>60</v>
      </c>
      <c r="G628" s="2" t="s">
        <v>982</v>
      </c>
      <c r="H628" s="2" t="s">
        <v>10</v>
      </c>
      <c r="I628" s="2" t="s">
        <v>60</v>
      </c>
      <c r="J628" s="2" t="s">
        <v>2306</v>
      </c>
      <c r="K628" s="2" t="s">
        <v>10</v>
      </c>
    </row>
    <row r="629" spans="1:11" ht="27.6" hidden="1" x14ac:dyDescent="0.3">
      <c r="A629" s="2" t="s">
        <v>60</v>
      </c>
      <c r="B629" s="2" t="s">
        <v>2307</v>
      </c>
      <c r="C629" s="3">
        <v>36567</v>
      </c>
      <c r="D629" s="1" t="s">
        <v>2308</v>
      </c>
      <c r="E629" s="1" t="s">
        <v>2309</v>
      </c>
      <c r="F629" s="2" t="s">
        <v>2310</v>
      </c>
      <c r="G629" s="2" t="s">
        <v>152</v>
      </c>
      <c r="H629" s="2" t="s">
        <v>562</v>
      </c>
      <c r="I629" s="2" t="s">
        <v>60</v>
      </c>
      <c r="J629" s="2" t="s">
        <v>153</v>
      </c>
      <c r="K629" s="2" t="s">
        <v>10</v>
      </c>
    </row>
    <row r="630" spans="1:11" ht="27.6" hidden="1" x14ac:dyDescent="0.3">
      <c r="A630" s="2" t="s">
        <v>60</v>
      </c>
      <c r="B630" s="2" t="s">
        <v>2311</v>
      </c>
      <c r="C630" s="3">
        <v>35077</v>
      </c>
      <c r="D630" s="1" t="s">
        <v>2312</v>
      </c>
      <c r="E630" s="1" t="s">
        <v>2313</v>
      </c>
      <c r="F630" s="2" t="s">
        <v>2310</v>
      </c>
      <c r="G630" s="2" t="s">
        <v>124</v>
      </c>
      <c r="H630" s="2" t="s">
        <v>43</v>
      </c>
      <c r="I630" s="2" t="s">
        <v>60</v>
      </c>
      <c r="J630" s="2" t="s">
        <v>2314</v>
      </c>
      <c r="K630" s="2" t="s">
        <v>10</v>
      </c>
    </row>
    <row r="631" spans="1:11" ht="27.6" hidden="1" x14ac:dyDescent="0.3">
      <c r="A631" s="2" t="s">
        <v>60</v>
      </c>
      <c r="B631" s="2" t="s">
        <v>2315</v>
      </c>
      <c r="C631" s="3">
        <v>27735</v>
      </c>
      <c r="D631" s="1" t="s">
        <v>2316</v>
      </c>
      <c r="E631" s="1" t="s">
        <v>2317</v>
      </c>
      <c r="F631" s="2" t="s">
        <v>2310</v>
      </c>
      <c r="G631" s="2" t="s">
        <v>152</v>
      </c>
      <c r="H631" s="2" t="s">
        <v>81</v>
      </c>
      <c r="I631" s="2" t="s">
        <v>60</v>
      </c>
      <c r="J631" s="2" t="s">
        <v>153</v>
      </c>
      <c r="K631" s="2" t="s">
        <v>10</v>
      </c>
    </row>
    <row r="632" spans="1:11" ht="27.6" hidden="1" x14ac:dyDescent="0.3">
      <c r="A632" s="2" t="s">
        <v>60</v>
      </c>
      <c r="B632" s="2" t="s">
        <v>2318</v>
      </c>
      <c r="C632" s="3">
        <v>35810</v>
      </c>
      <c r="D632" s="1" t="s">
        <v>2319</v>
      </c>
      <c r="E632" s="1" t="s">
        <v>2320</v>
      </c>
      <c r="F632" s="2" t="s">
        <v>2310</v>
      </c>
      <c r="G632" s="2" t="s">
        <v>152</v>
      </c>
      <c r="H632" s="2" t="s">
        <v>103</v>
      </c>
      <c r="I632" s="2" t="s">
        <v>60</v>
      </c>
      <c r="J632" s="2" t="s">
        <v>153</v>
      </c>
      <c r="K632" s="2" t="s">
        <v>10</v>
      </c>
    </row>
    <row r="633" spans="1:11" ht="27.6" hidden="1" x14ac:dyDescent="0.3">
      <c r="A633" s="2" t="s">
        <v>60</v>
      </c>
      <c r="B633" s="2" t="s">
        <v>2321</v>
      </c>
      <c r="C633" s="3">
        <v>25783</v>
      </c>
      <c r="D633" s="1" t="s">
        <v>2322</v>
      </c>
      <c r="E633" s="1" t="s">
        <v>2323</v>
      </c>
      <c r="F633" s="2" t="s">
        <v>2310</v>
      </c>
      <c r="G633" s="2" t="s">
        <v>124</v>
      </c>
      <c r="H633" s="2" t="s">
        <v>334</v>
      </c>
      <c r="I633" s="2" t="s">
        <v>60</v>
      </c>
      <c r="J633" s="2" t="s">
        <v>173</v>
      </c>
      <c r="K633" s="2" t="s">
        <v>10</v>
      </c>
    </row>
    <row r="634" spans="1:11" ht="27.6" hidden="1" x14ac:dyDescent="0.3">
      <c r="A634" s="2" t="s">
        <v>60</v>
      </c>
      <c r="B634" s="2" t="s">
        <v>2324</v>
      </c>
      <c r="C634" s="3">
        <v>28758</v>
      </c>
      <c r="D634" s="1" t="s">
        <v>2325</v>
      </c>
      <c r="E634" s="1" t="s">
        <v>2326</v>
      </c>
      <c r="F634" s="2" t="s">
        <v>2310</v>
      </c>
      <c r="G634" s="2" t="s">
        <v>143</v>
      </c>
      <c r="H634" s="2" t="s">
        <v>334</v>
      </c>
      <c r="I634" s="2" t="s">
        <v>60</v>
      </c>
      <c r="J634" s="2" t="s">
        <v>144</v>
      </c>
      <c r="K634" s="2" t="s">
        <v>10</v>
      </c>
    </row>
    <row r="635" spans="1:11" ht="27.6" hidden="1" x14ac:dyDescent="0.3">
      <c r="A635" s="2" t="s">
        <v>60</v>
      </c>
      <c r="B635" s="2" t="s">
        <v>2327</v>
      </c>
      <c r="C635" s="3">
        <v>35421</v>
      </c>
      <c r="D635" s="1" t="s">
        <v>2328</v>
      </c>
      <c r="E635" s="1" t="s">
        <v>2329</v>
      </c>
      <c r="F635" s="2" t="s">
        <v>2310</v>
      </c>
      <c r="G635" s="2" t="s">
        <v>152</v>
      </c>
      <c r="H635" s="2" t="s">
        <v>822</v>
      </c>
      <c r="I635" s="2" t="s">
        <v>60</v>
      </c>
      <c r="J635" s="2" t="s">
        <v>153</v>
      </c>
      <c r="K635" s="2" t="s">
        <v>10</v>
      </c>
    </row>
    <row r="636" spans="1:11" ht="27.6" hidden="1" x14ac:dyDescent="0.3">
      <c r="A636" s="2" t="s">
        <v>60</v>
      </c>
      <c r="B636" s="2" t="s">
        <v>2330</v>
      </c>
      <c r="C636" s="3">
        <v>27184</v>
      </c>
      <c r="D636" s="1" t="s">
        <v>2331</v>
      </c>
      <c r="E636" s="1" t="s">
        <v>2332</v>
      </c>
      <c r="F636" s="2" t="s">
        <v>2247</v>
      </c>
      <c r="G636" s="2" t="s">
        <v>31</v>
      </c>
      <c r="H636" s="2" t="s">
        <v>10</v>
      </c>
      <c r="I636" s="2" t="s">
        <v>60</v>
      </c>
      <c r="J636" s="2" t="s">
        <v>2333</v>
      </c>
      <c r="K636" s="2" t="s">
        <v>10</v>
      </c>
    </row>
    <row r="637" spans="1:11" ht="27.6" hidden="1" x14ac:dyDescent="0.3">
      <c r="A637" s="2" t="s">
        <v>60</v>
      </c>
      <c r="B637" s="2" t="s">
        <v>2334</v>
      </c>
      <c r="C637" s="3">
        <v>24872</v>
      </c>
      <c r="D637" s="1" t="s">
        <v>2295</v>
      </c>
      <c r="E637" s="1" t="s">
        <v>2335</v>
      </c>
      <c r="F637" s="2" t="s">
        <v>60</v>
      </c>
      <c r="G637" s="2" t="s">
        <v>2336</v>
      </c>
      <c r="H637" s="2" t="s">
        <v>10</v>
      </c>
      <c r="I637" s="2" t="s">
        <v>60</v>
      </c>
      <c r="J637" s="2" t="s">
        <v>2337</v>
      </c>
      <c r="K637" s="2" t="s">
        <v>10</v>
      </c>
    </row>
    <row r="638" spans="1:11" ht="27.6" hidden="1" x14ac:dyDescent="0.3">
      <c r="A638" s="2" t="s">
        <v>60</v>
      </c>
      <c r="B638" s="2" t="s">
        <v>2338</v>
      </c>
      <c r="C638" s="3">
        <v>18296</v>
      </c>
      <c r="D638" s="1" t="s">
        <v>2339</v>
      </c>
      <c r="E638" s="1" t="s">
        <v>2340</v>
      </c>
      <c r="F638" s="2" t="s">
        <v>618</v>
      </c>
      <c r="G638" s="2" t="s">
        <v>190</v>
      </c>
      <c r="H638" s="2" t="s">
        <v>10</v>
      </c>
      <c r="I638" s="2" t="s">
        <v>60</v>
      </c>
      <c r="J638" s="2" t="s">
        <v>191</v>
      </c>
      <c r="K638" s="2" t="s">
        <v>10</v>
      </c>
    </row>
    <row r="639" spans="1:11" ht="27.6" hidden="1" x14ac:dyDescent="0.3">
      <c r="A639" s="2" t="s">
        <v>60</v>
      </c>
      <c r="B639" s="2" t="s">
        <v>2341</v>
      </c>
      <c r="C639" s="3">
        <v>27925</v>
      </c>
      <c r="D639" s="1" t="s">
        <v>2342</v>
      </c>
      <c r="E639" s="1" t="s">
        <v>2343</v>
      </c>
      <c r="F639" s="2" t="s">
        <v>269</v>
      </c>
      <c r="G639" s="2" t="s">
        <v>37</v>
      </c>
      <c r="H639" s="2" t="s">
        <v>10</v>
      </c>
      <c r="I639" s="2" t="s">
        <v>60</v>
      </c>
      <c r="J639" s="2" t="s">
        <v>406</v>
      </c>
      <c r="K639" s="2" t="s">
        <v>10</v>
      </c>
    </row>
    <row r="640" spans="1:11" ht="27.6" hidden="1" x14ac:dyDescent="0.3">
      <c r="A640" s="2" t="s">
        <v>60</v>
      </c>
      <c r="B640" s="2" t="s">
        <v>2344</v>
      </c>
      <c r="C640" s="3">
        <v>28136</v>
      </c>
      <c r="D640" s="1" t="s">
        <v>2345</v>
      </c>
      <c r="E640" s="1" t="s">
        <v>2346</v>
      </c>
      <c r="F640" s="2" t="s">
        <v>269</v>
      </c>
      <c r="G640" s="2" t="s">
        <v>1955</v>
      </c>
      <c r="H640" s="2" t="s">
        <v>10</v>
      </c>
      <c r="I640" s="2" t="s">
        <v>60</v>
      </c>
      <c r="J640" s="2" t="s">
        <v>2347</v>
      </c>
      <c r="K640" s="2" t="s">
        <v>10</v>
      </c>
    </row>
    <row r="641" spans="1:11" ht="27.6" hidden="1" x14ac:dyDescent="0.3">
      <c r="A641" s="2" t="s">
        <v>60</v>
      </c>
      <c r="B641" s="2" t="s">
        <v>2348</v>
      </c>
      <c r="C641" s="3">
        <v>29856</v>
      </c>
      <c r="D641" s="1" t="s">
        <v>2349</v>
      </c>
      <c r="E641" s="1" t="s">
        <v>2350</v>
      </c>
      <c r="F641" s="2" t="s">
        <v>410</v>
      </c>
      <c r="G641" s="2" t="s">
        <v>206</v>
      </c>
      <c r="H641" s="2" t="s">
        <v>10</v>
      </c>
      <c r="I641" s="2" t="s">
        <v>60</v>
      </c>
      <c r="J641" s="2" t="s">
        <v>2351</v>
      </c>
      <c r="K641" s="2" t="s">
        <v>10</v>
      </c>
    </row>
    <row r="642" spans="1:11" ht="27.6" hidden="1" x14ac:dyDescent="0.3">
      <c r="A642" s="2" t="s">
        <v>60</v>
      </c>
      <c r="B642" s="2" t="s">
        <v>2352</v>
      </c>
      <c r="C642" s="3">
        <v>35565</v>
      </c>
      <c r="D642" s="1" t="s">
        <v>2353</v>
      </c>
      <c r="E642" s="1" t="s">
        <v>2354</v>
      </c>
      <c r="F642" s="2" t="s">
        <v>269</v>
      </c>
      <c r="G642" s="2" t="s">
        <v>278</v>
      </c>
      <c r="H642" s="2" t="s">
        <v>10</v>
      </c>
      <c r="I642" s="2" t="s">
        <v>60</v>
      </c>
      <c r="J642" s="2" t="s">
        <v>279</v>
      </c>
      <c r="K642" s="2" t="s">
        <v>10</v>
      </c>
    </row>
    <row r="643" spans="1:11" ht="27.6" hidden="1" x14ac:dyDescent="0.3">
      <c r="A643" s="2" t="s">
        <v>60</v>
      </c>
      <c r="B643" s="2" t="s">
        <v>2355</v>
      </c>
      <c r="C643" s="3">
        <v>33871</v>
      </c>
      <c r="D643" s="1" t="s">
        <v>2356</v>
      </c>
      <c r="E643" s="1" t="s">
        <v>2357</v>
      </c>
      <c r="F643" s="2" t="s">
        <v>269</v>
      </c>
      <c r="G643" s="2" t="s">
        <v>211</v>
      </c>
      <c r="H643" s="2" t="s">
        <v>43</v>
      </c>
      <c r="I643" s="2" t="s">
        <v>60</v>
      </c>
      <c r="J643" s="2" t="s">
        <v>2358</v>
      </c>
      <c r="K643" s="2" t="s">
        <v>10</v>
      </c>
    </row>
    <row r="644" spans="1:11" ht="27.6" hidden="1" x14ac:dyDescent="0.3">
      <c r="A644" s="2" t="s">
        <v>60</v>
      </c>
      <c r="B644" s="2" t="s">
        <v>2359</v>
      </c>
      <c r="C644" s="3">
        <v>26515</v>
      </c>
      <c r="D644" s="1" t="s">
        <v>2360</v>
      </c>
      <c r="E644" s="1" t="s">
        <v>2361</v>
      </c>
      <c r="F644" s="2" t="s">
        <v>269</v>
      </c>
      <c r="G644" s="2" t="s">
        <v>1763</v>
      </c>
      <c r="H644" s="2" t="s">
        <v>10</v>
      </c>
      <c r="I644" s="2" t="s">
        <v>60</v>
      </c>
      <c r="J644" s="2" t="s">
        <v>2362</v>
      </c>
      <c r="K644" s="2" t="s">
        <v>10</v>
      </c>
    </row>
    <row r="645" spans="1:11" ht="27.6" hidden="1" x14ac:dyDescent="0.3">
      <c r="A645" s="2" t="s">
        <v>60</v>
      </c>
      <c r="B645" s="2" t="s">
        <v>2363</v>
      </c>
      <c r="C645" s="3">
        <v>35292</v>
      </c>
      <c r="D645" s="1" t="s">
        <v>2364</v>
      </c>
      <c r="E645" s="1" t="s">
        <v>2365</v>
      </c>
      <c r="F645" s="2" t="s">
        <v>74</v>
      </c>
      <c r="G645" s="2" t="s">
        <v>2079</v>
      </c>
      <c r="H645" s="2" t="s">
        <v>103</v>
      </c>
      <c r="I645" s="2" t="s">
        <v>60</v>
      </c>
      <c r="J645" s="2" t="s">
        <v>2366</v>
      </c>
      <c r="K645" s="2" t="s">
        <v>10</v>
      </c>
    </row>
    <row r="646" spans="1:11" ht="27.6" hidden="1" x14ac:dyDescent="0.3">
      <c r="A646" s="2" t="s">
        <v>60</v>
      </c>
      <c r="B646" s="2" t="s">
        <v>2367</v>
      </c>
      <c r="C646" s="3">
        <v>35292</v>
      </c>
      <c r="D646" s="1" t="s">
        <v>2368</v>
      </c>
      <c r="E646" s="1" t="s">
        <v>2365</v>
      </c>
      <c r="F646" s="2" t="s">
        <v>74</v>
      </c>
      <c r="G646" s="2" t="s">
        <v>2079</v>
      </c>
      <c r="H646" s="2" t="s">
        <v>81</v>
      </c>
      <c r="I646" s="2" t="s">
        <v>60</v>
      </c>
      <c r="J646" s="2" t="s">
        <v>2366</v>
      </c>
      <c r="K646" s="2" t="s">
        <v>10</v>
      </c>
    </row>
    <row r="647" spans="1:11" ht="27.6" hidden="1" x14ac:dyDescent="0.3">
      <c r="A647" s="2" t="s">
        <v>60</v>
      </c>
      <c r="B647" s="2" t="s">
        <v>2369</v>
      </c>
      <c r="C647" s="3">
        <v>21420</v>
      </c>
      <c r="D647" s="1" t="s">
        <v>2370</v>
      </c>
      <c r="E647" s="1" t="s">
        <v>2371</v>
      </c>
      <c r="F647" s="2" t="s">
        <v>2372</v>
      </c>
      <c r="G647" s="2" t="s">
        <v>492</v>
      </c>
      <c r="H647" s="2" t="s">
        <v>10</v>
      </c>
      <c r="I647" s="2" t="s">
        <v>60</v>
      </c>
      <c r="J647" s="2" t="s">
        <v>375</v>
      </c>
      <c r="K647" s="2" t="s">
        <v>10</v>
      </c>
    </row>
    <row r="648" spans="1:11" ht="27.6" hidden="1" x14ac:dyDescent="0.3">
      <c r="A648" s="2" t="s">
        <v>60</v>
      </c>
      <c r="B648" s="2" t="s">
        <v>2373</v>
      </c>
      <c r="C648" s="3">
        <v>21420</v>
      </c>
      <c r="D648" s="1" t="s">
        <v>2370</v>
      </c>
      <c r="E648" s="1" t="s">
        <v>2371</v>
      </c>
      <c r="F648" s="2" t="s">
        <v>2372</v>
      </c>
      <c r="G648" s="2" t="s">
        <v>157</v>
      </c>
      <c r="H648" s="2" t="s">
        <v>10</v>
      </c>
      <c r="I648" s="2" t="s">
        <v>60</v>
      </c>
      <c r="J648" s="2" t="s">
        <v>119</v>
      </c>
      <c r="K648" s="2" t="s">
        <v>10</v>
      </c>
    </row>
    <row r="649" spans="1:11" ht="27.6" hidden="1" x14ac:dyDescent="0.3">
      <c r="A649" s="2" t="s">
        <v>60</v>
      </c>
      <c r="B649" s="2" t="s">
        <v>2373</v>
      </c>
      <c r="C649" s="3">
        <v>21420</v>
      </c>
      <c r="D649" s="1" t="s">
        <v>2370</v>
      </c>
      <c r="E649" s="1" t="s">
        <v>2371</v>
      </c>
      <c r="F649" s="2" t="s">
        <v>60</v>
      </c>
      <c r="G649" s="2" t="s">
        <v>97</v>
      </c>
      <c r="H649" s="2" t="s">
        <v>10</v>
      </c>
      <c r="I649" s="2" t="s">
        <v>60</v>
      </c>
      <c r="J649" s="2" t="s">
        <v>2374</v>
      </c>
      <c r="K649" s="2" t="s">
        <v>10</v>
      </c>
    </row>
    <row r="650" spans="1:11" ht="27.6" hidden="1" x14ac:dyDescent="0.3">
      <c r="A650" s="2" t="s">
        <v>60</v>
      </c>
      <c r="B650" s="2" t="s">
        <v>2375</v>
      </c>
      <c r="C650" s="3">
        <v>29020</v>
      </c>
      <c r="D650" s="1" t="s">
        <v>2376</v>
      </c>
      <c r="E650" s="1" t="s">
        <v>2377</v>
      </c>
      <c r="F650" s="2" t="s">
        <v>60</v>
      </c>
      <c r="G650" s="2" t="s">
        <v>2378</v>
      </c>
      <c r="H650" s="2" t="s">
        <v>10</v>
      </c>
      <c r="I650" s="2" t="s">
        <v>60</v>
      </c>
      <c r="J650" s="2" t="s">
        <v>2379</v>
      </c>
      <c r="K650" s="2" t="s">
        <v>10</v>
      </c>
    </row>
    <row r="651" spans="1:11" ht="27.6" hidden="1" x14ac:dyDescent="0.3">
      <c r="A651" s="2" t="s">
        <v>60</v>
      </c>
      <c r="B651" s="2" t="s">
        <v>2380</v>
      </c>
      <c r="C651" s="3">
        <v>28729</v>
      </c>
      <c r="D651" s="1" t="s">
        <v>2381</v>
      </c>
      <c r="E651" s="1" t="s">
        <v>2382</v>
      </c>
      <c r="F651" s="2" t="s">
        <v>60</v>
      </c>
      <c r="G651" s="2" t="s">
        <v>2383</v>
      </c>
      <c r="H651" s="2" t="s">
        <v>10</v>
      </c>
      <c r="I651" s="2" t="s">
        <v>60</v>
      </c>
      <c r="J651" s="2" t="s">
        <v>2384</v>
      </c>
      <c r="K651" s="2" t="s">
        <v>10</v>
      </c>
    </row>
    <row r="652" spans="1:11" ht="27.6" hidden="1" x14ac:dyDescent="0.3">
      <c r="A652" s="2" t="s">
        <v>60</v>
      </c>
      <c r="B652" s="2" t="s">
        <v>2385</v>
      </c>
      <c r="C652" s="3">
        <v>21278</v>
      </c>
      <c r="D652" s="1" t="s">
        <v>2386</v>
      </c>
      <c r="E652" s="1" t="s">
        <v>2387</v>
      </c>
      <c r="F652" s="2" t="s">
        <v>60</v>
      </c>
      <c r="G652" s="2" t="s">
        <v>1009</v>
      </c>
      <c r="H652" s="2" t="s">
        <v>10</v>
      </c>
      <c r="I652" s="2" t="s">
        <v>60</v>
      </c>
      <c r="J652" s="2" t="s">
        <v>2388</v>
      </c>
      <c r="K652" s="2" t="s">
        <v>10</v>
      </c>
    </row>
    <row r="653" spans="1:11" ht="27.6" hidden="1" x14ac:dyDescent="0.3">
      <c r="A653" s="2" t="s">
        <v>60</v>
      </c>
      <c r="B653" s="2" t="s">
        <v>2389</v>
      </c>
      <c r="C653" s="3">
        <v>29082</v>
      </c>
      <c r="D653" s="1" t="s">
        <v>2390</v>
      </c>
      <c r="E653" s="1" t="s">
        <v>2391</v>
      </c>
      <c r="F653" s="2" t="s">
        <v>614</v>
      </c>
      <c r="G653" s="2" t="s">
        <v>196</v>
      </c>
      <c r="H653" s="2" t="s">
        <v>10</v>
      </c>
      <c r="I653" s="2" t="s">
        <v>60</v>
      </c>
      <c r="J653" s="2" t="s">
        <v>197</v>
      </c>
      <c r="K653" s="2" t="s">
        <v>10</v>
      </c>
    </row>
    <row r="654" spans="1:11" ht="27.6" hidden="1" x14ac:dyDescent="0.3">
      <c r="A654" s="2" t="s">
        <v>60</v>
      </c>
      <c r="B654" s="2" t="s">
        <v>2392</v>
      </c>
      <c r="C654" s="3">
        <v>21571</v>
      </c>
      <c r="D654" s="1" t="s">
        <v>2393</v>
      </c>
      <c r="E654" s="1" t="s">
        <v>2394</v>
      </c>
      <c r="F654" s="2" t="s">
        <v>151</v>
      </c>
      <c r="G654" s="2" t="s">
        <v>319</v>
      </c>
      <c r="H654" s="2" t="s">
        <v>10</v>
      </c>
      <c r="I654" s="2" t="s">
        <v>60</v>
      </c>
      <c r="J654" s="2" t="s">
        <v>320</v>
      </c>
      <c r="K654" s="2" t="s">
        <v>10</v>
      </c>
    </row>
    <row r="655" spans="1:11" ht="27.6" hidden="1" x14ac:dyDescent="0.3">
      <c r="A655" s="2" t="s">
        <v>60</v>
      </c>
      <c r="B655" s="2" t="s">
        <v>2392</v>
      </c>
      <c r="C655" s="3">
        <v>21571</v>
      </c>
      <c r="D655" s="1" t="s">
        <v>2393</v>
      </c>
      <c r="E655" s="1" t="s">
        <v>2394</v>
      </c>
      <c r="F655" s="2" t="s">
        <v>764</v>
      </c>
      <c r="G655" s="2" t="s">
        <v>196</v>
      </c>
      <c r="H655" s="2" t="s">
        <v>10</v>
      </c>
      <c r="I655" s="2" t="s">
        <v>60</v>
      </c>
      <c r="J655" s="2" t="s">
        <v>197</v>
      </c>
      <c r="K655" s="2" t="s">
        <v>10</v>
      </c>
    </row>
    <row r="656" spans="1:11" ht="27.6" hidden="1" x14ac:dyDescent="0.3">
      <c r="A656" s="2" t="s">
        <v>60</v>
      </c>
      <c r="B656" s="2" t="s">
        <v>2395</v>
      </c>
      <c r="C656" s="3">
        <v>27292</v>
      </c>
      <c r="D656" s="1" t="s">
        <v>2396</v>
      </c>
      <c r="E656" s="1" t="s">
        <v>2397</v>
      </c>
      <c r="F656" s="2" t="s">
        <v>2398</v>
      </c>
      <c r="G656" s="2" t="s">
        <v>196</v>
      </c>
      <c r="H656" s="2" t="s">
        <v>10</v>
      </c>
      <c r="I656" s="2" t="s">
        <v>60</v>
      </c>
      <c r="J656" s="2" t="s">
        <v>197</v>
      </c>
      <c r="K656" s="2" t="s">
        <v>10</v>
      </c>
    </row>
    <row r="657" spans="1:11" ht="27.6" hidden="1" x14ac:dyDescent="0.3">
      <c r="A657" s="2" t="s">
        <v>60</v>
      </c>
      <c r="B657" s="2" t="s">
        <v>2392</v>
      </c>
      <c r="C657" s="3">
        <v>21571</v>
      </c>
      <c r="D657" s="1" t="s">
        <v>2393</v>
      </c>
      <c r="E657" s="1" t="s">
        <v>2394</v>
      </c>
      <c r="F657" s="2" t="s">
        <v>764</v>
      </c>
      <c r="G657" s="2" t="s">
        <v>124</v>
      </c>
      <c r="H657" s="2" t="s">
        <v>10</v>
      </c>
      <c r="I657" s="2" t="s">
        <v>60</v>
      </c>
      <c r="J657" s="2" t="s">
        <v>173</v>
      </c>
      <c r="K657" s="2" t="s">
        <v>10</v>
      </c>
    </row>
    <row r="658" spans="1:11" ht="27.6" hidden="1" x14ac:dyDescent="0.3">
      <c r="A658" s="2" t="s">
        <v>60</v>
      </c>
      <c r="B658" s="2" t="s">
        <v>2399</v>
      </c>
      <c r="C658" s="3">
        <v>31786</v>
      </c>
      <c r="D658" s="1" t="s">
        <v>2400</v>
      </c>
      <c r="E658" s="1" t="s">
        <v>2401</v>
      </c>
      <c r="F658" s="2" t="s">
        <v>2310</v>
      </c>
      <c r="G658" s="2" t="s">
        <v>196</v>
      </c>
      <c r="H658" s="2" t="s">
        <v>10</v>
      </c>
      <c r="I658" s="2" t="s">
        <v>60</v>
      </c>
      <c r="J658" s="2" t="s">
        <v>197</v>
      </c>
      <c r="K658" s="2" t="s">
        <v>10</v>
      </c>
    </row>
    <row r="659" spans="1:11" ht="27.6" hidden="1" x14ac:dyDescent="0.3">
      <c r="A659" s="2" t="s">
        <v>60</v>
      </c>
      <c r="B659" s="2" t="s">
        <v>2402</v>
      </c>
      <c r="C659" s="3">
        <v>30541</v>
      </c>
      <c r="D659" s="1" t="s">
        <v>2403</v>
      </c>
      <c r="E659" s="1" t="s">
        <v>2404</v>
      </c>
      <c r="F659" s="2" t="s">
        <v>2310</v>
      </c>
      <c r="G659" s="2" t="s">
        <v>196</v>
      </c>
      <c r="H659" s="2" t="s">
        <v>43</v>
      </c>
      <c r="I659" s="2" t="s">
        <v>60</v>
      </c>
      <c r="J659" s="2" t="s">
        <v>1976</v>
      </c>
      <c r="K659" s="2" t="s">
        <v>10</v>
      </c>
    </row>
    <row r="660" spans="1:11" ht="27.6" hidden="1" x14ac:dyDescent="0.3">
      <c r="A660" s="2" t="s">
        <v>60</v>
      </c>
      <c r="B660" s="2" t="s">
        <v>2405</v>
      </c>
      <c r="C660" s="3">
        <v>28440</v>
      </c>
      <c r="D660" s="1" t="s">
        <v>2406</v>
      </c>
      <c r="E660" s="1" t="s">
        <v>2407</v>
      </c>
      <c r="F660" s="2" t="s">
        <v>74</v>
      </c>
      <c r="G660" s="2" t="s">
        <v>492</v>
      </c>
      <c r="H660" s="2" t="s">
        <v>10</v>
      </c>
      <c r="I660" s="2" t="s">
        <v>60</v>
      </c>
      <c r="J660" s="2" t="s">
        <v>2408</v>
      </c>
      <c r="K660" s="2" t="s">
        <v>10</v>
      </c>
    </row>
    <row r="661" spans="1:11" ht="27.6" hidden="1" x14ac:dyDescent="0.3">
      <c r="A661" s="2" t="s">
        <v>60</v>
      </c>
      <c r="B661" s="2" t="s">
        <v>2409</v>
      </c>
      <c r="C661" s="3">
        <v>28440</v>
      </c>
      <c r="D661" s="1" t="s">
        <v>2406</v>
      </c>
      <c r="E661" s="1" t="s">
        <v>2407</v>
      </c>
      <c r="F661" s="2" t="s">
        <v>74</v>
      </c>
      <c r="G661" s="2" t="s">
        <v>319</v>
      </c>
      <c r="H661" s="2" t="s">
        <v>10</v>
      </c>
      <c r="I661" s="2" t="s">
        <v>60</v>
      </c>
      <c r="J661" s="2" t="s">
        <v>2410</v>
      </c>
      <c r="K661" s="2" t="s">
        <v>10</v>
      </c>
    </row>
    <row r="662" spans="1:11" ht="27.6" hidden="1" x14ac:dyDescent="0.3">
      <c r="A662" s="2" t="s">
        <v>60</v>
      </c>
      <c r="B662" s="2" t="s">
        <v>2411</v>
      </c>
      <c r="C662" s="3">
        <v>30739</v>
      </c>
      <c r="D662" s="1" t="s">
        <v>2412</v>
      </c>
      <c r="E662" s="1" t="s">
        <v>2413</v>
      </c>
      <c r="F662" s="2" t="s">
        <v>60</v>
      </c>
      <c r="G662" s="2" t="s">
        <v>880</v>
      </c>
      <c r="H662" s="2" t="s">
        <v>10</v>
      </c>
      <c r="I662" s="2" t="s">
        <v>60</v>
      </c>
      <c r="J662" s="2" t="s">
        <v>881</v>
      </c>
      <c r="K662" s="2" t="s">
        <v>10</v>
      </c>
    </row>
    <row r="663" spans="1:11" ht="27.6" hidden="1" x14ac:dyDescent="0.3">
      <c r="A663" s="2" t="s">
        <v>60</v>
      </c>
      <c r="B663" s="2" t="s">
        <v>2414</v>
      </c>
      <c r="C663" s="3">
        <v>22132</v>
      </c>
      <c r="D663" s="1" t="s">
        <v>2295</v>
      </c>
      <c r="E663" s="1" t="s">
        <v>2415</v>
      </c>
      <c r="F663" s="2" t="s">
        <v>74</v>
      </c>
      <c r="G663" s="2" t="s">
        <v>258</v>
      </c>
      <c r="H663" s="2" t="s">
        <v>334</v>
      </c>
      <c r="I663" s="2" t="s">
        <v>60</v>
      </c>
      <c r="J663" s="2" t="s">
        <v>430</v>
      </c>
      <c r="K663" s="2" t="s">
        <v>10</v>
      </c>
    </row>
    <row r="664" spans="1:11" ht="27.6" hidden="1" x14ac:dyDescent="0.3">
      <c r="A664" s="2" t="s">
        <v>60</v>
      </c>
      <c r="B664" s="2" t="s">
        <v>2416</v>
      </c>
      <c r="C664" s="3">
        <v>33268</v>
      </c>
      <c r="D664" s="1" t="s">
        <v>2417</v>
      </c>
      <c r="E664" s="1" t="s">
        <v>2418</v>
      </c>
      <c r="F664" s="2" t="s">
        <v>60</v>
      </c>
      <c r="G664" s="2" t="s">
        <v>69</v>
      </c>
      <c r="H664" s="2" t="s">
        <v>10</v>
      </c>
      <c r="I664" s="2" t="s">
        <v>60</v>
      </c>
      <c r="J664" s="2" t="s">
        <v>70</v>
      </c>
      <c r="K664" s="2" t="s">
        <v>10</v>
      </c>
    </row>
    <row r="665" spans="1:11" ht="27.6" hidden="1" x14ac:dyDescent="0.3">
      <c r="A665" s="2" t="s">
        <v>60</v>
      </c>
      <c r="B665" s="2" t="s">
        <v>2419</v>
      </c>
      <c r="C665" s="3">
        <v>30555</v>
      </c>
      <c r="D665" s="1" t="s">
        <v>2420</v>
      </c>
      <c r="E665" s="1" t="s">
        <v>2421</v>
      </c>
      <c r="F665" s="2" t="s">
        <v>2422</v>
      </c>
      <c r="G665" s="2" t="s">
        <v>425</v>
      </c>
      <c r="H665" s="2" t="s">
        <v>411</v>
      </c>
      <c r="I665" s="2" t="s">
        <v>60</v>
      </c>
      <c r="J665" s="2" t="s">
        <v>2423</v>
      </c>
      <c r="K665" s="2" t="s">
        <v>10</v>
      </c>
    </row>
    <row r="666" spans="1:11" ht="27.6" hidden="1" x14ac:dyDescent="0.3">
      <c r="A666" s="2" t="s">
        <v>60</v>
      </c>
      <c r="B666" s="2" t="s">
        <v>2424</v>
      </c>
      <c r="C666" s="3">
        <v>18799</v>
      </c>
      <c r="D666" s="1" t="s">
        <v>2425</v>
      </c>
      <c r="E666" s="1" t="s">
        <v>2426</v>
      </c>
      <c r="F666" s="2" t="s">
        <v>764</v>
      </c>
      <c r="G666" s="2" t="s">
        <v>152</v>
      </c>
      <c r="H666" s="2" t="s">
        <v>10</v>
      </c>
      <c r="I666" s="2" t="s">
        <v>60</v>
      </c>
      <c r="J666" s="2" t="s">
        <v>153</v>
      </c>
      <c r="K666" s="2" t="s">
        <v>10</v>
      </c>
    </row>
    <row r="667" spans="1:11" ht="27.6" hidden="1" x14ac:dyDescent="0.3">
      <c r="A667" s="2" t="s">
        <v>60</v>
      </c>
      <c r="B667" s="2" t="s">
        <v>2427</v>
      </c>
      <c r="C667" s="3">
        <v>31091</v>
      </c>
      <c r="D667" s="1" t="s">
        <v>2428</v>
      </c>
      <c r="E667" s="1" t="s">
        <v>2429</v>
      </c>
      <c r="F667" s="2" t="s">
        <v>764</v>
      </c>
      <c r="G667" s="2" t="s">
        <v>319</v>
      </c>
      <c r="H667" s="2" t="s">
        <v>10</v>
      </c>
      <c r="I667" s="2" t="s">
        <v>60</v>
      </c>
      <c r="J667" s="2" t="s">
        <v>320</v>
      </c>
      <c r="K667" s="2" t="s">
        <v>10</v>
      </c>
    </row>
    <row r="668" spans="1:11" ht="27.6" hidden="1" x14ac:dyDescent="0.3">
      <c r="A668" s="2" t="s">
        <v>60</v>
      </c>
      <c r="B668" s="2" t="s">
        <v>2430</v>
      </c>
      <c r="C668" s="3">
        <v>27129</v>
      </c>
      <c r="D668" s="1" t="s">
        <v>2431</v>
      </c>
      <c r="E668" s="1" t="s">
        <v>2432</v>
      </c>
      <c r="F668" s="2" t="s">
        <v>764</v>
      </c>
      <c r="G668" s="2" t="s">
        <v>157</v>
      </c>
      <c r="H668" s="2" t="s">
        <v>334</v>
      </c>
      <c r="I668" s="2" t="s">
        <v>60</v>
      </c>
      <c r="J668" s="2" t="s">
        <v>158</v>
      </c>
      <c r="K668" s="2" t="s">
        <v>10</v>
      </c>
    </row>
    <row r="669" spans="1:11" ht="27.6" hidden="1" x14ac:dyDescent="0.3">
      <c r="A669" s="2" t="s">
        <v>60</v>
      </c>
      <c r="B669" s="2" t="s">
        <v>2433</v>
      </c>
      <c r="C669" s="3">
        <v>31091</v>
      </c>
      <c r="D669" s="1" t="s">
        <v>2428</v>
      </c>
      <c r="E669" s="1" t="s">
        <v>2434</v>
      </c>
      <c r="F669" s="2" t="s">
        <v>764</v>
      </c>
      <c r="G669" s="2" t="s">
        <v>222</v>
      </c>
      <c r="H669" s="2" t="s">
        <v>10</v>
      </c>
      <c r="I669" s="2" t="s">
        <v>60</v>
      </c>
      <c r="J669" s="2" t="s">
        <v>223</v>
      </c>
      <c r="K669" s="2" t="s">
        <v>10</v>
      </c>
    </row>
    <row r="670" spans="1:11" ht="27.6" hidden="1" x14ac:dyDescent="0.3">
      <c r="A670" s="2" t="s">
        <v>60</v>
      </c>
      <c r="B670" s="2" t="s">
        <v>2435</v>
      </c>
      <c r="C670" s="3">
        <v>33460</v>
      </c>
      <c r="D670" s="1" t="s">
        <v>2436</v>
      </c>
      <c r="E670" s="1" t="s">
        <v>2437</v>
      </c>
      <c r="F670" s="2" t="s">
        <v>151</v>
      </c>
      <c r="G670" s="2" t="s">
        <v>12</v>
      </c>
      <c r="H670" s="2" t="s">
        <v>334</v>
      </c>
      <c r="I670" s="2" t="s">
        <v>60</v>
      </c>
      <c r="J670" s="2" t="s">
        <v>2438</v>
      </c>
      <c r="K670" s="2" t="s">
        <v>10</v>
      </c>
    </row>
    <row r="671" spans="1:11" ht="27.6" hidden="1" x14ac:dyDescent="0.3">
      <c r="A671" s="2" t="s">
        <v>60</v>
      </c>
      <c r="B671" s="2" t="s">
        <v>2439</v>
      </c>
      <c r="C671" s="3">
        <v>30892</v>
      </c>
      <c r="D671" s="1" t="s">
        <v>2440</v>
      </c>
      <c r="E671" s="1" t="s">
        <v>2441</v>
      </c>
      <c r="F671" s="2" t="s">
        <v>151</v>
      </c>
      <c r="G671" s="2" t="s">
        <v>196</v>
      </c>
      <c r="H671" s="2" t="s">
        <v>10</v>
      </c>
      <c r="I671" s="2" t="s">
        <v>60</v>
      </c>
      <c r="J671" s="2" t="s">
        <v>197</v>
      </c>
      <c r="K671" s="2" t="s">
        <v>10</v>
      </c>
    </row>
    <row r="672" spans="1:11" ht="27.6" hidden="1" x14ac:dyDescent="0.3">
      <c r="A672" s="2" t="s">
        <v>60</v>
      </c>
      <c r="B672" s="2" t="s">
        <v>2442</v>
      </c>
      <c r="C672" s="3">
        <v>32970</v>
      </c>
      <c r="D672" s="1" t="s">
        <v>442</v>
      </c>
      <c r="E672" s="1" t="s">
        <v>2443</v>
      </c>
      <c r="F672" s="2" t="s">
        <v>1820</v>
      </c>
      <c r="G672" s="2" t="s">
        <v>143</v>
      </c>
      <c r="H672" s="2" t="s">
        <v>10</v>
      </c>
      <c r="I672" s="2" t="s">
        <v>60</v>
      </c>
      <c r="J672" s="2" t="s">
        <v>144</v>
      </c>
      <c r="K672" s="2" t="s">
        <v>10</v>
      </c>
    </row>
    <row r="673" spans="1:11" ht="27.6" hidden="1" x14ac:dyDescent="0.3">
      <c r="A673" s="2" t="s">
        <v>60</v>
      </c>
      <c r="B673" s="2" t="s">
        <v>2444</v>
      </c>
      <c r="C673" s="3">
        <v>32087</v>
      </c>
      <c r="D673" s="1" t="s">
        <v>2445</v>
      </c>
      <c r="E673" s="1" t="s">
        <v>2446</v>
      </c>
      <c r="F673" s="2" t="s">
        <v>60</v>
      </c>
      <c r="G673" s="2" t="s">
        <v>2447</v>
      </c>
      <c r="H673" s="2" t="s">
        <v>10</v>
      </c>
      <c r="I673" s="2" t="s">
        <v>60</v>
      </c>
      <c r="J673" s="2" t="s">
        <v>2448</v>
      </c>
      <c r="K673" s="2" t="s">
        <v>10</v>
      </c>
    </row>
    <row r="674" spans="1:11" ht="27.6" hidden="1" x14ac:dyDescent="0.3">
      <c r="A674" s="2" t="s">
        <v>60</v>
      </c>
      <c r="B674" s="2" t="s">
        <v>2449</v>
      </c>
      <c r="C674" s="3">
        <v>35925</v>
      </c>
      <c r="D674" s="1" t="s">
        <v>2450</v>
      </c>
      <c r="E674" s="1" t="s">
        <v>2451</v>
      </c>
      <c r="F674" s="2" t="s">
        <v>172</v>
      </c>
      <c r="G674" s="2" t="s">
        <v>196</v>
      </c>
      <c r="H674" s="2" t="s">
        <v>10</v>
      </c>
      <c r="I674" s="2" t="s">
        <v>60</v>
      </c>
      <c r="J674" s="2" t="s">
        <v>2452</v>
      </c>
      <c r="K674" s="2" t="s">
        <v>10</v>
      </c>
    </row>
    <row r="675" spans="1:11" ht="27.6" hidden="1" x14ac:dyDescent="0.3">
      <c r="A675" s="2" t="s">
        <v>60</v>
      </c>
      <c r="B675" s="2" t="s">
        <v>2453</v>
      </c>
      <c r="C675" s="3">
        <v>35807</v>
      </c>
      <c r="D675" s="1" t="s">
        <v>2454</v>
      </c>
      <c r="E675" s="1" t="s">
        <v>2455</v>
      </c>
      <c r="F675" s="2" t="s">
        <v>60</v>
      </c>
      <c r="G675" s="2" t="s">
        <v>2456</v>
      </c>
      <c r="H675" s="2" t="s">
        <v>10</v>
      </c>
      <c r="I675" s="2" t="s">
        <v>60</v>
      </c>
      <c r="J675" s="2" t="s">
        <v>2457</v>
      </c>
      <c r="K675" s="2" t="s">
        <v>10</v>
      </c>
    </row>
    <row r="676" spans="1:11" ht="27.6" hidden="1" x14ac:dyDescent="0.3">
      <c r="A676" s="2" t="s">
        <v>60</v>
      </c>
      <c r="B676" s="2" t="s">
        <v>2458</v>
      </c>
      <c r="C676" s="3">
        <v>32723</v>
      </c>
      <c r="D676" s="1" t="s">
        <v>2459</v>
      </c>
      <c r="E676" s="1" t="s">
        <v>2460</v>
      </c>
      <c r="F676" s="2" t="s">
        <v>60</v>
      </c>
      <c r="G676" s="2" t="s">
        <v>596</v>
      </c>
      <c r="H676" s="2" t="s">
        <v>43</v>
      </c>
      <c r="I676" s="2" t="s">
        <v>60</v>
      </c>
      <c r="J676" s="2" t="s">
        <v>2461</v>
      </c>
      <c r="K676" s="2" t="s">
        <v>10</v>
      </c>
    </row>
    <row r="677" spans="1:11" ht="27.6" hidden="1" x14ac:dyDescent="0.3">
      <c r="A677" s="2" t="s">
        <v>60</v>
      </c>
      <c r="B677" s="2" t="s">
        <v>2462</v>
      </c>
      <c r="C677" s="3">
        <v>33884</v>
      </c>
      <c r="D677" s="1" t="s">
        <v>2463</v>
      </c>
      <c r="E677" s="1" t="s">
        <v>2464</v>
      </c>
      <c r="F677" s="2" t="s">
        <v>941</v>
      </c>
      <c r="G677" s="2" t="s">
        <v>31</v>
      </c>
      <c r="H677" s="2" t="s">
        <v>334</v>
      </c>
      <c r="I677" s="2" t="s">
        <v>60</v>
      </c>
      <c r="J677" s="2" t="s">
        <v>144</v>
      </c>
      <c r="K677" s="2" t="s">
        <v>10</v>
      </c>
    </row>
    <row r="678" spans="1:11" ht="27.6" hidden="1" x14ac:dyDescent="0.3">
      <c r="A678" s="2" t="s">
        <v>60</v>
      </c>
      <c r="B678" s="2" t="s">
        <v>2465</v>
      </c>
      <c r="C678" s="3">
        <v>21062</v>
      </c>
      <c r="D678" s="1" t="s">
        <v>2466</v>
      </c>
      <c r="E678" s="1" t="s">
        <v>2467</v>
      </c>
      <c r="F678" s="2" t="s">
        <v>410</v>
      </c>
      <c r="G678" s="2" t="s">
        <v>190</v>
      </c>
      <c r="H678" s="2" t="s">
        <v>10</v>
      </c>
      <c r="I678" s="2" t="s">
        <v>60</v>
      </c>
      <c r="J678" s="2" t="s">
        <v>191</v>
      </c>
      <c r="K678" s="2" t="s">
        <v>10</v>
      </c>
    </row>
    <row r="679" spans="1:11" ht="27.6" hidden="1" x14ac:dyDescent="0.3">
      <c r="A679" s="2" t="s">
        <v>60</v>
      </c>
      <c r="B679" s="2" t="s">
        <v>2468</v>
      </c>
      <c r="C679" s="3">
        <v>28326</v>
      </c>
      <c r="D679" s="1" t="s">
        <v>2469</v>
      </c>
      <c r="E679" s="1" t="s">
        <v>2470</v>
      </c>
      <c r="F679" s="2" t="s">
        <v>60</v>
      </c>
      <c r="G679" s="2" t="s">
        <v>1222</v>
      </c>
      <c r="H679" s="2" t="s">
        <v>103</v>
      </c>
      <c r="I679" s="2" t="s">
        <v>60</v>
      </c>
      <c r="J679" s="2" t="s">
        <v>1223</v>
      </c>
      <c r="K679" s="2" t="s">
        <v>10</v>
      </c>
    </row>
    <row r="680" spans="1:11" ht="27.6" hidden="1" x14ac:dyDescent="0.3">
      <c r="A680" s="2" t="s">
        <v>60</v>
      </c>
      <c r="B680" s="2" t="s">
        <v>2471</v>
      </c>
      <c r="C680" s="3">
        <v>28326</v>
      </c>
      <c r="D680" s="1" t="s">
        <v>2472</v>
      </c>
      <c r="E680" s="1" t="s">
        <v>2470</v>
      </c>
      <c r="F680" s="2" t="s">
        <v>60</v>
      </c>
      <c r="G680" s="2" t="s">
        <v>1222</v>
      </c>
      <c r="H680" s="2" t="s">
        <v>81</v>
      </c>
      <c r="I680" s="2" t="s">
        <v>60</v>
      </c>
      <c r="J680" s="2" t="s">
        <v>2473</v>
      </c>
      <c r="K680" s="2" t="s">
        <v>10</v>
      </c>
    </row>
    <row r="681" spans="1:11" ht="27.6" hidden="1" x14ac:dyDescent="0.3">
      <c r="A681" s="2" t="s">
        <v>60</v>
      </c>
      <c r="B681" s="2" t="s">
        <v>2468</v>
      </c>
      <c r="C681" s="3">
        <v>28326</v>
      </c>
      <c r="D681" s="1" t="s">
        <v>2472</v>
      </c>
      <c r="E681" s="1" t="s">
        <v>2470</v>
      </c>
      <c r="F681" s="2" t="s">
        <v>60</v>
      </c>
      <c r="G681" s="2" t="s">
        <v>1222</v>
      </c>
      <c r="H681" s="2" t="s">
        <v>562</v>
      </c>
      <c r="I681" s="2" t="s">
        <v>60</v>
      </c>
      <c r="J681" s="2" t="s">
        <v>2473</v>
      </c>
      <c r="K681" s="2" t="s">
        <v>10</v>
      </c>
    </row>
    <row r="682" spans="1:11" ht="27.6" hidden="1" x14ac:dyDescent="0.3">
      <c r="A682" s="2" t="s">
        <v>60</v>
      </c>
      <c r="B682" s="2" t="s">
        <v>2474</v>
      </c>
      <c r="C682" s="3">
        <v>28326</v>
      </c>
      <c r="D682" s="1" t="s">
        <v>2472</v>
      </c>
      <c r="E682" s="1" t="s">
        <v>2470</v>
      </c>
      <c r="F682" s="2" t="s">
        <v>60</v>
      </c>
      <c r="G682" s="2" t="s">
        <v>1222</v>
      </c>
      <c r="H682" s="2" t="s">
        <v>822</v>
      </c>
      <c r="I682" s="2" t="s">
        <v>60</v>
      </c>
      <c r="J682" s="2" t="s">
        <v>2473</v>
      </c>
      <c r="K682" s="2" t="s">
        <v>10</v>
      </c>
    </row>
    <row r="683" spans="1:11" ht="27.6" hidden="1" x14ac:dyDescent="0.3">
      <c r="A683" s="2" t="s">
        <v>60</v>
      </c>
      <c r="B683" s="2" t="s">
        <v>2475</v>
      </c>
      <c r="C683" s="3">
        <v>33880</v>
      </c>
      <c r="D683" s="1" t="s">
        <v>2476</v>
      </c>
      <c r="E683" s="1" t="s">
        <v>2477</v>
      </c>
      <c r="F683" s="2" t="s">
        <v>636</v>
      </c>
      <c r="G683" s="2" t="s">
        <v>124</v>
      </c>
      <c r="H683" s="2" t="s">
        <v>10</v>
      </c>
      <c r="I683" s="2" t="s">
        <v>60</v>
      </c>
      <c r="J683" s="2" t="s">
        <v>2478</v>
      </c>
      <c r="K683" s="2" t="s">
        <v>10</v>
      </c>
    </row>
    <row r="684" spans="1:11" ht="27.6" hidden="1" x14ac:dyDescent="0.3">
      <c r="A684" s="2" t="s">
        <v>60</v>
      </c>
      <c r="B684" s="2" t="s">
        <v>2479</v>
      </c>
      <c r="C684" s="3">
        <v>26721</v>
      </c>
      <c r="D684" s="1" t="s">
        <v>2480</v>
      </c>
      <c r="E684" s="1" t="s">
        <v>2481</v>
      </c>
      <c r="F684" s="2" t="s">
        <v>636</v>
      </c>
      <c r="G684" s="2" t="s">
        <v>217</v>
      </c>
      <c r="H684" s="2" t="s">
        <v>10</v>
      </c>
      <c r="I684" s="2" t="s">
        <v>60</v>
      </c>
      <c r="J684" s="2" t="s">
        <v>2482</v>
      </c>
      <c r="K684" s="2" t="s">
        <v>10</v>
      </c>
    </row>
    <row r="685" spans="1:11" ht="27.6" hidden="1" x14ac:dyDescent="0.3">
      <c r="A685" s="2" t="s">
        <v>60</v>
      </c>
      <c r="B685" s="2" t="s">
        <v>2483</v>
      </c>
      <c r="C685" s="3">
        <v>27284</v>
      </c>
      <c r="D685" s="1" t="s">
        <v>2484</v>
      </c>
      <c r="E685" s="1" t="s">
        <v>2485</v>
      </c>
      <c r="F685" s="2" t="s">
        <v>636</v>
      </c>
      <c r="G685" s="2" t="s">
        <v>425</v>
      </c>
      <c r="H685" s="2" t="s">
        <v>10</v>
      </c>
      <c r="I685" s="2" t="s">
        <v>60</v>
      </c>
      <c r="J685" s="2" t="s">
        <v>2486</v>
      </c>
      <c r="K685" s="2" t="s">
        <v>10</v>
      </c>
    </row>
    <row r="686" spans="1:11" ht="27.6" hidden="1" x14ac:dyDescent="0.3">
      <c r="A686" s="2" t="s">
        <v>60</v>
      </c>
      <c r="B686" s="2" t="s">
        <v>2487</v>
      </c>
      <c r="C686" s="3">
        <v>34432</v>
      </c>
      <c r="D686" s="1" t="s">
        <v>2488</v>
      </c>
      <c r="E686" s="1" t="s">
        <v>2489</v>
      </c>
      <c r="F686" s="2" t="s">
        <v>636</v>
      </c>
      <c r="G686" s="2" t="s">
        <v>319</v>
      </c>
      <c r="H686" s="2" t="s">
        <v>10</v>
      </c>
      <c r="I686" s="2" t="s">
        <v>60</v>
      </c>
      <c r="J686" s="2" t="s">
        <v>320</v>
      </c>
      <c r="K686" s="2" t="s">
        <v>10</v>
      </c>
    </row>
    <row r="687" spans="1:11" ht="27.6" hidden="1" x14ac:dyDescent="0.3">
      <c r="A687" s="2" t="s">
        <v>60</v>
      </c>
      <c r="B687" s="2" t="s">
        <v>2490</v>
      </c>
      <c r="C687" s="3">
        <v>28192</v>
      </c>
      <c r="D687" s="1" t="s">
        <v>2491</v>
      </c>
      <c r="E687" s="1" t="s">
        <v>2492</v>
      </c>
      <c r="F687" s="2" t="s">
        <v>60</v>
      </c>
      <c r="G687" s="2" t="s">
        <v>604</v>
      </c>
      <c r="H687" s="2" t="s">
        <v>103</v>
      </c>
      <c r="I687" s="2" t="s">
        <v>60</v>
      </c>
      <c r="J687" s="2" t="s">
        <v>605</v>
      </c>
      <c r="K687" s="2" t="s">
        <v>10</v>
      </c>
    </row>
    <row r="688" spans="1:11" ht="27.6" hidden="1" x14ac:dyDescent="0.3">
      <c r="A688" s="2" t="s">
        <v>60</v>
      </c>
      <c r="B688" s="2" t="s">
        <v>2490</v>
      </c>
      <c r="C688" s="3">
        <v>28192</v>
      </c>
      <c r="D688" s="1" t="s">
        <v>2493</v>
      </c>
      <c r="E688" s="1" t="s">
        <v>2492</v>
      </c>
      <c r="F688" s="2" t="s">
        <v>60</v>
      </c>
      <c r="G688" s="2" t="s">
        <v>333</v>
      </c>
      <c r="H688" s="2" t="s">
        <v>10</v>
      </c>
      <c r="I688" s="2" t="s">
        <v>60</v>
      </c>
      <c r="J688" s="2" t="s">
        <v>1059</v>
      </c>
      <c r="K688" s="2" t="s">
        <v>10</v>
      </c>
    </row>
    <row r="689" spans="1:11" ht="27.6" hidden="1" x14ac:dyDescent="0.3">
      <c r="A689" s="2" t="s">
        <v>60</v>
      </c>
      <c r="B689" s="2" t="s">
        <v>2494</v>
      </c>
      <c r="C689" s="3">
        <v>28192</v>
      </c>
      <c r="D689" s="1" t="s">
        <v>2491</v>
      </c>
      <c r="E689" s="1" t="s">
        <v>2492</v>
      </c>
      <c r="F689" s="2" t="s">
        <v>60</v>
      </c>
      <c r="G689" s="2" t="s">
        <v>604</v>
      </c>
      <c r="H689" s="2" t="s">
        <v>81</v>
      </c>
      <c r="I689" s="2" t="s">
        <v>60</v>
      </c>
      <c r="J689" s="2" t="s">
        <v>605</v>
      </c>
      <c r="K689" s="2" t="s">
        <v>10</v>
      </c>
    </row>
    <row r="690" spans="1:11" ht="27.6" hidden="1" x14ac:dyDescent="0.3">
      <c r="A690" s="2" t="s">
        <v>60</v>
      </c>
      <c r="B690" s="2" t="s">
        <v>2490</v>
      </c>
      <c r="C690" s="3">
        <v>28192</v>
      </c>
      <c r="D690" s="1" t="s">
        <v>2491</v>
      </c>
      <c r="E690" s="1" t="s">
        <v>2492</v>
      </c>
      <c r="F690" s="2" t="s">
        <v>74</v>
      </c>
      <c r="G690" s="2" t="s">
        <v>143</v>
      </c>
      <c r="H690" s="2" t="s">
        <v>10</v>
      </c>
      <c r="I690" s="2" t="s">
        <v>60</v>
      </c>
      <c r="J690" s="2" t="s">
        <v>324</v>
      </c>
      <c r="K690" s="2" t="s">
        <v>10</v>
      </c>
    </row>
    <row r="691" spans="1:11" ht="27.6" hidden="1" x14ac:dyDescent="0.3">
      <c r="A691" s="2" t="s">
        <v>60</v>
      </c>
      <c r="B691" s="2" t="s">
        <v>2490</v>
      </c>
      <c r="C691" s="3">
        <v>28192</v>
      </c>
      <c r="D691" s="1" t="s">
        <v>2491</v>
      </c>
      <c r="E691" s="1" t="s">
        <v>2492</v>
      </c>
      <c r="F691" s="2" t="s">
        <v>74</v>
      </c>
      <c r="G691" s="2" t="s">
        <v>190</v>
      </c>
      <c r="H691" s="2" t="s">
        <v>10</v>
      </c>
      <c r="I691" s="2" t="s">
        <v>60</v>
      </c>
      <c r="J691" s="2" t="s">
        <v>191</v>
      </c>
      <c r="K691" s="2" t="s">
        <v>10</v>
      </c>
    </row>
    <row r="692" spans="1:11" ht="27.6" hidden="1" x14ac:dyDescent="0.3">
      <c r="A692" s="2" t="s">
        <v>60</v>
      </c>
      <c r="B692" s="2" t="s">
        <v>2490</v>
      </c>
      <c r="C692" s="3">
        <v>28192</v>
      </c>
      <c r="D692" s="1" t="s">
        <v>2495</v>
      </c>
      <c r="E692" s="1" t="s">
        <v>2492</v>
      </c>
      <c r="F692" s="2" t="s">
        <v>410</v>
      </c>
      <c r="G692" s="2" t="s">
        <v>196</v>
      </c>
      <c r="H692" s="2" t="s">
        <v>43</v>
      </c>
      <c r="I692" s="2" t="s">
        <v>60</v>
      </c>
      <c r="J692" s="2" t="s">
        <v>1976</v>
      </c>
      <c r="K692" s="2" t="s">
        <v>10</v>
      </c>
    </row>
    <row r="693" spans="1:11" ht="27.6" hidden="1" x14ac:dyDescent="0.3">
      <c r="A693" s="2" t="s">
        <v>60</v>
      </c>
      <c r="B693" s="2" t="s">
        <v>2496</v>
      </c>
      <c r="C693" s="3">
        <v>35105</v>
      </c>
      <c r="D693" s="1" t="s">
        <v>2497</v>
      </c>
      <c r="E693" s="1" t="s">
        <v>2498</v>
      </c>
      <c r="F693" s="2" t="s">
        <v>60</v>
      </c>
      <c r="G693" s="2" t="s">
        <v>1955</v>
      </c>
      <c r="H693" s="2" t="s">
        <v>43</v>
      </c>
      <c r="I693" s="2" t="s">
        <v>60</v>
      </c>
      <c r="J693" s="2" t="s">
        <v>1956</v>
      </c>
      <c r="K693" s="2" t="s">
        <v>10</v>
      </c>
    </row>
    <row r="694" spans="1:11" ht="27.6" hidden="1" x14ac:dyDescent="0.3">
      <c r="A694" s="2" t="s">
        <v>60</v>
      </c>
      <c r="B694" s="2" t="s">
        <v>2499</v>
      </c>
      <c r="C694" s="3">
        <v>35105</v>
      </c>
      <c r="D694" s="1" t="s">
        <v>2497</v>
      </c>
      <c r="E694" s="1" t="s">
        <v>2498</v>
      </c>
      <c r="F694" s="2" t="s">
        <v>274</v>
      </c>
      <c r="G694" s="2" t="s">
        <v>152</v>
      </c>
      <c r="H694" s="2" t="s">
        <v>10</v>
      </c>
      <c r="I694" s="2" t="s">
        <v>60</v>
      </c>
      <c r="J694" s="2" t="s">
        <v>153</v>
      </c>
      <c r="K694" s="2" t="s">
        <v>10</v>
      </c>
    </row>
    <row r="695" spans="1:11" ht="27.6" hidden="1" x14ac:dyDescent="0.3">
      <c r="A695" s="2" t="s">
        <v>60</v>
      </c>
      <c r="B695" s="2" t="s">
        <v>2500</v>
      </c>
      <c r="C695" s="3">
        <v>35105</v>
      </c>
      <c r="D695" s="1" t="s">
        <v>2497</v>
      </c>
      <c r="E695" s="1" t="s">
        <v>2498</v>
      </c>
      <c r="F695" s="2" t="s">
        <v>60</v>
      </c>
      <c r="G695" s="2" t="s">
        <v>217</v>
      </c>
      <c r="H695" s="2" t="s">
        <v>10</v>
      </c>
      <c r="I695" s="2" t="s">
        <v>60</v>
      </c>
      <c r="J695" s="2" t="s">
        <v>218</v>
      </c>
      <c r="K695" s="2" t="s">
        <v>10</v>
      </c>
    </row>
    <row r="696" spans="1:11" ht="27.6" hidden="1" x14ac:dyDescent="0.3">
      <c r="A696" s="2" t="s">
        <v>60</v>
      </c>
      <c r="B696" s="2" t="s">
        <v>2501</v>
      </c>
      <c r="C696" s="3">
        <v>34464</v>
      </c>
      <c r="D696" s="1" t="s">
        <v>442</v>
      </c>
      <c r="E696" s="1" t="s">
        <v>2502</v>
      </c>
      <c r="F696" s="2" t="s">
        <v>941</v>
      </c>
      <c r="G696" s="2" t="s">
        <v>157</v>
      </c>
      <c r="H696" s="2" t="s">
        <v>10</v>
      </c>
      <c r="I696" s="2" t="s">
        <v>60</v>
      </c>
      <c r="J696" s="2" t="s">
        <v>158</v>
      </c>
      <c r="K696" s="2" t="s">
        <v>10</v>
      </c>
    </row>
    <row r="697" spans="1:11" ht="27.6" hidden="1" x14ac:dyDescent="0.3">
      <c r="A697" s="2" t="s">
        <v>60</v>
      </c>
      <c r="B697" s="2" t="s">
        <v>2503</v>
      </c>
      <c r="C697" s="3">
        <v>25901</v>
      </c>
      <c r="D697" s="1" t="s">
        <v>2504</v>
      </c>
      <c r="E697" s="1" t="s">
        <v>2505</v>
      </c>
      <c r="F697" s="2" t="s">
        <v>775</v>
      </c>
      <c r="G697" s="2" t="s">
        <v>152</v>
      </c>
      <c r="H697" s="2" t="s">
        <v>10</v>
      </c>
      <c r="I697" s="2" t="s">
        <v>60</v>
      </c>
      <c r="J697" s="2" t="s">
        <v>153</v>
      </c>
      <c r="K697" s="2" t="s">
        <v>10</v>
      </c>
    </row>
    <row r="698" spans="1:11" ht="27.6" hidden="1" x14ac:dyDescent="0.3">
      <c r="A698" s="2" t="s">
        <v>60</v>
      </c>
      <c r="B698" s="2" t="s">
        <v>2506</v>
      </c>
      <c r="C698" s="3">
        <v>27025</v>
      </c>
      <c r="D698" s="1" t="s">
        <v>2507</v>
      </c>
      <c r="E698" s="1" t="s">
        <v>2508</v>
      </c>
      <c r="F698" s="2" t="s">
        <v>60</v>
      </c>
      <c r="G698" s="2" t="s">
        <v>206</v>
      </c>
      <c r="H698" s="2" t="s">
        <v>43</v>
      </c>
      <c r="I698" s="2" t="s">
        <v>60</v>
      </c>
      <c r="J698" s="2" t="s">
        <v>2509</v>
      </c>
      <c r="K698" s="2" t="s">
        <v>10</v>
      </c>
    </row>
    <row r="699" spans="1:11" ht="27.6" hidden="1" x14ac:dyDescent="0.3">
      <c r="A699" s="2" t="s">
        <v>60</v>
      </c>
      <c r="B699" s="2" t="s">
        <v>2510</v>
      </c>
      <c r="C699" s="3">
        <v>33239</v>
      </c>
      <c r="D699" s="1" t="s">
        <v>2295</v>
      </c>
      <c r="E699" s="1" t="s">
        <v>2511</v>
      </c>
      <c r="F699" s="2" t="s">
        <v>60</v>
      </c>
      <c r="G699" s="2" t="s">
        <v>206</v>
      </c>
      <c r="H699" s="2" t="s">
        <v>26</v>
      </c>
      <c r="I699" s="2" t="s">
        <v>60</v>
      </c>
      <c r="J699" s="2" t="s">
        <v>2512</v>
      </c>
      <c r="K699" s="2" t="s">
        <v>10</v>
      </c>
    </row>
    <row r="700" spans="1:11" ht="27.6" hidden="1" x14ac:dyDescent="0.3">
      <c r="A700" s="2" t="s">
        <v>60</v>
      </c>
      <c r="B700" s="2" t="s">
        <v>2513</v>
      </c>
      <c r="C700" s="3">
        <v>30440</v>
      </c>
      <c r="D700" s="1" t="s">
        <v>2514</v>
      </c>
      <c r="E700" s="1" t="s">
        <v>2515</v>
      </c>
      <c r="F700" s="2" t="s">
        <v>2103</v>
      </c>
      <c r="G700" s="2" t="s">
        <v>319</v>
      </c>
      <c r="H700" s="2" t="s">
        <v>10</v>
      </c>
      <c r="I700" s="2" t="s">
        <v>60</v>
      </c>
      <c r="J700" s="2" t="s">
        <v>320</v>
      </c>
      <c r="K700" s="2" t="s">
        <v>10</v>
      </c>
    </row>
    <row r="701" spans="1:11" ht="27.6" hidden="1" x14ac:dyDescent="0.3">
      <c r="A701" s="2" t="s">
        <v>60</v>
      </c>
      <c r="B701" s="2" t="s">
        <v>2516</v>
      </c>
      <c r="C701" s="3">
        <v>29374</v>
      </c>
      <c r="D701" s="1" t="s">
        <v>2517</v>
      </c>
      <c r="E701" s="1" t="s">
        <v>2518</v>
      </c>
      <c r="F701" s="2" t="s">
        <v>2236</v>
      </c>
      <c r="G701" s="2" t="s">
        <v>196</v>
      </c>
      <c r="H701" s="2" t="s">
        <v>10</v>
      </c>
      <c r="I701" s="2" t="s">
        <v>60</v>
      </c>
      <c r="J701" s="2" t="s">
        <v>197</v>
      </c>
      <c r="K701" s="2" t="s">
        <v>10</v>
      </c>
    </row>
    <row r="702" spans="1:11" ht="27.6" hidden="1" x14ac:dyDescent="0.3">
      <c r="A702" s="2" t="s">
        <v>60</v>
      </c>
      <c r="B702" s="2" t="s">
        <v>2519</v>
      </c>
      <c r="C702" s="3">
        <v>33059</v>
      </c>
      <c r="D702" s="1" t="s">
        <v>2520</v>
      </c>
      <c r="E702" s="1" t="s">
        <v>2521</v>
      </c>
      <c r="F702" s="2" t="s">
        <v>941</v>
      </c>
      <c r="G702" s="2" t="s">
        <v>124</v>
      </c>
      <c r="H702" s="2" t="s">
        <v>10</v>
      </c>
      <c r="I702" s="2" t="s">
        <v>60</v>
      </c>
      <c r="J702" s="2" t="s">
        <v>173</v>
      </c>
      <c r="K702" s="2" t="s">
        <v>10</v>
      </c>
    </row>
    <row r="703" spans="1:11" ht="27.6" hidden="1" x14ac:dyDescent="0.3">
      <c r="A703" s="2" t="s">
        <v>60</v>
      </c>
      <c r="B703" s="2" t="s">
        <v>2522</v>
      </c>
      <c r="C703" s="3">
        <v>23800</v>
      </c>
      <c r="D703" s="1" t="s">
        <v>2523</v>
      </c>
      <c r="E703" s="1" t="s">
        <v>2524</v>
      </c>
      <c r="F703" s="2" t="s">
        <v>941</v>
      </c>
      <c r="G703" s="2" t="s">
        <v>222</v>
      </c>
      <c r="H703" s="2" t="s">
        <v>10</v>
      </c>
      <c r="I703" s="2" t="s">
        <v>60</v>
      </c>
      <c r="J703" s="2" t="s">
        <v>223</v>
      </c>
      <c r="K703" s="2" t="s">
        <v>10</v>
      </c>
    </row>
    <row r="704" spans="1:11" ht="27.6" hidden="1" x14ac:dyDescent="0.3">
      <c r="A704" s="2" t="s">
        <v>60</v>
      </c>
      <c r="B704" s="2" t="s">
        <v>2525</v>
      </c>
      <c r="C704" s="3">
        <v>23586</v>
      </c>
      <c r="D704" s="1" t="s">
        <v>2523</v>
      </c>
      <c r="E704" s="1" t="s">
        <v>2524</v>
      </c>
      <c r="F704" s="2" t="s">
        <v>941</v>
      </c>
      <c r="G704" s="2" t="s">
        <v>319</v>
      </c>
      <c r="H704" s="2" t="s">
        <v>10</v>
      </c>
      <c r="I704" s="2" t="s">
        <v>60</v>
      </c>
      <c r="J704" s="2" t="s">
        <v>320</v>
      </c>
      <c r="K704" s="2" t="s">
        <v>10</v>
      </c>
    </row>
    <row r="705" spans="1:12" ht="27.6" hidden="1" x14ac:dyDescent="0.3">
      <c r="A705" s="2" t="s">
        <v>60</v>
      </c>
      <c r="B705" s="2" t="s">
        <v>2526</v>
      </c>
      <c r="C705" s="3">
        <v>23434</v>
      </c>
      <c r="D705" s="1" t="s">
        <v>2523</v>
      </c>
      <c r="E705" s="1" t="s">
        <v>2524</v>
      </c>
      <c r="F705" s="2" t="s">
        <v>2372</v>
      </c>
      <c r="G705" s="2" t="s">
        <v>112</v>
      </c>
      <c r="H705" s="2" t="s">
        <v>10</v>
      </c>
      <c r="I705" s="2" t="s">
        <v>60</v>
      </c>
      <c r="J705" s="2" t="s">
        <v>315</v>
      </c>
      <c r="K705" s="2" t="s">
        <v>10</v>
      </c>
    </row>
    <row r="706" spans="1:12" ht="27.6" hidden="1" x14ac:dyDescent="0.3">
      <c r="A706" s="2" t="s">
        <v>60</v>
      </c>
      <c r="B706" s="2" t="s">
        <v>2527</v>
      </c>
      <c r="C706" s="3">
        <v>33603</v>
      </c>
      <c r="D706" s="1" t="s">
        <v>2528</v>
      </c>
      <c r="E706" s="1" t="s">
        <v>2529</v>
      </c>
      <c r="F706" s="2" t="s">
        <v>941</v>
      </c>
      <c r="G706" s="2" t="s">
        <v>196</v>
      </c>
      <c r="H706" s="2" t="s">
        <v>10</v>
      </c>
      <c r="I706" s="2" t="s">
        <v>60</v>
      </c>
      <c r="J706" s="2" t="s">
        <v>197</v>
      </c>
      <c r="K706" s="2" t="s">
        <v>10</v>
      </c>
    </row>
    <row r="707" spans="1:12" ht="27.6" hidden="1" x14ac:dyDescent="0.3">
      <c r="A707" s="2" t="s">
        <v>60</v>
      </c>
      <c r="B707" s="2" t="s">
        <v>2530</v>
      </c>
      <c r="C707" s="3">
        <v>38481</v>
      </c>
      <c r="D707" s="1" t="s">
        <v>2531</v>
      </c>
      <c r="E707" s="1" t="s">
        <v>2532</v>
      </c>
      <c r="F707" s="2" t="s">
        <v>60</v>
      </c>
      <c r="G707" s="2" t="s">
        <v>328</v>
      </c>
      <c r="H707" s="2" t="s">
        <v>334</v>
      </c>
      <c r="I707" s="2" t="s">
        <v>60</v>
      </c>
      <c r="J707" s="2" t="s">
        <v>329</v>
      </c>
      <c r="K707" s="2" t="s">
        <v>10</v>
      </c>
    </row>
    <row r="708" spans="1:12" ht="27.6" hidden="1" x14ac:dyDescent="0.3">
      <c r="A708" s="2" t="s">
        <v>60</v>
      </c>
      <c r="B708" s="2" t="s">
        <v>2533</v>
      </c>
      <c r="C708" s="3">
        <v>23108</v>
      </c>
      <c r="D708" s="1" t="s">
        <v>2534</v>
      </c>
      <c r="E708" s="1" t="s">
        <v>2535</v>
      </c>
      <c r="F708" s="2" t="s">
        <v>60</v>
      </c>
      <c r="G708" s="2" t="s">
        <v>511</v>
      </c>
      <c r="H708" s="2" t="s">
        <v>103</v>
      </c>
      <c r="I708" s="2" t="s">
        <v>60</v>
      </c>
      <c r="J708" s="2" t="s">
        <v>2536</v>
      </c>
      <c r="K708" s="2" t="s">
        <v>10</v>
      </c>
    </row>
    <row r="709" spans="1:12" ht="27.6" hidden="1" x14ac:dyDescent="0.3">
      <c r="A709" s="2" t="s">
        <v>60</v>
      </c>
      <c r="B709" s="2" t="s">
        <v>2533</v>
      </c>
      <c r="C709" s="3">
        <v>23108</v>
      </c>
      <c r="D709" s="1" t="s">
        <v>2534</v>
      </c>
      <c r="E709" s="1" t="s">
        <v>2535</v>
      </c>
      <c r="F709" s="2" t="s">
        <v>60</v>
      </c>
      <c r="G709" s="2" t="s">
        <v>511</v>
      </c>
      <c r="H709" s="2" t="s">
        <v>81</v>
      </c>
      <c r="I709" s="2" t="s">
        <v>60</v>
      </c>
      <c r="J709" s="2" t="s">
        <v>2537</v>
      </c>
      <c r="K709" s="2" t="s">
        <v>10</v>
      </c>
    </row>
    <row r="710" spans="1:12" ht="27.6" hidden="1" x14ac:dyDescent="0.3">
      <c r="A710" s="2" t="s">
        <v>60</v>
      </c>
      <c r="B710" s="2" t="s">
        <v>2538</v>
      </c>
      <c r="C710" s="3">
        <v>28442</v>
      </c>
      <c r="D710" s="1" t="s">
        <v>2539</v>
      </c>
      <c r="E710" s="1" t="s">
        <v>2540</v>
      </c>
      <c r="F710" s="2" t="s">
        <v>60</v>
      </c>
      <c r="G710" s="2" t="s">
        <v>37</v>
      </c>
      <c r="H710" s="2" t="s">
        <v>10</v>
      </c>
      <c r="I710" s="2" t="s">
        <v>60</v>
      </c>
      <c r="J710" s="2" t="s">
        <v>406</v>
      </c>
      <c r="K710" s="2" t="s">
        <v>10</v>
      </c>
    </row>
    <row r="711" spans="1:12" ht="27.6" hidden="1" x14ac:dyDescent="0.3">
      <c r="A711" s="2" t="s">
        <v>60</v>
      </c>
      <c r="B711" s="2" t="s">
        <v>2541</v>
      </c>
      <c r="C711" s="3">
        <v>23975</v>
      </c>
      <c r="D711" s="1" t="s">
        <v>2542</v>
      </c>
      <c r="E711" s="1" t="s">
        <v>2543</v>
      </c>
      <c r="F711" s="2" t="s">
        <v>2103</v>
      </c>
      <c r="G711" s="2" t="s">
        <v>385</v>
      </c>
      <c r="H711" s="2" t="s">
        <v>10</v>
      </c>
      <c r="I711" s="2" t="s">
        <v>60</v>
      </c>
      <c r="J711" s="2" t="s">
        <v>87</v>
      </c>
      <c r="K711" s="2" t="s">
        <v>10</v>
      </c>
    </row>
    <row r="712" spans="1:12" ht="27.6" hidden="1" x14ac:dyDescent="0.3">
      <c r="A712" s="2" t="s">
        <v>60</v>
      </c>
      <c r="B712" s="2" t="s">
        <v>2544</v>
      </c>
      <c r="C712" s="3">
        <v>25041</v>
      </c>
      <c r="D712" s="1" t="s">
        <v>2545</v>
      </c>
      <c r="E712" s="1" t="s">
        <v>2546</v>
      </c>
      <c r="F712" s="2" t="s">
        <v>60</v>
      </c>
      <c r="G712" s="2" t="s">
        <v>124</v>
      </c>
      <c r="H712" s="2" t="s">
        <v>10</v>
      </c>
      <c r="I712" s="2" t="s">
        <v>60</v>
      </c>
      <c r="J712" s="2" t="s">
        <v>173</v>
      </c>
      <c r="K712" s="2" t="s">
        <v>10</v>
      </c>
    </row>
    <row r="713" spans="1:12" ht="27.6" hidden="1" x14ac:dyDescent="0.3">
      <c r="A713" s="2" t="s">
        <v>60</v>
      </c>
      <c r="B713" s="2" t="s">
        <v>2547</v>
      </c>
      <c r="C713" s="3">
        <v>32144</v>
      </c>
      <c r="D713" s="1" t="s">
        <v>2548</v>
      </c>
      <c r="E713" s="1" t="s">
        <v>2549</v>
      </c>
      <c r="F713" s="2" t="s">
        <v>60</v>
      </c>
      <c r="G713" s="2" t="s">
        <v>2550</v>
      </c>
      <c r="H713" s="2" t="s">
        <v>10</v>
      </c>
      <c r="I713" s="2" t="s">
        <v>60</v>
      </c>
      <c r="J713" s="2" t="s">
        <v>153</v>
      </c>
      <c r="K713" s="2" t="s">
        <v>10</v>
      </c>
    </row>
    <row r="714" spans="1:12" ht="27.6" hidden="1" x14ac:dyDescent="0.3">
      <c r="A714" s="2" t="s">
        <v>60</v>
      </c>
      <c r="B714" s="2" t="s">
        <v>2551</v>
      </c>
      <c r="C714" s="3">
        <v>34609</v>
      </c>
      <c r="D714" s="1" t="s">
        <v>2552</v>
      </c>
      <c r="E714" s="1" t="s">
        <v>2553</v>
      </c>
      <c r="F714" s="2" t="s">
        <v>941</v>
      </c>
      <c r="G714" s="2" t="s">
        <v>492</v>
      </c>
      <c r="H714" s="2" t="s">
        <v>10</v>
      </c>
      <c r="I714" s="2" t="s">
        <v>60</v>
      </c>
      <c r="J714" s="2" t="s">
        <v>619</v>
      </c>
      <c r="K714" s="2" t="s">
        <v>10</v>
      </c>
    </row>
    <row r="715" spans="1:12" ht="27.6" hidden="1" x14ac:dyDescent="0.3">
      <c r="A715" s="2" t="s">
        <v>60</v>
      </c>
      <c r="B715" s="2" t="s">
        <v>2554</v>
      </c>
      <c r="C715" s="3">
        <v>35951</v>
      </c>
      <c r="D715" s="1" t="s">
        <v>2555</v>
      </c>
      <c r="E715" s="1" t="s">
        <v>2556</v>
      </c>
      <c r="F715" s="2" t="s">
        <v>314</v>
      </c>
      <c r="G715" s="2" t="s">
        <v>190</v>
      </c>
      <c r="H715" s="2" t="s">
        <v>10</v>
      </c>
      <c r="I715" s="2" t="s">
        <v>60</v>
      </c>
      <c r="J715" s="2" t="s">
        <v>191</v>
      </c>
      <c r="K715" s="2" t="s">
        <v>10</v>
      </c>
    </row>
    <row r="716" spans="1:12" ht="27.6" hidden="1" x14ac:dyDescent="0.3">
      <c r="A716" s="2" t="s">
        <v>60</v>
      </c>
      <c r="B716" s="2" t="s">
        <v>2557</v>
      </c>
      <c r="C716" s="3">
        <v>28988</v>
      </c>
      <c r="D716" s="1" t="s">
        <v>2558</v>
      </c>
      <c r="E716" s="1" t="s">
        <v>2559</v>
      </c>
      <c r="F716" s="2" t="s">
        <v>416</v>
      </c>
      <c r="G716" s="2" t="s">
        <v>157</v>
      </c>
      <c r="H716" s="2" t="s">
        <v>10</v>
      </c>
      <c r="I716" s="2" t="s">
        <v>60</v>
      </c>
      <c r="J716" s="2" t="s">
        <v>158</v>
      </c>
      <c r="K716" s="2" t="s">
        <v>10</v>
      </c>
    </row>
    <row r="717" spans="1:12" ht="27.6" hidden="1" x14ac:dyDescent="0.3">
      <c r="A717" s="2" t="s">
        <v>60</v>
      </c>
      <c r="B717" s="2" t="s">
        <v>2560</v>
      </c>
      <c r="C717" s="3">
        <v>28037</v>
      </c>
      <c r="D717" s="1" t="s">
        <v>2561</v>
      </c>
      <c r="E717" s="1" t="s">
        <v>2562</v>
      </c>
      <c r="F717" s="2" t="s">
        <v>2174</v>
      </c>
      <c r="G717" s="2" t="s">
        <v>190</v>
      </c>
      <c r="H717" s="2" t="s">
        <v>10</v>
      </c>
      <c r="I717" s="2" t="s">
        <v>60</v>
      </c>
      <c r="J717" s="2" t="s">
        <v>191</v>
      </c>
      <c r="K717" s="2" t="s">
        <v>10</v>
      </c>
    </row>
    <row r="718" spans="1:12" ht="27.6" hidden="1" x14ac:dyDescent="0.3">
      <c r="A718" s="2" t="s">
        <v>11</v>
      </c>
      <c r="B718" s="2" t="s">
        <v>2563</v>
      </c>
      <c r="C718" s="3">
        <v>34358</v>
      </c>
      <c r="D718" s="1" t="s">
        <v>2564</v>
      </c>
      <c r="E718" s="1" t="s">
        <v>2565</v>
      </c>
      <c r="F718" s="2" t="s">
        <v>16</v>
      </c>
      <c r="G718" s="2" t="s">
        <v>2566</v>
      </c>
      <c r="H718" s="2" t="s">
        <v>2567</v>
      </c>
      <c r="I718" s="2" t="s">
        <v>11</v>
      </c>
      <c r="J718" s="2" t="s">
        <v>2568</v>
      </c>
      <c r="K718" s="30" t="s">
        <v>13193</v>
      </c>
      <c r="L718" s="29" t="s">
        <v>13195</v>
      </c>
    </row>
    <row r="719" spans="1:12" ht="27.6" hidden="1" x14ac:dyDescent="0.3">
      <c r="A719" s="2" t="s">
        <v>11</v>
      </c>
      <c r="B719" s="2" t="s">
        <v>2569</v>
      </c>
      <c r="C719" s="3">
        <v>26412</v>
      </c>
      <c r="D719" s="1" t="s">
        <v>737</v>
      </c>
      <c r="E719" s="1" t="s">
        <v>2570</v>
      </c>
      <c r="F719" s="2" t="s">
        <v>16</v>
      </c>
      <c r="G719" s="2" t="s">
        <v>2566</v>
      </c>
      <c r="H719" s="2" t="s">
        <v>2571</v>
      </c>
      <c r="I719" s="2" t="s">
        <v>11</v>
      </c>
      <c r="J719" s="2" t="s">
        <v>2572</v>
      </c>
      <c r="K719" s="2" t="s">
        <v>10</v>
      </c>
      <c r="L719" s="6"/>
    </row>
    <row r="720" spans="1:12" ht="27.6" hidden="1" x14ac:dyDescent="0.3">
      <c r="A720" s="2" t="s">
        <v>11</v>
      </c>
      <c r="B720" s="2" t="s">
        <v>2573</v>
      </c>
      <c r="C720" s="3">
        <v>30672</v>
      </c>
      <c r="D720" s="1" t="s">
        <v>2574</v>
      </c>
      <c r="E720" s="1" t="s">
        <v>2575</v>
      </c>
      <c r="F720" s="2" t="s">
        <v>36</v>
      </c>
      <c r="G720" s="2" t="s">
        <v>206</v>
      </c>
      <c r="H720" s="2" t="s">
        <v>10</v>
      </c>
      <c r="I720" s="2" t="s">
        <v>11</v>
      </c>
      <c r="J720" s="2" t="s">
        <v>2576</v>
      </c>
      <c r="K720" s="2" t="s">
        <v>10</v>
      </c>
    </row>
    <row r="721" spans="1:12" ht="27.6" hidden="1" x14ac:dyDescent="0.3">
      <c r="A721" s="2" t="s">
        <v>11</v>
      </c>
      <c r="B721" s="2" t="s">
        <v>2573</v>
      </c>
      <c r="C721" s="3">
        <v>30672</v>
      </c>
      <c r="D721" s="1" t="s">
        <v>2577</v>
      </c>
      <c r="E721" s="1" t="s">
        <v>2575</v>
      </c>
      <c r="F721" s="2" t="s">
        <v>36</v>
      </c>
      <c r="G721" s="2" t="s">
        <v>230</v>
      </c>
      <c r="H721" s="2" t="s">
        <v>10</v>
      </c>
      <c r="I721" s="2" t="s">
        <v>11</v>
      </c>
      <c r="J721" s="2" t="s">
        <v>1922</v>
      </c>
      <c r="K721" s="2" t="s">
        <v>10</v>
      </c>
    </row>
    <row r="722" spans="1:12" ht="27.6" hidden="1" x14ac:dyDescent="0.3">
      <c r="A722" s="2" t="s">
        <v>11</v>
      </c>
      <c r="B722" s="2" t="s">
        <v>2578</v>
      </c>
      <c r="C722" s="3">
        <v>27816</v>
      </c>
      <c r="D722" s="1" t="s">
        <v>2579</v>
      </c>
      <c r="E722" s="1" t="s">
        <v>2580</v>
      </c>
      <c r="F722" s="2" t="s">
        <v>16</v>
      </c>
      <c r="G722" s="2" t="s">
        <v>97</v>
      </c>
      <c r="H722" s="2" t="s">
        <v>2581</v>
      </c>
      <c r="I722" s="2" t="s">
        <v>11</v>
      </c>
      <c r="J722" s="2" t="s">
        <v>2582</v>
      </c>
      <c r="K722" s="30" t="s">
        <v>13193</v>
      </c>
      <c r="L722" s="6"/>
    </row>
    <row r="723" spans="1:12" ht="27.6" hidden="1" x14ac:dyDescent="0.3">
      <c r="A723" s="2" t="s">
        <v>11</v>
      </c>
      <c r="B723" s="2" t="s">
        <v>2578</v>
      </c>
      <c r="C723" s="3">
        <v>27816</v>
      </c>
      <c r="D723" s="1" t="s">
        <v>2579</v>
      </c>
      <c r="E723" s="1" t="s">
        <v>2580</v>
      </c>
      <c r="F723" s="2" t="s">
        <v>16</v>
      </c>
      <c r="G723" s="2" t="s">
        <v>97</v>
      </c>
      <c r="H723" s="2" t="s">
        <v>2583</v>
      </c>
      <c r="I723" s="2" t="s">
        <v>11</v>
      </c>
      <c r="J723" s="2" t="s">
        <v>2584</v>
      </c>
      <c r="K723" s="30" t="s">
        <v>13193</v>
      </c>
      <c r="L723" s="6"/>
    </row>
    <row r="724" spans="1:12" ht="27.6" hidden="1" x14ac:dyDescent="0.3">
      <c r="A724" s="2" t="s">
        <v>11</v>
      </c>
      <c r="B724" s="29" t="s">
        <v>2578</v>
      </c>
      <c r="C724" s="3">
        <v>27816</v>
      </c>
      <c r="D724" s="1" t="s">
        <v>2579</v>
      </c>
      <c r="E724" s="1" t="s">
        <v>2580</v>
      </c>
      <c r="F724" s="2" t="s">
        <v>16</v>
      </c>
      <c r="G724" s="2" t="s">
        <v>2585</v>
      </c>
      <c r="H724" s="2" t="s">
        <v>2567</v>
      </c>
      <c r="I724" s="2" t="s">
        <v>11</v>
      </c>
      <c r="J724" s="2" t="s">
        <v>2586</v>
      </c>
      <c r="K724" s="30" t="s">
        <v>13193</v>
      </c>
      <c r="L724" s="6"/>
    </row>
    <row r="725" spans="1:12" ht="27.6" hidden="1" x14ac:dyDescent="0.3">
      <c r="A725" s="2" t="s">
        <v>11</v>
      </c>
      <c r="B725" s="2" t="s">
        <v>2578</v>
      </c>
      <c r="C725" s="3">
        <v>27816</v>
      </c>
      <c r="D725" s="1" t="s">
        <v>2587</v>
      </c>
      <c r="E725" s="1" t="s">
        <v>2580</v>
      </c>
      <c r="F725" s="2" t="s">
        <v>16</v>
      </c>
      <c r="G725" s="2" t="s">
        <v>97</v>
      </c>
      <c r="H725" s="2" t="s">
        <v>2588</v>
      </c>
      <c r="I725" s="2" t="s">
        <v>11</v>
      </c>
      <c r="J725" s="2" t="s">
        <v>2582</v>
      </c>
      <c r="K725" s="30" t="s">
        <v>13193</v>
      </c>
      <c r="L725" s="6"/>
    </row>
    <row r="726" spans="1:12" ht="27.6" hidden="1" x14ac:dyDescent="0.3">
      <c r="A726" s="2" t="s">
        <v>11</v>
      </c>
      <c r="B726" s="2" t="s">
        <v>2589</v>
      </c>
      <c r="C726" s="3">
        <v>27816</v>
      </c>
      <c r="D726" s="1" t="s">
        <v>2579</v>
      </c>
      <c r="E726" s="1" t="s">
        <v>2580</v>
      </c>
      <c r="F726" s="2" t="s">
        <v>16</v>
      </c>
      <c r="G726" s="2" t="s">
        <v>97</v>
      </c>
      <c r="H726" s="2" t="s">
        <v>2571</v>
      </c>
      <c r="I726" s="2" t="s">
        <v>11</v>
      </c>
      <c r="J726" s="2" t="s">
        <v>2590</v>
      </c>
      <c r="K726" s="2" t="s">
        <v>10</v>
      </c>
      <c r="L726" s="6"/>
    </row>
    <row r="727" spans="1:12" ht="27.6" hidden="1" x14ac:dyDescent="0.3">
      <c r="A727" s="2" t="s">
        <v>11</v>
      </c>
      <c r="B727" s="2" t="s">
        <v>2591</v>
      </c>
      <c r="C727" s="3">
        <v>25404</v>
      </c>
      <c r="D727" s="1" t="s">
        <v>2592</v>
      </c>
      <c r="E727" s="1" t="s">
        <v>2593</v>
      </c>
      <c r="F727" s="2" t="s">
        <v>16</v>
      </c>
      <c r="G727" s="2" t="s">
        <v>2594</v>
      </c>
      <c r="H727" s="2" t="s">
        <v>1333</v>
      </c>
      <c r="I727" s="2" t="s">
        <v>11</v>
      </c>
      <c r="J727" s="2" t="s">
        <v>2595</v>
      </c>
      <c r="K727" s="30" t="s">
        <v>13193</v>
      </c>
      <c r="L727" s="26" t="s">
        <v>13195</v>
      </c>
    </row>
    <row r="728" spans="1:12" ht="27.6" hidden="1" x14ac:dyDescent="0.3">
      <c r="A728" s="2" t="s">
        <v>11</v>
      </c>
      <c r="B728" s="2" t="s">
        <v>2596</v>
      </c>
      <c r="C728" s="3">
        <v>25404</v>
      </c>
      <c r="D728" s="1" t="s">
        <v>2597</v>
      </c>
      <c r="E728" s="1" t="s">
        <v>2598</v>
      </c>
      <c r="F728" s="2" t="s">
        <v>16</v>
      </c>
      <c r="G728" s="2" t="s">
        <v>2594</v>
      </c>
      <c r="H728" s="2" t="s">
        <v>1341</v>
      </c>
      <c r="I728" s="2" t="s">
        <v>11</v>
      </c>
      <c r="J728" s="2" t="s">
        <v>2599</v>
      </c>
      <c r="K728" s="2" t="s">
        <v>10</v>
      </c>
      <c r="L728" s="6"/>
    </row>
    <row r="729" spans="1:12" ht="27.6" hidden="1" x14ac:dyDescent="0.3">
      <c r="A729" s="2" t="s">
        <v>11</v>
      </c>
      <c r="B729" s="2" t="s">
        <v>2600</v>
      </c>
      <c r="C729" s="3">
        <v>29431</v>
      </c>
      <c r="D729" s="1" t="s">
        <v>2601</v>
      </c>
      <c r="E729" s="1" t="s">
        <v>2602</v>
      </c>
      <c r="F729" s="2" t="s">
        <v>16</v>
      </c>
      <c r="G729" s="2" t="s">
        <v>211</v>
      </c>
      <c r="H729" s="2" t="s">
        <v>2567</v>
      </c>
      <c r="I729" s="2" t="s">
        <v>11</v>
      </c>
      <c r="J729" s="2" t="s">
        <v>212</v>
      </c>
      <c r="K729" s="2" t="s">
        <v>10</v>
      </c>
    </row>
    <row r="730" spans="1:12" ht="27.6" hidden="1" x14ac:dyDescent="0.3">
      <c r="A730" s="2" t="s">
        <v>11</v>
      </c>
      <c r="B730" s="2" t="s">
        <v>2603</v>
      </c>
      <c r="C730" s="3">
        <v>25601</v>
      </c>
      <c r="D730" s="1" t="s">
        <v>2604</v>
      </c>
      <c r="E730" s="1" t="s">
        <v>2605</v>
      </c>
      <c r="F730" s="2" t="s">
        <v>16</v>
      </c>
      <c r="G730" s="2" t="s">
        <v>211</v>
      </c>
      <c r="H730" s="2" t="s">
        <v>2571</v>
      </c>
      <c r="I730" s="2" t="s">
        <v>11</v>
      </c>
      <c r="J730" s="2" t="s">
        <v>212</v>
      </c>
      <c r="K730" s="2" t="s">
        <v>10</v>
      </c>
    </row>
    <row r="731" spans="1:12" ht="27.6" hidden="1" x14ac:dyDescent="0.3">
      <c r="A731" s="2" t="s">
        <v>60</v>
      </c>
      <c r="B731" s="2" t="s">
        <v>2606</v>
      </c>
      <c r="C731" s="3">
        <v>18102</v>
      </c>
      <c r="D731" s="1" t="s">
        <v>2607</v>
      </c>
      <c r="E731" s="1" t="s">
        <v>2608</v>
      </c>
      <c r="F731" s="2" t="s">
        <v>314</v>
      </c>
      <c r="G731" s="2" t="s">
        <v>328</v>
      </c>
      <c r="H731" s="2" t="s">
        <v>10</v>
      </c>
      <c r="I731" s="2" t="s">
        <v>60</v>
      </c>
      <c r="J731" s="2" t="s">
        <v>329</v>
      </c>
      <c r="K731" s="2" t="s">
        <v>10</v>
      </c>
    </row>
    <row r="732" spans="1:12" ht="27.6" hidden="1" x14ac:dyDescent="0.3">
      <c r="A732" s="2" t="s">
        <v>60</v>
      </c>
      <c r="B732" s="2" t="s">
        <v>2609</v>
      </c>
      <c r="C732" s="3">
        <v>32737</v>
      </c>
      <c r="D732" s="1" t="s">
        <v>442</v>
      </c>
      <c r="E732" s="1" t="s">
        <v>2610</v>
      </c>
      <c r="F732" s="2" t="s">
        <v>123</v>
      </c>
      <c r="G732" s="2" t="s">
        <v>112</v>
      </c>
      <c r="H732" s="2" t="s">
        <v>10</v>
      </c>
      <c r="I732" s="2" t="s">
        <v>60</v>
      </c>
      <c r="J732" s="2" t="s">
        <v>315</v>
      </c>
      <c r="K732" s="2" t="s">
        <v>10</v>
      </c>
    </row>
    <row r="733" spans="1:12" ht="27.6" hidden="1" x14ac:dyDescent="0.3">
      <c r="A733" s="2" t="s">
        <v>60</v>
      </c>
      <c r="B733" s="2" t="s">
        <v>2611</v>
      </c>
      <c r="C733" s="3">
        <v>22506</v>
      </c>
      <c r="D733" s="1" t="s">
        <v>2612</v>
      </c>
      <c r="E733" s="1" t="s">
        <v>2613</v>
      </c>
      <c r="F733" s="2" t="s">
        <v>74</v>
      </c>
      <c r="G733" s="2" t="s">
        <v>112</v>
      </c>
      <c r="H733" s="2" t="s">
        <v>10</v>
      </c>
      <c r="I733" s="2" t="s">
        <v>60</v>
      </c>
      <c r="J733" s="2" t="s">
        <v>315</v>
      </c>
      <c r="K733" s="2" t="s">
        <v>10</v>
      </c>
    </row>
    <row r="734" spans="1:12" ht="27.6" hidden="1" x14ac:dyDescent="0.3">
      <c r="A734" s="2" t="s">
        <v>60</v>
      </c>
      <c r="B734" s="2" t="s">
        <v>2614</v>
      </c>
      <c r="C734" s="3">
        <v>38883</v>
      </c>
      <c r="D734" s="1" t="s">
        <v>2615</v>
      </c>
      <c r="E734" s="1" t="s">
        <v>2616</v>
      </c>
      <c r="F734" s="2" t="s">
        <v>421</v>
      </c>
      <c r="G734" s="2" t="s">
        <v>157</v>
      </c>
      <c r="H734" s="2" t="s">
        <v>26</v>
      </c>
      <c r="I734" s="2" t="s">
        <v>60</v>
      </c>
      <c r="J734" s="2" t="s">
        <v>2617</v>
      </c>
      <c r="K734" s="2" t="s">
        <v>10</v>
      </c>
    </row>
    <row r="735" spans="1:12" ht="27.6" hidden="1" x14ac:dyDescent="0.3">
      <c r="A735" s="2" t="s">
        <v>60</v>
      </c>
      <c r="B735" s="2" t="s">
        <v>2618</v>
      </c>
      <c r="C735" s="3">
        <v>39094</v>
      </c>
      <c r="D735" s="1" t="s">
        <v>2619</v>
      </c>
      <c r="E735" s="1" t="s">
        <v>2620</v>
      </c>
      <c r="F735" s="2" t="s">
        <v>151</v>
      </c>
      <c r="G735" s="2" t="s">
        <v>124</v>
      </c>
      <c r="H735" s="2" t="s">
        <v>10</v>
      </c>
      <c r="I735" s="2" t="s">
        <v>60</v>
      </c>
      <c r="J735" s="2" t="s">
        <v>173</v>
      </c>
      <c r="K735" s="2" t="s">
        <v>10</v>
      </c>
    </row>
    <row r="736" spans="1:12" ht="27.6" hidden="1" x14ac:dyDescent="0.3">
      <c r="A736" s="2" t="s">
        <v>60</v>
      </c>
      <c r="B736" s="2" t="s">
        <v>2621</v>
      </c>
      <c r="C736" s="3">
        <v>38379</v>
      </c>
      <c r="D736" s="1" t="s">
        <v>2622</v>
      </c>
      <c r="E736" s="1" t="s">
        <v>2623</v>
      </c>
      <c r="F736" s="2" t="s">
        <v>1249</v>
      </c>
      <c r="G736" s="2" t="s">
        <v>2624</v>
      </c>
      <c r="H736" s="2" t="s">
        <v>10</v>
      </c>
      <c r="I736" s="2" t="s">
        <v>60</v>
      </c>
      <c r="J736" s="2" t="s">
        <v>2625</v>
      </c>
      <c r="K736" s="2" t="s">
        <v>10</v>
      </c>
    </row>
    <row r="737" spans="1:11" ht="27.6" hidden="1" x14ac:dyDescent="0.3">
      <c r="A737" s="2" t="s">
        <v>60</v>
      </c>
      <c r="B737" s="2" t="s">
        <v>2626</v>
      </c>
      <c r="C737" s="3">
        <v>21444</v>
      </c>
      <c r="D737" s="1" t="s">
        <v>2627</v>
      </c>
      <c r="E737" s="1" t="s">
        <v>2628</v>
      </c>
      <c r="F737" s="2" t="s">
        <v>123</v>
      </c>
      <c r="G737" s="2" t="s">
        <v>319</v>
      </c>
      <c r="H737" s="2" t="s">
        <v>10</v>
      </c>
      <c r="I737" s="2" t="s">
        <v>60</v>
      </c>
      <c r="J737" s="2" t="s">
        <v>320</v>
      </c>
      <c r="K737" s="2" t="s">
        <v>10</v>
      </c>
    </row>
    <row r="738" spans="1:11" ht="27.6" hidden="1" x14ac:dyDescent="0.3">
      <c r="A738" s="2" t="s">
        <v>60</v>
      </c>
      <c r="B738" s="2" t="s">
        <v>2629</v>
      </c>
      <c r="C738" s="3">
        <v>21221</v>
      </c>
      <c r="D738" s="1" t="s">
        <v>2630</v>
      </c>
      <c r="E738" s="1" t="s">
        <v>2631</v>
      </c>
      <c r="F738" s="2" t="s">
        <v>421</v>
      </c>
      <c r="G738" s="2" t="s">
        <v>157</v>
      </c>
      <c r="H738" s="2" t="s">
        <v>10</v>
      </c>
      <c r="I738" s="2" t="s">
        <v>60</v>
      </c>
      <c r="J738" s="2" t="s">
        <v>158</v>
      </c>
      <c r="K738" s="2" t="s">
        <v>10</v>
      </c>
    </row>
    <row r="739" spans="1:11" ht="27.6" hidden="1" x14ac:dyDescent="0.3">
      <c r="A739" s="2" t="s">
        <v>60</v>
      </c>
      <c r="B739" s="2" t="s">
        <v>2632</v>
      </c>
      <c r="C739" s="3">
        <v>31519</v>
      </c>
      <c r="D739" s="1" t="s">
        <v>2633</v>
      </c>
      <c r="E739" s="1" t="s">
        <v>2634</v>
      </c>
      <c r="F739" s="2" t="s">
        <v>421</v>
      </c>
      <c r="G739" s="2" t="s">
        <v>143</v>
      </c>
      <c r="H739" s="2" t="s">
        <v>10</v>
      </c>
      <c r="I739" s="2" t="s">
        <v>60</v>
      </c>
      <c r="J739" s="2" t="s">
        <v>144</v>
      </c>
      <c r="K739" s="2" t="s">
        <v>10</v>
      </c>
    </row>
    <row r="740" spans="1:11" ht="27.6" hidden="1" x14ac:dyDescent="0.3">
      <c r="A740" s="2" t="s">
        <v>60</v>
      </c>
      <c r="B740" s="2" t="s">
        <v>2635</v>
      </c>
      <c r="C740" s="3">
        <v>31233</v>
      </c>
      <c r="D740" s="1" t="s">
        <v>2636</v>
      </c>
      <c r="E740" s="1" t="s">
        <v>2637</v>
      </c>
      <c r="F740" s="2" t="s">
        <v>421</v>
      </c>
      <c r="G740" s="2" t="s">
        <v>152</v>
      </c>
      <c r="H740" s="2" t="s">
        <v>10</v>
      </c>
      <c r="I740" s="2" t="s">
        <v>60</v>
      </c>
      <c r="J740" s="2" t="s">
        <v>153</v>
      </c>
      <c r="K740" s="2" t="s">
        <v>10</v>
      </c>
    </row>
    <row r="741" spans="1:11" ht="27.6" hidden="1" x14ac:dyDescent="0.3">
      <c r="A741" s="2" t="s">
        <v>60</v>
      </c>
      <c r="B741" s="2" t="s">
        <v>2638</v>
      </c>
      <c r="C741" s="3">
        <v>34775</v>
      </c>
      <c r="D741" s="1" t="s">
        <v>2639</v>
      </c>
      <c r="E741" s="1" t="s">
        <v>2640</v>
      </c>
      <c r="F741" s="2" t="s">
        <v>1249</v>
      </c>
      <c r="G741" s="2" t="s">
        <v>48</v>
      </c>
      <c r="H741" s="2" t="s">
        <v>411</v>
      </c>
      <c r="I741" s="2" t="s">
        <v>60</v>
      </c>
      <c r="J741" s="2" t="s">
        <v>2641</v>
      </c>
      <c r="K741" s="2" t="s">
        <v>10</v>
      </c>
    </row>
    <row r="742" spans="1:11" ht="27.6" hidden="1" x14ac:dyDescent="0.3">
      <c r="A742" s="2" t="s">
        <v>60</v>
      </c>
      <c r="B742" s="2" t="s">
        <v>2642</v>
      </c>
      <c r="C742" s="3">
        <v>24415</v>
      </c>
      <c r="D742" s="1" t="s">
        <v>2643</v>
      </c>
      <c r="E742" s="1" t="s">
        <v>2644</v>
      </c>
      <c r="F742" s="2" t="s">
        <v>1249</v>
      </c>
      <c r="G742" s="2" t="s">
        <v>1763</v>
      </c>
      <c r="H742" s="2" t="s">
        <v>411</v>
      </c>
      <c r="I742" s="2" t="s">
        <v>60</v>
      </c>
      <c r="J742" s="2" t="s">
        <v>2645</v>
      </c>
      <c r="K742" s="2" t="s">
        <v>10</v>
      </c>
    </row>
    <row r="743" spans="1:11" ht="27.6" hidden="1" x14ac:dyDescent="0.3">
      <c r="A743" s="2" t="s">
        <v>60</v>
      </c>
      <c r="B743" s="2" t="s">
        <v>2646</v>
      </c>
      <c r="C743" s="3">
        <v>38699</v>
      </c>
      <c r="D743" s="1" t="s">
        <v>2647</v>
      </c>
      <c r="E743" s="1" t="s">
        <v>2648</v>
      </c>
      <c r="F743" s="2" t="s">
        <v>1249</v>
      </c>
      <c r="G743" s="2" t="s">
        <v>2649</v>
      </c>
      <c r="H743" s="2" t="s">
        <v>10</v>
      </c>
      <c r="I743" s="2" t="s">
        <v>60</v>
      </c>
      <c r="J743" s="2" t="s">
        <v>2650</v>
      </c>
      <c r="K743" s="2" t="s">
        <v>10</v>
      </c>
    </row>
    <row r="744" spans="1:11" ht="27.6" hidden="1" x14ac:dyDescent="0.3">
      <c r="A744" s="2" t="s">
        <v>60</v>
      </c>
      <c r="B744" s="2" t="s">
        <v>2651</v>
      </c>
      <c r="C744" s="3">
        <v>18800</v>
      </c>
      <c r="D744" s="1" t="s">
        <v>2652</v>
      </c>
      <c r="E744" s="1" t="s">
        <v>2653</v>
      </c>
      <c r="F744" s="2" t="s">
        <v>2247</v>
      </c>
      <c r="G744" s="2" t="s">
        <v>86</v>
      </c>
      <c r="H744" s="2" t="s">
        <v>10</v>
      </c>
      <c r="I744" s="2" t="s">
        <v>60</v>
      </c>
      <c r="J744" s="2" t="s">
        <v>87</v>
      </c>
      <c r="K744" s="2" t="s">
        <v>10</v>
      </c>
    </row>
    <row r="745" spans="1:11" ht="27.6" hidden="1" x14ac:dyDescent="0.3">
      <c r="A745" s="2" t="s">
        <v>60</v>
      </c>
      <c r="B745" s="2" t="s">
        <v>2654</v>
      </c>
      <c r="C745" s="3">
        <v>26256</v>
      </c>
      <c r="D745" s="1" t="s">
        <v>2655</v>
      </c>
      <c r="E745" s="1" t="s">
        <v>2656</v>
      </c>
      <c r="F745" s="2" t="s">
        <v>2657</v>
      </c>
      <c r="G745" s="2" t="s">
        <v>385</v>
      </c>
      <c r="H745" s="2" t="s">
        <v>411</v>
      </c>
      <c r="I745" s="2" t="s">
        <v>60</v>
      </c>
      <c r="J745" s="2" t="s">
        <v>2658</v>
      </c>
      <c r="K745" s="2" t="s">
        <v>10</v>
      </c>
    </row>
    <row r="746" spans="1:11" ht="27.6" hidden="1" x14ac:dyDescent="0.3">
      <c r="A746" s="2" t="s">
        <v>60</v>
      </c>
      <c r="B746" s="2" t="s">
        <v>2659</v>
      </c>
      <c r="C746" s="3">
        <v>34606</v>
      </c>
      <c r="D746" s="1" t="s">
        <v>2660</v>
      </c>
      <c r="E746" s="1" t="s">
        <v>2661</v>
      </c>
      <c r="F746" s="2" t="s">
        <v>2657</v>
      </c>
      <c r="G746" s="2" t="s">
        <v>75</v>
      </c>
      <c r="H746" s="2" t="s">
        <v>411</v>
      </c>
      <c r="I746" s="2" t="s">
        <v>60</v>
      </c>
      <c r="J746" s="2" t="s">
        <v>2662</v>
      </c>
      <c r="K746" s="2" t="s">
        <v>10</v>
      </c>
    </row>
    <row r="747" spans="1:11" ht="27.6" hidden="1" x14ac:dyDescent="0.3">
      <c r="A747" s="2" t="s">
        <v>60</v>
      </c>
      <c r="B747" s="2" t="s">
        <v>2663</v>
      </c>
      <c r="C747" s="3">
        <v>30040</v>
      </c>
      <c r="D747" s="1" t="s">
        <v>2664</v>
      </c>
      <c r="E747" s="1" t="s">
        <v>2665</v>
      </c>
      <c r="F747" s="2" t="s">
        <v>825</v>
      </c>
      <c r="G747" s="2" t="s">
        <v>217</v>
      </c>
      <c r="H747" s="2" t="s">
        <v>10</v>
      </c>
      <c r="I747" s="2" t="s">
        <v>60</v>
      </c>
      <c r="J747" s="2" t="s">
        <v>218</v>
      </c>
      <c r="K747" s="2" t="s">
        <v>10</v>
      </c>
    </row>
    <row r="748" spans="1:11" ht="27.6" hidden="1" x14ac:dyDescent="0.3">
      <c r="A748" s="2" t="s">
        <v>60</v>
      </c>
      <c r="B748" s="2" t="s">
        <v>2666</v>
      </c>
      <c r="C748" s="3">
        <v>20223</v>
      </c>
      <c r="D748" s="1" t="s">
        <v>442</v>
      </c>
      <c r="E748" s="1" t="s">
        <v>2667</v>
      </c>
      <c r="F748" s="2" t="s">
        <v>825</v>
      </c>
      <c r="G748" s="2" t="s">
        <v>157</v>
      </c>
      <c r="H748" s="2" t="s">
        <v>81</v>
      </c>
      <c r="I748" s="2" t="s">
        <v>60</v>
      </c>
      <c r="J748" s="2" t="s">
        <v>158</v>
      </c>
      <c r="K748" s="2" t="s">
        <v>10</v>
      </c>
    </row>
    <row r="749" spans="1:11" ht="27.6" hidden="1" x14ac:dyDescent="0.3">
      <c r="A749" s="2" t="s">
        <v>60</v>
      </c>
      <c r="B749" s="2" t="s">
        <v>2668</v>
      </c>
      <c r="C749" s="3">
        <v>22819</v>
      </c>
      <c r="D749" s="1" t="s">
        <v>2669</v>
      </c>
      <c r="E749" s="1" t="s">
        <v>2670</v>
      </c>
      <c r="F749" s="2" t="s">
        <v>764</v>
      </c>
      <c r="G749" s="2" t="s">
        <v>425</v>
      </c>
      <c r="H749" s="2" t="s">
        <v>10</v>
      </c>
      <c r="I749" s="2" t="s">
        <v>60</v>
      </c>
      <c r="J749" s="2" t="s">
        <v>841</v>
      </c>
      <c r="K749" s="2" t="s">
        <v>10</v>
      </c>
    </row>
    <row r="750" spans="1:11" ht="27.6" hidden="1" x14ac:dyDescent="0.3">
      <c r="A750" s="2" t="s">
        <v>60</v>
      </c>
      <c r="B750" s="2" t="s">
        <v>2671</v>
      </c>
      <c r="C750" s="3">
        <v>29445</v>
      </c>
      <c r="D750" s="1" t="s">
        <v>2672</v>
      </c>
      <c r="E750" s="1" t="s">
        <v>2673</v>
      </c>
      <c r="F750" s="2" t="s">
        <v>421</v>
      </c>
      <c r="G750" s="2" t="s">
        <v>196</v>
      </c>
      <c r="H750" s="2" t="s">
        <v>10</v>
      </c>
      <c r="I750" s="2" t="s">
        <v>60</v>
      </c>
      <c r="J750" s="2" t="s">
        <v>197</v>
      </c>
      <c r="K750" s="2" t="s">
        <v>10</v>
      </c>
    </row>
    <row r="751" spans="1:11" ht="27.6" hidden="1" x14ac:dyDescent="0.3">
      <c r="A751" s="2" t="s">
        <v>60</v>
      </c>
      <c r="B751" s="2" t="s">
        <v>2674</v>
      </c>
      <c r="C751" s="3">
        <v>33700</v>
      </c>
      <c r="D751" s="1" t="s">
        <v>2675</v>
      </c>
      <c r="E751" s="1" t="s">
        <v>2676</v>
      </c>
      <c r="F751" s="2" t="s">
        <v>274</v>
      </c>
      <c r="G751" s="2" t="s">
        <v>112</v>
      </c>
      <c r="H751" s="2" t="s">
        <v>43</v>
      </c>
      <c r="I751" s="2" t="s">
        <v>60</v>
      </c>
      <c r="J751" s="2" t="s">
        <v>2677</v>
      </c>
      <c r="K751" s="2" t="s">
        <v>10</v>
      </c>
    </row>
    <row r="752" spans="1:11" ht="27.6" hidden="1" x14ac:dyDescent="0.3">
      <c r="A752" s="2" t="s">
        <v>60</v>
      </c>
      <c r="B752" s="2" t="s">
        <v>2678</v>
      </c>
      <c r="C752" s="3">
        <v>26558</v>
      </c>
      <c r="D752" s="1" t="s">
        <v>2295</v>
      </c>
      <c r="E752" s="1" t="s">
        <v>2679</v>
      </c>
      <c r="F752" s="2" t="s">
        <v>2680</v>
      </c>
      <c r="G752" s="2" t="s">
        <v>112</v>
      </c>
      <c r="H752" s="2" t="s">
        <v>10</v>
      </c>
      <c r="I752" s="2" t="s">
        <v>60</v>
      </c>
      <c r="J752" s="2" t="s">
        <v>2681</v>
      </c>
      <c r="K752" s="2" t="s">
        <v>10</v>
      </c>
    </row>
    <row r="753" spans="1:12" ht="27.6" hidden="1" x14ac:dyDescent="0.3">
      <c r="A753" s="2" t="s">
        <v>60</v>
      </c>
      <c r="B753" s="2" t="s">
        <v>2682</v>
      </c>
      <c r="C753" s="3">
        <v>29806</v>
      </c>
      <c r="D753" s="1" t="s">
        <v>2683</v>
      </c>
      <c r="E753" s="1" t="s">
        <v>2684</v>
      </c>
      <c r="F753" s="2" t="s">
        <v>2174</v>
      </c>
      <c r="G753" s="2" t="s">
        <v>196</v>
      </c>
      <c r="H753" s="2" t="s">
        <v>10</v>
      </c>
      <c r="I753" s="2" t="s">
        <v>60</v>
      </c>
      <c r="J753" s="2" t="s">
        <v>701</v>
      </c>
      <c r="K753" s="2" t="s">
        <v>10</v>
      </c>
    </row>
    <row r="754" spans="1:12" ht="27.6" hidden="1" x14ac:dyDescent="0.3">
      <c r="A754" s="2" t="s">
        <v>11</v>
      </c>
      <c r="B754" s="2" t="s">
        <v>2685</v>
      </c>
      <c r="C754" s="3">
        <v>26558</v>
      </c>
      <c r="D754" s="1" t="s">
        <v>2686</v>
      </c>
      <c r="E754" s="1" t="s">
        <v>2687</v>
      </c>
      <c r="F754" s="2" t="s">
        <v>16</v>
      </c>
      <c r="G754" s="2" t="s">
        <v>1217</v>
      </c>
      <c r="H754" s="2" t="s">
        <v>1333</v>
      </c>
      <c r="I754" s="2" t="s">
        <v>11</v>
      </c>
      <c r="J754" s="2" t="s">
        <v>2688</v>
      </c>
      <c r="K754" s="2" t="s">
        <v>10</v>
      </c>
    </row>
    <row r="755" spans="1:12" ht="27.6" hidden="1" x14ac:dyDescent="0.3">
      <c r="A755" s="2" t="s">
        <v>11</v>
      </c>
      <c r="B755" s="2" t="s">
        <v>2689</v>
      </c>
      <c r="C755" s="3">
        <v>23629</v>
      </c>
      <c r="D755" s="1" t="s">
        <v>2690</v>
      </c>
      <c r="E755" s="1" t="s">
        <v>2691</v>
      </c>
      <c r="F755" s="2" t="s">
        <v>16</v>
      </c>
      <c r="G755" s="2" t="s">
        <v>25</v>
      </c>
      <c r="H755" s="2" t="s">
        <v>103</v>
      </c>
      <c r="I755" s="2" t="s">
        <v>11</v>
      </c>
      <c r="J755" s="2" t="s">
        <v>2692</v>
      </c>
      <c r="K755" s="2" t="s">
        <v>10</v>
      </c>
      <c r="L755" s="6"/>
    </row>
    <row r="756" spans="1:12" ht="27.6" hidden="1" x14ac:dyDescent="0.3">
      <c r="A756" s="2" t="s">
        <v>11</v>
      </c>
      <c r="B756" s="2" t="s">
        <v>2693</v>
      </c>
      <c r="C756" s="3">
        <v>29556</v>
      </c>
      <c r="D756" s="1" t="s">
        <v>2694</v>
      </c>
      <c r="E756" s="1" t="s">
        <v>2695</v>
      </c>
      <c r="F756" s="2" t="s">
        <v>16</v>
      </c>
      <c r="G756" s="2" t="s">
        <v>92</v>
      </c>
      <c r="H756" s="2" t="s">
        <v>43</v>
      </c>
      <c r="I756" s="2" t="s">
        <v>11</v>
      </c>
      <c r="J756" s="2" t="s">
        <v>2696</v>
      </c>
      <c r="K756" s="2" t="s">
        <v>10</v>
      </c>
      <c r="L756" s="6"/>
    </row>
    <row r="757" spans="1:12" ht="27.6" hidden="1" x14ac:dyDescent="0.3">
      <c r="A757" s="2" t="s">
        <v>11</v>
      </c>
      <c r="B757" s="2" t="s">
        <v>2697</v>
      </c>
      <c r="C757" s="3">
        <v>30680</v>
      </c>
      <c r="D757" s="1" t="s">
        <v>2698</v>
      </c>
      <c r="E757" s="1" t="s">
        <v>2699</v>
      </c>
      <c r="F757" s="2" t="s">
        <v>16</v>
      </c>
      <c r="G757" s="2" t="s">
        <v>328</v>
      </c>
      <c r="H757" s="2" t="s">
        <v>10</v>
      </c>
      <c r="I757" s="2" t="s">
        <v>11</v>
      </c>
      <c r="J757" s="2" t="s">
        <v>329</v>
      </c>
      <c r="K757" s="2" t="s">
        <v>10</v>
      </c>
    </row>
    <row r="758" spans="1:12" ht="27.6" hidden="1" x14ac:dyDescent="0.3">
      <c r="A758" s="2" t="s">
        <v>11</v>
      </c>
      <c r="B758" s="2" t="s">
        <v>2700</v>
      </c>
      <c r="C758" s="3">
        <v>24462</v>
      </c>
      <c r="D758" s="1" t="s">
        <v>2701</v>
      </c>
      <c r="E758" s="1" t="s">
        <v>2702</v>
      </c>
      <c r="F758" s="2" t="s">
        <v>16</v>
      </c>
      <c r="G758" s="2" t="s">
        <v>328</v>
      </c>
      <c r="H758" s="2" t="s">
        <v>2703</v>
      </c>
      <c r="I758" s="2" t="s">
        <v>11</v>
      </c>
      <c r="J758" s="2" t="s">
        <v>2704</v>
      </c>
      <c r="K758" s="2" t="s">
        <v>10</v>
      </c>
    </row>
    <row r="759" spans="1:12" ht="27.6" hidden="1" x14ac:dyDescent="0.3">
      <c r="A759" s="2" t="s">
        <v>11</v>
      </c>
      <c r="B759" s="2" t="s">
        <v>2705</v>
      </c>
      <c r="C759" s="3">
        <v>25777</v>
      </c>
      <c r="D759" s="1" t="s">
        <v>2706</v>
      </c>
      <c r="E759" s="1" t="s">
        <v>2707</v>
      </c>
      <c r="F759" s="2" t="s">
        <v>16</v>
      </c>
      <c r="G759" s="2" t="s">
        <v>112</v>
      </c>
      <c r="H759" s="2" t="s">
        <v>10</v>
      </c>
      <c r="I759" s="2" t="s">
        <v>11</v>
      </c>
      <c r="J759" s="2" t="s">
        <v>2708</v>
      </c>
      <c r="K759" s="2" t="s">
        <v>10</v>
      </c>
    </row>
    <row r="760" spans="1:12" ht="27.6" hidden="1" x14ac:dyDescent="0.3">
      <c r="A760" s="2" t="s">
        <v>11</v>
      </c>
      <c r="B760" s="2" t="s">
        <v>2709</v>
      </c>
      <c r="C760" s="3">
        <v>36088</v>
      </c>
      <c r="D760" s="1" t="s">
        <v>2710</v>
      </c>
      <c r="E760" s="1" t="s">
        <v>2711</v>
      </c>
      <c r="F760" s="2" t="s">
        <v>16</v>
      </c>
      <c r="G760" s="2" t="s">
        <v>380</v>
      </c>
      <c r="H760" s="2" t="s">
        <v>26</v>
      </c>
      <c r="I760" s="2" t="s">
        <v>11</v>
      </c>
      <c r="J760" s="2" t="s">
        <v>2712</v>
      </c>
      <c r="K760" s="2" t="s">
        <v>10</v>
      </c>
    </row>
    <row r="761" spans="1:12" ht="27.6" hidden="1" x14ac:dyDescent="0.3">
      <c r="A761" s="2" t="s">
        <v>11</v>
      </c>
      <c r="B761" s="2" t="s">
        <v>2713</v>
      </c>
      <c r="C761" s="3">
        <v>28998</v>
      </c>
      <c r="D761" s="1" t="s">
        <v>2714</v>
      </c>
      <c r="E761" s="1" t="s">
        <v>2715</v>
      </c>
      <c r="F761" s="2" t="s">
        <v>16</v>
      </c>
      <c r="G761" s="2" t="s">
        <v>333</v>
      </c>
      <c r="H761" s="2" t="s">
        <v>43</v>
      </c>
      <c r="I761" s="2" t="s">
        <v>11</v>
      </c>
      <c r="J761" s="2" t="s">
        <v>2716</v>
      </c>
      <c r="K761" s="2" t="s">
        <v>10</v>
      </c>
      <c r="L761" s="6"/>
    </row>
    <row r="762" spans="1:12" ht="27.6" hidden="1" x14ac:dyDescent="0.3">
      <c r="A762" s="2" t="s">
        <v>11</v>
      </c>
      <c r="B762" s="2" t="s">
        <v>2717</v>
      </c>
      <c r="C762" s="3">
        <v>16624</v>
      </c>
      <c r="D762" s="1" t="s">
        <v>2718</v>
      </c>
      <c r="E762" s="1" t="s">
        <v>2719</v>
      </c>
      <c r="F762" s="2" t="s">
        <v>16</v>
      </c>
      <c r="G762" s="2" t="s">
        <v>1763</v>
      </c>
      <c r="H762" s="2" t="s">
        <v>10</v>
      </c>
      <c r="I762" s="2" t="s">
        <v>11</v>
      </c>
      <c r="J762" s="2" t="s">
        <v>2645</v>
      </c>
      <c r="K762" s="2" t="s">
        <v>10</v>
      </c>
    </row>
    <row r="763" spans="1:12" ht="27.6" hidden="1" x14ac:dyDescent="0.3">
      <c r="A763" s="2" t="s">
        <v>11</v>
      </c>
      <c r="B763" s="2" t="s">
        <v>2720</v>
      </c>
      <c r="C763" s="3">
        <v>28529</v>
      </c>
      <c r="D763" s="1" t="s">
        <v>2721</v>
      </c>
      <c r="E763" s="1" t="s">
        <v>2722</v>
      </c>
      <c r="F763" s="2" t="s">
        <v>16</v>
      </c>
      <c r="G763" s="2" t="s">
        <v>860</v>
      </c>
      <c r="H763" s="2" t="s">
        <v>26</v>
      </c>
      <c r="I763" s="2" t="s">
        <v>11</v>
      </c>
      <c r="J763" s="2" t="s">
        <v>2723</v>
      </c>
      <c r="K763" s="2" t="s">
        <v>10</v>
      </c>
    </row>
    <row r="764" spans="1:12" ht="27.6" hidden="1" x14ac:dyDescent="0.3">
      <c r="A764" s="2" t="s">
        <v>11</v>
      </c>
      <c r="B764" s="2" t="s">
        <v>2724</v>
      </c>
      <c r="C764" s="3">
        <v>26029</v>
      </c>
      <c r="D764" s="1" t="s">
        <v>2725</v>
      </c>
      <c r="E764" s="1" t="s">
        <v>2726</v>
      </c>
      <c r="F764" s="2" t="s">
        <v>16</v>
      </c>
      <c r="G764" s="2" t="s">
        <v>552</v>
      </c>
      <c r="H764" s="2" t="s">
        <v>81</v>
      </c>
      <c r="I764" s="2" t="s">
        <v>11</v>
      </c>
      <c r="J764" s="2" t="s">
        <v>1230</v>
      </c>
      <c r="K764" s="30" t="s">
        <v>13193</v>
      </c>
      <c r="L764" s="6" t="s">
        <v>13195</v>
      </c>
    </row>
    <row r="765" spans="1:12" ht="27.6" hidden="1" x14ac:dyDescent="0.3">
      <c r="A765" s="2" t="s">
        <v>11</v>
      </c>
      <c r="B765" s="2" t="s">
        <v>2727</v>
      </c>
      <c r="C765" s="3">
        <v>33421</v>
      </c>
      <c r="D765" s="1" t="s">
        <v>2728</v>
      </c>
      <c r="E765" s="1" t="s">
        <v>2729</v>
      </c>
      <c r="F765" s="2" t="s">
        <v>16</v>
      </c>
      <c r="G765" s="2" t="s">
        <v>860</v>
      </c>
      <c r="H765" s="2" t="s">
        <v>43</v>
      </c>
      <c r="I765" s="2" t="s">
        <v>11</v>
      </c>
      <c r="J765" s="2" t="s">
        <v>2730</v>
      </c>
      <c r="K765" s="2" t="s">
        <v>10</v>
      </c>
    </row>
    <row r="766" spans="1:12" ht="27.6" hidden="1" x14ac:dyDescent="0.3">
      <c r="A766" s="2" t="s">
        <v>11</v>
      </c>
      <c r="B766" s="2" t="s">
        <v>2731</v>
      </c>
      <c r="C766" s="3">
        <v>36920</v>
      </c>
      <c r="D766" s="1" t="s">
        <v>2732</v>
      </c>
      <c r="E766" s="1" t="s">
        <v>2733</v>
      </c>
      <c r="F766" s="2" t="s">
        <v>16</v>
      </c>
      <c r="G766" s="2" t="s">
        <v>669</v>
      </c>
      <c r="H766" s="2" t="s">
        <v>10</v>
      </c>
      <c r="I766" s="2" t="s">
        <v>11</v>
      </c>
      <c r="J766" s="2" t="s">
        <v>670</v>
      </c>
      <c r="K766" s="2" t="s">
        <v>10</v>
      </c>
    </row>
    <row r="767" spans="1:12" ht="27.6" hidden="1" x14ac:dyDescent="0.3">
      <c r="A767" s="2" t="s">
        <v>11</v>
      </c>
      <c r="B767" s="2" t="s">
        <v>2734</v>
      </c>
      <c r="C767" s="3">
        <v>34565</v>
      </c>
      <c r="D767" s="1" t="s">
        <v>2735</v>
      </c>
      <c r="E767" s="1" t="s">
        <v>2736</v>
      </c>
      <c r="F767" s="2" t="s">
        <v>358</v>
      </c>
      <c r="G767" s="2" t="s">
        <v>143</v>
      </c>
      <c r="H767" s="2" t="s">
        <v>10</v>
      </c>
      <c r="I767" s="2" t="s">
        <v>11</v>
      </c>
      <c r="J767" s="2" t="s">
        <v>558</v>
      </c>
      <c r="K767" s="30" t="s">
        <v>13193</v>
      </c>
      <c r="L767" s="6" t="s">
        <v>13195</v>
      </c>
    </row>
    <row r="768" spans="1:12" ht="27.6" hidden="1" x14ac:dyDescent="0.3">
      <c r="A768" s="2" t="s">
        <v>11</v>
      </c>
      <c r="B768" s="2" t="s">
        <v>2737</v>
      </c>
      <c r="C768" s="3">
        <v>38642</v>
      </c>
      <c r="D768" s="1" t="s">
        <v>2738</v>
      </c>
      <c r="E768" s="1" t="s">
        <v>2739</v>
      </c>
      <c r="F768" s="2" t="s">
        <v>358</v>
      </c>
      <c r="G768" s="2" t="s">
        <v>31</v>
      </c>
      <c r="H768" s="2" t="s">
        <v>10</v>
      </c>
      <c r="I768" s="2" t="s">
        <v>11</v>
      </c>
      <c r="J768" s="2" t="s">
        <v>305</v>
      </c>
      <c r="K768" s="2" t="s">
        <v>10</v>
      </c>
      <c r="L768" s="6"/>
    </row>
    <row r="769" spans="1:12" ht="27.6" hidden="1" x14ac:dyDescent="0.3">
      <c r="A769" s="2" t="s">
        <v>11</v>
      </c>
      <c r="B769" s="2" t="s">
        <v>2740</v>
      </c>
      <c r="C769" s="3">
        <v>20738</v>
      </c>
      <c r="D769" s="1" t="s">
        <v>2741</v>
      </c>
      <c r="E769" s="1" t="s">
        <v>2742</v>
      </c>
      <c r="F769" s="2" t="s">
        <v>16</v>
      </c>
      <c r="G769" s="2" t="s">
        <v>2743</v>
      </c>
      <c r="H769" s="2" t="s">
        <v>81</v>
      </c>
      <c r="I769" s="2" t="s">
        <v>11</v>
      </c>
      <c r="J769" s="2" t="s">
        <v>2744</v>
      </c>
      <c r="K769" s="30" t="s">
        <v>13193</v>
      </c>
      <c r="L769" s="6" t="s">
        <v>13195</v>
      </c>
    </row>
    <row r="770" spans="1:12" ht="27.6" hidden="1" x14ac:dyDescent="0.3">
      <c r="A770" s="2" t="s">
        <v>11</v>
      </c>
      <c r="B770" s="2" t="s">
        <v>2745</v>
      </c>
      <c r="C770" s="3">
        <v>35868</v>
      </c>
      <c r="D770" s="1" t="s">
        <v>2746</v>
      </c>
      <c r="E770" s="1" t="s">
        <v>2747</v>
      </c>
      <c r="F770" s="2" t="s">
        <v>16</v>
      </c>
      <c r="G770" s="2" t="s">
        <v>2748</v>
      </c>
      <c r="H770" s="2" t="s">
        <v>2749</v>
      </c>
      <c r="I770" s="2" t="s">
        <v>11</v>
      </c>
      <c r="J770" s="2" t="s">
        <v>2750</v>
      </c>
      <c r="K770" s="2" t="s">
        <v>10</v>
      </c>
    </row>
    <row r="771" spans="1:12" ht="27.6" hidden="1" x14ac:dyDescent="0.3">
      <c r="A771" s="2" t="s">
        <v>11</v>
      </c>
      <c r="B771" s="2" t="s">
        <v>2751</v>
      </c>
      <c r="C771" s="3">
        <v>16209</v>
      </c>
      <c r="D771" s="1" t="s">
        <v>2752</v>
      </c>
      <c r="E771" s="1" t="s">
        <v>2753</v>
      </c>
      <c r="F771" s="2" t="s">
        <v>16</v>
      </c>
      <c r="G771" s="2" t="s">
        <v>780</v>
      </c>
      <c r="H771" s="2" t="s">
        <v>10</v>
      </c>
      <c r="I771" s="2" t="s">
        <v>11</v>
      </c>
      <c r="J771" s="2" t="s">
        <v>2754</v>
      </c>
      <c r="K771" s="2" t="s">
        <v>10</v>
      </c>
    </row>
    <row r="772" spans="1:12" ht="27.6" hidden="1" x14ac:dyDescent="0.3">
      <c r="A772" s="2" t="s">
        <v>11</v>
      </c>
      <c r="B772" s="2" t="s">
        <v>2755</v>
      </c>
      <c r="C772" s="3">
        <v>30879</v>
      </c>
      <c r="D772" s="1" t="s">
        <v>2756</v>
      </c>
      <c r="E772" s="1" t="s">
        <v>2757</v>
      </c>
      <c r="F772" s="2" t="s">
        <v>16</v>
      </c>
      <c r="G772" s="2" t="s">
        <v>97</v>
      </c>
      <c r="H772" s="2" t="s">
        <v>10</v>
      </c>
      <c r="I772" s="2" t="s">
        <v>11</v>
      </c>
      <c r="J772" s="2" t="s">
        <v>1334</v>
      </c>
      <c r="K772" s="2" t="s">
        <v>10</v>
      </c>
      <c r="L772" s="6"/>
    </row>
    <row r="773" spans="1:12" ht="27.6" hidden="1" x14ac:dyDescent="0.3">
      <c r="A773" s="2" t="s">
        <v>11</v>
      </c>
      <c r="B773" s="2" t="s">
        <v>2758</v>
      </c>
      <c r="C773" s="3">
        <v>26922</v>
      </c>
      <c r="D773" s="1" t="s">
        <v>2759</v>
      </c>
      <c r="E773" s="1" t="s">
        <v>2760</v>
      </c>
      <c r="F773" s="2" t="s">
        <v>16</v>
      </c>
      <c r="G773" s="2" t="s">
        <v>803</v>
      </c>
      <c r="H773" s="2" t="s">
        <v>10</v>
      </c>
      <c r="I773" s="2" t="s">
        <v>11</v>
      </c>
      <c r="J773" s="2" t="s">
        <v>804</v>
      </c>
      <c r="K773" s="2" t="s">
        <v>10</v>
      </c>
    </row>
    <row r="774" spans="1:12" ht="27.6" hidden="1" x14ac:dyDescent="0.3">
      <c r="A774" s="2" t="s">
        <v>11</v>
      </c>
      <c r="B774" s="2" t="s">
        <v>2761</v>
      </c>
      <c r="C774" s="3">
        <v>25074</v>
      </c>
      <c r="D774" s="1" t="s">
        <v>2762</v>
      </c>
      <c r="E774" s="1" t="s">
        <v>2763</v>
      </c>
      <c r="F774" s="2" t="s">
        <v>16</v>
      </c>
      <c r="G774" s="2" t="s">
        <v>2764</v>
      </c>
      <c r="H774" s="2" t="s">
        <v>43</v>
      </c>
      <c r="I774" s="2" t="s">
        <v>11</v>
      </c>
      <c r="J774" s="2" t="s">
        <v>2765</v>
      </c>
      <c r="K774" s="2" t="s">
        <v>10</v>
      </c>
    </row>
    <row r="775" spans="1:12" ht="27.6" hidden="1" x14ac:dyDescent="0.3">
      <c r="A775" s="2" t="s">
        <v>11</v>
      </c>
      <c r="B775" s="2" t="s">
        <v>2766</v>
      </c>
      <c r="C775" s="3">
        <v>38135</v>
      </c>
      <c r="D775" s="1" t="s">
        <v>2767</v>
      </c>
      <c r="E775" s="1" t="s">
        <v>2768</v>
      </c>
      <c r="F775" s="2" t="s">
        <v>16</v>
      </c>
      <c r="G775" s="2" t="s">
        <v>1217</v>
      </c>
      <c r="H775" s="2" t="s">
        <v>2769</v>
      </c>
      <c r="I775" s="2" t="s">
        <v>11</v>
      </c>
      <c r="J775" s="2" t="s">
        <v>2770</v>
      </c>
      <c r="K775" s="2" t="s">
        <v>10</v>
      </c>
    </row>
    <row r="776" spans="1:12" ht="27.6" hidden="1" x14ac:dyDescent="0.3">
      <c r="A776" s="2" t="s">
        <v>11</v>
      </c>
      <c r="B776" s="2" t="s">
        <v>2771</v>
      </c>
      <c r="C776" s="3">
        <v>30097</v>
      </c>
      <c r="D776" s="1" t="s">
        <v>2772</v>
      </c>
      <c r="E776" s="1" t="s">
        <v>2768</v>
      </c>
      <c r="F776" s="2" t="s">
        <v>16</v>
      </c>
      <c r="G776" s="2" t="s">
        <v>2773</v>
      </c>
      <c r="H776" s="2" t="s">
        <v>10</v>
      </c>
      <c r="I776" s="2" t="s">
        <v>11</v>
      </c>
      <c r="J776" s="2" t="s">
        <v>2774</v>
      </c>
      <c r="K776" s="2" t="s">
        <v>10</v>
      </c>
    </row>
    <row r="777" spans="1:12" ht="27.6" hidden="1" x14ac:dyDescent="0.3">
      <c r="A777" s="2" t="s">
        <v>11</v>
      </c>
      <c r="B777" s="2" t="s">
        <v>2775</v>
      </c>
      <c r="C777" s="3">
        <v>34953</v>
      </c>
      <c r="D777" s="1" t="s">
        <v>2776</v>
      </c>
      <c r="E777" s="1" t="s">
        <v>2777</v>
      </c>
      <c r="F777" s="2" t="s">
        <v>16</v>
      </c>
      <c r="G777" s="2" t="s">
        <v>987</v>
      </c>
      <c r="H777" s="2" t="s">
        <v>43</v>
      </c>
      <c r="I777" s="2" t="s">
        <v>11</v>
      </c>
      <c r="J777" s="2" t="s">
        <v>2778</v>
      </c>
      <c r="K777" s="2" t="s">
        <v>10</v>
      </c>
    </row>
    <row r="778" spans="1:12" ht="27.6" hidden="1" x14ac:dyDescent="0.3">
      <c r="A778" s="2" t="s">
        <v>11</v>
      </c>
      <c r="B778" s="2" t="s">
        <v>2779</v>
      </c>
      <c r="C778" s="3">
        <v>33299</v>
      </c>
      <c r="D778" s="1" t="s">
        <v>2780</v>
      </c>
      <c r="E778" s="1" t="s">
        <v>2781</v>
      </c>
      <c r="F778" s="2" t="s">
        <v>16</v>
      </c>
      <c r="G778" s="2" t="s">
        <v>1146</v>
      </c>
      <c r="H778" s="2" t="s">
        <v>43</v>
      </c>
      <c r="I778" s="2" t="s">
        <v>11</v>
      </c>
      <c r="J778" s="2" t="s">
        <v>2782</v>
      </c>
      <c r="K778" s="2" t="s">
        <v>10</v>
      </c>
    </row>
    <row r="779" spans="1:12" ht="27.6" hidden="1" x14ac:dyDescent="0.3">
      <c r="A779" s="2" t="s">
        <v>11</v>
      </c>
      <c r="B779" s="2" t="s">
        <v>2783</v>
      </c>
      <c r="C779" s="3">
        <v>26939</v>
      </c>
      <c r="D779" s="1" t="s">
        <v>2784</v>
      </c>
      <c r="E779" s="1" t="s">
        <v>2785</v>
      </c>
      <c r="F779" s="2" t="s">
        <v>16</v>
      </c>
      <c r="G779" s="2" t="s">
        <v>596</v>
      </c>
      <c r="H779" s="2" t="s">
        <v>10</v>
      </c>
      <c r="I779" s="2" t="s">
        <v>11</v>
      </c>
      <c r="J779" s="2" t="s">
        <v>2786</v>
      </c>
      <c r="K779" s="2" t="s">
        <v>10</v>
      </c>
    </row>
    <row r="780" spans="1:12" ht="27.6" hidden="1" x14ac:dyDescent="0.3">
      <c r="A780" s="2" t="s">
        <v>11</v>
      </c>
      <c r="B780" s="2" t="s">
        <v>2787</v>
      </c>
      <c r="C780" s="3">
        <v>31160</v>
      </c>
      <c r="D780" s="1" t="s">
        <v>2788</v>
      </c>
      <c r="E780" s="1" t="s">
        <v>2789</v>
      </c>
      <c r="F780" s="2" t="s">
        <v>16</v>
      </c>
      <c r="G780" s="2" t="s">
        <v>2790</v>
      </c>
      <c r="H780" s="2" t="s">
        <v>751</v>
      </c>
      <c r="I780" s="2" t="s">
        <v>11</v>
      </c>
      <c r="J780" s="2" t="s">
        <v>2791</v>
      </c>
      <c r="K780" s="2" t="s">
        <v>10</v>
      </c>
    </row>
    <row r="781" spans="1:12" ht="27.6" hidden="1" x14ac:dyDescent="0.3">
      <c r="A781" s="2" t="s">
        <v>11</v>
      </c>
      <c r="B781" s="2" t="s">
        <v>2792</v>
      </c>
      <c r="C781" s="3">
        <v>34470</v>
      </c>
      <c r="D781" s="1" t="s">
        <v>2793</v>
      </c>
      <c r="E781" s="1" t="s">
        <v>2794</v>
      </c>
      <c r="F781" s="2" t="s">
        <v>16</v>
      </c>
      <c r="G781" s="2" t="s">
        <v>2795</v>
      </c>
      <c r="H781" s="2" t="s">
        <v>10</v>
      </c>
      <c r="I781" s="2" t="s">
        <v>11</v>
      </c>
      <c r="J781" s="2" t="s">
        <v>2796</v>
      </c>
      <c r="K781" s="2" t="s">
        <v>10</v>
      </c>
    </row>
    <row r="782" spans="1:12" ht="27.6" hidden="1" x14ac:dyDescent="0.3">
      <c r="A782" s="2" t="s">
        <v>11</v>
      </c>
      <c r="B782" s="2" t="s">
        <v>2797</v>
      </c>
      <c r="C782" s="3">
        <v>32769</v>
      </c>
      <c r="D782" s="1" t="s">
        <v>2798</v>
      </c>
      <c r="E782" s="1" t="s">
        <v>2799</v>
      </c>
      <c r="F782" s="2" t="s">
        <v>16</v>
      </c>
      <c r="G782" s="2" t="s">
        <v>2800</v>
      </c>
      <c r="H782" s="2" t="s">
        <v>103</v>
      </c>
      <c r="I782" s="2" t="s">
        <v>11</v>
      </c>
      <c r="J782" s="2" t="s">
        <v>2801</v>
      </c>
      <c r="K782" s="2" t="s">
        <v>10</v>
      </c>
      <c r="L782" s="6"/>
    </row>
    <row r="783" spans="1:12" ht="27.6" hidden="1" x14ac:dyDescent="0.3">
      <c r="A783" s="2" t="s">
        <v>11</v>
      </c>
      <c r="B783" s="2" t="s">
        <v>2802</v>
      </c>
      <c r="C783" s="3">
        <v>36125</v>
      </c>
      <c r="D783" s="1" t="s">
        <v>2803</v>
      </c>
      <c r="E783" s="1" t="s">
        <v>2804</v>
      </c>
      <c r="F783" s="2" t="s">
        <v>16</v>
      </c>
      <c r="G783" s="2" t="s">
        <v>2805</v>
      </c>
      <c r="H783" s="2" t="s">
        <v>43</v>
      </c>
      <c r="I783" s="2" t="s">
        <v>11</v>
      </c>
      <c r="J783" s="2" t="s">
        <v>2806</v>
      </c>
      <c r="K783" s="2" t="s">
        <v>10</v>
      </c>
    </row>
    <row r="784" spans="1:12" ht="27.6" hidden="1" x14ac:dyDescent="0.3">
      <c r="A784" s="2" t="s">
        <v>11</v>
      </c>
      <c r="B784" s="2" t="s">
        <v>2807</v>
      </c>
      <c r="C784" s="3">
        <v>33153</v>
      </c>
      <c r="D784" s="1" t="s">
        <v>2808</v>
      </c>
      <c r="E784" s="1" t="s">
        <v>2809</v>
      </c>
      <c r="F784" s="2" t="s">
        <v>16</v>
      </c>
      <c r="G784" s="2" t="s">
        <v>2383</v>
      </c>
      <c r="H784" s="2" t="s">
        <v>10</v>
      </c>
      <c r="I784" s="2" t="s">
        <v>11</v>
      </c>
      <c r="J784" s="2" t="s">
        <v>2810</v>
      </c>
      <c r="K784" s="2" t="s">
        <v>10</v>
      </c>
    </row>
    <row r="785" spans="1:12" ht="27.6" hidden="1" x14ac:dyDescent="0.3">
      <c r="A785" s="2" t="s">
        <v>11</v>
      </c>
      <c r="B785" s="2" t="s">
        <v>2811</v>
      </c>
      <c r="C785" s="3">
        <v>31914</v>
      </c>
      <c r="D785" s="1" t="s">
        <v>2812</v>
      </c>
      <c r="E785" s="1" t="s">
        <v>2813</v>
      </c>
      <c r="F785" s="2" t="s">
        <v>16</v>
      </c>
      <c r="G785" s="2" t="s">
        <v>2814</v>
      </c>
      <c r="H785" s="2" t="s">
        <v>10</v>
      </c>
      <c r="I785" s="2" t="s">
        <v>11</v>
      </c>
      <c r="J785" s="2" t="s">
        <v>2815</v>
      </c>
      <c r="K785" s="2" t="s">
        <v>10</v>
      </c>
    </row>
    <row r="786" spans="1:12" ht="27.6" hidden="1" x14ac:dyDescent="0.3">
      <c r="A786" s="2" t="s">
        <v>11</v>
      </c>
      <c r="B786" s="2" t="s">
        <v>2816</v>
      </c>
      <c r="C786" s="3">
        <v>36948</v>
      </c>
      <c r="D786" s="1" t="s">
        <v>2817</v>
      </c>
      <c r="E786" s="1" t="s">
        <v>2818</v>
      </c>
      <c r="F786" s="2" t="s">
        <v>16</v>
      </c>
      <c r="G786" s="2" t="s">
        <v>58</v>
      </c>
      <c r="H786" s="2" t="s">
        <v>10</v>
      </c>
      <c r="I786" s="2" t="s">
        <v>11</v>
      </c>
      <c r="J786" s="2" t="s">
        <v>2819</v>
      </c>
      <c r="K786" s="2" t="s">
        <v>10</v>
      </c>
    </row>
    <row r="787" spans="1:12" ht="27.6" hidden="1" x14ac:dyDescent="0.3">
      <c r="A787" s="2" t="s">
        <v>11</v>
      </c>
      <c r="B787" s="2" t="s">
        <v>2820</v>
      </c>
      <c r="C787" s="3">
        <v>28924</v>
      </c>
      <c r="D787" s="1" t="s">
        <v>2821</v>
      </c>
      <c r="E787" s="1" t="s">
        <v>2822</v>
      </c>
      <c r="F787" s="2" t="s">
        <v>16</v>
      </c>
      <c r="G787" s="2" t="s">
        <v>2823</v>
      </c>
      <c r="H787" s="2" t="s">
        <v>103</v>
      </c>
      <c r="I787" s="2" t="s">
        <v>11</v>
      </c>
      <c r="J787" s="2" t="s">
        <v>2824</v>
      </c>
      <c r="K787" s="2" t="s">
        <v>10</v>
      </c>
    </row>
    <row r="788" spans="1:12" ht="27.6" hidden="1" x14ac:dyDescent="0.3">
      <c r="A788" s="2" t="s">
        <v>11</v>
      </c>
      <c r="B788" s="2" t="s">
        <v>2825</v>
      </c>
      <c r="C788" s="3">
        <v>37601</v>
      </c>
      <c r="D788" s="1" t="s">
        <v>2826</v>
      </c>
      <c r="E788" s="1" t="s">
        <v>2827</v>
      </c>
      <c r="F788" s="2" t="s">
        <v>16</v>
      </c>
      <c r="G788" s="2" t="s">
        <v>2828</v>
      </c>
      <c r="H788" s="2" t="s">
        <v>103</v>
      </c>
      <c r="I788" s="2" t="s">
        <v>11</v>
      </c>
      <c r="J788" s="2" t="s">
        <v>2829</v>
      </c>
      <c r="K788" s="2" t="s">
        <v>10</v>
      </c>
    </row>
    <row r="789" spans="1:12" ht="27.6" hidden="1" x14ac:dyDescent="0.3">
      <c r="A789" s="2" t="s">
        <v>11</v>
      </c>
      <c r="B789" s="2" t="s">
        <v>2830</v>
      </c>
      <c r="C789" s="3">
        <v>25909</v>
      </c>
      <c r="D789" s="1" t="s">
        <v>2831</v>
      </c>
      <c r="E789" s="1" t="s">
        <v>2832</v>
      </c>
      <c r="F789" s="2" t="s">
        <v>16</v>
      </c>
      <c r="G789" s="2" t="s">
        <v>2833</v>
      </c>
      <c r="H789" s="2" t="s">
        <v>26</v>
      </c>
      <c r="I789" s="2" t="s">
        <v>11</v>
      </c>
      <c r="J789" s="2" t="s">
        <v>2834</v>
      </c>
      <c r="K789" s="2" t="s">
        <v>10</v>
      </c>
    </row>
    <row r="790" spans="1:12" ht="27.6" hidden="1" x14ac:dyDescent="0.3">
      <c r="A790" s="2" t="s">
        <v>11</v>
      </c>
      <c r="B790" s="2" t="s">
        <v>2835</v>
      </c>
      <c r="C790" s="3">
        <v>20721</v>
      </c>
      <c r="D790" s="1" t="s">
        <v>2836</v>
      </c>
      <c r="E790" s="1" t="s">
        <v>2837</v>
      </c>
      <c r="F790" s="2" t="s">
        <v>16</v>
      </c>
      <c r="G790" s="2" t="s">
        <v>2189</v>
      </c>
      <c r="H790" s="2" t="s">
        <v>2838</v>
      </c>
      <c r="I790" s="2" t="s">
        <v>11</v>
      </c>
      <c r="J790" s="2" t="s">
        <v>2839</v>
      </c>
      <c r="K790" s="2" t="s">
        <v>10</v>
      </c>
    </row>
    <row r="791" spans="1:12" ht="27.6" hidden="1" x14ac:dyDescent="0.3">
      <c r="A791" s="2" t="s">
        <v>11</v>
      </c>
      <c r="B791" s="2" t="s">
        <v>2840</v>
      </c>
      <c r="C791" s="3">
        <v>35085</v>
      </c>
      <c r="D791" s="1" t="s">
        <v>2841</v>
      </c>
      <c r="E791" s="1" t="s">
        <v>2842</v>
      </c>
      <c r="F791" s="2" t="s">
        <v>16</v>
      </c>
      <c r="G791" s="2" t="s">
        <v>2843</v>
      </c>
      <c r="H791" s="2" t="s">
        <v>10</v>
      </c>
      <c r="I791" s="2" t="s">
        <v>11</v>
      </c>
      <c r="J791" s="2" t="s">
        <v>2844</v>
      </c>
      <c r="K791" s="2" t="s">
        <v>10</v>
      </c>
    </row>
    <row r="792" spans="1:12" ht="27.6" hidden="1" x14ac:dyDescent="0.3">
      <c r="A792" s="2" t="s">
        <v>11</v>
      </c>
      <c r="B792" s="2" t="s">
        <v>2845</v>
      </c>
      <c r="C792" s="3">
        <v>35085</v>
      </c>
      <c r="D792" s="1" t="s">
        <v>2841</v>
      </c>
      <c r="E792" s="1" t="s">
        <v>2842</v>
      </c>
      <c r="F792" s="2" t="s">
        <v>16</v>
      </c>
      <c r="G792" s="2" t="s">
        <v>2846</v>
      </c>
      <c r="H792" s="2" t="s">
        <v>10</v>
      </c>
      <c r="I792" s="2" t="s">
        <v>11</v>
      </c>
      <c r="J792" s="2" t="s">
        <v>2847</v>
      </c>
      <c r="K792" s="2" t="s">
        <v>10</v>
      </c>
    </row>
    <row r="793" spans="1:12" ht="27.6" hidden="1" x14ac:dyDescent="0.3">
      <c r="A793" s="2" t="s">
        <v>11</v>
      </c>
      <c r="B793" s="2" t="s">
        <v>2848</v>
      </c>
      <c r="C793" s="3">
        <v>30509</v>
      </c>
      <c r="D793" s="1" t="s">
        <v>2849</v>
      </c>
      <c r="E793" s="1" t="s">
        <v>2850</v>
      </c>
      <c r="F793" s="2" t="s">
        <v>16</v>
      </c>
      <c r="G793" s="2" t="s">
        <v>2851</v>
      </c>
      <c r="H793" s="2" t="s">
        <v>26</v>
      </c>
      <c r="I793" s="2" t="s">
        <v>11</v>
      </c>
      <c r="J793" s="2" t="s">
        <v>2852</v>
      </c>
      <c r="K793" s="2" t="s">
        <v>10</v>
      </c>
      <c r="L793" s="6"/>
    </row>
    <row r="794" spans="1:12" ht="27.6" hidden="1" x14ac:dyDescent="0.3">
      <c r="A794" s="2" t="s">
        <v>11</v>
      </c>
      <c r="B794" s="2" t="s">
        <v>306</v>
      </c>
      <c r="C794" s="3">
        <v>24182</v>
      </c>
      <c r="D794" s="1" t="s">
        <v>307</v>
      </c>
      <c r="E794" s="1" t="s">
        <v>2853</v>
      </c>
      <c r="F794" s="2" t="s">
        <v>16</v>
      </c>
      <c r="G794" s="2" t="s">
        <v>64</v>
      </c>
      <c r="H794" s="2" t="s">
        <v>10</v>
      </c>
      <c r="I794" s="2" t="s">
        <v>11</v>
      </c>
      <c r="J794" s="2" t="s">
        <v>2854</v>
      </c>
      <c r="K794" s="30" t="s">
        <v>13193</v>
      </c>
      <c r="L794" s="39" t="s">
        <v>13195</v>
      </c>
    </row>
    <row r="795" spans="1:12" ht="27.6" hidden="1" x14ac:dyDescent="0.3">
      <c r="A795" s="2" t="s">
        <v>11</v>
      </c>
      <c r="B795" s="2" t="s">
        <v>2855</v>
      </c>
      <c r="C795" s="3">
        <v>28937</v>
      </c>
      <c r="D795" s="1" t="s">
        <v>2856</v>
      </c>
      <c r="E795" s="1" t="s">
        <v>2857</v>
      </c>
      <c r="F795" s="2" t="s">
        <v>16</v>
      </c>
      <c r="G795" s="2" t="s">
        <v>696</v>
      </c>
      <c r="H795" s="2" t="s">
        <v>10</v>
      </c>
      <c r="I795" s="2" t="s">
        <v>11</v>
      </c>
      <c r="J795" s="2" t="s">
        <v>697</v>
      </c>
      <c r="K795" s="2" t="s">
        <v>10</v>
      </c>
    </row>
    <row r="796" spans="1:12" ht="27.6" hidden="1" x14ac:dyDescent="0.3">
      <c r="A796" s="2" t="s">
        <v>11</v>
      </c>
      <c r="B796" s="2" t="s">
        <v>2858</v>
      </c>
      <c r="C796" s="3">
        <v>30015</v>
      </c>
      <c r="D796" s="1" t="s">
        <v>2859</v>
      </c>
      <c r="E796" s="1" t="s">
        <v>2860</v>
      </c>
      <c r="F796" s="2" t="s">
        <v>16</v>
      </c>
      <c r="G796" s="2" t="s">
        <v>696</v>
      </c>
      <c r="H796" s="2" t="s">
        <v>43</v>
      </c>
      <c r="I796" s="2" t="s">
        <v>11</v>
      </c>
      <c r="J796" s="2" t="s">
        <v>2861</v>
      </c>
      <c r="K796" s="2" t="s">
        <v>10</v>
      </c>
    </row>
    <row r="797" spans="1:12" ht="27.6" hidden="1" x14ac:dyDescent="0.3">
      <c r="A797" s="2" t="s">
        <v>11</v>
      </c>
      <c r="B797" s="2" t="s">
        <v>2862</v>
      </c>
      <c r="C797" s="3">
        <v>30255</v>
      </c>
      <c r="D797" s="1" t="s">
        <v>2863</v>
      </c>
      <c r="E797" s="1" t="s">
        <v>2864</v>
      </c>
      <c r="F797" s="2" t="s">
        <v>16</v>
      </c>
      <c r="G797" s="2" t="s">
        <v>230</v>
      </c>
      <c r="H797" s="2" t="s">
        <v>43</v>
      </c>
      <c r="I797" s="2" t="s">
        <v>11</v>
      </c>
      <c r="J797" s="2" t="s">
        <v>2865</v>
      </c>
      <c r="K797" s="2" t="s">
        <v>10</v>
      </c>
    </row>
    <row r="798" spans="1:12" ht="27.6" hidden="1" x14ac:dyDescent="0.3">
      <c r="A798" s="2" t="s">
        <v>11</v>
      </c>
      <c r="B798" s="2" t="s">
        <v>2866</v>
      </c>
      <c r="C798" s="3">
        <v>22031</v>
      </c>
      <c r="D798" s="1" t="s">
        <v>2867</v>
      </c>
      <c r="E798" s="1" t="s">
        <v>2868</v>
      </c>
      <c r="F798" s="2" t="s">
        <v>16</v>
      </c>
      <c r="G798" s="2" t="s">
        <v>511</v>
      </c>
      <c r="H798" s="2" t="s">
        <v>10</v>
      </c>
      <c r="I798" s="2" t="s">
        <v>11</v>
      </c>
      <c r="J798" s="2" t="s">
        <v>2869</v>
      </c>
      <c r="K798" s="30" t="s">
        <v>13193</v>
      </c>
      <c r="L798" s="39" t="s">
        <v>13196</v>
      </c>
    </row>
    <row r="799" spans="1:12" ht="27.6" hidden="1" x14ac:dyDescent="0.3">
      <c r="A799" s="2" t="s">
        <v>11</v>
      </c>
      <c r="B799" s="2" t="s">
        <v>2870</v>
      </c>
      <c r="C799" s="3">
        <v>27830</v>
      </c>
      <c r="D799" s="1" t="s">
        <v>2871</v>
      </c>
      <c r="E799" s="1" t="s">
        <v>2872</v>
      </c>
      <c r="F799" s="2" t="s">
        <v>16</v>
      </c>
      <c r="G799" s="2" t="s">
        <v>217</v>
      </c>
      <c r="H799" s="2" t="s">
        <v>10</v>
      </c>
      <c r="I799" s="2" t="s">
        <v>11</v>
      </c>
      <c r="J799" s="2" t="s">
        <v>2873</v>
      </c>
      <c r="K799" s="2" t="s">
        <v>10</v>
      </c>
    </row>
    <row r="800" spans="1:12" ht="27.6" hidden="1" x14ac:dyDescent="0.3">
      <c r="A800" s="2" t="s">
        <v>11</v>
      </c>
      <c r="B800" s="2" t="s">
        <v>2874</v>
      </c>
      <c r="C800" s="3">
        <v>21324</v>
      </c>
      <c r="D800" s="1" t="s">
        <v>2875</v>
      </c>
      <c r="E800" s="1" t="s">
        <v>2876</v>
      </c>
      <c r="F800" s="2" t="s">
        <v>16</v>
      </c>
      <c r="G800" s="2" t="s">
        <v>604</v>
      </c>
      <c r="H800" s="2" t="s">
        <v>10</v>
      </c>
      <c r="I800" s="2" t="s">
        <v>11</v>
      </c>
      <c r="J800" s="2" t="s">
        <v>2877</v>
      </c>
      <c r="K800" s="2" t="s">
        <v>10</v>
      </c>
      <c r="L800" s="6"/>
    </row>
    <row r="801" spans="1:12" ht="27.6" hidden="1" x14ac:dyDescent="0.3">
      <c r="A801" s="2" t="s">
        <v>11</v>
      </c>
      <c r="B801" s="2" t="s">
        <v>2878</v>
      </c>
      <c r="C801" s="3">
        <v>23163</v>
      </c>
      <c r="D801" s="1" t="s">
        <v>2879</v>
      </c>
      <c r="E801" s="1" t="s">
        <v>2880</v>
      </c>
      <c r="F801" s="2" t="s">
        <v>16</v>
      </c>
      <c r="G801" s="2" t="s">
        <v>1222</v>
      </c>
      <c r="H801" s="2" t="s">
        <v>10</v>
      </c>
      <c r="I801" s="2" t="s">
        <v>11</v>
      </c>
      <c r="J801" s="2" t="s">
        <v>1223</v>
      </c>
      <c r="K801" s="2" t="s">
        <v>10</v>
      </c>
    </row>
    <row r="802" spans="1:12" ht="27.6" hidden="1" x14ac:dyDescent="0.3">
      <c r="A802" s="2" t="s">
        <v>11</v>
      </c>
      <c r="B802" s="2" t="s">
        <v>2881</v>
      </c>
      <c r="C802" s="3">
        <v>27618</v>
      </c>
      <c r="D802" s="1" t="s">
        <v>2882</v>
      </c>
      <c r="E802" s="1" t="s">
        <v>2883</v>
      </c>
      <c r="F802" s="2" t="s">
        <v>16</v>
      </c>
      <c r="G802" s="2" t="s">
        <v>1266</v>
      </c>
      <c r="H802" s="2" t="s">
        <v>103</v>
      </c>
      <c r="I802" s="2" t="s">
        <v>11</v>
      </c>
      <c r="J802" s="2" t="s">
        <v>2884</v>
      </c>
      <c r="K802" s="2" t="s">
        <v>10</v>
      </c>
    </row>
    <row r="803" spans="1:12" ht="27.6" hidden="1" x14ac:dyDescent="0.3">
      <c r="A803" s="2" t="s">
        <v>11</v>
      </c>
      <c r="B803" s="2" t="s">
        <v>2885</v>
      </c>
      <c r="C803" s="3">
        <v>27618</v>
      </c>
      <c r="D803" s="1" t="s">
        <v>2886</v>
      </c>
      <c r="E803" s="1" t="s">
        <v>2883</v>
      </c>
      <c r="F803" s="2" t="s">
        <v>16</v>
      </c>
      <c r="G803" s="2" t="s">
        <v>1266</v>
      </c>
      <c r="H803" s="2" t="s">
        <v>81</v>
      </c>
      <c r="I803" s="2" t="s">
        <v>11</v>
      </c>
      <c r="J803" s="2" t="s">
        <v>2887</v>
      </c>
      <c r="K803" s="2" t="s">
        <v>10</v>
      </c>
    </row>
    <row r="804" spans="1:12" ht="27.6" hidden="1" x14ac:dyDescent="0.3">
      <c r="A804" s="2" t="s">
        <v>11</v>
      </c>
      <c r="B804" s="2" t="s">
        <v>2740</v>
      </c>
      <c r="C804" s="3">
        <v>20738</v>
      </c>
      <c r="D804" s="1" t="s">
        <v>2888</v>
      </c>
      <c r="E804" s="1" t="s">
        <v>2742</v>
      </c>
      <c r="F804" s="2" t="s">
        <v>16</v>
      </c>
      <c r="G804" s="2" t="s">
        <v>1135</v>
      </c>
      <c r="H804" s="2" t="s">
        <v>10</v>
      </c>
      <c r="I804" s="2" t="s">
        <v>11</v>
      </c>
      <c r="J804" s="2" t="s">
        <v>2889</v>
      </c>
      <c r="K804" s="2" t="s">
        <v>10</v>
      </c>
    </row>
    <row r="805" spans="1:12" ht="27.6" hidden="1" x14ac:dyDescent="0.3">
      <c r="A805" s="2" t="s">
        <v>11</v>
      </c>
      <c r="B805" s="2" t="s">
        <v>2890</v>
      </c>
      <c r="C805" s="3">
        <v>25243</v>
      </c>
      <c r="D805" s="1" t="s">
        <v>2891</v>
      </c>
      <c r="E805" s="1" t="s">
        <v>2892</v>
      </c>
      <c r="F805" s="2" t="s">
        <v>16</v>
      </c>
      <c r="G805" s="2" t="s">
        <v>1004</v>
      </c>
      <c r="H805" s="2" t="s">
        <v>10</v>
      </c>
      <c r="I805" s="2" t="s">
        <v>11</v>
      </c>
      <c r="J805" s="2" t="s">
        <v>2893</v>
      </c>
      <c r="K805" s="15" t="s">
        <v>10</v>
      </c>
    </row>
    <row r="806" spans="1:12" ht="27.6" hidden="1" x14ac:dyDescent="0.3">
      <c r="A806" s="2" t="s">
        <v>11</v>
      </c>
      <c r="B806" s="2" t="s">
        <v>2894</v>
      </c>
      <c r="C806" s="3">
        <v>35042</v>
      </c>
      <c r="D806" s="1" t="s">
        <v>2895</v>
      </c>
      <c r="E806" s="1" t="s">
        <v>2896</v>
      </c>
      <c r="F806" s="2" t="s">
        <v>16</v>
      </c>
      <c r="G806" s="2" t="s">
        <v>1354</v>
      </c>
      <c r="H806" s="2" t="s">
        <v>43</v>
      </c>
      <c r="I806" s="2" t="s">
        <v>11</v>
      </c>
      <c r="J806" s="2" t="s">
        <v>2897</v>
      </c>
      <c r="K806" s="2" t="s">
        <v>10</v>
      </c>
      <c r="L806" s="6"/>
    </row>
    <row r="807" spans="1:12" ht="27.6" hidden="1" x14ac:dyDescent="0.3">
      <c r="A807" s="2" t="s">
        <v>11</v>
      </c>
      <c r="B807" s="2" t="s">
        <v>2898</v>
      </c>
      <c r="C807" s="3">
        <v>32679</v>
      </c>
      <c r="D807" s="1" t="s">
        <v>2899</v>
      </c>
      <c r="E807" s="1" t="s">
        <v>2900</v>
      </c>
      <c r="F807" s="2" t="s">
        <v>16</v>
      </c>
      <c r="G807" s="2" t="s">
        <v>1004</v>
      </c>
      <c r="H807" s="2" t="s">
        <v>26</v>
      </c>
      <c r="I807" s="2" t="s">
        <v>11</v>
      </c>
      <c r="J807" s="2" t="s">
        <v>2901</v>
      </c>
      <c r="K807" s="18" t="s">
        <v>10</v>
      </c>
    </row>
    <row r="808" spans="1:12" ht="27.6" hidden="1" x14ac:dyDescent="0.3">
      <c r="A808" s="2" t="s">
        <v>11</v>
      </c>
      <c r="B808" s="2" t="s">
        <v>2902</v>
      </c>
      <c r="C808" s="3">
        <v>23502</v>
      </c>
      <c r="D808" s="1" t="s">
        <v>2903</v>
      </c>
      <c r="E808" s="1" t="s">
        <v>2904</v>
      </c>
      <c r="F808" s="2" t="s">
        <v>16</v>
      </c>
      <c r="G808" s="2" t="s">
        <v>97</v>
      </c>
      <c r="H808" s="2" t="s">
        <v>2905</v>
      </c>
      <c r="I808" s="2" t="s">
        <v>11</v>
      </c>
      <c r="J808" s="2" t="s">
        <v>2906</v>
      </c>
      <c r="K808" s="2" t="s">
        <v>10</v>
      </c>
      <c r="L808" s="6"/>
    </row>
    <row r="809" spans="1:12" ht="27.6" hidden="1" x14ac:dyDescent="0.3">
      <c r="A809" s="2" t="s">
        <v>11</v>
      </c>
      <c r="B809" s="2" t="s">
        <v>2907</v>
      </c>
      <c r="C809" s="3">
        <v>33316</v>
      </c>
      <c r="D809" s="1" t="s">
        <v>2908</v>
      </c>
      <c r="E809" s="1" t="s">
        <v>2909</v>
      </c>
      <c r="F809" s="2" t="s">
        <v>16</v>
      </c>
      <c r="G809" s="2" t="s">
        <v>2910</v>
      </c>
      <c r="H809" s="2" t="s">
        <v>10</v>
      </c>
      <c r="I809" s="2" t="s">
        <v>11</v>
      </c>
      <c r="J809" s="2" t="s">
        <v>2911</v>
      </c>
      <c r="K809" s="2" t="s">
        <v>10</v>
      </c>
    </row>
    <row r="810" spans="1:12" ht="27.6" hidden="1" x14ac:dyDescent="0.3">
      <c r="A810" s="2" t="s">
        <v>11</v>
      </c>
      <c r="B810" s="2" t="s">
        <v>2912</v>
      </c>
      <c r="C810" s="3">
        <v>29721</v>
      </c>
      <c r="D810" s="1" t="s">
        <v>2913</v>
      </c>
      <c r="E810" s="1" t="s">
        <v>2914</v>
      </c>
      <c r="F810" s="2" t="s">
        <v>16</v>
      </c>
      <c r="G810" s="2" t="s">
        <v>69</v>
      </c>
      <c r="H810" s="2" t="s">
        <v>10</v>
      </c>
      <c r="I810" s="2" t="s">
        <v>11</v>
      </c>
      <c r="J810" s="2" t="s">
        <v>2915</v>
      </c>
      <c r="K810" s="2" t="s">
        <v>10</v>
      </c>
    </row>
    <row r="811" spans="1:12" ht="27.6" hidden="1" x14ac:dyDescent="0.3">
      <c r="A811" s="2" t="s">
        <v>11</v>
      </c>
      <c r="B811" s="2" t="s">
        <v>2912</v>
      </c>
      <c r="C811" s="3">
        <v>29721</v>
      </c>
      <c r="D811" s="1" t="s">
        <v>2913</v>
      </c>
      <c r="E811" s="1" t="s">
        <v>2914</v>
      </c>
      <c r="F811" s="2" t="s">
        <v>16</v>
      </c>
      <c r="G811" s="2" t="s">
        <v>2916</v>
      </c>
      <c r="H811" s="2" t="s">
        <v>10</v>
      </c>
      <c r="I811" s="2" t="s">
        <v>11</v>
      </c>
      <c r="J811" s="2" t="s">
        <v>2917</v>
      </c>
      <c r="K811" s="2" t="s">
        <v>10</v>
      </c>
    </row>
    <row r="812" spans="1:12" ht="27.6" hidden="1" x14ac:dyDescent="0.3">
      <c r="A812" s="2" t="s">
        <v>11</v>
      </c>
      <c r="B812" s="2" t="s">
        <v>2918</v>
      </c>
      <c r="C812" s="3">
        <v>26523</v>
      </c>
      <c r="D812" s="1" t="s">
        <v>442</v>
      </c>
      <c r="E812" s="1" t="s">
        <v>2919</v>
      </c>
      <c r="F812" s="2" t="s">
        <v>16</v>
      </c>
      <c r="G812" s="2" t="s">
        <v>112</v>
      </c>
      <c r="H812" s="2" t="s">
        <v>252</v>
      </c>
      <c r="I812" s="2" t="s">
        <v>11</v>
      </c>
      <c r="J812" s="2" t="s">
        <v>2920</v>
      </c>
      <c r="K812" s="2" t="s">
        <v>10</v>
      </c>
    </row>
    <row r="813" spans="1:12" ht="27.6" hidden="1" x14ac:dyDescent="0.3">
      <c r="A813" s="2" t="s">
        <v>11</v>
      </c>
      <c r="B813" s="2" t="s">
        <v>2921</v>
      </c>
      <c r="C813" s="3">
        <v>30835</v>
      </c>
      <c r="D813" s="1" t="s">
        <v>2922</v>
      </c>
      <c r="E813" s="1" t="s">
        <v>2923</v>
      </c>
      <c r="F813" s="2" t="s">
        <v>16</v>
      </c>
      <c r="G813" s="2" t="s">
        <v>112</v>
      </c>
      <c r="H813" s="2" t="s">
        <v>1112</v>
      </c>
      <c r="I813" s="2" t="s">
        <v>11</v>
      </c>
      <c r="J813" s="2" t="s">
        <v>2924</v>
      </c>
      <c r="K813" s="2" t="s">
        <v>10</v>
      </c>
    </row>
    <row r="814" spans="1:12" ht="27.6" hidden="1" x14ac:dyDescent="0.3">
      <c r="A814" s="2" t="s">
        <v>11</v>
      </c>
      <c r="B814" s="2" t="s">
        <v>2925</v>
      </c>
      <c r="C814" s="3">
        <v>30724</v>
      </c>
      <c r="D814" s="1" t="s">
        <v>1855</v>
      </c>
      <c r="E814" s="1" t="s">
        <v>2926</v>
      </c>
      <c r="F814" s="2" t="s">
        <v>16</v>
      </c>
      <c r="G814" s="2" t="s">
        <v>2336</v>
      </c>
      <c r="H814" s="2" t="s">
        <v>10</v>
      </c>
      <c r="I814" s="2" t="s">
        <v>11</v>
      </c>
      <c r="J814" s="2" t="s">
        <v>2927</v>
      </c>
      <c r="K814" s="2" t="s">
        <v>10</v>
      </c>
    </row>
    <row r="815" spans="1:12" ht="27.6" hidden="1" x14ac:dyDescent="0.3">
      <c r="A815" s="2" t="s">
        <v>11</v>
      </c>
      <c r="B815" s="2" t="s">
        <v>2928</v>
      </c>
      <c r="C815" s="3">
        <v>31808</v>
      </c>
      <c r="D815" s="1" t="s">
        <v>2929</v>
      </c>
      <c r="E815" s="1" t="s">
        <v>2930</v>
      </c>
      <c r="F815" s="2" t="s">
        <v>16</v>
      </c>
      <c r="G815" s="2" t="s">
        <v>2931</v>
      </c>
      <c r="H815" s="2" t="s">
        <v>10</v>
      </c>
      <c r="I815" s="2" t="s">
        <v>11</v>
      </c>
      <c r="J815" s="2" t="s">
        <v>2932</v>
      </c>
      <c r="K815" s="2" t="s">
        <v>10</v>
      </c>
    </row>
    <row r="816" spans="1:12" ht="27.6" hidden="1" x14ac:dyDescent="0.3">
      <c r="A816" s="2" t="s">
        <v>11</v>
      </c>
      <c r="B816" s="2" t="s">
        <v>2933</v>
      </c>
      <c r="C816" s="3">
        <v>31808</v>
      </c>
      <c r="D816" s="1" t="s">
        <v>2934</v>
      </c>
      <c r="E816" s="1" t="s">
        <v>2930</v>
      </c>
      <c r="F816" s="2" t="s">
        <v>16</v>
      </c>
      <c r="G816" s="2" t="s">
        <v>950</v>
      </c>
      <c r="H816" s="2" t="s">
        <v>10</v>
      </c>
      <c r="I816" s="2" t="s">
        <v>11</v>
      </c>
      <c r="J816" s="2" t="s">
        <v>2935</v>
      </c>
      <c r="K816" s="2" t="s">
        <v>10</v>
      </c>
    </row>
    <row r="817" spans="1:12" ht="27.6" hidden="1" x14ac:dyDescent="0.3">
      <c r="A817" s="2" t="s">
        <v>11</v>
      </c>
      <c r="B817" s="2" t="s">
        <v>2936</v>
      </c>
      <c r="C817" s="3">
        <v>33429</v>
      </c>
      <c r="D817" s="1" t="s">
        <v>442</v>
      </c>
      <c r="E817" s="1" t="s">
        <v>2937</v>
      </c>
      <c r="F817" s="2" t="s">
        <v>16</v>
      </c>
      <c r="G817" s="2" t="s">
        <v>2828</v>
      </c>
      <c r="H817" s="2" t="s">
        <v>2838</v>
      </c>
      <c r="I817" s="2" t="s">
        <v>11</v>
      </c>
      <c r="J817" s="2" t="s">
        <v>2938</v>
      </c>
      <c r="K817" s="2" t="s">
        <v>10</v>
      </c>
    </row>
    <row r="818" spans="1:12" ht="27.6" hidden="1" x14ac:dyDescent="0.3">
      <c r="A818" s="2" t="s">
        <v>11</v>
      </c>
      <c r="B818" s="2" t="s">
        <v>2939</v>
      </c>
      <c r="C818" s="3">
        <v>30205</v>
      </c>
      <c r="D818" s="1" t="s">
        <v>2940</v>
      </c>
      <c r="E818" s="1" t="s">
        <v>2941</v>
      </c>
      <c r="F818" s="2" t="s">
        <v>16</v>
      </c>
      <c r="G818" s="2" t="s">
        <v>880</v>
      </c>
      <c r="H818" s="2" t="s">
        <v>10</v>
      </c>
      <c r="I818" s="2" t="s">
        <v>11</v>
      </c>
      <c r="J818" s="2" t="s">
        <v>2942</v>
      </c>
      <c r="K818" s="2" t="s">
        <v>10</v>
      </c>
    </row>
    <row r="819" spans="1:12" ht="27.6" hidden="1" x14ac:dyDescent="0.3">
      <c r="A819" s="2" t="s">
        <v>11</v>
      </c>
      <c r="B819" s="2" t="s">
        <v>2943</v>
      </c>
      <c r="C819" s="3">
        <v>22132</v>
      </c>
      <c r="D819" s="1" t="s">
        <v>2944</v>
      </c>
      <c r="E819" s="1" t="s">
        <v>2945</v>
      </c>
      <c r="F819" s="2" t="s">
        <v>992</v>
      </c>
      <c r="G819" s="2" t="s">
        <v>25</v>
      </c>
      <c r="H819" s="2" t="s">
        <v>10</v>
      </c>
      <c r="I819" s="2" t="s">
        <v>11</v>
      </c>
      <c r="J819" s="2" t="s">
        <v>305</v>
      </c>
      <c r="K819" s="30" t="s">
        <v>13193</v>
      </c>
      <c r="L819" s="24" t="s">
        <v>13195</v>
      </c>
    </row>
    <row r="820" spans="1:12" ht="27.6" hidden="1" x14ac:dyDescent="0.3">
      <c r="A820" s="2" t="s">
        <v>11</v>
      </c>
      <c r="B820" s="2" t="s">
        <v>2946</v>
      </c>
      <c r="C820" s="3">
        <v>23083</v>
      </c>
      <c r="D820" s="1" t="s">
        <v>2947</v>
      </c>
      <c r="E820" s="1" t="s">
        <v>2948</v>
      </c>
      <c r="F820" s="2" t="s">
        <v>1846</v>
      </c>
      <c r="G820" s="2" t="s">
        <v>12</v>
      </c>
      <c r="H820" s="2" t="s">
        <v>43</v>
      </c>
      <c r="I820" s="2" t="s">
        <v>11</v>
      </c>
      <c r="J820" s="2" t="s">
        <v>2949</v>
      </c>
      <c r="K820" s="30" t="s">
        <v>13193</v>
      </c>
      <c r="L820" s="6" t="s">
        <v>13195</v>
      </c>
    </row>
    <row r="821" spans="1:12" ht="27.6" hidden="1" x14ac:dyDescent="0.3">
      <c r="A821" s="2" t="s">
        <v>11</v>
      </c>
      <c r="B821" s="2" t="s">
        <v>2950</v>
      </c>
      <c r="C821" s="3">
        <v>34881</v>
      </c>
      <c r="D821" s="1" t="s">
        <v>2951</v>
      </c>
      <c r="E821" s="1" t="s">
        <v>2952</v>
      </c>
      <c r="F821" s="2" t="s">
        <v>1846</v>
      </c>
      <c r="G821" s="2" t="s">
        <v>12</v>
      </c>
      <c r="H821" s="2" t="s">
        <v>10</v>
      </c>
      <c r="I821" s="2" t="s">
        <v>11</v>
      </c>
      <c r="J821" s="2" t="s">
        <v>2953</v>
      </c>
      <c r="K821" s="30" t="s">
        <v>13193</v>
      </c>
      <c r="L821" s="6" t="s">
        <v>13195</v>
      </c>
    </row>
    <row r="822" spans="1:12" ht="27.6" hidden="1" x14ac:dyDescent="0.3">
      <c r="A822" s="2" t="s">
        <v>11</v>
      </c>
      <c r="B822" s="2" t="s">
        <v>2954</v>
      </c>
      <c r="C822" s="3">
        <v>33666</v>
      </c>
      <c r="D822" s="1" t="s">
        <v>442</v>
      </c>
      <c r="E822" s="1" t="s">
        <v>2955</v>
      </c>
      <c r="F822" s="2" t="s">
        <v>1846</v>
      </c>
      <c r="G822" s="2" t="s">
        <v>380</v>
      </c>
      <c r="H822" s="2" t="s">
        <v>10</v>
      </c>
      <c r="I822" s="2" t="s">
        <v>11</v>
      </c>
      <c r="J822" s="2" t="s">
        <v>2956</v>
      </c>
      <c r="K822" s="30" t="s">
        <v>13193</v>
      </c>
      <c r="L822" s="6" t="s">
        <v>13195</v>
      </c>
    </row>
    <row r="823" spans="1:12" ht="27.6" hidden="1" x14ac:dyDescent="0.3">
      <c r="A823" s="2" t="s">
        <v>11</v>
      </c>
      <c r="B823" s="2" t="s">
        <v>2957</v>
      </c>
      <c r="C823" s="3">
        <v>21558</v>
      </c>
      <c r="D823" s="1" t="s">
        <v>2958</v>
      </c>
      <c r="E823" s="1" t="s">
        <v>2959</v>
      </c>
      <c r="F823" s="2" t="s">
        <v>16</v>
      </c>
      <c r="G823" s="2" t="s">
        <v>278</v>
      </c>
      <c r="H823" s="2" t="s">
        <v>43</v>
      </c>
      <c r="I823" s="2" t="s">
        <v>11</v>
      </c>
      <c r="J823" s="2" t="s">
        <v>2960</v>
      </c>
      <c r="K823" s="2" t="s">
        <v>10</v>
      </c>
    </row>
    <row r="824" spans="1:12" ht="27.6" hidden="1" x14ac:dyDescent="0.3">
      <c r="A824" s="2" t="s">
        <v>11</v>
      </c>
      <c r="B824" s="2" t="s">
        <v>2961</v>
      </c>
      <c r="C824" s="3">
        <v>23287</v>
      </c>
      <c r="D824" s="1" t="s">
        <v>2962</v>
      </c>
      <c r="E824" s="1" t="s">
        <v>2963</v>
      </c>
      <c r="F824" s="2" t="s">
        <v>16</v>
      </c>
      <c r="G824" s="2" t="s">
        <v>31</v>
      </c>
      <c r="H824" s="2" t="s">
        <v>2964</v>
      </c>
      <c r="I824" s="2" t="s">
        <v>11</v>
      </c>
      <c r="J824" s="2" t="s">
        <v>2965</v>
      </c>
      <c r="K824" s="2" t="s">
        <v>10</v>
      </c>
    </row>
    <row r="825" spans="1:12" ht="27.6" hidden="1" x14ac:dyDescent="0.3">
      <c r="A825" s="2" t="s">
        <v>11</v>
      </c>
      <c r="B825" s="2" t="s">
        <v>2966</v>
      </c>
      <c r="C825" s="3">
        <v>35538</v>
      </c>
      <c r="D825" s="1" t="s">
        <v>2967</v>
      </c>
      <c r="E825" s="1" t="s">
        <v>2968</v>
      </c>
      <c r="F825" s="2" t="s">
        <v>36</v>
      </c>
      <c r="G825" s="2" t="s">
        <v>511</v>
      </c>
      <c r="H825" s="2" t="s">
        <v>10</v>
      </c>
      <c r="I825" s="2" t="s">
        <v>11</v>
      </c>
      <c r="J825" s="2" t="s">
        <v>2969</v>
      </c>
      <c r="K825" s="2" t="s">
        <v>10</v>
      </c>
    </row>
    <row r="826" spans="1:12" ht="27.6" hidden="1" x14ac:dyDescent="0.3">
      <c r="A826" s="2" t="s">
        <v>11</v>
      </c>
      <c r="B826" s="2" t="s">
        <v>2970</v>
      </c>
      <c r="C826" s="3">
        <v>23114</v>
      </c>
      <c r="D826" s="1" t="s">
        <v>2971</v>
      </c>
      <c r="E826" s="1" t="s">
        <v>2972</v>
      </c>
      <c r="F826" s="2" t="s">
        <v>36</v>
      </c>
      <c r="G826" s="2" t="s">
        <v>75</v>
      </c>
      <c r="H826" s="2" t="s">
        <v>10</v>
      </c>
      <c r="I826" s="2" t="s">
        <v>11</v>
      </c>
      <c r="J826" s="2" t="s">
        <v>2973</v>
      </c>
      <c r="K826" s="2" t="s">
        <v>10</v>
      </c>
    </row>
    <row r="827" spans="1:12" ht="27.6" hidden="1" x14ac:dyDescent="0.3">
      <c r="A827" s="2" t="s">
        <v>11</v>
      </c>
      <c r="B827" s="2" t="s">
        <v>2974</v>
      </c>
      <c r="C827" s="3">
        <v>34647</v>
      </c>
      <c r="D827" s="1" t="s">
        <v>2975</v>
      </c>
      <c r="E827" s="1" t="s">
        <v>2976</v>
      </c>
      <c r="F827" s="2" t="s">
        <v>16</v>
      </c>
      <c r="G827" s="2" t="s">
        <v>2977</v>
      </c>
      <c r="H827" s="2" t="s">
        <v>10</v>
      </c>
      <c r="I827" s="2" t="s">
        <v>11</v>
      </c>
      <c r="J827" s="2" t="s">
        <v>2978</v>
      </c>
      <c r="K827" s="2" t="s">
        <v>10</v>
      </c>
    </row>
    <row r="828" spans="1:12" ht="27.6" hidden="1" x14ac:dyDescent="0.3">
      <c r="A828" s="2" t="s">
        <v>11</v>
      </c>
      <c r="B828" s="2" t="s">
        <v>2979</v>
      </c>
      <c r="C828" s="3">
        <v>27817</v>
      </c>
      <c r="D828" s="1" t="s">
        <v>40</v>
      </c>
      <c r="E828" s="1" t="s">
        <v>2980</v>
      </c>
      <c r="F828" s="2" t="s">
        <v>53</v>
      </c>
      <c r="G828" s="2" t="s">
        <v>31</v>
      </c>
      <c r="H828" s="2" t="s">
        <v>43</v>
      </c>
      <c r="I828" s="2" t="s">
        <v>11</v>
      </c>
      <c r="J828" s="2" t="s">
        <v>2981</v>
      </c>
      <c r="K828" s="2" t="s">
        <v>10</v>
      </c>
    </row>
    <row r="829" spans="1:12" ht="27.6" hidden="1" x14ac:dyDescent="0.3">
      <c r="A829" s="2" t="s">
        <v>11</v>
      </c>
      <c r="B829" s="2" t="s">
        <v>39</v>
      </c>
      <c r="C829" s="3">
        <v>27817</v>
      </c>
      <c r="D829" s="1" t="s">
        <v>40</v>
      </c>
      <c r="E829" s="1" t="s">
        <v>2980</v>
      </c>
      <c r="F829" s="2" t="s">
        <v>53</v>
      </c>
      <c r="G829" s="2" t="s">
        <v>31</v>
      </c>
      <c r="H829" s="2" t="s">
        <v>26</v>
      </c>
      <c r="I829" s="2" t="s">
        <v>11</v>
      </c>
      <c r="J829" s="2" t="s">
        <v>2982</v>
      </c>
      <c r="K829" s="2" t="s">
        <v>10</v>
      </c>
    </row>
    <row r="830" spans="1:12" ht="27.6" hidden="1" x14ac:dyDescent="0.3">
      <c r="A830" s="2" t="s">
        <v>11</v>
      </c>
      <c r="B830" s="2" t="s">
        <v>2983</v>
      </c>
      <c r="C830" s="3">
        <v>29454</v>
      </c>
      <c r="D830" s="1" t="s">
        <v>2984</v>
      </c>
      <c r="E830" s="1" t="s">
        <v>2985</v>
      </c>
      <c r="F830" s="2" t="s">
        <v>53</v>
      </c>
      <c r="G830" s="2" t="s">
        <v>48</v>
      </c>
      <c r="H830" s="2" t="s">
        <v>10</v>
      </c>
      <c r="I830" s="2" t="s">
        <v>11</v>
      </c>
      <c r="J830" s="2" t="s">
        <v>2986</v>
      </c>
      <c r="K830" s="2" t="s">
        <v>10</v>
      </c>
    </row>
    <row r="831" spans="1:12" ht="27.6" hidden="1" x14ac:dyDescent="0.3">
      <c r="A831" s="2" t="s">
        <v>11</v>
      </c>
      <c r="B831" s="2" t="s">
        <v>2987</v>
      </c>
      <c r="C831" s="3">
        <v>21765</v>
      </c>
      <c r="D831" s="1" t="s">
        <v>2988</v>
      </c>
      <c r="E831" s="1" t="s">
        <v>2989</v>
      </c>
      <c r="F831" s="2" t="s">
        <v>16</v>
      </c>
      <c r="G831" s="2" t="s">
        <v>2990</v>
      </c>
      <c r="H831" s="2" t="s">
        <v>10</v>
      </c>
      <c r="I831" s="2" t="s">
        <v>11</v>
      </c>
      <c r="J831" s="2" t="s">
        <v>2991</v>
      </c>
      <c r="K831" s="2" t="s">
        <v>10</v>
      </c>
    </row>
    <row r="832" spans="1:12" ht="27.6" hidden="1" x14ac:dyDescent="0.3">
      <c r="A832" s="2" t="s">
        <v>11</v>
      </c>
      <c r="B832" s="2" t="s">
        <v>2992</v>
      </c>
      <c r="C832" s="3">
        <v>33539</v>
      </c>
      <c r="D832" s="1" t="s">
        <v>2993</v>
      </c>
      <c r="E832" s="1" t="s">
        <v>2994</v>
      </c>
      <c r="F832" s="2" t="s">
        <v>379</v>
      </c>
      <c r="G832" s="2" t="s">
        <v>425</v>
      </c>
      <c r="H832" s="2" t="s">
        <v>10</v>
      </c>
      <c r="I832" s="2" t="s">
        <v>11</v>
      </c>
      <c r="J832" s="2" t="s">
        <v>2995</v>
      </c>
      <c r="K832" s="2" t="s">
        <v>10</v>
      </c>
    </row>
    <row r="833" spans="1:12" ht="27.6" hidden="1" x14ac:dyDescent="0.3">
      <c r="A833" s="2" t="s">
        <v>11</v>
      </c>
      <c r="B833" s="2" t="s">
        <v>2996</v>
      </c>
      <c r="C833" s="3">
        <v>30208</v>
      </c>
      <c r="D833" s="1" t="s">
        <v>2997</v>
      </c>
      <c r="E833" s="1" t="s">
        <v>2998</v>
      </c>
      <c r="F833" s="2" t="s">
        <v>379</v>
      </c>
      <c r="G833" s="2" t="s">
        <v>80</v>
      </c>
      <c r="H833" s="2" t="s">
        <v>10</v>
      </c>
      <c r="I833" s="2" t="s">
        <v>11</v>
      </c>
      <c r="J833" s="2" t="s">
        <v>2999</v>
      </c>
      <c r="K833" s="2" t="s">
        <v>10</v>
      </c>
    </row>
    <row r="834" spans="1:12" ht="27.6" hidden="1" x14ac:dyDescent="0.3">
      <c r="A834" s="2" t="s">
        <v>11</v>
      </c>
      <c r="B834" s="2" t="s">
        <v>3000</v>
      </c>
      <c r="C834" s="3">
        <v>35690</v>
      </c>
      <c r="D834" s="1" t="s">
        <v>3001</v>
      </c>
      <c r="E834" s="1" t="s">
        <v>3002</v>
      </c>
      <c r="F834" s="2" t="s">
        <v>16</v>
      </c>
      <c r="G834" s="2" t="s">
        <v>2795</v>
      </c>
      <c r="H834" s="2" t="s">
        <v>334</v>
      </c>
      <c r="I834" s="2" t="s">
        <v>11</v>
      </c>
      <c r="J834" s="2" t="s">
        <v>3003</v>
      </c>
      <c r="K834" s="2" t="s">
        <v>10</v>
      </c>
    </row>
    <row r="835" spans="1:12" ht="27.6" hidden="1" x14ac:dyDescent="0.3">
      <c r="A835" s="2" t="s">
        <v>11</v>
      </c>
      <c r="B835" s="2" t="s">
        <v>3004</v>
      </c>
      <c r="C835" s="3">
        <v>35976</v>
      </c>
      <c r="D835" s="1" t="s">
        <v>3005</v>
      </c>
      <c r="E835" s="1" t="s">
        <v>3006</v>
      </c>
      <c r="F835" s="2" t="s">
        <v>16</v>
      </c>
      <c r="G835" s="2" t="s">
        <v>2828</v>
      </c>
      <c r="H835" s="2" t="s">
        <v>10</v>
      </c>
      <c r="I835" s="2" t="s">
        <v>11</v>
      </c>
      <c r="J835" s="2" t="s">
        <v>3007</v>
      </c>
      <c r="K835" s="2" t="s">
        <v>10</v>
      </c>
    </row>
    <row r="836" spans="1:12" ht="27.6" hidden="1" x14ac:dyDescent="0.3">
      <c r="A836" s="2" t="s">
        <v>11</v>
      </c>
      <c r="B836" s="2" t="s">
        <v>3008</v>
      </c>
      <c r="C836" s="3">
        <v>33278</v>
      </c>
      <c r="D836" s="1" t="s">
        <v>3009</v>
      </c>
      <c r="E836" s="1" t="s">
        <v>3010</v>
      </c>
      <c r="F836" s="2" t="s">
        <v>365</v>
      </c>
      <c r="G836" s="2" t="s">
        <v>12</v>
      </c>
      <c r="H836" s="2" t="s">
        <v>43</v>
      </c>
      <c r="I836" s="2" t="s">
        <v>11</v>
      </c>
      <c r="J836" s="2" t="s">
        <v>3011</v>
      </c>
      <c r="K836" s="2" t="s">
        <v>10</v>
      </c>
    </row>
    <row r="837" spans="1:12" ht="27.6" hidden="1" x14ac:dyDescent="0.3">
      <c r="A837" s="2" t="s">
        <v>11</v>
      </c>
      <c r="B837" s="2" t="s">
        <v>3012</v>
      </c>
      <c r="C837" s="3">
        <v>21997</v>
      </c>
      <c r="D837" s="1" t="s">
        <v>3013</v>
      </c>
      <c r="E837" s="1" t="s">
        <v>3014</v>
      </c>
      <c r="F837" s="2" t="s">
        <v>365</v>
      </c>
      <c r="G837" s="2" t="s">
        <v>12</v>
      </c>
      <c r="H837" s="2" t="s">
        <v>10</v>
      </c>
      <c r="I837" s="2" t="s">
        <v>11</v>
      </c>
      <c r="J837" s="2" t="s">
        <v>3015</v>
      </c>
      <c r="K837" s="2" t="s">
        <v>10</v>
      </c>
    </row>
    <row r="838" spans="1:12" ht="27.6" hidden="1" x14ac:dyDescent="0.3">
      <c r="A838" s="2" t="s">
        <v>11</v>
      </c>
      <c r="B838" s="2" t="s">
        <v>3016</v>
      </c>
      <c r="C838" s="3">
        <v>34690</v>
      </c>
      <c r="D838" s="1" t="s">
        <v>3017</v>
      </c>
      <c r="E838" s="1" t="s">
        <v>3018</v>
      </c>
      <c r="F838" s="2" t="s">
        <v>365</v>
      </c>
      <c r="G838" s="2" t="s">
        <v>25</v>
      </c>
      <c r="H838" s="2" t="s">
        <v>10</v>
      </c>
      <c r="I838" s="2" t="s">
        <v>11</v>
      </c>
      <c r="J838" s="2" t="s">
        <v>3019</v>
      </c>
      <c r="K838" s="2" t="s">
        <v>10</v>
      </c>
    </row>
    <row r="839" spans="1:12" ht="27.6" hidden="1" x14ac:dyDescent="0.3">
      <c r="A839" s="2" t="s">
        <v>11</v>
      </c>
      <c r="B839" s="2" t="s">
        <v>3020</v>
      </c>
      <c r="C839" s="3">
        <v>32230</v>
      </c>
      <c r="D839" s="1" t="s">
        <v>3021</v>
      </c>
      <c r="E839" s="1" t="s">
        <v>3022</v>
      </c>
      <c r="F839" s="2" t="s">
        <v>365</v>
      </c>
      <c r="G839" s="2" t="s">
        <v>366</v>
      </c>
      <c r="H839" s="2" t="s">
        <v>26</v>
      </c>
      <c r="I839" s="2" t="s">
        <v>11</v>
      </c>
      <c r="J839" s="2" t="s">
        <v>3023</v>
      </c>
      <c r="K839" s="2" t="s">
        <v>10</v>
      </c>
    </row>
    <row r="840" spans="1:12" ht="27.6" hidden="1" x14ac:dyDescent="0.3">
      <c r="A840" s="2" t="s">
        <v>11</v>
      </c>
      <c r="B840" s="2" t="s">
        <v>3024</v>
      </c>
      <c r="C840" s="3">
        <v>33008</v>
      </c>
      <c r="D840" s="1" t="s">
        <v>3025</v>
      </c>
      <c r="E840" s="1" t="s">
        <v>3026</v>
      </c>
      <c r="F840" s="2" t="s">
        <v>16</v>
      </c>
      <c r="G840" s="2" t="s">
        <v>3027</v>
      </c>
      <c r="H840" s="2" t="s">
        <v>10</v>
      </c>
      <c r="I840" s="2" t="s">
        <v>11</v>
      </c>
      <c r="J840" s="2" t="s">
        <v>3028</v>
      </c>
      <c r="K840" s="2" t="s">
        <v>10</v>
      </c>
    </row>
    <row r="841" spans="1:12" ht="27.6" hidden="1" x14ac:dyDescent="0.3">
      <c r="A841" s="2" t="s">
        <v>11</v>
      </c>
      <c r="B841" s="2" t="s">
        <v>3029</v>
      </c>
      <c r="C841" s="3">
        <v>34798</v>
      </c>
      <c r="D841" s="1" t="s">
        <v>3030</v>
      </c>
      <c r="E841" s="1" t="s">
        <v>3031</v>
      </c>
      <c r="F841" s="2" t="s">
        <v>575</v>
      </c>
      <c r="G841" s="2" t="s">
        <v>92</v>
      </c>
      <c r="H841" s="2" t="s">
        <v>10</v>
      </c>
      <c r="I841" s="2" t="s">
        <v>11</v>
      </c>
      <c r="J841" s="2" t="s">
        <v>3032</v>
      </c>
      <c r="K841" s="2" t="s">
        <v>10</v>
      </c>
    </row>
    <row r="842" spans="1:12" ht="27.6" hidden="1" x14ac:dyDescent="0.3">
      <c r="A842" s="2" t="s">
        <v>11</v>
      </c>
      <c r="B842" s="2" t="s">
        <v>3033</v>
      </c>
      <c r="C842" s="3">
        <v>34890</v>
      </c>
      <c r="D842" s="1" t="s">
        <v>377</v>
      </c>
      <c r="E842" s="1" t="s">
        <v>378</v>
      </c>
      <c r="F842" s="2" t="s">
        <v>575</v>
      </c>
      <c r="G842" s="2" t="s">
        <v>385</v>
      </c>
      <c r="H842" s="2" t="s">
        <v>10</v>
      </c>
      <c r="I842" s="2" t="s">
        <v>11</v>
      </c>
      <c r="J842" s="2" t="s">
        <v>3034</v>
      </c>
      <c r="K842" s="2" t="s">
        <v>10</v>
      </c>
    </row>
    <row r="843" spans="1:12" ht="27.6" hidden="1" x14ac:dyDescent="0.3">
      <c r="A843" s="2" t="s">
        <v>11</v>
      </c>
      <c r="B843" s="2" t="s">
        <v>3035</v>
      </c>
      <c r="C843" s="3">
        <v>27526</v>
      </c>
      <c r="D843" s="1" t="s">
        <v>3036</v>
      </c>
      <c r="E843" s="1" t="s">
        <v>3037</v>
      </c>
      <c r="F843" s="2" t="s">
        <v>575</v>
      </c>
      <c r="G843" s="2" t="s">
        <v>366</v>
      </c>
      <c r="H843" s="2" t="s">
        <v>10</v>
      </c>
      <c r="I843" s="2" t="s">
        <v>11</v>
      </c>
      <c r="J843" s="2" t="s">
        <v>3023</v>
      </c>
      <c r="K843" s="2" t="s">
        <v>10</v>
      </c>
    </row>
    <row r="844" spans="1:12" ht="27.6" hidden="1" x14ac:dyDescent="0.3">
      <c r="A844" s="2" t="s">
        <v>11</v>
      </c>
      <c r="B844" s="2" t="s">
        <v>2912</v>
      </c>
      <c r="C844" s="3">
        <v>29721</v>
      </c>
      <c r="D844" s="1" t="s">
        <v>2913</v>
      </c>
      <c r="E844" s="1" t="s">
        <v>2914</v>
      </c>
      <c r="F844" s="2" t="s">
        <v>967</v>
      </c>
      <c r="G844" s="2" t="s">
        <v>380</v>
      </c>
      <c r="H844" s="2" t="s">
        <v>10</v>
      </c>
      <c r="I844" s="2" t="s">
        <v>11</v>
      </c>
      <c r="J844" s="2" t="s">
        <v>2956</v>
      </c>
      <c r="K844" s="30" t="s">
        <v>13193</v>
      </c>
      <c r="L844" s="6" t="s">
        <v>13195</v>
      </c>
    </row>
    <row r="845" spans="1:12" ht="27.6" hidden="1" x14ac:dyDescent="0.3">
      <c r="A845" s="2" t="s">
        <v>11</v>
      </c>
      <c r="B845" s="2" t="s">
        <v>2912</v>
      </c>
      <c r="C845" s="3">
        <v>29721</v>
      </c>
      <c r="D845" s="1" t="s">
        <v>2913</v>
      </c>
      <c r="E845" s="1" t="s">
        <v>2914</v>
      </c>
      <c r="F845" s="2" t="s">
        <v>967</v>
      </c>
      <c r="G845" s="2" t="s">
        <v>31</v>
      </c>
      <c r="H845" s="2" t="s">
        <v>10</v>
      </c>
      <c r="I845" s="2" t="s">
        <v>11</v>
      </c>
      <c r="J845" s="2" t="s">
        <v>3038</v>
      </c>
      <c r="K845" s="30" t="s">
        <v>13193</v>
      </c>
      <c r="L845" s="6" t="s">
        <v>13195</v>
      </c>
    </row>
    <row r="846" spans="1:12" ht="27.6" hidden="1" x14ac:dyDescent="0.3">
      <c r="A846" s="2" t="s">
        <v>60</v>
      </c>
      <c r="B846" s="2" t="s">
        <v>3040</v>
      </c>
      <c r="C846" s="3">
        <v>21488</v>
      </c>
      <c r="D846" s="1" t="s">
        <v>3041</v>
      </c>
      <c r="E846" s="1" t="s">
        <v>3042</v>
      </c>
      <c r="F846" s="2" t="s">
        <v>1838</v>
      </c>
      <c r="G846" s="2" t="s">
        <v>222</v>
      </c>
      <c r="H846" s="2" t="s">
        <v>10</v>
      </c>
      <c r="I846" s="2" t="s">
        <v>60</v>
      </c>
      <c r="J846" s="2" t="s">
        <v>223</v>
      </c>
      <c r="K846" s="2" t="s">
        <v>10</v>
      </c>
    </row>
    <row r="847" spans="1:12" ht="27.6" hidden="1" x14ac:dyDescent="0.3">
      <c r="A847" s="2" t="s">
        <v>60</v>
      </c>
      <c r="B847" s="2" t="s">
        <v>3043</v>
      </c>
      <c r="C847" s="3">
        <v>23332</v>
      </c>
      <c r="D847" s="1" t="s">
        <v>3044</v>
      </c>
      <c r="E847" s="1" t="s">
        <v>3045</v>
      </c>
      <c r="F847" s="2" t="s">
        <v>1838</v>
      </c>
      <c r="G847" s="2" t="s">
        <v>366</v>
      </c>
      <c r="H847" s="2" t="s">
        <v>10</v>
      </c>
      <c r="I847" s="2" t="s">
        <v>60</v>
      </c>
      <c r="J847" s="2" t="s">
        <v>437</v>
      </c>
      <c r="K847" s="2" t="s">
        <v>10</v>
      </c>
    </row>
    <row r="848" spans="1:12" ht="27.6" hidden="1" x14ac:dyDescent="0.3">
      <c r="A848" s="2" t="s">
        <v>60</v>
      </c>
      <c r="B848" s="2" t="s">
        <v>3046</v>
      </c>
      <c r="C848" s="3">
        <v>32130</v>
      </c>
      <c r="D848" s="1" t="s">
        <v>3047</v>
      </c>
      <c r="E848" s="1" t="s">
        <v>3048</v>
      </c>
      <c r="F848" s="2" t="s">
        <v>1838</v>
      </c>
      <c r="G848" s="2" t="s">
        <v>380</v>
      </c>
      <c r="H848" s="2" t="s">
        <v>334</v>
      </c>
      <c r="I848" s="2" t="s">
        <v>60</v>
      </c>
      <c r="J848" s="2" t="s">
        <v>3049</v>
      </c>
      <c r="K848" s="2" t="s">
        <v>10</v>
      </c>
    </row>
    <row r="849" spans="1:11" ht="27.6" hidden="1" x14ac:dyDescent="0.3">
      <c r="A849" s="2" t="s">
        <v>60</v>
      </c>
      <c r="B849" s="2" t="s">
        <v>3050</v>
      </c>
      <c r="C849" s="3">
        <v>33373</v>
      </c>
      <c r="D849" s="1" t="s">
        <v>3051</v>
      </c>
      <c r="E849" s="1" t="s">
        <v>3052</v>
      </c>
      <c r="F849" s="2" t="s">
        <v>60</v>
      </c>
      <c r="G849" s="2" t="s">
        <v>1504</v>
      </c>
      <c r="H849" s="2" t="s">
        <v>103</v>
      </c>
      <c r="I849" s="2" t="s">
        <v>60</v>
      </c>
      <c r="J849" s="2" t="s">
        <v>1505</v>
      </c>
      <c r="K849" s="2" t="s">
        <v>10</v>
      </c>
    </row>
    <row r="850" spans="1:11" ht="27.6" hidden="1" x14ac:dyDescent="0.3">
      <c r="A850" s="2" t="s">
        <v>60</v>
      </c>
      <c r="B850" s="2" t="s">
        <v>3053</v>
      </c>
      <c r="C850" s="3">
        <v>25045</v>
      </c>
      <c r="D850" s="1" t="s">
        <v>3054</v>
      </c>
      <c r="E850" s="1" t="s">
        <v>3055</v>
      </c>
      <c r="F850" s="2" t="s">
        <v>60</v>
      </c>
      <c r="G850" s="2" t="s">
        <v>1504</v>
      </c>
      <c r="H850" s="2" t="s">
        <v>81</v>
      </c>
      <c r="I850" s="2" t="s">
        <v>60</v>
      </c>
      <c r="J850" s="2" t="s">
        <v>1505</v>
      </c>
      <c r="K850" s="2" t="s">
        <v>10</v>
      </c>
    </row>
    <row r="851" spans="1:11" ht="27.6" hidden="1" x14ac:dyDescent="0.3">
      <c r="A851" s="2" t="s">
        <v>60</v>
      </c>
      <c r="B851" s="2" t="s">
        <v>3056</v>
      </c>
      <c r="C851" s="3">
        <v>25561</v>
      </c>
      <c r="D851" s="1" t="s">
        <v>3057</v>
      </c>
      <c r="E851" s="1" t="s">
        <v>3058</v>
      </c>
      <c r="F851" s="2" t="s">
        <v>274</v>
      </c>
      <c r="G851" s="2" t="s">
        <v>124</v>
      </c>
      <c r="H851" s="2" t="s">
        <v>10</v>
      </c>
      <c r="I851" s="2" t="s">
        <v>60</v>
      </c>
      <c r="J851" s="2" t="s">
        <v>173</v>
      </c>
      <c r="K851" s="2" t="s">
        <v>10</v>
      </c>
    </row>
    <row r="852" spans="1:11" ht="27.6" hidden="1" x14ac:dyDescent="0.3">
      <c r="A852" s="2" t="s">
        <v>60</v>
      </c>
      <c r="B852" s="2" t="s">
        <v>3059</v>
      </c>
      <c r="C852" s="3">
        <v>29674</v>
      </c>
      <c r="D852" s="1" t="s">
        <v>3060</v>
      </c>
      <c r="E852" s="1" t="s">
        <v>3061</v>
      </c>
      <c r="F852" s="2" t="s">
        <v>274</v>
      </c>
      <c r="G852" s="2" t="s">
        <v>669</v>
      </c>
      <c r="H852" s="2" t="s">
        <v>10</v>
      </c>
      <c r="I852" s="2" t="s">
        <v>60</v>
      </c>
      <c r="J852" s="2" t="s">
        <v>670</v>
      </c>
      <c r="K852" s="2" t="s">
        <v>10</v>
      </c>
    </row>
    <row r="853" spans="1:11" ht="27.6" hidden="1" x14ac:dyDescent="0.3">
      <c r="A853" s="2" t="s">
        <v>60</v>
      </c>
      <c r="B853" s="2" t="s">
        <v>3062</v>
      </c>
      <c r="C853" s="3">
        <v>37377</v>
      </c>
      <c r="D853" s="1" t="s">
        <v>3063</v>
      </c>
      <c r="E853" s="1" t="s">
        <v>3064</v>
      </c>
      <c r="F853" s="2" t="s">
        <v>60</v>
      </c>
      <c r="G853" s="2" t="s">
        <v>350</v>
      </c>
      <c r="H853" s="2" t="s">
        <v>3065</v>
      </c>
      <c r="I853" s="2" t="s">
        <v>60</v>
      </c>
      <c r="J853" s="2" t="s">
        <v>1224</v>
      </c>
      <c r="K853" s="2" t="s">
        <v>10</v>
      </c>
    </row>
    <row r="854" spans="1:11" ht="27.6" hidden="1" x14ac:dyDescent="0.3">
      <c r="A854" s="2" t="s">
        <v>60</v>
      </c>
      <c r="B854" s="2" t="s">
        <v>3066</v>
      </c>
      <c r="C854" s="3">
        <v>16255</v>
      </c>
      <c r="D854" s="1" t="s">
        <v>3067</v>
      </c>
      <c r="E854" s="1" t="s">
        <v>3068</v>
      </c>
      <c r="F854" s="2" t="s">
        <v>60</v>
      </c>
      <c r="G854" s="2" t="s">
        <v>3069</v>
      </c>
      <c r="H854" s="2" t="s">
        <v>822</v>
      </c>
      <c r="I854" s="2" t="s">
        <v>60</v>
      </c>
      <c r="J854" s="2" t="s">
        <v>1224</v>
      </c>
      <c r="K854" s="2" t="s">
        <v>10</v>
      </c>
    </row>
    <row r="855" spans="1:11" ht="27.6" hidden="1" x14ac:dyDescent="0.3">
      <c r="A855" s="2" t="s">
        <v>60</v>
      </c>
      <c r="B855" s="2" t="s">
        <v>3070</v>
      </c>
      <c r="C855" s="3">
        <v>26281</v>
      </c>
      <c r="D855" s="1" t="s">
        <v>3071</v>
      </c>
      <c r="E855" s="1" t="s">
        <v>3072</v>
      </c>
      <c r="F855" s="2" t="s">
        <v>60</v>
      </c>
      <c r="G855" s="2" t="s">
        <v>350</v>
      </c>
      <c r="H855" s="2" t="s">
        <v>103</v>
      </c>
      <c r="I855" s="2" t="s">
        <v>60</v>
      </c>
      <c r="J855" s="2" t="s">
        <v>1224</v>
      </c>
      <c r="K855" s="2" t="s">
        <v>10</v>
      </c>
    </row>
    <row r="856" spans="1:11" ht="27.6" hidden="1" x14ac:dyDescent="0.3">
      <c r="A856" s="2" t="s">
        <v>60</v>
      </c>
      <c r="B856" s="2" t="s">
        <v>3073</v>
      </c>
      <c r="C856" s="3">
        <v>37342</v>
      </c>
      <c r="D856" s="1" t="s">
        <v>3074</v>
      </c>
      <c r="E856" s="1" t="s">
        <v>3075</v>
      </c>
      <c r="F856" s="2" t="s">
        <v>274</v>
      </c>
      <c r="G856" s="2" t="s">
        <v>157</v>
      </c>
      <c r="H856" s="2" t="s">
        <v>10</v>
      </c>
      <c r="I856" s="2" t="s">
        <v>60</v>
      </c>
      <c r="J856" s="2" t="s">
        <v>158</v>
      </c>
      <c r="K856" s="2" t="s">
        <v>10</v>
      </c>
    </row>
    <row r="857" spans="1:11" ht="27.6" hidden="1" x14ac:dyDescent="0.3">
      <c r="A857" s="2" t="s">
        <v>60</v>
      </c>
      <c r="B857" s="2" t="s">
        <v>3039</v>
      </c>
      <c r="C857" s="3">
        <v>30914</v>
      </c>
      <c r="D857" s="1" t="s">
        <v>3076</v>
      </c>
      <c r="E857" s="1" t="s">
        <v>3077</v>
      </c>
      <c r="F857" s="2" t="s">
        <v>274</v>
      </c>
      <c r="G857" s="2" t="s">
        <v>190</v>
      </c>
      <c r="H857" s="2" t="s">
        <v>10</v>
      </c>
      <c r="I857" s="2" t="s">
        <v>60</v>
      </c>
      <c r="J857" s="2" t="s">
        <v>191</v>
      </c>
      <c r="K857" s="2" t="s">
        <v>10</v>
      </c>
    </row>
    <row r="858" spans="1:11" ht="27.6" hidden="1" x14ac:dyDescent="0.3">
      <c r="A858" s="2" t="s">
        <v>60</v>
      </c>
      <c r="B858" s="2" t="s">
        <v>3078</v>
      </c>
      <c r="C858" s="3">
        <v>26297</v>
      </c>
      <c r="D858" s="1" t="s">
        <v>3079</v>
      </c>
      <c r="E858" s="1" t="s">
        <v>3080</v>
      </c>
      <c r="F858" s="2" t="s">
        <v>314</v>
      </c>
      <c r="G858" s="2" t="s">
        <v>157</v>
      </c>
      <c r="H858" s="2" t="s">
        <v>10</v>
      </c>
      <c r="I858" s="2" t="s">
        <v>60</v>
      </c>
      <c r="J858" s="2" t="s">
        <v>158</v>
      </c>
      <c r="K858" s="2" t="s">
        <v>10</v>
      </c>
    </row>
    <row r="859" spans="1:11" ht="27.6" hidden="1" x14ac:dyDescent="0.3">
      <c r="A859" s="2" t="s">
        <v>60</v>
      </c>
      <c r="B859" s="2" t="s">
        <v>3081</v>
      </c>
      <c r="C859" s="3">
        <v>24390</v>
      </c>
      <c r="D859" s="1" t="s">
        <v>3082</v>
      </c>
      <c r="E859" s="1" t="s">
        <v>3083</v>
      </c>
      <c r="F859" s="2" t="s">
        <v>257</v>
      </c>
      <c r="G859" s="2" t="s">
        <v>397</v>
      </c>
      <c r="H859" s="2" t="s">
        <v>10</v>
      </c>
      <c r="I859" s="2" t="s">
        <v>60</v>
      </c>
      <c r="J859" s="2" t="s">
        <v>398</v>
      </c>
      <c r="K859" s="2" t="s">
        <v>10</v>
      </c>
    </row>
    <row r="860" spans="1:11" ht="27.6" hidden="1" x14ac:dyDescent="0.3">
      <c r="A860" s="2" t="s">
        <v>60</v>
      </c>
      <c r="B860" s="2" t="s">
        <v>3084</v>
      </c>
      <c r="C860" s="3">
        <v>32693</v>
      </c>
      <c r="D860" s="1" t="s">
        <v>3085</v>
      </c>
      <c r="E860" s="1" t="s">
        <v>3086</v>
      </c>
      <c r="F860" s="2" t="s">
        <v>257</v>
      </c>
      <c r="G860" s="2" t="s">
        <v>1955</v>
      </c>
      <c r="H860" s="2" t="s">
        <v>10</v>
      </c>
      <c r="I860" s="2" t="s">
        <v>60</v>
      </c>
      <c r="J860" s="2" t="s">
        <v>1956</v>
      </c>
      <c r="K860" s="2" t="s">
        <v>10</v>
      </c>
    </row>
    <row r="861" spans="1:11" ht="27.6" hidden="1" x14ac:dyDescent="0.3">
      <c r="A861" s="2" t="s">
        <v>60</v>
      </c>
      <c r="B861" s="2" t="s">
        <v>3087</v>
      </c>
      <c r="C861" s="3">
        <v>33092</v>
      </c>
      <c r="D861" s="1" t="s">
        <v>3088</v>
      </c>
      <c r="E861" s="1" t="s">
        <v>3089</v>
      </c>
      <c r="F861" s="2" t="s">
        <v>257</v>
      </c>
      <c r="G861" s="2" t="s">
        <v>1504</v>
      </c>
      <c r="H861" s="2" t="s">
        <v>10</v>
      </c>
      <c r="I861" s="2" t="s">
        <v>60</v>
      </c>
      <c r="J861" s="2" t="s">
        <v>1505</v>
      </c>
      <c r="K861" s="2" t="s">
        <v>10</v>
      </c>
    </row>
    <row r="862" spans="1:11" ht="27.6" hidden="1" x14ac:dyDescent="0.3">
      <c r="A862" s="2" t="s">
        <v>60</v>
      </c>
      <c r="B862" s="2" t="s">
        <v>3090</v>
      </c>
      <c r="C862" s="3">
        <v>23997</v>
      </c>
      <c r="D862" s="1" t="s">
        <v>3091</v>
      </c>
      <c r="E862" s="1" t="s">
        <v>3092</v>
      </c>
      <c r="F862" s="2" t="s">
        <v>1838</v>
      </c>
      <c r="G862" s="2" t="s">
        <v>112</v>
      </c>
      <c r="H862" s="2" t="s">
        <v>751</v>
      </c>
      <c r="I862" s="2" t="s">
        <v>60</v>
      </c>
      <c r="J862" s="2" t="s">
        <v>315</v>
      </c>
      <c r="K862" s="2" t="s">
        <v>10</v>
      </c>
    </row>
    <row r="863" spans="1:11" ht="27.6" hidden="1" x14ac:dyDescent="0.3">
      <c r="A863" s="2" t="s">
        <v>60</v>
      </c>
      <c r="B863" s="2" t="s">
        <v>3093</v>
      </c>
      <c r="C863" s="3">
        <v>26548</v>
      </c>
      <c r="D863" s="1" t="s">
        <v>3094</v>
      </c>
      <c r="E863" s="1" t="s">
        <v>3095</v>
      </c>
      <c r="F863" s="2" t="s">
        <v>1838</v>
      </c>
      <c r="G863" s="2" t="s">
        <v>143</v>
      </c>
      <c r="H863" s="2" t="s">
        <v>10</v>
      </c>
      <c r="I863" s="2" t="s">
        <v>60</v>
      </c>
      <c r="J863" s="2" t="s">
        <v>3096</v>
      </c>
      <c r="K863" s="2" t="s">
        <v>10</v>
      </c>
    </row>
    <row r="864" spans="1:11" ht="27.6" hidden="1" x14ac:dyDescent="0.3">
      <c r="A864" s="2" t="s">
        <v>60</v>
      </c>
      <c r="B864" s="2" t="s">
        <v>3097</v>
      </c>
      <c r="C864" s="3">
        <v>30022</v>
      </c>
      <c r="D864" s="1" t="s">
        <v>3098</v>
      </c>
      <c r="E864" s="1" t="s">
        <v>3099</v>
      </c>
      <c r="F864" s="2" t="s">
        <v>813</v>
      </c>
      <c r="G864" s="2" t="s">
        <v>86</v>
      </c>
      <c r="H864" s="2" t="s">
        <v>43</v>
      </c>
      <c r="I864" s="2" t="s">
        <v>60</v>
      </c>
      <c r="J864" s="2" t="s">
        <v>3100</v>
      </c>
      <c r="K864" s="2" t="s">
        <v>10</v>
      </c>
    </row>
    <row r="865" spans="1:11" ht="27.6" hidden="1" x14ac:dyDescent="0.3">
      <c r="A865" s="2" t="s">
        <v>60</v>
      </c>
      <c r="B865" s="2" t="s">
        <v>3101</v>
      </c>
      <c r="C865" s="3">
        <v>28311</v>
      </c>
      <c r="D865" s="1" t="s">
        <v>3102</v>
      </c>
      <c r="E865" s="1" t="s">
        <v>3103</v>
      </c>
      <c r="F865" s="2" t="s">
        <v>813</v>
      </c>
      <c r="G865" s="2" t="s">
        <v>112</v>
      </c>
      <c r="H865" s="2" t="s">
        <v>43</v>
      </c>
      <c r="I865" s="2" t="s">
        <v>60</v>
      </c>
      <c r="J865" s="2" t="s">
        <v>3104</v>
      </c>
      <c r="K865" s="2" t="s">
        <v>10</v>
      </c>
    </row>
    <row r="866" spans="1:11" ht="27.6" hidden="1" x14ac:dyDescent="0.3">
      <c r="A866" s="2" t="s">
        <v>60</v>
      </c>
      <c r="B866" s="2" t="s">
        <v>3105</v>
      </c>
      <c r="C866" s="3">
        <v>22768</v>
      </c>
      <c r="D866" s="1" t="s">
        <v>3106</v>
      </c>
      <c r="E866" s="1" t="s">
        <v>3107</v>
      </c>
      <c r="F866" s="2" t="s">
        <v>813</v>
      </c>
      <c r="G866" s="2" t="s">
        <v>157</v>
      </c>
      <c r="H866" s="2" t="s">
        <v>10</v>
      </c>
      <c r="I866" s="2" t="s">
        <v>60</v>
      </c>
      <c r="J866" s="2" t="s">
        <v>158</v>
      </c>
      <c r="K866" s="2" t="s">
        <v>10</v>
      </c>
    </row>
    <row r="867" spans="1:11" ht="27.6" hidden="1" x14ac:dyDescent="0.3">
      <c r="A867" s="2" t="s">
        <v>60</v>
      </c>
      <c r="B867" s="2" t="s">
        <v>3105</v>
      </c>
      <c r="C867" s="3">
        <v>22768</v>
      </c>
      <c r="D867" s="1" t="s">
        <v>3106</v>
      </c>
      <c r="E867" s="1" t="s">
        <v>3107</v>
      </c>
      <c r="F867" s="2" t="s">
        <v>813</v>
      </c>
      <c r="G867" s="2" t="s">
        <v>157</v>
      </c>
      <c r="H867" s="2" t="s">
        <v>43</v>
      </c>
      <c r="I867" s="2" t="s">
        <v>60</v>
      </c>
      <c r="J867" s="2" t="s">
        <v>3108</v>
      </c>
      <c r="K867" s="2" t="s">
        <v>10</v>
      </c>
    </row>
    <row r="868" spans="1:11" ht="27.6" hidden="1" x14ac:dyDescent="0.3">
      <c r="A868" s="2" t="s">
        <v>60</v>
      </c>
      <c r="B868" s="2" t="s">
        <v>3109</v>
      </c>
      <c r="C868" s="3">
        <v>28854</v>
      </c>
      <c r="D868" s="1" t="s">
        <v>3110</v>
      </c>
      <c r="E868" s="1" t="s">
        <v>3111</v>
      </c>
      <c r="F868" s="2" t="s">
        <v>257</v>
      </c>
      <c r="G868" s="2" t="s">
        <v>1403</v>
      </c>
      <c r="H868" s="2" t="s">
        <v>43</v>
      </c>
      <c r="I868" s="2" t="s">
        <v>60</v>
      </c>
      <c r="J868" s="2" t="s">
        <v>3112</v>
      </c>
      <c r="K868" s="2" t="s">
        <v>10</v>
      </c>
    </row>
    <row r="869" spans="1:11" ht="27.6" hidden="1" x14ac:dyDescent="0.3">
      <c r="A869" s="2" t="s">
        <v>60</v>
      </c>
      <c r="B869" s="2" t="s">
        <v>3113</v>
      </c>
      <c r="C869" s="3">
        <v>22721</v>
      </c>
      <c r="D869" s="1" t="s">
        <v>3114</v>
      </c>
      <c r="E869" s="1" t="s">
        <v>3115</v>
      </c>
      <c r="F869" s="2" t="s">
        <v>1838</v>
      </c>
      <c r="G869" s="2" t="s">
        <v>80</v>
      </c>
      <c r="H869" s="2" t="s">
        <v>10</v>
      </c>
      <c r="I869" s="2" t="s">
        <v>60</v>
      </c>
      <c r="J869" s="2" t="s">
        <v>82</v>
      </c>
      <c r="K869" s="2" t="s">
        <v>10</v>
      </c>
    </row>
    <row r="870" spans="1:11" ht="27.6" hidden="1" x14ac:dyDescent="0.3">
      <c r="A870" s="2" t="s">
        <v>60</v>
      </c>
      <c r="B870" s="2" t="s">
        <v>3116</v>
      </c>
      <c r="C870" s="3">
        <v>36201</v>
      </c>
      <c r="D870" s="1" t="s">
        <v>3117</v>
      </c>
      <c r="E870" s="1" t="s">
        <v>3118</v>
      </c>
      <c r="F870" s="2" t="s">
        <v>1838</v>
      </c>
      <c r="G870" s="2" t="s">
        <v>492</v>
      </c>
      <c r="H870" s="2" t="s">
        <v>562</v>
      </c>
      <c r="I870" s="2" t="s">
        <v>60</v>
      </c>
      <c r="J870" s="2" t="s">
        <v>619</v>
      </c>
      <c r="K870" s="2" t="s">
        <v>10</v>
      </c>
    </row>
    <row r="871" spans="1:11" ht="27.6" hidden="1" x14ac:dyDescent="0.3">
      <c r="A871" s="2" t="s">
        <v>60</v>
      </c>
      <c r="B871" s="2" t="s">
        <v>3119</v>
      </c>
      <c r="C871" s="3">
        <v>33041</v>
      </c>
      <c r="D871" s="1" t="s">
        <v>3120</v>
      </c>
      <c r="E871" s="1" t="s">
        <v>3121</v>
      </c>
      <c r="F871" s="2" t="s">
        <v>1838</v>
      </c>
      <c r="G871" s="2" t="s">
        <v>143</v>
      </c>
      <c r="H871" s="2" t="s">
        <v>26</v>
      </c>
      <c r="I871" s="2" t="s">
        <v>60</v>
      </c>
      <c r="J871" s="2" t="s">
        <v>3122</v>
      </c>
      <c r="K871" s="2" t="s">
        <v>10</v>
      </c>
    </row>
    <row r="872" spans="1:11" ht="27.6" hidden="1" x14ac:dyDescent="0.3">
      <c r="A872" s="2" t="s">
        <v>60</v>
      </c>
      <c r="B872" s="2" t="s">
        <v>3123</v>
      </c>
      <c r="C872" s="3">
        <v>20504</v>
      </c>
      <c r="D872" s="1" t="s">
        <v>3124</v>
      </c>
      <c r="E872" s="1" t="s">
        <v>3125</v>
      </c>
      <c r="F872" s="2" t="s">
        <v>1838</v>
      </c>
      <c r="G872" s="2" t="s">
        <v>143</v>
      </c>
      <c r="H872" s="2" t="s">
        <v>3126</v>
      </c>
      <c r="I872" s="2" t="s">
        <v>60</v>
      </c>
      <c r="J872" s="2" t="s">
        <v>3127</v>
      </c>
      <c r="K872" s="2" t="s">
        <v>10</v>
      </c>
    </row>
    <row r="873" spans="1:11" ht="27.6" hidden="1" x14ac:dyDescent="0.3">
      <c r="A873" s="2" t="s">
        <v>60</v>
      </c>
      <c r="B873" s="2" t="s">
        <v>3128</v>
      </c>
      <c r="C873" s="3">
        <v>25149</v>
      </c>
      <c r="D873" s="1" t="s">
        <v>1292</v>
      </c>
      <c r="E873" s="1" t="s">
        <v>3129</v>
      </c>
      <c r="F873" s="2" t="s">
        <v>60</v>
      </c>
      <c r="G873" s="2" t="s">
        <v>1294</v>
      </c>
      <c r="H873" s="2" t="s">
        <v>103</v>
      </c>
      <c r="I873" s="2" t="s">
        <v>60</v>
      </c>
      <c r="J873" s="2" t="s">
        <v>3130</v>
      </c>
      <c r="K873" s="2" t="s">
        <v>10</v>
      </c>
    </row>
    <row r="874" spans="1:11" ht="27.6" hidden="1" x14ac:dyDescent="0.3">
      <c r="A874" s="2" t="s">
        <v>60</v>
      </c>
      <c r="B874" s="2" t="s">
        <v>3131</v>
      </c>
      <c r="C874" s="3">
        <v>31415</v>
      </c>
      <c r="D874" s="1" t="s">
        <v>3132</v>
      </c>
      <c r="E874" s="1" t="s">
        <v>3133</v>
      </c>
      <c r="F874" s="2" t="s">
        <v>60</v>
      </c>
      <c r="G874" s="2" t="s">
        <v>3134</v>
      </c>
      <c r="H874" s="2" t="s">
        <v>81</v>
      </c>
      <c r="I874" s="2" t="s">
        <v>60</v>
      </c>
      <c r="J874" s="2" t="s">
        <v>3135</v>
      </c>
      <c r="K874" s="2" t="s">
        <v>10</v>
      </c>
    </row>
    <row r="875" spans="1:11" ht="27.6" hidden="1" x14ac:dyDescent="0.3">
      <c r="A875" s="2" t="s">
        <v>60</v>
      </c>
      <c r="B875" s="2" t="s">
        <v>3136</v>
      </c>
      <c r="C875" s="3">
        <v>31301</v>
      </c>
      <c r="D875" s="1" t="s">
        <v>3137</v>
      </c>
      <c r="E875" s="1" t="s">
        <v>3138</v>
      </c>
      <c r="F875" s="2" t="s">
        <v>60</v>
      </c>
      <c r="G875" s="2" t="s">
        <v>1294</v>
      </c>
      <c r="H875" s="2" t="s">
        <v>81</v>
      </c>
      <c r="I875" s="2" t="s">
        <v>60</v>
      </c>
      <c r="J875" s="2" t="s">
        <v>1296</v>
      </c>
      <c r="K875" s="2" t="s">
        <v>10</v>
      </c>
    </row>
    <row r="876" spans="1:11" ht="27.6" hidden="1" x14ac:dyDescent="0.3">
      <c r="A876" s="2" t="s">
        <v>60</v>
      </c>
      <c r="B876" s="2" t="s">
        <v>3139</v>
      </c>
      <c r="C876" s="3">
        <v>27977</v>
      </c>
      <c r="D876" s="1" t="s">
        <v>3140</v>
      </c>
      <c r="E876" s="1" t="s">
        <v>3141</v>
      </c>
      <c r="F876" s="2" t="s">
        <v>1043</v>
      </c>
      <c r="G876" s="2" t="s">
        <v>124</v>
      </c>
      <c r="H876" s="2" t="s">
        <v>10</v>
      </c>
      <c r="I876" s="2" t="s">
        <v>60</v>
      </c>
      <c r="J876" s="2" t="s">
        <v>173</v>
      </c>
      <c r="K876" s="2" t="s">
        <v>10</v>
      </c>
    </row>
    <row r="877" spans="1:11" ht="27.6" hidden="1" x14ac:dyDescent="0.3">
      <c r="A877" s="2" t="s">
        <v>60</v>
      </c>
      <c r="B877" s="2" t="s">
        <v>3142</v>
      </c>
      <c r="C877" s="3">
        <v>29464</v>
      </c>
      <c r="D877" s="1" t="s">
        <v>3143</v>
      </c>
      <c r="E877" s="1" t="s">
        <v>3144</v>
      </c>
      <c r="F877" s="2" t="s">
        <v>3145</v>
      </c>
      <c r="G877" s="2" t="s">
        <v>157</v>
      </c>
      <c r="H877" s="2" t="s">
        <v>10</v>
      </c>
      <c r="I877" s="2" t="s">
        <v>60</v>
      </c>
      <c r="J877" s="2" t="s">
        <v>158</v>
      </c>
      <c r="K877" s="2" t="s">
        <v>10</v>
      </c>
    </row>
    <row r="878" spans="1:11" ht="27.6" hidden="1" x14ac:dyDescent="0.3">
      <c r="A878" s="2" t="s">
        <v>60</v>
      </c>
      <c r="B878" s="2" t="s">
        <v>3146</v>
      </c>
      <c r="C878" s="3">
        <v>16714</v>
      </c>
      <c r="D878" s="1" t="s">
        <v>3147</v>
      </c>
      <c r="E878" s="1" t="s">
        <v>3148</v>
      </c>
      <c r="F878" s="2" t="s">
        <v>2205</v>
      </c>
      <c r="G878" s="2" t="s">
        <v>196</v>
      </c>
      <c r="H878" s="2" t="s">
        <v>10</v>
      </c>
      <c r="I878" s="2" t="s">
        <v>60</v>
      </c>
      <c r="J878" s="2" t="s">
        <v>197</v>
      </c>
      <c r="K878" s="2" t="s">
        <v>10</v>
      </c>
    </row>
    <row r="879" spans="1:11" ht="27.6" hidden="1" x14ac:dyDescent="0.3">
      <c r="A879" s="2" t="s">
        <v>60</v>
      </c>
      <c r="B879" s="2" t="s">
        <v>3149</v>
      </c>
      <c r="C879" s="3">
        <v>27800</v>
      </c>
      <c r="D879" s="1" t="s">
        <v>3150</v>
      </c>
      <c r="E879" s="1" t="s">
        <v>3151</v>
      </c>
      <c r="F879" s="2" t="s">
        <v>60</v>
      </c>
      <c r="G879" s="2" t="s">
        <v>1316</v>
      </c>
      <c r="H879" s="2" t="s">
        <v>103</v>
      </c>
      <c r="I879" s="2" t="s">
        <v>60</v>
      </c>
      <c r="J879" s="2" t="s">
        <v>1317</v>
      </c>
      <c r="K879" s="2" t="s">
        <v>10</v>
      </c>
    </row>
    <row r="880" spans="1:11" ht="27.6" hidden="1" x14ac:dyDescent="0.3">
      <c r="A880" s="2" t="s">
        <v>60</v>
      </c>
      <c r="B880" s="2" t="s">
        <v>3152</v>
      </c>
      <c r="C880" s="3">
        <v>27569</v>
      </c>
      <c r="D880" s="1" t="s">
        <v>3153</v>
      </c>
      <c r="E880" s="1" t="s">
        <v>3154</v>
      </c>
      <c r="F880" s="2" t="s">
        <v>856</v>
      </c>
      <c r="G880" s="2" t="s">
        <v>492</v>
      </c>
      <c r="H880" s="2" t="s">
        <v>10</v>
      </c>
      <c r="I880" s="2" t="s">
        <v>60</v>
      </c>
      <c r="J880" s="2" t="s">
        <v>619</v>
      </c>
      <c r="K880" s="2" t="s">
        <v>10</v>
      </c>
    </row>
    <row r="881" spans="1:11" ht="27.6" hidden="1" x14ac:dyDescent="0.3">
      <c r="A881" s="2" t="s">
        <v>60</v>
      </c>
      <c r="B881" s="2" t="s">
        <v>3155</v>
      </c>
      <c r="C881" s="3">
        <v>31283</v>
      </c>
      <c r="D881" s="1" t="s">
        <v>3156</v>
      </c>
      <c r="E881" s="1" t="s">
        <v>3157</v>
      </c>
      <c r="F881" s="2" t="s">
        <v>623</v>
      </c>
      <c r="G881" s="2" t="s">
        <v>492</v>
      </c>
      <c r="H881" s="2" t="s">
        <v>10</v>
      </c>
      <c r="I881" s="2" t="s">
        <v>60</v>
      </c>
      <c r="J881" s="2" t="s">
        <v>619</v>
      </c>
      <c r="K881" s="2" t="s">
        <v>10</v>
      </c>
    </row>
    <row r="882" spans="1:11" ht="27.6" hidden="1" x14ac:dyDescent="0.3">
      <c r="A882" s="2" t="s">
        <v>60</v>
      </c>
      <c r="B882" s="2" t="s">
        <v>3158</v>
      </c>
      <c r="C882" s="3">
        <v>31094</v>
      </c>
      <c r="D882" s="1" t="s">
        <v>3159</v>
      </c>
      <c r="E882" s="1" t="s">
        <v>3160</v>
      </c>
      <c r="F882" s="2" t="s">
        <v>865</v>
      </c>
      <c r="G882" s="2" t="s">
        <v>80</v>
      </c>
      <c r="H882" s="2" t="s">
        <v>10</v>
      </c>
      <c r="I882" s="2" t="s">
        <v>60</v>
      </c>
      <c r="J882" s="2" t="s">
        <v>82</v>
      </c>
      <c r="K882" s="2" t="s">
        <v>10</v>
      </c>
    </row>
    <row r="883" spans="1:11" ht="27.6" hidden="1" x14ac:dyDescent="0.3">
      <c r="A883" s="2" t="s">
        <v>60</v>
      </c>
      <c r="B883" s="2" t="s">
        <v>3161</v>
      </c>
      <c r="C883" s="3">
        <v>27503</v>
      </c>
      <c r="D883" s="1" t="s">
        <v>3162</v>
      </c>
      <c r="E883" s="1" t="s">
        <v>3163</v>
      </c>
      <c r="F883" s="2" t="s">
        <v>60</v>
      </c>
      <c r="G883" s="2" t="s">
        <v>2743</v>
      </c>
      <c r="H883" s="2" t="s">
        <v>10</v>
      </c>
      <c r="I883" s="2" t="s">
        <v>60</v>
      </c>
      <c r="J883" s="2" t="s">
        <v>3164</v>
      </c>
      <c r="K883" s="2" t="s">
        <v>10</v>
      </c>
    </row>
    <row r="884" spans="1:11" ht="27.6" hidden="1" x14ac:dyDescent="0.3">
      <c r="A884" s="2" t="s">
        <v>60</v>
      </c>
      <c r="B884" s="2" t="s">
        <v>3165</v>
      </c>
      <c r="C884" s="3">
        <v>34105</v>
      </c>
      <c r="D884" s="1" t="s">
        <v>3166</v>
      </c>
      <c r="E884" s="1" t="s">
        <v>3167</v>
      </c>
      <c r="F884" s="2" t="s">
        <v>618</v>
      </c>
      <c r="G884" s="2" t="s">
        <v>86</v>
      </c>
      <c r="H884" s="2" t="s">
        <v>10</v>
      </c>
      <c r="I884" s="2" t="s">
        <v>60</v>
      </c>
      <c r="J884" s="2" t="s">
        <v>87</v>
      </c>
      <c r="K884" s="2" t="s">
        <v>10</v>
      </c>
    </row>
    <row r="885" spans="1:11" ht="27.6" hidden="1" x14ac:dyDescent="0.3">
      <c r="A885" s="2" t="s">
        <v>60</v>
      </c>
      <c r="B885" s="2" t="s">
        <v>3168</v>
      </c>
      <c r="C885" s="3">
        <v>33546</v>
      </c>
      <c r="D885" s="1" t="s">
        <v>3169</v>
      </c>
      <c r="E885" s="1" t="s">
        <v>3170</v>
      </c>
      <c r="F885" s="2" t="s">
        <v>410</v>
      </c>
      <c r="G885" s="2" t="s">
        <v>86</v>
      </c>
      <c r="H885" s="2" t="s">
        <v>334</v>
      </c>
      <c r="I885" s="2" t="s">
        <v>60</v>
      </c>
      <c r="J885" s="2" t="s">
        <v>87</v>
      </c>
      <c r="K885" s="2" t="s">
        <v>10</v>
      </c>
    </row>
    <row r="886" spans="1:11" ht="27.6" hidden="1" x14ac:dyDescent="0.3">
      <c r="A886" s="2" t="s">
        <v>60</v>
      </c>
      <c r="B886" s="2" t="s">
        <v>3171</v>
      </c>
      <c r="C886" s="3">
        <v>17100</v>
      </c>
      <c r="D886" s="1" t="s">
        <v>1307</v>
      </c>
      <c r="E886" s="1" t="s">
        <v>3172</v>
      </c>
      <c r="F886" s="2" t="s">
        <v>60</v>
      </c>
      <c r="G886" s="2" t="s">
        <v>64</v>
      </c>
      <c r="H886" s="2" t="s">
        <v>10</v>
      </c>
      <c r="I886" s="2" t="s">
        <v>60</v>
      </c>
      <c r="J886" s="2" t="s">
        <v>2854</v>
      </c>
      <c r="K886" s="2" t="s">
        <v>10</v>
      </c>
    </row>
    <row r="887" spans="1:11" ht="27.6" hidden="1" x14ac:dyDescent="0.3">
      <c r="A887" s="2" t="s">
        <v>60</v>
      </c>
      <c r="B887" s="2" t="s">
        <v>3173</v>
      </c>
      <c r="C887" s="3">
        <v>30939</v>
      </c>
      <c r="D887" s="1" t="s">
        <v>3174</v>
      </c>
      <c r="E887" s="1" t="s">
        <v>3175</v>
      </c>
      <c r="F887" s="2" t="s">
        <v>60</v>
      </c>
      <c r="G887" s="2" t="s">
        <v>3176</v>
      </c>
      <c r="H887" s="2" t="s">
        <v>10</v>
      </c>
      <c r="I887" s="2" t="s">
        <v>60</v>
      </c>
      <c r="J887" s="2" t="s">
        <v>3177</v>
      </c>
      <c r="K887" s="2" t="s">
        <v>10</v>
      </c>
    </row>
    <row r="888" spans="1:11" ht="27.6" hidden="1" x14ac:dyDescent="0.3">
      <c r="A888" s="2" t="s">
        <v>60</v>
      </c>
      <c r="B888" s="2" t="s">
        <v>3178</v>
      </c>
      <c r="C888" s="3">
        <v>25464</v>
      </c>
      <c r="D888" s="1" t="s">
        <v>3179</v>
      </c>
      <c r="E888" s="1" t="s">
        <v>3180</v>
      </c>
      <c r="F888" s="2" t="s">
        <v>3181</v>
      </c>
      <c r="G888" s="2" t="s">
        <v>385</v>
      </c>
      <c r="H888" s="2" t="s">
        <v>411</v>
      </c>
      <c r="I888" s="2" t="s">
        <v>60</v>
      </c>
      <c r="J888" s="2" t="s">
        <v>3182</v>
      </c>
      <c r="K888" s="2" t="s">
        <v>10</v>
      </c>
    </row>
    <row r="889" spans="1:11" ht="27.6" hidden="1" x14ac:dyDescent="0.3">
      <c r="A889" s="2" t="s">
        <v>60</v>
      </c>
      <c r="B889" s="2" t="s">
        <v>3183</v>
      </c>
      <c r="C889" s="3">
        <v>36150</v>
      </c>
      <c r="D889" s="1" t="s">
        <v>3184</v>
      </c>
      <c r="E889" s="1" t="s">
        <v>3185</v>
      </c>
      <c r="F889" s="2" t="s">
        <v>60</v>
      </c>
      <c r="G889" s="2" t="s">
        <v>222</v>
      </c>
      <c r="H889" s="2" t="s">
        <v>10</v>
      </c>
      <c r="I889" s="2" t="s">
        <v>60</v>
      </c>
      <c r="J889" s="2" t="s">
        <v>223</v>
      </c>
      <c r="K889" s="2" t="s">
        <v>10</v>
      </c>
    </row>
    <row r="890" spans="1:11" ht="27.6" hidden="1" x14ac:dyDescent="0.3">
      <c r="A890" s="2" t="s">
        <v>60</v>
      </c>
      <c r="B890" s="2" t="s">
        <v>3186</v>
      </c>
      <c r="C890" s="3">
        <v>26435</v>
      </c>
      <c r="D890" s="1" t="s">
        <v>3094</v>
      </c>
      <c r="E890" s="1" t="s">
        <v>3095</v>
      </c>
      <c r="F890" s="2" t="s">
        <v>1838</v>
      </c>
      <c r="G890" s="2" t="s">
        <v>48</v>
      </c>
      <c r="H890" s="2" t="s">
        <v>3187</v>
      </c>
      <c r="I890" s="2" t="s">
        <v>60</v>
      </c>
      <c r="J890" s="2" t="s">
        <v>2438</v>
      </c>
      <c r="K890" s="2" t="s">
        <v>10</v>
      </c>
    </row>
    <row r="891" spans="1:11" ht="27.6" hidden="1" x14ac:dyDescent="0.3">
      <c r="A891" s="2" t="s">
        <v>60</v>
      </c>
      <c r="B891" s="2" t="s">
        <v>3188</v>
      </c>
      <c r="C891" s="3">
        <v>25038</v>
      </c>
      <c r="D891" s="1" t="s">
        <v>3189</v>
      </c>
      <c r="E891" s="1" t="s">
        <v>3190</v>
      </c>
      <c r="F891" s="2" t="s">
        <v>1838</v>
      </c>
      <c r="G891" s="2" t="s">
        <v>196</v>
      </c>
      <c r="H891" s="2" t="s">
        <v>103</v>
      </c>
      <c r="I891" s="2" t="s">
        <v>60</v>
      </c>
      <c r="J891" s="2" t="s">
        <v>197</v>
      </c>
      <c r="K891" s="2" t="s">
        <v>10</v>
      </c>
    </row>
    <row r="892" spans="1:11" ht="27.6" hidden="1" x14ac:dyDescent="0.3">
      <c r="A892" s="2" t="s">
        <v>60</v>
      </c>
      <c r="B892" s="2" t="s">
        <v>3191</v>
      </c>
      <c r="C892" s="3">
        <v>33116</v>
      </c>
      <c r="D892" s="1" t="s">
        <v>3192</v>
      </c>
      <c r="E892" s="1" t="s">
        <v>3193</v>
      </c>
      <c r="F892" s="2" t="s">
        <v>1838</v>
      </c>
      <c r="G892" s="2" t="s">
        <v>492</v>
      </c>
      <c r="H892" s="2" t="s">
        <v>43</v>
      </c>
      <c r="I892" s="2" t="s">
        <v>60</v>
      </c>
      <c r="J892" s="2" t="s">
        <v>3194</v>
      </c>
      <c r="K892" s="2" t="s">
        <v>10</v>
      </c>
    </row>
    <row r="893" spans="1:11" ht="27.6" hidden="1" x14ac:dyDescent="0.3">
      <c r="A893" s="2" t="s">
        <v>60</v>
      </c>
      <c r="B893" s="2" t="s">
        <v>3195</v>
      </c>
      <c r="C893" s="3">
        <v>29743</v>
      </c>
      <c r="D893" s="1" t="s">
        <v>3196</v>
      </c>
      <c r="E893" s="1" t="s">
        <v>3197</v>
      </c>
      <c r="F893" s="2" t="s">
        <v>60</v>
      </c>
      <c r="G893" s="2" t="s">
        <v>3198</v>
      </c>
      <c r="H893" s="2" t="s">
        <v>10</v>
      </c>
      <c r="I893" s="2" t="s">
        <v>60</v>
      </c>
      <c r="J893" s="2" t="s">
        <v>3199</v>
      </c>
      <c r="K893" s="2" t="s">
        <v>10</v>
      </c>
    </row>
    <row r="894" spans="1:11" ht="27.6" hidden="1" x14ac:dyDescent="0.3">
      <c r="A894" s="2" t="s">
        <v>60</v>
      </c>
      <c r="B894" s="2" t="s">
        <v>3200</v>
      </c>
      <c r="C894" s="3">
        <v>32084</v>
      </c>
      <c r="D894" s="1" t="s">
        <v>3201</v>
      </c>
      <c r="E894" s="1" t="s">
        <v>3202</v>
      </c>
      <c r="F894" s="2" t="s">
        <v>60</v>
      </c>
      <c r="G894" s="2" t="s">
        <v>3203</v>
      </c>
      <c r="H894" s="2" t="s">
        <v>10</v>
      </c>
      <c r="I894" s="2" t="s">
        <v>60</v>
      </c>
      <c r="J894" s="2" t="s">
        <v>3204</v>
      </c>
      <c r="K894" s="2" t="s">
        <v>10</v>
      </c>
    </row>
    <row r="895" spans="1:11" ht="27.6" hidden="1" x14ac:dyDescent="0.3">
      <c r="A895" s="2" t="s">
        <v>60</v>
      </c>
      <c r="B895" s="2" t="s">
        <v>3205</v>
      </c>
      <c r="C895" s="3">
        <v>26432</v>
      </c>
      <c r="D895" s="1" t="s">
        <v>3206</v>
      </c>
      <c r="E895" s="1" t="s">
        <v>3207</v>
      </c>
      <c r="F895" s="2" t="s">
        <v>2205</v>
      </c>
      <c r="G895" s="2" t="s">
        <v>157</v>
      </c>
      <c r="H895" s="2" t="s">
        <v>10</v>
      </c>
      <c r="I895" s="2" t="s">
        <v>60</v>
      </c>
      <c r="J895" s="2" t="s">
        <v>158</v>
      </c>
      <c r="K895" s="2" t="s">
        <v>10</v>
      </c>
    </row>
    <row r="896" spans="1:11" ht="27.6" hidden="1" x14ac:dyDescent="0.3">
      <c r="A896" s="2" t="s">
        <v>60</v>
      </c>
      <c r="B896" s="2" t="s">
        <v>3208</v>
      </c>
      <c r="C896" s="3">
        <v>25236</v>
      </c>
      <c r="D896" s="1" t="s">
        <v>3209</v>
      </c>
      <c r="E896" s="1" t="s">
        <v>3210</v>
      </c>
      <c r="F896" s="2" t="s">
        <v>60</v>
      </c>
      <c r="G896" s="2" t="s">
        <v>3211</v>
      </c>
      <c r="H896" s="2" t="s">
        <v>10</v>
      </c>
      <c r="I896" s="2" t="s">
        <v>60</v>
      </c>
      <c r="J896" s="2" t="s">
        <v>3212</v>
      </c>
      <c r="K896" s="2" t="s">
        <v>10</v>
      </c>
    </row>
    <row r="897" spans="1:11" ht="27.6" hidden="1" x14ac:dyDescent="0.3">
      <c r="A897" s="2" t="s">
        <v>60</v>
      </c>
      <c r="B897" s="2" t="s">
        <v>3213</v>
      </c>
      <c r="C897" s="3">
        <v>38179</v>
      </c>
      <c r="D897" s="1" t="s">
        <v>3214</v>
      </c>
      <c r="E897" s="1" t="s">
        <v>3215</v>
      </c>
      <c r="F897" s="2" t="s">
        <v>60</v>
      </c>
      <c r="G897" s="2" t="s">
        <v>3216</v>
      </c>
      <c r="H897" s="2" t="s">
        <v>10</v>
      </c>
      <c r="I897" s="2" t="s">
        <v>60</v>
      </c>
      <c r="J897" s="2" t="s">
        <v>3217</v>
      </c>
      <c r="K897" s="2" t="s">
        <v>10</v>
      </c>
    </row>
    <row r="898" spans="1:11" ht="27.6" hidden="1" x14ac:dyDescent="0.3">
      <c r="A898" s="2" t="s">
        <v>60</v>
      </c>
      <c r="B898" s="2" t="s">
        <v>3218</v>
      </c>
      <c r="C898" s="3">
        <v>28326</v>
      </c>
      <c r="D898" s="1" t="s">
        <v>2472</v>
      </c>
      <c r="E898" s="1" t="s">
        <v>2470</v>
      </c>
      <c r="F898" s="2" t="s">
        <v>3145</v>
      </c>
      <c r="G898" s="2" t="s">
        <v>143</v>
      </c>
      <c r="H898" s="2" t="s">
        <v>10</v>
      </c>
      <c r="I898" s="2" t="s">
        <v>60</v>
      </c>
      <c r="J898" s="2" t="s">
        <v>144</v>
      </c>
      <c r="K898" s="2" t="s">
        <v>10</v>
      </c>
    </row>
    <row r="899" spans="1:11" ht="27.6" hidden="1" x14ac:dyDescent="0.3">
      <c r="A899" s="2" t="s">
        <v>60</v>
      </c>
      <c r="B899" s="2" t="s">
        <v>3219</v>
      </c>
      <c r="C899" s="3">
        <v>26480</v>
      </c>
      <c r="D899" s="1" t="s">
        <v>3220</v>
      </c>
      <c r="E899" s="1" t="s">
        <v>3221</v>
      </c>
      <c r="F899" s="2" t="s">
        <v>60</v>
      </c>
      <c r="G899" s="2" t="s">
        <v>2795</v>
      </c>
      <c r="H899" s="2" t="s">
        <v>10</v>
      </c>
      <c r="I899" s="2" t="s">
        <v>60</v>
      </c>
      <c r="J899" s="2" t="s">
        <v>3222</v>
      </c>
      <c r="K899" s="2" t="s">
        <v>10</v>
      </c>
    </row>
    <row r="900" spans="1:11" ht="27.6" hidden="1" x14ac:dyDescent="0.3">
      <c r="A900" s="2" t="s">
        <v>60</v>
      </c>
      <c r="B900" s="2" t="s">
        <v>3223</v>
      </c>
      <c r="C900" s="3">
        <v>26480</v>
      </c>
      <c r="D900" s="1" t="s">
        <v>3220</v>
      </c>
      <c r="E900" s="1" t="s">
        <v>3221</v>
      </c>
      <c r="F900" s="2" t="s">
        <v>123</v>
      </c>
      <c r="G900" s="2" t="s">
        <v>143</v>
      </c>
      <c r="H900" s="2" t="s">
        <v>334</v>
      </c>
      <c r="I900" s="2" t="s">
        <v>60</v>
      </c>
      <c r="J900" s="2" t="s">
        <v>144</v>
      </c>
      <c r="K900" s="2" t="s">
        <v>10</v>
      </c>
    </row>
    <row r="901" spans="1:11" ht="27.6" hidden="1" x14ac:dyDescent="0.3">
      <c r="A901" s="2" t="s">
        <v>60</v>
      </c>
      <c r="B901" s="2" t="s">
        <v>3224</v>
      </c>
      <c r="C901" s="3">
        <v>36900</v>
      </c>
      <c r="D901" s="1" t="s">
        <v>3225</v>
      </c>
      <c r="E901" s="1" t="s">
        <v>3226</v>
      </c>
      <c r="F901" s="2" t="s">
        <v>2209</v>
      </c>
      <c r="G901" s="2" t="s">
        <v>190</v>
      </c>
      <c r="H901" s="2" t="s">
        <v>334</v>
      </c>
      <c r="I901" s="2" t="s">
        <v>60</v>
      </c>
      <c r="J901" s="2" t="s">
        <v>191</v>
      </c>
      <c r="K901" s="2" t="s">
        <v>10</v>
      </c>
    </row>
    <row r="902" spans="1:11" ht="27.6" hidden="1" x14ac:dyDescent="0.3">
      <c r="A902" s="2" t="s">
        <v>60</v>
      </c>
      <c r="B902" s="2" t="s">
        <v>3227</v>
      </c>
      <c r="C902" s="3">
        <v>25942</v>
      </c>
      <c r="D902" s="1" t="s">
        <v>3228</v>
      </c>
      <c r="E902" s="1" t="s">
        <v>3229</v>
      </c>
      <c r="F902" s="2" t="s">
        <v>2209</v>
      </c>
      <c r="G902" s="2" t="s">
        <v>492</v>
      </c>
      <c r="H902" s="2" t="s">
        <v>10</v>
      </c>
      <c r="I902" s="2" t="s">
        <v>60</v>
      </c>
      <c r="J902" s="2" t="s">
        <v>619</v>
      </c>
      <c r="K902" s="2" t="s">
        <v>10</v>
      </c>
    </row>
    <row r="903" spans="1:11" ht="27.6" hidden="1" x14ac:dyDescent="0.3">
      <c r="A903" s="2" t="s">
        <v>60</v>
      </c>
      <c r="B903" s="2" t="s">
        <v>3230</v>
      </c>
      <c r="C903" s="3">
        <v>27022</v>
      </c>
      <c r="D903" s="1" t="s">
        <v>3231</v>
      </c>
      <c r="E903" s="1" t="s">
        <v>3232</v>
      </c>
      <c r="F903" s="2" t="s">
        <v>2226</v>
      </c>
      <c r="G903" s="2" t="s">
        <v>152</v>
      </c>
      <c r="H903" s="2" t="s">
        <v>10</v>
      </c>
      <c r="I903" s="2" t="s">
        <v>60</v>
      </c>
      <c r="J903" s="2" t="s">
        <v>153</v>
      </c>
      <c r="K903" s="2" t="s">
        <v>10</v>
      </c>
    </row>
    <row r="904" spans="1:11" ht="27.6" hidden="1" x14ac:dyDescent="0.3">
      <c r="A904" s="2" t="s">
        <v>60</v>
      </c>
      <c r="B904" s="2" t="s">
        <v>3233</v>
      </c>
      <c r="C904" s="3">
        <v>26586</v>
      </c>
      <c r="D904" s="1" t="s">
        <v>3234</v>
      </c>
      <c r="E904" s="1" t="s">
        <v>3235</v>
      </c>
      <c r="F904" s="2" t="s">
        <v>60</v>
      </c>
      <c r="G904" s="2" t="s">
        <v>230</v>
      </c>
      <c r="H904" s="2" t="s">
        <v>10</v>
      </c>
      <c r="I904" s="2" t="s">
        <v>60</v>
      </c>
      <c r="J904" s="2" t="s">
        <v>270</v>
      </c>
      <c r="K904" s="2" t="s">
        <v>10</v>
      </c>
    </row>
    <row r="905" spans="1:11" ht="27.6" hidden="1" x14ac:dyDescent="0.3">
      <c r="A905" s="2" t="s">
        <v>60</v>
      </c>
      <c r="B905" s="2" t="s">
        <v>3236</v>
      </c>
      <c r="C905" s="3">
        <v>26051</v>
      </c>
      <c r="D905" s="1" t="s">
        <v>3237</v>
      </c>
      <c r="E905" s="1" t="s">
        <v>3238</v>
      </c>
      <c r="F905" s="2" t="s">
        <v>2236</v>
      </c>
      <c r="G905" s="2" t="s">
        <v>492</v>
      </c>
      <c r="H905" s="2" t="s">
        <v>10</v>
      </c>
      <c r="I905" s="2" t="s">
        <v>60</v>
      </c>
      <c r="J905" s="2" t="s">
        <v>619</v>
      </c>
      <c r="K905" s="2" t="s">
        <v>10</v>
      </c>
    </row>
    <row r="906" spans="1:11" ht="27.6" hidden="1" x14ac:dyDescent="0.3">
      <c r="A906" s="2" t="s">
        <v>60</v>
      </c>
      <c r="B906" s="2" t="s">
        <v>3239</v>
      </c>
      <c r="C906" s="3">
        <v>32160</v>
      </c>
      <c r="D906" s="1" t="s">
        <v>3240</v>
      </c>
      <c r="E906" s="1" t="s">
        <v>3241</v>
      </c>
      <c r="F906" s="2" t="s">
        <v>2236</v>
      </c>
      <c r="G906" s="2" t="s">
        <v>190</v>
      </c>
      <c r="H906" s="2" t="s">
        <v>10</v>
      </c>
      <c r="I906" s="2" t="s">
        <v>60</v>
      </c>
      <c r="J906" s="2" t="s">
        <v>776</v>
      </c>
      <c r="K906" s="2" t="s">
        <v>10</v>
      </c>
    </row>
    <row r="907" spans="1:11" ht="27.6" hidden="1" x14ac:dyDescent="0.3">
      <c r="A907" s="2" t="s">
        <v>60</v>
      </c>
      <c r="B907" s="2" t="s">
        <v>3242</v>
      </c>
      <c r="C907" s="3">
        <v>35713</v>
      </c>
      <c r="D907" s="1" t="s">
        <v>3243</v>
      </c>
      <c r="E907" s="1" t="s">
        <v>3244</v>
      </c>
      <c r="F907" s="2" t="s">
        <v>2236</v>
      </c>
      <c r="G907" s="2" t="s">
        <v>492</v>
      </c>
      <c r="H907" s="2" t="s">
        <v>43</v>
      </c>
      <c r="I907" s="2" t="s">
        <v>60</v>
      </c>
      <c r="J907" s="2" t="s">
        <v>3245</v>
      </c>
      <c r="K907" s="2" t="s">
        <v>10</v>
      </c>
    </row>
    <row r="908" spans="1:11" ht="27.6" hidden="1" x14ac:dyDescent="0.3">
      <c r="A908" s="2" t="s">
        <v>60</v>
      </c>
      <c r="B908" s="2" t="s">
        <v>3246</v>
      </c>
      <c r="C908" s="3">
        <v>34567</v>
      </c>
      <c r="D908" s="1" t="s">
        <v>3247</v>
      </c>
      <c r="E908" s="1" t="s">
        <v>3248</v>
      </c>
      <c r="F908" s="2" t="s">
        <v>2236</v>
      </c>
      <c r="G908" s="2" t="s">
        <v>86</v>
      </c>
      <c r="H908" s="2" t="s">
        <v>10</v>
      </c>
      <c r="I908" s="2" t="s">
        <v>60</v>
      </c>
      <c r="J908" s="2" t="s">
        <v>3249</v>
      </c>
      <c r="K908" s="2" t="s">
        <v>10</v>
      </c>
    </row>
    <row r="909" spans="1:11" ht="27.6" hidden="1" x14ac:dyDescent="0.3">
      <c r="A909" s="2" t="s">
        <v>60</v>
      </c>
      <c r="B909" s="2" t="s">
        <v>3250</v>
      </c>
      <c r="C909" s="3">
        <v>23949</v>
      </c>
      <c r="D909" s="1" t="s">
        <v>3251</v>
      </c>
      <c r="E909" s="1" t="s">
        <v>3252</v>
      </c>
      <c r="F909" s="2" t="s">
        <v>301</v>
      </c>
      <c r="G909" s="2" t="s">
        <v>92</v>
      </c>
      <c r="H909" s="2" t="s">
        <v>411</v>
      </c>
      <c r="I909" s="2" t="s">
        <v>60</v>
      </c>
      <c r="J909" s="2" t="s">
        <v>3032</v>
      </c>
      <c r="K909" s="2" t="s">
        <v>10</v>
      </c>
    </row>
    <row r="910" spans="1:11" ht="27.6" hidden="1" x14ac:dyDescent="0.3">
      <c r="A910" s="2" t="s">
        <v>60</v>
      </c>
      <c r="B910" s="2" t="s">
        <v>3253</v>
      </c>
      <c r="C910" s="3">
        <v>30148</v>
      </c>
      <c r="D910" s="1" t="s">
        <v>3254</v>
      </c>
      <c r="E910" s="1" t="s">
        <v>3255</v>
      </c>
      <c r="F910" s="2" t="s">
        <v>623</v>
      </c>
      <c r="G910" s="2" t="s">
        <v>157</v>
      </c>
      <c r="H910" s="2" t="s">
        <v>10</v>
      </c>
      <c r="I910" s="2" t="s">
        <v>60</v>
      </c>
      <c r="J910" s="2" t="s">
        <v>119</v>
      </c>
      <c r="K910" s="2" t="s">
        <v>10</v>
      </c>
    </row>
    <row r="911" spans="1:11" ht="27.6" hidden="1" x14ac:dyDescent="0.3">
      <c r="A911" s="2" t="s">
        <v>60</v>
      </c>
      <c r="B911" s="2" t="s">
        <v>3256</v>
      </c>
      <c r="C911" s="3">
        <v>30786</v>
      </c>
      <c r="D911" s="1" t="s">
        <v>3257</v>
      </c>
      <c r="E911" s="1" t="s">
        <v>3258</v>
      </c>
      <c r="F911" s="2" t="s">
        <v>623</v>
      </c>
      <c r="G911" s="2" t="s">
        <v>196</v>
      </c>
      <c r="H911" s="2" t="s">
        <v>10</v>
      </c>
      <c r="I911" s="2" t="s">
        <v>60</v>
      </c>
      <c r="J911" s="2" t="s">
        <v>367</v>
      </c>
      <c r="K911" s="2" t="s">
        <v>10</v>
      </c>
    </row>
    <row r="912" spans="1:11" ht="27.6" hidden="1" x14ac:dyDescent="0.3">
      <c r="A912" s="2" t="s">
        <v>60</v>
      </c>
      <c r="B912" s="2" t="s">
        <v>3259</v>
      </c>
      <c r="C912" s="3">
        <v>32539</v>
      </c>
      <c r="D912" s="1" t="s">
        <v>3260</v>
      </c>
      <c r="E912" s="1" t="s">
        <v>3261</v>
      </c>
      <c r="F912" s="2" t="s">
        <v>623</v>
      </c>
      <c r="G912" s="2" t="s">
        <v>190</v>
      </c>
      <c r="H912" s="2" t="s">
        <v>1324</v>
      </c>
      <c r="I912" s="2" t="s">
        <v>60</v>
      </c>
      <c r="J912" s="2" t="s">
        <v>191</v>
      </c>
      <c r="K912" s="2" t="s">
        <v>10</v>
      </c>
    </row>
    <row r="913" spans="1:11" ht="27.6" hidden="1" x14ac:dyDescent="0.3">
      <c r="A913" s="2" t="s">
        <v>60</v>
      </c>
      <c r="B913" s="2" t="s">
        <v>3262</v>
      </c>
      <c r="C913" s="3">
        <v>29692</v>
      </c>
      <c r="D913" s="1" t="s">
        <v>3263</v>
      </c>
      <c r="E913" s="1" t="s">
        <v>3264</v>
      </c>
      <c r="F913" s="2" t="s">
        <v>2247</v>
      </c>
      <c r="G913" s="2" t="s">
        <v>80</v>
      </c>
      <c r="H913" s="2" t="s">
        <v>10</v>
      </c>
      <c r="I913" s="2" t="s">
        <v>60</v>
      </c>
      <c r="J913" s="2" t="s">
        <v>3265</v>
      </c>
      <c r="K913" s="2" t="s">
        <v>10</v>
      </c>
    </row>
    <row r="914" spans="1:11" ht="27.6" hidden="1" x14ac:dyDescent="0.3">
      <c r="A914" s="2" t="s">
        <v>60</v>
      </c>
      <c r="B914" s="2" t="s">
        <v>3266</v>
      </c>
      <c r="C914" s="3">
        <v>29692</v>
      </c>
      <c r="D914" s="1" t="s">
        <v>3263</v>
      </c>
      <c r="E914" s="1" t="s">
        <v>3264</v>
      </c>
      <c r="F914" s="2" t="s">
        <v>2247</v>
      </c>
      <c r="G914" s="2" t="s">
        <v>222</v>
      </c>
      <c r="H914" s="2" t="s">
        <v>10</v>
      </c>
      <c r="I914" s="2" t="s">
        <v>60</v>
      </c>
      <c r="J914" s="2" t="s">
        <v>417</v>
      </c>
      <c r="K914" s="2" t="s">
        <v>10</v>
      </c>
    </row>
    <row r="915" spans="1:11" ht="27.6" hidden="1" x14ac:dyDescent="0.3">
      <c r="A915" s="2" t="s">
        <v>60</v>
      </c>
      <c r="B915" s="2" t="s">
        <v>3267</v>
      </c>
      <c r="C915" s="3">
        <v>36024</v>
      </c>
      <c r="D915" s="1" t="s">
        <v>3268</v>
      </c>
      <c r="E915" s="1" t="s">
        <v>3269</v>
      </c>
      <c r="F915" s="2" t="s">
        <v>775</v>
      </c>
      <c r="G915" s="2" t="s">
        <v>124</v>
      </c>
      <c r="H915" s="2" t="s">
        <v>10</v>
      </c>
      <c r="I915" s="2" t="s">
        <v>60</v>
      </c>
      <c r="J915" s="2" t="s">
        <v>3270</v>
      </c>
      <c r="K915" s="2" t="s">
        <v>10</v>
      </c>
    </row>
    <row r="916" spans="1:11" ht="27.6" hidden="1" x14ac:dyDescent="0.3">
      <c r="A916" s="2" t="s">
        <v>60</v>
      </c>
      <c r="B916" s="2" t="s">
        <v>3271</v>
      </c>
      <c r="C916" s="3">
        <v>22065</v>
      </c>
      <c r="D916" s="1" t="s">
        <v>3272</v>
      </c>
      <c r="E916" s="1" t="s">
        <v>3273</v>
      </c>
      <c r="F916" s="2" t="s">
        <v>60</v>
      </c>
      <c r="G916" s="2" t="s">
        <v>734</v>
      </c>
      <c r="H916" s="2" t="s">
        <v>81</v>
      </c>
      <c r="I916" s="2" t="s">
        <v>60</v>
      </c>
      <c r="J916" s="2" t="s">
        <v>3274</v>
      </c>
      <c r="K916" s="2" t="s">
        <v>10</v>
      </c>
    </row>
    <row r="917" spans="1:11" ht="27.6" hidden="1" x14ac:dyDescent="0.3">
      <c r="A917" s="2" t="s">
        <v>60</v>
      </c>
      <c r="B917" s="2" t="s">
        <v>3275</v>
      </c>
      <c r="C917" s="3">
        <v>30013</v>
      </c>
      <c r="D917" s="1" t="s">
        <v>3276</v>
      </c>
      <c r="E917" s="1" t="s">
        <v>3277</v>
      </c>
      <c r="F917" s="2" t="s">
        <v>444</v>
      </c>
      <c r="G917" s="2" t="s">
        <v>157</v>
      </c>
      <c r="H917" s="2" t="s">
        <v>10</v>
      </c>
      <c r="I917" s="2" t="s">
        <v>60</v>
      </c>
      <c r="J917" s="2" t="s">
        <v>2438</v>
      </c>
      <c r="K917" s="2" t="s">
        <v>10</v>
      </c>
    </row>
    <row r="918" spans="1:11" ht="27.6" hidden="1" x14ac:dyDescent="0.3">
      <c r="A918" s="2" t="s">
        <v>60</v>
      </c>
      <c r="B918" s="2" t="s">
        <v>3278</v>
      </c>
      <c r="C918" s="3">
        <v>31519</v>
      </c>
      <c r="D918" s="1" t="s">
        <v>2295</v>
      </c>
      <c r="E918" s="1" t="s">
        <v>3279</v>
      </c>
      <c r="F918" s="2" t="s">
        <v>2240</v>
      </c>
      <c r="G918" s="2" t="s">
        <v>196</v>
      </c>
      <c r="H918" s="2" t="s">
        <v>10</v>
      </c>
      <c r="I918" s="2" t="s">
        <v>60</v>
      </c>
      <c r="J918" s="2" t="s">
        <v>197</v>
      </c>
      <c r="K918" s="2" t="s">
        <v>10</v>
      </c>
    </row>
    <row r="919" spans="1:11" ht="27.6" hidden="1" x14ac:dyDescent="0.3">
      <c r="A919" s="2" t="s">
        <v>60</v>
      </c>
      <c r="B919" s="2" t="s">
        <v>3281</v>
      </c>
      <c r="C919" s="3">
        <v>24210</v>
      </c>
      <c r="D919" s="1" t="s">
        <v>3282</v>
      </c>
      <c r="E919" s="1" t="s">
        <v>3283</v>
      </c>
      <c r="F919" s="2" t="s">
        <v>865</v>
      </c>
      <c r="G919" s="2" t="s">
        <v>152</v>
      </c>
      <c r="H919" s="2" t="s">
        <v>334</v>
      </c>
      <c r="I919" s="2" t="s">
        <v>60</v>
      </c>
      <c r="J919" s="2" t="s">
        <v>108</v>
      </c>
      <c r="K919" s="2" t="s">
        <v>10</v>
      </c>
    </row>
    <row r="920" spans="1:11" ht="27.6" hidden="1" x14ac:dyDescent="0.3">
      <c r="A920" s="2" t="s">
        <v>60</v>
      </c>
      <c r="B920" s="2" t="s">
        <v>3284</v>
      </c>
      <c r="C920" s="3">
        <v>12653</v>
      </c>
      <c r="D920" s="1" t="s">
        <v>3285</v>
      </c>
      <c r="E920" s="1" t="s">
        <v>3286</v>
      </c>
      <c r="F920" s="2" t="s">
        <v>301</v>
      </c>
      <c r="G920" s="2" t="s">
        <v>157</v>
      </c>
      <c r="H920" s="2" t="s">
        <v>10</v>
      </c>
      <c r="I920" s="2" t="s">
        <v>60</v>
      </c>
      <c r="J920" s="2" t="s">
        <v>158</v>
      </c>
      <c r="K920" s="2" t="s">
        <v>10</v>
      </c>
    </row>
    <row r="921" spans="1:11" ht="27.6" hidden="1" x14ac:dyDescent="0.3">
      <c r="A921" s="2" t="s">
        <v>60</v>
      </c>
      <c r="B921" s="2" t="s">
        <v>3287</v>
      </c>
      <c r="C921" s="3">
        <v>33098</v>
      </c>
      <c r="D921" s="1" t="s">
        <v>3288</v>
      </c>
      <c r="E921" s="1" t="s">
        <v>3289</v>
      </c>
      <c r="F921" s="2" t="s">
        <v>301</v>
      </c>
      <c r="G921" s="2" t="s">
        <v>86</v>
      </c>
      <c r="H921" s="2" t="s">
        <v>10</v>
      </c>
      <c r="I921" s="2" t="s">
        <v>60</v>
      </c>
      <c r="J921" s="2" t="s">
        <v>3249</v>
      </c>
      <c r="K921" s="2" t="s">
        <v>10</v>
      </c>
    </row>
    <row r="922" spans="1:11" ht="27.6" hidden="1" x14ac:dyDescent="0.3">
      <c r="A922" s="2" t="s">
        <v>60</v>
      </c>
      <c r="B922" s="2" t="s">
        <v>3290</v>
      </c>
      <c r="C922" s="3">
        <v>32546</v>
      </c>
      <c r="D922" s="1" t="s">
        <v>3291</v>
      </c>
      <c r="E922" s="1" t="s">
        <v>3292</v>
      </c>
      <c r="F922" s="2" t="s">
        <v>301</v>
      </c>
      <c r="G922" s="2" t="s">
        <v>143</v>
      </c>
      <c r="H922" s="2" t="s">
        <v>10</v>
      </c>
      <c r="I922" s="2" t="s">
        <v>60</v>
      </c>
      <c r="J922" s="2" t="s">
        <v>324</v>
      </c>
      <c r="K922" s="2" t="s">
        <v>10</v>
      </c>
    </row>
    <row r="923" spans="1:11" ht="27.6" hidden="1" x14ac:dyDescent="0.3">
      <c r="A923" s="2" t="s">
        <v>60</v>
      </c>
      <c r="B923" s="2" t="s">
        <v>3293</v>
      </c>
      <c r="C923" s="3">
        <v>38424</v>
      </c>
      <c r="D923" s="1" t="s">
        <v>3294</v>
      </c>
      <c r="E923" s="1" t="s">
        <v>3295</v>
      </c>
      <c r="F923" s="2" t="s">
        <v>623</v>
      </c>
      <c r="G923" s="2" t="s">
        <v>152</v>
      </c>
      <c r="H923" s="2" t="s">
        <v>10</v>
      </c>
      <c r="I923" s="2" t="s">
        <v>60</v>
      </c>
      <c r="J923" s="2" t="s">
        <v>108</v>
      </c>
      <c r="K923" s="2" t="s">
        <v>10</v>
      </c>
    </row>
    <row r="924" spans="1:11" ht="27.6" hidden="1" x14ac:dyDescent="0.3">
      <c r="A924" s="2" t="s">
        <v>60</v>
      </c>
      <c r="B924" s="2" t="s">
        <v>3296</v>
      </c>
      <c r="C924" s="3">
        <v>34092</v>
      </c>
      <c r="D924" s="1" t="s">
        <v>3297</v>
      </c>
      <c r="E924" s="1" t="s">
        <v>3298</v>
      </c>
      <c r="F924" s="2" t="s">
        <v>609</v>
      </c>
      <c r="G924" s="2" t="s">
        <v>157</v>
      </c>
      <c r="H924" s="2" t="s">
        <v>10</v>
      </c>
      <c r="I924" s="2" t="s">
        <v>60</v>
      </c>
      <c r="J924" s="2" t="s">
        <v>119</v>
      </c>
      <c r="K924" s="2" t="s">
        <v>10</v>
      </c>
    </row>
    <row r="925" spans="1:11" ht="27.6" hidden="1" x14ac:dyDescent="0.3">
      <c r="A925" s="2" t="s">
        <v>60</v>
      </c>
      <c r="B925" s="2" t="s">
        <v>3299</v>
      </c>
      <c r="C925" s="3">
        <v>22330</v>
      </c>
      <c r="D925" s="1" t="s">
        <v>3300</v>
      </c>
      <c r="E925" s="1" t="s">
        <v>3280</v>
      </c>
      <c r="F925" s="2" t="s">
        <v>1914</v>
      </c>
      <c r="G925" s="2" t="s">
        <v>319</v>
      </c>
      <c r="H925" s="2" t="s">
        <v>10</v>
      </c>
      <c r="I925" s="2" t="s">
        <v>60</v>
      </c>
      <c r="J925" s="2" t="s">
        <v>2410</v>
      </c>
      <c r="K925" s="2" t="s">
        <v>10</v>
      </c>
    </row>
    <row r="926" spans="1:11" ht="27.6" hidden="1" x14ac:dyDescent="0.3">
      <c r="A926" s="2" t="s">
        <v>60</v>
      </c>
      <c r="B926" s="2" t="s">
        <v>3301</v>
      </c>
      <c r="C926" s="3">
        <v>39043</v>
      </c>
      <c r="D926" s="1" t="s">
        <v>3302</v>
      </c>
      <c r="E926" s="1" t="s">
        <v>3303</v>
      </c>
      <c r="F926" s="2" t="s">
        <v>1914</v>
      </c>
      <c r="G926" s="2" t="s">
        <v>124</v>
      </c>
      <c r="H926" s="2" t="s">
        <v>10</v>
      </c>
      <c r="I926" s="2" t="s">
        <v>60</v>
      </c>
      <c r="J926" s="2" t="s">
        <v>3270</v>
      </c>
      <c r="K926" s="2" t="s">
        <v>10</v>
      </c>
    </row>
    <row r="927" spans="1:11" ht="27.6" hidden="1" x14ac:dyDescent="0.3">
      <c r="A927" s="2" t="s">
        <v>60</v>
      </c>
      <c r="B927" s="2" t="s">
        <v>3304</v>
      </c>
      <c r="C927" s="3">
        <v>21166</v>
      </c>
      <c r="D927" s="1" t="s">
        <v>3305</v>
      </c>
      <c r="E927" s="1" t="s">
        <v>3306</v>
      </c>
      <c r="F927" s="2" t="s">
        <v>1914</v>
      </c>
      <c r="G927" s="2" t="s">
        <v>86</v>
      </c>
      <c r="H927" s="2" t="s">
        <v>10</v>
      </c>
      <c r="I927" s="2" t="s">
        <v>60</v>
      </c>
      <c r="J927" s="2" t="s">
        <v>87</v>
      </c>
      <c r="K927" s="2" t="s">
        <v>10</v>
      </c>
    </row>
    <row r="928" spans="1:11" ht="27.6" hidden="1" x14ac:dyDescent="0.3">
      <c r="A928" s="2" t="s">
        <v>60</v>
      </c>
      <c r="B928" s="2" t="s">
        <v>3307</v>
      </c>
      <c r="C928" s="3">
        <v>22515</v>
      </c>
      <c r="D928" s="1" t="s">
        <v>3308</v>
      </c>
      <c r="E928" s="1" t="s">
        <v>3309</v>
      </c>
      <c r="F928" s="2" t="s">
        <v>1914</v>
      </c>
      <c r="G928" s="2" t="s">
        <v>124</v>
      </c>
      <c r="H928" s="2" t="s">
        <v>334</v>
      </c>
      <c r="I928" s="2" t="s">
        <v>60</v>
      </c>
      <c r="J928" s="2" t="s">
        <v>3270</v>
      </c>
      <c r="K928" s="2" t="s">
        <v>10</v>
      </c>
    </row>
    <row r="929" spans="1:11" ht="27.6" hidden="1" x14ac:dyDescent="0.3">
      <c r="A929" s="2" t="s">
        <v>60</v>
      </c>
      <c r="B929" s="2" t="s">
        <v>3310</v>
      </c>
      <c r="C929" s="3">
        <v>34338</v>
      </c>
      <c r="D929" s="1" t="s">
        <v>3311</v>
      </c>
      <c r="E929" s="1" t="s">
        <v>3312</v>
      </c>
      <c r="F929" s="2" t="s">
        <v>618</v>
      </c>
      <c r="G929" s="2" t="s">
        <v>190</v>
      </c>
      <c r="H929" s="2" t="s">
        <v>1324</v>
      </c>
      <c r="I929" s="2" t="s">
        <v>60</v>
      </c>
      <c r="J929" s="2" t="s">
        <v>191</v>
      </c>
      <c r="K929" s="2" t="s">
        <v>10</v>
      </c>
    </row>
    <row r="930" spans="1:11" ht="27.6" hidden="1" x14ac:dyDescent="0.3">
      <c r="A930" s="2" t="s">
        <v>60</v>
      </c>
      <c r="B930" s="2" t="s">
        <v>3313</v>
      </c>
      <c r="C930" s="3">
        <v>32834</v>
      </c>
      <c r="D930" s="1" t="s">
        <v>3314</v>
      </c>
      <c r="E930" s="1" t="s">
        <v>3315</v>
      </c>
      <c r="F930" s="2" t="s">
        <v>3316</v>
      </c>
      <c r="G930" s="2" t="s">
        <v>12</v>
      </c>
      <c r="H930" s="2" t="s">
        <v>3317</v>
      </c>
      <c r="I930" s="2" t="s">
        <v>60</v>
      </c>
      <c r="J930" s="2" t="s">
        <v>3015</v>
      </c>
      <c r="K930" s="2" t="s">
        <v>10</v>
      </c>
    </row>
    <row r="931" spans="1:11" ht="27.6" hidden="1" x14ac:dyDescent="0.3">
      <c r="A931" s="2" t="s">
        <v>60</v>
      </c>
      <c r="B931" s="2" t="s">
        <v>3318</v>
      </c>
      <c r="C931" s="3">
        <v>19648</v>
      </c>
      <c r="D931" s="1" t="s">
        <v>3319</v>
      </c>
      <c r="E931" s="1" t="s">
        <v>3320</v>
      </c>
      <c r="F931" s="2" t="s">
        <v>2247</v>
      </c>
      <c r="G931" s="2" t="s">
        <v>124</v>
      </c>
      <c r="H931" s="2" t="s">
        <v>10</v>
      </c>
      <c r="I931" s="2" t="s">
        <v>60</v>
      </c>
      <c r="J931" s="2" t="s">
        <v>3270</v>
      </c>
      <c r="K931" s="2" t="s">
        <v>10</v>
      </c>
    </row>
    <row r="932" spans="1:11" ht="27.6" hidden="1" x14ac:dyDescent="0.3">
      <c r="A932" s="2" t="s">
        <v>60</v>
      </c>
      <c r="B932" s="2" t="s">
        <v>3321</v>
      </c>
      <c r="C932" s="3">
        <v>33874</v>
      </c>
      <c r="D932" s="1" t="s">
        <v>2295</v>
      </c>
      <c r="E932" s="1" t="s">
        <v>3322</v>
      </c>
      <c r="F932" s="2" t="s">
        <v>2103</v>
      </c>
      <c r="G932" s="2" t="s">
        <v>143</v>
      </c>
      <c r="H932" s="2" t="s">
        <v>10</v>
      </c>
      <c r="I932" s="2" t="s">
        <v>60</v>
      </c>
      <c r="J932" s="2" t="s">
        <v>324</v>
      </c>
      <c r="K932" s="2" t="s">
        <v>10</v>
      </c>
    </row>
    <row r="933" spans="1:11" ht="27.6" hidden="1" x14ac:dyDescent="0.3">
      <c r="A933" s="2" t="s">
        <v>60</v>
      </c>
      <c r="B933" s="2" t="s">
        <v>3323</v>
      </c>
      <c r="C933" s="3">
        <v>19388</v>
      </c>
      <c r="D933" s="1" t="s">
        <v>3324</v>
      </c>
      <c r="E933" s="1" t="s">
        <v>3325</v>
      </c>
      <c r="F933" s="2" t="s">
        <v>2247</v>
      </c>
      <c r="G933" s="2" t="s">
        <v>152</v>
      </c>
      <c r="H933" s="2" t="s">
        <v>10</v>
      </c>
      <c r="I933" s="2" t="s">
        <v>60</v>
      </c>
      <c r="J933" s="2" t="s">
        <v>108</v>
      </c>
      <c r="K933" s="2" t="s">
        <v>10</v>
      </c>
    </row>
    <row r="934" spans="1:11" ht="27.6" hidden="1" x14ac:dyDescent="0.3">
      <c r="A934" s="2" t="s">
        <v>60</v>
      </c>
      <c r="B934" s="2" t="s">
        <v>3326</v>
      </c>
      <c r="C934" s="3">
        <v>22985</v>
      </c>
      <c r="D934" s="1" t="s">
        <v>3327</v>
      </c>
      <c r="E934" s="1" t="s">
        <v>3328</v>
      </c>
      <c r="F934" s="2" t="s">
        <v>2247</v>
      </c>
      <c r="G934" s="2" t="s">
        <v>196</v>
      </c>
      <c r="H934" s="2" t="s">
        <v>10</v>
      </c>
      <c r="I934" s="2" t="s">
        <v>60</v>
      </c>
      <c r="J934" s="2" t="s">
        <v>367</v>
      </c>
      <c r="K934" s="2" t="s">
        <v>10</v>
      </c>
    </row>
    <row r="935" spans="1:11" ht="27.6" hidden="1" x14ac:dyDescent="0.3">
      <c r="A935" s="2" t="s">
        <v>60</v>
      </c>
      <c r="B935" s="2" t="s">
        <v>3329</v>
      </c>
      <c r="C935" s="3">
        <v>27091</v>
      </c>
      <c r="D935" s="1" t="s">
        <v>3330</v>
      </c>
      <c r="E935" s="1" t="s">
        <v>3331</v>
      </c>
      <c r="F935" s="2" t="s">
        <v>60</v>
      </c>
      <c r="G935" s="2" t="s">
        <v>2916</v>
      </c>
      <c r="H935" s="2" t="s">
        <v>10</v>
      </c>
      <c r="I935" s="2" t="s">
        <v>60</v>
      </c>
      <c r="J935" s="2" t="s">
        <v>3332</v>
      </c>
      <c r="K935" s="2" t="s">
        <v>10</v>
      </c>
    </row>
    <row r="936" spans="1:11" ht="27.6" hidden="1" x14ac:dyDescent="0.3">
      <c r="A936" s="2" t="s">
        <v>60</v>
      </c>
      <c r="B936" s="2" t="s">
        <v>3333</v>
      </c>
      <c r="C936" s="3">
        <v>32822</v>
      </c>
      <c r="D936" s="1" t="s">
        <v>3334</v>
      </c>
      <c r="E936" s="1" t="s">
        <v>3335</v>
      </c>
      <c r="F936" s="2" t="s">
        <v>764</v>
      </c>
      <c r="G936" s="2" t="s">
        <v>380</v>
      </c>
      <c r="H936" s="2" t="s">
        <v>3336</v>
      </c>
      <c r="I936" s="2" t="s">
        <v>60</v>
      </c>
      <c r="J936" s="2" t="s">
        <v>3337</v>
      </c>
      <c r="K936" s="2" t="s">
        <v>10</v>
      </c>
    </row>
    <row r="937" spans="1:11" ht="27.6" hidden="1" x14ac:dyDescent="0.3">
      <c r="A937" s="2" t="s">
        <v>60</v>
      </c>
      <c r="B937" s="2" t="s">
        <v>3338</v>
      </c>
      <c r="C937" s="3">
        <v>25428</v>
      </c>
      <c r="D937" s="1" t="s">
        <v>3339</v>
      </c>
      <c r="E937" s="1" t="s">
        <v>3340</v>
      </c>
      <c r="F937" s="2" t="s">
        <v>297</v>
      </c>
      <c r="G937" s="2" t="s">
        <v>190</v>
      </c>
      <c r="H937" s="2" t="s">
        <v>10</v>
      </c>
      <c r="I937" s="2" t="s">
        <v>60</v>
      </c>
      <c r="J937" s="2" t="s">
        <v>191</v>
      </c>
      <c r="K937" s="2" t="s">
        <v>10</v>
      </c>
    </row>
    <row r="938" spans="1:11" ht="27.6" hidden="1" x14ac:dyDescent="0.3">
      <c r="A938" s="2" t="s">
        <v>60</v>
      </c>
      <c r="B938" s="2" t="s">
        <v>3341</v>
      </c>
      <c r="C938" s="3">
        <v>32244</v>
      </c>
      <c r="D938" s="1" t="s">
        <v>3342</v>
      </c>
      <c r="E938" s="1" t="s">
        <v>3343</v>
      </c>
      <c r="F938" s="2" t="s">
        <v>2247</v>
      </c>
      <c r="G938" s="2" t="s">
        <v>190</v>
      </c>
      <c r="H938" s="2" t="s">
        <v>10</v>
      </c>
      <c r="I938" s="2" t="s">
        <v>60</v>
      </c>
      <c r="J938" s="2" t="s">
        <v>3270</v>
      </c>
      <c r="K938" s="2" t="s">
        <v>10</v>
      </c>
    </row>
    <row r="939" spans="1:11" ht="27.6" hidden="1" x14ac:dyDescent="0.3">
      <c r="A939" s="2" t="s">
        <v>60</v>
      </c>
      <c r="B939" s="2" t="s">
        <v>3344</v>
      </c>
      <c r="C939" s="3">
        <v>32171</v>
      </c>
      <c r="D939" s="1" t="s">
        <v>442</v>
      </c>
      <c r="E939" s="1" t="s">
        <v>3345</v>
      </c>
      <c r="F939" s="2" t="s">
        <v>60</v>
      </c>
      <c r="G939" s="2" t="s">
        <v>2814</v>
      </c>
      <c r="H939" s="2" t="s">
        <v>10</v>
      </c>
      <c r="I939" s="2" t="s">
        <v>60</v>
      </c>
      <c r="J939" s="2" t="s">
        <v>3346</v>
      </c>
      <c r="K939" s="2" t="s">
        <v>10</v>
      </c>
    </row>
    <row r="940" spans="1:11" ht="27.6" hidden="1" x14ac:dyDescent="0.3">
      <c r="A940" s="2" t="s">
        <v>60</v>
      </c>
      <c r="B940" s="2" t="s">
        <v>3347</v>
      </c>
      <c r="C940" s="3">
        <v>31930</v>
      </c>
      <c r="D940" s="1" t="s">
        <v>3348</v>
      </c>
      <c r="E940" s="1" t="s">
        <v>3349</v>
      </c>
      <c r="F940" s="2" t="s">
        <v>614</v>
      </c>
      <c r="G940" s="2" t="s">
        <v>278</v>
      </c>
      <c r="H940" s="2" t="s">
        <v>10</v>
      </c>
      <c r="I940" s="2" t="s">
        <v>60</v>
      </c>
      <c r="J940" s="2" t="s">
        <v>279</v>
      </c>
      <c r="K940" s="2" t="s">
        <v>10</v>
      </c>
    </row>
    <row r="941" spans="1:11" ht="27.6" hidden="1" x14ac:dyDescent="0.3">
      <c r="A941" s="2" t="s">
        <v>60</v>
      </c>
      <c r="B941" s="2" t="s">
        <v>3350</v>
      </c>
      <c r="C941" s="3">
        <v>32318</v>
      </c>
      <c r="D941" s="1" t="s">
        <v>3351</v>
      </c>
      <c r="E941" s="1" t="s">
        <v>3352</v>
      </c>
      <c r="F941" s="2" t="s">
        <v>123</v>
      </c>
      <c r="G941" s="2" t="s">
        <v>75</v>
      </c>
      <c r="H941" s="2" t="s">
        <v>411</v>
      </c>
      <c r="I941" s="2" t="s">
        <v>60</v>
      </c>
      <c r="J941" s="2" t="s">
        <v>2973</v>
      </c>
      <c r="K941" s="2" t="s">
        <v>10</v>
      </c>
    </row>
    <row r="942" spans="1:11" ht="27.6" hidden="1" x14ac:dyDescent="0.3">
      <c r="A942" s="2" t="s">
        <v>60</v>
      </c>
      <c r="B942" s="2" t="s">
        <v>3353</v>
      </c>
      <c r="C942" s="3">
        <v>29701</v>
      </c>
      <c r="D942" s="1" t="s">
        <v>3354</v>
      </c>
      <c r="E942" s="1" t="s">
        <v>3355</v>
      </c>
      <c r="F942" s="2" t="s">
        <v>2226</v>
      </c>
      <c r="G942" s="2" t="s">
        <v>196</v>
      </c>
      <c r="H942" s="2" t="s">
        <v>10</v>
      </c>
      <c r="I942" s="2" t="s">
        <v>60</v>
      </c>
      <c r="J942" s="2" t="s">
        <v>197</v>
      </c>
      <c r="K942" s="2" t="s">
        <v>10</v>
      </c>
    </row>
    <row r="943" spans="1:11" ht="27.6" hidden="1" x14ac:dyDescent="0.3">
      <c r="A943" s="2" t="s">
        <v>60</v>
      </c>
      <c r="B943" s="2" t="s">
        <v>3356</v>
      </c>
      <c r="C943" s="3">
        <v>33720</v>
      </c>
      <c r="D943" s="1" t="s">
        <v>3357</v>
      </c>
      <c r="E943" s="1" t="s">
        <v>3358</v>
      </c>
      <c r="F943" s="2" t="s">
        <v>2226</v>
      </c>
      <c r="G943" s="2" t="s">
        <v>492</v>
      </c>
      <c r="H943" s="2" t="s">
        <v>751</v>
      </c>
      <c r="I943" s="2" t="s">
        <v>60</v>
      </c>
      <c r="J943" s="2" t="s">
        <v>619</v>
      </c>
      <c r="K943" s="2" t="s">
        <v>10</v>
      </c>
    </row>
    <row r="944" spans="1:11" ht="27.6" hidden="1" x14ac:dyDescent="0.3">
      <c r="A944" s="2" t="s">
        <v>60</v>
      </c>
      <c r="B944" s="2" t="s">
        <v>3359</v>
      </c>
      <c r="C944" s="3">
        <v>24571</v>
      </c>
      <c r="D944" s="1" t="s">
        <v>3360</v>
      </c>
      <c r="E944" s="1" t="s">
        <v>3361</v>
      </c>
      <c r="F944" s="2" t="s">
        <v>60</v>
      </c>
      <c r="G944" s="2" t="s">
        <v>3362</v>
      </c>
      <c r="H944" s="2" t="s">
        <v>10</v>
      </c>
      <c r="I944" s="2" t="s">
        <v>60</v>
      </c>
      <c r="J944" s="2" t="s">
        <v>3363</v>
      </c>
      <c r="K944" s="2" t="s">
        <v>10</v>
      </c>
    </row>
    <row r="945" spans="1:11" ht="27.6" hidden="1" x14ac:dyDescent="0.3">
      <c r="A945" s="2" t="s">
        <v>60</v>
      </c>
      <c r="B945" s="2" t="s">
        <v>3364</v>
      </c>
      <c r="C945" s="3">
        <v>24571</v>
      </c>
      <c r="D945" s="1" t="s">
        <v>3360</v>
      </c>
      <c r="E945" s="1" t="s">
        <v>3361</v>
      </c>
      <c r="F945" s="2" t="s">
        <v>2680</v>
      </c>
      <c r="G945" s="2" t="s">
        <v>37</v>
      </c>
      <c r="H945" s="2" t="s">
        <v>3365</v>
      </c>
      <c r="I945" s="2" t="s">
        <v>60</v>
      </c>
      <c r="J945" s="2" t="s">
        <v>3366</v>
      </c>
      <c r="K945" s="2" t="s">
        <v>10</v>
      </c>
    </row>
    <row r="946" spans="1:11" ht="27.6" hidden="1" x14ac:dyDescent="0.3">
      <c r="A946" s="2" t="s">
        <v>60</v>
      </c>
      <c r="B946" s="2" t="s">
        <v>3367</v>
      </c>
      <c r="C946" s="3">
        <v>31699</v>
      </c>
      <c r="D946" s="1" t="s">
        <v>3368</v>
      </c>
      <c r="E946" s="1" t="s">
        <v>3369</v>
      </c>
      <c r="F946" s="2" t="s">
        <v>151</v>
      </c>
      <c r="G946" s="2" t="s">
        <v>143</v>
      </c>
      <c r="H946" s="2" t="s">
        <v>10</v>
      </c>
      <c r="I946" s="2" t="s">
        <v>60</v>
      </c>
      <c r="J946" s="2" t="s">
        <v>324</v>
      </c>
      <c r="K946" s="2" t="s">
        <v>10</v>
      </c>
    </row>
    <row r="947" spans="1:11" ht="27.6" hidden="1" x14ac:dyDescent="0.3">
      <c r="A947" s="2" t="s">
        <v>60</v>
      </c>
      <c r="B947" s="2" t="s">
        <v>3370</v>
      </c>
      <c r="C947" s="3">
        <v>30659</v>
      </c>
      <c r="D947" s="1" t="s">
        <v>2295</v>
      </c>
      <c r="E947" s="1" t="s">
        <v>3371</v>
      </c>
      <c r="F947" s="2" t="s">
        <v>2680</v>
      </c>
      <c r="G947" s="2" t="s">
        <v>222</v>
      </c>
      <c r="H947" s="2" t="s">
        <v>411</v>
      </c>
      <c r="I947" s="2" t="s">
        <v>60</v>
      </c>
      <c r="J947" s="2" t="s">
        <v>3372</v>
      </c>
      <c r="K947" s="2" t="s">
        <v>10</v>
      </c>
    </row>
    <row r="948" spans="1:11" ht="27.6" hidden="1" x14ac:dyDescent="0.3">
      <c r="A948" s="2" t="s">
        <v>60</v>
      </c>
      <c r="B948" s="2" t="s">
        <v>3373</v>
      </c>
      <c r="C948" s="3">
        <v>29215</v>
      </c>
      <c r="D948" s="1" t="s">
        <v>3374</v>
      </c>
      <c r="E948" s="1" t="s">
        <v>3375</v>
      </c>
      <c r="F948" s="2" t="s">
        <v>2680</v>
      </c>
      <c r="G948" s="2" t="s">
        <v>37</v>
      </c>
      <c r="H948" s="2" t="s">
        <v>3376</v>
      </c>
      <c r="I948" s="2" t="s">
        <v>60</v>
      </c>
      <c r="J948" s="2" t="s">
        <v>3366</v>
      </c>
      <c r="K948" s="2" t="s">
        <v>10</v>
      </c>
    </row>
    <row r="949" spans="1:11" ht="27.6" hidden="1" x14ac:dyDescent="0.3">
      <c r="A949" s="2" t="s">
        <v>60</v>
      </c>
      <c r="B949" s="2" t="s">
        <v>3377</v>
      </c>
      <c r="C949" s="3">
        <v>29838</v>
      </c>
      <c r="D949" s="1" t="s">
        <v>3378</v>
      </c>
      <c r="E949" s="1" t="s">
        <v>3379</v>
      </c>
      <c r="F949" s="2" t="s">
        <v>2680</v>
      </c>
      <c r="G949" s="2" t="s">
        <v>217</v>
      </c>
      <c r="H949" s="2" t="s">
        <v>411</v>
      </c>
      <c r="I949" s="2" t="s">
        <v>60</v>
      </c>
      <c r="J949" s="2" t="s">
        <v>3380</v>
      </c>
      <c r="K949" s="2" t="s">
        <v>10</v>
      </c>
    </row>
    <row r="950" spans="1:11" ht="27.6" hidden="1" x14ac:dyDescent="0.3">
      <c r="A950" s="2" t="s">
        <v>60</v>
      </c>
      <c r="B950" s="2" t="s">
        <v>3381</v>
      </c>
      <c r="C950" s="3">
        <v>31566</v>
      </c>
      <c r="D950" s="1" t="s">
        <v>3382</v>
      </c>
      <c r="E950" s="1" t="s">
        <v>3383</v>
      </c>
      <c r="F950" s="2" t="s">
        <v>2680</v>
      </c>
      <c r="G950" s="2" t="s">
        <v>37</v>
      </c>
      <c r="H950" s="2" t="s">
        <v>411</v>
      </c>
      <c r="I950" s="2" t="s">
        <v>60</v>
      </c>
      <c r="J950" s="2" t="s">
        <v>3366</v>
      </c>
      <c r="K950" s="2" t="s">
        <v>10</v>
      </c>
    </row>
    <row r="951" spans="1:11" ht="27.6" hidden="1" x14ac:dyDescent="0.3">
      <c r="A951" s="2" t="s">
        <v>60</v>
      </c>
      <c r="B951" s="2" t="s">
        <v>3384</v>
      </c>
      <c r="C951" s="3">
        <v>32982</v>
      </c>
      <c r="D951" s="1" t="s">
        <v>3385</v>
      </c>
      <c r="E951" s="1" t="s">
        <v>3386</v>
      </c>
      <c r="F951" s="2" t="s">
        <v>1820</v>
      </c>
      <c r="G951" s="2" t="s">
        <v>157</v>
      </c>
      <c r="H951" s="2" t="s">
        <v>10</v>
      </c>
      <c r="I951" s="2" t="s">
        <v>60</v>
      </c>
      <c r="J951" s="2" t="s">
        <v>158</v>
      </c>
      <c r="K951" s="2" t="s">
        <v>10</v>
      </c>
    </row>
    <row r="952" spans="1:11" ht="27.6" hidden="1" x14ac:dyDescent="0.3">
      <c r="A952" s="2" t="s">
        <v>60</v>
      </c>
      <c r="B952" s="2" t="s">
        <v>3387</v>
      </c>
      <c r="C952" s="3">
        <v>36374</v>
      </c>
      <c r="D952" s="1" t="s">
        <v>3388</v>
      </c>
      <c r="E952" s="1" t="s">
        <v>3389</v>
      </c>
      <c r="F952" s="2" t="s">
        <v>926</v>
      </c>
      <c r="G952" s="2" t="s">
        <v>492</v>
      </c>
      <c r="H952" s="2" t="s">
        <v>10</v>
      </c>
      <c r="I952" s="2" t="s">
        <v>60</v>
      </c>
      <c r="J952" s="2" t="s">
        <v>619</v>
      </c>
      <c r="K952" s="2" t="s">
        <v>10</v>
      </c>
    </row>
    <row r="953" spans="1:11" ht="27.6" hidden="1" x14ac:dyDescent="0.3">
      <c r="A953" s="2" t="s">
        <v>60</v>
      </c>
      <c r="B953" s="2" t="s">
        <v>3390</v>
      </c>
      <c r="C953" s="3">
        <v>22274</v>
      </c>
      <c r="D953" s="1" t="s">
        <v>3391</v>
      </c>
      <c r="E953" s="1" t="s">
        <v>3392</v>
      </c>
      <c r="F953" s="2" t="s">
        <v>123</v>
      </c>
      <c r="G953" s="2" t="s">
        <v>157</v>
      </c>
      <c r="H953" s="2" t="s">
        <v>334</v>
      </c>
      <c r="I953" s="2" t="s">
        <v>60</v>
      </c>
      <c r="J953" s="2" t="s">
        <v>158</v>
      </c>
      <c r="K953" s="2" t="s">
        <v>10</v>
      </c>
    </row>
    <row r="954" spans="1:11" ht="27.6" hidden="1" x14ac:dyDescent="0.3">
      <c r="A954" s="2" t="s">
        <v>60</v>
      </c>
      <c r="B954" s="2" t="s">
        <v>3239</v>
      </c>
      <c r="C954" s="3">
        <v>32160</v>
      </c>
      <c r="D954" s="1" t="s">
        <v>3240</v>
      </c>
      <c r="E954" s="1" t="s">
        <v>3241</v>
      </c>
      <c r="F954" s="2" t="s">
        <v>2236</v>
      </c>
      <c r="G954" s="2" t="s">
        <v>190</v>
      </c>
      <c r="H954" s="2" t="s">
        <v>26</v>
      </c>
      <c r="I954" s="2" t="s">
        <v>60</v>
      </c>
      <c r="J954" s="2" t="s">
        <v>3393</v>
      </c>
      <c r="K954" s="2" t="s">
        <v>10</v>
      </c>
    </row>
    <row r="955" spans="1:11" ht="27.6" hidden="1" x14ac:dyDescent="0.3">
      <c r="A955" s="2" t="s">
        <v>60</v>
      </c>
      <c r="B955" s="2" t="s">
        <v>3394</v>
      </c>
      <c r="C955" s="3">
        <v>31834</v>
      </c>
      <c r="D955" s="1" t="s">
        <v>3395</v>
      </c>
      <c r="E955" s="1" t="s">
        <v>3396</v>
      </c>
      <c r="F955" s="2" t="s">
        <v>60</v>
      </c>
      <c r="G955" s="2" t="s">
        <v>86</v>
      </c>
      <c r="H955" s="2" t="s">
        <v>10</v>
      </c>
      <c r="I955" s="2" t="s">
        <v>60</v>
      </c>
      <c r="J955" s="2" t="s">
        <v>87</v>
      </c>
      <c r="K955" s="2" t="s">
        <v>10</v>
      </c>
    </row>
    <row r="956" spans="1:11" ht="27.6" hidden="1" x14ac:dyDescent="0.3">
      <c r="A956" s="2" t="s">
        <v>60</v>
      </c>
      <c r="B956" s="2" t="s">
        <v>3397</v>
      </c>
      <c r="C956" s="3">
        <v>28337</v>
      </c>
      <c r="D956" s="1" t="s">
        <v>3398</v>
      </c>
      <c r="E956" s="1" t="s">
        <v>3399</v>
      </c>
      <c r="F956" s="2" t="s">
        <v>60</v>
      </c>
      <c r="G956" s="2" t="s">
        <v>3400</v>
      </c>
      <c r="H956" s="2" t="s">
        <v>10</v>
      </c>
      <c r="I956" s="2" t="s">
        <v>60</v>
      </c>
      <c r="J956" s="2" t="s">
        <v>3401</v>
      </c>
      <c r="K956" s="2" t="s">
        <v>10</v>
      </c>
    </row>
    <row r="957" spans="1:11" ht="27.6" hidden="1" x14ac:dyDescent="0.3">
      <c r="A957" s="2" t="s">
        <v>60</v>
      </c>
      <c r="B957" s="2" t="s">
        <v>3402</v>
      </c>
      <c r="C957" s="3">
        <v>31595</v>
      </c>
      <c r="D957" s="1" t="s">
        <v>3403</v>
      </c>
      <c r="E957" s="1" t="s">
        <v>3404</v>
      </c>
      <c r="F957" s="2" t="s">
        <v>1820</v>
      </c>
      <c r="G957" s="2" t="s">
        <v>124</v>
      </c>
      <c r="H957" s="2" t="s">
        <v>10</v>
      </c>
      <c r="I957" s="2" t="s">
        <v>60</v>
      </c>
      <c r="J957" s="2" t="s">
        <v>2478</v>
      </c>
      <c r="K957" s="2" t="s">
        <v>10</v>
      </c>
    </row>
    <row r="958" spans="1:11" ht="27.6" hidden="1" x14ac:dyDescent="0.3">
      <c r="A958" s="2" t="s">
        <v>60</v>
      </c>
      <c r="B958" s="2" t="s">
        <v>3402</v>
      </c>
      <c r="C958" s="3">
        <v>31594</v>
      </c>
      <c r="D958" s="1" t="s">
        <v>3405</v>
      </c>
      <c r="E958" s="1" t="s">
        <v>3404</v>
      </c>
      <c r="F958" s="2" t="s">
        <v>636</v>
      </c>
      <c r="G958" s="2" t="s">
        <v>80</v>
      </c>
      <c r="H958" s="2" t="s">
        <v>43</v>
      </c>
      <c r="I958" s="2" t="s">
        <v>60</v>
      </c>
      <c r="J958" s="2" t="s">
        <v>3406</v>
      </c>
      <c r="K958" s="2" t="s">
        <v>10</v>
      </c>
    </row>
    <row r="959" spans="1:11" ht="27.6" hidden="1" x14ac:dyDescent="0.3">
      <c r="A959" s="2" t="s">
        <v>60</v>
      </c>
      <c r="B959" s="2" t="s">
        <v>3407</v>
      </c>
      <c r="C959" s="3">
        <v>28767</v>
      </c>
      <c r="D959" s="1" t="s">
        <v>3408</v>
      </c>
      <c r="E959" s="1" t="s">
        <v>3409</v>
      </c>
      <c r="F959" s="2" t="s">
        <v>2022</v>
      </c>
      <c r="G959" s="2" t="s">
        <v>124</v>
      </c>
      <c r="H959" s="2" t="s">
        <v>10</v>
      </c>
      <c r="I959" s="2" t="s">
        <v>60</v>
      </c>
      <c r="J959" s="2" t="s">
        <v>173</v>
      </c>
      <c r="K959" s="2" t="s">
        <v>10</v>
      </c>
    </row>
    <row r="960" spans="1:11" ht="27.6" hidden="1" x14ac:dyDescent="0.3">
      <c r="A960" s="2" t="s">
        <v>60</v>
      </c>
      <c r="B960" s="2" t="s">
        <v>3410</v>
      </c>
      <c r="C960" s="3">
        <v>22774</v>
      </c>
      <c r="D960" s="1" t="s">
        <v>3411</v>
      </c>
      <c r="E960" s="1" t="s">
        <v>3412</v>
      </c>
      <c r="F960" s="2" t="s">
        <v>410</v>
      </c>
      <c r="G960" s="2" t="s">
        <v>190</v>
      </c>
      <c r="H960" s="2" t="s">
        <v>334</v>
      </c>
      <c r="I960" s="2" t="s">
        <v>60</v>
      </c>
      <c r="J960" s="2" t="s">
        <v>191</v>
      </c>
      <c r="K960" s="2" t="s">
        <v>10</v>
      </c>
    </row>
    <row r="961" spans="1:11" ht="27.6" hidden="1" x14ac:dyDescent="0.3">
      <c r="A961" s="2" t="s">
        <v>60</v>
      </c>
      <c r="B961" s="2" t="s">
        <v>3413</v>
      </c>
      <c r="C961" s="3">
        <v>32421</v>
      </c>
      <c r="D961" s="1" t="s">
        <v>3414</v>
      </c>
      <c r="E961" s="1" t="s">
        <v>3415</v>
      </c>
      <c r="F961" s="2" t="s">
        <v>2022</v>
      </c>
      <c r="G961" s="2" t="s">
        <v>143</v>
      </c>
      <c r="H961" s="2" t="s">
        <v>334</v>
      </c>
      <c r="I961" s="2" t="s">
        <v>60</v>
      </c>
      <c r="J961" s="2" t="s">
        <v>324</v>
      </c>
      <c r="K961" s="2" t="s">
        <v>10</v>
      </c>
    </row>
    <row r="962" spans="1:11" ht="27.6" hidden="1" x14ac:dyDescent="0.3">
      <c r="A962" s="2" t="s">
        <v>60</v>
      </c>
      <c r="B962" s="2" t="s">
        <v>3416</v>
      </c>
      <c r="C962" s="3">
        <v>32808</v>
      </c>
      <c r="D962" s="1" t="s">
        <v>3417</v>
      </c>
      <c r="E962" s="1" t="s">
        <v>3418</v>
      </c>
      <c r="F962" s="2" t="s">
        <v>74</v>
      </c>
      <c r="G962" s="2" t="s">
        <v>292</v>
      </c>
      <c r="H962" s="2" t="s">
        <v>10</v>
      </c>
      <c r="I962" s="2" t="s">
        <v>60</v>
      </c>
      <c r="J962" s="2" t="s">
        <v>3419</v>
      </c>
      <c r="K962" s="2" t="s">
        <v>10</v>
      </c>
    </row>
    <row r="963" spans="1:11" ht="27.6" hidden="1" x14ac:dyDescent="0.3">
      <c r="A963" s="2" t="s">
        <v>60</v>
      </c>
      <c r="B963" s="2" t="s">
        <v>3420</v>
      </c>
      <c r="C963" s="3">
        <v>27673</v>
      </c>
      <c r="D963" s="1" t="s">
        <v>369</v>
      </c>
      <c r="E963" s="1" t="s">
        <v>3421</v>
      </c>
      <c r="F963" s="2" t="s">
        <v>926</v>
      </c>
      <c r="G963" s="2" t="s">
        <v>319</v>
      </c>
      <c r="H963" s="2" t="s">
        <v>10</v>
      </c>
      <c r="I963" s="2" t="s">
        <v>60</v>
      </c>
      <c r="J963" s="2" t="s">
        <v>320</v>
      </c>
      <c r="K963" s="2" t="s">
        <v>10</v>
      </c>
    </row>
    <row r="964" spans="1:11" ht="27.6" hidden="1" x14ac:dyDescent="0.3">
      <c r="A964" s="2" t="s">
        <v>60</v>
      </c>
      <c r="B964" s="2" t="s">
        <v>3422</v>
      </c>
      <c r="C964" s="3">
        <v>16304</v>
      </c>
      <c r="D964" s="1" t="s">
        <v>3423</v>
      </c>
      <c r="E964" s="1" t="s">
        <v>3424</v>
      </c>
      <c r="F964" s="2" t="s">
        <v>410</v>
      </c>
      <c r="G964" s="2" t="s">
        <v>124</v>
      </c>
      <c r="H964" s="2" t="s">
        <v>1324</v>
      </c>
      <c r="I964" s="2" t="s">
        <v>60</v>
      </c>
      <c r="J964" s="2" t="s">
        <v>3270</v>
      </c>
      <c r="K964" s="2" t="s">
        <v>10</v>
      </c>
    </row>
    <row r="965" spans="1:11" ht="27.6" hidden="1" x14ac:dyDescent="0.3">
      <c r="A965" s="2" t="s">
        <v>60</v>
      </c>
      <c r="B965" s="2" t="s">
        <v>3425</v>
      </c>
      <c r="C965" s="3">
        <v>32529</v>
      </c>
      <c r="D965" s="1" t="s">
        <v>3426</v>
      </c>
      <c r="E965" s="1" t="s">
        <v>3427</v>
      </c>
      <c r="F965" s="2" t="s">
        <v>60</v>
      </c>
      <c r="G965" s="2" t="s">
        <v>3428</v>
      </c>
      <c r="H965" s="2" t="s">
        <v>10</v>
      </c>
      <c r="I965" s="2" t="s">
        <v>60</v>
      </c>
      <c r="J965" s="2" t="s">
        <v>3429</v>
      </c>
      <c r="K965" s="2" t="s">
        <v>10</v>
      </c>
    </row>
    <row r="966" spans="1:11" ht="27.6" hidden="1" x14ac:dyDescent="0.3">
      <c r="A966" s="2" t="s">
        <v>60</v>
      </c>
      <c r="B966" s="2" t="s">
        <v>3430</v>
      </c>
      <c r="C966" s="3">
        <v>26182</v>
      </c>
      <c r="D966" s="1" t="s">
        <v>3431</v>
      </c>
      <c r="E966" s="1" t="s">
        <v>3432</v>
      </c>
      <c r="F966" s="2" t="s">
        <v>614</v>
      </c>
      <c r="G966" s="2" t="s">
        <v>157</v>
      </c>
      <c r="H966" s="2" t="s">
        <v>10</v>
      </c>
      <c r="I966" s="2" t="s">
        <v>60</v>
      </c>
      <c r="J966" s="2" t="s">
        <v>158</v>
      </c>
      <c r="K966" s="2" t="s">
        <v>10</v>
      </c>
    </row>
    <row r="967" spans="1:11" ht="27.6" hidden="1" x14ac:dyDescent="0.3">
      <c r="A967" s="2" t="s">
        <v>60</v>
      </c>
      <c r="B967" s="2" t="s">
        <v>3433</v>
      </c>
      <c r="C967" s="3">
        <v>24326</v>
      </c>
      <c r="D967" s="1" t="s">
        <v>3434</v>
      </c>
      <c r="E967" s="1" t="s">
        <v>3435</v>
      </c>
      <c r="F967" s="2" t="s">
        <v>2022</v>
      </c>
      <c r="G967" s="2" t="s">
        <v>157</v>
      </c>
      <c r="H967" s="2" t="s">
        <v>43</v>
      </c>
      <c r="I967" s="2" t="s">
        <v>60</v>
      </c>
      <c r="J967" s="2" t="s">
        <v>3436</v>
      </c>
      <c r="K967" s="2" t="s">
        <v>10</v>
      </c>
    </row>
    <row r="968" spans="1:11" ht="27.6" hidden="1" x14ac:dyDescent="0.3">
      <c r="A968" s="2" t="s">
        <v>60</v>
      </c>
      <c r="B968" s="2" t="s">
        <v>3437</v>
      </c>
      <c r="C968" s="3">
        <v>24326</v>
      </c>
      <c r="D968" s="1" t="s">
        <v>3434</v>
      </c>
      <c r="E968" s="1" t="s">
        <v>3435</v>
      </c>
      <c r="F968" s="2" t="s">
        <v>297</v>
      </c>
      <c r="G968" s="2" t="s">
        <v>143</v>
      </c>
      <c r="H968" s="2" t="s">
        <v>334</v>
      </c>
      <c r="I968" s="2" t="s">
        <v>60</v>
      </c>
      <c r="J968" s="2" t="s">
        <v>324</v>
      </c>
      <c r="K968" s="2" t="s">
        <v>10</v>
      </c>
    </row>
    <row r="969" spans="1:11" ht="27.6" hidden="1" x14ac:dyDescent="0.3">
      <c r="A969" s="2" t="s">
        <v>60</v>
      </c>
      <c r="B969" s="2" t="s">
        <v>3438</v>
      </c>
      <c r="C969" s="3">
        <v>32002</v>
      </c>
      <c r="D969" s="1" t="s">
        <v>3439</v>
      </c>
      <c r="E969" s="1" t="s">
        <v>3440</v>
      </c>
      <c r="F969" s="2" t="s">
        <v>297</v>
      </c>
      <c r="G969" s="2" t="s">
        <v>196</v>
      </c>
      <c r="H969" s="2" t="s">
        <v>10</v>
      </c>
      <c r="I969" s="2" t="s">
        <v>60</v>
      </c>
      <c r="J969" s="2" t="s">
        <v>367</v>
      </c>
      <c r="K969" s="2" t="s">
        <v>10</v>
      </c>
    </row>
    <row r="970" spans="1:11" ht="27.6" hidden="1" x14ac:dyDescent="0.3">
      <c r="A970" s="2" t="s">
        <v>60</v>
      </c>
      <c r="B970" s="2" t="s">
        <v>3441</v>
      </c>
      <c r="C970" s="3">
        <v>33122</v>
      </c>
      <c r="D970" s="1" t="s">
        <v>599</v>
      </c>
      <c r="E970" s="1" t="s">
        <v>3442</v>
      </c>
      <c r="F970" s="2" t="s">
        <v>74</v>
      </c>
      <c r="G970" s="2" t="s">
        <v>211</v>
      </c>
      <c r="H970" s="2" t="s">
        <v>334</v>
      </c>
      <c r="I970" s="2" t="s">
        <v>60</v>
      </c>
      <c r="J970" s="2" t="s">
        <v>3443</v>
      </c>
      <c r="K970" s="2" t="s">
        <v>10</v>
      </c>
    </row>
    <row r="971" spans="1:11" ht="27.6" hidden="1" x14ac:dyDescent="0.3">
      <c r="A971" s="2" t="s">
        <v>60</v>
      </c>
      <c r="B971" s="2" t="s">
        <v>3444</v>
      </c>
      <c r="C971" s="3">
        <v>37682</v>
      </c>
      <c r="D971" s="1" t="s">
        <v>3445</v>
      </c>
      <c r="E971" s="1" t="s">
        <v>3446</v>
      </c>
      <c r="F971" s="2" t="s">
        <v>632</v>
      </c>
      <c r="G971" s="2" t="s">
        <v>112</v>
      </c>
      <c r="H971" s="2" t="s">
        <v>103</v>
      </c>
      <c r="I971" s="2" t="s">
        <v>60</v>
      </c>
      <c r="J971" s="2" t="s">
        <v>315</v>
      </c>
      <c r="K971" s="2" t="s">
        <v>10</v>
      </c>
    </row>
    <row r="972" spans="1:11" ht="27.6" hidden="1" x14ac:dyDescent="0.3">
      <c r="A972" s="2" t="s">
        <v>60</v>
      </c>
      <c r="B972" s="2" t="s">
        <v>3441</v>
      </c>
      <c r="C972" s="3">
        <v>33122</v>
      </c>
      <c r="D972" s="1" t="s">
        <v>599</v>
      </c>
      <c r="E972" s="1" t="s">
        <v>3442</v>
      </c>
      <c r="F972" s="2" t="s">
        <v>632</v>
      </c>
      <c r="G972" s="2" t="s">
        <v>425</v>
      </c>
      <c r="H972" s="2" t="s">
        <v>10</v>
      </c>
      <c r="I972" s="2" t="s">
        <v>60</v>
      </c>
      <c r="J972" s="2" t="s">
        <v>1181</v>
      </c>
      <c r="K972" s="2" t="s">
        <v>10</v>
      </c>
    </row>
    <row r="973" spans="1:11" ht="27.6" hidden="1" x14ac:dyDescent="0.3">
      <c r="A973" s="2" t="s">
        <v>60</v>
      </c>
      <c r="B973" s="2" t="s">
        <v>3447</v>
      </c>
      <c r="C973" s="3">
        <v>21218</v>
      </c>
      <c r="D973" s="1" t="s">
        <v>3448</v>
      </c>
      <c r="E973" s="1" t="s">
        <v>3449</v>
      </c>
      <c r="F973" s="2" t="s">
        <v>1838</v>
      </c>
      <c r="G973" s="2" t="s">
        <v>196</v>
      </c>
      <c r="H973" s="2" t="s">
        <v>3450</v>
      </c>
      <c r="I973" s="2" t="s">
        <v>60</v>
      </c>
      <c r="J973" s="2" t="s">
        <v>1976</v>
      </c>
      <c r="K973" s="2" t="s">
        <v>10</v>
      </c>
    </row>
    <row r="974" spans="1:11" ht="27.6" hidden="1" x14ac:dyDescent="0.3">
      <c r="A974" s="2" t="s">
        <v>60</v>
      </c>
      <c r="B974" s="2" t="s">
        <v>3451</v>
      </c>
      <c r="C974" s="3">
        <v>31098</v>
      </c>
      <c r="D974" s="1" t="s">
        <v>3452</v>
      </c>
      <c r="E974" s="1" t="s">
        <v>3453</v>
      </c>
      <c r="F974" s="2" t="s">
        <v>1838</v>
      </c>
      <c r="G974" s="2" t="s">
        <v>152</v>
      </c>
      <c r="H974" s="2" t="s">
        <v>10</v>
      </c>
      <c r="I974" s="2" t="s">
        <v>60</v>
      </c>
      <c r="J974" s="2" t="s">
        <v>153</v>
      </c>
      <c r="K974" s="2" t="s">
        <v>10</v>
      </c>
    </row>
    <row r="975" spans="1:11" ht="27.6" hidden="1" x14ac:dyDescent="0.3">
      <c r="A975" s="2" t="s">
        <v>60</v>
      </c>
      <c r="B975" s="2" t="s">
        <v>3454</v>
      </c>
      <c r="C975" s="3">
        <v>37564</v>
      </c>
      <c r="D975" s="1" t="s">
        <v>3455</v>
      </c>
      <c r="E975" s="1" t="s">
        <v>3456</v>
      </c>
      <c r="F975" s="2" t="s">
        <v>941</v>
      </c>
      <c r="G975" s="2" t="s">
        <v>31</v>
      </c>
      <c r="H975" s="2" t="s">
        <v>43</v>
      </c>
      <c r="I975" s="2" t="s">
        <v>60</v>
      </c>
      <c r="J975" s="2" t="s">
        <v>3457</v>
      </c>
      <c r="K975" s="2" t="s">
        <v>10</v>
      </c>
    </row>
    <row r="976" spans="1:11" ht="27.6" hidden="1" x14ac:dyDescent="0.3">
      <c r="A976" s="2" t="s">
        <v>60</v>
      </c>
      <c r="B976" s="2" t="s">
        <v>3458</v>
      </c>
      <c r="C976" s="3">
        <v>28949</v>
      </c>
      <c r="D976" s="1" t="s">
        <v>3459</v>
      </c>
      <c r="E976" s="1" t="s">
        <v>3460</v>
      </c>
      <c r="F976" s="2" t="s">
        <v>813</v>
      </c>
      <c r="G976" s="2" t="s">
        <v>230</v>
      </c>
      <c r="H976" s="2" t="s">
        <v>10</v>
      </c>
      <c r="I976" s="2" t="s">
        <v>60</v>
      </c>
      <c r="J976" s="2" t="s">
        <v>270</v>
      </c>
      <c r="K976" s="2" t="s">
        <v>10</v>
      </c>
    </row>
    <row r="977" spans="1:11" ht="27.6" hidden="1" x14ac:dyDescent="0.3">
      <c r="A977" s="2" t="s">
        <v>60</v>
      </c>
      <c r="B977" s="2" t="s">
        <v>3461</v>
      </c>
      <c r="C977" s="3">
        <v>28644</v>
      </c>
      <c r="D977" s="1" t="s">
        <v>3462</v>
      </c>
      <c r="E977" s="1" t="s">
        <v>3463</v>
      </c>
      <c r="F977" s="2" t="s">
        <v>813</v>
      </c>
      <c r="G977" s="2" t="s">
        <v>152</v>
      </c>
      <c r="H977" s="2" t="s">
        <v>10</v>
      </c>
      <c r="I977" s="2" t="s">
        <v>60</v>
      </c>
      <c r="J977" s="2" t="s">
        <v>153</v>
      </c>
      <c r="K977" s="2" t="s">
        <v>10</v>
      </c>
    </row>
    <row r="978" spans="1:11" ht="27.6" hidden="1" x14ac:dyDescent="0.3">
      <c r="A978" s="2" t="s">
        <v>60</v>
      </c>
      <c r="B978" s="2" t="s">
        <v>3464</v>
      </c>
      <c r="C978" s="3">
        <v>26543</v>
      </c>
      <c r="D978" s="1" t="s">
        <v>3465</v>
      </c>
      <c r="E978" s="1" t="s">
        <v>3466</v>
      </c>
      <c r="F978" s="2" t="s">
        <v>60</v>
      </c>
      <c r="G978" s="2" t="s">
        <v>211</v>
      </c>
      <c r="H978" s="2" t="s">
        <v>10</v>
      </c>
      <c r="I978" s="2" t="s">
        <v>60</v>
      </c>
      <c r="J978" s="2" t="s">
        <v>212</v>
      </c>
      <c r="K978" s="2" t="s">
        <v>10</v>
      </c>
    </row>
    <row r="979" spans="1:11" ht="27.6" hidden="1" x14ac:dyDescent="0.3">
      <c r="A979" s="2" t="s">
        <v>60</v>
      </c>
      <c r="B979" s="2" t="s">
        <v>3467</v>
      </c>
      <c r="C979" s="3">
        <v>27678</v>
      </c>
      <c r="D979" s="1" t="s">
        <v>3468</v>
      </c>
      <c r="E979" s="1" t="s">
        <v>3469</v>
      </c>
      <c r="F979" s="2" t="s">
        <v>60</v>
      </c>
      <c r="G979" s="2" t="s">
        <v>1403</v>
      </c>
      <c r="H979" s="2" t="s">
        <v>10</v>
      </c>
      <c r="I979" s="2" t="s">
        <v>60</v>
      </c>
      <c r="J979" s="2" t="s">
        <v>3470</v>
      </c>
      <c r="K979" s="2" t="s">
        <v>10</v>
      </c>
    </row>
    <row r="980" spans="1:11" ht="27.6" hidden="1" x14ac:dyDescent="0.3">
      <c r="A980" s="2" t="s">
        <v>60</v>
      </c>
      <c r="B980" s="2" t="s">
        <v>3471</v>
      </c>
      <c r="C980" s="3">
        <v>34834</v>
      </c>
      <c r="D980" s="1" t="s">
        <v>3472</v>
      </c>
      <c r="E980" s="1" t="s">
        <v>3473</v>
      </c>
      <c r="F980" s="2" t="s">
        <v>636</v>
      </c>
      <c r="G980" s="2" t="s">
        <v>222</v>
      </c>
      <c r="H980" s="2" t="s">
        <v>10</v>
      </c>
      <c r="I980" s="2" t="s">
        <v>60</v>
      </c>
      <c r="J980" s="2" t="s">
        <v>223</v>
      </c>
      <c r="K980" s="2" t="s">
        <v>10</v>
      </c>
    </row>
    <row r="981" spans="1:11" ht="27.6" hidden="1" x14ac:dyDescent="0.3">
      <c r="A981" s="2" t="s">
        <v>60</v>
      </c>
      <c r="B981" s="2" t="s">
        <v>3474</v>
      </c>
      <c r="C981" s="3">
        <v>27103</v>
      </c>
      <c r="D981" s="1" t="s">
        <v>3475</v>
      </c>
      <c r="E981" s="1" t="s">
        <v>3476</v>
      </c>
      <c r="F981" s="2" t="s">
        <v>60</v>
      </c>
      <c r="G981" s="2" t="s">
        <v>2267</v>
      </c>
      <c r="H981" s="2" t="s">
        <v>10</v>
      </c>
      <c r="I981" s="2" t="s">
        <v>60</v>
      </c>
      <c r="J981" s="2" t="s">
        <v>2268</v>
      </c>
      <c r="K981" s="2" t="s">
        <v>10</v>
      </c>
    </row>
    <row r="982" spans="1:11" ht="27.6" hidden="1" x14ac:dyDescent="0.3">
      <c r="A982" s="2" t="s">
        <v>60</v>
      </c>
      <c r="B982" s="2" t="s">
        <v>3477</v>
      </c>
      <c r="C982" s="3">
        <v>38586</v>
      </c>
      <c r="D982" s="1" t="s">
        <v>3478</v>
      </c>
      <c r="E982" s="1" t="s">
        <v>3479</v>
      </c>
      <c r="F982" s="2" t="s">
        <v>274</v>
      </c>
      <c r="G982" s="2" t="s">
        <v>86</v>
      </c>
      <c r="H982" s="2" t="s">
        <v>10</v>
      </c>
      <c r="I982" s="2" t="s">
        <v>60</v>
      </c>
      <c r="J982" s="2" t="s">
        <v>87</v>
      </c>
      <c r="K982" s="2" t="s">
        <v>10</v>
      </c>
    </row>
    <row r="983" spans="1:11" ht="27.6" hidden="1" x14ac:dyDescent="0.3">
      <c r="A983" s="2" t="s">
        <v>60</v>
      </c>
      <c r="B983" s="2" t="s">
        <v>3480</v>
      </c>
      <c r="C983" s="3">
        <v>28889</v>
      </c>
      <c r="D983" s="1" t="s">
        <v>3481</v>
      </c>
      <c r="E983" s="1" t="s">
        <v>3482</v>
      </c>
      <c r="F983" s="2" t="s">
        <v>274</v>
      </c>
      <c r="G983" s="2" t="s">
        <v>492</v>
      </c>
      <c r="H983" s="2" t="s">
        <v>10</v>
      </c>
      <c r="I983" s="2" t="s">
        <v>60</v>
      </c>
      <c r="J983" s="2" t="s">
        <v>619</v>
      </c>
      <c r="K983" s="2" t="s">
        <v>10</v>
      </c>
    </row>
    <row r="984" spans="1:11" ht="27.6" hidden="1" x14ac:dyDescent="0.3">
      <c r="A984" s="2" t="s">
        <v>60</v>
      </c>
      <c r="B984" s="2" t="s">
        <v>3483</v>
      </c>
      <c r="C984" s="3">
        <v>26281</v>
      </c>
      <c r="D984" s="1" t="s">
        <v>3071</v>
      </c>
      <c r="E984" s="1" t="s">
        <v>3072</v>
      </c>
      <c r="F984" s="2" t="s">
        <v>60</v>
      </c>
      <c r="G984" s="2" t="s">
        <v>350</v>
      </c>
      <c r="H984" s="2" t="s">
        <v>81</v>
      </c>
      <c r="I984" s="2" t="s">
        <v>60</v>
      </c>
      <c r="J984" s="2" t="s">
        <v>3484</v>
      </c>
      <c r="K984" s="2" t="s">
        <v>10</v>
      </c>
    </row>
    <row r="985" spans="1:11" ht="27.6" hidden="1" x14ac:dyDescent="0.3">
      <c r="A985" s="2" t="s">
        <v>60</v>
      </c>
      <c r="B985" s="2" t="s">
        <v>3485</v>
      </c>
      <c r="C985" s="3">
        <v>38533</v>
      </c>
      <c r="D985" s="1" t="s">
        <v>3486</v>
      </c>
      <c r="E985" s="1" t="s">
        <v>3487</v>
      </c>
      <c r="F985" s="2" t="s">
        <v>274</v>
      </c>
      <c r="G985" s="2" t="s">
        <v>669</v>
      </c>
      <c r="H985" s="2" t="s">
        <v>81</v>
      </c>
      <c r="I985" s="2" t="s">
        <v>60</v>
      </c>
      <c r="J985" s="2" t="s">
        <v>3488</v>
      </c>
      <c r="K985" s="2" t="s">
        <v>10</v>
      </c>
    </row>
    <row r="986" spans="1:11" ht="27.6" hidden="1" x14ac:dyDescent="0.3">
      <c r="A986" s="2" t="s">
        <v>60</v>
      </c>
      <c r="B986" s="2" t="s">
        <v>3483</v>
      </c>
      <c r="C986" s="3">
        <v>26281</v>
      </c>
      <c r="D986" s="1" t="s">
        <v>3071</v>
      </c>
      <c r="E986" s="1" t="s">
        <v>3072</v>
      </c>
      <c r="F986" s="2" t="s">
        <v>60</v>
      </c>
      <c r="G986" s="2" t="s">
        <v>350</v>
      </c>
      <c r="H986" s="2" t="s">
        <v>822</v>
      </c>
      <c r="I986" s="2" t="s">
        <v>60</v>
      </c>
      <c r="J986" s="2" t="s">
        <v>3489</v>
      </c>
      <c r="K986" s="2" t="s">
        <v>10</v>
      </c>
    </row>
    <row r="987" spans="1:11" ht="41.4" hidden="1" x14ac:dyDescent="0.3">
      <c r="A987" s="2" t="s">
        <v>60</v>
      </c>
      <c r="B987" s="2" t="s">
        <v>3483</v>
      </c>
      <c r="C987" s="3">
        <v>26281</v>
      </c>
      <c r="D987" s="1" t="s">
        <v>3071</v>
      </c>
      <c r="E987" s="1" t="s">
        <v>3072</v>
      </c>
      <c r="F987" s="2" t="s">
        <v>60</v>
      </c>
      <c r="G987" s="2" t="s">
        <v>350</v>
      </c>
      <c r="H987" s="2" t="s">
        <v>562</v>
      </c>
      <c r="I987" s="2" t="s">
        <v>60</v>
      </c>
      <c r="J987" s="2" t="s">
        <v>3490</v>
      </c>
      <c r="K987" s="2" t="s">
        <v>10</v>
      </c>
    </row>
    <row r="988" spans="1:11" ht="27.6" hidden="1" x14ac:dyDescent="0.3">
      <c r="A988" s="2" t="s">
        <v>60</v>
      </c>
      <c r="B988" s="2" t="s">
        <v>3491</v>
      </c>
      <c r="C988" s="3">
        <v>31490</v>
      </c>
      <c r="D988" s="1" t="s">
        <v>3492</v>
      </c>
      <c r="E988" s="1" t="s">
        <v>3493</v>
      </c>
      <c r="F988" s="2" t="s">
        <v>314</v>
      </c>
      <c r="G988" s="2" t="s">
        <v>217</v>
      </c>
      <c r="H988" s="2" t="s">
        <v>334</v>
      </c>
      <c r="I988" s="2" t="s">
        <v>60</v>
      </c>
      <c r="J988" s="2" t="s">
        <v>218</v>
      </c>
      <c r="K988" s="2" t="s">
        <v>10</v>
      </c>
    </row>
    <row r="989" spans="1:11" ht="27.6" hidden="1" x14ac:dyDescent="0.3">
      <c r="A989" s="2" t="s">
        <v>60</v>
      </c>
      <c r="B989" s="2" t="s">
        <v>3494</v>
      </c>
      <c r="C989" s="3">
        <v>31813</v>
      </c>
      <c r="D989" s="1" t="s">
        <v>3495</v>
      </c>
      <c r="E989" s="1" t="s">
        <v>3496</v>
      </c>
      <c r="F989" s="2" t="s">
        <v>314</v>
      </c>
      <c r="G989" s="2" t="s">
        <v>511</v>
      </c>
      <c r="H989" s="2" t="s">
        <v>10</v>
      </c>
      <c r="I989" s="2" t="s">
        <v>60</v>
      </c>
      <c r="J989" s="2" t="s">
        <v>3497</v>
      </c>
      <c r="K989" s="2" t="s">
        <v>10</v>
      </c>
    </row>
    <row r="990" spans="1:11" ht="27.6" hidden="1" x14ac:dyDescent="0.3">
      <c r="A990" s="2" t="s">
        <v>60</v>
      </c>
      <c r="B990" s="2" t="s">
        <v>3494</v>
      </c>
      <c r="C990" s="3">
        <v>31813</v>
      </c>
      <c r="D990" s="1" t="s">
        <v>3498</v>
      </c>
      <c r="E990" s="1" t="s">
        <v>3496</v>
      </c>
      <c r="F990" s="2" t="s">
        <v>314</v>
      </c>
      <c r="G990" s="2" t="s">
        <v>1222</v>
      </c>
      <c r="H990" s="2" t="s">
        <v>411</v>
      </c>
      <c r="I990" s="2" t="s">
        <v>60</v>
      </c>
      <c r="J990" s="2" t="s">
        <v>3499</v>
      </c>
      <c r="K990" s="2" t="s">
        <v>10</v>
      </c>
    </row>
    <row r="991" spans="1:11" ht="27.6" hidden="1" x14ac:dyDescent="0.3">
      <c r="A991" s="2" t="s">
        <v>60</v>
      </c>
      <c r="B991" s="2" t="s">
        <v>3500</v>
      </c>
      <c r="C991" s="3">
        <v>32066</v>
      </c>
      <c r="D991" s="1" t="s">
        <v>3501</v>
      </c>
      <c r="E991" s="1" t="s">
        <v>3502</v>
      </c>
      <c r="F991" s="2" t="s">
        <v>314</v>
      </c>
      <c r="G991" s="2" t="s">
        <v>350</v>
      </c>
      <c r="H991" s="2" t="s">
        <v>43</v>
      </c>
      <c r="I991" s="2" t="s">
        <v>60</v>
      </c>
      <c r="J991" s="2" t="s">
        <v>351</v>
      </c>
      <c r="K991" s="2" t="s">
        <v>10</v>
      </c>
    </row>
    <row r="992" spans="1:11" ht="27.6" hidden="1" x14ac:dyDescent="0.3">
      <c r="A992" s="2" t="s">
        <v>60</v>
      </c>
      <c r="B992" s="2" t="s">
        <v>3503</v>
      </c>
      <c r="C992" s="3">
        <v>27277</v>
      </c>
      <c r="D992" s="1" t="s">
        <v>3504</v>
      </c>
      <c r="E992" s="1" t="s">
        <v>3505</v>
      </c>
      <c r="F992" s="2" t="s">
        <v>257</v>
      </c>
      <c r="G992" s="2" t="s">
        <v>643</v>
      </c>
      <c r="H992" s="2" t="s">
        <v>10</v>
      </c>
      <c r="I992" s="2" t="s">
        <v>60</v>
      </c>
      <c r="J992" s="2" t="s">
        <v>644</v>
      </c>
      <c r="K992" s="2" t="s">
        <v>10</v>
      </c>
    </row>
    <row r="993" spans="1:11" ht="27.6" hidden="1" x14ac:dyDescent="0.3">
      <c r="A993" s="2" t="s">
        <v>60</v>
      </c>
      <c r="B993" s="2" t="s">
        <v>3506</v>
      </c>
      <c r="C993" s="3">
        <v>22589</v>
      </c>
      <c r="D993" s="1" t="s">
        <v>3507</v>
      </c>
      <c r="E993" s="1" t="s">
        <v>3508</v>
      </c>
      <c r="F993" s="2" t="s">
        <v>257</v>
      </c>
      <c r="G993" s="2" t="s">
        <v>492</v>
      </c>
      <c r="H993" s="2" t="s">
        <v>10</v>
      </c>
      <c r="I993" s="2" t="s">
        <v>60</v>
      </c>
      <c r="J993" s="2" t="s">
        <v>619</v>
      </c>
      <c r="K993" s="2" t="s">
        <v>10</v>
      </c>
    </row>
    <row r="994" spans="1:11" ht="27.6" hidden="1" x14ac:dyDescent="0.3">
      <c r="A994" s="2" t="s">
        <v>60</v>
      </c>
      <c r="B994" s="2" t="s">
        <v>3509</v>
      </c>
      <c r="C994" s="3">
        <v>31243</v>
      </c>
      <c r="D994" s="1" t="s">
        <v>3510</v>
      </c>
      <c r="E994" s="1" t="s">
        <v>3511</v>
      </c>
      <c r="F994" s="2" t="s">
        <v>257</v>
      </c>
      <c r="G994" s="2" t="s">
        <v>206</v>
      </c>
      <c r="H994" s="2" t="s">
        <v>10</v>
      </c>
      <c r="I994" s="2" t="s">
        <v>60</v>
      </c>
      <c r="J994" s="2" t="s">
        <v>207</v>
      </c>
      <c r="K994" s="2" t="s">
        <v>10</v>
      </c>
    </row>
    <row r="995" spans="1:11" ht="27.6" hidden="1" x14ac:dyDescent="0.3">
      <c r="A995" s="2" t="s">
        <v>60</v>
      </c>
      <c r="B995" s="2" t="s">
        <v>3512</v>
      </c>
      <c r="C995" s="3">
        <v>28139</v>
      </c>
      <c r="D995" s="1" t="s">
        <v>3513</v>
      </c>
      <c r="E995" s="1" t="s">
        <v>3514</v>
      </c>
      <c r="F995" s="2" t="s">
        <v>1838</v>
      </c>
      <c r="G995" s="2" t="s">
        <v>86</v>
      </c>
      <c r="H995" s="2" t="s">
        <v>10</v>
      </c>
      <c r="I995" s="2" t="s">
        <v>60</v>
      </c>
      <c r="J995" s="2" t="s">
        <v>87</v>
      </c>
      <c r="K995" s="2" t="s">
        <v>10</v>
      </c>
    </row>
    <row r="996" spans="1:11" ht="27.6" hidden="1" x14ac:dyDescent="0.3">
      <c r="A996" s="2" t="s">
        <v>60</v>
      </c>
      <c r="B996" s="2" t="s">
        <v>3515</v>
      </c>
      <c r="C996" s="3">
        <v>22163</v>
      </c>
      <c r="D996" s="1" t="s">
        <v>3516</v>
      </c>
      <c r="E996" s="1" t="s">
        <v>3517</v>
      </c>
      <c r="F996" s="2" t="s">
        <v>257</v>
      </c>
      <c r="G996" s="2" t="s">
        <v>31</v>
      </c>
      <c r="H996" s="2" t="s">
        <v>26</v>
      </c>
      <c r="I996" s="2" t="s">
        <v>60</v>
      </c>
      <c r="J996" s="2" t="s">
        <v>3518</v>
      </c>
      <c r="K996" s="2" t="s">
        <v>10</v>
      </c>
    </row>
    <row r="997" spans="1:11" ht="27.6" hidden="1" x14ac:dyDescent="0.3">
      <c r="A997" s="2" t="s">
        <v>60</v>
      </c>
      <c r="B997" s="2" t="s">
        <v>3519</v>
      </c>
      <c r="C997" s="3">
        <v>33765</v>
      </c>
      <c r="D997" s="1" t="s">
        <v>3520</v>
      </c>
      <c r="E997" s="1" t="s">
        <v>3521</v>
      </c>
      <c r="F997" s="2" t="s">
        <v>257</v>
      </c>
      <c r="G997" s="2" t="s">
        <v>86</v>
      </c>
      <c r="H997" s="2" t="s">
        <v>10</v>
      </c>
      <c r="I997" s="2" t="s">
        <v>60</v>
      </c>
      <c r="J997" s="2" t="s">
        <v>87</v>
      </c>
      <c r="K997" s="2" t="s">
        <v>10</v>
      </c>
    </row>
    <row r="998" spans="1:11" ht="27.6" hidden="1" x14ac:dyDescent="0.3">
      <c r="A998" s="2" t="s">
        <v>60</v>
      </c>
      <c r="B998" s="2" t="s">
        <v>3522</v>
      </c>
      <c r="C998" s="3">
        <v>25855</v>
      </c>
      <c r="D998" s="1" t="s">
        <v>3523</v>
      </c>
      <c r="E998" s="1" t="s">
        <v>3524</v>
      </c>
      <c r="F998" s="2" t="s">
        <v>813</v>
      </c>
      <c r="G998" s="2" t="s">
        <v>196</v>
      </c>
      <c r="H998" s="2" t="s">
        <v>10</v>
      </c>
      <c r="I998" s="2" t="s">
        <v>60</v>
      </c>
      <c r="J998" s="2" t="s">
        <v>197</v>
      </c>
      <c r="K998" s="2" t="s">
        <v>10</v>
      </c>
    </row>
    <row r="999" spans="1:11" ht="27.6" hidden="1" x14ac:dyDescent="0.3">
      <c r="A999" s="2" t="s">
        <v>60</v>
      </c>
      <c r="B999" s="2" t="s">
        <v>3105</v>
      </c>
      <c r="C999" s="3">
        <v>22799</v>
      </c>
      <c r="D999" s="1" t="s">
        <v>3525</v>
      </c>
      <c r="E999" s="1" t="s">
        <v>3107</v>
      </c>
      <c r="F999" s="2" t="s">
        <v>813</v>
      </c>
      <c r="G999" s="2" t="s">
        <v>157</v>
      </c>
      <c r="H999" s="2" t="s">
        <v>1857</v>
      </c>
      <c r="I999" s="2" t="s">
        <v>60</v>
      </c>
      <c r="J999" s="2" t="s">
        <v>3526</v>
      </c>
      <c r="K999" s="2" t="s">
        <v>10</v>
      </c>
    </row>
    <row r="1000" spans="1:11" ht="27.6" hidden="1" x14ac:dyDescent="0.3">
      <c r="A1000" s="2" t="s">
        <v>60</v>
      </c>
      <c r="B1000" s="2" t="s">
        <v>3527</v>
      </c>
      <c r="C1000" s="3">
        <v>33464</v>
      </c>
      <c r="D1000" s="1" t="s">
        <v>3528</v>
      </c>
      <c r="E1000" s="1" t="s">
        <v>3529</v>
      </c>
      <c r="F1000" s="2" t="s">
        <v>314</v>
      </c>
      <c r="G1000" s="2" t="s">
        <v>319</v>
      </c>
      <c r="H1000" s="2" t="s">
        <v>334</v>
      </c>
      <c r="I1000" s="2" t="s">
        <v>60</v>
      </c>
      <c r="J1000" s="2" t="s">
        <v>320</v>
      </c>
      <c r="K1000" s="2" t="s">
        <v>10</v>
      </c>
    </row>
    <row r="1001" spans="1:11" ht="27.6" hidden="1" x14ac:dyDescent="0.3">
      <c r="A1001" s="2" t="s">
        <v>60</v>
      </c>
      <c r="B1001" s="2" t="s">
        <v>3530</v>
      </c>
      <c r="C1001" s="3">
        <v>25731</v>
      </c>
      <c r="D1001" s="1" t="s">
        <v>3531</v>
      </c>
      <c r="E1001" s="1" t="s">
        <v>3532</v>
      </c>
      <c r="F1001" s="2" t="s">
        <v>3533</v>
      </c>
      <c r="G1001" s="2" t="s">
        <v>190</v>
      </c>
      <c r="H1001" s="2" t="s">
        <v>10</v>
      </c>
      <c r="I1001" s="2" t="s">
        <v>60</v>
      </c>
      <c r="J1001" s="2" t="s">
        <v>191</v>
      </c>
      <c r="K1001" s="2" t="s">
        <v>10</v>
      </c>
    </row>
    <row r="1002" spans="1:11" ht="27.6" hidden="1" x14ac:dyDescent="0.3">
      <c r="A1002" s="2" t="s">
        <v>60</v>
      </c>
      <c r="B1002" s="2" t="s">
        <v>3530</v>
      </c>
      <c r="C1002" s="3">
        <v>25731</v>
      </c>
      <c r="D1002" s="1" t="s">
        <v>3531</v>
      </c>
      <c r="E1002" s="1" t="s">
        <v>3532</v>
      </c>
      <c r="F1002" s="2" t="s">
        <v>60</v>
      </c>
      <c r="G1002" s="2" t="s">
        <v>392</v>
      </c>
      <c r="H1002" s="2" t="s">
        <v>10</v>
      </c>
      <c r="I1002" s="2" t="s">
        <v>60</v>
      </c>
      <c r="J1002" s="2" t="s">
        <v>1213</v>
      </c>
      <c r="K1002" s="2" t="s">
        <v>10</v>
      </c>
    </row>
    <row r="1003" spans="1:11" ht="27.6" hidden="1" x14ac:dyDescent="0.3">
      <c r="A1003" s="2" t="s">
        <v>60</v>
      </c>
      <c r="B1003" s="2" t="s">
        <v>3530</v>
      </c>
      <c r="C1003" s="3">
        <v>25731</v>
      </c>
      <c r="D1003" s="1" t="s">
        <v>3531</v>
      </c>
      <c r="E1003" s="1" t="s">
        <v>3532</v>
      </c>
      <c r="F1003" s="2" t="s">
        <v>3533</v>
      </c>
      <c r="G1003" s="2" t="s">
        <v>157</v>
      </c>
      <c r="H1003" s="2" t="s">
        <v>10</v>
      </c>
      <c r="I1003" s="2" t="s">
        <v>60</v>
      </c>
      <c r="J1003" s="2" t="s">
        <v>158</v>
      </c>
      <c r="K1003" s="2" t="s">
        <v>10</v>
      </c>
    </row>
    <row r="1004" spans="1:11" ht="27.6" hidden="1" x14ac:dyDescent="0.3">
      <c r="A1004" s="2" t="s">
        <v>60</v>
      </c>
      <c r="B1004" s="2" t="s">
        <v>3534</v>
      </c>
      <c r="C1004" s="3">
        <v>25731</v>
      </c>
      <c r="D1004" s="1" t="s">
        <v>3531</v>
      </c>
      <c r="E1004" s="1" t="s">
        <v>3532</v>
      </c>
      <c r="F1004" s="2" t="s">
        <v>3533</v>
      </c>
      <c r="G1004" s="2" t="s">
        <v>196</v>
      </c>
      <c r="H1004" s="2" t="s">
        <v>10</v>
      </c>
      <c r="I1004" s="2" t="s">
        <v>60</v>
      </c>
      <c r="J1004" s="2" t="s">
        <v>197</v>
      </c>
      <c r="K1004" s="2" t="s">
        <v>10</v>
      </c>
    </row>
    <row r="1005" spans="1:11" ht="27.6" hidden="1" x14ac:dyDescent="0.3">
      <c r="A1005" s="2" t="s">
        <v>60</v>
      </c>
      <c r="B1005" s="2" t="s">
        <v>3535</v>
      </c>
      <c r="C1005" s="3">
        <v>30228</v>
      </c>
      <c r="D1005" s="1" t="s">
        <v>3536</v>
      </c>
      <c r="E1005" s="1" t="s">
        <v>3537</v>
      </c>
      <c r="F1005" s="2" t="s">
        <v>3533</v>
      </c>
      <c r="G1005" s="2" t="s">
        <v>492</v>
      </c>
      <c r="H1005" s="2" t="s">
        <v>10</v>
      </c>
      <c r="I1005" s="2" t="s">
        <v>60</v>
      </c>
      <c r="J1005" s="2" t="s">
        <v>619</v>
      </c>
      <c r="K1005" s="2" t="s">
        <v>10</v>
      </c>
    </row>
    <row r="1006" spans="1:11" ht="27.6" hidden="1" x14ac:dyDescent="0.3">
      <c r="A1006" s="2" t="s">
        <v>60</v>
      </c>
      <c r="B1006" s="2" t="s">
        <v>3538</v>
      </c>
      <c r="C1006" s="3">
        <v>22770</v>
      </c>
      <c r="D1006" s="1" t="s">
        <v>3539</v>
      </c>
      <c r="E1006" s="1" t="s">
        <v>3540</v>
      </c>
      <c r="F1006" s="2" t="s">
        <v>314</v>
      </c>
      <c r="G1006" s="2" t="s">
        <v>112</v>
      </c>
      <c r="H1006" s="2" t="s">
        <v>334</v>
      </c>
      <c r="I1006" s="2" t="s">
        <v>60</v>
      </c>
      <c r="J1006" s="2" t="s">
        <v>315</v>
      </c>
      <c r="K1006" s="2" t="s">
        <v>10</v>
      </c>
    </row>
    <row r="1007" spans="1:11" ht="27.6" hidden="1" x14ac:dyDescent="0.3">
      <c r="A1007" s="2" t="s">
        <v>60</v>
      </c>
      <c r="B1007" s="2" t="s">
        <v>3541</v>
      </c>
      <c r="C1007" s="3">
        <v>32743</v>
      </c>
      <c r="D1007" s="1" t="s">
        <v>3542</v>
      </c>
      <c r="E1007" s="1" t="s">
        <v>3543</v>
      </c>
      <c r="F1007" s="2" t="s">
        <v>274</v>
      </c>
      <c r="G1007" s="2" t="s">
        <v>292</v>
      </c>
      <c r="H1007" s="2" t="s">
        <v>10</v>
      </c>
      <c r="I1007" s="2" t="s">
        <v>60</v>
      </c>
      <c r="J1007" s="2" t="s">
        <v>293</v>
      </c>
      <c r="K1007" s="2" t="s">
        <v>10</v>
      </c>
    </row>
    <row r="1008" spans="1:11" ht="27.6" hidden="1" x14ac:dyDescent="0.3">
      <c r="A1008" s="2" t="s">
        <v>60</v>
      </c>
      <c r="B1008" s="2" t="s">
        <v>3544</v>
      </c>
      <c r="C1008" s="3">
        <v>25955</v>
      </c>
      <c r="D1008" s="1" t="s">
        <v>3545</v>
      </c>
      <c r="E1008" s="1" t="s">
        <v>3546</v>
      </c>
      <c r="F1008" s="2" t="s">
        <v>314</v>
      </c>
      <c r="G1008" s="2" t="s">
        <v>292</v>
      </c>
      <c r="H1008" s="2" t="s">
        <v>10</v>
      </c>
      <c r="I1008" s="2" t="s">
        <v>60</v>
      </c>
      <c r="J1008" s="2" t="s">
        <v>293</v>
      </c>
      <c r="K1008" s="2" t="s">
        <v>10</v>
      </c>
    </row>
    <row r="1009" spans="1:12" ht="27.6" hidden="1" x14ac:dyDescent="0.3">
      <c r="A1009" s="2" t="s">
        <v>11</v>
      </c>
      <c r="B1009" s="2" t="s">
        <v>3547</v>
      </c>
      <c r="C1009" s="3">
        <v>25355</v>
      </c>
      <c r="D1009" s="1" t="s">
        <v>3548</v>
      </c>
      <c r="E1009" s="1" t="s">
        <v>3549</v>
      </c>
      <c r="F1009" s="2" t="s">
        <v>16</v>
      </c>
      <c r="G1009" s="2" t="s">
        <v>48</v>
      </c>
      <c r="H1009" s="2" t="s">
        <v>43</v>
      </c>
      <c r="I1009" s="2" t="s">
        <v>11</v>
      </c>
      <c r="J1009" s="2" t="s">
        <v>3550</v>
      </c>
      <c r="K1009" s="2" t="s">
        <v>10</v>
      </c>
    </row>
    <row r="1010" spans="1:12" ht="27.6" hidden="1" x14ac:dyDescent="0.3">
      <c r="A1010" s="2" t="s">
        <v>11</v>
      </c>
      <c r="B1010" s="2" t="s">
        <v>3551</v>
      </c>
      <c r="C1010" s="3">
        <v>21833</v>
      </c>
      <c r="D1010" s="1" t="s">
        <v>3552</v>
      </c>
      <c r="E1010" s="1" t="s">
        <v>3553</v>
      </c>
      <c r="F1010" s="2" t="s">
        <v>16</v>
      </c>
      <c r="G1010" s="2" t="s">
        <v>37</v>
      </c>
      <c r="H1010" s="2" t="s">
        <v>10</v>
      </c>
      <c r="I1010" s="2" t="s">
        <v>11</v>
      </c>
      <c r="J1010" s="2" t="s">
        <v>3554</v>
      </c>
      <c r="K1010" s="2" t="s">
        <v>10</v>
      </c>
    </row>
    <row r="1011" spans="1:12" ht="27.6" hidden="1" x14ac:dyDescent="0.3">
      <c r="A1011" s="2" t="s">
        <v>11</v>
      </c>
      <c r="B1011" s="2" t="s">
        <v>3555</v>
      </c>
      <c r="C1011" s="3">
        <v>29064</v>
      </c>
      <c r="D1011" s="1" t="s">
        <v>3556</v>
      </c>
      <c r="E1011" s="1" t="s">
        <v>3557</v>
      </c>
      <c r="F1011" s="2" t="s">
        <v>16</v>
      </c>
      <c r="G1011" s="2" t="s">
        <v>258</v>
      </c>
      <c r="H1011" s="2" t="s">
        <v>10</v>
      </c>
      <c r="I1011" s="2" t="s">
        <v>11</v>
      </c>
      <c r="J1011" s="2" t="s">
        <v>3558</v>
      </c>
      <c r="K1011" s="2" t="s">
        <v>10</v>
      </c>
    </row>
    <row r="1012" spans="1:12" ht="27.6" hidden="1" x14ac:dyDescent="0.3">
      <c r="A1012" s="2" t="s">
        <v>11</v>
      </c>
      <c r="B1012" s="2" t="s">
        <v>3559</v>
      </c>
      <c r="C1012" s="3">
        <v>18408</v>
      </c>
      <c r="D1012" s="1" t="s">
        <v>3560</v>
      </c>
      <c r="E1012" s="1" t="s">
        <v>3561</v>
      </c>
      <c r="F1012" s="2" t="s">
        <v>16</v>
      </c>
      <c r="G1012" s="2" t="s">
        <v>278</v>
      </c>
      <c r="H1012" s="2" t="s">
        <v>10</v>
      </c>
      <c r="I1012" s="2" t="s">
        <v>11</v>
      </c>
      <c r="J1012" s="2" t="s">
        <v>3562</v>
      </c>
      <c r="K1012" s="2" t="s">
        <v>10</v>
      </c>
    </row>
    <row r="1013" spans="1:12" ht="27.6" hidden="1" x14ac:dyDescent="0.3">
      <c r="A1013" s="2" t="s">
        <v>11</v>
      </c>
      <c r="B1013" s="2" t="s">
        <v>3563</v>
      </c>
      <c r="C1013" s="3">
        <v>26952</v>
      </c>
      <c r="D1013" s="1" t="s">
        <v>3564</v>
      </c>
      <c r="E1013" s="1" t="s">
        <v>3565</v>
      </c>
      <c r="F1013" s="2" t="s">
        <v>16</v>
      </c>
      <c r="G1013" s="2" t="s">
        <v>292</v>
      </c>
      <c r="H1013" s="2" t="s">
        <v>26</v>
      </c>
      <c r="I1013" s="2" t="s">
        <v>11</v>
      </c>
      <c r="J1013" s="2" t="s">
        <v>3566</v>
      </c>
      <c r="K1013" s="2" t="s">
        <v>10</v>
      </c>
    </row>
    <row r="1014" spans="1:12" ht="27.6" hidden="1" x14ac:dyDescent="0.3">
      <c r="A1014" s="2" t="s">
        <v>11</v>
      </c>
      <c r="B1014" s="2" t="s">
        <v>3567</v>
      </c>
      <c r="C1014" s="3">
        <v>31063</v>
      </c>
      <c r="D1014" s="1" t="s">
        <v>3568</v>
      </c>
      <c r="E1014" s="1" t="s">
        <v>3569</v>
      </c>
      <c r="F1014" s="2" t="s">
        <v>16</v>
      </c>
      <c r="G1014" s="2" t="s">
        <v>2594</v>
      </c>
      <c r="H1014" s="2" t="s">
        <v>43</v>
      </c>
      <c r="I1014" s="2" t="s">
        <v>11</v>
      </c>
      <c r="J1014" s="2" t="s">
        <v>3570</v>
      </c>
      <c r="K1014" s="2" t="s">
        <v>10</v>
      </c>
      <c r="L1014" s="6"/>
    </row>
    <row r="1015" spans="1:12" ht="27.6" hidden="1" x14ac:dyDescent="0.3">
      <c r="A1015" s="2" t="s">
        <v>11</v>
      </c>
      <c r="B1015" s="2" t="s">
        <v>3571</v>
      </c>
      <c r="C1015" s="3">
        <v>27591</v>
      </c>
      <c r="D1015" s="1" t="s">
        <v>3572</v>
      </c>
      <c r="E1015" s="1" t="s">
        <v>3573</v>
      </c>
      <c r="F1015" s="2" t="s">
        <v>16</v>
      </c>
      <c r="G1015" s="2" t="s">
        <v>366</v>
      </c>
      <c r="H1015" s="2" t="s">
        <v>10</v>
      </c>
      <c r="I1015" s="2" t="s">
        <v>11</v>
      </c>
      <c r="J1015" s="2" t="s">
        <v>3574</v>
      </c>
      <c r="K1015" s="2" t="s">
        <v>10</v>
      </c>
    </row>
    <row r="1016" spans="1:12" ht="27.6" hidden="1" x14ac:dyDescent="0.3">
      <c r="A1016" s="2" t="s">
        <v>11</v>
      </c>
      <c r="B1016" s="2" t="s">
        <v>3575</v>
      </c>
      <c r="C1016" s="3">
        <v>19130</v>
      </c>
      <c r="D1016" s="1" t="s">
        <v>3576</v>
      </c>
      <c r="E1016" s="1" t="s">
        <v>3577</v>
      </c>
      <c r="F1016" s="2" t="s">
        <v>16</v>
      </c>
      <c r="G1016" s="2" t="s">
        <v>2594</v>
      </c>
      <c r="H1016" s="2" t="s">
        <v>10</v>
      </c>
      <c r="I1016" s="2" t="s">
        <v>11</v>
      </c>
      <c r="J1016" s="2" t="s">
        <v>3578</v>
      </c>
      <c r="K1016" s="2" t="s">
        <v>10</v>
      </c>
      <c r="L1016" s="6"/>
    </row>
    <row r="1017" spans="1:12" ht="27.6" hidden="1" x14ac:dyDescent="0.3">
      <c r="A1017" s="2" t="s">
        <v>11</v>
      </c>
      <c r="B1017" s="2" t="s">
        <v>3579</v>
      </c>
      <c r="C1017" s="3">
        <v>25900</v>
      </c>
      <c r="D1017" s="1" t="s">
        <v>3580</v>
      </c>
      <c r="E1017" s="1" t="s">
        <v>3581</v>
      </c>
      <c r="F1017" s="2" t="s">
        <v>16</v>
      </c>
      <c r="G1017" s="2" t="s">
        <v>397</v>
      </c>
      <c r="H1017" s="2" t="s">
        <v>3582</v>
      </c>
      <c r="I1017" s="2" t="s">
        <v>11</v>
      </c>
      <c r="J1017" s="2" t="s">
        <v>3583</v>
      </c>
      <c r="K1017" s="2" t="s">
        <v>10</v>
      </c>
    </row>
    <row r="1018" spans="1:12" ht="27.6" hidden="1" x14ac:dyDescent="0.3">
      <c r="A1018" s="2" t="s">
        <v>11</v>
      </c>
      <c r="B1018" s="2" t="s">
        <v>3584</v>
      </c>
      <c r="C1018" s="3">
        <v>31493</v>
      </c>
      <c r="D1018" s="1" t="s">
        <v>3585</v>
      </c>
      <c r="E1018" s="1" t="s">
        <v>3586</v>
      </c>
      <c r="F1018" s="2" t="s">
        <v>16</v>
      </c>
      <c r="G1018" s="2" t="s">
        <v>1955</v>
      </c>
      <c r="H1018" s="2" t="s">
        <v>10</v>
      </c>
      <c r="I1018" s="2" t="s">
        <v>11</v>
      </c>
      <c r="J1018" s="2" t="s">
        <v>3587</v>
      </c>
      <c r="K1018" s="30" t="s">
        <v>13193</v>
      </c>
      <c r="L1018" s="6" t="s">
        <v>13195</v>
      </c>
    </row>
    <row r="1019" spans="1:12" ht="27.6" hidden="1" x14ac:dyDescent="0.3">
      <c r="A1019" s="2" t="s">
        <v>11</v>
      </c>
      <c r="B1019" s="2" t="s">
        <v>3588</v>
      </c>
      <c r="C1019" s="3">
        <v>29836</v>
      </c>
      <c r="D1019" s="1" t="s">
        <v>3589</v>
      </c>
      <c r="E1019" s="1" t="s">
        <v>3590</v>
      </c>
      <c r="F1019" s="2" t="s">
        <v>16</v>
      </c>
      <c r="G1019" s="2" t="s">
        <v>669</v>
      </c>
      <c r="H1019" s="2" t="s">
        <v>2838</v>
      </c>
      <c r="I1019" s="2" t="s">
        <v>11</v>
      </c>
      <c r="J1019" s="2" t="s">
        <v>3591</v>
      </c>
      <c r="K1019" s="2" t="s">
        <v>10</v>
      </c>
    </row>
    <row r="1020" spans="1:12" ht="27.6" hidden="1" x14ac:dyDescent="0.3">
      <c r="A1020" s="2" t="s">
        <v>11</v>
      </c>
      <c r="B1020" s="2" t="s">
        <v>3592</v>
      </c>
      <c r="C1020" s="3">
        <v>38073</v>
      </c>
      <c r="D1020" s="1" t="s">
        <v>3593</v>
      </c>
      <c r="E1020" s="1" t="s">
        <v>3594</v>
      </c>
      <c r="F1020" s="2" t="s">
        <v>16</v>
      </c>
      <c r="G1020" s="2" t="s">
        <v>552</v>
      </c>
      <c r="H1020" s="2" t="s">
        <v>3595</v>
      </c>
      <c r="I1020" s="2" t="s">
        <v>11</v>
      </c>
      <c r="J1020" s="2" t="s">
        <v>3596</v>
      </c>
      <c r="K1020" s="30" t="s">
        <v>13193</v>
      </c>
      <c r="L1020" s="6" t="s">
        <v>13195</v>
      </c>
    </row>
    <row r="1021" spans="1:12" ht="27.6" hidden="1" x14ac:dyDescent="0.3">
      <c r="A1021" s="2" t="s">
        <v>11</v>
      </c>
      <c r="B1021" s="2" t="s">
        <v>3597</v>
      </c>
      <c r="C1021" s="3">
        <v>29690</v>
      </c>
      <c r="D1021" s="1" t="s">
        <v>3598</v>
      </c>
      <c r="E1021" s="1" t="s">
        <v>3599</v>
      </c>
      <c r="F1021" s="2" t="s">
        <v>16</v>
      </c>
      <c r="G1021" s="2" t="s">
        <v>1228</v>
      </c>
      <c r="H1021" s="2" t="s">
        <v>103</v>
      </c>
      <c r="I1021" s="2" t="s">
        <v>11</v>
      </c>
      <c r="J1021" s="2" t="s">
        <v>3600</v>
      </c>
      <c r="K1021" s="30" t="s">
        <v>13193</v>
      </c>
      <c r="L1021" s="36" t="s">
        <v>13195</v>
      </c>
    </row>
    <row r="1022" spans="1:12" ht="27.6" hidden="1" x14ac:dyDescent="0.3">
      <c r="A1022" s="2" t="s">
        <v>11</v>
      </c>
      <c r="B1022" s="2" t="s">
        <v>3601</v>
      </c>
      <c r="C1022" s="3">
        <v>18819</v>
      </c>
      <c r="D1022" s="1" t="s">
        <v>3602</v>
      </c>
      <c r="E1022" s="1" t="s">
        <v>3603</v>
      </c>
      <c r="F1022" s="2" t="s">
        <v>16</v>
      </c>
      <c r="G1022" s="2" t="s">
        <v>2267</v>
      </c>
      <c r="H1022" s="2" t="s">
        <v>10</v>
      </c>
      <c r="I1022" s="2" t="s">
        <v>11</v>
      </c>
      <c r="J1022" s="2" t="s">
        <v>3604</v>
      </c>
      <c r="K1022" s="2" t="s">
        <v>10</v>
      </c>
    </row>
    <row r="1023" spans="1:12" ht="27.6" hidden="1" x14ac:dyDescent="0.3">
      <c r="A1023" s="2" t="s">
        <v>11</v>
      </c>
      <c r="B1023" s="2" t="s">
        <v>3605</v>
      </c>
      <c r="C1023" s="3">
        <v>35409</v>
      </c>
      <c r="D1023" s="1" t="s">
        <v>3606</v>
      </c>
      <c r="E1023" s="1" t="s">
        <v>3607</v>
      </c>
      <c r="F1023" s="2" t="s">
        <v>358</v>
      </c>
      <c r="G1023" s="2" t="s">
        <v>12</v>
      </c>
      <c r="H1023" s="2" t="s">
        <v>10</v>
      </c>
      <c r="I1023" s="2" t="s">
        <v>11</v>
      </c>
      <c r="J1023" s="2" t="s">
        <v>54</v>
      </c>
      <c r="K1023" s="30" t="s">
        <v>13193</v>
      </c>
      <c r="L1023" s="6" t="s">
        <v>13195</v>
      </c>
    </row>
    <row r="1024" spans="1:12" ht="27.6" hidden="1" x14ac:dyDescent="0.3">
      <c r="A1024" s="2" t="s">
        <v>11</v>
      </c>
      <c r="B1024" s="2" t="s">
        <v>3608</v>
      </c>
      <c r="C1024" s="3">
        <v>28591</v>
      </c>
      <c r="D1024" s="1" t="s">
        <v>3609</v>
      </c>
      <c r="E1024" s="1" t="s">
        <v>3610</v>
      </c>
      <c r="F1024" s="2" t="s">
        <v>358</v>
      </c>
      <c r="G1024" s="2" t="s">
        <v>31</v>
      </c>
      <c r="H1024" s="2" t="s">
        <v>43</v>
      </c>
      <c r="I1024" s="2" t="s">
        <v>11</v>
      </c>
      <c r="J1024" s="2" t="s">
        <v>3611</v>
      </c>
      <c r="K1024" s="30" t="s">
        <v>13193</v>
      </c>
      <c r="L1024" s="6" t="s">
        <v>13195</v>
      </c>
    </row>
    <row r="1025" spans="1:12" ht="27.6" hidden="1" x14ac:dyDescent="0.3">
      <c r="A1025" s="2" t="s">
        <v>11</v>
      </c>
      <c r="B1025" s="2" t="s">
        <v>2740</v>
      </c>
      <c r="C1025" s="3">
        <v>20738</v>
      </c>
      <c r="D1025" s="1" t="s">
        <v>3612</v>
      </c>
      <c r="E1025" s="1" t="s">
        <v>3613</v>
      </c>
      <c r="F1025" s="2" t="s">
        <v>16</v>
      </c>
      <c r="G1025" s="2" t="s">
        <v>2743</v>
      </c>
      <c r="H1025" s="2" t="s">
        <v>3126</v>
      </c>
      <c r="I1025" s="2" t="s">
        <v>11</v>
      </c>
      <c r="J1025" s="2" t="s">
        <v>2744</v>
      </c>
      <c r="K1025" s="30" t="s">
        <v>13193</v>
      </c>
      <c r="L1025" s="6" t="s">
        <v>13195</v>
      </c>
    </row>
    <row r="1026" spans="1:12" ht="27.6" hidden="1" x14ac:dyDescent="0.3">
      <c r="A1026" s="2" t="s">
        <v>11</v>
      </c>
      <c r="B1026" s="2" t="s">
        <v>3614</v>
      </c>
      <c r="C1026" s="3">
        <v>20738</v>
      </c>
      <c r="D1026" s="1" t="s">
        <v>3615</v>
      </c>
      <c r="E1026" s="1" t="s">
        <v>3616</v>
      </c>
      <c r="F1026" s="2" t="s">
        <v>16</v>
      </c>
      <c r="G1026" s="2" t="s">
        <v>2743</v>
      </c>
      <c r="H1026" s="2" t="s">
        <v>103</v>
      </c>
      <c r="I1026" s="2" t="s">
        <v>11</v>
      </c>
      <c r="J1026" s="2" t="s">
        <v>3617</v>
      </c>
      <c r="K1026" s="35"/>
      <c r="L1026" s="24"/>
    </row>
    <row r="1027" spans="1:12" ht="27.6" hidden="1" x14ac:dyDescent="0.3">
      <c r="A1027" s="2" t="s">
        <v>11</v>
      </c>
      <c r="B1027" s="2" t="s">
        <v>3618</v>
      </c>
      <c r="C1027" s="3">
        <v>26077</v>
      </c>
      <c r="D1027" s="1" t="s">
        <v>3619</v>
      </c>
      <c r="E1027" s="1" t="s">
        <v>3620</v>
      </c>
      <c r="F1027" s="2" t="s">
        <v>583</v>
      </c>
      <c r="G1027" s="2" t="s">
        <v>385</v>
      </c>
      <c r="H1027" s="2" t="s">
        <v>10</v>
      </c>
      <c r="I1027" s="2" t="s">
        <v>11</v>
      </c>
      <c r="J1027" s="2" t="s">
        <v>975</v>
      </c>
      <c r="K1027" s="30" t="s">
        <v>13193</v>
      </c>
      <c r="L1027" s="6" t="s">
        <v>13195</v>
      </c>
    </row>
    <row r="1028" spans="1:12" ht="27.6" hidden="1" x14ac:dyDescent="0.3">
      <c r="A1028" s="2" t="s">
        <v>11</v>
      </c>
      <c r="B1028" s="2" t="s">
        <v>3621</v>
      </c>
      <c r="C1028" s="3">
        <v>24182</v>
      </c>
      <c r="D1028" s="1" t="s">
        <v>3622</v>
      </c>
      <c r="E1028" s="1" t="s">
        <v>308</v>
      </c>
      <c r="F1028" s="2" t="s">
        <v>16</v>
      </c>
      <c r="G1028" s="2" t="s">
        <v>2748</v>
      </c>
      <c r="H1028" s="2" t="s">
        <v>10</v>
      </c>
      <c r="I1028" s="2" t="s">
        <v>11</v>
      </c>
      <c r="J1028" s="2" t="s">
        <v>3623</v>
      </c>
      <c r="K1028" s="36" t="s">
        <v>13193</v>
      </c>
      <c r="L1028" s="26" t="s">
        <v>13195</v>
      </c>
    </row>
    <row r="1029" spans="1:12" ht="27.6" hidden="1" x14ac:dyDescent="0.3">
      <c r="A1029" s="2" t="s">
        <v>11</v>
      </c>
      <c r="B1029" s="2" t="s">
        <v>3624</v>
      </c>
      <c r="C1029" s="3">
        <v>33234</v>
      </c>
      <c r="D1029" s="1" t="s">
        <v>3625</v>
      </c>
      <c r="E1029" s="1" t="s">
        <v>3626</v>
      </c>
      <c r="F1029" s="2" t="s">
        <v>16</v>
      </c>
      <c r="G1029" s="2" t="s">
        <v>982</v>
      </c>
      <c r="H1029" s="2" t="s">
        <v>26</v>
      </c>
      <c r="I1029" s="2" t="s">
        <v>11</v>
      </c>
      <c r="J1029" s="2" t="s">
        <v>3627</v>
      </c>
      <c r="K1029" s="29" t="s">
        <v>13193</v>
      </c>
      <c r="L1029" s="6" t="s">
        <v>13195</v>
      </c>
    </row>
    <row r="1030" spans="1:12" ht="27.6" hidden="1" x14ac:dyDescent="0.3">
      <c r="A1030" s="2" t="s">
        <v>11</v>
      </c>
      <c r="B1030" s="2" t="s">
        <v>3628</v>
      </c>
      <c r="C1030" s="3">
        <v>25419</v>
      </c>
      <c r="D1030" s="1" t="s">
        <v>3629</v>
      </c>
      <c r="E1030" s="1" t="s">
        <v>3630</v>
      </c>
      <c r="F1030" s="2" t="s">
        <v>16</v>
      </c>
      <c r="G1030" s="2" t="s">
        <v>1217</v>
      </c>
      <c r="H1030" s="2" t="s">
        <v>81</v>
      </c>
      <c r="I1030" s="2" t="s">
        <v>11</v>
      </c>
      <c r="J1030" s="2" t="s">
        <v>3631</v>
      </c>
      <c r="K1030" s="29" t="s">
        <v>13193</v>
      </c>
      <c r="L1030" s="6" t="s">
        <v>13195</v>
      </c>
    </row>
    <row r="1031" spans="1:12" ht="27.6" hidden="1" x14ac:dyDescent="0.3">
      <c r="A1031" s="2" t="s">
        <v>11</v>
      </c>
      <c r="B1031" s="2" t="s">
        <v>3632</v>
      </c>
      <c r="C1031" s="3">
        <v>32291</v>
      </c>
      <c r="D1031" s="1" t="s">
        <v>3633</v>
      </c>
      <c r="E1031" s="1" t="s">
        <v>3634</v>
      </c>
      <c r="F1031" s="2" t="s">
        <v>16</v>
      </c>
      <c r="G1031" s="2" t="s">
        <v>2990</v>
      </c>
      <c r="H1031" s="2" t="s">
        <v>43</v>
      </c>
      <c r="I1031" s="2" t="s">
        <v>11</v>
      </c>
      <c r="J1031" s="2" t="s">
        <v>3631</v>
      </c>
      <c r="K1031" s="29" t="s">
        <v>13193</v>
      </c>
      <c r="L1031" s="6" t="s">
        <v>13195</v>
      </c>
    </row>
    <row r="1032" spans="1:12" ht="27.6" hidden="1" x14ac:dyDescent="0.3">
      <c r="A1032" s="2" t="s">
        <v>11</v>
      </c>
      <c r="B1032" s="2" t="s">
        <v>3635</v>
      </c>
      <c r="C1032" s="3">
        <v>30488</v>
      </c>
      <c r="D1032" s="1" t="s">
        <v>3636</v>
      </c>
      <c r="E1032" s="1" t="s">
        <v>3637</v>
      </c>
      <c r="F1032" s="2" t="s">
        <v>16</v>
      </c>
      <c r="G1032" s="2" t="s">
        <v>1758</v>
      </c>
      <c r="H1032" s="2" t="s">
        <v>10</v>
      </c>
      <c r="I1032" s="2" t="s">
        <v>11</v>
      </c>
      <c r="J1032" s="2" t="s">
        <v>3638</v>
      </c>
      <c r="K1032" s="29" t="s">
        <v>13193</v>
      </c>
      <c r="L1032" s="6" t="s">
        <v>13195</v>
      </c>
    </row>
    <row r="1033" spans="1:12" ht="27.6" hidden="1" x14ac:dyDescent="0.3">
      <c r="A1033" s="2" t="s">
        <v>11</v>
      </c>
      <c r="B1033" s="2" t="s">
        <v>3639</v>
      </c>
      <c r="C1033" s="3">
        <v>33337</v>
      </c>
      <c r="D1033" s="1" t="s">
        <v>3640</v>
      </c>
      <c r="E1033" s="1" t="s">
        <v>3641</v>
      </c>
      <c r="F1033" s="2" t="s">
        <v>16</v>
      </c>
      <c r="G1033" s="2" t="s">
        <v>69</v>
      </c>
      <c r="H1033" s="2" t="s">
        <v>43</v>
      </c>
      <c r="I1033" s="2" t="s">
        <v>11</v>
      </c>
      <c r="J1033" s="2" t="s">
        <v>2915</v>
      </c>
      <c r="K1033" s="29" t="s">
        <v>13193</v>
      </c>
      <c r="L1033" s="6" t="s">
        <v>13195</v>
      </c>
    </row>
    <row r="1034" spans="1:12" ht="27.6" hidden="1" x14ac:dyDescent="0.3">
      <c r="A1034" s="2" t="s">
        <v>11</v>
      </c>
      <c r="B1034" s="2" t="s">
        <v>3642</v>
      </c>
      <c r="C1034" s="3">
        <v>21703</v>
      </c>
      <c r="D1034" s="1" t="s">
        <v>3643</v>
      </c>
      <c r="E1034" s="1" t="s">
        <v>3644</v>
      </c>
      <c r="F1034" s="2" t="s">
        <v>16</v>
      </c>
      <c r="G1034" s="2" t="s">
        <v>987</v>
      </c>
      <c r="H1034" s="2" t="s">
        <v>10</v>
      </c>
      <c r="I1034" s="2" t="s">
        <v>11</v>
      </c>
      <c r="J1034" s="2" t="s">
        <v>3645</v>
      </c>
      <c r="K1034" s="29" t="s">
        <v>13193</v>
      </c>
      <c r="L1034" s="6" t="s">
        <v>13195</v>
      </c>
    </row>
    <row r="1035" spans="1:12" ht="27.6" hidden="1" x14ac:dyDescent="0.3">
      <c r="A1035" s="2" t="s">
        <v>11</v>
      </c>
      <c r="B1035" s="2" t="s">
        <v>3646</v>
      </c>
      <c r="C1035" s="3">
        <v>36569</v>
      </c>
      <c r="D1035" s="1" t="s">
        <v>442</v>
      </c>
      <c r="E1035" s="1" t="s">
        <v>3647</v>
      </c>
      <c r="F1035" s="2" t="s">
        <v>971</v>
      </c>
      <c r="G1035" s="2" t="s">
        <v>380</v>
      </c>
      <c r="H1035" s="2" t="s">
        <v>10</v>
      </c>
      <c r="I1035" s="2" t="s">
        <v>11</v>
      </c>
      <c r="J1035" s="2" t="s">
        <v>3648</v>
      </c>
      <c r="K1035" s="29" t="s">
        <v>13193</v>
      </c>
      <c r="L1035" s="6" t="s">
        <v>13195</v>
      </c>
    </row>
    <row r="1036" spans="1:12" ht="27.6" hidden="1" x14ac:dyDescent="0.3">
      <c r="A1036" s="2" t="s">
        <v>11</v>
      </c>
      <c r="B1036" s="2" t="s">
        <v>3649</v>
      </c>
      <c r="C1036" s="3">
        <v>28394</v>
      </c>
      <c r="D1036" s="1" t="s">
        <v>3650</v>
      </c>
      <c r="E1036" s="1" t="s">
        <v>3651</v>
      </c>
      <c r="F1036" s="2" t="s">
        <v>16</v>
      </c>
      <c r="G1036" s="2" t="s">
        <v>129</v>
      </c>
      <c r="H1036" s="2" t="s">
        <v>10</v>
      </c>
      <c r="I1036" s="2" t="s">
        <v>11</v>
      </c>
      <c r="J1036" s="2" t="s">
        <v>3652</v>
      </c>
      <c r="K1036" s="29" t="s">
        <v>13193</v>
      </c>
      <c r="L1036" s="6" t="s">
        <v>13195</v>
      </c>
    </row>
    <row r="1037" spans="1:12" ht="27.6" hidden="1" x14ac:dyDescent="0.3">
      <c r="A1037" s="2" t="s">
        <v>11</v>
      </c>
      <c r="B1037" s="2" t="s">
        <v>3653</v>
      </c>
      <c r="C1037" s="3">
        <v>24645</v>
      </c>
      <c r="D1037" s="1" t="s">
        <v>3654</v>
      </c>
      <c r="E1037" s="1" t="s">
        <v>3655</v>
      </c>
      <c r="F1037" s="2" t="s">
        <v>16</v>
      </c>
      <c r="G1037" s="2" t="s">
        <v>2790</v>
      </c>
      <c r="H1037" s="2" t="s">
        <v>10</v>
      </c>
      <c r="I1037" s="2" t="s">
        <v>11</v>
      </c>
      <c r="J1037" s="2" t="s">
        <v>3656</v>
      </c>
      <c r="K1037" s="29" t="s">
        <v>13193</v>
      </c>
      <c r="L1037" s="6" t="s">
        <v>13195</v>
      </c>
    </row>
    <row r="1038" spans="1:12" ht="27.6" hidden="1" x14ac:dyDescent="0.3">
      <c r="A1038" s="2" t="s">
        <v>11</v>
      </c>
      <c r="B1038" s="2" t="s">
        <v>3033</v>
      </c>
      <c r="C1038" s="3">
        <v>34890</v>
      </c>
      <c r="D1038" s="1" t="s">
        <v>377</v>
      </c>
      <c r="E1038" s="1" t="s">
        <v>378</v>
      </c>
      <c r="F1038" s="2" t="s">
        <v>16</v>
      </c>
      <c r="G1038" s="2" t="s">
        <v>2823</v>
      </c>
      <c r="H1038" s="2" t="s">
        <v>81</v>
      </c>
      <c r="I1038" s="2" t="s">
        <v>11</v>
      </c>
      <c r="J1038" s="2" t="s">
        <v>3657</v>
      </c>
      <c r="K1038" s="29" t="s">
        <v>13193</v>
      </c>
      <c r="L1038" s="6" t="s">
        <v>13195</v>
      </c>
    </row>
    <row r="1039" spans="1:12" ht="27.6" hidden="1" x14ac:dyDescent="0.3">
      <c r="A1039" s="2" t="s">
        <v>11</v>
      </c>
      <c r="B1039" s="2" t="s">
        <v>3658</v>
      </c>
      <c r="C1039" s="3">
        <v>35205</v>
      </c>
      <c r="D1039" s="1" t="s">
        <v>3659</v>
      </c>
      <c r="E1039" s="1" t="s">
        <v>3660</v>
      </c>
      <c r="F1039" s="2" t="s">
        <v>16</v>
      </c>
      <c r="G1039" s="2" t="s">
        <v>3203</v>
      </c>
      <c r="H1039" s="2" t="s">
        <v>10</v>
      </c>
      <c r="I1039" s="2" t="s">
        <v>11</v>
      </c>
      <c r="J1039" s="2" t="s">
        <v>3204</v>
      </c>
      <c r="K1039" s="29" t="s">
        <v>13193</v>
      </c>
      <c r="L1039" s="6" t="s">
        <v>13195</v>
      </c>
    </row>
    <row r="1040" spans="1:12" ht="27.6" hidden="1" x14ac:dyDescent="0.3">
      <c r="A1040" s="2" t="s">
        <v>11</v>
      </c>
      <c r="B1040" s="2" t="s">
        <v>3661</v>
      </c>
      <c r="C1040" s="3">
        <v>32529</v>
      </c>
      <c r="D1040" s="1" t="s">
        <v>3662</v>
      </c>
      <c r="E1040" s="1" t="s">
        <v>3663</v>
      </c>
      <c r="F1040" s="2" t="s">
        <v>16</v>
      </c>
      <c r="G1040" s="2" t="s">
        <v>2805</v>
      </c>
      <c r="H1040" s="2" t="s">
        <v>10</v>
      </c>
      <c r="I1040" s="2" t="s">
        <v>11</v>
      </c>
      <c r="J1040" s="2" t="s">
        <v>3664</v>
      </c>
      <c r="K1040" s="29" t="s">
        <v>13193</v>
      </c>
      <c r="L1040" s="6" t="s">
        <v>13195</v>
      </c>
    </row>
    <row r="1041" spans="1:12" ht="27.6" hidden="1" x14ac:dyDescent="0.3">
      <c r="A1041" s="2" t="s">
        <v>11</v>
      </c>
      <c r="B1041" s="2" t="s">
        <v>3665</v>
      </c>
      <c r="C1041" s="3">
        <v>38927</v>
      </c>
      <c r="D1041" s="1" t="s">
        <v>3666</v>
      </c>
      <c r="E1041" s="1" t="s">
        <v>3667</v>
      </c>
      <c r="F1041" s="2" t="s">
        <v>16</v>
      </c>
      <c r="G1041" s="2" t="s">
        <v>3668</v>
      </c>
      <c r="H1041" s="2" t="s">
        <v>43</v>
      </c>
      <c r="I1041" s="2" t="s">
        <v>11</v>
      </c>
      <c r="J1041" s="2" t="s">
        <v>3669</v>
      </c>
      <c r="K1041" s="29" t="s">
        <v>13193</v>
      </c>
      <c r="L1041" s="6" t="s">
        <v>13195</v>
      </c>
    </row>
    <row r="1042" spans="1:12" ht="27.6" hidden="1" x14ac:dyDescent="0.3">
      <c r="A1042" s="2" t="s">
        <v>11</v>
      </c>
      <c r="B1042" s="2" t="s">
        <v>3670</v>
      </c>
      <c r="C1042" s="3">
        <v>23793</v>
      </c>
      <c r="D1042" s="1" t="s">
        <v>3671</v>
      </c>
      <c r="E1042" s="1" t="s">
        <v>3672</v>
      </c>
      <c r="F1042" s="2" t="s">
        <v>16</v>
      </c>
      <c r="G1042" s="2" t="s">
        <v>2833</v>
      </c>
      <c r="H1042" s="2" t="s">
        <v>81</v>
      </c>
      <c r="I1042" s="2" t="s">
        <v>11</v>
      </c>
      <c r="J1042" s="2" t="s">
        <v>3673</v>
      </c>
      <c r="K1042" s="29" t="s">
        <v>13193</v>
      </c>
      <c r="L1042" s="6" t="s">
        <v>13195</v>
      </c>
    </row>
    <row r="1043" spans="1:12" ht="27.6" hidden="1" x14ac:dyDescent="0.3">
      <c r="A1043" s="2" t="s">
        <v>11</v>
      </c>
      <c r="B1043" s="2" t="s">
        <v>3674</v>
      </c>
      <c r="C1043" s="3">
        <v>23793</v>
      </c>
      <c r="D1043" s="1" t="s">
        <v>3675</v>
      </c>
      <c r="E1043" s="1" t="s">
        <v>3676</v>
      </c>
      <c r="F1043" s="2" t="s">
        <v>16</v>
      </c>
      <c r="G1043" s="2" t="s">
        <v>2833</v>
      </c>
      <c r="H1043" s="2" t="s">
        <v>103</v>
      </c>
      <c r="I1043" s="2" t="s">
        <v>11</v>
      </c>
      <c r="J1043" s="2" t="s">
        <v>3677</v>
      </c>
      <c r="K1043" s="29" t="s">
        <v>13193</v>
      </c>
      <c r="L1043" s="6" t="s">
        <v>13195</v>
      </c>
    </row>
    <row r="1044" spans="1:12" ht="27.6" hidden="1" x14ac:dyDescent="0.3">
      <c r="A1044" s="2" t="s">
        <v>11</v>
      </c>
      <c r="B1044" s="2" t="s">
        <v>3678</v>
      </c>
      <c r="C1044" s="3">
        <v>35961</v>
      </c>
      <c r="D1044" s="1" t="s">
        <v>3679</v>
      </c>
      <c r="E1044" s="1" t="s">
        <v>3680</v>
      </c>
      <c r="F1044" s="2" t="s">
        <v>16</v>
      </c>
      <c r="G1044" s="2" t="s">
        <v>3198</v>
      </c>
      <c r="H1044" s="2" t="s">
        <v>10</v>
      </c>
      <c r="I1044" s="2" t="s">
        <v>11</v>
      </c>
      <c r="J1044" s="2" t="s">
        <v>3681</v>
      </c>
      <c r="K1044" s="29" t="s">
        <v>13193</v>
      </c>
      <c r="L1044" s="6" t="s">
        <v>13195</v>
      </c>
    </row>
    <row r="1045" spans="1:12" ht="27.6" hidden="1" x14ac:dyDescent="0.3">
      <c r="A1045" s="2" t="s">
        <v>11</v>
      </c>
      <c r="B1045" s="2" t="s">
        <v>3033</v>
      </c>
      <c r="C1045" s="3">
        <v>35723</v>
      </c>
      <c r="D1045" s="1" t="s">
        <v>377</v>
      </c>
      <c r="E1045" s="1" t="s">
        <v>378</v>
      </c>
      <c r="F1045" s="2" t="s">
        <v>16</v>
      </c>
      <c r="G1045" s="2" t="s">
        <v>2378</v>
      </c>
      <c r="H1045" s="2" t="s">
        <v>10</v>
      </c>
      <c r="I1045" s="2" t="s">
        <v>11</v>
      </c>
      <c r="J1045" s="2" t="s">
        <v>3682</v>
      </c>
      <c r="K1045" s="29" t="s">
        <v>13193</v>
      </c>
      <c r="L1045" s="6" t="s">
        <v>13195</v>
      </c>
    </row>
    <row r="1046" spans="1:12" ht="27.6" hidden="1" x14ac:dyDescent="0.3">
      <c r="A1046" s="2" t="s">
        <v>11</v>
      </c>
      <c r="B1046" s="2" t="s">
        <v>3683</v>
      </c>
      <c r="C1046" s="3">
        <v>28924</v>
      </c>
      <c r="D1046" s="1" t="s">
        <v>3684</v>
      </c>
      <c r="E1046" s="1" t="s">
        <v>2822</v>
      </c>
      <c r="F1046" s="2" t="s">
        <v>16</v>
      </c>
      <c r="G1046" s="2" t="s">
        <v>2823</v>
      </c>
      <c r="H1046" s="2" t="s">
        <v>3685</v>
      </c>
      <c r="I1046" s="2" t="s">
        <v>11</v>
      </c>
      <c r="J1046" s="2" t="s">
        <v>3686</v>
      </c>
      <c r="K1046" s="29" t="s">
        <v>13193</v>
      </c>
      <c r="L1046" s="6" t="s">
        <v>13195</v>
      </c>
    </row>
    <row r="1047" spans="1:12" ht="27.6" hidden="1" x14ac:dyDescent="0.3">
      <c r="A1047" s="2" t="s">
        <v>11</v>
      </c>
      <c r="B1047" s="2" t="s">
        <v>3687</v>
      </c>
      <c r="C1047" s="3">
        <v>18797</v>
      </c>
      <c r="D1047" s="1" t="s">
        <v>56</v>
      </c>
      <c r="E1047" s="1" t="s">
        <v>3688</v>
      </c>
      <c r="F1047" s="2" t="s">
        <v>16</v>
      </c>
      <c r="G1047" s="2" t="s">
        <v>1275</v>
      </c>
      <c r="H1047" s="2" t="s">
        <v>103</v>
      </c>
      <c r="I1047" s="2" t="s">
        <v>11</v>
      </c>
      <c r="J1047" s="2" t="s">
        <v>1276</v>
      </c>
      <c r="K1047" s="29" t="s">
        <v>13193</v>
      </c>
      <c r="L1047" s="6" t="s">
        <v>13195</v>
      </c>
    </row>
    <row r="1048" spans="1:12" ht="27.6" hidden="1" x14ac:dyDescent="0.3">
      <c r="A1048" s="2" t="s">
        <v>11</v>
      </c>
      <c r="B1048" s="2" t="s">
        <v>3689</v>
      </c>
      <c r="C1048" s="3">
        <v>29519</v>
      </c>
      <c r="D1048" s="1" t="s">
        <v>3690</v>
      </c>
      <c r="E1048" s="1" t="s">
        <v>3691</v>
      </c>
      <c r="F1048" s="2" t="s">
        <v>16</v>
      </c>
      <c r="G1048" s="2" t="s">
        <v>3692</v>
      </c>
      <c r="H1048" s="2" t="s">
        <v>81</v>
      </c>
      <c r="I1048" s="2" t="s">
        <v>11</v>
      </c>
      <c r="J1048" s="2" t="s">
        <v>3693</v>
      </c>
      <c r="K1048" s="29" t="s">
        <v>13193</v>
      </c>
      <c r="L1048" s="6" t="s">
        <v>13195</v>
      </c>
    </row>
    <row r="1049" spans="1:12" ht="27.6" hidden="1" x14ac:dyDescent="0.3">
      <c r="A1049" s="2" t="s">
        <v>11</v>
      </c>
      <c r="B1049" s="2" t="s">
        <v>3694</v>
      </c>
      <c r="C1049" s="3">
        <v>33470</v>
      </c>
      <c r="D1049" s="1" t="s">
        <v>3695</v>
      </c>
      <c r="E1049" s="1" t="s">
        <v>3696</v>
      </c>
      <c r="F1049" s="2" t="s">
        <v>16</v>
      </c>
      <c r="G1049" s="2" t="s">
        <v>2189</v>
      </c>
      <c r="H1049" s="2" t="s">
        <v>43</v>
      </c>
      <c r="I1049" s="2" t="s">
        <v>11</v>
      </c>
      <c r="J1049" s="2" t="s">
        <v>3697</v>
      </c>
      <c r="K1049" s="29" t="s">
        <v>13193</v>
      </c>
      <c r="L1049" s="6" t="s">
        <v>13195</v>
      </c>
    </row>
    <row r="1050" spans="1:12" ht="27.6" hidden="1" x14ac:dyDescent="0.3">
      <c r="A1050" s="2" t="s">
        <v>11</v>
      </c>
      <c r="B1050" s="2" t="s">
        <v>3698</v>
      </c>
      <c r="C1050" s="3">
        <v>20124</v>
      </c>
      <c r="D1050" s="1" t="s">
        <v>3699</v>
      </c>
      <c r="E1050" s="1" t="s">
        <v>3700</v>
      </c>
      <c r="F1050" s="2" t="s">
        <v>575</v>
      </c>
      <c r="G1050" s="2" t="s">
        <v>380</v>
      </c>
      <c r="H1050" s="2" t="s">
        <v>43</v>
      </c>
      <c r="I1050" s="2" t="s">
        <v>11</v>
      </c>
      <c r="J1050" s="2" t="s">
        <v>3701</v>
      </c>
      <c r="K1050" s="29" t="s">
        <v>13193</v>
      </c>
      <c r="L1050" s="6" t="s">
        <v>13195</v>
      </c>
    </row>
    <row r="1051" spans="1:12" ht="27.6" hidden="1" x14ac:dyDescent="0.3">
      <c r="A1051" s="2" t="s">
        <v>11</v>
      </c>
      <c r="B1051" s="2" t="s">
        <v>3702</v>
      </c>
      <c r="C1051" s="3">
        <v>29090</v>
      </c>
      <c r="D1051" s="1" t="s">
        <v>3703</v>
      </c>
      <c r="E1051" s="1" t="s">
        <v>3704</v>
      </c>
      <c r="F1051" s="2" t="s">
        <v>16</v>
      </c>
      <c r="G1051" s="2" t="s">
        <v>2141</v>
      </c>
      <c r="H1051" s="2" t="s">
        <v>10</v>
      </c>
      <c r="I1051" s="2" t="s">
        <v>11</v>
      </c>
      <c r="J1051" s="2" t="s">
        <v>3705</v>
      </c>
      <c r="K1051" s="29" t="s">
        <v>13193</v>
      </c>
      <c r="L1051" s="6" t="s">
        <v>13195</v>
      </c>
    </row>
    <row r="1052" spans="1:12" ht="27.6" hidden="1" x14ac:dyDescent="0.3">
      <c r="A1052" s="2" t="s">
        <v>11</v>
      </c>
      <c r="B1052" s="2" t="s">
        <v>3706</v>
      </c>
      <c r="C1052" s="3">
        <v>31321</v>
      </c>
      <c r="D1052" s="1" t="s">
        <v>3707</v>
      </c>
      <c r="E1052" s="1" t="s">
        <v>3708</v>
      </c>
      <c r="F1052" s="2" t="s">
        <v>16</v>
      </c>
      <c r="G1052" s="2" t="s">
        <v>137</v>
      </c>
      <c r="H1052" s="2" t="s">
        <v>10</v>
      </c>
      <c r="I1052" s="2" t="s">
        <v>11</v>
      </c>
      <c r="J1052" s="2" t="s">
        <v>3709</v>
      </c>
      <c r="K1052" s="29" t="s">
        <v>13193</v>
      </c>
      <c r="L1052" s="6" t="s">
        <v>13195</v>
      </c>
    </row>
    <row r="1053" spans="1:12" ht="27.6" hidden="1" x14ac:dyDescent="0.3">
      <c r="A1053" s="2" t="s">
        <v>11</v>
      </c>
      <c r="B1053" s="2" t="s">
        <v>3710</v>
      </c>
      <c r="C1053" s="3">
        <v>31321</v>
      </c>
      <c r="D1053" s="1" t="s">
        <v>3707</v>
      </c>
      <c r="E1053" s="1" t="s">
        <v>3711</v>
      </c>
      <c r="F1053" s="2" t="s">
        <v>16</v>
      </c>
      <c r="G1053" s="2" t="s">
        <v>134</v>
      </c>
      <c r="H1053" s="2" t="s">
        <v>10</v>
      </c>
      <c r="I1053" s="2" t="s">
        <v>11</v>
      </c>
      <c r="J1053" s="2" t="s">
        <v>135</v>
      </c>
      <c r="K1053" s="29" t="s">
        <v>13193</v>
      </c>
      <c r="L1053" s="6" t="s">
        <v>13195</v>
      </c>
    </row>
    <row r="1054" spans="1:12" ht="27.6" hidden="1" x14ac:dyDescent="0.3">
      <c r="A1054" s="2" t="s">
        <v>11</v>
      </c>
      <c r="B1054" s="2" t="s">
        <v>3712</v>
      </c>
      <c r="C1054" s="3">
        <v>26157</v>
      </c>
      <c r="D1054" s="1" t="s">
        <v>3713</v>
      </c>
      <c r="E1054" s="1" t="s">
        <v>3714</v>
      </c>
      <c r="F1054" s="2" t="s">
        <v>16</v>
      </c>
      <c r="G1054" s="2" t="s">
        <v>2800</v>
      </c>
      <c r="H1054" s="2" t="s">
        <v>2749</v>
      </c>
      <c r="I1054" s="2" t="s">
        <v>11</v>
      </c>
      <c r="J1054" s="2" t="s">
        <v>3715</v>
      </c>
      <c r="K1054" s="30" t="s">
        <v>13193</v>
      </c>
      <c r="L1054" s="6" t="s">
        <v>13195</v>
      </c>
    </row>
    <row r="1055" spans="1:12" ht="27.6" hidden="1" x14ac:dyDescent="0.3">
      <c r="A1055" s="2" t="s">
        <v>11</v>
      </c>
      <c r="B1055" s="2" t="s">
        <v>3716</v>
      </c>
      <c r="C1055" s="3">
        <v>24420</v>
      </c>
      <c r="D1055" s="1" t="s">
        <v>3717</v>
      </c>
      <c r="E1055" s="1" t="s">
        <v>3718</v>
      </c>
      <c r="F1055" s="2" t="s">
        <v>16</v>
      </c>
      <c r="G1055" s="2" t="s">
        <v>385</v>
      </c>
      <c r="H1055" s="2" t="s">
        <v>10</v>
      </c>
      <c r="I1055" s="2" t="s">
        <v>11</v>
      </c>
      <c r="J1055" s="2" t="s">
        <v>913</v>
      </c>
      <c r="K1055" s="29" t="s">
        <v>13193</v>
      </c>
      <c r="L1055" s="6" t="s">
        <v>13195</v>
      </c>
    </row>
    <row r="1056" spans="1:12" ht="27.6" hidden="1" x14ac:dyDescent="0.3">
      <c r="A1056" s="2" t="s">
        <v>11</v>
      </c>
      <c r="B1056" s="2" t="s">
        <v>3719</v>
      </c>
      <c r="C1056" s="3">
        <v>25955</v>
      </c>
      <c r="D1056" s="1" t="s">
        <v>3720</v>
      </c>
      <c r="E1056" s="1" t="s">
        <v>3721</v>
      </c>
      <c r="F1056" s="2" t="s">
        <v>16</v>
      </c>
      <c r="G1056" s="2" t="s">
        <v>80</v>
      </c>
      <c r="H1056" s="2" t="s">
        <v>103</v>
      </c>
      <c r="I1056" s="2" t="s">
        <v>11</v>
      </c>
      <c r="J1056" s="2" t="s">
        <v>3722</v>
      </c>
      <c r="K1056" s="29"/>
      <c r="L1056" s="6"/>
    </row>
    <row r="1057" spans="1:12" ht="27.6" hidden="1" x14ac:dyDescent="0.3">
      <c r="A1057" s="2" t="s">
        <v>11</v>
      </c>
      <c r="B1057" s="2" t="s">
        <v>3723</v>
      </c>
      <c r="C1057" s="3">
        <v>37208</v>
      </c>
      <c r="D1057" s="1" t="s">
        <v>3724</v>
      </c>
      <c r="E1057" s="1" t="s">
        <v>3725</v>
      </c>
      <c r="F1057" s="2" t="s">
        <v>16</v>
      </c>
      <c r="G1057" s="2" t="s">
        <v>80</v>
      </c>
      <c r="H1057" s="2" t="s">
        <v>81</v>
      </c>
      <c r="I1057" s="2" t="s">
        <v>11</v>
      </c>
      <c r="J1057" s="2" t="s">
        <v>3726</v>
      </c>
      <c r="K1057" s="29" t="s">
        <v>13193</v>
      </c>
      <c r="L1057" s="6" t="s">
        <v>13195</v>
      </c>
    </row>
    <row r="1058" spans="1:12" ht="27.6" hidden="1" x14ac:dyDescent="0.3">
      <c r="A1058" s="2" t="s">
        <v>11</v>
      </c>
      <c r="B1058" s="2" t="s">
        <v>3727</v>
      </c>
      <c r="C1058" s="3">
        <v>36221</v>
      </c>
      <c r="D1058" s="1" t="s">
        <v>3728</v>
      </c>
      <c r="E1058" s="1" t="s">
        <v>3729</v>
      </c>
      <c r="F1058" s="2" t="s">
        <v>16</v>
      </c>
      <c r="G1058" s="2" t="s">
        <v>206</v>
      </c>
      <c r="H1058" s="2" t="s">
        <v>751</v>
      </c>
      <c r="I1058" s="2" t="s">
        <v>11</v>
      </c>
      <c r="J1058" s="2" t="s">
        <v>207</v>
      </c>
      <c r="K1058" s="29"/>
      <c r="L1058" s="6"/>
    </row>
    <row r="1059" spans="1:12" ht="27.6" hidden="1" x14ac:dyDescent="0.3">
      <c r="A1059" s="2" t="s">
        <v>11</v>
      </c>
      <c r="B1059" s="2" t="s">
        <v>3730</v>
      </c>
      <c r="C1059" s="3">
        <v>20646</v>
      </c>
      <c r="D1059" s="1" t="s">
        <v>3731</v>
      </c>
      <c r="E1059" s="1" t="s">
        <v>3732</v>
      </c>
      <c r="F1059" s="2" t="s">
        <v>16</v>
      </c>
      <c r="G1059" s="2" t="s">
        <v>206</v>
      </c>
      <c r="H1059" s="2" t="s">
        <v>26</v>
      </c>
      <c r="I1059" s="2" t="s">
        <v>11</v>
      </c>
      <c r="J1059" s="2" t="s">
        <v>3733</v>
      </c>
      <c r="K1059" s="29"/>
      <c r="L1059" s="6"/>
    </row>
    <row r="1060" spans="1:12" ht="27.6" hidden="1" x14ac:dyDescent="0.3">
      <c r="A1060" s="2" t="s">
        <v>11</v>
      </c>
      <c r="B1060" s="2" t="s">
        <v>3734</v>
      </c>
      <c r="C1060" s="3">
        <v>25537</v>
      </c>
      <c r="D1060" s="1" t="s">
        <v>3735</v>
      </c>
      <c r="E1060" s="1" t="s">
        <v>3736</v>
      </c>
      <c r="F1060" s="2" t="s">
        <v>16</v>
      </c>
      <c r="G1060" s="2" t="s">
        <v>283</v>
      </c>
      <c r="H1060" s="2" t="s">
        <v>10</v>
      </c>
      <c r="I1060" s="2" t="s">
        <v>11</v>
      </c>
      <c r="J1060" s="2" t="s">
        <v>284</v>
      </c>
      <c r="K1060" s="29" t="s">
        <v>13193</v>
      </c>
      <c r="L1060" s="6" t="s">
        <v>13195</v>
      </c>
    </row>
    <row r="1061" spans="1:12" ht="27.6" hidden="1" x14ac:dyDescent="0.3">
      <c r="A1061" s="2" t="s">
        <v>11</v>
      </c>
      <c r="B1061" s="2" t="s">
        <v>3737</v>
      </c>
      <c r="C1061" s="3">
        <v>35335</v>
      </c>
      <c r="D1061" s="1" t="s">
        <v>3738</v>
      </c>
      <c r="E1061" s="1" t="s">
        <v>3739</v>
      </c>
      <c r="F1061" s="2" t="s">
        <v>16</v>
      </c>
      <c r="G1061" s="2" t="s">
        <v>1222</v>
      </c>
      <c r="H1061" s="2" t="s">
        <v>81</v>
      </c>
      <c r="I1061" s="2" t="s">
        <v>11</v>
      </c>
      <c r="J1061" s="2" t="s">
        <v>3740</v>
      </c>
      <c r="K1061" s="29" t="s">
        <v>13193</v>
      </c>
      <c r="L1061" s="6" t="s">
        <v>13195</v>
      </c>
    </row>
    <row r="1062" spans="1:12" ht="27.6" hidden="1" x14ac:dyDescent="0.3">
      <c r="A1062" s="2" t="s">
        <v>11</v>
      </c>
      <c r="B1062" s="2" t="s">
        <v>3741</v>
      </c>
      <c r="C1062" s="3">
        <v>34373</v>
      </c>
      <c r="D1062" s="1" t="s">
        <v>3742</v>
      </c>
      <c r="E1062" s="1" t="s">
        <v>3743</v>
      </c>
      <c r="F1062" s="2" t="s">
        <v>16</v>
      </c>
      <c r="G1062" s="2" t="s">
        <v>852</v>
      </c>
      <c r="H1062" s="2" t="s">
        <v>103</v>
      </c>
      <c r="I1062" s="2" t="s">
        <v>11</v>
      </c>
      <c r="J1062" s="2" t="s">
        <v>3744</v>
      </c>
      <c r="K1062" s="29" t="s">
        <v>13193</v>
      </c>
      <c r="L1062" s="6" t="s">
        <v>13195</v>
      </c>
    </row>
    <row r="1063" spans="1:12" ht="27.6" hidden="1" x14ac:dyDescent="0.3">
      <c r="A1063" s="2" t="s">
        <v>11</v>
      </c>
      <c r="B1063" s="2" t="s">
        <v>3745</v>
      </c>
      <c r="C1063" s="3">
        <v>29154</v>
      </c>
      <c r="D1063" s="1" t="s">
        <v>3746</v>
      </c>
      <c r="E1063" s="1" t="s">
        <v>3747</v>
      </c>
      <c r="F1063" s="2" t="s">
        <v>16</v>
      </c>
      <c r="G1063" s="2" t="s">
        <v>1294</v>
      </c>
      <c r="H1063" s="2" t="s">
        <v>26</v>
      </c>
      <c r="I1063" s="2" t="s">
        <v>11</v>
      </c>
      <c r="J1063" s="2" t="s">
        <v>3748</v>
      </c>
      <c r="K1063" s="29" t="s">
        <v>13193</v>
      </c>
      <c r="L1063" s="6" t="s">
        <v>13195</v>
      </c>
    </row>
    <row r="1064" spans="1:12" ht="27.6" hidden="1" x14ac:dyDescent="0.3">
      <c r="A1064" s="2" t="s">
        <v>11</v>
      </c>
      <c r="B1064" s="2" t="s">
        <v>3749</v>
      </c>
      <c r="C1064" s="3">
        <v>34484</v>
      </c>
      <c r="D1064" s="1" t="s">
        <v>3750</v>
      </c>
      <c r="E1064" s="1" t="s">
        <v>3751</v>
      </c>
      <c r="F1064" s="2" t="s">
        <v>16</v>
      </c>
      <c r="G1064" s="2" t="s">
        <v>3428</v>
      </c>
      <c r="H1064" s="2" t="s">
        <v>3752</v>
      </c>
      <c r="I1064" s="2" t="s">
        <v>11</v>
      </c>
      <c r="J1064" s="2" t="s">
        <v>3753</v>
      </c>
      <c r="K1064" s="29" t="s">
        <v>13193</v>
      </c>
      <c r="L1064" s="6" t="s">
        <v>13195</v>
      </c>
    </row>
    <row r="1065" spans="1:12" ht="27.6" hidden="1" x14ac:dyDescent="0.3">
      <c r="A1065" s="2" t="s">
        <v>11</v>
      </c>
      <c r="B1065" s="2" t="s">
        <v>3754</v>
      </c>
      <c r="C1065" s="3">
        <v>31907</v>
      </c>
      <c r="D1065" s="1" t="s">
        <v>3755</v>
      </c>
      <c r="E1065" s="1" t="s">
        <v>3756</v>
      </c>
      <c r="F1065" s="2" t="s">
        <v>16</v>
      </c>
      <c r="G1065" s="2" t="s">
        <v>3428</v>
      </c>
      <c r="H1065" s="2" t="s">
        <v>10</v>
      </c>
      <c r="I1065" s="2" t="s">
        <v>11</v>
      </c>
      <c r="J1065" s="2" t="s">
        <v>3757</v>
      </c>
      <c r="K1065" s="29" t="s">
        <v>13193</v>
      </c>
      <c r="L1065" s="6" t="s">
        <v>13195</v>
      </c>
    </row>
    <row r="1066" spans="1:12" ht="27.6" hidden="1" x14ac:dyDescent="0.3">
      <c r="A1066" s="2" t="s">
        <v>11</v>
      </c>
      <c r="B1066" s="2" t="s">
        <v>2902</v>
      </c>
      <c r="C1066" s="3">
        <v>23502</v>
      </c>
      <c r="D1066" s="1" t="s">
        <v>2903</v>
      </c>
      <c r="E1066" s="1" t="s">
        <v>2904</v>
      </c>
      <c r="F1066" s="2" t="s">
        <v>16</v>
      </c>
      <c r="G1066" s="2" t="s">
        <v>97</v>
      </c>
      <c r="H1066" s="2" t="s">
        <v>3758</v>
      </c>
      <c r="I1066" s="2" t="s">
        <v>11</v>
      </c>
      <c r="J1066" s="2" t="s">
        <v>3759</v>
      </c>
      <c r="K1066" s="30" t="s">
        <v>13193</v>
      </c>
      <c r="L1066" s="6" t="s">
        <v>13195</v>
      </c>
    </row>
    <row r="1067" spans="1:12" ht="27.6" hidden="1" x14ac:dyDescent="0.3">
      <c r="A1067" s="2" t="s">
        <v>11</v>
      </c>
      <c r="B1067" s="2" t="s">
        <v>3760</v>
      </c>
      <c r="C1067" s="3">
        <v>32972</v>
      </c>
      <c r="D1067" s="1" t="s">
        <v>3761</v>
      </c>
      <c r="E1067" s="1" t="s">
        <v>3762</v>
      </c>
      <c r="F1067" s="2" t="s">
        <v>16</v>
      </c>
      <c r="G1067" s="2" t="s">
        <v>2800</v>
      </c>
      <c r="H1067" s="2" t="s">
        <v>3763</v>
      </c>
      <c r="I1067" s="2" t="s">
        <v>11</v>
      </c>
      <c r="J1067" s="2" t="s">
        <v>3764</v>
      </c>
      <c r="K1067" s="30" t="s">
        <v>13193</v>
      </c>
      <c r="L1067" s="6" t="s">
        <v>13195</v>
      </c>
    </row>
    <row r="1068" spans="1:12" ht="27.6" hidden="1" x14ac:dyDescent="0.3">
      <c r="A1068" s="2" t="s">
        <v>11</v>
      </c>
      <c r="B1068" s="2" t="s">
        <v>3765</v>
      </c>
      <c r="C1068" s="3">
        <v>25509</v>
      </c>
      <c r="D1068" s="1" t="s">
        <v>3766</v>
      </c>
      <c r="E1068" s="1" t="s">
        <v>3767</v>
      </c>
      <c r="F1068" s="2" t="s">
        <v>16</v>
      </c>
      <c r="G1068" s="2" t="s">
        <v>75</v>
      </c>
      <c r="H1068" s="2" t="s">
        <v>10</v>
      </c>
      <c r="I1068" s="2" t="s">
        <v>11</v>
      </c>
      <c r="J1068" s="2" t="s">
        <v>76</v>
      </c>
      <c r="K1068" s="29" t="s">
        <v>13193</v>
      </c>
      <c r="L1068" s="6" t="s">
        <v>13195</v>
      </c>
    </row>
    <row r="1069" spans="1:12" ht="27.6" hidden="1" x14ac:dyDescent="0.3">
      <c r="A1069" s="2" t="s">
        <v>11</v>
      </c>
      <c r="B1069" s="2" t="s">
        <v>3768</v>
      </c>
      <c r="C1069" s="3">
        <v>26198</v>
      </c>
      <c r="D1069" s="1" t="s">
        <v>3769</v>
      </c>
      <c r="E1069" s="1" t="s">
        <v>3770</v>
      </c>
      <c r="F1069" s="2" t="s">
        <v>16</v>
      </c>
      <c r="G1069" s="2" t="s">
        <v>2283</v>
      </c>
      <c r="H1069" s="2" t="s">
        <v>10</v>
      </c>
      <c r="I1069" s="2" t="s">
        <v>11</v>
      </c>
      <c r="J1069" s="2" t="s">
        <v>3771</v>
      </c>
      <c r="K1069" s="29" t="s">
        <v>13193</v>
      </c>
      <c r="L1069" s="6" t="s">
        <v>13195</v>
      </c>
    </row>
    <row r="1070" spans="1:12" ht="27.6" hidden="1" x14ac:dyDescent="0.3">
      <c r="A1070" s="2" t="s">
        <v>11</v>
      </c>
      <c r="B1070" s="2" t="s">
        <v>3772</v>
      </c>
      <c r="C1070" s="3">
        <v>27176</v>
      </c>
      <c r="D1070" s="1" t="s">
        <v>3773</v>
      </c>
      <c r="E1070" s="1" t="s">
        <v>3774</v>
      </c>
      <c r="F1070" s="2" t="s">
        <v>16</v>
      </c>
      <c r="G1070" s="2" t="s">
        <v>3775</v>
      </c>
      <c r="H1070" s="2" t="s">
        <v>10</v>
      </c>
      <c r="I1070" s="2" t="s">
        <v>11</v>
      </c>
      <c r="J1070" s="2" t="s">
        <v>3776</v>
      </c>
      <c r="K1070" s="29" t="s">
        <v>13193</v>
      </c>
      <c r="L1070" s="6" t="s">
        <v>13195</v>
      </c>
    </row>
    <row r="1071" spans="1:12" ht="27.6" hidden="1" x14ac:dyDescent="0.3">
      <c r="A1071" s="2" t="s">
        <v>11</v>
      </c>
      <c r="B1071" s="2" t="s">
        <v>3777</v>
      </c>
      <c r="C1071" s="3">
        <v>29130</v>
      </c>
      <c r="D1071" s="1" t="s">
        <v>3778</v>
      </c>
      <c r="E1071" s="1" t="s">
        <v>3779</v>
      </c>
      <c r="F1071" s="2" t="s">
        <v>16</v>
      </c>
      <c r="G1071" s="2" t="s">
        <v>2823</v>
      </c>
      <c r="H1071" s="2" t="s">
        <v>10</v>
      </c>
      <c r="I1071" s="2" t="s">
        <v>11</v>
      </c>
      <c r="J1071" s="2" t="s">
        <v>3780</v>
      </c>
      <c r="K1071" s="29" t="s">
        <v>13193</v>
      </c>
      <c r="L1071" s="6" t="s">
        <v>13195</v>
      </c>
    </row>
    <row r="1072" spans="1:12" ht="27.6" hidden="1" x14ac:dyDescent="0.3">
      <c r="A1072" s="2" t="s">
        <v>11</v>
      </c>
      <c r="B1072" s="2" t="s">
        <v>3781</v>
      </c>
      <c r="C1072" s="3">
        <v>35335</v>
      </c>
      <c r="D1072" s="1" t="s">
        <v>3782</v>
      </c>
      <c r="E1072" s="1" t="s">
        <v>3783</v>
      </c>
      <c r="F1072" s="2" t="s">
        <v>16</v>
      </c>
      <c r="G1072" s="2" t="s">
        <v>808</v>
      </c>
      <c r="H1072" s="2" t="s">
        <v>10</v>
      </c>
      <c r="I1072" s="2" t="s">
        <v>11</v>
      </c>
      <c r="J1072" s="2" t="s">
        <v>3784</v>
      </c>
      <c r="K1072" s="29" t="s">
        <v>13193</v>
      </c>
      <c r="L1072" s="6" t="s">
        <v>13195</v>
      </c>
    </row>
    <row r="1073" spans="1:12" ht="27.6" hidden="1" x14ac:dyDescent="0.3">
      <c r="A1073" s="2" t="s">
        <v>11</v>
      </c>
      <c r="B1073" s="2" t="s">
        <v>3785</v>
      </c>
      <c r="C1073" s="3">
        <v>26507</v>
      </c>
      <c r="D1073" s="1" t="s">
        <v>3786</v>
      </c>
      <c r="E1073" s="1" t="s">
        <v>3787</v>
      </c>
      <c r="F1073" s="2" t="s">
        <v>16</v>
      </c>
      <c r="G1073" s="2" t="s">
        <v>1069</v>
      </c>
      <c r="H1073" s="2" t="s">
        <v>10</v>
      </c>
      <c r="I1073" s="2" t="s">
        <v>11</v>
      </c>
      <c r="J1073" s="2" t="s">
        <v>3788</v>
      </c>
      <c r="K1073" s="29" t="s">
        <v>13193</v>
      </c>
      <c r="L1073" s="6" t="s">
        <v>13195</v>
      </c>
    </row>
    <row r="1074" spans="1:12" ht="27.6" hidden="1" x14ac:dyDescent="0.3">
      <c r="A1074" s="2" t="s">
        <v>11</v>
      </c>
      <c r="B1074" s="2" t="s">
        <v>3789</v>
      </c>
      <c r="C1074" s="3">
        <v>22084</v>
      </c>
      <c r="D1074" s="1" t="s">
        <v>3790</v>
      </c>
      <c r="E1074" s="1" t="s">
        <v>3791</v>
      </c>
      <c r="F1074" s="2" t="s">
        <v>16</v>
      </c>
      <c r="G1074" s="2" t="s">
        <v>860</v>
      </c>
      <c r="H1074" s="2" t="s">
        <v>3763</v>
      </c>
      <c r="I1074" s="2" t="s">
        <v>11</v>
      </c>
      <c r="J1074" s="2" t="s">
        <v>3792</v>
      </c>
      <c r="K1074" s="29" t="s">
        <v>13193</v>
      </c>
      <c r="L1074" s="6" t="s">
        <v>13195</v>
      </c>
    </row>
    <row r="1075" spans="1:12" ht="27.6" hidden="1" x14ac:dyDescent="0.3">
      <c r="A1075" s="2" t="s">
        <v>11</v>
      </c>
      <c r="B1075" s="2" t="s">
        <v>3789</v>
      </c>
      <c r="C1075" s="3">
        <v>22083</v>
      </c>
      <c r="D1075" s="1" t="s">
        <v>3790</v>
      </c>
      <c r="E1075" s="1" t="s">
        <v>3793</v>
      </c>
      <c r="F1075" s="2" t="s">
        <v>16</v>
      </c>
      <c r="G1075" s="2" t="s">
        <v>860</v>
      </c>
      <c r="H1075" s="2" t="s">
        <v>2749</v>
      </c>
      <c r="I1075" s="2" t="s">
        <v>11</v>
      </c>
      <c r="J1075" s="2" t="s">
        <v>3794</v>
      </c>
      <c r="K1075" s="29" t="s">
        <v>13193</v>
      </c>
      <c r="L1075" s="6" t="s">
        <v>13195</v>
      </c>
    </row>
    <row r="1076" spans="1:12" ht="27.6" hidden="1" x14ac:dyDescent="0.3">
      <c r="A1076" s="2" t="s">
        <v>11</v>
      </c>
      <c r="B1076" s="2" t="s">
        <v>3795</v>
      </c>
      <c r="C1076" s="3">
        <v>31542</v>
      </c>
      <c r="D1076" s="1" t="s">
        <v>3796</v>
      </c>
      <c r="E1076" s="1" t="s">
        <v>3797</v>
      </c>
      <c r="F1076" s="2" t="s">
        <v>992</v>
      </c>
      <c r="G1076" s="2" t="s">
        <v>366</v>
      </c>
      <c r="H1076" s="2" t="s">
        <v>10</v>
      </c>
      <c r="I1076" s="2" t="s">
        <v>11</v>
      </c>
      <c r="J1076" s="2" t="s">
        <v>3337</v>
      </c>
      <c r="K1076" s="29" t="s">
        <v>13193</v>
      </c>
      <c r="L1076" s="6" t="s">
        <v>13195</v>
      </c>
    </row>
    <row r="1077" spans="1:12" ht="27.6" hidden="1" x14ac:dyDescent="0.3">
      <c r="A1077" s="2" t="s">
        <v>11</v>
      </c>
      <c r="B1077" s="2" t="s">
        <v>3798</v>
      </c>
      <c r="C1077" s="3">
        <v>30385</v>
      </c>
      <c r="D1077" s="1" t="s">
        <v>3799</v>
      </c>
      <c r="E1077" s="1" t="s">
        <v>3800</v>
      </c>
      <c r="F1077" s="2" t="s">
        <v>1846</v>
      </c>
      <c r="G1077" s="2" t="s">
        <v>31</v>
      </c>
      <c r="H1077" s="2" t="s">
        <v>10</v>
      </c>
      <c r="I1077" s="2" t="s">
        <v>11</v>
      </c>
      <c r="J1077" s="2" t="s">
        <v>2965</v>
      </c>
      <c r="K1077" s="29" t="s">
        <v>13193</v>
      </c>
      <c r="L1077" s="6" t="s">
        <v>13195</v>
      </c>
    </row>
    <row r="1078" spans="1:12" ht="27.6" hidden="1" x14ac:dyDescent="0.3">
      <c r="A1078" s="2" t="s">
        <v>11</v>
      </c>
      <c r="B1078" s="2" t="s">
        <v>3801</v>
      </c>
      <c r="C1078" s="3">
        <v>29736</v>
      </c>
      <c r="D1078" s="1" t="s">
        <v>3802</v>
      </c>
      <c r="E1078" s="1" t="s">
        <v>3803</v>
      </c>
      <c r="F1078" s="2" t="s">
        <v>1141</v>
      </c>
      <c r="G1078" s="2" t="s">
        <v>380</v>
      </c>
      <c r="H1078" s="2" t="s">
        <v>10</v>
      </c>
      <c r="I1078" s="2" t="s">
        <v>11</v>
      </c>
      <c r="J1078" s="2" t="s">
        <v>2774</v>
      </c>
      <c r="K1078" s="29" t="s">
        <v>13193</v>
      </c>
      <c r="L1078" s="6" t="s">
        <v>13195</v>
      </c>
    </row>
    <row r="1079" spans="1:12" ht="27.6" hidden="1" x14ac:dyDescent="0.3">
      <c r="A1079" s="2" t="s">
        <v>11</v>
      </c>
      <c r="B1079" s="2" t="s">
        <v>3804</v>
      </c>
      <c r="C1079" s="3">
        <v>24471</v>
      </c>
      <c r="D1079" s="1" t="s">
        <v>3805</v>
      </c>
      <c r="E1079" s="1" t="s">
        <v>3806</v>
      </c>
      <c r="F1079" s="2" t="s">
        <v>16</v>
      </c>
      <c r="G1079" s="2" t="s">
        <v>206</v>
      </c>
      <c r="H1079" s="2" t="s">
        <v>43</v>
      </c>
      <c r="I1079" s="2" t="s">
        <v>11</v>
      </c>
      <c r="J1079" s="2" t="s">
        <v>2351</v>
      </c>
      <c r="K1079" s="30" t="s">
        <v>13193</v>
      </c>
      <c r="L1079" s="6" t="s">
        <v>13195</v>
      </c>
    </row>
    <row r="1080" spans="1:12" ht="27.6" hidden="1" x14ac:dyDescent="0.3">
      <c r="A1080" s="2" t="s">
        <v>11</v>
      </c>
      <c r="B1080" s="2" t="s">
        <v>3804</v>
      </c>
      <c r="C1080" s="3">
        <v>25567</v>
      </c>
      <c r="D1080" s="1" t="s">
        <v>3807</v>
      </c>
      <c r="E1080" s="1" t="s">
        <v>3806</v>
      </c>
      <c r="F1080" s="2" t="s">
        <v>16</v>
      </c>
      <c r="G1080" s="2" t="s">
        <v>206</v>
      </c>
      <c r="H1080" s="2" t="s">
        <v>10</v>
      </c>
      <c r="I1080" s="2" t="s">
        <v>11</v>
      </c>
      <c r="J1080" s="2" t="s">
        <v>2351</v>
      </c>
      <c r="K1080" s="30" t="s">
        <v>13193</v>
      </c>
      <c r="L1080" s="6" t="s">
        <v>13195</v>
      </c>
    </row>
    <row r="1081" spans="1:12" ht="27.6" hidden="1" x14ac:dyDescent="0.3">
      <c r="A1081" s="2" t="s">
        <v>11</v>
      </c>
      <c r="B1081" s="2" t="s">
        <v>3808</v>
      </c>
      <c r="C1081" s="3">
        <v>21907</v>
      </c>
      <c r="D1081" s="1" t="s">
        <v>3809</v>
      </c>
      <c r="E1081" s="1" t="s">
        <v>3810</v>
      </c>
      <c r="F1081" s="2" t="s">
        <v>16</v>
      </c>
      <c r="G1081" s="2" t="s">
        <v>350</v>
      </c>
      <c r="H1081" s="2" t="s">
        <v>43</v>
      </c>
      <c r="I1081" s="2" t="s">
        <v>11</v>
      </c>
      <c r="J1081" s="2" t="s">
        <v>3811</v>
      </c>
      <c r="K1081" s="29" t="s">
        <v>13193</v>
      </c>
      <c r="L1081" s="6" t="s">
        <v>13195</v>
      </c>
    </row>
    <row r="1082" spans="1:12" ht="27.6" hidden="1" x14ac:dyDescent="0.3">
      <c r="A1082" s="2" t="s">
        <v>11</v>
      </c>
      <c r="B1082" s="2" t="s">
        <v>3812</v>
      </c>
      <c r="C1082" s="3">
        <v>30183</v>
      </c>
      <c r="D1082" s="1" t="s">
        <v>3813</v>
      </c>
      <c r="E1082" s="1" t="s">
        <v>3814</v>
      </c>
      <c r="F1082" s="2" t="s">
        <v>36</v>
      </c>
      <c r="G1082" s="2" t="s">
        <v>92</v>
      </c>
      <c r="H1082" s="2" t="s">
        <v>43</v>
      </c>
      <c r="I1082" s="2" t="s">
        <v>11</v>
      </c>
      <c r="J1082" s="2" t="s">
        <v>3032</v>
      </c>
      <c r="K1082" s="29" t="s">
        <v>13193</v>
      </c>
      <c r="L1082" s="6" t="s">
        <v>13195</v>
      </c>
    </row>
    <row r="1083" spans="1:12" ht="27.6" hidden="1" x14ac:dyDescent="0.3">
      <c r="A1083" s="2" t="s">
        <v>11</v>
      </c>
      <c r="B1083" s="2" t="s">
        <v>3815</v>
      </c>
      <c r="C1083" s="3">
        <v>26775</v>
      </c>
      <c r="D1083" s="1" t="s">
        <v>3816</v>
      </c>
      <c r="E1083" s="1" t="s">
        <v>3817</v>
      </c>
      <c r="F1083" s="2" t="s">
        <v>53</v>
      </c>
      <c r="G1083" s="2" t="s">
        <v>425</v>
      </c>
      <c r="H1083" s="2" t="s">
        <v>43</v>
      </c>
      <c r="I1083" s="2" t="s">
        <v>11</v>
      </c>
      <c r="J1083" s="2" t="s">
        <v>3818</v>
      </c>
      <c r="K1083" s="29" t="s">
        <v>13193</v>
      </c>
      <c r="L1083" s="24" t="s">
        <v>13195</v>
      </c>
    </row>
    <row r="1084" spans="1:12" ht="27.6" hidden="1" x14ac:dyDescent="0.3">
      <c r="A1084" s="2" t="s">
        <v>11</v>
      </c>
      <c r="B1084" s="2" t="s">
        <v>3819</v>
      </c>
      <c r="C1084" s="3">
        <v>34819</v>
      </c>
      <c r="D1084" s="1" t="s">
        <v>3820</v>
      </c>
      <c r="E1084" s="1" t="s">
        <v>3821</v>
      </c>
      <c r="F1084" s="2" t="s">
        <v>24</v>
      </c>
      <c r="G1084" s="2" t="s">
        <v>366</v>
      </c>
      <c r="H1084" s="2" t="s">
        <v>10</v>
      </c>
      <c r="I1084" s="2" t="s">
        <v>11</v>
      </c>
      <c r="J1084" s="2" t="s">
        <v>3023</v>
      </c>
      <c r="K1084" s="30" t="s">
        <v>13193</v>
      </c>
      <c r="L1084" s="6" t="s">
        <v>13195</v>
      </c>
    </row>
    <row r="1085" spans="1:12" ht="27.6" hidden="1" x14ac:dyDescent="0.3">
      <c r="A1085" s="2" t="s">
        <v>11</v>
      </c>
      <c r="B1085" s="2" t="s">
        <v>3822</v>
      </c>
      <c r="C1085" s="3">
        <v>31167</v>
      </c>
      <c r="D1085" s="1" t="s">
        <v>3823</v>
      </c>
      <c r="E1085" s="1" t="s">
        <v>3824</v>
      </c>
      <c r="F1085" s="2" t="s">
        <v>16</v>
      </c>
      <c r="G1085" s="2" t="s">
        <v>3825</v>
      </c>
      <c r="H1085" s="2" t="s">
        <v>3826</v>
      </c>
      <c r="I1085" s="2" t="s">
        <v>11</v>
      </c>
      <c r="J1085" s="2" t="s">
        <v>3827</v>
      </c>
      <c r="K1085" s="29" t="s">
        <v>13193</v>
      </c>
      <c r="L1085" s="26" t="s">
        <v>13195</v>
      </c>
    </row>
    <row r="1086" spans="1:12" ht="27.6" hidden="1" x14ac:dyDescent="0.3">
      <c r="A1086" s="2" t="s">
        <v>11</v>
      </c>
      <c r="B1086" s="2" t="s">
        <v>3828</v>
      </c>
      <c r="C1086" s="3">
        <v>35319</v>
      </c>
      <c r="D1086" s="1" t="s">
        <v>3829</v>
      </c>
      <c r="E1086" s="1" t="s">
        <v>3830</v>
      </c>
      <c r="F1086" s="2" t="s">
        <v>53</v>
      </c>
      <c r="G1086" s="2" t="s">
        <v>92</v>
      </c>
      <c r="H1086" s="2" t="s">
        <v>10</v>
      </c>
      <c r="I1086" s="2" t="s">
        <v>11</v>
      </c>
      <c r="J1086" s="2" t="s">
        <v>3032</v>
      </c>
      <c r="K1086" s="29" t="s">
        <v>13193</v>
      </c>
      <c r="L1086" s="6" t="s">
        <v>13195</v>
      </c>
    </row>
    <row r="1087" spans="1:12" ht="27.6" hidden="1" x14ac:dyDescent="0.3">
      <c r="A1087" s="2" t="s">
        <v>11</v>
      </c>
      <c r="B1087" s="2" t="s">
        <v>3831</v>
      </c>
      <c r="C1087" s="3">
        <v>29973</v>
      </c>
      <c r="D1087" s="1" t="s">
        <v>3832</v>
      </c>
      <c r="E1087" s="1" t="s">
        <v>3833</v>
      </c>
      <c r="F1087" s="2" t="s">
        <v>53</v>
      </c>
      <c r="G1087" s="2" t="s">
        <v>75</v>
      </c>
      <c r="H1087" s="2" t="s">
        <v>10</v>
      </c>
      <c r="I1087" s="2" t="s">
        <v>11</v>
      </c>
      <c r="J1087" s="2" t="s">
        <v>2973</v>
      </c>
      <c r="K1087" s="29" t="s">
        <v>13193</v>
      </c>
      <c r="L1087" s="6" t="s">
        <v>13195</v>
      </c>
    </row>
    <row r="1088" spans="1:12" ht="27.6" hidden="1" x14ac:dyDescent="0.3">
      <c r="A1088" s="2" t="s">
        <v>11</v>
      </c>
      <c r="B1088" s="2" t="s">
        <v>3834</v>
      </c>
      <c r="C1088" s="3">
        <v>38692</v>
      </c>
      <c r="D1088" s="1" t="s">
        <v>3835</v>
      </c>
      <c r="E1088" s="1" t="s">
        <v>3836</v>
      </c>
      <c r="F1088" s="2" t="s">
        <v>53</v>
      </c>
      <c r="G1088" s="2" t="s">
        <v>80</v>
      </c>
      <c r="H1088" s="2" t="s">
        <v>26</v>
      </c>
      <c r="I1088" s="2" t="s">
        <v>11</v>
      </c>
      <c r="J1088" s="2" t="s">
        <v>3837</v>
      </c>
      <c r="K1088" s="29" t="s">
        <v>13193</v>
      </c>
      <c r="L1088" s="6" t="s">
        <v>13195</v>
      </c>
    </row>
    <row r="1089" spans="1:12" ht="27.6" hidden="1" x14ac:dyDescent="0.3">
      <c r="A1089" s="2" t="s">
        <v>11</v>
      </c>
      <c r="B1089" s="2" t="s">
        <v>3838</v>
      </c>
      <c r="C1089" s="3">
        <v>28413</v>
      </c>
      <c r="D1089" s="1" t="s">
        <v>3839</v>
      </c>
      <c r="E1089" s="1" t="s">
        <v>3840</v>
      </c>
      <c r="F1089" s="2" t="s">
        <v>42</v>
      </c>
      <c r="G1089" s="2" t="s">
        <v>75</v>
      </c>
      <c r="H1089" s="2" t="s">
        <v>10</v>
      </c>
      <c r="I1089" s="2" t="s">
        <v>11</v>
      </c>
      <c r="J1089" s="2" t="s">
        <v>2973</v>
      </c>
      <c r="K1089" s="29" t="s">
        <v>13193</v>
      </c>
      <c r="L1089" s="6" t="s">
        <v>13195</v>
      </c>
    </row>
    <row r="1090" spans="1:12" ht="27.6" hidden="1" x14ac:dyDescent="0.3">
      <c r="A1090" s="2" t="s">
        <v>11</v>
      </c>
      <c r="B1090" s="2" t="s">
        <v>3841</v>
      </c>
      <c r="C1090" s="3">
        <v>26922</v>
      </c>
      <c r="D1090" s="1" t="s">
        <v>2759</v>
      </c>
      <c r="E1090" s="1" t="s">
        <v>3842</v>
      </c>
      <c r="F1090" s="2" t="s">
        <v>53</v>
      </c>
      <c r="G1090" s="2" t="s">
        <v>230</v>
      </c>
      <c r="H1090" s="2" t="s">
        <v>10</v>
      </c>
      <c r="I1090" s="2" t="s">
        <v>11</v>
      </c>
      <c r="J1090" s="2" t="s">
        <v>3843</v>
      </c>
      <c r="K1090" s="29" t="s">
        <v>13193</v>
      </c>
      <c r="L1090" s="6" t="s">
        <v>13195</v>
      </c>
    </row>
    <row r="1091" spans="1:12" ht="27.6" hidden="1" x14ac:dyDescent="0.3">
      <c r="A1091" s="2" t="s">
        <v>11</v>
      </c>
      <c r="B1091" s="2" t="s">
        <v>3844</v>
      </c>
      <c r="C1091" s="3">
        <v>35412</v>
      </c>
      <c r="D1091" s="1" t="s">
        <v>3845</v>
      </c>
      <c r="E1091" s="1" t="s">
        <v>3846</v>
      </c>
      <c r="F1091" s="2" t="s">
        <v>379</v>
      </c>
      <c r="G1091" s="2" t="s">
        <v>75</v>
      </c>
      <c r="H1091" s="2" t="s">
        <v>43</v>
      </c>
      <c r="I1091" s="2" t="s">
        <v>11</v>
      </c>
      <c r="J1091" s="2" t="s">
        <v>2973</v>
      </c>
      <c r="K1091" s="29" t="s">
        <v>13193</v>
      </c>
      <c r="L1091" s="6" t="s">
        <v>13195</v>
      </c>
    </row>
    <row r="1092" spans="1:12" ht="27.6" hidden="1" x14ac:dyDescent="0.3">
      <c r="A1092" s="2" t="s">
        <v>11</v>
      </c>
      <c r="B1092" s="2" t="s">
        <v>3847</v>
      </c>
      <c r="C1092" s="3">
        <v>33792</v>
      </c>
      <c r="D1092" s="1" t="s">
        <v>3848</v>
      </c>
      <c r="E1092" s="1" t="s">
        <v>3849</v>
      </c>
      <c r="F1092" s="2" t="s">
        <v>16</v>
      </c>
      <c r="G1092" s="2" t="s">
        <v>3668</v>
      </c>
      <c r="H1092" s="2" t="s">
        <v>10</v>
      </c>
      <c r="I1092" s="2" t="s">
        <v>11</v>
      </c>
      <c r="J1092" s="2" t="s">
        <v>3130</v>
      </c>
      <c r="K1092" s="29" t="s">
        <v>13193</v>
      </c>
      <c r="L1092" s="6" t="s">
        <v>13195</v>
      </c>
    </row>
    <row r="1093" spans="1:12" ht="27.6" hidden="1" x14ac:dyDescent="0.3">
      <c r="A1093" s="2" t="s">
        <v>11</v>
      </c>
      <c r="B1093" s="2" t="s">
        <v>3850</v>
      </c>
      <c r="C1093" s="3">
        <v>29451</v>
      </c>
      <c r="D1093" s="1" t="s">
        <v>29</v>
      </c>
      <c r="E1093" s="1" t="s">
        <v>3851</v>
      </c>
      <c r="F1093" s="2" t="s">
        <v>16</v>
      </c>
      <c r="G1093" s="2" t="s">
        <v>2828</v>
      </c>
      <c r="H1093" s="2" t="s">
        <v>3852</v>
      </c>
      <c r="I1093" s="2" t="s">
        <v>11</v>
      </c>
      <c r="J1093" s="2" t="s">
        <v>3853</v>
      </c>
      <c r="K1093" s="29" t="s">
        <v>13193</v>
      </c>
      <c r="L1093" s="6" t="s">
        <v>13195</v>
      </c>
    </row>
    <row r="1094" spans="1:12" ht="27.6" hidden="1" x14ac:dyDescent="0.3">
      <c r="A1094" s="2" t="s">
        <v>11</v>
      </c>
      <c r="B1094" s="2" t="s">
        <v>3854</v>
      </c>
      <c r="C1094" s="3">
        <v>34490</v>
      </c>
      <c r="D1094" s="1" t="s">
        <v>3855</v>
      </c>
      <c r="E1094" s="1" t="s">
        <v>3856</v>
      </c>
      <c r="F1094" s="2" t="s">
        <v>16</v>
      </c>
      <c r="G1094" s="2" t="s">
        <v>2828</v>
      </c>
      <c r="H1094" s="2" t="s">
        <v>3857</v>
      </c>
      <c r="I1094" s="2" t="s">
        <v>11</v>
      </c>
      <c r="J1094" s="2" t="s">
        <v>2778</v>
      </c>
      <c r="K1094" s="29" t="s">
        <v>13193</v>
      </c>
      <c r="L1094" s="6" t="s">
        <v>13195</v>
      </c>
    </row>
    <row r="1095" spans="1:12" ht="27.6" hidden="1" x14ac:dyDescent="0.3">
      <c r="A1095" s="2" t="s">
        <v>11</v>
      </c>
      <c r="B1095" s="2" t="s">
        <v>3858</v>
      </c>
      <c r="C1095" s="3">
        <v>30848</v>
      </c>
      <c r="D1095" s="1" t="s">
        <v>3859</v>
      </c>
      <c r="E1095" s="1" t="s">
        <v>3860</v>
      </c>
      <c r="F1095" s="2" t="s">
        <v>557</v>
      </c>
      <c r="G1095" s="2" t="s">
        <v>80</v>
      </c>
      <c r="H1095" s="2" t="s">
        <v>10</v>
      </c>
      <c r="I1095" s="2" t="s">
        <v>11</v>
      </c>
      <c r="J1095" s="2" t="s">
        <v>3837</v>
      </c>
      <c r="K1095" s="29" t="s">
        <v>13193</v>
      </c>
      <c r="L1095" s="6" t="s">
        <v>13195</v>
      </c>
    </row>
    <row r="1096" spans="1:12" ht="27.6" hidden="1" x14ac:dyDescent="0.3">
      <c r="A1096" s="2" t="s">
        <v>11</v>
      </c>
      <c r="B1096" s="2" t="s">
        <v>3861</v>
      </c>
      <c r="C1096" s="3">
        <v>25278</v>
      </c>
      <c r="D1096" s="1" t="s">
        <v>3862</v>
      </c>
      <c r="E1096" s="1" t="s">
        <v>3863</v>
      </c>
      <c r="F1096" s="2" t="s">
        <v>53</v>
      </c>
      <c r="G1096" s="2" t="s">
        <v>328</v>
      </c>
      <c r="H1096" s="2" t="s">
        <v>10</v>
      </c>
      <c r="I1096" s="2" t="s">
        <v>11</v>
      </c>
      <c r="J1096" s="2" t="s">
        <v>3864</v>
      </c>
      <c r="K1096" s="29" t="s">
        <v>13193</v>
      </c>
      <c r="L1096" s="6" t="s">
        <v>13195</v>
      </c>
    </row>
    <row r="1097" spans="1:12" ht="27.6" hidden="1" x14ac:dyDescent="0.3">
      <c r="A1097" s="2" t="s">
        <v>11</v>
      </c>
      <c r="B1097" s="2" t="s">
        <v>3865</v>
      </c>
      <c r="C1097" s="3">
        <v>25626</v>
      </c>
      <c r="D1097" s="1" t="s">
        <v>3866</v>
      </c>
      <c r="E1097" s="1" t="s">
        <v>3867</v>
      </c>
      <c r="F1097" s="2" t="s">
        <v>53</v>
      </c>
      <c r="G1097" s="2" t="s">
        <v>425</v>
      </c>
      <c r="H1097" s="2" t="s">
        <v>26</v>
      </c>
      <c r="I1097" s="2" t="s">
        <v>11</v>
      </c>
      <c r="J1097" s="2" t="s">
        <v>2423</v>
      </c>
      <c r="K1097" s="29" t="s">
        <v>13193</v>
      </c>
      <c r="L1097" s="6" t="s">
        <v>13195</v>
      </c>
    </row>
    <row r="1098" spans="1:12" ht="27.6" hidden="1" x14ac:dyDescent="0.3">
      <c r="A1098" s="2" t="s">
        <v>11</v>
      </c>
      <c r="B1098" s="2" t="s">
        <v>3868</v>
      </c>
      <c r="C1098" s="3">
        <v>31434</v>
      </c>
      <c r="D1098" s="1" t="s">
        <v>3869</v>
      </c>
      <c r="E1098" s="1" t="s">
        <v>3870</v>
      </c>
      <c r="F1098" s="2" t="s">
        <v>53</v>
      </c>
      <c r="G1098" s="2" t="s">
        <v>206</v>
      </c>
      <c r="H1098" s="2" t="s">
        <v>10</v>
      </c>
      <c r="I1098" s="2" t="s">
        <v>11</v>
      </c>
      <c r="J1098" s="2" t="s">
        <v>2351</v>
      </c>
      <c r="K1098" s="29" t="s">
        <v>13193</v>
      </c>
      <c r="L1098" s="6" t="s">
        <v>13195</v>
      </c>
    </row>
    <row r="1099" spans="1:12" ht="27.6" hidden="1" x14ac:dyDescent="0.3">
      <c r="A1099" s="2" t="s">
        <v>11</v>
      </c>
      <c r="B1099" s="2" t="s">
        <v>3871</v>
      </c>
      <c r="C1099" s="3">
        <v>24710</v>
      </c>
      <c r="D1099" s="1" t="s">
        <v>3872</v>
      </c>
      <c r="E1099" s="1" t="s">
        <v>3873</v>
      </c>
      <c r="F1099" s="2" t="s">
        <v>53</v>
      </c>
      <c r="G1099" s="2" t="s">
        <v>31</v>
      </c>
      <c r="H1099" s="2" t="s">
        <v>10</v>
      </c>
      <c r="I1099" s="2" t="s">
        <v>11</v>
      </c>
      <c r="J1099" s="2" t="s">
        <v>2965</v>
      </c>
      <c r="K1099" s="29" t="s">
        <v>13193</v>
      </c>
      <c r="L1099" s="6" t="s">
        <v>13195</v>
      </c>
    </row>
    <row r="1100" spans="1:12" ht="27.6" hidden="1" x14ac:dyDescent="0.3">
      <c r="A1100" s="2" t="s">
        <v>11</v>
      </c>
      <c r="B1100" s="2" t="s">
        <v>3874</v>
      </c>
      <c r="C1100" s="3">
        <v>27359</v>
      </c>
      <c r="D1100" s="1" t="s">
        <v>3875</v>
      </c>
      <c r="E1100" s="1" t="s">
        <v>3876</v>
      </c>
      <c r="F1100" s="2" t="s">
        <v>379</v>
      </c>
      <c r="G1100" s="2" t="s">
        <v>3877</v>
      </c>
      <c r="H1100" s="2" t="s">
        <v>43</v>
      </c>
      <c r="I1100" s="2" t="s">
        <v>11</v>
      </c>
      <c r="J1100" s="2" t="s">
        <v>3015</v>
      </c>
      <c r="K1100" s="29" t="s">
        <v>13193</v>
      </c>
      <c r="L1100" s="6" t="s">
        <v>13195</v>
      </c>
    </row>
    <row r="1101" spans="1:12" ht="27.6" hidden="1" x14ac:dyDescent="0.3">
      <c r="A1101" s="2" t="s">
        <v>11</v>
      </c>
      <c r="B1101" s="2" t="s">
        <v>3878</v>
      </c>
      <c r="C1101" s="3">
        <v>37026</v>
      </c>
      <c r="D1101" s="1" t="s">
        <v>3879</v>
      </c>
      <c r="E1101" s="1" t="s">
        <v>3880</v>
      </c>
      <c r="F1101" s="2" t="s">
        <v>379</v>
      </c>
      <c r="G1101" s="2" t="s">
        <v>12</v>
      </c>
      <c r="H1101" s="2" t="s">
        <v>26</v>
      </c>
      <c r="I1101" s="2" t="s">
        <v>11</v>
      </c>
      <c r="J1101" s="2" t="s">
        <v>3015</v>
      </c>
      <c r="K1101" s="29" t="s">
        <v>13193</v>
      </c>
      <c r="L1101" s="6" t="s">
        <v>13195</v>
      </c>
    </row>
    <row r="1102" spans="1:12" ht="27.6" hidden="1" x14ac:dyDescent="0.3">
      <c r="A1102" s="2" t="s">
        <v>11</v>
      </c>
      <c r="B1102" s="2" t="s">
        <v>3881</v>
      </c>
      <c r="C1102" s="3">
        <v>25738</v>
      </c>
      <c r="D1102" s="1" t="s">
        <v>3882</v>
      </c>
      <c r="E1102" s="1" t="s">
        <v>3883</v>
      </c>
      <c r="F1102" s="2" t="s">
        <v>365</v>
      </c>
      <c r="G1102" s="2" t="s">
        <v>425</v>
      </c>
      <c r="H1102" s="2" t="s">
        <v>10</v>
      </c>
      <c r="I1102" s="2" t="s">
        <v>11</v>
      </c>
      <c r="J1102" s="2" t="s">
        <v>2423</v>
      </c>
      <c r="K1102" s="29" t="s">
        <v>13193</v>
      </c>
      <c r="L1102" s="6" t="s">
        <v>13195</v>
      </c>
    </row>
    <row r="1103" spans="1:12" ht="27.6" hidden="1" x14ac:dyDescent="0.3">
      <c r="A1103" s="2" t="s">
        <v>11</v>
      </c>
      <c r="B1103" s="2" t="s">
        <v>3884</v>
      </c>
      <c r="C1103" s="3">
        <v>34800</v>
      </c>
      <c r="D1103" s="1" t="s">
        <v>3885</v>
      </c>
      <c r="E1103" s="1" t="s">
        <v>3886</v>
      </c>
      <c r="F1103" s="2" t="s">
        <v>575</v>
      </c>
      <c r="G1103" s="2" t="s">
        <v>12</v>
      </c>
      <c r="H1103" s="2" t="s">
        <v>10</v>
      </c>
      <c r="I1103" s="2" t="s">
        <v>11</v>
      </c>
      <c r="J1103" s="2" t="s">
        <v>3015</v>
      </c>
      <c r="K1103" s="29" t="s">
        <v>13193</v>
      </c>
      <c r="L1103" s="6" t="s">
        <v>13195</v>
      </c>
    </row>
    <row r="1104" spans="1:12" ht="27.6" hidden="1" x14ac:dyDescent="0.3">
      <c r="A1104" s="2" t="s">
        <v>11</v>
      </c>
      <c r="B1104" s="2" t="s">
        <v>3887</v>
      </c>
      <c r="C1104" s="3">
        <v>29557</v>
      </c>
      <c r="D1104" s="1" t="s">
        <v>3888</v>
      </c>
      <c r="E1104" s="1" t="s">
        <v>3889</v>
      </c>
      <c r="F1104" s="2" t="s">
        <v>575</v>
      </c>
      <c r="G1104" s="2" t="s">
        <v>380</v>
      </c>
      <c r="H1104" s="2" t="s">
        <v>10</v>
      </c>
      <c r="I1104" s="2" t="s">
        <v>11</v>
      </c>
      <c r="J1104" s="2" t="s">
        <v>3337</v>
      </c>
      <c r="K1104" s="29" t="s">
        <v>13193</v>
      </c>
      <c r="L1104" s="6" t="s">
        <v>13195</v>
      </c>
    </row>
    <row r="1105" spans="1:12" ht="27.6" hidden="1" x14ac:dyDescent="0.3">
      <c r="A1105" s="2" t="s">
        <v>11</v>
      </c>
      <c r="B1105" s="2" t="s">
        <v>3890</v>
      </c>
      <c r="C1105" s="3">
        <v>30952</v>
      </c>
      <c r="D1105" s="1" t="s">
        <v>3891</v>
      </c>
      <c r="E1105" s="1" t="s">
        <v>3892</v>
      </c>
      <c r="F1105" s="2" t="s">
        <v>16</v>
      </c>
      <c r="G1105" s="2" t="s">
        <v>48</v>
      </c>
      <c r="H1105" s="2" t="s">
        <v>10</v>
      </c>
      <c r="I1105" s="2" t="s">
        <v>11</v>
      </c>
      <c r="J1105" s="2" t="s">
        <v>49</v>
      </c>
      <c r="K1105" s="29" t="s">
        <v>13193</v>
      </c>
      <c r="L1105" s="6" t="s">
        <v>13195</v>
      </c>
    </row>
    <row r="1106" spans="1:12" ht="27.6" hidden="1" x14ac:dyDescent="0.3">
      <c r="A1106" s="2" t="s">
        <v>11</v>
      </c>
      <c r="B1106" s="2" t="s">
        <v>3893</v>
      </c>
      <c r="C1106" s="3">
        <v>23452</v>
      </c>
      <c r="D1106" s="1" t="s">
        <v>3894</v>
      </c>
      <c r="E1106" s="1" t="s">
        <v>3895</v>
      </c>
      <c r="F1106" s="2" t="s">
        <v>16</v>
      </c>
      <c r="G1106" s="2" t="s">
        <v>425</v>
      </c>
      <c r="H1106" s="2" t="s">
        <v>246</v>
      </c>
      <c r="I1106" s="2" t="s">
        <v>11</v>
      </c>
      <c r="J1106" s="2" t="s">
        <v>3896</v>
      </c>
      <c r="K1106" s="29" t="s">
        <v>13193</v>
      </c>
      <c r="L1106" s="6" t="s">
        <v>13195</v>
      </c>
    </row>
    <row r="1107" spans="1:12" ht="27.6" hidden="1" x14ac:dyDescent="0.3">
      <c r="A1107" s="2" t="s">
        <v>60</v>
      </c>
      <c r="B1107" s="2" t="s">
        <v>3897</v>
      </c>
      <c r="C1107" s="3">
        <v>25465</v>
      </c>
      <c r="D1107" s="1" t="s">
        <v>3898</v>
      </c>
      <c r="E1107" s="1" t="s">
        <v>3899</v>
      </c>
      <c r="F1107" s="2" t="s">
        <v>60</v>
      </c>
      <c r="G1107" s="2" t="s">
        <v>669</v>
      </c>
      <c r="H1107" s="2" t="s">
        <v>10</v>
      </c>
      <c r="I1107" s="2" t="s">
        <v>60</v>
      </c>
      <c r="J1107" s="2" t="s">
        <v>670</v>
      </c>
      <c r="K1107" s="29" t="s">
        <v>13193</v>
      </c>
      <c r="L1107" s="6" t="s">
        <v>13195</v>
      </c>
    </row>
    <row r="1108" spans="1:12" ht="27.6" hidden="1" x14ac:dyDescent="0.3">
      <c r="A1108" s="2" t="s">
        <v>11</v>
      </c>
      <c r="B1108" s="2" t="s">
        <v>3900</v>
      </c>
      <c r="C1108" s="3">
        <v>24577</v>
      </c>
      <c r="D1108" s="1" t="s">
        <v>3901</v>
      </c>
      <c r="E1108" s="1" t="s">
        <v>3902</v>
      </c>
      <c r="F1108" s="2" t="s">
        <v>16</v>
      </c>
      <c r="G1108" s="2" t="s">
        <v>1403</v>
      </c>
      <c r="H1108" s="2" t="s">
        <v>10</v>
      </c>
      <c r="I1108" s="2" t="s">
        <v>11</v>
      </c>
      <c r="J1108" s="2" t="s">
        <v>3903</v>
      </c>
      <c r="K1108" s="29" t="s">
        <v>13193</v>
      </c>
      <c r="L1108" s="6" t="s">
        <v>13195</v>
      </c>
    </row>
    <row r="1109" spans="1:12" ht="27.6" hidden="1" x14ac:dyDescent="0.3">
      <c r="A1109" s="2" t="s">
        <v>11</v>
      </c>
      <c r="B1109" s="2" t="s">
        <v>3904</v>
      </c>
      <c r="C1109" s="3">
        <v>36830</v>
      </c>
      <c r="D1109" s="1" t="s">
        <v>3905</v>
      </c>
      <c r="E1109" s="1" t="s">
        <v>3906</v>
      </c>
      <c r="F1109" s="2" t="s">
        <v>16</v>
      </c>
      <c r="G1109" s="2" t="s">
        <v>380</v>
      </c>
      <c r="H1109" s="2" t="s">
        <v>3907</v>
      </c>
      <c r="I1109" s="2" t="s">
        <v>11</v>
      </c>
      <c r="J1109" s="2" t="s">
        <v>3908</v>
      </c>
      <c r="K1109" s="29" t="s">
        <v>13193</v>
      </c>
      <c r="L1109" s="6" t="s">
        <v>13195</v>
      </c>
    </row>
    <row r="1110" spans="1:12" ht="27.6" hidden="1" x14ac:dyDescent="0.3">
      <c r="A1110" s="2" t="s">
        <v>11</v>
      </c>
      <c r="B1110" s="2" t="s">
        <v>3909</v>
      </c>
      <c r="C1110" s="3">
        <v>36830</v>
      </c>
      <c r="D1110" s="1" t="s">
        <v>3905</v>
      </c>
      <c r="E1110" s="1" t="s">
        <v>3910</v>
      </c>
      <c r="F1110" s="2" t="s">
        <v>16</v>
      </c>
      <c r="G1110" s="2" t="s">
        <v>380</v>
      </c>
      <c r="H1110" s="2" t="s">
        <v>2905</v>
      </c>
      <c r="I1110" s="2" t="s">
        <v>11</v>
      </c>
      <c r="J1110" s="2" t="s">
        <v>3911</v>
      </c>
      <c r="K1110" s="29" t="s">
        <v>13193</v>
      </c>
      <c r="L1110" s="6" t="s">
        <v>13195</v>
      </c>
    </row>
    <row r="1111" spans="1:12" ht="27.6" hidden="1" x14ac:dyDescent="0.3">
      <c r="A1111" s="2" t="s">
        <v>11</v>
      </c>
      <c r="B1111" s="2" t="s">
        <v>1131</v>
      </c>
      <c r="C1111" s="3">
        <v>26137</v>
      </c>
      <c r="D1111" s="1" t="s">
        <v>1125</v>
      </c>
      <c r="E1111" s="1" t="s">
        <v>1126</v>
      </c>
      <c r="F1111" s="2" t="s">
        <v>16</v>
      </c>
      <c r="G1111" s="2" t="s">
        <v>12</v>
      </c>
      <c r="H1111" s="2" t="s">
        <v>10</v>
      </c>
      <c r="I1111" s="2" t="s">
        <v>11</v>
      </c>
      <c r="J1111" s="2" t="s">
        <v>3015</v>
      </c>
      <c r="K1111" s="29" t="s">
        <v>13193</v>
      </c>
      <c r="L1111" s="24" t="s">
        <v>13195</v>
      </c>
    </row>
    <row r="1112" spans="1:12" ht="27.6" hidden="1" x14ac:dyDescent="0.3">
      <c r="A1112" s="2" t="s">
        <v>11</v>
      </c>
      <c r="B1112" s="2" t="s">
        <v>3912</v>
      </c>
      <c r="C1112" s="3">
        <v>22734</v>
      </c>
      <c r="D1112" s="1" t="s">
        <v>3913</v>
      </c>
      <c r="E1112" s="1" t="s">
        <v>3914</v>
      </c>
      <c r="F1112" s="2" t="s">
        <v>16</v>
      </c>
      <c r="G1112" s="2" t="s">
        <v>333</v>
      </c>
      <c r="H1112" s="2" t="s">
        <v>10</v>
      </c>
      <c r="I1112" s="2" t="s">
        <v>11</v>
      </c>
      <c r="J1112" s="2" t="s">
        <v>2650</v>
      </c>
      <c r="K1112" s="29"/>
      <c r="L1112" s="6"/>
    </row>
    <row r="1113" spans="1:12" ht="27.6" hidden="1" x14ac:dyDescent="0.3">
      <c r="A1113" s="2" t="s">
        <v>11</v>
      </c>
      <c r="B1113" s="2" t="s">
        <v>3915</v>
      </c>
      <c r="C1113" s="3">
        <v>35786</v>
      </c>
      <c r="D1113" s="1" t="s">
        <v>3916</v>
      </c>
      <c r="E1113" s="1" t="s">
        <v>3917</v>
      </c>
      <c r="F1113" s="2" t="s">
        <v>16</v>
      </c>
      <c r="G1113" s="2" t="s">
        <v>860</v>
      </c>
      <c r="H1113" s="2" t="s">
        <v>1857</v>
      </c>
      <c r="I1113" s="2" t="s">
        <v>11</v>
      </c>
      <c r="J1113" s="2" t="s">
        <v>3918</v>
      </c>
      <c r="K1113" s="29" t="s">
        <v>13193</v>
      </c>
      <c r="L1113" s="26" t="s">
        <v>13195</v>
      </c>
    </row>
    <row r="1114" spans="1:12" ht="27.6" hidden="1" x14ac:dyDescent="0.3">
      <c r="A1114" s="2" t="s">
        <v>11</v>
      </c>
      <c r="B1114" s="2" t="s">
        <v>3919</v>
      </c>
      <c r="C1114" s="3">
        <v>26029</v>
      </c>
      <c r="D1114" s="1" t="s">
        <v>2725</v>
      </c>
      <c r="E1114" s="1" t="s">
        <v>3920</v>
      </c>
      <c r="F1114" s="2" t="s">
        <v>16</v>
      </c>
      <c r="G1114" s="2" t="s">
        <v>552</v>
      </c>
      <c r="H1114" s="2" t="s">
        <v>3921</v>
      </c>
      <c r="I1114" s="2" t="s">
        <v>11</v>
      </c>
      <c r="J1114" s="2" t="s">
        <v>3596</v>
      </c>
      <c r="K1114" s="29"/>
      <c r="L1114" s="6"/>
    </row>
    <row r="1115" spans="1:12" ht="27.6" hidden="1" x14ac:dyDescent="0.3">
      <c r="A1115" s="2" t="s">
        <v>11</v>
      </c>
      <c r="B1115" s="2" t="s">
        <v>3922</v>
      </c>
      <c r="C1115" s="3">
        <v>20385</v>
      </c>
      <c r="D1115" s="1" t="s">
        <v>3923</v>
      </c>
      <c r="E1115" s="1" t="s">
        <v>3924</v>
      </c>
      <c r="F1115" s="2" t="s">
        <v>16</v>
      </c>
      <c r="G1115" s="2" t="s">
        <v>1228</v>
      </c>
      <c r="H1115" s="2" t="s">
        <v>43</v>
      </c>
      <c r="I1115" s="2" t="s">
        <v>11</v>
      </c>
      <c r="J1115" s="2" t="s">
        <v>3925</v>
      </c>
      <c r="K1115" s="30" t="s">
        <v>13193</v>
      </c>
      <c r="L1115" s="6" t="s">
        <v>13195</v>
      </c>
    </row>
    <row r="1116" spans="1:12" ht="27.6" hidden="1" x14ac:dyDescent="0.3">
      <c r="A1116" s="2" t="s">
        <v>11</v>
      </c>
      <c r="B1116" s="2" t="s">
        <v>3926</v>
      </c>
      <c r="C1116" s="3">
        <v>18166</v>
      </c>
      <c r="D1116" s="1" t="s">
        <v>3927</v>
      </c>
      <c r="E1116" s="1" t="s">
        <v>3928</v>
      </c>
      <c r="F1116" s="2" t="s">
        <v>16</v>
      </c>
      <c r="G1116" s="2" t="s">
        <v>1228</v>
      </c>
      <c r="H1116" s="2" t="s">
        <v>3929</v>
      </c>
      <c r="I1116" s="2" t="s">
        <v>11</v>
      </c>
      <c r="J1116" s="2" t="s">
        <v>3930</v>
      </c>
      <c r="K1116" s="29"/>
      <c r="L1116" s="6"/>
    </row>
    <row r="1117" spans="1:12" ht="27.6" hidden="1" x14ac:dyDescent="0.3">
      <c r="A1117" s="2" t="s">
        <v>11</v>
      </c>
      <c r="B1117" s="2" t="s">
        <v>1900</v>
      </c>
      <c r="C1117" s="3">
        <v>27510</v>
      </c>
      <c r="D1117" s="1" t="s">
        <v>1901</v>
      </c>
      <c r="E1117" s="1" t="s">
        <v>1902</v>
      </c>
      <c r="F1117" s="2" t="s">
        <v>16</v>
      </c>
      <c r="G1117" s="2" t="s">
        <v>3931</v>
      </c>
      <c r="H1117" s="2" t="s">
        <v>3932</v>
      </c>
      <c r="I1117" s="2" t="s">
        <v>11</v>
      </c>
      <c r="J1117" s="2" t="s">
        <v>3933</v>
      </c>
      <c r="K1117" s="29" t="s">
        <v>13193</v>
      </c>
      <c r="L1117" s="6" t="s">
        <v>13195</v>
      </c>
    </row>
    <row r="1118" spans="1:12" ht="27.6" hidden="1" x14ac:dyDescent="0.3">
      <c r="A1118" s="2" t="s">
        <v>11</v>
      </c>
      <c r="B1118" s="2" t="s">
        <v>1900</v>
      </c>
      <c r="C1118" s="3">
        <v>27510</v>
      </c>
      <c r="D1118" s="1" t="s">
        <v>1901</v>
      </c>
      <c r="E1118" s="1" t="s">
        <v>3934</v>
      </c>
      <c r="F1118" s="2" t="s">
        <v>16</v>
      </c>
      <c r="G1118" s="2" t="s">
        <v>3935</v>
      </c>
      <c r="H1118" s="2" t="s">
        <v>10</v>
      </c>
      <c r="I1118" s="2" t="s">
        <v>11</v>
      </c>
      <c r="J1118" s="2" t="s">
        <v>3936</v>
      </c>
      <c r="K1118" s="29" t="s">
        <v>13193</v>
      </c>
      <c r="L1118" s="6" t="s">
        <v>13195</v>
      </c>
    </row>
    <row r="1119" spans="1:12" ht="27.6" hidden="1" x14ac:dyDescent="0.3">
      <c r="A1119" s="2" t="s">
        <v>11</v>
      </c>
      <c r="B1119" s="2" t="s">
        <v>3937</v>
      </c>
      <c r="C1119" s="3">
        <v>27510</v>
      </c>
      <c r="D1119" s="1" t="s">
        <v>1901</v>
      </c>
      <c r="E1119" s="1" t="s">
        <v>3934</v>
      </c>
      <c r="F1119" s="2" t="s">
        <v>16</v>
      </c>
      <c r="G1119" s="2" t="s">
        <v>1903</v>
      </c>
      <c r="H1119" s="2" t="s">
        <v>81</v>
      </c>
      <c r="I1119" s="2" t="s">
        <v>11</v>
      </c>
      <c r="J1119" s="2" t="s">
        <v>3938</v>
      </c>
      <c r="K1119" s="29" t="s">
        <v>13193</v>
      </c>
      <c r="L1119" s="6" t="s">
        <v>13195</v>
      </c>
    </row>
    <row r="1120" spans="1:12" ht="27.6" hidden="1" x14ac:dyDescent="0.3">
      <c r="A1120" s="2" t="s">
        <v>11</v>
      </c>
      <c r="B1120" s="2" t="s">
        <v>3939</v>
      </c>
      <c r="C1120" s="3">
        <v>27510</v>
      </c>
      <c r="D1120" s="1" t="s">
        <v>1901</v>
      </c>
      <c r="E1120" s="1" t="s">
        <v>3934</v>
      </c>
      <c r="F1120" s="2" t="s">
        <v>16</v>
      </c>
      <c r="G1120" s="2" t="s">
        <v>3940</v>
      </c>
      <c r="H1120" s="2" t="s">
        <v>2769</v>
      </c>
      <c r="I1120" s="2" t="s">
        <v>11</v>
      </c>
      <c r="J1120" s="2" t="s">
        <v>3941</v>
      </c>
      <c r="K1120" s="30" t="s">
        <v>13193</v>
      </c>
      <c r="L1120" s="6" t="s">
        <v>13195</v>
      </c>
    </row>
    <row r="1121" spans="1:12" ht="27.6" hidden="1" x14ac:dyDescent="0.3">
      <c r="A1121" s="2" t="s">
        <v>11</v>
      </c>
      <c r="B1121" s="2" t="s">
        <v>3942</v>
      </c>
      <c r="C1121" s="3">
        <v>32942</v>
      </c>
      <c r="D1121" s="1" t="s">
        <v>3943</v>
      </c>
      <c r="E1121" s="1" t="s">
        <v>3944</v>
      </c>
      <c r="F1121" s="2" t="s">
        <v>16</v>
      </c>
      <c r="G1121" s="2" t="s">
        <v>2833</v>
      </c>
      <c r="H1121" s="2" t="s">
        <v>43</v>
      </c>
      <c r="I1121" s="2" t="s">
        <v>11</v>
      </c>
      <c r="J1121" s="2" t="s">
        <v>3945</v>
      </c>
      <c r="K1121" s="29" t="s">
        <v>13193</v>
      </c>
      <c r="L1121" s="6" t="s">
        <v>13195</v>
      </c>
    </row>
    <row r="1122" spans="1:12" ht="27.6" hidden="1" x14ac:dyDescent="0.3">
      <c r="A1122" s="2" t="s">
        <v>11</v>
      </c>
      <c r="B1122" s="2" t="s">
        <v>3946</v>
      </c>
      <c r="C1122" s="3">
        <v>28547</v>
      </c>
      <c r="D1122" s="1" t="s">
        <v>3947</v>
      </c>
      <c r="E1122" s="1" t="s">
        <v>3948</v>
      </c>
      <c r="F1122" s="2" t="s">
        <v>16</v>
      </c>
      <c r="G1122" s="2" t="s">
        <v>2805</v>
      </c>
      <c r="H1122" s="2" t="s">
        <v>26</v>
      </c>
      <c r="I1122" s="2" t="s">
        <v>11</v>
      </c>
      <c r="J1122" s="2" t="s">
        <v>3949</v>
      </c>
      <c r="K1122" s="29" t="s">
        <v>13193</v>
      </c>
      <c r="L1122" s="6" t="s">
        <v>13195</v>
      </c>
    </row>
    <row r="1123" spans="1:12" ht="27.6" hidden="1" x14ac:dyDescent="0.3">
      <c r="A1123" s="2" t="s">
        <v>11</v>
      </c>
      <c r="B1123" s="2" t="s">
        <v>3950</v>
      </c>
      <c r="C1123" s="3">
        <v>34714</v>
      </c>
      <c r="D1123" s="1" t="s">
        <v>3951</v>
      </c>
      <c r="E1123" s="1" t="s">
        <v>3952</v>
      </c>
      <c r="F1123" s="2" t="s">
        <v>16</v>
      </c>
      <c r="G1123" s="2" t="s">
        <v>64</v>
      </c>
      <c r="H1123" s="2" t="s">
        <v>43</v>
      </c>
      <c r="I1123" s="2" t="s">
        <v>11</v>
      </c>
      <c r="J1123" s="2" t="s">
        <v>3953</v>
      </c>
      <c r="K1123" s="30" t="s">
        <v>13193</v>
      </c>
      <c r="L1123" s="6" t="s">
        <v>13195</v>
      </c>
    </row>
    <row r="1124" spans="1:12" ht="27.6" hidden="1" x14ac:dyDescent="0.3">
      <c r="A1124" s="2" t="s">
        <v>11</v>
      </c>
      <c r="B1124" s="2" t="s">
        <v>3954</v>
      </c>
      <c r="C1124" s="3">
        <v>20723</v>
      </c>
      <c r="D1124" s="1" t="s">
        <v>3955</v>
      </c>
      <c r="E1124" s="1" t="s">
        <v>3956</v>
      </c>
      <c r="F1124" s="2" t="s">
        <v>16</v>
      </c>
      <c r="G1124" s="2" t="s">
        <v>3957</v>
      </c>
      <c r="H1124" s="2" t="s">
        <v>10</v>
      </c>
      <c r="I1124" s="2" t="s">
        <v>11</v>
      </c>
      <c r="J1124" s="2" t="s">
        <v>3827</v>
      </c>
      <c r="K1124" s="29" t="s">
        <v>13193</v>
      </c>
      <c r="L1124" s="6" t="s">
        <v>13195</v>
      </c>
    </row>
    <row r="1125" spans="1:12" ht="27.6" hidden="1" x14ac:dyDescent="0.3">
      <c r="A1125" s="2" t="s">
        <v>11</v>
      </c>
      <c r="B1125" s="2" t="s">
        <v>3958</v>
      </c>
      <c r="C1125" s="3">
        <v>30087</v>
      </c>
      <c r="D1125" s="1" t="s">
        <v>3959</v>
      </c>
      <c r="E1125" s="1" t="s">
        <v>3960</v>
      </c>
      <c r="F1125" s="2" t="s">
        <v>16</v>
      </c>
      <c r="G1125" s="2" t="s">
        <v>3931</v>
      </c>
      <c r="H1125" s="2" t="s">
        <v>3961</v>
      </c>
      <c r="I1125" s="2" t="s">
        <v>11</v>
      </c>
      <c r="J1125" s="2" t="s">
        <v>3933</v>
      </c>
      <c r="K1125" s="29" t="s">
        <v>13193</v>
      </c>
      <c r="L1125" s="6" t="s">
        <v>13195</v>
      </c>
    </row>
    <row r="1126" spans="1:12" ht="27.6" hidden="1" x14ac:dyDescent="0.3">
      <c r="A1126" s="2" t="s">
        <v>11</v>
      </c>
      <c r="B1126" s="2" t="s">
        <v>3962</v>
      </c>
      <c r="C1126" s="3">
        <v>32297</v>
      </c>
      <c r="D1126" s="1" t="s">
        <v>3963</v>
      </c>
      <c r="E1126" s="1" t="s">
        <v>3964</v>
      </c>
      <c r="F1126" s="2" t="s">
        <v>16</v>
      </c>
      <c r="G1126" s="2" t="s">
        <v>3931</v>
      </c>
      <c r="H1126" s="2" t="s">
        <v>3965</v>
      </c>
      <c r="I1126" s="2" t="s">
        <v>11</v>
      </c>
      <c r="J1126" s="2" t="s">
        <v>3966</v>
      </c>
      <c r="K1126" s="29" t="s">
        <v>13193</v>
      </c>
      <c r="L1126" s="6" t="s">
        <v>13195</v>
      </c>
    </row>
    <row r="1127" spans="1:12" ht="27.6" hidden="1" x14ac:dyDescent="0.3">
      <c r="A1127" s="2" t="s">
        <v>11</v>
      </c>
      <c r="B1127" s="2" t="s">
        <v>3967</v>
      </c>
      <c r="C1127" s="3">
        <v>34023</v>
      </c>
      <c r="D1127" s="1" t="s">
        <v>3968</v>
      </c>
      <c r="E1127" s="1" t="s">
        <v>3969</v>
      </c>
      <c r="F1127" s="2" t="s">
        <v>16</v>
      </c>
      <c r="G1127" s="2" t="s">
        <v>3931</v>
      </c>
      <c r="H1127" s="2" t="s">
        <v>3970</v>
      </c>
      <c r="I1127" s="2" t="s">
        <v>11</v>
      </c>
      <c r="J1127" s="2" t="s">
        <v>3971</v>
      </c>
      <c r="K1127" s="29" t="s">
        <v>13193</v>
      </c>
      <c r="L1127" s="6" t="s">
        <v>13195</v>
      </c>
    </row>
    <row r="1128" spans="1:12" ht="27.6" hidden="1" x14ac:dyDescent="0.3">
      <c r="A1128" s="2" t="s">
        <v>11</v>
      </c>
      <c r="B1128" s="2" t="s">
        <v>3972</v>
      </c>
      <c r="C1128" s="3">
        <v>26933</v>
      </c>
      <c r="D1128" s="1" t="s">
        <v>3973</v>
      </c>
      <c r="E1128" s="1" t="s">
        <v>3974</v>
      </c>
      <c r="F1128" s="2" t="s">
        <v>16</v>
      </c>
      <c r="G1128" s="2" t="s">
        <v>3957</v>
      </c>
      <c r="H1128" s="2" t="s">
        <v>3317</v>
      </c>
      <c r="I1128" s="2" t="s">
        <v>11</v>
      </c>
      <c r="J1128" s="2" t="s">
        <v>3975</v>
      </c>
      <c r="K1128" s="29" t="s">
        <v>13193</v>
      </c>
      <c r="L1128" s="6" t="s">
        <v>13195</v>
      </c>
    </row>
    <row r="1129" spans="1:12" ht="27.6" hidden="1" x14ac:dyDescent="0.3">
      <c r="A1129" s="2" t="s">
        <v>11</v>
      </c>
      <c r="B1129" s="2" t="s">
        <v>3976</v>
      </c>
      <c r="C1129" s="3">
        <v>36754</v>
      </c>
      <c r="D1129" s="1" t="s">
        <v>3977</v>
      </c>
      <c r="E1129" s="1" t="s">
        <v>3978</v>
      </c>
      <c r="F1129" s="2" t="s">
        <v>16</v>
      </c>
      <c r="G1129" s="2" t="s">
        <v>852</v>
      </c>
      <c r="H1129" s="2" t="s">
        <v>81</v>
      </c>
      <c r="I1129" s="2" t="s">
        <v>11</v>
      </c>
      <c r="J1129" s="2" t="s">
        <v>3979</v>
      </c>
      <c r="K1129" s="29" t="s">
        <v>13193</v>
      </c>
      <c r="L1129" s="6" t="s">
        <v>13195</v>
      </c>
    </row>
    <row r="1130" spans="1:12" ht="27.6" hidden="1" x14ac:dyDescent="0.3">
      <c r="A1130" s="2" t="s">
        <v>11</v>
      </c>
      <c r="B1130" s="2" t="s">
        <v>3980</v>
      </c>
      <c r="C1130" s="3">
        <v>33650</v>
      </c>
      <c r="D1130" s="1" t="s">
        <v>3981</v>
      </c>
      <c r="E1130" s="1" t="s">
        <v>3982</v>
      </c>
      <c r="F1130" s="2" t="s">
        <v>16</v>
      </c>
      <c r="G1130" s="2" t="s">
        <v>3983</v>
      </c>
      <c r="H1130" s="2" t="s">
        <v>26</v>
      </c>
      <c r="I1130" s="2" t="s">
        <v>11</v>
      </c>
      <c r="J1130" s="2" t="s">
        <v>3984</v>
      </c>
      <c r="K1130" s="29"/>
      <c r="L1130" s="6"/>
    </row>
    <row r="1131" spans="1:12" ht="27.6" hidden="1" x14ac:dyDescent="0.3">
      <c r="A1131" s="2" t="s">
        <v>11</v>
      </c>
      <c r="B1131" s="2" t="s">
        <v>3980</v>
      </c>
      <c r="C1131" s="3">
        <v>33650</v>
      </c>
      <c r="D1131" s="1" t="s">
        <v>3981</v>
      </c>
      <c r="E1131" s="1" t="s">
        <v>3982</v>
      </c>
      <c r="F1131" s="2" t="s">
        <v>16</v>
      </c>
      <c r="G1131" s="2" t="s">
        <v>1135</v>
      </c>
      <c r="H1131" s="2" t="s">
        <v>43</v>
      </c>
      <c r="I1131" s="2" t="s">
        <v>11</v>
      </c>
      <c r="J1131" s="2" t="s">
        <v>3985</v>
      </c>
      <c r="K1131" s="29" t="s">
        <v>13193</v>
      </c>
      <c r="L1131" s="24" t="s">
        <v>13195</v>
      </c>
    </row>
    <row r="1132" spans="1:12" ht="27.6" hidden="1" x14ac:dyDescent="0.3">
      <c r="A1132" s="2" t="s">
        <v>11</v>
      </c>
      <c r="B1132" s="2" t="s">
        <v>3986</v>
      </c>
      <c r="C1132" s="3">
        <v>35578</v>
      </c>
      <c r="D1132" s="1" t="s">
        <v>3987</v>
      </c>
      <c r="E1132" s="1" t="s">
        <v>3988</v>
      </c>
      <c r="F1132" s="2" t="s">
        <v>16</v>
      </c>
      <c r="G1132" s="2" t="s">
        <v>333</v>
      </c>
      <c r="H1132" s="2" t="s">
        <v>3989</v>
      </c>
      <c r="I1132" s="2" t="s">
        <v>11</v>
      </c>
      <c r="J1132" s="2" t="s">
        <v>2650</v>
      </c>
      <c r="K1132" s="30" t="s">
        <v>13193</v>
      </c>
      <c r="L1132" s="6" t="s">
        <v>13195</v>
      </c>
    </row>
    <row r="1133" spans="1:12" ht="27.6" hidden="1" x14ac:dyDescent="0.3">
      <c r="A1133" s="2" t="s">
        <v>11</v>
      </c>
      <c r="B1133" s="2" t="s">
        <v>3990</v>
      </c>
      <c r="C1133" s="3">
        <v>27817</v>
      </c>
      <c r="D1133" s="1" t="s">
        <v>40</v>
      </c>
      <c r="E1133" s="1" t="s">
        <v>41</v>
      </c>
      <c r="F1133" s="2" t="s">
        <v>16</v>
      </c>
      <c r="G1133" s="2" t="s">
        <v>2823</v>
      </c>
      <c r="H1133" s="2" t="s">
        <v>822</v>
      </c>
      <c r="I1133" s="2" t="s">
        <v>11</v>
      </c>
      <c r="J1133" s="2" t="s">
        <v>3953</v>
      </c>
      <c r="K1133" s="29" t="s">
        <v>13193</v>
      </c>
      <c r="L1133" s="26" t="s">
        <v>13195</v>
      </c>
    </row>
    <row r="1134" spans="1:12" ht="27.6" hidden="1" x14ac:dyDescent="0.3">
      <c r="A1134" s="2" t="s">
        <v>11</v>
      </c>
      <c r="B1134" s="2" t="s">
        <v>3991</v>
      </c>
      <c r="C1134" s="3">
        <v>30474</v>
      </c>
      <c r="D1134" s="1" t="s">
        <v>3992</v>
      </c>
      <c r="E1134" s="1" t="s">
        <v>3993</v>
      </c>
      <c r="F1134" s="2" t="s">
        <v>36</v>
      </c>
      <c r="G1134" s="2" t="s">
        <v>380</v>
      </c>
      <c r="H1134" s="2" t="s">
        <v>10</v>
      </c>
      <c r="I1134" s="2" t="s">
        <v>11</v>
      </c>
      <c r="J1134" s="2" t="s">
        <v>3994</v>
      </c>
      <c r="K1134" s="29" t="s">
        <v>13193</v>
      </c>
      <c r="L1134" s="6" t="s">
        <v>13195</v>
      </c>
    </row>
    <row r="1135" spans="1:12" ht="27.6" hidden="1" x14ac:dyDescent="0.3">
      <c r="A1135" s="2" t="s">
        <v>11</v>
      </c>
      <c r="B1135" s="2" t="s">
        <v>3995</v>
      </c>
      <c r="C1135" s="3">
        <v>21415</v>
      </c>
      <c r="D1135" s="1" t="s">
        <v>3996</v>
      </c>
      <c r="E1135" s="1" t="s">
        <v>3997</v>
      </c>
      <c r="F1135" s="2" t="s">
        <v>16</v>
      </c>
      <c r="G1135" s="2" t="s">
        <v>3134</v>
      </c>
      <c r="H1135" s="2" t="s">
        <v>10</v>
      </c>
      <c r="I1135" s="2" t="s">
        <v>11</v>
      </c>
      <c r="J1135" s="2" t="s">
        <v>3771</v>
      </c>
      <c r="K1135" s="35" t="s">
        <v>13193</v>
      </c>
      <c r="L1135" s="24" t="s">
        <v>13195</v>
      </c>
    </row>
    <row r="1136" spans="1:12" ht="27.6" hidden="1" x14ac:dyDescent="0.3">
      <c r="A1136" s="2" t="s">
        <v>11</v>
      </c>
      <c r="B1136" s="2" t="s">
        <v>3998</v>
      </c>
      <c r="C1136" s="3">
        <v>25920</v>
      </c>
      <c r="D1136" s="1" t="s">
        <v>3999</v>
      </c>
      <c r="E1136" s="1" t="s">
        <v>4000</v>
      </c>
      <c r="F1136" s="2" t="s">
        <v>16</v>
      </c>
      <c r="G1136" s="2" t="s">
        <v>933</v>
      </c>
      <c r="H1136" s="2" t="s">
        <v>103</v>
      </c>
      <c r="I1136" s="2" t="s">
        <v>11</v>
      </c>
      <c r="J1136" s="2" t="s">
        <v>4001</v>
      </c>
      <c r="K1136" s="30" t="s">
        <v>13193</v>
      </c>
      <c r="L1136" s="6" t="s">
        <v>13195</v>
      </c>
    </row>
    <row r="1137" spans="1:12" ht="27.6" hidden="1" x14ac:dyDescent="0.3">
      <c r="A1137" s="2" t="s">
        <v>11</v>
      </c>
      <c r="B1137" s="2" t="s">
        <v>4002</v>
      </c>
      <c r="C1137" s="3">
        <v>24068</v>
      </c>
      <c r="D1137" s="1" t="s">
        <v>4003</v>
      </c>
      <c r="E1137" s="1" t="s">
        <v>4004</v>
      </c>
      <c r="F1137" s="2" t="s">
        <v>16</v>
      </c>
      <c r="G1137" s="2" t="s">
        <v>2079</v>
      </c>
      <c r="H1137" s="2" t="s">
        <v>10</v>
      </c>
      <c r="I1137" s="2" t="s">
        <v>11</v>
      </c>
      <c r="J1137" s="2" t="s">
        <v>4005</v>
      </c>
      <c r="K1137" s="36" t="s">
        <v>13193</v>
      </c>
      <c r="L1137" s="26" t="s">
        <v>13195</v>
      </c>
    </row>
    <row r="1138" spans="1:12" ht="27.6" hidden="1" x14ac:dyDescent="0.3">
      <c r="A1138" s="2" t="s">
        <v>11</v>
      </c>
      <c r="B1138" s="2" t="s">
        <v>4006</v>
      </c>
      <c r="C1138" s="3">
        <v>32581</v>
      </c>
      <c r="D1138" s="1" t="s">
        <v>4007</v>
      </c>
      <c r="E1138" s="1" t="s">
        <v>4008</v>
      </c>
      <c r="F1138" s="2" t="s">
        <v>358</v>
      </c>
      <c r="G1138" s="2" t="s">
        <v>366</v>
      </c>
      <c r="H1138" s="2" t="s">
        <v>10</v>
      </c>
      <c r="I1138" s="2" t="s">
        <v>11</v>
      </c>
      <c r="J1138" s="2" t="s">
        <v>3023</v>
      </c>
      <c r="K1138" s="30" t="s">
        <v>13193</v>
      </c>
      <c r="L1138" s="6" t="s">
        <v>13195</v>
      </c>
    </row>
    <row r="1139" spans="1:12" ht="27.6" hidden="1" x14ac:dyDescent="0.3">
      <c r="A1139" s="2" t="s">
        <v>11</v>
      </c>
      <c r="B1139" s="2" t="s">
        <v>4009</v>
      </c>
      <c r="C1139" s="3">
        <v>21772</v>
      </c>
      <c r="D1139" s="1" t="s">
        <v>4010</v>
      </c>
      <c r="E1139" s="1" t="s">
        <v>4011</v>
      </c>
      <c r="F1139" s="2" t="s">
        <v>4012</v>
      </c>
      <c r="G1139" s="2" t="s">
        <v>12</v>
      </c>
      <c r="H1139" s="2" t="s">
        <v>10</v>
      </c>
      <c r="I1139" s="2" t="s">
        <v>11</v>
      </c>
      <c r="J1139" s="2" t="s">
        <v>3015</v>
      </c>
      <c r="K1139" s="30" t="s">
        <v>13193</v>
      </c>
      <c r="L1139" s="6" t="s">
        <v>13195</v>
      </c>
    </row>
    <row r="1140" spans="1:12" ht="27.6" hidden="1" x14ac:dyDescent="0.3">
      <c r="A1140" s="2" t="s">
        <v>11</v>
      </c>
      <c r="B1140" s="2" t="s">
        <v>4013</v>
      </c>
      <c r="C1140" s="3">
        <v>23264</v>
      </c>
      <c r="D1140" s="1" t="s">
        <v>4014</v>
      </c>
      <c r="E1140" s="1" t="s">
        <v>4015</v>
      </c>
      <c r="F1140" s="2" t="s">
        <v>4012</v>
      </c>
      <c r="G1140" s="2" t="s">
        <v>25</v>
      </c>
      <c r="H1140" s="2" t="s">
        <v>10</v>
      </c>
      <c r="I1140" s="2" t="s">
        <v>11</v>
      </c>
      <c r="J1140" s="2" t="s">
        <v>3019</v>
      </c>
      <c r="K1140" s="30" t="s">
        <v>13193</v>
      </c>
      <c r="L1140" s="6" t="s">
        <v>13195</v>
      </c>
    </row>
    <row r="1141" spans="1:12" ht="27.6" hidden="1" x14ac:dyDescent="0.3">
      <c r="A1141" s="2" t="s">
        <v>11</v>
      </c>
      <c r="B1141" s="2" t="s">
        <v>4016</v>
      </c>
      <c r="C1141" s="3">
        <v>31033</v>
      </c>
      <c r="D1141" s="1" t="s">
        <v>4017</v>
      </c>
      <c r="E1141" s="1" t="s">
        <v>4018</v>
      </c>
      <c r="F1141" s="2" t="s">
        <v>4012</v>
      </c>
      <c r="G1141" s="2" t="s">
        <v>380</v>
      </c>
      <c r="H1141" s="2" t="s">
        <v>10</v>
      </c>
      <c r="I1141" s="2" t="s">
        <v>11</v>
      </c>
      <c r="J1141" s="2" t="s">
        <v>3337</v>
      </c>
      <c r="K1141" s="30" t="s">
        <v>13193</v>
      </c>
      <c r="L1141" s="6" t="s">
        <v>13195</v>
      </c>
    </row>
    <row r="1142" spans="1:12" ht="27.6" hidden="1" x14ac:dyDescent="0.3">
      <c r="A1142" s="2" t="s">
        <v>11</v>
      </c>
      <c r="B1142" s="2" t="s">
        <v>4019</v>
      </c>
      <c r="C1142" s="3">
        <v>27737</v>
      </c>
      <c r="D1142" s="1" t="s">
        <v>4020</v>
      </c>
      <c r="E1142" s="1" t="s">
        <v>4021</v>
      </c>
      <c r="F1142" s="2" t="s">
        <v>1846</v>
      </c>
      <c r="G1142" s="2" t="s">
        <v>92</v>
      </c>
      <c r="H1142" s="2" t="s">
        <v>10</v>
      </c>
      <c r="I1142" s="2" t="s">
        <v>11</v>
      </c>
      <c r="J1142" s="2" t="s">
        <v>3032</v>
      </c>
      <c r="K1142" s="34" t="s">
        <v>13193</v>
      </c>
      <c r="L1142" s="24" t="s">
        <v>13195</v>
      </c>
    </row>
    <row r="1143" spans="1:12" ht="27.6" hidden="1" x14ac:dyDescent="0.3">
      <c r="A1143" s="2" t="s">
        <v>11</v>
      </c>
      <c r="B1143" s="2" t="s">
        <v>4022</v>
      </c>
      <c r="C1143" s="3">
        <v>25093</v>
      </c>
      <c r="D1143" s="1" t="s">
        <v>4023</v>
      </c>
      <c r="E1143" s="1" t="s">
        <v>4024</v>
      </c>
      <c r="F1143" s="2" t="s">
        <v>16</v>
      </c>
      <c r="G1143" s="2" t="s">
        <v>933</v>
      </c>
      <c r="H1143" s="2" t="s">
        <v>81</v>
      </c>
      <c r="I1143" s="2" t="s">
        <v>11</v>
      </c>
      <c r="J1143" s="2" t="s">
        <v>4025</v>
      </c>
      <c r="K1143" s="2" t="s">
        <v>10</v>
      </c>
      <c r="L1143" s="6"/>
    </row>
    <row r="1144" spans="1:12" ht="27.6" hidden="1" x14ac:dyDescent="0.3">
      <c r="A1144" s="2" t="s">
        <v>11</v>
      </c>
      <c r="B1144" s="2" t="s">
        <v>4026</v>
      </c>
      <c r="C1144" s="3">
        <v>32160</v>
      </c>
      <c r="D1144" s="1" t="s">
        <v>3240</v>
      </c>
      <c r="E1144" s="1" t="s">
        <v>4027</v>
      </c>
      <c r="F1144" s="2" t="s">
        <v>583</v>
      </c>
      <c r="G1144" s="2" t="s">
        <v>366</v>
      </c>
      <c r="H1144" s="2" t="s">
        <v>26</v>
      </c>
      <c r="I1144" s="2" t="s">
        <v>11</v>
      </c>
      <c r="J1144" s="2" t="s">
        <v>3023</v>
      </c>
      <c r="K1144" s="38" t="s">
        <v>13193</v>
      </c>
      <c r="L1144" s="26" t="s">
        <v>13195</v>
      </c>
    </row>
    <row r="1145" spans="1:12" ht="27.6" hidden="1" x14ac:dyDescent="0.3">
      <c r="A1145" s="2" t="s">
        <v>11</v>
      </c>
      <c r="B1145" s="2" t="s">
        <v>4026</v>
      </c>
      <c r="C1145" s="3">
        <v>32160</v>
      </c>
      <c r="D1145" s="1" t="s">
        <v>3240</v>
      </c>
      <c r="E1145" s="1" t="s">
        <v>3241</v>
      </c>
      <c r="F1145" s="2" t="s">
        <v>583</v>
      </c>
      <c r="G1145" s="2" t="s">
        <v>92</v>
      </c>
      <c r="H1145" s="2" t="s">
        <v>10</v>
      </c>
      <c r="I1145" s="2" t="s">
        <v>11</v>
      </c>
      <c r="J1145" s="2" t="s">
        <v>3032</v>
      </c>
      <c r="K1145" s="30" t="s">
        <v>13193</v>
      </c>
      <c r="L1145" s="6" t="s">
        <v>13195</v>
      </c>
    </row>
    <row r="1146" spans="1:12" ht="27.6" hidden="1" x14ac:dyDescent="0.3">
      <c r="A1146" s="2" t="s">
        <v>11</v>
      </c>
      <c r="B1146" s="2" t="s">
        <v>4028</v>
      </c>
      <c r="C1146" s="3">
        <v>31130</v>
      </c>
      <c r="D1146" s="1" t="s">
        <v>1193</v>
      </c>
      <c r="E1146" s="1" t="s">
        <v>1194</v>
      </c>
      <c r="F1146" s="2" t="s">
        <v>583</v>
      </c>
      <c r="G1146" s="2" t="s">
        <v>31</v>
      </c>
      <c r="H1146" s="2" t="s">
        <v>10</v>
      </c>
      <c r="I1146" s="2" t="s">
        <v>11</v>
      </c>
      <c r="J1146" s="2" t="s">
        <v>2965</v>
      </c>
      <c r="K1146" s="30" t="s">
        <v>13193</v>
      </c>
      <c r="L1146" s="6" t="s">
        <v>13195</v>
      </c>
    </row>
    <row r="1147" spans="1:12" ht="27.6" hidden="1" x14ac:dyDescent="0.3">
      <c r="A1147" s="2" t="s">
        <v>11</v>
      </c>
      <c r="B1147" s="2" t="s">
        <v>4029</v>
      </c>
      <c r="C1147" s="3">
        <v>34140</v>
      </c>
      <c r="D1147" s="1" t="s">
        <v>4030</v>
      </c>
      <c r="E1147" s="1" t="s">
        <v>4031</v>
      </c>
      <c r="F1147" s="2" t="s">
        <v>575</v>
      </c>
      <c r="G1147" s="2" t="s">
        <v>48</v>
      </c>
      <c r="H1147" s="2" t="s">
        <v>43</v>
      </c>
      <c r="I1147" s="2" t="s">
        <v>11</v>
      </c>
      <c r="J1147" s="2" t="s">
        <v>4032</v>
      </c>
      <c r="K1147" s="18" t="s">
        <v>10</v>
      </c>
    </row>
    <row r="1148" spans="1:12" ht="27.6" hidden="1" x14ac:dyDescent="0.3">
      <c r="A1148" s="2" t="s">
        <v>1957</v>
      </c>
      <c r="B1148" s="2" t="s">
        <v>4033</v>
      </c>
      <c r="C1148" s="3">
        <v>35504</v>
      </c>
      <c r="D1148" s="1" t="s">
        <v>4034</v>
      </c>
      <c r="E1148" s="1" t="s">
        <v>4035</v>
      </c>
      <c r="F1148" s="2" t="s">
        <v>4036</v>
      </c>
      <c r="G1148" s="2" t="s">
        <v>1504</v>
      </c>
      <c r="H1148" s="2" t="s">
        <v>10</v>
      </c>
      <c r="I1148" s="2" t="s">
        <v>1957</v>
      </c>
      <c r="J1148" s="2" t="s">
        <v>4037</v>
      </c>
      <c r="K1148" s="2" t="s">
        <v>10</v>
      </c>
    </row>
    <row r="1149" spans="1:12" ht="27.6" hidden="1" x14ac:dyDescent="0.3">
      <c r="A1149" s="2" t="s">
        <v>1957</v>
      </c>
      <c r="B1149" s="2" t="s">
        <v>4038</v>
      </c>
      <c r="C1149" s="3">
        <v>21112</v>
      </c>
      <c r="D1149" s="1" t="s">
        <v>4039</v>
      </c>
      <c r="E1149" s="1" t="s">
        <v>4040</v>
      </c>
      <c r="F1149" s="2" t="s">
        <v>1961</v>
      </c>
      <c r="G1149" s="2" t="s">
        <v>1955</v>
      </c>
      <c r="H1149" s="2" t="s">
        <v>10</v>
      </c>
      <c r="I1149" s="2" t="s">
        <v>1957</v>
      </c>
      <c r="J1149" s="2" t="s">
        <v>1956</v>
      </c>
      <c r="K1149" s="2" t="s">
        <v>10</v>
      </c>
    </row>
    <row r="1150" spans="1:12" hidden="1" x14ac:dyDescent="0.3">
      <c r="A1150" s="2" t="s">
        <v>180</v>
      </c>
      <c r="B1150" s="2" t="s">
        <v>10</v>
      </c>
      <c r="C1150" s="3" t="s">
        <v>10</v>
      </c>
      <c r="D1150" s="1" t="s">
        <v>10</v>
      </c>
      <c r="E1150" s="1" t="s">
        <v>10</v>
      </c>
      <c r="F1150" s="2" t="s">
        <v>1191</v>
      </c>
      <c r="G1150" s="2" t="s">
        <v>196</v>
      </c>
      <c r="H1150" s="2" t="s">
        <v>10</v>
      </c>
      <c r="I1150" s="2" t="s">
        <v>180</v>
      </c>
      <c r="J1150" s="2" t="s">
        <v>197</v>
      </c>
      <c r="K1150" s="2" t="s">
        <v>10</v>
      </c>
      <c r="L1150" s="6"/>
    </row>
    <row r="1151" spans="1:12" hidden="1" x14ac:dyDescent="0.3">
      <c r="A1151" s="2" t="s">
        <v>180</v>
      </c>
      <c r="B1151" s="2" t="s">
        <v>10</v>
      </c>
      <c r="C1151" s="3" t="s">
        <v>10</v>
      </c>
      <c r="D1151" s="1" t="s">
        <v>10</v>
      </c>
      <c r="E1151" s="1" t="s">
        <v>10</v>
      </c>
      <c r="F1151" s="2" t="s">
        <v>1119</v>
      </c>
      <c r="G1151" s="2" t="s">
        <v>143</v>
      </c>
      <c r="H1151" s="2" t="s">
        <v>10</v>
      </c>
      <c r="I1151" s="2" t="s">
        <v>180</v>
      </c>
      <c r="J1151" s="2" t="s">
        <v>678</v>
      </c>
      <c r="K1151" s="2" t="s">
        <v>10</v>
      </c>
      <c r="L1151" s="6"/>
    </row>
    <row r="1152" spans="1:12" hidden="1" x14ac:dyDescent="0.3">
      <c r="A1152" s="2" t="s">
        <v>180</v>
      </c>
      <c r="B1152" s="2" t="s">
        <v>10</v>
      </c>
      <c r="C1152" s="3" t="s">
        <v>10</v>
      </c>
      <c r="D1152" s="1" t="s">
        <v>10</v>
      </c>
      <c r="E1152" s="1" t="s">
        <v>10</v>
      </c>
      <c r="F1152" s="2" t="s">
        <v>189</v>
      </c>
      <c r="G1152" s="2" t="s">
        <v>31</v>
      </c>
      <c r="H1152" s="2" t="s">
        <v>10</v>
      </c>
      <c r="I1152" s="2" t="s">
        <v>180</v>
      </c>
      <c r="J1152" s="2" t="s">
        <v>718</v>
      </c>
      <c r="K1152" s="2" t="s">
        <v>10</v>
      </c>
      <c r="L1152" s="6"/>
    </row>
    <row r="1153" spans="1:12" hidden="1" x14ac:dyDescent="0.3">
      <c r="A1153" s="2" t="s">
        <v>180</v>
      </c>
      <c r="B1153" s="2" t="s">
        <v>10</v>
      </c>
      <c r="C1153" s="3" t="s">
        <v>10</v>
      </c>
      <c r="D1153" s="1" t="s">
        <v>10</v>
      </c>
      <c r="E1153" s="1" t="s">
        <v>10</v>
      </c>
      <c r="F1153" s="2" t="s">
        <v>891</v>
      </c>
      <c r="G1153" s="2" t="s">
        <v>124</v>
      </c>
      <c r="H1153" s="2" t="s">
        <v>10</v>
      </c>
      <c r="I1153" s="2" t="s">
        <v>180</v>
      </c>
      <c r="J1153" s="2" t="s">
        <v>173</v>
      </c>
      <c r="K1153" s="2" t="s">
        <v>10</v>
      </c>
      <c r="L1153" s="6"/>
    </row>
    <row r="1154" spans="1:12" hidden="1" x14ac:dyDescent="0.3">
      <c r="A1154" s="2" t="s">
        <v>180</v>
      </c>
      <c r="B1154" s="2" t="s">
        <v>10</v>
      </c>
      <c r="C1154" s="3" t="s">
        <v>10</v>
      </c>
      <c r="D1154" s="1" t="s">
        <v>10</v>
      </c>
      <c r="E1154" s="1" t="s">
        <v>10</v>
      </c>
      <c r="F1154" s="2" t="s">
        <v>891</v>
      </c>
      <c r="G1154" s="2" t="s">
        <v>31</v>
      </c>
      <c r="H1154" s="2" t="s">
        <v>10</v>
      </c>
      <c r="I1154" s="2" t="s">
        <v>180</v>
      </c>
      <c r="J1154" s="2" t="s">
        <v>684</v>
      </c>
      <c r="K1154" s="2" t="s">
        <v>10</v>
      </c>
      <c r="L1154" s="6"/>
    </row>
    <row r="1155" spans="1:12" hidden="1" x14ac:dyDescent="0.3">
      <c r="A1155" s="2" t="s">
        <v>180</v>
      </c>
      <c r="B1155" s="2" t="s">
        <v>10</v>
      </c>
      <c r="C1155" s="3" t="s">
        <v>10</v>
      </c>
      <c r="D1155" s="1" t="s">
        <v>10</v>
      </c>
      <c r="E1155" s="1" t="s">
        <v>10</v>
      </c>
      <c r="F1155" s="2" t="s">
        <v>548</v>
      </c>
      <c r="G1155" s="2" t="s">
        <v>425</v>
      </c>
      <c r="H1155" s="2" t="s">
        <v>10</v>
      </c>
      <c r="I1155" s="2" t="s">
        <v>180</v>
      </c>
      <c r="J1155" s="2" t="s">
        <v>1520</v>
      </c>
      <c r="K1155" s="2" t="s">
        <v>10</v>
      </c>
      <c r="L1155" s="6"/>
    </row>
    <row r="1156" spans="1:12" hidden="1" x14ac:dyDescent="0.3">
      <c r="A1156" s="2" t="s">
        <v>180</v>
      </c>
      <c r="B1156" s="2" t="s">
        <v>10</v>
      </c>
      <c r="C1156" s="3" t="s">
        <v>10</v>
      </c>
      <c r="D1156" s="1" t="s">
        <v>10</v>
      </c>
      <c r="E1156" s="1" t="s">
        <v>10</v>
      </c>
      <c r="F1156" s="2" t="s">
        <v>548</v>
      </c>
      <c r="G1156" s="2" t="s">
        <v>80</v>
      </c>
      <c r="H1156" s="2" t="s">
        <v>10</v>
      </c>
      <c r="I1156" s="2" t="s">
        <v>180</v>
      </c>
      <c r="J1156" s="2" t="s">
        <v>4041</v>
      </c>
      <c r="K1156" s="2" t="s">
        <v>10</v>
      </c>
      <c r="L1156" s="6"/>
    </row>
    <row r="1157" spans="1:12" hidden="1" x14ac:dyDescent="0.3">
      <c r="A1157" s="2" t="s">
        <v>180</v>
      </c>
      <c r="B1157" s="2" t="s">
        <v>10</v>
      </c>
      <c r="C1157" s="3" t="s">
        <v>10</v>
      </c>
      <c r="D1157" s="1" t="s">
        <v>10</v>
      </c>
      <c r="E1157" s="1" t="s">
        <v>10</v>
      </c>
      <c r="F1157" s="2" t="s">
        <v>548</v>
      </c>
      <c r="G1157" s="2" t="s">
        <v>112</v>
      </c>
      <c r="H1157" s="2" t="s">
        <v>10</v>
      </c>
      <c r="I1157" s="2" t="s">
        <v>180</v>
      </c>
      <c r="J1157" s="2" t="s">
        <v>4042</v>
      </c>
      <c r="K1157" s="2" t="s">
        <v>10</v>
      </c>
      <c r="L1157" s="6"/>
    </row>
    <row r="1158" spans="1:12" ht="27.6" hidden="1" x14ac:dyDescent="0.3">
      <c r="A1158" s="2" t="s">
        <v>180</v>
      </c>
      <c r="B1158" s="2" t="s">
        <v>10</v>
      </c>
      <c r="C1158" s="3" t="s">
        <v>10</v>
      </c>
      <c r="D1158" s="1" t="s">
        <v>10</v>
      </c>
      <c r="E1158" s="1" t="s">
        <v>10</v>
      </c>
      <c r="F1158" s="2" t="s">
        <v>497</v>
      </c>
      <c r="G1158" s="2" t="s">
        <v>143</v>
      </c>
      <c r="H1158" s="2" t="s">
        <v>10</v>
      </c>
      <c r="I1158" s="2" t="s">
        <v>180</v>
      </c>
      <c r="J1158" s="2" t="s">
        <v>4043</v>
      </c>
      <c r="K1158" s="2" t="s">
        <v>10</v>
      </c>
      <c r="L1158" s="6"/>
    </row>
    <row r="1159" spans="1:12" hidden="1" x14ac:dyDescent="0.3">
      <c r="A1159" s="2" t="s">
        <v>180</v>
      </c>
      <c r="B1159" s="2" t="s">
        <v>10</v>
      </c>
      <c r="C1159" s="3" t="s">
        <v>10</v>
      </c>
      <c r="D1159" s="1" t="s">
        <v>10</v>
      </c>
      <c r="E1159" s="1" t="s">
        <v>10</v>
      </c>
      <c r="F1159" s="2" t="s">
        <v>530</v>
      </c>
      <c r="G1159" s="2" t="s">
        <v>143</v>
      </c>
      <c r="H1159" s="2" t="s">
        <v>10</v>
      </c>
      <c r="I1159" s="2" t="s">
        <v>180</v>
      </c>
      <c r="J1159" s="2" t="s">
        <v>678</v>
      </c>
      <c r="K1159" s="2" t="s">
        <v>10</v>
      </c>
      <c r="L1159" s="6"/>
    </row>
    <row r="1160" spans="1:12" hidden="1" x14ac:dyDescent="0.3">
      <c r="A1160" s="2" t="s">
        <v>180</v>
      </c>
      <c r="B1160" s="2" t="s">
        <v>10</v>
      </c>
      <c r="C1160" s="3" t="s">
        <v>10</v>
      </c>
      <c r="D1160" s="1" t="s">
        <v>10</v>
      </c>
      <c r="E1160" s="1" t="s">
        <v>10</v>
      </c>
      <c r="F1160" s="2" t="s">
        <v>530</v>
      </c>
      <c r="G1160" s="2" t="s">
        <v>92</v>
      </c>
      <c r="H1160" s="2" t="s">
        <v>10</v>
      </c>
      <c r="I1160" s="2" t="s">
        <v>180</v>
      </c>
      <c r="J1160" s="2" t="s">
        <v>826</v>
      </c>
      <c r="K1160" s="2" t="s">
        <v>10</v>
      </c>
      <c r="L1160" s="6"/>
    </row>
    <row r="1161" spans="1:12" hidden="1" x14ac:dyDescent="0.3">
      <c r="A1161" s="2" t="s">
        <v>180</v>
      </c>
      <c r="B1161" s="2" t="s">
        <v>10</v>
      </c>
      <c r="C1161" s="3" t="s">
        <v>10</v>
      </c>
      <c r="D1161" s="1" t="s">
        <v>10</v>
      </c>
      <c r="E1161" s="1" t="s">
        <v>10</v>
      </c>
      <c r="F1161" s="2" t="s">
        <v>530</v>
      </c>
      <c r="G1161" s="2" t="s">
        <v>86</v>
      </c>
      <c r="H1161" s="2" t="s">
        <v>334</v>
      </c>
      <c r="I1161" s="2" t="s">
        <v>180</v>
      </c>
      <c r="J1161" s="2" t="s">
        <v>4044</v>
      </c>
      <c r="K1161" s="2" t="s">
        <v>10</v>
      </c>
      <c r="L1161" s="6"/>
    </row>
    <row r="1162" spans="1:12" hidden="1" x14ac:dyDescent="0.3">
      <c r="A1162" s="2" t="s">
        <v>180</v>
      </c>
      <c r="B1162" s="2" t="s">
        <v>10</v>
      </c>
      <c r="C1162" s="3" t="s">
        <v>10</v>
      </c>
      <c r="D1162" s="1" t="s">
        <v>10</v>
      </c>
      <c r="E1162" s="1" t="s">
        <v>10</v>
      </c>
      <c r="F1162" s="2" t="s">
        <v>459</v>
      </c>
      <c r="G1162" s="2" t="s">
        <v>112</v>
      </c>
      <c r="H1162" s="2" t="s">
        <v>10</v>
      </c>
      <c r="I1162" s="2" t="s">
        <v>180</v>
      </c>
      <c r="J1162" s="2" t="s">
        <v>315</v>
      </c>
      <c r="K1162" s="2" t="s">
        <v>10</v>
      </c>
      <c r="L1162" s="6"/>
    </row>
    <row r="1163" spans="1:12" hidden="1" x14ac:dyDescent="0.3">
      <c r="A1163" s="2" t="s">
        <v>180</v>
      </c>
      <c r="B1163" s="2" t="s">
        <v>10</v>
      </c>
      <c r="C1163" s="3" t="s">
        <v>10</v>
      </c>
      <c r="D1163" s="1" t="s">
        <v>10</v>
      </c>
      <c r="E1163" s="1" t="s">
        <v>10</v>
      </c>
      <c r="F1163" s="2" t="s">
        <v>507</v>
      </c>
      <c r="G1163" s="2" t="s">
        <v>31</v>
      </c>
      <c r="H1163" s="2" t="s">
        <v>10</v>
      </c>
      <c r="I1163" s="2" t="s">
        <v>180</v>
      </c>
      <c r="J1163" s="2" t="s">
        <v>684</v>
      </c>
      <c r="K1163" s="2" t="s">
        <v>10</v>
      </c>
      <c r="L1163" s="6"/>
    </row>
    <row r="1164" spans="1:12" hidden="1" x14ac:dyDescent="0.3">
      <c r="A1164" s="2" t="s">
        <v>180</v>
      </c>
      <c r="B1164" s="2" t="s">
        <v>10</v>
      </c>
      <c r="C1164" s="3" t="s">
        <v>10</v>
      </c>
      <c r="D1164" s="1" t="s">
        <v>10</v>
      </c>
      <c r="E1164" s="1" t="s">
        <v>10</v>
      </c>
      <c r="F1164" s="2" t="s">
        <v>4045</v>
      </c>
      <c r="G1164" s="2" t="s">
        <v>380</v>
      </c>
      <c r="H1164" s="2" t="s">
        <v>10</v>
      </c>
      <c r="I1164" s="2" t="s">
        <v>180</v>
      </c>
      <c r="J1164" s="2" t="s">
        <v>1271</v>
      </c>
      <c r="K1164" s="2" t="s">
        <v>10</v>
      </c>
      <c r="L1164" s="6"/>
    </row>
    <row r="1165" spans="1:12" ht="27.6" hidden="1" x14ac:dyDescent="0.3">
      <c r="A1165" s="2" t="s">
        <v>180</v>
      </c>
      <c r="B1165" s="2" t="s">
        <v>10</v>
      </c>
      <c r="C1165" s="3" t="s">
        <v>10</v>
      </c>
      <c r="D1165" s="1" t="s">
        <v>10</v>
      </c>
      <c r="E1165" s="1" t="s">
        <v>10</v>
      </c>
      <c r="F1165" s="2" t="s">
        <v>691</v>
      </c>
      <c r="G1165" s="2" t="s">
        <v>31</v>
      </c>
      <c r="H1165" s="2" t="s">
        <v>10</v>
      </c>
      <c r="I1165" s="2" t="s">
        <v>180</v>
      </c>
      <c r="J1165" s="2" t="s">
        <v>718</v>
      </c>
      <c r="K1165" s="2" t="s">
        <v>10</v>
      </c>
      <c r="L1165" s="6"/>
    </row>
    <row r="1166" spans="1:12" hidden="1" x14ac:dyDescent="0.3">
      <c r="A1166" s="2" t="s">
        <v>180</v>
      </c>
      <c r="B1166" s="2" t="s">
        <v>10</v>
      </c>
      <c r="C1166" s="3" t="s">
        <v>10</v>
      </c>
      <c r="D1166" s="1" t="s">
        <v>10</v>
      </c>
      <c r="E1166" s="1" t="s">
        <v>10</v>
      </c>
      <c r="F1166" s="2" t="s">
        <v>201</v>
      </c>
      <c r="G1166" s="2" t="s">
        <v>380</v>
      </c>
      <c r="H1166" s="2" t="s">
        <v>10</v>
      </c>
      <c r="I1166" s="2" t="s">
        <v>180</v>
      </c>
      <c r="J1166" s="2" t="s">
        <v>1083</v>
      </c>
      <c r="K1166" s="2" t="s">
        <v>10</v>
      </c>
      <c r="L1166" s="6"/>
    </row>
    <row r="1167" spans="1:12" hidden="1" x14ac:dyDescent="0.3">
      <c r="A1167" s="2" t="s">
        <v>180</v>
      </c>
      <c r="B1167" s="2" t="s">
        <v>10</v>
      </c>
      <c r="C1167" s="3" t="s">
        <v>10</v>
      </c>
      <c r="D1167" s="1" t="s">
        <v>10</v>
      </c>
      <c r="E1167" s="1" t="s">
        <v>10</v>
      </c>
      <c r="F1167" s="2" t="s">
        <v>195</v>
      </c>
      <c r="G1167" s="2" t="s">
        <v>152</v>
      </c>
      <c r="H1167" s="2" t="s">
        <v>10</v>
      </c>
      <c r="I1167" s="2" t="s">
        <v>180</v>
      </c>
      <c r="J1167" s="2" t="s">
        <v>153</v>
      </c>
      <c r="K1167" s="2" t="s">
        <v>10</v>
      </c>
      <c r="L1167" s="6"/>
    </row>
    <row r="1168" spans="1:12" hidden="1" x14ac:dyDescent="0.3">
      <c r="A1168" s="2" t="s">
        <v>180</v>
      </c>
      <c r="B1168" s="2" t="s">
        <v>10</v>
      </c>
      <c r="C1168" s="3" t="s">
        <v>10</v>
      </c>
      <c r="D1168" s="1" t="s">
        <v>10</v>
      </c>
      <c r="E1168" s="1" t="s">
        <v>10</v>
      </c>
      <c r="F1168" s="2" t="s">
        <v>195</v>
      </c>
      <c r="G1168" s="2" t="s">
        <v>86</v>
      </c>
      <c r="H1168" s="2" t="s">
        <v>10</v>
      </c>
      <c r="I1168" s="2" t="s">
        <v>180</v>
      </c>
      <c r="J1168" s="2" t="s">
        <v>87</v>
      </c>
      <c r="K1168" s="2" t="s">
        <v>10</v>
      </c>
      <c r="L1168" s="6"/>
    </row>
    <row r="1169" spans="1:12" hidden="1" x14ac:dyDescent="0.3">
      <c r="A1169" s="2" t="s">
        <v>180</v>
      </c>
      <c r="B1169" s="2" t="s">
        <v>10</v>
      </c>
      <c r="C1169" s="3" t="s">
        <v>10</v>
      </c>
      <c r="D1169" s="1" t="s">
        <v>10</v>
      </c>
      <c r="E1169" s="1" t="s">
        <v>10</v>
      </c>
      <c r="F1169" s="2" t="s">
        <v>195</v>
      </c>
      <c r="G1169" s="2" t="s">
        <v>112</v>
      </c>
      <c r="H1169" s="2" t="s">
        <v>892</v>
      </c>
      <c r="I1169" s="2" t="s">
        <v>180</v>
      </c>
      <c r="J1169" s="2" t="s">
        <v>315</v>
      </c>
      <c r="K1169" s="2" t="s">
        <v>10</v>
      </c>
      <c r="L1169" s="6"/>
    </row>
    <row r="1170" spans="1:12" ht="27.6" hidden="1" x14ac:dyDescent="0.3">
      <c r="A1170" s="2" t="s">
        <v>1957</v>
      </c>
      <c r="B1170" s="2" t="s">
        <v>4046</v>
      </c>
      <c r="C1170" s="3">
        <v>32062</v>
      </c>
      <c r="D1170" s="1" t="s">
        <v>4047</v>
      </c>
      <c r="E1170" s="1" t="s">
        <v>4048</v>
      </c>
      <c r="F1170" s="2" t="s">
        <v>1961</v>
      </c>
      <c r="G1170" s="2" t="s">
        <v>278</v>
      </c>
      <c r="H1170" s="2" t="s">
        <v>10</v>
      </c>
      <c r="I1170" s="2" t="s">
        <v>1957</v>
      </c>
      <c r="J1170" s="2" t="s">
        <v>279</v>
      </c>
      <c r="K1170" s="2" t="s">
        <v>10</v>
      </c>
    </row>
    <row r="1171" spans="1:12" ht="27.6" hidden="1" x14ac:dyDescent="0.3">
      <c r="A1171" s="2" t="s">
        <v>1957</v>
      </c>
      <c r="B1171" s="2" t="s">
        <v>4049</v>
      </c>
      <c r="C1171" s="3">
        <v>32591</v>
      </c>
      <c r="D1171" s="1" t="s">
        <v>4050</v>
      </c>
      <c r="E1171" s="1" t="s">
        <v>4051</v>
      </c>
      <c r="F1171" s="2" t="s">
        <v>1961</v>
      </c>
      <c r="G1171" s="2" t="s">
        <v>669</v>
      </c>
      <c r="H1171" s="2" t="s">
        <v>10</v>
      </c>
      <c r="I1171" s="2" t="s">
        <v>1957</v>
      </c>
      <c r="J1171" s="2" t="s">
        <v>670</v>
      </c>
      <c r="K1171" s="2" t="s">
        <v>10</v>
      </c>
    </row>
    <row r="1172" spans="1:12" ht="27.6" hidden="1" x14ac:dyDescent="0.3">
      <c r="A1172" s="2" t="s">
        <v>60</v>
      </c>
      <c r="B1172" s="2" t="s">
        <v>4052</v>
      </c>
      <c r="C1172" s="3">
        <v>28338</v>
      </c>
      <c r="D1172" s="1" t="s">
        <v>4053</v>
      </c>
      <c r="E1172" s="1" t="s">
        <v>4054</v>
      </c>
      <c r="F1172" s="2" t="s">
        <v>410</v>
      </c>
      <c r="G1172" s="2" t="s">
        <v>48</v>
      </c>
      <c r="H1172" s="2" t="s">
        <v>10</v>
      </c>
      <c r="I1172" s="2" t="s">
        <v>60</v>
      </c>
      <c r="J1172" s="2" t="s">
        <v>49</v>
      </c>
      <c r="K1172" s="2" t="s">
        <v>10</v>
      </c>
    </row>
    <row r="1173" spans="1:12" ht="27.6" hidden="1" x14ac:dyDescent="0.3">
      <c r="A1173" s="2" t="s">
        <v>60</v>
      </c>
      <c r="B1173" s="2" t="s">
        <v>4052</v>
      </c>
      <c r="C1173" s="3">
        <v>28338</v>
      </c>
      <c r="D1173" s="1" t="s">
        <v>4053</v>
      </c>
      <c r="E1173" s="1" t="s">
        <v>4054</v>
      </c>
      <c r="F1173" s="2" t="s">
        <v>301</v>
      </c>
      <c r="G1173" s="2" t="s">
        <v>319</v>
      </c>
      <c r="H1173" s="2" t="s">
        <v>10</v>
      </c>
      <c r="I1173" s="2" t="s">
        <v>60</v>
      </c>
      <c r="J1173" s="2" t="s">
        <v>320</v>
      </c>
      <c r="K1173" s="2" t="s">
        <v>10</v>
      </c>
    </row>
    <row r="1174" spans="1:12" hidden="1" x14ac:dyDescent="0.3">
      <c r="A1174" s="2" t="s">
        <v>180</v>
      </c>
      <c r="B1174" s="2" t="s">
        <v>4055</v>
      </c>
      <c r="C1174" s="3">
        <v>36645</v>
      </c>
      <c r="D1174" s="1" t="s">
        <v>4056</v>
      </c>
      <c r="E1174" s="1" t="s">
        <v>4057</v>
      </c>
      <c r="F1174" s="2" t="s">
        <v>195</v>
      </c>
      <c r="G1174" s="2" t="s">
        <v>333</v>
      </c>
      <c r="H1174" s="2" t="s">
        <v>10</v>
      </c>
      <c r="I1174" s="2" t="s">
        <v>180</v>
      </c>
      <c r="J1174" s="2" t="s">
        <v>4058</v>
      </c>
      <c r="K1174" s="2" t="s">
        <v>10</v>
      </c>
      <c r="L1174" s="6"/>
    </row>
    <row r="1175" spans="1:12" ht="27.6" hidden="1" x14ac:dyDescent="0.3">
      <c r="A1175" s="2" t="s">
        <v>1957</v>
      </c>
      <c r="B1175" s="2" t="s">
        <v>4049</v>
      </c>
      <c r="C1175" s="3">
        <v>32591</v>
      </c>
      <c r="D1175" s="1" t="s">
        <v>4050</v>
      </c>
      <c r="E1175" s="1" t="s">
        <v>4051</v>
      </c>
      <c r="F1175" s="2" t="s">
        <v>1961</v>
      </c>
      <c r="G1175" s="2" t="s">
        <v>880</v>
      </c>
      <c r="H1175" s="2" t="s">
        <v>10</v>
      </c>
      <c r="I1175" s="2" t="s">
        <v>1957</v>
      </c>
      <c r="J1175" s="2" t="s">
        <v>4059</v>
      </c>
      <c r="K1175" s="2" t="s">
        <v>10</v>
      </c>
    </row>
    <row r="1176" spans="1:12" hidden="1" x14ac:dyDescent="0.3">
      <c r="A1176" s="2" t="s">
        <v>180</v>
      </c>
      <c r="B1176" s="2" t="s">
        <v>4060</v>
      </c>
      <c r="C1176" s="3">
        <v>21627</v>
      </c>
      <c r="D1176" s="1" t="s">
        <v>4061</v>
      </c>
      <c r="E1176" s="1" t="s">
        <v>4062</v>
      </c>
      <c r="F1176" s="2" t="s">
        <v>466</v>
      </c>
      <c r="G1176" s="2" t="s">
        <v>143</v>
      </c>
      <c r="H1176" s="2" t="s">
        <v>10</v>
      </c>
      <c r="I1176" s="2" t="s">
        <v>180</v>
      </c>
      <c r="J1176" s="2" t="s">
        <v>144</v>
      </c>
      <c r="K1176" s="2" t="s">
        <v>10</v>
      </c>
      <c r="L1176" s="6"/>
    </row>
    <row r="1177" spans="1:12" ht="27.6" hidden="1" x14ac:dyDescent="0.3">
      <c r="A1177" s="2" t="s">
        <v>1962</v>
      </c>
      <c r="B1177" s="2" t="s">
        <v>4063</v>
      </c>
      <c r="C1177" s="3">
        <v>37929</v>
      </c>
      <c r="D1177" s="1" t="s">
        <v>4064</v>
      </c>
      <c r="E1177" s="1" t="s">
        <v>4065</v>
      </c>
      <c r="F1177" s="2" t="s">
        <v>1191</v>
      </c>
      <c r="G1177" s="2" t="s">
        <v>48</v>
      </c>
      <c r="H1177" s="2" t="s">
        <v>26</v>
      </c>
      <c r="I1177" s="2" t="s">
        <v>1962</v>
      </c>
      <c r="J1177" s="2" t="s">
        <v>4066</v>
      </c>
      <c r="K1177" s="2" t="s">
        <v>10</v>
      </c>
    </row>
    <row r="1178" spans="1:12" ht="27.6" hidden="1" x14ac:dyDescent="0.3">
      <c r="A1178" s="2" t="s">
        <v>60</v>
      </c>
      <c r="B1178" s="2" t="s">
        <v>4067</v>
      </c>
      <c r="C1178" s="3">
        <v>28397</v>
      </c>
      <c r="D1178" s="1" t="s">
        <v>4068</v>
      </c>
      <c r="E1178" s="1" t="s">
        <v>4069</v>
      </c>
      <c r="F1178" s="2" t="s">
        <v>865</v>
      </c>
      <c r="G1178" s="2" t="s">
        <v>190</v>
      </c>
      <c r="H1178" s="2" t="s">
        <v>334</v>
      </c>
      <c r="I1178" s="2" t="s">
        <v>60</v>
      </c>
      <c r="J1178" s="2" t="s">
        <v>1083</v>
      </c>
      <c r="K1178" s="2" t="s">
        <v>10</v>
      </c>
    </row>
    <row r="1179" spans="1:12" ht="27.6" hidden="1" x14ac:dyDescent="0.3">
      <c r="A1179" s="2" t="s">
        <v>60</v>
      </c>
      <c r="B1179" s="2" t="s">
        <v>4070</v>
      </c>
      <c r="C1179" s="3">
        <v>23653</v>
      </c>
      <c r="D1179" s="1" t="s">
        <v>1990</v>
      </c>
      <c r="E1179" s="1" t="s">
        <v>1991</v>
      </c>
      <c r="F1179" s="2" t="s">
        <v>123</v>
      </c>
      <c r="G1179" s="2" t="s">
        <v>425</v>
      </c>
      <c r="H1179" s="2" t="s">
        <v>4071</v>
      </c>
      <c r="I1179" s="2" t="s">
        <v>60</v>
      </c>
      <c r="J1179" s="2" t="s">
        <v>1181</v>
      </c>
      <c r="K1179" s="2" t="s">
        <v>10</v>
      </c>
    </row>
    <row r="1180" spans="1:12" ht="27.6" hidden="1" x14ac:dyDescent="0.3">
      <c r="A1180" s="2" t="s">
        <v>60</v>
      </c>
      <c r="B1180" s="2" t="s">
        <v>1989</v>
      </c>
      <c r="C1180" s="3">
        <v>23653</v>
      </c>
      <c r="D1180" s="1" t="s">
        <v>4072</v>
      </c>
      <c r="E1180" s="1" t="s">
        <v>1991</v>
      </c>
      <c r="F1180" s="2" t="s">
        <v>2247</v>
      </c>
      <c r="G1180" s="2" t="s">
        <v>112</v>
      </c>
      <c r="H1180" s="2" t="s">
        <v>10</v>
      </c>
      <c r="I1180" s="2" t="s">
        <v>60</v>
      </c>
      <c r="J1180" s="2" t="s">
        <v>315</v>
      </c>
      <c r="K1180" s="2" t="s">
        <v>10</v>
      </c>
    </row>
    <row r="1181" spans="1:12" ht="27.6" hidden="1" x14ac:dyDescent="0.3">
      <c r="A1181" s="2" t="s">
        <v>1957</v>
      </c>
      <c r="B1181" s="2" t="s">
        <v>4073</v>
      </c>
      <c r="C1181" s="3">
        <v>20821</v>
      </c>
      <c r="D1181" s="1" t="s">
        <v>679</v>
      </c>
      <c r="E1181" s="1" t="s">
        <v>4074</v>
      </c>
      <c r="F1181" s="2" t="s">
        <v>1961</v>
      </c>
      <c r="G1181" s="2" t="s">
        <v>37</v>
      </c>
      <c r="H1181" s="2" t="s">
        <v>10</v>
      </c>
      <c r="I1181" s="2" t="s">
        <v>1957</v>
      </c>
      <c r="J1181" s="2" t="s">
        <v>406</v>
      </c>
      <c r="K1181" s="2" t="s">
        <v>10</v>
      </c>
    </row>
    <row r="1182" spans="1:12" ht="27.6" hidden="1" x14ac:dyDescent="0.3">
      <c r="A1182" s="2" t="s">
        <v>1957</v>
      </c>
      <c r="B1182" s="2" t="s">
        <v>4075</v>
      </c>
      <c r="C1182" s="3">
        <v>36705</v>
      </c>
      <c r="D1182" s="1" t="s">
        <v>4076</v>
      </c>
      <c r="E1182" s="1" t="s">
        <v>4077</v>
      </c>
      <c r="F1182" s="2" t="s">
        <v>1961</v>
      </c>
      <c r="G1182" s="2" t="s">
        <v>190</v>
      </c>
      <c r="H1182" s="2" t="s">
        <v>10</v>
      </c>
      <c r="I1182" s="2" t="s">
        <v>1957</v>
      </c>
      <c r="J1182" s="2" t="s">
        <v>1155</v>
      </c>
      <c r="K1182" s="2" t="s">
        <v>10</v>
      </c>
    </row>
    <row r="1183" spans="1:12" ht="27.6" hidden="1" x14ac:dyDescent="0.3">
      <c r="A1183" s="2" t="s">
        <v>180</v>
      </c>
      <c r="B1183" s="2" t="s">
        <v>4078</v>
      </c>
      <c r="C1183" s="3">
        <v>24212</v>
      </c>
      <c r="D1183" s="1" t="s">
        <v>4079</v>
      </c>
      <c r="E1183" s="1" t="s">
        <v>4080</v>
      </c>
      <c r="F1183" s="2" t="s">
        <v>1199</v>
      </c>
      <c r="G1183" s="2" t="s">
        <v>380</v>
      </c>
      <c r="H1183" s="2" t="s">
        <v>10</v>
      </c>
      <c r="I1183" s="2" t="s">
        <v>180</v>
      </c>
      <c r="J1183" s="2" t="s">
        <v>1083</v>
      </c>
      <c r="K1183" s="2" t="s">
        <v>10</v>
      </c>
      <c r="L1183" s="6"/>
    </row>
    <row r="1184" spans="1:12" hidden="1" x14ac:dyDescent="0.3">
      <c r="A1184" s="2" t="s">
        <v>180</v>
      </c>
      <c r="B1184" s="2" t="s">
        <v>10</v>
      </c>
      <c r="C1184" s="3" t="s">
        <v>10</v>
      </c>
      <c r="D1184" s="1" t="s">
        <v>10</v>
      </c>
      <c r="E1184" s="1" t="s">
        <v>10</v>
      </c>
      <c r="F1184" s="2" t="s">
        <v>491</v>
      </c>
      <c r="G1184" s="2" t="s">
        <v>380</v>
      </c>
      <c r="H1184" s="2" t="s">
        <v>10</v>
      </c>
      <c r="I1184" s="2" t="s">
        <v>180</v>
      </c>
      <c r="J1184" s="2" t="s">
        <v>744</v>
      </c>
      <c r="K1184" s="2" t="s">
        <v>10</v>
      </c>
      <c r="L1184" s="6"/>
    </row>
    <row r="1185" spans="1:12" hidden="1" x14ac:dyDescent="0.3">
      <c r="A1185" s="2" t="s">
        <v>180</v>
      </c>
      <c r="B1185" s="2" t="s">
        <v>10</v>
      </c>
      <c r="C1185" s="3" t="s">
        <v>10</v>
      </c>
      <c r="D1185" s="1" t="s">
        <v>10</v>
      </c>
      <c r="E1185" s="1" t="s">
        <v>10</v>
      </c>
      <c r="F1185" s="2" t="s">
        <v>491</v>
      </c>
      <c r="G1185" s="2" t="s">
        <v>12</v>
      </c>
      <c r="H1185" s="2" t="s">
        <v>43</v>
      </c>
      <c r="I1185" s="2" t="s">
        <v>180</v>
      </c>
      <c r="J1185" s="2" t="s">
        <v>540</v>
      </c>
      <c r="K1185" s="2" t="s">
        <v>10</v>
      </c>
      <c r="L1185" s="6"/>
    </row>
    <row r="1186" spans="1:12" hidden="1" x14ac:dyDescent="0.3">
      <c r="A1186" s="2" t="s">
        <v>180</v>
      </c>
      <c r="B1186" s="2" t="s">
        <v>10</v>
      </c>
      <c r="C1186" s="3" t="s">
        <v>10</v>
      </c>
      <c r="D1186" s="1" t="s">
        <v>10</v>
      </c>
      <c r="E1186" s="1" t="s">
        <v>10</v>
      </c>
      <c r="F1186" s="2" t="s">
        <v>491</v>
      </c>
      <c r="G1186" s="2" t="s">
        <v>366</v>
      </c>
      <c r="H1186" s="2" t="s">
        <v>10</v>
      </c>
      <c r="I1186" s="2" t="s">
        <v>180</v>
      </c>
      <c r="J1186" s="2" t="s">
        <v>437</v>
      </c>
      <c r="K1186" s="2" t="s">
        <v>10</v>
      </c>
      <c r="L1186" s="6"/>
    </row>
    <row r="1187" spans="1:12" hidden="1" x14ac:dyDescent="0.3">
      <c r="A1187" s="2" t="s">
        <v>180</v>
      </c>
      <c r="B1187" s="2" t="s">
        <v>10</v>
      </c>
      <c r="C1187" s="3" t="s">
        <v>10</v>
      </c>
      <c r="D1187" s="1" t="s">
        <v>10</v>
      </c>
      <c r="E1187" s="1" t="s">
        <v>10</v>
      </c>
      <c r="F1187" s="2" t="s">
        <v>491</v>
      </c>
      <c r="G1187" s="2" t="s">
        <v>92</v>
      </c>
      <c r="H1187" s="2" t="s">
        <v>10</v>
      </c>
      <c r="I1187" s="2" t="s">
        <v>180</v>
      </c>
      <c r="J1187" s="2" t="s">
        <v>4081</v>
      </c>
      <c r="K1187" s="2" t="s">
        <v>10</v>
      </c>
      <c r="L1187" s="6"/>
    </row>
    <row r="1188" spans="1:12" hidden="1" x14ac:dyDescent="0.3">
      <c r="A1188" s="2" t="s">
        <v>180</v>
      </c>
      <c r="B1188" s="2" t="s">
        <v>4082</v>
      </c>
      <c r="C1188" s="3">
        <v>23508</v>
      </c>
      <c r="D1188" s="1" t="s">
        <v>4083</v>
      </c>
      <c r="E1188" s="1" t="s">
        <v>4084</v>
      </c>
      <c r="F1188" s="2" t="s">
        <v>466</v>
      </c>
      <c r="G1188" s="2" t="s">
        <v>31</v>
      </c>
      <c r="H1188" s="2" t="s">
        <v>26</v>
      </c>
      <c r="I1188" s="2" t="s">
        <v>180</v>
      </c>
      <c r="J1188" s="2" t="s">
        <v>684</v>
      </c>
      <c r="K1188" s="2" t="s">
        <v>10</v>
      </c>
      <c r="L1188" s="6"/>
    </row>
    <row r="1189" spans="1:12" hidden="1" x14ac:dyDescent="0.3">
      <c r="A1189" s="2" t="s">
        <v>180</v>
      </c>
      <c r="B1189" s="2" t="s">
        <v>4085</v>
      </c>
      <c r="C1189" s="3">
        <v>34313</v>
      </c>
      <c r="D1189" s="1" t="s">
        <v>4086</v>
      </c>
      <c r="E1189" s="1" t="s">
        <v>4087</v>
      </c>
      <c r="F1189" s="2" t="s">
        <v>466</v>
      </c>
      <c r="G1189" s="2" t="s">
        <v>328</v>
      </c>
      <c r="H1189" s="2" t="s">
        <v>10</v>
      </c>
      <c r="I1189" s="2" t="s">
        <v>180</v>
      </c>
      <c r="J1189" s="2" t="s">
        <v>4088</v>
      </c>
      <c r="K1189" s="2" t="s">
        <v>10</v>
      </c>
      <c r="L1189" s="6"/>
    </row>
    <row r="1190" spans="1:12" hidden="1" x14ac:dyDescent="0.3">
      <c r="A1190" s="2" t="s">
        <v>180</v>
      </c>
      <c r="B1190" s="2" t="s">
        <v>4089</v>
      </c>
      <c r="C1190" s="3">
        <v>37421</v>
      </c>
      <c r="D1190" s="1" t="s">
        <v>4090</v>
      </c>
      <c r="E1190" s="1" t="s">
        <v>4091</v>
      </c>
      <c r="F1190" s="2" t="s">
        <v>530</v>
      </c>
      <c r="G1190" s="2" t="s">
        <v>124</v>
      </c>
      <c r="H1190" s="2" t="s">
        <v>10</v>
      </c>
      <c r="I1190" s="2" t="s">
        <v>180</v>
      </c>
      <c r="J1190" s="2" t="s">
        <v>173</v>
      </c>
      <c r="K1190" s="2" t="s">
        <v>10</v>
      </c>
      <c r="L1190" s="6"/>
    </row>
    <row r="1191" spans="1:12" ht="27.6" hidden="1" x14ac:dyDescent="0.3">
      <c r="A1191" s="2" t="s">
        <v>11</v>
      </c>
      <c r="B1191" s="2" t="s">
        <v>4092</v>
      </c>
      <c r="C1191" s="3">
        <v>26762</v>
      </c>
      <c r="D1191" s="1" t="s">
        <v>4093</v>
      </c>
      <c r="E1191" s="1" t="s">
        <v>4094</v>
      </c>
      <c r="F1191" s="2" t="s">
        <v>16</v>
      </c>
      <c r="G1191" s="2" t="s">
        <v>292</v>
      </c>
      <c r="H1191" s="2" t="s">
        <v>10</v>
      </c>
      <c r="I1191" s="2" t="s">
        <v>11</v>
      </c>
      <c r="J1191" s="2" t="s">
        <v>4095</v>
      </c>
      <c r="K1191" s="2" t="s">
        <v>10</v>
      </c>
    </row>
    <row r="1192" spans="1:12" ht="27.6" hidden="1" x14ac:dyDescent="0.3">
      <c r="A1192" s="2" t="s">
        <v>60</v>
      </c>
      <c r="B1192" s="2" t="s">
        <v>4096</v>
      </c>
      <c r="C1192" s="3">
        <v>34089</v>
      </c>
      <c r="D1192" s="1" t="s">
        <v>4097</v>
      </c>
      <c r="E1192" s="1" t="s">
        <v>4098</v>
      </c>
      <c r="F1192" s="2" t="s">
        <v>257</v>
      </c>
      <c r="G1192" s="2" t="s">
        <v>696</v>
      </c>
      <c r="H1192" s="2" t="s">
        <v>10</v>
      </c>
      <c r="I1192" s="2" t="s">
        <v>60</v>
      </c>
      <c r="J1192" s="2" t="s">
        <v>4099</v>
      </c>
      <c r="K1192" s="2" t="s">
        <v>10</v>
      </c>
    </row>
    <row r="1193" spans="1:12" ht="27.6" hidden="1" x14ac:dyDescent="0.3">
      <c r="A1193" s="2" t="s">
        <v>60</v>
      </c>
      <c r="B1193" s="2" t="s">
        <v>4100</v>
      </c>
      <c r="C1193" s="3">
        <v>29900</v>
      </c>
      <c r="D1193" s="1" t="s">
        <v>4101</v>
      </c>
      <c r="E1193" s="1" t="s">
        <v>4102</v>
      </c>
      <c r="F1193" s="2" t="s">
        <v>274</v>
      </c>
      <c r="G1193" s="2" t="s">
        <v>112</v>
      </c>
      <c r="H1193" s="2" t="s">
        <v>103</v>
      </c>
      <c r="I1193" s="2" t="s">
        <v>60</v>
      </c>
      <c r="J1193" s="2" t="s">
        <v>113</v>
      </c>
      <c r="K1193" s="2" t="s">
        <v>10</v>
      </c>
    </row>
    <row r="1194" spans="1:12" ht="27.6" hidden="1" x14ac:dyDescent="0.3">
      <c r="A1194" s="2" t="s">
        <v>60</v>
      </c>
      <c r="B1194" s="2" t="s">
        <v>4100</v>
      </c>
      <c r="C1194" s="3">
        <v>29900</v>
      </c>
      <c r="D1194" s="1" t="s">
        <v>4101</v>
      </c>
      <c r="E1194" s="1" t="s">
        <v>4102</v>
      </c>
      <c r="F1194" s="2" t="s">
        <v>274</v>
      </c>
      <c r="G1194" s="2" t="s">
        <v>112</v>
      </c>
      <c r="H1194" s="2" t="s">
        <v>81</v>
      </c>
      <c r="I1194" s="2" t="s">
        <v>60</v>
      </c>
      <c r="J1194" s="2" t="s">
        <v>4103</v>
      </c>
      <c r="K1194" s="2" t="s">
        <v>10</v>
      </c>
    </row>
    <row r="1195" spans="1:12" ht="27.6" hidden="1" x14ac:dyDescent="0.3">
      <c r="A1195" s="2" t="s">
        <v>60</v>
      </c>
      <c r="B1195" s="2" t="s">
        <v>4104</v>
      </c>
      <c r="C1195" s="3">
        <v>30216</v>
      </c>
      <c r="D1195" s="1" t="s">
        <v>4105</v>
      </c>
      <c r="E1195" s="1" t="s">
        <v>4106</v>
      </c>
      <c r="F1195" s="2" t="s">
        <v>2022</v>
      </c>
      <c r="G1195" s="2" t="s">
        <v>196</v>
      </c>
      <c r="H1195" s="2" t="s">
        <v>10</v>
      </c>
      <c r="I1195" s="2" t="s">
        <v>60</v>
      </c>
      <c r="J1195" s="2" t="s">
        <v>197</v>
      </c>
      <c r="K1195" s="2" t="s">
        <v>10</v>
      </c>
    </row>
    <row r="1196" spans="1:12" ht="27.6" hidden="1" x14ac:dyDescent="0.3">
      <c r="A1196" s="2" t="s">
        <v>60</v>
      </c>
      <c r="B1196" s="2" t="s">
        <v>4107</v>
      </c>
      <c r="C1196" s="3">
        <v>31026</v>
      </c>
      <c r="D1196" s="1" t="s">
        <v>4108</v>
      </c>
      <c r="E1196" s="1" t="s">
        <v>4109</v>
      </c>
      <c r="F1196" s="2" t="s">
        <v>618</v>
      </c>
      <c r="G1196" s="2" t="s">
        <v>86</v>
      </c>
      <c r="H1196" s="2" t="s">
        <v>334</v>
      </c>
      <c r="I1196" s="2" t="s">
        <v>60</v>
      </c>
      <c r="J1196" s="2" t="s">
        <v>87</v>
      </c>
      <c r="K1196" s="2" t="s">
        <v>10</v>
      </c>
    </row>
    <row r="1197" spans="1:12" ht="27.6" hidden="1" x14ac:dyDescent="0.3">
      <c r="A1197" s="2" t="s">
        <v>60</v>
      </c>
      <c r="B1197" s="2" t="s">
        <v>4110</v>
      </c>
      <c r="C1197" s="3">
        <v>38874</v>
      </c>
      <c r="D1197" s="1" t="s">
        <v>4111</v>
      </c>
      <c r="E1197" s="1" t="s">
        <v>4112</v>
      </c>
      <c r="F1197" s="2" t="s">
        <v>636</v>
      </c>
      <c r="G1197" s="2" t="s">
        <v>37</v>
      </c>
      <c r="H1197" s="2" t="s">
        <v>10</v>
      </c>
      <c r="I1197" s="2" t="s">
        <v>60</v>
      </c>
      <c r="J1197" s="2" t="s">
        <v>406</v>
      </c>
      <c r="K1197" s="2" t="s">
        <v>10</v>
      </c>
    </row>
    <row r="1198" spans="1:12" ht="27.6" hidden="1" x14ac:dyDescent="0.3">
      <c r="A1198" s="2" t="s">
        <v>60</v>
      </c>
      <c r="B1198" s="2" t="s">
        <v>4113</v>
      </c>
      <c r="C1198" s="3">
        <v>26148</v>
      </c>
      <c r="D1198" s="1" t="s">
        <v>4114</v>
      </c>
      <c r="E1198" s="1" t="s">
        <v>4115</v>
      </c>
      <c r="F1198" s="2" t="s">
        <v>297</v>
      </c>
      <c r="G1198" s="2" t="s">
        <v>143</v>
      </c>
      <c r="H1198" s="2" t="s">
        <v>10</v>
      </c>
      <c r="I1198" s="2" t="s">
        <v>60</v>
      </c>
      <c r="J1198" s="2" t="s">
        <v>144</v>
      </c>
      <c r="K1198" s="2" t="s">
        <v>10</v>
      </c>
    </row>
    <row r="1199" spans="1:12" ht="27.6" hidden="1" x14ac:dyDescent="0.3">
      <c r="A1199" s="2" t="s">
        <v>60</v>
      </c>
      <c r="B1199" s="2" t="s">
        <v>4116</v>
      </c>
      <c r="C1199" s="3">
        <v>34048</v>
      </c>
      <c r="D1199" s="1" t="s">
        <v>4117</v>
      </c>
      <c r="E1199" s="1" t="s">
        <v>4118</v>
      </c>
      <c r="F1199" s="2" t="s">
        <v>618</v>
      </c>
      <c r="G1199" s="2" t="s">
        <v>222</v>
      </c>
      <c r="H1199" s="2" t="s">
        <v>1324</v>
      </c>
      <c r="I1199" s="2" t="s">
        <v>60</v>
      </c>
      <c r="J1199" s="2" t="s">
        <v>223</v>
      </c>
      <c r="K1199" s="2" t="s">
        <v>10</v>
      </c>
    </row>
    <row r="1200" spans="1:12" ht="27.6" hidden="1" x14ac:dyDescent="0.3">
      <c r="A1200" s="2" t="s">
        <v>60</v>
      </c>
      <c r="B1200" s="2" t="s">
        <v>4119</v>
      </c>
      <c r="C1200" s="3">
        <v>28429</v>
      </c>
      <c r="D1200" s="1" t="s">
        <v>4120</v>
      </c>
      <c r="E1200" s="1" t="s">
        <v>4121</v>
      </c>
      <c r="F1200" s="2" t="s">
        <v>60</v>
      </c>
      <c r="G1200" s="2" t="s">
        <v>696</v>
      </c>
      <c r="H1200" s="2" t="s">
        <v>10</v>
      </c>
      <c r="I1200" s="2" t="s">
        <v>60</v>
      </c>
      <c r="J1200" s="2" t="s">
        <v>697</v>
      </c>
      <c r="K1200" s="2" t="s">
        <v>4122</v>
      </c>
    </row>
    <row r="1201" spans="1:12" ht="27.6" hidden="1" x14ac:dyDescent="0.3">
      <c r="A1201" s="2" t="s">
        <v>60</v>
      </c>
      <c r="B1201" s="2" t="s">
        <v>4123</v>
      </c>
      <c r="C1201" s="3">
        <v>27886</v>
      </c>
      <c r="D1201" s="1" t="s">
        <v>4124</v>
      </c>
      <c r="E1201" s="1" t="s">
        <v>4125</v>
      </c>
      <c r="F1201" s="2" t="s">
        <v>410</v>
      </c>
      <c r="G1201" s="2" t="s">
        <v>124</v>
      </c>
      <c r="H1201" s="2" t="s">
        <v>10</v>
      </c>
      <c r="I1201" s="2" t="s">
        <v>60</v>
      </c>
      <c r="J1201" s="2" t="s">
        <v>173</v>
      </c>
      <c r="K1201" s="2" t="s">
        <v>10</v>
      </c>
    </row>
    <row r="1202" spans="1:12" ht="27.6" hidden="1" x14ac:dyDescent="0.3">
      <c r="A1202" s="2" t="s">
        <v>60</v>
      </c>
      <c r="B1202" s="2" t="s">
        <v>4126</v>
      </c>
      <c r="C1202" s="3">
        <v>31006</v>
      </c>
      <c r="D1202" s="1" t="s">
        <v>261</v>
      </c>
      <c r="E1202" s="1" t="s">
        <v>4127</v>
      </c>
      <c r="F1202" s="2" t="s">
        <v>269</v>
      </c>
      <c r="G1202" s="2" t="s">
        <v>75</v>
      </c>
      <c r="H1202" s="2" t="s">
        <v>10</v>
      </c>
      <c r="I1202" s="2" t="s">
        <v>60</v>
      </c>
      <c r="J1202" s="2" t="s">
        <v>76</v>
      </c>
      <c r="K1202" s="2" t="s">
        <v>10</v>
      </c>
    </row>
    <row r="1203" spans="1:12" ht="27.6" hidden="1" x14ac:dyDescent="0.3">
      <c r="A1203" s="2" t="s">
        <v>60</v>
      </c>
      <c r="B1203" s="2" t="s">
        <v>4128</v>
      </c>
      <c r="C1203" s="3">
        <v>29911</v>
      </c>
      <c r="D1203" s="1" t="s">
        <v>4129</v>
      </c>
      <c r="E1203" s="1" t="s">
        <v>4130</v>
      </c>
      <c r="F1203" s="2" t="s">
        <v>1986</v>
      </c>
      <c r="G1203" s="2" t="s">
        <v>86</v>
      </c>
      <c r="H1203" s="2" t="s">
        <v>10</v>
      </c>
      <c r="I1203" s="2" t="s">
        <v>60</v>
      </c>
      <c r="J1203" s="2" t="s">
        <v>87</v>
      </c>
      <c r="K1203" s="2" t="s">
        <v>10</v>
      </c>
    </row>
    <row r="1204" spans="1:12" hidden="1" x14ac:dyDescent="0.3">
      <c r="A1204" s="2" t="s">
        <v>180</v>
      </c>
      <c r="B1204" s="2" t="s">
        <v>4131</v>
      </c>
      <c r="C1204" s="3">
        <v>29138</v>
      </c>
      <c r="D1204" s="1" t="s">
        <v>4132</v>
      </c>
      <c r="E1204" s="1" t="s">
        <v>4133</v>
      </c>
      <c r="F1204" s="2" t="s">
        <v>4134</v>
      </c>
      <c r="G1204" s="2" t="s">
        <v>31</v>
      </c>
      <c r="H1204" s="2" t="s">
        <v>10</v>
      </c>
      <c r="I1204" s="2" t="s">
        <v>180</v>
      </c>
      <c r="J1204" s="2" t="s">
        <v>4135</v>
      </c>
      <c r="K1204" s="2" t="s">
        <v>10</v>
      </c>
      <c r="L1204" s="6"/>
    </row>
    <row r="1205" spans="1:12" hidden="1" x14ac:dyDescent="0.3">
      <c r="A1205" s="2" t="s">
        <v>180</v>
      </c>
      <c r="B1205" s="2" t="s">
        <v>4136</v>
      </c>
      <c r="C1205" s="3">
        <v>35461</v>
      </c>
      <c r="D1205" s="1" t="s">
        <v>4137</v>
      </c>
      <c r="E1205" s="1" t="s">
        <v>4138</v>
      </c>
      <c r="F1205" s="2" t="s">
        <v>548</v>
      </c>
      <c r="G1205" s="2" t="s">
        <v>92</v>
      </c>
      <c r="H1205" s="2" t="s">
        <v>10</v>
      </c>
      <c r="I1205" s="2" t="s">
        <v>180</v>
      </c>
      <c r="J1205" s="2" t="s">
        <v>826</v>
      </c>
      <c r="K1205" s="15" t="s">
        <v>10</v>
      </c>
      <c r="L1205" s="6"/>
    </row>
    <row r="1206" spans="1:12" hidden="1" x14ac:dyDescent="0.3">
      <c r="A1206" s="2" t="s">
        <v>4139</v>
      </c>
      <c r="B1206" s="2" t="s">
        <v>4140</v>
      </c>
      <c r="C1206" s="3">
        <v>23801</v>
      </c>
      <c r="D1206" s="1" t="s">
        <v>4141</v>
      </c>
      <c r="E1206" s="1" t="s">
        <v>4142</v>
      </c>
      <c r="F1206" s="2" t="s">
        <v>4143</v>
      </c>
      <c r="G1206" s="2" t="s">
        <v>4144</v>
      </c>
      <c r="H1206" s="2" t="s">
        <v>103</v>
      </c>
      <c r="I1206" s="2" t="s">
        <v>4139</v>
      </c>
      <c r="J1206" s="2" t="s">
        <v>4145</v>
      </c>
      <c r="K1206" s="2" t="s">
        <v>10</v>
      </c>
      <c r="L1206" s="26"/>
    </row>
    <row r="1207" spans="1:12" ht="27.6" hidden="1" x14ac:dyDescent="0.3">
      <c r="A1207" s="2" t="s">
        <v>11</v>
      </c>
      <c r="B1207" s="2" t="s">
        <v>4146</v>
      </c>
      <c r="C1207" s="3">
        <v>35545</v>
      </c>
      <c r="D1207" s="1" t="s">
        <v>4147</v>
      </c>
      <c r="E1207" s="1" t="s">
        <v>4148</v>
      </c>
      <c r="F1207" s="2" t="s">
        <v>16</v>
      </c>
      <c r="G1207" s="2" t="s">
        <v>92</v>
      </c>
      <c r="H1207" s="2" t="s">
        <v>81</v>
      </c>
      <c r="I1207" s="2" t="s">
        <v>11</v>
      </c>
      <c r="J1207" s="2" t="s">
        <v>4149</v>
      </c>
      <c r="K1207" s="30" t="s">
        <v>13193</v>
      </c>
      <c r="L1207" s="6" t="s">
        <v>13195</v>
      </c>
    </row>
    <row r="1208" spans="1:12" ht="27.6" hidden="1" x14ac:dyDescent="0.3">
      <c r="A1208" s="2" t="s">
        <v>11</v>
      </c>
      <c r="B1208" s="2" t="s">
        <v>4150</v>
      </c>
      <c r="C1208" s="3">
        <v>30200</v>
      </c>
      <c r="D1208" s="1" t="s">
        <v>4151</v>
      </c>
      <c r="E1208" s="1" t="s">
        <v>4152</v>
      </c>
      <c r="F1208" s="2" t="s">
        <v>16</v>
      </c>
      <c r="G1208" s="2" t="s">
        <v>3134</v>
      </c>
      <c r="H1208" s="2" t="s">
        <v>43</v>
      </c>
      <c r="I1208" s="2" t="s">
        <v>11</v>
      </c>
      <c r="J1208" s="2" t="s">
        <v>4153</v>
      </c>
      <c r="K1208" s="2" t="s">
        <v>10</v>
      </c>
    </row>
    <row r="1209" spans="1:12" ht="27.6" hidden="1" x14ac:dyDescent="0.3">
      <c r="A1209" s="2" t="s">
        <v>11</v>
      </c>
      <c r="B1209" s="2" t="s">
        <v>4154</v>
      </c>
      <c r="C1209" s="3">
        <v>35514</v>
      </c>
      <c r="D1209" s="1" t="s">
        <v>4147</v>
      </c>
      <c r="E1209" s="1" t="s">
        <v>4148</v>
      </c>
      <c r="F1209" s="2" t="s">
        <v>16</v>
      </c>
      <c r="G1209" s="2" t="s">
        <v>92</v>
      </c>
      <c r="H1209" s="2" t="s">
        <v>562</v>
      </c>
      <c r="I1209" s="2" t="s">
        <v>11</v>
      </c>
      <c r="J1209" s="2" t="s">
        <v>108</v>
      </c>
      <c r="K1209" s="30" t="s">
        <v>13193</v>
      </c>
      <c r="L1209" s="6" t="s">
        <v>13195</v>
      </c>
    </row>
    <row r="1210" spans="1:12" ht="27.6" hidden="1" x14ac:dyDescent="0.3">
      <c r="A1210" s="2" t="s">
        <v>60</v>
      </c>
      <c r="B1210" s="2" t="s">
        <v>4155</v>
      </c>
      <c r="C1210" s="3">
        <v>18570</v>
      </c>
      <c r="D1210" s="1" t="s">
        <v>4156</v>
      </c>
      <c r="E1210" s="1" t="s">
        <v>4157</v>
      </c>
      <c r="F1210" s="2" t="s">
        <v>274</v>
      </c>
      <c r="G1210" s="2" t="s">
        <v>425</v>
      </c>
      <c r="H1210" s="2" t="s">
        <v>10</v>
      </c>
      <c r="I1210" s="2" t="s">
        <v>60</v>
      </c>
      <c r="J1210" s="2" t="s">
        <v>841</v>
      </c>
      <c r="K1210" s="2" t="s">
        <v>10</v>
      </c>
    </row>
    <row r="1211" spans="1:12" ht="27.6" hidden="1" x14ac:dyDescent="0.3">
      <c r="A1211" s="2" t="s">
        <v>60</v>
      </c>
      <c r="B1211" s="2" t="s">
        <v>4158</v>
      </c>
      <c r="C1211" s="3">
        <v>26466</v>
      </c>
      <c r="D1211" s="1" t="s">
        <v>4159</v>
      </c>
      <c r="E1211" s="1" t="s">
        <v>4160</v>
      </c>
      <c r="F1211" s="2" t="s">
        <v>274</v>
      </c>
      <c r="G1211" s="2" t="s">
        <v>283</v>
      </c>
      <c r="H1211" s="2" t="s">
        <v>10</v>
      </c>
      <c r="I1211" s="2" t="s">
        <v>60</v>
      </c>
      <c r="J1211" s="2" t="s">
        <v>4161</v>
      </c>
      <c r="K1211" s="15" t="s">
        <v>10</v>
      </c>
    </row>
    <row r="1212" spans="1:12" hidden="1" x14ac:dyDescent="0.3">
      <c r="A1212" s="2" t="s">
        <v>4139</v>
      </c>
      <c r="B1212" s="2" t="s">
        <v>4162</v>
      </c>
      <c r="C1212" s="3">
        <v>27694</v>
      </c>
      <c r="D1212" s="1" t="s">
        <v>4163</v>
      </c>
      <c r="E1212" s="1" t="s">
        <v>4164</v>
      </c>
      <c r="F1212" s="2" t="s">
        <v>4143</v>
      </c>
      <c r="G1212" s="2" t="s">
        <v>4165</v>
      </c>
      <c r="H1212" s="2" t="s">
        <v>751</v>
      </c>
      <c r="I1212" s="2" t="s">
        <v>4139</v>
      </c>
      <c r="J1212" s="2" t="s">
        <v>4166</v>
      </c>
      <c r="K1212" s="2" t="s">
        <v>10</v>
      </c>
      <c r="L1212" s="6"/>
    </row>
    <row r="1213" spans="1:12" ht="27.6" hidden="1" x14ac:dyDescent="0.3">
      <c r="A1213" s="2" t="s">
        <v>60</v>
      </c>
      <c r="B1213" s="2" t="s">
        <v>4167</v>
      </c>
      <c r="C1213" s="3">
        <v>26524</v>
      </c>
      <c r="D1213" s="1" t="s">
        <v>4168</v>
      </c>
      <c r="E1213" s="1" t="s">
        <v>4169</v>
      </c>
      <c r="F1213" s="2" t="s">
        <v>618</v>
      </c>
      <c r="G1213" s="2" t="s">
        <v>511</v>
      </c>
      <c r="H1213" s="2" t="s">
        <v>10</v>
      </c>
      <c r="I1213" s="2" t="s">
        <v>60</v>
      </c>
      <c r="J1213" s="2" t="s">
        <v>512</v>
      </c>
      <c r="K1213" s="18" t="s">
        <v>10</v>
      </c>
    </row>
    <row r="1214" spans="1:12" ht="27.6" hidden="1" x14ac:dyDescent="0.3">
      <c r="A1214" s="2" t="s">
        <v>11</v>
      </c>
      <c r="B1214" s="2" t="s">
        <v>4170</v>
      </c>
      <c r="C1214" s="3">
        <v>27203</v>
      </c>
      <c r="D1214" s="1" t="s">
        <v>4171</v>
      </c>
      <c r="E1214" s="1" t="s">
        <v>4172</v>
      </c>
      <c r="F1214" s="2" t="s">
        <v>971</v>
      </c>
      <c r="G1214" s="2" t="s">
        <v>31</v>
      </c>
      <c r="H1214" s="2" t="s">
        <v>10</v>
      </c>
      <c r="I1214" s="2" t="s">
        <v>11</v>
      </c>
      <c r="J1214" s="2" t="s">
        <v>558</v>
      </c>
      <c r="K1214" s="2" t="s">
        <v>10</v>
      </c>
    </row>
    <row r="1215" spans="1:12" ht="27.6" hidden="1" x14ac:dyDescent="0.3">
      <c r="A1215" s="2" t="s">
        <v>11</v>
      </c>
      <c r="B1215" s="2" t="s">
        <v>4173</v>
      </c>
      <c r="C1215" s="3">
        <v>24700</v>
      </c>
      <c r="D1215" s="1" t="s">
        <v>4174</v>
      </c>
      <c r="E1215" s="1" t="s">
        <v>4175</v>
      </c>
      <c r="F1215" s="2" t="s">
        <v>365</v>
      </c>
      <c r="G1215" s="2" t="s">
        <v>75</v>
      </c>
      <c r="H1215" s="2" t="s">
        <v>10</v>
      </c>
      <c r="I1215" s="2" t="s">
        <v>11</v>
      </c>
      <c r="J1215" s="2" t="s">
        <v>76</v>
      </c>
      <c r="K1215" s="15" t="s">
        <v>10</v>
      </c>
    </row>
    <row r="1216" spans="1:12" ht="27.6" hidden="1" x14ac:dyDescent="0.3">
      <c r="A1216" s="2" t="s">
        <v>11</v>
      </c>
      <c r="B1216" s="2" t="s">
        <v>709</v>
      </c>
      <c r="C1216" s="3">
        <v>32206</v>
      </c>
      <c r="D1216" s="1" t="s">
        <v>710</v>
      </c>
      <c r="E1216" s="1" t="s">
        <v>711</v>
      </c>
      <c r="F1216" s="2" t="s">
        <v>16</v>
      </c>
      <c r="G1216" s="2" t="s">
        <v>734</v>
      </c>
      <c r="H1216" s="2" t="s">
        <v>103</v>
      </c>
      <c r="I1216" s="2" t="s">
        <v>11</v>
      </c>
      <c r="J1216" s="2" t="s">
        <v>4176</v>
      </c>
      <c r="K1216" s="2" t="s">
        <v>10</v>
      </c>
      <c r="L1216" s="6"/>
    </row>
    <row r="1217" spans="1:12" ht="27.6" hidden="1" x14ac:dyDescent="0.3">
      <c r="A1217" s="2" t="s">
        <v>11</v>
      </c>
      <c r="B1217" s="2" t="s">
        <v>4177</v>
      </c>
      <c r="C1217" s="3">
        <v>35638</v>
      </c>
      <c r="D1217" s="1" t="s">
        <v>10</v>
      </c>
      <c r="E1217" s="1" t="s">
        <v>4178</v>
      </c>
      <c r="F1217" s="2" t="s">
        <v>575</v>
      </c>
      <c r="G1217" s="2" t="s">
        <v>25</v>
      </c>
      <c r="H1217" s="2" t="s">
        <v>10</v>
      </c>
      <c r="I1217" s="2" t="s">
        <v>11</v>
      </c>
      <c r="J1217" s="2" t="s">
        <v>27</v>
      </c>
      <c r="K1217" s="18" t="s">
        <v>10</v>
      </c>
    </row>
    <row r="1218" spans="1:12" ht="27.6" hidden="1" x14ac:dyDescent="0.3">
      <c r="A1218" s="2" t="s">
        <v>11</v>
      </c>
      <c r="B1218" s="2" t="s">
        <v>4179</v>
      </c>
      <c r="C1218" s="3">
        <v>32997</v>
      </c>
      <c r="D1218" s="1" t="s">
        <v>4180</v>
      </c>
      <c r="E1218" s="1" t="s">
        <v>4181</v>
      </c>
      <c r="F1218" s="2" t="s">
        <v>16</v>
      </c>
      <c r="G1218" s="2" t="s">
        <v>604</v>
      </c>
      <c r="H1218" s="2" t="s">
        <v>751</v>
      </c>
      <c r="I1218" s="2" t="s">
        <v>11</v>
      </c>
      <c r="J1218" s="2" t="s">
        <v>605</v>
      </c>
      <c r="K1218" s="30" t="s">
        <v>13193</v>
      </c>
      <c r="L1218" s="6" t="s">
        <v>13195</v>
      </c>
    </row>
    <row r="1219" spans="1:12" ht="27.6" hidden="1" x14ac:dyDescent="0.3">
      <c r="A1219" s="2" t="s">
        <v>11</v>
      </c>
      <c r="B1219" s="2" t="s">
        <v>4182</v>
      </c>
      <c r="C1219" s="3">
        <v>32625</v>
      </c>
      <c r="D1219" s="1" t="s">
        <v>10</v>
      </c>
      <c r="E1219" s="1" t="s">
        <v>4183</v>
      </c>
      <c r="F1219" s="2" t="s">
        <v>575</v>
      </c>
      <c r="G1219" s="2" t="s">
        <v>48</v>
      </c>
      <c r="H1219" s="2" t="s">
        <v>26</v>
      </c>
      <c r="I1219" s="2" t="s">
        <v>11</v>
      </c>
      <c r="J1219" s="2" t="s">
        <v>49</v>
      </c>
      <c r="K1219" s="2" t="s">
        <v>10</v>
      </c>
    </row>
    <row r="1220" spans="1:12" ht="27.6" hidden="1" x14ac:dyDescent="0.3">
      <c r="A1220" s="2" t="s">
        <v>11</v>
      </c>
      <c r="B1220" s="2" t="s">
        <v>4184</v>
      </c>
      <c r="C1220" s="3">
        <v>30037</v>
      </c>
      <c r="D1220" s="1" t="s">
        <v>10</v>
      </c>
      <c r="E1220" s="1" t="s">
        <v>4185</v>
      </c>
      <c r="F1220" s="2" t="s">
        <v>16</v>
      </c>
      <c r="G1220" s="2" t="s">
        <v>2773</v>
      </c>
      <c r="H1220" s="2" t="s">
        <v>3758</v>
      </c>
      <c r="I1220" s="2" t="s">
        <v>11</v>
      </c>
      <c r="J1220" s="2" t="s">
        <v>4186</v>
      </c>
      <c r="K1220" s="2" t="s">
        <v>10</v>
      </c>
    </row>
    <row r="1221" spans="1:12" ht="27.6" hidden="1" x14ac:dyDescent="0.3">
      <c r="A1221" s="2" t="s">
        <v>11</v>
      </c>
      <c r="B1221" s="2" t="s">
        <v>4187</v>
      </c>
      <c r="C1221" s="3">
        <v>30446</v>
      </c>
      <c r="D1221" s="1" t="s">
        <v>4188</v>
      </c>
      <c r="E1221" s="1" t="s">
        <v>4189</v>
      </c>
      <c r="F1221" s="2" t="s">
        <v>16</v>
      </c>
      <c r="G1221" s="2" t="s">
        <v>2773</v>
      </c>
      <c r="H1221" s="2" t="s">
        <v>3763</v>
      </c>
      <c r="I1221" s="2" t="s">
        <v>11</v>
      </c>
      <c r="J1221" s="2" t="s">
        <v>4190</v>
      </c>
      <c r="K1221" s="2" t="s">
        <v>10</v>
      </c>
    </row>
    <row r="1222" spans="1:12" ht="27.6" hidden="1" x14ac:dyDescent="0.3">
      <c r="A1222" s="2" t="s">
        <v>11</v>
      </c>
      <c r="B1222" s="2" t="s">
        <v>4191</v>
      </c>
      <c r="C1222" s="3">
        <v>37025</v>
      </c>
      <c r="D1222" s="1" t="s">
        <v>10</v>
      </c>
      <c r="E1222" s="1" t="s">
        <v>4192</v>
      </c>
      <c r="F1222" s="2" t="s">
        <v>16</v>
      </c>
      <c r="G1222" s="2" t="s">
        <v>1876</v>
      </c>
      <c r="H1222" s="2" t="s">
        <v>26</v>
      </c>
      <c r="I1222" s="2" t="s">
        <v>11</v>
      </c>
      <c r="J1222" s="2" t="s">
        <v>4193</v>
      </c>
      <c r="K1222" s="2" t="s">
        <v>10</v>
      </c>
    </row>
    <row r="1223" spans="1:12" ht="27.6" hidden="1" x14ac:dyDescent="0.3">
      <c r="A1223" s="2" t="s">
        <v>11</v>
      </c>
      <c r="B1223" s="2" t="s">
        <v>4194</v>
      </c>
      <c r="C1223" s="3">
        <v>35412</v>
      </c>
      <c r="D1223" s="1" t="s">
        <v>10</v>
      </c>
      <c r="E1223" s="1" t="s">
        <v>3846</v>
      </c>
      <c r="F1223" s="2" t="s">
        <v>379</v>
      </c>
      <c r="G1223" s="2" t="s">
        <v>75</v>
      </c>
      <c r="H1223" s="2" t="s">
        <v>26</v>
      </c>
      <c r="I1223" s="2" t="s">
        <v>11</v>
      </c>
      <c r="J1223" s="2" t="s">
        <v>4195</v>
      </c>
      <c r="K1223" s="2" t="s">
        <v>10</v>
      </c>
    </row>
    <row r="1224" spans="1:12" ht="27.6" hidden="1" x14ac:dyDescent="0.3">
      <c r="A1224" s="2" t="s">
        <v>1957</v>
      </c>
      <c r="B1224" s="2" t="s">
        <v>4196</v>
      </c>
      <c r="C1224" s="3">
        <v>38940</v>
      </c>
      <c r="D1224" s="1" t="s">
        <v>4197</v>
      </c>
      <c r="E1224" s="1" t="s">
        <v>4198</v>
      </c>
      <c r="F1224" s="2" t="s">
        <v>1961</v>
      </c>
      <c r="G1224" s="2" t="s">
        <v>196</v>
      </c>
      <c r="H1224" s="2" t="s">
        <v>10</v>
      </c>
      <c r="I1224" s="2" t="s">
        <v>1957</v>
      </c>
      <c r="J1224" s="2" t="s">
        <v>963</v>
      </c>
      <c r="K1224" s="2" t="s">
        <v>10</v>
      </c>
    </row>
    <row r="1225" spans="1:12" ht="27.6" hidden="1" x14ac:dyDescent="0.3">
      <c r="A1225" s="2" t="s">
        <v>1957</v>
      </c>
      <c r="B1225" s="2" t="s">
        <v>4199</v>
      </c>
      <c r="C1225" s="3">
        <v>36905</v>
      </c>
      <c r="D1225" s="1" t="s">
        <v>4200</v>
      </c>
      <c r="E1225" s="1" t="s">
        <v>4201</v>
      </c>
      <c r="F1225" s="2" t="s">
        <v>1961</v>
      </c>
      <c r="G1225" s="2" t="s">
        <v>157</v>
      </c>
      <c r="H1225" s="2" t="s">
        <v>10</v>
      </c>
      <c r="I1225" s="2" t="s">
        <v>1957</v>
      </c>
      <c r="J1225" s="2" t="s">
        <v>158</v>
      </c>
      <c r="K1225" s="2" t="s">
        <v>10</v>
      </c>
    </row>
    <row r="1226" spans="1:12" ht="27.6" hidden="1" x14ac:dyDescent="0.3">
      <c r="A1226" s="2" t="s">
        <v>60</v>
      </c>
      <c r="B1226" s="2" t="s">
        <v>4202</v>
      </c>
      <c r="C1226" s="3">
        <v>21585</v>
      </c>
      <c r="D1226" s="1" t="s">
        <v>4203</v>
      </c>
      <c r="E1226" s="1" t="s">
        <v>4204</v>
      </c>
      <c r="F1226" s="2" t="s">
        <v>274</v>
      </c>
      <c r="G1226" s="2" t="s">
        <v>328</v>
      </c>
      <c r="H1226" s="2" t="s">
        <v>10</v>
      </c>
      <c r="I1226" s="2" t="s">
        <v>60</v>
      </c>
      <c r="J1226" s="2" t="s">
        <v>329</v>
      </c>
      <c r="K1226" s="2" t="s">
        <v>10</v>
      </c>
    </row>
    <row r="1227" spans="1:12" ht="27.6" hidden="1" x14ac:dyDescent="0.3">
      <c r="A1227" s="2" t="s">
        <v>60</v>
      </c>
      <c r="B1227" s="2" t="s">
        <v>4205</v>
      </c>
      <c r="C1227" s="3">
        <v>24326</v>
      </c>
      <c r="D1227" s="1" t="s">
        <v>4206</v>
      </c>
      <c r="E1227" s="1" t="s">
        <v>4207</v>
      </c>
      <c r="F1227" s="2" t="s">
        <v>2022</v>
      </c>
      <c r="G1227" s="2" t="s">
        <v>157</v>
      </c>
      <c r="H1227" s="2" t="s">
        <v>334</v>
      </c>
      <c r="I1227" s="2" t="s">
        <v>60</v>
      </c>
      <c r="J1227" s="2" t="s">
        <v>119</v>
      </c>
      <c r="K1227" s="2" t="s">
        <v>10</v>
      </c>
    </row>
    <row r="1228" spans="1:12" ht="27.6" hidden="1" x14ac:dyDescent="0.3">
      <c r="A1228" s="2" t="s">
        <v>60</v>
      </c>
      <c r="B1228" s="2" t="s">
        <v>4208</v>
      </c>
      <c r="C1228" s="3">
        <v>25492</v>
      </c>
      <c r="D1228" s="1" t="s">
        <v>4209</v>
      </c>
      <c r="E1228" s="1" t="s">
        <v>4210</v>
      </c>
      <c r="F1228" s="2" t="s">
        <v>60</v>
      </c>
      <c r="G1228" s="2" t="s">
        <v>288</v>
      </c>
      <c r="H1228" s="2" t="s">
        <v>1295</v>
      </c>
      <c r="I1228" s="2" t="s">
        <v>60</v>
      </c>
      <c r="J1228" s="2" t="s">
        <v>289</v>
      </c>
      <c r="K1228" s="2" t="s">
        <v>10</v>
      </c>
    </row>
    <row r="1229" spans="1:12" ht="27.6" hidden="1" x14ac:dyDescent="0.3">
      <c r="A1229" s="2" t="s">
        <v>1962</v>
      </c>
      <c r="B1229" s="2" t="s">
        <v>4211</v>
      </c>
      <c r="C1229" s="3">
        <v>24510</v>
      </c>
      <c r="D1229" s="1" t="s">
        <v>4212</v>
      </c>
      <c r="E1229" s="1" t="s">
        <v>4213</v>
      </c>
      <c r="F1229" s="2" t="s">
        <v>1961</v>
      </c>
      <c r="G1229" s="2" t="s">
        <v>222</v>
      </c>
      <c r="H1229" s="2" t="s">
        <v>2001</v>
      </c>
      <c r="I1229" s="2" t="s">
        <v>1962</v>
      </c>
      <c r="J1229" s="2" t="s">
        <v>223</v>
      </c>
      <c r="K1229" s="2" t="s">
        <v>10</v>
      </c>
    </row>
    <row r="1230" spans="1:12" ht="27.6" hidden="1" x14ac:dyDescent="0.3">
      <c r="A1230" s="2" t="s">
        <v>1962</v>
      </c>
      <c r="B1230" s="2" t="s">
        <v>4214</v>
      </c>
      <c r="C1230" s="3">
        <v>31235</v>
      </c>
      <c r="D1230" s="1" t="s">
        <v>4215</v>
      </c>
      <c r="E1230" s="1" t="s">
        <v>4216</v>
      </c>
      <c r="F1230" s="2" t="s">
        <v>1961</v>
      </c>
      <c r="G1230" s="2" t="s">
        <v>80</v>
      </c>
      <c r="H1230" s="2" t="s">
        <v>10</v>
      </c>
      <c r="I1230" s="2" t="s">
        <v>1962</v>
      </c>
      <c r="J1230" s="2" t="s">
        <v>82</v>
      </c>
      <c r="K1230" s="2" t="s">
        <v>10</v>
      </c>
    </row>
    <row r="1231" spans="1:12" ht="27.6" hidden="1" x14ac:dyDescent="0.3">
      <c r="A1231" s="2" t="s">
        <v>1957</v>
      </c>
      <c r="B1231" s="2" t="s">
        <v>4217</v>
      </c>
      <c r="C1231" s="3">
        <v>32341</v>
      </c>
      <c r="D1231" s="1" t="s">
        <v>4218</v>
      </c>
      <c r="E1231" s="1" t="s">
        <v>4219</v>
      </c>
      <c r="F1231" s="2" t="s">
        <v>1961</v>
      </c>
      <c r="G1231" s="2" t="s">
        <v>112</v>
      </c>
      <c r="H1231" s="2" t="s">
        <v>892</v>
      </c>
      <c r="I1231" s="2" t="s">
        <v>1957</v>
      </c>
      <c r="J1231" s="2" t="s">
        <v>315</v>
      </c>
      <c r="K1231" s="2" t="s">
        <v>10</v>
      </c>
    </row>
    <row r="1232" spans="1:12" ht="27.6" hidden="1" x14ac:dyDescent="0.3">
      <c r="A1232" s="2" t="s">
        <v>1957</v>
      </c>
      <c r="B1232" s="2" t="s">
        <v>4220</v>
      </c>
      <c r="C1232" s="3">
        <v>29046</v>
      </c>
      <c r="D1232" s="1" t="s">
        <v>4221</v>
      </c>
      <c r="E1232" s="1" t="s">
        <v>4222</v>
      </c>
      <c r="F1232" s="2" t="s">
        <v>1961</v>
      </c>
      <c r="G1232" s="2" t="s">
        <v>1763</v>
      </c>
      <c r="H1232" s="2" t="s">
        <v>2001</v>
      </c>
      <c r="I1232" s="2" t="s">
        <v>1957</v>
      </c>
      <c r="J1232" s="2" t="s">
        <v>1764</v>
      </c>
      <c r="K1232" s="2" t="s">
        <v>10</v>
      </c>
    </row>
    <row r="1233" spans="1:11" ht="27.6" hidden="1" x14ac:dyDescent="0.3">
      <c r="A1233" s="2" t="s">
        <v>1957</v>
      </c>
      <c r="B1233" s="2" t="s">
        <v>4223</v>
      </c>
      <c r="C1233" s="3">
        <v>31703</v>
      </c>
      <c r="D1233" s="1" t="s">
        <v>4224</v>
      </c>
      <c r="E1233" s="1" t="s">
        <v>4225</v>
      </c>
      <c r="F1233" s="2" t="s">
        <v>1961</v>
      </c>
      <c r="G1233" s="2" t="s">
        <v>211</v>
      </c>
      <c r="H1233" s="2" t="s">
        <v>10</v>
      </c>
      <c r="I1233" s="2" t="s">
        <v>1957</v>
      </c>
      <c r="J1233" s="2" t="s">
        <v>212</v>
      </c>
      <c r="K1233" s="2" t="s">
        <v>10</v>
      </c>
    </row>
    <row r="1234" spans="1:11" ht="27.6" hidden="1" x14ac:dyDescent="0.3">
      <c r="A1234" s="2" t="s">
        <v>1962</v>
      </c>
      <c r="B1234" s="2" t="s">
        <v>4226</v>
      </c>
      <c r="C1234" s="3">
        <v>31684</v>
      </c>
      <c r="D1234" s="1" t="s">
        <v>4227</v>
      </c>
      <c r="E1234" s="1" t="s">
        <v>4228</v>
      </c>
      <c r="F1234" s="2" t="s">
        <v>1961</v>
      </c>
      <c r="G1234" s="2" t="s">
        <v>222</v>
      </c>
      <c r="H1234" s="2" t="s">
        <v>892</v>
      </c>
      <c r="I1234" s="2" t="s">
        <v>1962</v>
      </c>
      <c r="J1234" s="2" t="s">
        <v>4229</v>
      </c>
      <c r="K1234" s="2" t="s">
        <v>10</v>
      </c>
    </row>
    <row r="1235" spans="1:11" ht="27.6" hidden="1" x14ac:dyDescent="0.3">
      <c r="A1235" s="2" t="s">
        <v>1957</v>
      </c>
      <c r="B1235" s="2" t="s">
        <v>4230</v>
      </c>
      <c r="C1235" s="3">
        <v>28152</v>
      </c>
      <c r="D1235" s="1" t="s">
        <v>4231</v>
      </c>
      <c r="E1235" s="1" t="s">
        <v>4232</v>
      </c>
      <c r="F1235" s="2" t="s">
        <v>1961</v>
      </c>
      <c r="G1235" s="2" t="s">
        <v>217</v>
      </c>
      <c r="H1235" s="2" t="s">
        <v>10</v>
      </c>
      <c r="I1235" s="2" t="s">
        <v>1957</v>
      </c>
      <c r="J1235" s="2" t="s">
        <v>218</v>
      </c>
      <c r="K1235" s="2" t="s">
        <v>10</v>
      </c>
    </row>
    <row r="1236" spans="1:11" hidden="1" x14ac:dyDescent="0.3">
      <c r="A1236" s="2" t="s">
        <v>1957</v>
      </c>
      <c r="B1236" s="2" t="s">
        <v>4233</v>
      </c>
      <c r="C1236" s="3">
        <v>27189</v>
      </c>
      <c r="D1236" s="1" t="s">
        <v>4234</v>
      </c>
      <c r="E1236" s="1" t="s">
        <v>4235</v>
      </c>
      <c r="F1236" s="2" t="s">
        <v>1123</v>
      </c>
      <c r="G1236" s="2" t="s">
        <v>4236</v>
      </c>
      <c r="H1236" s="2" t="s">
        <v>10</v>
      </c>
      <c r="I1236" s="2" t="s">
        <v>1957</v>
      </c>
      <c r="J1236" s="2" t="s">
        <v>4237</v>
      </c>
      <c r="K1236" s="2" t="s">
        <v>10</v>
      </c>
    </row>
    <row r="1237" spans="1:11" hidden="1" x14ac:dyDescent="0.3">
      <c r="A1237" s="2" t="s">
        <v>1957</v>
      </c>
      <c r="B1237" s="2" t="s">
        <v>4238</v>
      </c>
      <c r="C1237" s="3">
        <v>26625</v>
      </c>
      <c r="D1237" s="1" t="s">
        <v>4239</v>
      </c>
      <c r="E1237" s="1" t="s">
        <v>4240</v>
      </c>
      <c r="F1237" s="2" t="s">
        <v>1123</v>
      </c>
      <c r="G1237" s="2" t="s">
        <v>31</v>
      </c>
      <c r="H1237" s="2" t="s">
        <v>26</v>
      </c>
      <c r="I1237" s="2" t="s">
        <v>1957</v>
      </c>
      <c r="J1237" s="2" t="s">
        <v>684</v>
      </c>
      <c r="K1237" s="2" t="s">
        <v>10</v>
      </c>
    </row>
    <row r="1238" spans="1:11" ht="27.6" hidden="1" x14ac:dyDescent="0.3">
      <c r="A1238" s="2" t="s">
        <v>1957</v>
      </c>
      <c r="B1238" s="2" t="s">
        <v>4241</v>
      </c>
      <c r="C1238" s="3">
        <v>23052</v>
      </c>
      <c r="D1238" s="1" t="s">
        <v>4242</v>
      </c>
      <c r="E1238" s="1" t="s">
        <v>4243</v>
      </c>
      <c r="F1238" s="2" t="s">
        <v>1961</v>
      </c>
      <c r="G1238" s="2" t="s">
        <v>48</v>
      </c>
      <c r="H1238" s="2" t="s">
        <v>10</v>
      </c>
      <c r="I1238" s="2" t="s">
        <v>1957</v>
      </c>
      <c r="J1238" s="2" t="s">
        <v>49</v>
      </c>
      <c r="K1238" s="2" t="s">
        <v>10</v>
      </c>
    </row>
    <row r="1239" spans="1:11" ht="27.6" hidden="1" x14ac:dyDescent="0.3">
      <c r="A1239" s="2" t="s">
        <v>1957</v>
      </c>
      <c r="B1239" s="2" t="s">
        <v>4244</v>
      </c>
      <c r="C1239" s="3">
        <v>29411</v>
      </c>
      <c r="D1239" s="1" t="s">
        <v>4245</v>
      </c>
      <c r="E1239" s="1" t="s">
        <v>4246</v>
      </c>
      <c r="F1239" s="2" t="s">
        <v>1961</v>
      </c>
      <c r="G1239" s="2" t="s">
        <v>1763</v>
      </c>
      <c r="H1239" s="2" t="s">
        <v>43</v>
      </c>
      <c r="I1239" s="2" t="s">
        <v>1957</v>
      </c>
      <c r="J1239" s="2" t="s">
        <v>1764</v>
      </c>
      <c r="K1239" s="2" t="s">
        <v>10</v>
      </c>
    </row>
    <row r="1240" spans="1:11" ht="27.6" hidden="1" x14ac:dyDescent="0.3">
      <c r="A1240" s="2" t="s">
        <v>1957</v>
      </c>
      <c r="B1240" s="2" t="s">
        <v>4244</v>
      </c>
      <c r="C1240" s="3">
        <v>29411</v>
      </c>
      <c r="D1240" s="1" t="s">
        <v>4245</v>
      </c>
      <c r="E1240" s="1" t="s">
        <v>4246</v>
      </c>
      <c r="F1240" s="2" t="s">
        <v>1961</v>
      </c>
      <c r="G1240" s="2" t="s">
        <v>1763</v>
      </c>
      <c r="H1240" s="2" t="s">
        <v>26</v>
      </c>
      <c r="I1240" s="2" t="s">
        <v>1957</v>
      </c>
      <c r="J1240" s="2" t="s">
        <v>1764</v>
      </c>
      <c r="K1240" s="2" t="s">
        <v>10</v>
      </c>
    </row>
    <row r="1241" spans="1:11" ht="27.6" hidden="1" x14ac:dyDescent="0.3">
      <c r="A1241" s="2" t="s">
        <v>60</v>
      </c>
      <c r="B1241" s="2" t="s">
        <v>4247</v>
      </c>
      <c r="C1241" s="3">
        <v>23525</v>
      </c>
      <c r="D1241" s="1" t="s">
        <v>4248</v>
      </c>
      <c r="E1241" s="1" t="s">
        <v>4249</v>
      </c>
      <c r="F1241" s="2" t="s">
        <v>865</v>
      </c>
      <c r="G1241" s="2" t="s">
        <v>31</v>
      </c>
      <c r="H1241" s="2" t="s">
        <v>10</v>
      </c>
      <c r="I1241" s="2" t="s">
        <v>60</v>
      </c>
      <c r="J1241" s="2" t="s">
        <v>729</v>
      </c>
      <c r="K1241" s="2" t="s">
        <v>10</v>
      </c>
    </row>
    <row r="1242" spans="1:11" ht="27.6" hidden="1" x14ac:dyDescent="0.3">
      <c r="A1242" s="2" t="s">
        <v>60</v>
      </c>
      <c r="B1242" s="2" t="s">
        <v>4250</v>
      </c>
      <c r="C1242" s="3">
        <v>23607</v>
      </c>
      <c r="D1242" s="1" t="s">
        <v>442</v>
      </c>
      <c r="E1242" s="1" t="s">
        <v>4251</v>
      </c>
      <c r="F1242" s="2" t="s">
        <v>60</v>
      </c>
      <c r="G1242" s="2" t="s">
        <v>552</v>
      </c>
      <c r="H1242" s="2" t="s">
        <v>10</v>
      </c>
      <c r="I1242" s="2" t="s">
        <v>60</v>
      </c>
      <c r="J1242" s="2" t="s">
        <v>1230</v>
      </c>
      <c r="K1242" s="2" t="s">
        <v>10</v>
      </c>
    </row>
    <row r="1243" spans="1:11" ht="27.6" hidden="1" x14ac:dyDescent="0.3">
      <c r="A1243" s="2" t="s">
        <v>60</v>
      </c>
      <c r="B1243" s="2" t="s">
        <v>4252</v>
      </c>
      <c r="C1243" s="3">
        <v>23058</v>
      </c>
      <c r="D1243" s="1" t="s">
        <v>442</v>
      </c>
      <c r="E1243" s="1" t="s">
        <v>4253</v>
      </c>
      <c r="F1243" s="2" t="s">
        <v>60</v>
      </c>
      <c r="G1243" s="2" t="s">
        <v>143</v>
      </c>
      <c r="H1243" s="2" t="s">
        <v>103</v>
      </c>
      <c r="I1243" s="2" t="s">
        <v>60</v>
      </c>
      <c r="J1243" s="2" t="s">
        <v>324</v>
      </c>
      <c r="K1243" s="2" t="s">
        <v>10</v>
      </c>
    </row>
    <row r="1244" spans="1:11" ht="27.6" hidden="1" x14ac:dyDescent="0.3">
      <c r="A1244" s="2" t="s">
        <v>60</v>
      </c>
      <c r="B1244" s="2" t="s">
        <v>4252</v>
      </c>
      <c r="C1244" s="3">
        <v>23058</v>
      </c>
      <c r="D1244" s="1" t="s">
        <v>442</v>
      </c>
      <c r="E1244" s="1" t="s">
        <v>4253</v>
      </c>
      <c r="F1244" s="2" t="s">
        <v>60</v>
      </c>
      <c r="G1244" s="2" t="s">
        <v>143</v>
      </c>
      <c r="H1244" s="2" t="s">
        <v>81</v>
      </c>
      <c r="I1244" s="2" t="s">
        <v>60</v>
      </c>
      <c r="J1244" s="2" t="s">
        <v>4254</v>
      </c>
      <c r="K1244" s="2" t="s">
        <v>10</v>
      </c>
    </row>
    <row r="1245" spans="1:11" ht="27.6" hidden="1" x14ac:dyDescent="0.3">
      <c r="A1245" s="2" t="s">
        <v>60</v>
      </c>
      <c r="B1245" s="2" t="s">
        <v>4252</v>
      </c>
      <c r="C1245" s="3">
        <v>23058</v>
      </c>
      <c r="D1245" s="1" t="s">
        <v>4255</v>
      </c>
      <c r="E1245" s="1" t="s">
        <v>4253</v>
      </c>
      <c r="F1245" s="2" t="s">
        <v>274</v>
      </c>
      <c r="G1245" s="2" t="s">
        <v>12</v>
      </c>
      <c r="H1245" s="2" t="s">
        <v>334</v>
      </c>
      <c r="I1245" s="2" t="s">
        <v>60</v>
      </c>
      <c r="J1245" s="2" t="s">
        <v>54</v>
      </c>
      <c r="K1245" s="2" t="s">
        <v>10</v>
      </c>
    </row>
    <row r="1246" spans="1:11" ht="27.6" hidden="1" x14ac:dyDescent="0.3">
      <c r="A1246" s="2" t="s">
        <v>60</v>
      </c>
      <c r="B1246" s="2" t="s">
        <v>4256</v>
      </c>
      <c r="C1246" s="3">
        <v>33673</v>
      </c>
      <c r="D1246" s="1" t="s">
        <v>4257</v>
      </c>
      <c r="E1246" s="1" t="s">
        <v>4258</v>
      </c>
      <c r="F1246" s="2" t="s">
        <v>274</v>
      </c>
      <c r="G1246" s="2" t="s">
        <v>80</v>
      </c>
      <c r="H1246" s="2" t="s">
        <v>334</v>
      </c>
      <c r="I1246" s="2" t="s">
        <v>60</v>
      </c>
      <c r="J1246" s="2" t="s">
        <v>1881</v>
      </c>
      <c r="K1246" s="2" t="s">
        <v>10</v>
      </c>
    </row>
    <row r="1247" spans="1:11" ht="27.6" hidden="1" x14ac:dyDescent="0.3">
      <c r="A1247" s="2" t="s">
        <v>60</v>
      </c>
      <c r="B1247" s="2" t="s">
        <v>4259</v>
      </c>
      <c r="C1247" s="3">
        <v>32219</v>
      </c>
      <c r="D1247" s="1" t="s">
        <v>4260</v>
      </c>
      <c r="E1247" s="1" t="s">
        <v>4261</v>
      </c>
      <c r="F1247" s="2" t="s">
        <v>941</v>
      </c>
      <c r="G1247" s="2" t="s">
        <v>80</v>
      </c>
      <c r="H1247" s="2" t="s">
        <v>334</v>
      </c>
      <c r="I1247" s="2" t="s">
        <v>60</v>
      </c>
      <c r="J1247" s="2" t="s">
        <v>1881</v>
      </c>
      <c r="K1247" s="2" t="s">
        <v>10</v>
      </c>
    </row>
    <row r="1248" spans="1:11" ht="27.6" hidden="1" x14ac:dyDescent="0.3">
      <c r="A1248" s="2" t="s">
        <v>60</v>
      </c>
      <c r="B1248" s="2" t="s">
        <v>4262</v>
      </c>
      <c r="C1248" s="3">
        <v>21078</v>
      </c>
      <c r="D1248" s="1" t="s">
        <v>442</v>
      </c>
      <c r="E1248" s="1" t="s">
        <v>4263</v>
      </c>
      <c r="F1248" s="2" t="s">
        <v>941</v>
      </c>
      <c r="G1248" s="2" t="s">
        <v>48</v>
      </c>
      <c r="H1248" s="2" t="s">
        <v>10</v>
      </c>
      <c r="I1248" s="2" t="s">
        <v>60</v>
      </c>
      <c r="J1248" s="2" t="s">
        <v>49</v>
      </c>
      <c r="K1248" s="2" t="s">
        <v>10</v>
      </c>
    </row>
    <row r="1249" spans="1:11" ht="27.6" hidden="1" x14ac:dyDescent="0.3">
      <c r="A1249" s="2" t="s">
        <v>60</v>
      </c>
      <c r="B1249" s="2" t="s">
        <v>4264</v>
      </c>
      <c r="C1249" s="3">
        <v>25762</v>
      </c>
      <c r="D1249" s="1" t="s">
        <v>4265</v>
      </c>
      <c r="E1249" s="1" t="s">
        <v>4266</v>
      </c>
      <c r="F1249" s="2" t="s">
        <v>60</v>
      </c>
      <c r="G1249" s="2" t="s">
        <v>2079</v>
      </c>
      <c r="H1249" s="2" t="s">
        <v>562</v>
      </c>
      <c r="I1249" s="2" t="s">
        <v>60</v>
      </c>
      <c r="J1249" s="2" t="s">
        <v>2080</v>
      </c>
      <c r="K1249" s="2" t="s">
        <v>10</v>
      </c>
    </row>
    <row r="1250" spans="1:11" ht="27.6" hidden="1" x14ac:dyDescent="0.3">
      <c r="A1250" s="2" t="s">
        <v>60</v>
      </c>
      <c r="B1250" s="2" t="s">
        <v>4267</v>
      </c>
      <c r="C1250" s="3">
        <v>29566</v>
      </c>
      <c r="D1250" s="1" t="s">
        <v>4268</v>
      </c>
      <c r="E1250" s="1" t="s">
        <v>4269</v>
      </c>
      <c r="F1250" s="2" t="s">
        <v>636</v>
      </c>
      <c r="G1250" s="2" t="s">
        <v>143</v>
      </c>
      <c r="H1250" s="2" t="s">
        <v>10</v>
      </c>
      <c r="I1250" s="2" t="s">
        <v>60</v>
      </c>
      <c r="J1250" s="2" t="s">
        <v>144</v>
      </c>
      <c r="K1250" s="2" t="s">
        <v>10</v>
      </c>
    </row>
    <row r="1251" spans="1:11" ht="27.6" hidden="1" x14ac:dyDescent="0.3">
      <c r="A1251" s="2" t="s">
        <v>60</v>
      </c>
      <c r="B1251" s="2" t="s">
        <v>4270</v>
      </c>
      <c r="C1251" s="3">
        <v>27985</v>
      </c>
      <c r="D1251" s="1" t="s">
        <v>4271</v>
      </c>
      <c r="E1251" s="1" t="s">
        <v>4272</v>
      </c>
      <c r="F1251" s="2" t="s">
        <v>60</v>
      </c>
      <c r="G1251" s="2" t="s">
        <v>2079</v>
      </c>
      <c r="H1251" s="2" t="s">
        <v>822</v>
      </c>
      <c r="I1251" s="2" t="s">
        <v>60</v>
      </c>
      <c r="J1251" s="2" t="s">
        <v>2080</v>
      </c>
      <c r="K1251" s="2" t="s">
        <v>10</v>
      </c>
    </row>
    <row r="1252" spans="1:11" ht="27.6" hidden="1" x14ac:dyDescent="0.3">
      <c r="A1252" s="2" t="s">
        <v>60</v>
      </c>
      <c r="B1252" s="2" t="s">
        <v>4273</v>
      </c>
      <c r="C1252" s="3">
        <v>35573</v>
      </c>
      <c r="D1252" s="1" t="s">
        <v>442</v>
      </c>
      <c r="E1252" s="1" t="s">
        <v>4274</v>
      </c>
      <c r="F1252" s="2" t="s">
        <v>60</v>
      </c>
      <c r="G1252" s="2" t="s">
        <v>425</v>
      </c>
      <c r="H1252" s="2" t="s">
        <v>103</v>
      </c>
      <c r="I1252" s="2" t="s">
        <v>60</v>
      </c>
      <c r="J1252" s="2" t="s">
        <v>426</v>
      </c>
      <c r="K1252" s="2" t="s">
        <v>10</v>
      </c>
    </row>
    <row r="1253" spans="1:11" ht="27.6" hidden="1" x14ac:dyDescent="0.3">
      <c r="A1253" s="2" t="s">
        <v>60</v>
      </c>
      <c r="B1253" s="2" t="s">
        <v>4273</v>
      </c>
      <c r="C1253" s="3">
        <v>35573</v>
      </c>
      <c r="D1253" s="1" t="s">
        <v>442</v>
      </c>
      <c r="E1253" s="1" t="s">
        <v>4274</v>
      </c>
      <c r="F1253" s="2" t="s">
        <v>60</v>
      </c>
      <c r="G1253" s="2" t="s">
        <v>425</v>
      </c>
      <c r="H1253" s="2" t="s">
        <v>81</v>
      </c>
      <c r="I1253" s="2" t="s">
        <v>60</v>
      </c>
      <c r="J1253" s="2" t="s">
        <v>426</v>
      </c>
      <c r="K1253" s="2" t="s">
        <v>10</v>
      </c>
    </row>
    <row r="1254" spans="1:11" ht="27.6" hidden="1" x14ac:dyDescent="0.3">
      <c r="A1254" s="2" t="s">
        <v>60</v>
      </c>
      <c r="B1254" s="2" t="s">
        <v>4275</v>
      </c>
      <c r="C1254" s="3">
        <v>25447</v>
      </c>
      <c r="D1254" s="1" t="s">
        <v>4276</v>
      </c>
      <c r="E1254" s="1" t="s">
        <v>4277</v>
      </c>
      <c r="F1254" s="2" t="s">
        <v>60</v>
      </c>
      <c r="G1254" s="2" t="s">
        <v>196</v>
      </c>
      <c r="H1254" s="2" t="s">
        <v>10</v>
      </c>
      <c r="I1254" s="2" t="s">
        <v>60</v>
      </c>
      <c r="J1254" s="2" t="s">
        <v>4278</v>
      </c>
      <c r="K1254" s="2" t="s">
        <v>10</v>
      </c>
    </row>
    <row r="1255" spans="1:11" ht="27.6" hidden="1" x14ac:dyDescent="0.3">
      <c r="A1255" s="2" t="s">
        <v>60</v>
      </c>
      <c r="B1255" s="2" t="s">
        <v>4279</v>
      </c>
      <c r="C1255" s="3">
        <v>32144</v>
      </c>
      <c r="D1255" s="1" t="s">
        <v>4280</v>
      </c>
      <c r="E1255" s="1" t="s">
        <v>4281</v>
      </c>
      <c r="F1255" s="2" t="s">
        <v>60</v>
      </c>
      <c r="G1255" s="2" t="s">
        <v>492</v>
      </c>
      <c r="H1255" s="2" t="s">
        <v>10</v>
      </c>
      <c r="I1255" s="2" t="s">
        <v>60</v>
      </c>
      <c r="J1255" s="2" t="s">
        <v>619</v>
      </c>
      <c r="K1255" s="2" t="s">
        <v>10</v>
      </c>
    </row>
    <row r="1256" spans="1:11" ht="27.6" hidden="1" x14ac:dyDescent="0.3">
      <c r="A1256" s="2" t="s">
        <v>60</v>
      </c>
      <c r="B1256" s="2" t="s">
        <v>4282</v>
      </c>
      <c r="C1256" s="3">
        <v>34553</v>
      </c>
      <c r="D1256" s="1" t="s">
        <v>4283</v>
      </c>
      <c r="E1256" s="1" t="s">
        <v>4284</v>
      </c>
      <c r="F1256" s="2" t="s">
        <v>60</v>
      </c>
      <c r="G1256" s="2" t="s">
        <v>852</v>
      </c>
      <c r="H1256" s="2" t="s">
        <v>81</v>
      </c>
      <c r="I1256" s="2" t="s">
        <v>60</v>
      </c>
      <c r="J1256" s="2" t="s">
        <v>4285</v>
      </c>
      <c r="K1256" s="2" t="s">
        <v>10</v>
      </c>
    </row>
    <row r="1257" spans="1:11" ht="27.6" hidden="1" x14ac:dyDescent="0.3">
      <c r="A1257" s="2" t="s">
        <v>60</v>
      </c>
      <c r="B1257" s="2" t="s">
        <v>4286</v>
      </c>
      <c r="C1257" s="3">
        <v>39140</v>
      </c>
      <c r="D1257" s="1" t="s">
        <v>4287</v>
      </c>
      <c r="E1257" s="1" t="s">
        <v>4288</v>
      </c>
      <c r="F1257" s="2" t="s">
        <v>444</v>
      </c>
      <c r="G1257" s="2" t="s">
        <v>157</v>
      </c>
      <c r="H1257" s="2" t="s">
        <v>43</v>
      </c>
      <c r="I1257" s="2" t="s">
        <v>60</v>
      </c>
      <c r="J1257" s="2" t="s">
        <v>158</v>
      </c>
      <c r="K1257" s="2" t="s">
        <v>10</v>
      </c>
    </row>
    <row r="1258" spans="1:11" ht="27.6" hidden="1" x14ac:dyDescent="0.3">
      <c r="A1258" s="2" t="s">
        <v>60</v>
      </c>
      <c r="B1258" s="2" t="s">
        <v>4107</v>
      </c>
      <c r="C1258" s="3">
        <v>31026</v>
      </c>
      <c r="D1258" s="1" t="s">
        <v>4289</v>
      </c>
      <c r="E1258" s="1" t="s">
        <v>4109</v>
      </c>
      <c r="F1258" s="2" t="s">
        <v>618</v>
      </c>
      <c r="G1258" s="2" t="s">
        <v>80</v>
      </c>
      <c r="H1258" s="2" t="s">
        <v>10</v>
      </c>
      <c r="I1258" s="2" t="s">
        <v>60</v>
      </c>
      <c r="J1258" s="2" t="s">
        <v>82</v>
      </c>
      <c r="K1258" s="2" t="s">
        <v>10</v>
      </c>
    </row>
    <row r="1259" spans="1:11" ht="27.6" hidden="1" x14ac:dyDescent="0.3">
      <c r="A1259" s="2" t="s">
        <v>60</v>
      </c>
      <c r="B1259" s="2" t="s">
        <v>4290</v>
      </c>
      <c r="C1259" s="3">
        <v>30475</v>
      </c>
      <c r="D1259" s="1" t="s">
        <v>4291</v>
      </c>
      <c r="E1259" s="1" t="s">
        <v>4292</v>
      </c>
      <c r="F1259" s="2" t="s">
        <v>60</v>
      </c>
      <c r="G1259" s="2" t="s">
        <v>1280</v>
      </c>
      <c r="H1259" s="2" t="s">
        <v>81</v>
      </c>
      <c r="I1259" s="2" t="s">
        <v>60</v>
      </c>
      <c r="J1259" s="2" t="s">
        <v>1281</v>
      </c>
      <c r="K1259" s="2" t="s">
        <v>10</v>
      </c>
    </row>
    <row r="1260" spans="1:11" ht="27.6" hidden="1" x14ac:dyDescent="0.3">
      <c r="A1260" s="2" t="s">
        <v>60</v>
      </c>
      <c r="B1260" s="2" t="s">
        <v>4293</v>
      </c>
      <c r="C1260" s="3">
        <v>27768</v>
      </c>
      <c r="D1260" s="1" t="s">
        <v>4294</v>
      </c>
      <c r="E1260" s="1" t="s">
        <v>4295</v>
      </c>
      <c r="F1260" s="2" t="s">
        <v>60</v>
      </c>
      <c r="G1260" s="2" t="s">
        <v>2336</v>
      </c>
      <c r="H1260" s="2" t="s">
        <v>103</v>
      </c>
      <c r="I1260" s="2" t="s">
        <v>60</v>
      </c>
      <c r="J1260" s="2" t="s">
        <v>4296</v>
      </c>
      <c r="K1260" s="2" t="s">
        <v>10</v>
      </c>
    </row>
    <row r="1261" spans="1:11" ht="27.6" hidden="1" x14ac:dyDescent="0.3">
      <c r="A1261" s="2" t="s">
        <v>60</v>
      </c>
      <c r="B1261" s="2" t="s">
        <v>4293</v>
      </c>
      <c r="C1261" s="3">
        <v>27768</v>
      </c>
      <c r="D1261" s="1" t="s">
        <v>4294</v>
      </c>
      <c r="E1261" s="1" t="s">
        <v>4295</v>
      </c>
      <c r="F1261" s="2" t="s">
        <v>60</v>
      </c>
      <c r="G1261" s="2" t="s">
        <v>2336</v>
      </c>
      <c r="H1261" s="2" t="s">
        <v>81</v>
      </c>
      <c r="I1261" s="2" t="s">
        <v>60</v>
      </c>
      <c r="J1261" s="2" t="s">
        <v>4296</v>
      </c>
      <c r="K1261" s="2" t="s">
        <v>10</v>
      </c>
    </row>
    <row r="1262" spans="1:11" ht="27.6" hidden="1" x14ac:dyDescent="0.3">
      <c r="A1262" s="2" t="s">
        <v>60</v>
      </c>
      <c r="B1262" s="2" t="s">
        <v>4293</v>
      </c>
      <c r="C1262" s="3">
        <v>27768</v>
      </c>
      <c r="D1262" s="1" t="s">
        <v>4294</v>
      </c>
      <c r="E1262" s="1" t="s">
        <v>4295</v>
      </c>
      <c r="F1262" s="2" t="s">
        <v>60</v>
      </c>
      <c r="G1262" s="2" t="s">
        <v>2336</v>
      </c>
      <c r="H1262" s="2" t="s">
        <v>562</v>
      </c>
      <c r="I1262" s="2" t="s">
        <v>60</v>
      </c>
      <c r="J1262" s="2" t="s">
        <v>4296</v>
      </c>
      <c r="K1262" s="2" t="s">
        <v>10</v>
      </c>
    </row>
    <row r="1263" spans="1:11" ht="27.6" hidden="1" x14ac:dyDescent="0.3">
      <c r="A1263" s="2" t="s">
        <v>60</v>
      </c>
      <c r="B1263" s="2" t="s">
        <v>4293</v>
      </c>
      <c r="C1263" s="3">
        <v>27768</v>
      </c>
      <c r="D1263" s="1" t="s">
        <v>4294</v>
      </c>
      <c r="E1263" s="1" t="s">
        <v>4295</v>
      </c>
      <c r="F1263" s="2" t="s">
        <v>60</v>
      </c>
      <c r="G1263" s="2" t="s">
        <v>2336</v>
      </c>
      <c r="H1263" s="2" t="s">
        <v>822</v>
      </c>
      <c r="I1263" s="2" t="s">
        <v>60</v>
      </c>
      <c r="J1263" s="2" t="s">
        <v>4297</v>
      </c>
      <c r="K1263" s="2" t="s">
        <v>10</v>
      </c>
    </row>
    <row r="1264" spans="1:11" ht="27.6" hidden="1" x14ac:dyDescent="0.3">
      <c r="A1264" s="2" t="s">
        <v>60</v>
      </c>
      <c r="B1264" s="2" t="s">
        <v>4298</v>
      </c>
      <c r="C1264" s="3">
        <v>27886</v>
      </c>
      <c r="D1264" s="1" t="s">
        <v>4299</v>
      </c>
      <c r="E1264" s="1" t="s">
        <v>4125</v>
      </c>
      <c r="F1264" s="2" t="s">
        <v>297</v>
      </c>
      <c r="G1264" s="2" t="s">
        <v>492</v>
      </c>
      <c r="H1264" s="2" t="s">
        <v>10</v>
      </c>
      <c r="I1264" s="2" t="s">
        <v>60</v>
      </c>
      <c r="J1264" s="2" t="s">
        <v>619</v>
      </c>
      <c r="K1264" s="2" t="s">
        <v>10</v>
      </c>
    </row>
    <row r="1265" spans="1:11" ht="27.6" hidden="1" x14ac:dyDescent="0.3">
      <c r="A1265" s="2" t="s">
        <v>60</v>
      </c>
      <c r="B1265" s="2" t="s">
        <v>4300</v>
      </c>
      <c r="C1265" s="3">
        <v>36291</v>
      </c>
      <c r="D1265" s="1" t="s">
        <v>4301</v>
      </c>
      <c r="E1265" s="1" t="s">
        <v>4302</v>
      </c>
      <c r="F1265" s="2" t="s">
        <v>60</v>
      </c>
      <c r="G1265" s="2" t="s">
        <v>2931</v>
      </c>
      <c r="H1265" s="2" t="s">
        <v>10</v>
      </c>
      <c r="I1265" s="2" t="s">
        <v>60</v>
      </c>
      <c r="J1265" s="2" t="s">
        <v>4303</v>
      </c>
      <c r="K1265" s="2" t="s">
        <v>10</v>
      </c>
    </row>
    <row r="1266" spans="1:11" ht="27.6" hidden="1" x14ac:dyDescent="0.3">
      <c r="A1266" s="2" t="s">
        <v>60</v>
      </c>
      <c r="B1266" s="2" t="s">
        <v>4304</v>
      </c>
      <c r="C1266" s="3">
        <v>33530</v>
      </c>
      <c r="D1266" s="1" t="s">
        <v>4305</v>
      </c>
      <c r="E1266" s="1" t="s">
        <v>4306</v>
      </c>
      <c r="F1266" s="2" t="s">
        <v>60</v>
      </c>
      <c r="G1266" s="2" t="s">
        <v>3931</v>
      </c>
      <c r="H1266" s="2" t="s">
        <v>10</v>
      </c>
      <c r="I1266" s="2" t="s">
        <v>60</v>
      </c>
      <c r="J1266" s="2" t="s">
        <v>4307</v>
      </c>
      <c r="K1266" s="2" t="s">
        <v>10</v>
      </c>
    </row>
    <row r="1267" spans="1:11" ht="27.6" hidden="1" x14ac:dyDescent="0.3">
      <c r="A1267" s="2" t="s">
        <v>60</v>
      </c>
      <c r="B1267" s="2" t="s">
        <v>4308</v>
      </c>
      <c r="C1267" s="3">
        <v>32312</v>
      </c>
      <c r="D1267" s="1" t="s">
        <v>4309</v>
      </c>
      <c r="E1267" s="1" t="s">
        <v>4310</v>
      </c>
      <c r="F1267" s="2" t="s">
        <v>269</v>
      </c>
      <c r="G1267" s="2" t="s">
        <v>217</v>
      </c>
      <c r="H1267" s="2" t="s">
        <v>334</v>
      </c>
      <c r="I1267" s="2" t="s">
        <v>60</v>
      </c>
      <c r="J1267" s="2" t="s">
        <v>218</v>
      </c>
      <c r="K1267" s="2" t="s">
        <v>10</v>
      </c>
    </row>
    <row r="1268" spans="1:11" ht="27.6" hidden="1" x14ac:dyDescent="0.3">
      <c r="A1268" s="2" t="s">
        <v>60</v>
      </c>
      <c r="B1268" s="2" t="s">
        <v>4311</v>
      </c>
      <c r="C1268" s="3">
        <v>28587</v>
      </c>
      <c r="D1268" s="1" t="s">
        <v>4312</v>
      </c>
      <c r="E1268" s="1" t="s">
        <v>4313</v>
      </c>
      <c r="F1268" s="2" t="s">
        <v>274</v>
      </c>
      <c r="G1268" s="2" t="s">
        <v>1222</v>
      </c>
      <c r="H1268" s="2" t="s">
        <v>4314</v>
      </c>
      <c r="I1268" s="2" t="s">
        <v>60</v>
      </c>
      <c r="J1268" s="2" t="s">
        <v>4315</v>
      </c>
      <c r="K1268" s="2" t="s">
        <v>10</v>
      </c>
    </row>
    <row r="1269" spans="1:11" ht="27.6" hidden="1" x14ac:dyDescent="0.3">
      <c r="A1269" s="2" t="s">
        <v>60</v>
      </c>
      <c r="B1269" s="2" t="s">
        <v>4316</v>
      </c>
      <c r="C1269" s="3">
        <v>35778</v>
      </c>
      <c r="D1269" s="1" t="s">
        <v>4317</v>
      </c>
      <c r="E1269" s="1" t="s">
        <v>4318</v>
      </c>
      <c r="F1269" s="2" t="s">
        <v>2398</v>
      </c>
      <c r="G1269" s="2" t="s">
        <v>48</v>
      </c>
      <c r="H1269" s="2" t="s">
        <v>10</v>
      </c>
      <c r="I1269" s="2" t="s">
        <v>60</v>
      </c>
      <c r="J1269" s="2" t="s">
        <v>700</v>
      </c>
      <c r="K1269" s="2" t="s">
        <v>10</v>
      </c>
    </row>
    <row r="1270" spans="1:11" ht="27.6" hidden="1" x14ac:dyDescent="0.3">
      <c r="A1270" s="2" t="s">
        <v>60</v>
      </c>
      <c r="B1270" s="2" t="s">
        <v>4319</v>
      </c>
      <c r="C1270" s="3">
        <v>24339</v>
      </c>
      <c r="D1270" s="1" t="s">
        <v>4320</v>
      </c>
      <c r="E1270" s="1" t="s">
        <v>4321</v>
      </c>
      <c r="F1270" s="2" t="s">
        <v>4322</v>
      </c>
      <c r="G1270" s="2" t="s">
        <v>143</v>
      </c>
      <c r="H1270" s="2" t="s">
        <v>10</v>
      </c>
      <c r="I1270" s="2" t="s">
        <v>60</v>
      </c>
      <c r="J1270" s="2" t="s">
        <v>324</v>
      </c>
      <c r="K1270" s="2" t="s">
        <v>10</v>
      </c>
    </row>
    <row r="1271" spans="1:11" ht="27.6" hidden="1" x14ac:dyDescent="0.3">
      <c r="A1271" s="2" t="s">
        <v>60</v>
      </c>
      <c r="B1271" s="2" t="s">
        <v>4323</v>
      </c>
      <c r="C1271" s="3">
        <v>31679</v>
      </c>
      <c r="D1271" s="1" t="s">
        <v>2139</v>
      </c>
      <c r="E1271" s="1" t="s">
        <v>4324</v>
      </c>
      <c r="F1271" s="2" t="s">
        <v>60</v>
      </c>
      <c r="G1271" s="2" t="s">
        <v>4325</v>
      </c>
      <c r="H1271" s="2" t="s">
        <v>103</v>
      </c>
      <c r="I1271" s="2" t="s">
        <v>60</v>
      </c>
      <c r="J1271" s="2" t="s">
        <v>4326</v>
      </c>
      <c r="K1271" s="2" t="s">
        <v>10</v>
      </c>
    </row>
    <row r="1272" spans="1:11" ht="27.6" hidden="1" x14ac:dyDescent="0.3">
      <c r="A1272" s="2" t="s">
        <v>60</v>
      </c>
      <c r="B1272" s="2" t="s">
        <v>4327</v>
      </c>
      <c r="C1272" s="3">
        <v>31531</v>
      </c>
      <c r="D1272" s="1" t="s">
        <v>2139</v>
      </c>
      <c r="E1272" s="1" t="s">
        <v>4324</v>
      </c>
      <c r="F1272" s="2" t="s">
        <v>60</v>
      </c>
      <c r="G1272" s="2" t="s">
        <v>4325</v>
      </c>
      <c r="H1272" s="2" t="s">
        <v>81</v>
      </c>
      <c r="I1272" s="2" t="s">
        <v>60</v>
      </c>
      <c r="J1272" s="2" t="s">
        <v>4326</v>
      </c>
      <c r="K1272" s="2" t="s">
        <v>10</v>
      </c>
    </row>
    <row r="1273" spans="1:11" ht="27.6" hidden="1" x14ac:dyDescent="0.3">
      <c r="A1273" s="2" t="s">
        <v>60</v>
      </c>
      <c r="B1273" s="2" t="s">
        <v>4328</v>
      </c>
      <c r="C1273" s="3">
        <v>35474</v>
      </c>
      <c r="D1273" s="1" t="s">
        <v>4329</v>
      </c>
      <c r="E1273" s="1" t="s">
        <v>4330</v>
      </c>
      <c r="F1273" s="2" t="s">
        <v>257</v>
      </c>
      <c r="G1273" s="2" t="s">
        <v>1222</v>
      </c>
      <c r="H1273" s="2" t="s">
        <v>43</v>
      </c>
      <c r="I1273" s="2" t="s">
        <v>60</v>
      </c>
      <c r="J1273" s="2" t="s">
        <v>4331</v>
      </c>
      <c r="K1273" s="2" t="s">
        <v>10</v>
      </c>
    </row>
    <row r="1274" spans="1:11" ht="27.6" hidden="1" x14ac:dyDescent="0.3">
      <c r="A1274" s="2" t="s">
        <v>60</v>
      </c>
      <c r="B1274" s="2" t="s">
        <v>4332</v>
      </c>
      <c r="C1274" s="3">
        <v>35846</v>
      </c>
      <c r="D1274" s="1" t="s">
        <v>4333</v>
      </c>
      <c r="E1274" s="1" t="s">
        <v>4334</v>
      </c>
      <c r="F1274" s="2" t="s">
        <v>60</v>
      </c>
      <c r="G1274" s="2" t="s">
        <v>803</v>
      </c>
      <c r="H1274" s="2" t="s">
        <v>81</v>
      </c>
      <c r="I1274" s="2" t="s">
        <v>60</v>
      </c>
      <c r="J1274" s="2" t="s">
        <v>804</v>
      </c>
      <c r="K1274" s="2" t="s">
        <v>10</v>
      </c>
    </row>
    <row r="1275" spans="1:11" ht="27.6" hidden="1" x14ac:dyDescent="0.3">
      <c r="A1275" s="2" t="s">
        <v>60</v>
      </c>
      <c r="B1275" s="2" t="s">
        <v>4335</v>
      </c>
      <c r="C1275" s="3">
        <v>39143</v>
      </c>
      <c r="D1275" s="1" t="s">
        <v>4336</v>
      </c>
      <c r="E1275" s="1" t="s">
        <v>4337</v>
      </c>
      <c r="F1275" s="2" t="s">
        <v>274</v>
      </c>
      <c r="G1275" s="2" t="s">
        <v>1955</v>
      </c>
      <c r="H1275" s="2" t="s">
        <v>10</v>
      </c>
      <c r="I1275" s="2" t="s">
        <v>60</v>
      </c>
      <c r="J1275" s="2" t="s">
        <v>4338</v>
      </c>
      <c r="K1275" s="2" t="s">
        <v>10</v>
      </c>
    </row>
    <row r="1276" spans="1:11" ht="27.6" hidden="1" x14ac:dyDescent="0.3">
      <c r="A1276" s="2" t="s">
        <v>60</v>
      </c>
      <c r="B1276" s="2" t="s">
        <v>4339</v>
      </c>
      <c r="C1276" s="3">
        <v>16432</v>
      </c>
      <c r="D1276" s="1" t="s">
        <v>4340</v>
      </c>
      <c r="E1276" s="1" t="s">
        <v>4341</v>
      </c>
      <c r="F1276" s="2" t="s">
        <v>865</v>
      </c>
      <c r="G1276" s="2" t="s">
        <v>75</v>
      </c>
      <c r="H1276" s="2" t="s">
        <v>334</v>
      </c>
      <c r="I1276" s="2" t="s">
        <v>60</v>
      </c>
      <c r="J1276" s="2" t="s">
        <v>76</v>
      </c>
      <c r="K1276" s="2" t="s">
        <v>10</v>
      </c>
    </row>
    <row r="1277" spans="1:11" ht="27.6" hidden="1" x14ac:dyDescent="0.3">
      <c r="A1277" s="2" t="s">
        <v>60</v>
      </c>
      <c r="B1277" s="2" t="s">
        <v>4342</v>
      </c>
      <c r="C1277" s="3">
        <v>26521</v>
      </c>
      <c r="D1277" s="1" t="s">
        <v>931</v>
      </c>
      <c r="E1277" s="1" t="s">
        <v>4343</v>
      </c>
      <c r="F1277" s="2" t="s">
        <v>2103</v>
      </c>
      <c r="G1277" s="2" t="s">
        <v>25</v>
      </c>
      <c r="H1277" s="2" t="s">
        <v>10</v>
      </c>
      <c r="I1277" s="2" t="s">
        <v>60</v>
      </c>
      <c r="J1277" s="2" t="s">
        <v>305</v>
      </c>
      <c r="K1277" s="2" t="s">
        <v>10</v>
      </c>
    </row>
    <row r="1278" spans="1:11" ht="27.6" hidden="1" x14ac:dyDescent="0.3">
      <c r="A1278" s="2" t="s">
        <v>60</v>
      </c>
      <c r="B1278" s="2" t="s">
        <v>4344</v>
      </c>
      <c r="C1278" s="3">
        <v>33350</v>
      </c>
      <c r="D1278" s="1" t="s">
        <v>4345</v>
      </c>
      <c r="E1278" s="1" t="s">
        <v>4346</v>
      </c>
      <c r="F1278" s="2" t="s">
        <v>2146</v>
      </c>
      <c r="G1278" s="2" t="s">
        <v>25</v>
      </c>
      <c r="H1278" s="2" t="s">
        <v>10</v>
      </c>
      <c r="I1278" s="2" t="s">
        <v>60</v>
      </c>
      <c r="J1278" s="2" t="s">
        <v>305</v>
      </c>
      <c r="K1278" s="2" t="s">
        <v>10</v>
      </c>
    </row>
    <row r="1279" spans="1:11" ht="27.6" hidden="1" x14ac:dyDescent="0.3">
      <c r="A1279" s="2" t="s">
        <v>60</v>
      </c>
      <c r="B1279" s="2" t="s">
        <v>4347</v>
      </c>
      <c r="C1279" s="3">
        <v>36136</v>
      </c>
      <c r="D1279" s="1" t="s">
        <v>10</v>
      </c>
      <c r="E1279" s="1" t="s">
        <v>4348</v>
      </c>
      <c r="F1279" s="2" t="s">
        <v>444</v>
      </c>
      <c r="G1279" s="2" t="s">
        <v>25</v>
      </c>
      <c r="H1279" s="2" t="s">
        <v>43</v>
      </c>
      <c r="I1279" s="2" t="s">
        <v>60</v>
      </c>
      <c r="J1279" s="2" t="s">
        <v>305</v>
      </c>
      <c r="K1279" s="2" t="s">
        <v>10</v>
      </c>
    </row>
    <row r="1280" spans="1:11" ht="27.6" hidden="1" x14ac:dyDescent="0.3">
      <c r="A1280" s="2" t="s">
        <v>60</v>
      </c>
      <c r="B1280" s="2" t="s">
        <v>4349</v>
      </c>
      <c r="C1280" s="3">
        <v>27742</v>
      </c>
      <c r="D1280" s="1" t="s">
        <v>4350</v>
      </c>
      <c r="E1280" s="1" t="s">
        <v>4351</v>
      </c>
      <c r="F1280" s="2" t="s">
        <v>60</v>
      </c>
      <c r="G1280" s="2" t="s">
        <v>1275</v>
      </c>
      <c r="H1280" s="2" t="s">
        <v>81</v>
      </c>
      <c r="I1280" s="2" t="s">
        <v>60</v>
      </c>
      <c r="J1280" s="2" t="s">
        <v>1276</v>
      </c>
      <c r="K1280" s="2" t="s">
        <v>10</v>
      </c>
    </row>
    <row r="1281" spans="1:12" ht="27.6" hidden="1" x14ac:dyDescent="0.3">
      <c r="A1281" s="2" t="s">
        <v>60</v>
      </c>
      <c r="B1281" s="2" t="s">
        <v>4352</v>
      </c>
      <c r="C1281" s="3">
        <v>29864</v>
      </c>
      <c r="D1281" s="1" t="s">
        <v>4353</v>
      </c>
      <c r="E1281" s="1" t="s">
        <v>4354</v>
      </c>
      <c r="F1281" s="2" t="s">
        <v>60</v>
      </c>
      <c r="G1281" s="2" t="s">
        <v>669</v>
      </c>
      <c r="H1281" s="2" t="s">
        <v>334</v>
      </c>
      <c r="I1281" s="2" t="s">
        <v>60</v>
      </c>
      <c r="J1281" s="2" t="s">
        <v>670</v>
      </c>
      <c r="K1281" s="2" t="s">
        <v>10</v>
      </c>
    </row>
    <row r="1282" spans="1:12" ht="27.6" hidden="1" x14ac:dyDescent="0.3">
      <c r="A1282" s="2" t="s">
        <v>11</v>
      </c>
      <c r="B1282" s="2" t="s">
        <v>4355</v>
      </c>
      <c r="C1282" s="3">
        <v>35368</v>
      </c>
      <c r="D1282" s="1" t="s">
        <v>4356</v>
      </c>
      <c r="E1282" s="1" t="s">
        <v>4357</v>
      </c>
      <c r="F1282" s="2" t="s">
        <v>557</v>
      </c>
      <c r="G1282" s="2" t="s">
        <v>196</v>
      </c>
      <c r="H1282" s="2" t="s">
        <v>43</v>
      </c>
      <c r="I1282" s="2" t="s">
        <v>11</v>
      </c>
      <c r="J1282" s="2" t="s">
        <v>367</v>
      </c>
      <c r="K1282" s="2" t="s">
        <v>10</v>
      </c>
    </row>
    <row r="1283" spans="1:12" ht="27.6" hidden="1" x14ac:dyDescent="0.3">
      <c r="A1283" s="2" t="s">
        <v>60</v>
      </c>
      <c r="B1283" s="2" t="s">
        <v>4358</v>
      </c>
      <c r="C1283" s="3">
        <v>33099</v>
      </c>
      <c r="D1283" s="1" t="s">
        <v>4359</v>
      </c>
      <c r="E1283" s="1" t="s">
        <v>4360</v>
      </c>
      <c r="F1283" s="2" t="s">
        <v>60</v>
      </c>
      <c r="G1283" s="2" t="s">
        <v>2828</v>
      </c>
      <c r="H1283" s="2" t="s">
        <v>10</v>
      </c>
      <c r="I1283" s="2" t="s">
        <v>60</v>
      </c>
      <c r="J1283" s="2" t="s">
        <v>3007</v>
      </c>
      <c r="K1283" s="2" t="s">
        <v>10</v>
      </c>
    </row>
    <row r="1284" spans="1:12" ht="27.6" hidden="1" x14ac:dyDescent="0.3">
      <c r="A1284" s="2" t="s">
        <v>60</v>
      </c>
      <c r="B1284" s="2" t="s">
        <v>4361</v>
      </c>
      <c r="C1284" s="3">
        <v>25785</v>
      </c>
      <c r="D1284" s="1" t="s">
        <v>4362</v>
      </c>
      <c r="E1284" s="1" t="s">
        <v>4363</v>
      </c>
      <c r="F1284" s="2" t="s">
        <v>2205</v>
      </c>
      <c r="G1284" s="2" t="s">
        <v>31</v>
      </c>
      <c r="H1284" s="2" t="s">
        <v>10</v>
      </c>
      <c r="I1284" s="2" t="s">
        <v>60</v>
      </c>
      <c r="J1284" s="2" t="s">
        <v>684</v>
      </c>
      <c r="K1284" s="2" t="s">
        <v>10</v>
      </c>
    </row>
    <row r="1285" spans="1:12" ht="27.6" hidden="1" x14ac:dyDescent="0.3">
      <c r="A1285" s="2" t="s">
        <v>60</v>
      </c>
      <c r="B1285" s="2" t="s">
        <v>4364</v>
      </c>
      <c r="C1285" s="3">
        <v>30808</v>
      </c>
      <c r="D1285" s="1" t="s">
        <v>4365</v>
      </c>
      <c r="E1285" s="1" t="s">
        <v>4366</v>
      </c>
      <c r="F1285" s="2" t="s">
        <v>2247</v>
      </c>
      <c r="G1285" s="2" t="s">
        <v>25</v>
      </c>
      <c r="H1285" s="2" t="s">
        <v>10</v>
      </c>
      <c r="I1285" s="2" t="s">
        <v>60</v>
      </c>
      <c r="J1285" s="2" t="s">
        <v>305</v>
      </c>
      <c r="K1285" s="2" t="s">
        <v>10</v>
      </c>
    </row>
    <row r="1286" spans="1:12" ht="27.6" hidden="1" x14ac:dyDescent="0.3">
      <c r="A1286" s="2" t="s">
        <v>60</v>
      </c>
      <c r="B1286" s="2" t="s">
        <v>4367</v>
      </c>
      <c r="C1286" s="3">
        <v>35127</v>
      </c>
      <c r="D1286" s="1" t="s">
        <v>4368</v>
      </c>
      <c r="E1286" s="1" t="s">
        <v>4369</v>
      </c>
      <c r="F1286" s="2" t="s">
        <v>941</v>
      </c>
      <c r="G1286" s="2" t="s">
        <v>80</v>
      </c>
      <c r="H1286" s="2" t="s">
        <v>10</v>
      </c>
      <c r="I1286" s="2" t="s">
        <v>60</v>
      </c>
      <c r="J1286" s="2" t="s">
        <v>3265</v>
      </c>
      <c r="K1286" s="2" t="s">
        <v>10</v>
      </c>
    </row>
    <row r="1287" spans="1:12" ht="27.6" hidden="1" x14ac:dyDescent="0.3">
      <c r="A1287" s="2" t="s">
        <v>60</v>
      </c>
      <c r="B1287" s="2" t="s">
        <v>4208</v>
      </c>
      <c r="C1287" s="3">
        <v>25492</v>
      </c>
      <c r="D1287" s="1" t="s">
        <v>4370</v>
      </c>
      <c r="E1287" s="1" t="s">
        <v>4210</v>
      </c>
      <c r="F1287" s="2" t="s">
        <v>60</v>
      </c>
      <c r="G1287" s="2" t="s">
        <v>288</v>
      </c>
      <c r="H1287" s="2" t="s">
        <v>103</v>
      </c>
      <c r="I1287" s="2" t="s">
        <v>60</v>
      </c>
      <c r="J1287" s="2" t="s">
        <v>289</v>
      </c>
      <c r="K1287" s="2" t="s">
        <v>10</v>
      </c>
    </row>
    <row r="1288" spans="1:12" ht="27.6" hidden="1" x14ac:dyDescent="0.3">
      <c r="A1288" s="2" t="s">
        <v>60</v>
      </c>
      <c r="B1288" s="2" t="s">
        <v>4371</v>
      </c>
      <c r="C1288" s="3">
        <v>32973</v>
      </c>
      <c r="D1288" s="1" t="s">
        <v>4372</v>
      </c>
      <c r="E1288" s="1" t="s">
        <v>4373</v>
      </c>
      <c r="F1288" s="2" t="s">
        <v>2372</v>
      </c>
      <c r="G1288" s="2" t="s">
        <v>12</v>
      </c>
      <c r="H1288" s="2" t="s">
        <v>10</v>
      </c>
      <c r="I1288" s="2" t="s">
        <v>60</v>
      </c>
      <c r="J1288" s="2" t="s">
        <v>540</v>
      </c>
      <c r="K1288" s="2" t="s">
        <v>10</v>
      </c>
    </row>
    <row r="1289" spans="1:12" ht="27.6" hidden="1" x14ac:dyDescent="0.3">
      <c r="A1289" s="2" t="s">
        <v>60</v>
      </c>
      <c r="B1289" s="2" t="s">
        <v>4371</v>
      </c>
      <c r="C1289" s="3">
        <v>32973</v>
      </c>
      <c r="D1289" s="1" t="s">
        <v>4372</v>
      </c>
      <c r="E1289" s="1" t="s">
        <v>4373</v>
      </c>
      <c r="F1289" s="2" t="s">
        <v>444</v>
      </c>
      <c r="G1289" s="2" t="s">
        <v>328</v>
      </c>
      <c r="H1289" s="2" t="s">
        <v>10</v>
      </c>
      <c r="I1289" s="2" t="s">
        <v>60</v>
      </c>
      <c r="J1289" s="2" t="s">
        <v>329</v>
      </c>
      <c r="K1289" s="2" t="s">
        <v>10</v>
      </c>
    </row>
    <row r="1290" spans="1:12" ht="27.6" hidden="1" x14ac:dyDescent="0.3">
      <c r="A1290" s="2" t="s">
        <v>60</v>
      </c>
      <c r="B1290" s="2" t="s">
        <v>4374</v>
      </c>
      <c r="C1290" s="3">
        <v>35568</v>
      </c>
      <c r="D1290" s="1" t="s">
        <v>4375</v>
      </c>
      <c r="E1290" s="1" t="s">
        <v>4376</v>
      </c>
      <c r="F1290" s="2" t="s">
        <v>123</v>
      </c>
      <c r="G1290" s="2" t="s">
        <v>112</v>
      </c>
      <c r="H1290" s="2" t="s">
        <v>334</v>
      </c>
      <c r="I1290" s="2" t="s">
        <v>60</v>
      </c>
      <c r="J1290" s="2" t="s">
        <v>315</v>
      </c>
      <c r="K1290" s="2" t="s">
        <v>10</v>
      </c>
    </row>
    <row r="1291" spans="1:12" hidden="1" x14ac:dyDescent="0.3">
      <c r="A1291" s="2" t="s">
        <v>180</v>
      </c>
      <c r="B1291" s="2" t="s">
        <v>4377</v>
      </c>
      <c r="C1291" s="3">
        <v>32932</v>
      </c>
      <c r="D1291" s="1" t="s">
        <v>4378</v>
      </c>
      <c r="E1291" s="1" t="s">
        <v>4379</v>
      </c>
      <c r="F1291" s="2" t="s">
        <v>491</v>
      </c>
      <c r="G1291" s="2" t="s">
        <v>143</v>
      </c>
      <c r="H1291" s="2" t="s">
        <v>10</v>
      </c>
      <c r="I1291" s="2" t="s">
        <v>180</v>
      </c>
      <c r="J1291" s="2" t="s">
        <v>3096</v>
      </c>
      <c r="K1291" s="2" t="s">
        <v>10</v>
      </c>
      <c r="L1291" s="6"/>
    </row>
    <row r="1292" spans="1:12" hidden="1" x14ac:dyDescent="0.3">
      <c r="A1292" s="2" t="s">
        <v>180</v>
      </c>
      <c r="B1292" s="2" t="s">
        <v>4380</v>
      </c>
      <c r="C1292" s="3">
        <v>30520</v>
      </c>
      <c r="D1292" s="1" t="s">
        <v>4381</v>
      </c>
      <c r="E1292" s="1" t="s">
        <v>4382</v>
      </c>
      <c r="F1292" s="2" t="s">
        <v>195</v>
      </c>
      <c r="G1292" s="2" t="s">
        <v>288</v>
      </c>
      <c r="H1292" s="2" t="s">
        <v>10</v>
      </c>
      <c r="I1292" s="2" t="s">
        <v>180</v>
      </c>
      <c r="J1292" s="2" t="s">
        <v>289</v>
      </c>
      <c r="K1292" s="2" t="s">
        <v>10</v>
      </c>
      <c r="L1292" s="6"/>
    </row>
    <row r="1293" spans="1:12" ht="27.6" hidden="1" x14ac:dyDescent="0.3">
      <c r="A1293" s="2" t="s">
        <v>60</v>
      </c>
      <c r="B1293" s="2" t="s">
        <v>4383</v>
      </c>
      <c r="C1293" s="3">
        <v>24692</v>
      </c>
      <c r="D1293" s="1" t="s">
        <v>4384</v>
      </c>
      <c r="E1293" s="1" t="s">
        <v>4385</v>
      </c>
      <c r="F1293" s="2" t="s">
        <v>618</v>
      </c>
      <c r="G1293" s="2" t="s">
        <v>48</v>
      </c>
      <c r="H1293" s="2" t="s">
        <v>10</v>
      </c>
      <c r="I1293" s="2" t="s">
        <v>60</v>
      </c>
      <c r="J1293" s="2" t="s">
        <v>49</v>
      </c>
      <c r="K1293" s="2" t="s">
        <v>10</v>
      </c>
    </row>
    <row r="1294" spans="1:12" ht="27.6" hidden="1" x14ac:dyDescent="0.3">
      <c r="A1294" s="2" t="s">
        <v>4386</v>
      </c>
      <c r="B1294" s="2" t="s">
        <v>4387</v>
      </c>
      <c r="C1294" s="3">
        <v>23374</v>
      </c>
      <c r="D1294" s="1" t="s">
        <v>4388</v>
      </c>
      <c r="E1294" s="1" t="s">
        <v>4389</v>
      </c>
      <c r="F1294" s="2" t="s">
        <v>4390</v>
      </c>
      <c r="G1294" s="2" t="s">
        <v>4391</v>
      </c>
      <c r="H1294" s="2" t="s">
        <v>10</v>
      </c>
      <c r="I1294" s="2" t="s">
        <v>4386</v>
      </c>
      <c r="J1294" s="2" t="s">
        <v>4392</v>
      </c>
      <c r="K1294" s="2" t="s">
        <v>10</v>
      </c>
    </row>
    <row r="1295" spans="1:12" ht="27.6" hidden="1" x14ac:dyDescent="0.3">
      <c r="A1295" s="2" t="s">
        <v>4386</v>
      </c>
      <c r="B1295" s="2" t="s">
        <v>4393</v>
      </c>
      <c r="C1295" s="3">
        <v>25487</v>
      </c>
      <c r="D1295" s="1" t="s">
        <v>4394</v>
      </c>
      <c r="E1295" s="1" t="s">
        <v>4395</v>
      </c>
      <c r="F1295" s="2" t="s">
        <v>4396</v>
      </c>
      <c r="G1295" s="2" t="s">
        <v>4397</v>
      </c>
      <c r="H1295" s="2" t="s">
        <v>10</v>
      </c>
      <c r="I1295" s="2" t="s">
        <v>4386</v>
      </c>
      <c r="J1295" s="2" t="s">
        <v>4398</v>
      </c>
      <c r="K1295" s="2" t="s">
        <v>4399</v>
      </c>
    </row>
    <row r="1296" spans="1:12" ht="27.6" hidden="1" x14ac:dyDescent="0.3">
      <c r="A1296" s="2" t="s">
        <v>4386</v>
      </c>
      <c r="B1296" s="2" t="s">
        <v>4400</v>
      </c>
      <c r="C1296" s="3">
        <v>26934</v>
      </c>
      <c r="D1296" s="1" t="s">
        <v>4401</v>
      </c>
      <c r="E1296" s="1" t="s">
        <v>4402</v>
      </c>
      <c r="F1296" s="2" t="s">
        <v>4396</v>
      </c>
      <c r="G1296" s="2" t="s">
        <v>4403</v>
      </c>
      <c r="H1296" s="2" t="s">
        <v>10</v>
      </c>
      <c r="I1296" s="2" t="s">
        <v>4386</v>
      </c>
      <c r="J1296" s="2" t="s">
        <v>4404</v>
      </c>
      <c r="K1296" s="2" t="s">
        <v>10</v>
      </c>
    </row>
    <row r="1297" spans="1:11" ht="27.6" hidden="1" x14ac:dyDescent="0.3">
      <c r="A1297" s="2" t="s">
        <v>4386</v>
      </c>
      <c r="B1297" s="2" t="s">
        <v>4405</v>
      </c>
      <c r="C1297" s="3">
        <v>36416</v>
      </c>
      <c r="D1297" s="1" t="s">
        <v>4406</v>
      </c>
      <c r="E1297" s="1" t="s">
        <v>4407</v>
      </c>
      <c r="F1297" s="2" t="s">
        <v>4396</v>
      </c>
      <c r="G1297" s="2" t="s">
        <v>4408</v>
      </c>
      <c r="H1297" s="2" t="s">
        <v>4409</v>
      </c>
      <c r="I1297" s="2" t="s">
        <v>4386</v>
      </c>
      <c r="J1297" s="2" t="s">
        <v>4410</v>
      </c>
      <c r="K1297" s="2" t="s">
        <v>10</v>
      </c>
    </row>
    <row r="1298" spans="1:11" ht="27.6" hidden="1" x14ac:dyDescent="0.3">
      <c r="A1298" s="2" t="s">
        <v>4386</v>
      </c>
      <c r="B1298" s="2" t="s">
        <v>4411</v>
      </c>
      <c r="C1298" s="3">
        <v>26079</v>
      </c>
      <c r="D1298" s="1" t="s">
        <v>4412</v>
      </c>
      <c r="E1298" s="1" t="s">
        <v>4413</v>
      </c>
      <c r="F1298" s="2" t="s">
        <v>4396</v>
      </c>
      <c r="G1298" s="2" t="s">
        <v>4414</v>
      </c>
      <c r="H1298" s="2" t="s">
        <v>10</v>
      </c>
      <c r="I1298" s="2" t="s">
        <v>4386</v>
      </c>
      <c r="J1298" s="2" t="s">
        <v>4415</v>
      </c>
      <c r="K1298" s="2" t="s">
        <v>10</v>
      </c>
    </row>
    <row r="1299" spans="1:11" ht="27.6" hidden="1" x14ac:dyDescent="0.3">
      <c r="A1299" s="2" t="s">
        <v>4386</v>
      </c>
      <c r="B1299" s="2" t="s">
        <v>4416</v>
      </c>
      <c r="C1299" s="3">
        <v>22331</v>
      </c>
      <c r="D1299" s="1" t="s">
        <v>4417</v>
      </c>
      <c r="E1299" s="1" t="s">
        <v>4418</v>
      </c>
      <c r="F1299" s="2" t="s">
        <v>4396</v>
      </c>
      <c r="G1299" s="2" t="s">
        <v>4419</v>
      </c>
      <c r="H1299" s="2" t="s">
        <v>103</v>
      </c>
      <c r="I1299" s="2" t="s">
        <v>4386</v>
      </c>
      <c r="J1299" s="2" t="s">
        <v>4420</v>
      </c>
      <c r="K1299" s="2" t="s">
        <v>10</v>
      </c>
    </row>
    <row r="1300" spans="1:11" ht="27.6" hidden="1" x14ac:dyDescent="0.3">
      <c r="A1300" s="2" t="s">
        <v>4386</v>
      </c>
      <c r="B1300" s="2" t="s">
        <v>4421</v>
      </c>
      <c r="C1300" s="3">
        <v>35957</v>
      </c>
      <c r="D1300" s="1" t="s">
        <v>4422</v>
      </c>
      <c r="E1300" s="1" t="s">
        <v>4423</v>
      </c>
      <c r="F1300" s="2" t="s">
        <v>4396</v>
      </c>
      <c r="G1300" s="2" t="s">
        <v>4424</v>
      </c>
      <c r="H1300" s="2" t="s">
        <v>10</v>
      </c>
      <c r="I1300" s="2" t="s">
        <v>4386</v>
      </c>
      <c r="J1300" s="2" t="s">
        <v>4425</v>
      </c>
      <c r="K1300" s="2" t="s">
        <v>10</v>
      </c>
    </row>
    <row r="1301" spans="1:11" ht="27.6" hidden="1" x14ac:dyDescent="0.3">
      <c r="A1301" s="2" t="s">
        <v>4386</v>
      </c>
      <c r="B1301" s="2" t="s">
        <v>4426</v>
      </c>
      <c r="C1301" s="3">
        <v>35020</v>
      </c>
      <c r="D1301" s="1" t="s">
        <v>4427</v>
      </c>
      <c r="E1301" s="1" t="s">
        <v>4428</v>
      </c>
      <c r="F1301" s="2" t="s">
        <v>4396</v>
      </c>
      <c r="G1301" s="2" t="s">
        <v>4419</v>
      </c>
      <c r="H1301" s="2" t="s">
        <v>562</v>
      </c>
      <c r="I1301" s="2" t="s">
        <v>4386</v>
      </c>
      <c r="J1301" s="2" t="s">
        <v>4420</v>
      </c>
      <c r="K1301" s="2" t="s">
        <v>10</v>
      </c>
    </row>
    <row r="1302" spans="1:11" ht="27.6" hidden="1" x14ac:dyDescent="0.3">
      <c r="A1302" s="2" t="s">
        <v>4386</v>
      </c>
      <c r="B1302" s="2" t="s">
        <v>4429</v>
      </c>
      <c r="C1302" s="3">
        <v>38882</v>
      </c>
      <c r="D1302" s="1" t="s">
        <v>4430</v>
      </c>
      <c r="E1302" s="1" t="s">
        <v>4431</v>
      </c>
      <c r="F1302" s="2" t="s">
        <v>4396</v>
      </c>
      <c r="G1302" s="2" t="s">
        <v>4432</v>
      </c>
      <c r="H1302" s="2" t="s">
        <v>10</v>
      </c>
      <c r="I1302" s="2" t="s">
        <v>4386</v>
      </c>
      <c r="J1302" s="2" t="s">
        <v>4433</v>
      </c>
      <c r="K1302" s="2" t="s">
        <v>10</v>
      </c>
    </row>
    <row r="1303" spans="1:11" ht="27.6" hidden="1" x14ac:dyDescent="0.3">
      <c r="A1303" s="2" t="s">
        <v>4386</v>
      </c>
      <c r="B1303" s="2" t="s">
        <v>4434</v>
      </c>
      <c r="C1303" s="3">
        <v>30061</v>
      </c>
      <c r="D1303" s="1" t="s">
        <v>4435</v>
      </c>
      <c r="E1303" s="1" t="s">
        <v>4436</v>
      </c>
      <c r="F1303" s="2" t="s">
        <v>4396</v>
      </c>
      <c r="G1303" s="2" t="s">
        <v>4419</v>
      </c>
      <c r="H1303" s="2" t="s">
        <v>81</v>
      </c>
      <c r="I1303" s="2" t="s">
        <v>4386</v>
      </c>
      <c r="J1303" s="2" t="s">
        <v>4420</v>
      </c>
      <c r="K1303" s="2" t="s">
        <v>10</v>
      </c>
    </row>
    <row r="1304" spans="1:11" ht="27.6" hidden="1" x14ac:dyDescent="0.3">
      <c r="A1304" s="2" t="s">
        <v>4386</v>
      </c>
      <c r="B1304" s="2" t="s">
        <v>4437</v>
      </c>
      <c r="C1304" s="3">
        <v>22976</v>
      </c>
      <c r="D1304" s="1" t="s">
        <v>4438</v>
      </c>
      <c r="E1304" s="1" t="s">
        <v>4439</v>
      </c>
      <c r="F1304" s="2" t="s">
        <v>4396</v>
      </c>
      <c r="G1304" s="2" t="s">
        <v>4440</v>
      </c>
      <c r="H1304" s="2" t="s">
        <v>4409</v>
      </c>
      <c r="I1304" s="2" t="s">
        <v>4386</v>
      </c>
      <c r="J1304" s="2" t="s">
        <v>4441</v>
      </c>
      <c r="K1304" s="2" t="s">
        <v>10</v>
      </c>
    </row>
    <row r="1305" spans="1:11" ht="27.6" hidden="1" x14ac:dyDescent="0.3">
      <c r="A1305" s="2" t="s">
        <v>4386</v>
      </c>
      <c r="B1305" s="2" t="s">
        <v>4442</v>
      </c>
      <c r="C1305" s="3">
        <v>20791</v>
      </c>
      <c r="D1305" s="1" t="s">
        <v>4443</v>
      </c>
      <c r="E1305" s="1" t="s">
        <v>4444</v>
      </c>
      <c r="F1305" s="2" t="s">
        <v>4396</v>
      </c>
      <c r="G1305" s="2" t="s">
        <v>4445</v>
      </c>
      <c r="H1305" s="2" t="s">
        <v>10</v>
      </c>
      <c r="I1305" s="2" t="s">
        <v>4386</v>
      </c>
      <c r="J1305" s="2" t="s">
        <v>4446</v>
      </c>
      <c r="K1305" s="2" t="s">
        <v>10</v>
      </c>
    </row>
    <row r="1306" spans="1:11" ht="27.6" hidden="1" x14ac:dyDescent="0.3">
      <c r="A1306" s="2" t="s">
        <v>4386</v>
      </c>
      <c r="B1306" s="2" t="s">
        <v>4447</v>
      </c>
      <c r="C1306" s="3">
        <v>31944</v>
      </c>
      <c r="D1306" s="1" t="s">
        <v>4448</v>
      </c>
      <c r="E1306" s="1" t="s">
        <v>4449</v>
      </c>
      <c r="F1306" s="2" t="s">
        <v>4396</v>
      </c>
      <c r="G1306" s="2" t="s">
        <v>4450</v>
      </c>
      <c r="H1306" s="2" t="s">
        <v>10</v>
      </c>
      <c r="I1306" s="2" t="s">
        <v>4386</v>
      </c>
      <c r="J1306" s="2" t="s">
        <v>4451</v>
      </c>
      <c r="K1306" s="2" t="s">
        <v>10</v>
      </c>
    </row>
    <row r="1307" spans="1:11" ht="27.6" hidden="1" x14ac:dyDescent="0.3">
      <c r="A1307" s="2" t="s">
        <v>4386</v>
      </c>
      <c r="B1307" s="2" t="s">
        <v>4452</v>
      </c>
      <c r="C1307" s="3">
        <v>29128</v>
      </c>
      <c r="D1307" s="1" t="s">
        <v>4453</v>
      </c>
      <c r="E1307" s="1" t="s">
        <v>4454</v>
      </c>
      <c r="F1307" s="2" t="s">
        <v>4396</v>
      </c>
      <c r="G1307" s="2" t="s">
        <v>4455</v>
      </c>
      <c r="H1307" s="2" t="s">
        <v>103</v>
      </c>
      <c r="I1307" s="2" t="s">
        <v>4386</v>
      </c>
      <c r="J1307" s="2" t="s">
        <v>4456</v>
      </c>
      <c r="K1307" s="2" t="s">
        <v>10</v>
      </c>
    </row>
    <row r="1308" spans="1:11" ht="27.6" hidden="1" x14ac:dyDescent="0.3">
      <c r="A1308" s="2" t="s">
        <v>4386</v>
      </c>
      <c r="B1308" s="2" t="s">
        <v>4457</v>
      </c>
      <c r="C1308" s="3">
        <v>23563</v>
      </c>
      <c r="D1308" s="1" t="s">
        <v>4458</v>
      </c>
      <c r="E1308" s="1" t="s">
        <v>4459</v>
      </c>
      <c r="F1308" s="2" t="s">
        <v>4396</v>
      </c>
      <c r="G1308" s="2" t="s">
        <v>4460</v>
      </c>
      <c r="H1308" s="2" t="s">
        <v>103</v>
      </c>
      <c r="I1308" s="2" t="s">
        <v>4386</v>
      </c>
      <c r="J1308" s="2" t="s">
        <v>4461</v>
      </c>
      <c r="K1308" s="2" t="s">
        <v>4399</v>
      </c>
    </row>
    <row r="1309" spans="1:11" ht="27.6" hidden="1" x14ac:dyDescent="0.3">
      <c r="A1309" s="2" t="s">
        <v>4386</v>
      </c>
      <c r="B1309" s="2" t="s">
        <v>4462</v>
      </c>
      <c r="C1309" s="3">
        <v>34576</v>
      </c>
      <c r="D1309" s="1" t="s">
        <v>4463</v>
      </c>
      <c r="E1309" s="1" t="s">
        <v>4464</v>
      </c>
      <c r="F1309" s="2" t="s">
        <v>4396</v>
      </c>
      <c r="G1309" s="2" t="s">
        <v>4465</v>
      </c>
      <c r="H1309" s="2" t="s">
        <v>10</v>
      </c>
      <c r="I1309" s="2" t="s">
        <v>4386</v>
      </c>
      <c r="J1309" s="2" t="s">
        <v>4466</v>
      </c>
      <c r="K1309" s="2" t="s">
        <v>10</v>
      </c>
    </row>
    <row r="1310" spans="1:11" ht="27.6" hidden="1" x14ac:dyDescent="0.3">
      <c r="A1310" s="2" t="s">
        <v>4386</v>
      </c>
      <c r="B1310" s="2" t="s">
        <v>4457</v>
      </c>
      <c r="C1310" s="3">
        <v>23563</v>
      </c>
      <c r="D1310" s="1" t="s">
        <v>4458</v>
      </c>
      <c r="E1310" s="1" t="s">
        <v>4459</v>
      </c>
      <c r="F1310" s="2" t="s">
        <v>4396</v>
      </c>
      <c r="G1310" s="2" t="s">
        <v>4460</v>
      </c>
      <c r="H1310" s="2" t="s">
        <v>81</v>
      </c>
      <c r="I1310" s="2" t="s">
        <v>4386</v>
      </c>
      <c r="J1310" s="2" t="s">
        <v>4461</v>
      </c>
      <c r="K1310" s="2" t="s">
        <v>10</v>
      </c>
    </row>
    <row r="1311" spans="1:11" ht="27.6" hidden="1" x14ac:dyDescent="0.3">
      <c r="A1311" s="2" t="s">
        <v>4386</v>
      </c>
      <c r="B1311" s="2" t="s">
        <v>4467</v>
      </c>
      <c r="C1311" s="3">
        <v>37897</v>
      </c>
      <c r="D1311" s="1" t="s">
        <v>4468</v>
      </c>
      <c r="E1311" s="1" t="s">
        <v>4469</v>
      </c>
      <c r="F1311" s="2" t="s">
        <v>4396</v>
      </c>
      <c r="G1311" s="2" t="s">
        <v>4455</v>
      </c>
      <c r="H1311" s="2" t="s">
        <v>81</v>
      </c>
      <c r="I1311" s="2" t="s">
        <v>4386</v>
      </c>
      <c r="J1311" s="2" t="s">
        <v>4456</v>
      </c>
      <c r="K1311" s="2" t="s">
        <v>10</v>
      </c>
    </row>
    <row r="1312" spans="1:11" ht="27.6" hidden="1" x14ac:dyDescent="0.3">
      <c r="A1312" s="2" t="s">
        <v>4386</v>
      </c>
      <c r="B1312" s="2" t="s">
        <v>4470</v>
      </c>
      <c r="C1312" s="3">
        <v>29849</v>
      </c>
      <c r="D1312" s="1" t="s">
        <v>4471</v>
      </c>
      <c r="E1312" s="1" t="s">
        <v>4472</v>
      </c>
      <c r="F1312" s="2" t="s">
        <v>4396</v>
      </c>
      <c r="G1312" s="2" t="s">
        <v>4473</v>
      </c>
      <c r="H1312" s="2" t="s">
        <v>10</v>
      </c>
      <c r="I1312" s="2" t="s">
        <v>4386</v>
      </c>
      <c r="J1312" s="2" t="s">
        <v>4474</v>
      </c>
      <c r="K1312" s="2" t="s">
        <v>10</v>
      </c>
    </row>
    <row r="1313" spans="1:11" ht="27.6" hidden="1" x14ac:dyDescent="0.3">
      <c r="A1313" s="2" t="s">
        <v>60</v>
      </c>
      <c r="B1313" s="2" t="s">
        <v>4475</v>
      </c>
      <c r="C1313" s="3">
        <v>37745</v>
      </c>
      <c r="D1313" s="1" t="s">
        <v>4476</v>
      </c>
      <c r="E1313" s="1" t="s">
        <v>4477</v>
      </c>
      <c r="F1313" s="2" t="s">
        <v>274</v>
      </c>
      <c r="G1313" s="2" t="s">
        <v>333</v>
      </c>
      <c r="H1313" s="2" t="s">
        <v>10</v>
      </c>
      <c r="I1313" s="2" t="s">
        <v>60</v>
      </c>
      <c r="J1313" s="2" t="s">
        <v>1059</v>
      </c>
      <c r="K1313" s="2" t="s">
        <v>10</v>
      </c>
    </row>
    <row r="1314" spans="1:11" ht="27.6" hidden="1" x14ac:dyDescent="0.3">
      <c r="A1314" s="2" t="s">
        <v>60</v>
      </c>
      <c r="B1314" s="2" t="s">
        <v>4478</v>
      </c>
      <c r="C1314" s="3">
        <v>22636</v>
      </c>
      <c r="D1314" s="1" t="s">
        <v>4479</v>
      </c>
      <c r="E1314" s="1" t="s">
        <v>4480</v>
      </c>
      <c r="F1314" s="2" t="s">
        <v>274</v>
      </c>
      <c r="G1314" s="2" t="s">
        <v>860</v>
      </c>
      <c r="H1314" s="2" t="s">
        <v>103</v>
      </c>
      <c r="I1314" s="2" t="s">
        <v>60</v>
      </c>
      <c r="J1314" s="2" t="s">
        <v>861</v>
      </c>
      <c r="K1314" s="2" t="s">
        <v>10</v>
      </c>
    </row>
    <row r="1315" spans="1:11" ht="27.6" hidden="1" x14ac:dyDescent="0.3">
      <c r="A1315" s="2" t="s">
        <v>4386</v>
      </c>
      <c r="B1315" s="2" t="s">
        <v>4481</v>
      </c>
      <c r="C1315" s="3">
        <v>32722</v>
      </c>
      <c r="D1315" s="1" t="s">
        <v>4482</v>
      </c>
      <c r="E1315" s="1" t="s">
        <v>4483</v>
      </c>
      <c r="F1315" s="2" t="s">
        <v>4396</v>
      </c>
      <c r="G1315" s="2" t="s">
        <v>4484</v>
      </c>
      <c r="H1315" s="2" t="s">
        <v>103</v>
      </c>
      <c r="I1315" s="2" t="s">
        <v>4386</v>
      </c>
      <c r="J1315" s="2" t="s">
        <v>4485</v>
      </c>
      <c r="K1315" s="2" t="s">
        <v>10</v>
      </c>
    </row>
    <row r="1316" spans="1:11" ht="27.6" hidden="1" x14ac:dyDescent="0.3">
      <c r="A1316" s="2" t="s">
        <v>60</v>
      </c>
      <c r="B1316" s="2" t="s">
        <v>4486</v>
      </c>
      <c r="C1316" s="3">
        <v>28226</v>
      </c>
      <c r="D1316" s="1" t="s">
        <v>4487</v>
      </c>
      <c r="E1316" s="1" t="s">
        <v>4488</v>
      </c>
      <c r="F1316" s="2" t="s">
        <v>60</v>
      </c>
      <c r="G1316" s="2" t="s">
        <v>80</v>
      </c>
      <c r="H1316" s="2" t="s">
        <v>81</v>
      </c>
      <c r="I1316" s="2" t="s">
        <v>60</v>
      </c>
      <c r="J1316" s="2" t="s">
        <v>845</v>
      </c>
      <c r="K1316" s="2" t="s">
        <v>10</v>
      </c>
    </row>
    <row r="1317" spans="1:11" ht="27.6" hidden="1" x14ac:dyDescent="0.3">
      <c r="A1317" s="2" t="s">
        <v>4386</v>
      </c>
      <c r="B1317" s="2" t="s">
        <v>4489</v>
      </c>
      <c r="C1317" s="3">
        <v>27170</v>
      </c>
      <c r="D1317" s="1" t="s">
        <v>4490</v>
      </c>
      <c r="E1317" s="1" t="s">
        <v>4491</v>
      </c>
      <c r="F1317" s="2" t="s">
        <v>4396</v>
      </c>
      <c r="G1317" s="2" t="s">
        <v>4484</v>
      </c>
      <c r="H1317" s="2" t="s">
        <v>81</v>
      </c>
      <c r="I1317" s="2" t="s">
        <v>4386</v>
      </c>
      <c r="J1317" s="2" t="s">
        <v>4485</v>
      </c>
      <c r="K1317" s="2" t="s">
        <v>10</v>
      </c>
    </row>
    <row r="1318" spans="1:11" ht="27.6" hidden="1" x14ac:dyDescent="0.3">
      <c r="A1318" s="2" t="s">
        <v>60</v>
      </c>
      <c r="B1318" s="2" t="s">
        <v>4492</v>
      </c>
      <c r="C1318" s="3">
        <v>13367</v>
      </c>
      <c r="D1318" s="1" t="s">
        <v>4493</v>
      </c>
      <c r="E1318" s="1" t="s">
        <v>4494</v>
      </c>
      <c r="F1318" s="2" t="s">
        <v>60</v>
      </c>
      <c r="G1318" s="2" t="s">
        <v>80</v>
      </c>
      <c r="H1318" s="2" t="s">
        <v>103</v>
      </c>
      <c r="I1318" s="2" t="s">
        <v>60</v>
      </c>
      <c r="J1318" s="2" t="s">
        <v>845</v>
      </c>
      <c r="K1318" s="2" t="s">
        <v>10</v>
      </c>
    </row>
    <row r="1319" spans="1:11" ht="27.6" hidden="1" x14ac:dyDescent="0.3">
      <c r="A1319" s="2" t="s">
        <v>4386</v>
      </c>
      <c r="B1319" s="2" t="s">
        <v>4495</v>
      </c>
      <c r="C1319" s="3">
        <v>32567</v>
      </c>
      <c r="D1319" s="1" t="s">
        <v>4496</v>
      </c>
      <c r="E1319" s="1" t="s">
        <v>4497</v>
      </c>
      <c r="F1319" s="2" t="s">
        <v>4396</v>
      </c>
      <c r="G1319" s="2" t="s">
        <v>4498</v>
      </c>
      <c r="H1319" s="2" t="s">
        <v>10</v>
      </c>
      <c r="I1319" s="2" t="s">
        <v>4386</v>
      </c>
      <c r="J1319" s="2" t="s">
        <v>4499</v>
      </c>
      <c r="K1319" s="2" t="s">
        <v>10</v>
      </c>
    </row>
    <row r="1320" spans="1:11" ht="27.6" hidden="1" x14ac:dyDescent="0.3">
      <c r="A1320" s="2" t="s">
        <v>4386</v>
      </c>
      <c r="B1320" s="2" t="s">
        <v>4500</v>
      </c>
      <c r="C1320" s="3">
        <v>27370</v>
      </c>
      <c r="D1320" s="1" t="s">
        <v>4501</v>
      </c>
      <c r="E1320" s="1" t="s">
        <v>4502</v>
      </c>
      <c r="F1320" s="2" t="s">
        <v>4396</v>
      </c>
      <c r="G1320" s="2" t="s">
        <v>4503</v>
      </c>
      <c r="H1320" s="2" t="s">
        <v>10</v>
      </c>
      <c r="I1320" s="2" t="s">
        <v>4386</v>
      </c>
      <c r="J1320" s="2" t="s">
        <v>4504</v>
      </c>
      <c r="K1320" s="2" t="s">
        <v>10</v>
      </c>
    </row>
    <row r="1321" spans="1:11" ht="27.6" hidden="1" x14ac:dyDescent="0.3">
      <c r="A1321" s="2" t="s">
        <v>4386</v>
      </c>
      <c r="B1321" s="2" t="s">
        <v>4505</v>
      </c>
      <c r="C1321" s="3">
        <v>34834</v>
      </c>
      <c r="D1321" s="1" t="s">
        <v>4506</v>
      </c>
      <c r="E1321" s="1" t="s">
        <v>4507</v>
      </c>
      <c r="F1321" s="2" t="s">
        <v>4396</v>
      </c>
      <c r="G1321" s="2" t="s">
        <v>4508</v>
      </c>
      <c r="H1321" s="2" t="s">
        <v>10</v>
      </c>
      <c r="I1321" s="2" t="s">
        <v>4386</v>
      </c>
      <c r="J1321" s="2" t="s">
        <v>4509</v>
      </c>
      <c r="K1321" s="2" t="s">
        <v>10</v>
      </c>
    </row>
    <row r="1322" spans="1:11" ht="27.6" hidden="1" x14ac:dyDescent="0.3">
      <c r="A1322" s="2" t="s">
        <v>4386</v>
      </c>
      <c r="B1322" s="2" t="s">
        <v>4510</v>
      </c>
      <c r="C1322" s="3">
        <v>23102</v>
      </c>
      <c r="D1322" s="1" t="s">
        <v>4511</v>
      </c>
      <c r="E1322" s="1" t="s">
        <v>4512</v>
      </c>
      <c r="F1322" s="2" t="s">
        <v>4396</v>
      </c>
      <c r="G1322" s="2" t="s">
        <v>4513</v>
      </c>
      <c r="H1322" s="2" t="s">
        <v>103</v>
      </c>
      <c r="I1322" s="2" t="s">
        <v>4386</v>
      </c>
      <c r="J1322" s="2" t="s">
        <v>4514</v>
      </c>
      <c r="K1322" s="2" t="s">
        <v>10</v>
      </c>
    </row>
    <row r="1323" spans="1:11" ht="27.6" hidden="1" x14ac:dyDescent="0.3">
      <c r="A1323" s="2" t="s">
        <v>4386</v>
      </c>
      <c r="B1323" s="2" t="s">
        <v>4515</v>
      </c>
      <c r="C1323" s="3">
        <v>21617</v>
      </c>
      <c r="D1323" s="1" t="s">
        <v>4516</v>
      </c>
      <c r="E1323" s="1" t="s">
        <v>4517</v>
      </c>
      <c r="F1323" s="2" t="s">
        <v>4396</v>
      </c>
      <c r="G1323" s="2" t="s">
        <v>4518</v>
      </c>
      <c r="H1323" s="2" t="s">
        <v>10</v>
      </c>
      <c r="I1323" s="2" t="s">
        <v>4386</v>
      </c>
      <c r="J1323" s="2" t="s">
        <v>4519</v>
      </c>
      <c r="K1323" s="2" t="s">
        <v>10</v>
      </c>
    </row>
    <row r="1324" spans="1:11" ht="27.6" hidden="1" x14ac:dyDescent="0.3">
      <c r="A1324" s="2" t="s">
        <v>4386</v>
      </c>
      <c r="B1324" s="2" t="s">
        <v>4520</v>
      </c>
      <c r="C1324" s="3">
        <v>36762</v>
      </c>
      <c r="D1324" s="1" t="s">
        <v>4521</v>
      </c>
      <c r="E1324" s="1" t="s">
        <v>4522</v>
      </c>
      <c r="F1324" s="2" t="s">
        <v>4396</v>
      </c>
      <c r="G1324" s="2" t="s">
        <v>4513</v>
      </c>
      <c r="H1324" s="2" t="s">
        <v>562</v>
      </c>
      <c r="I1324" s="2" t="s">
        <v>4386</v>
      </c>
      <c r="J1324" s="2" t="s">
        <v>4514</v>
      </c>
      <c r="K1324" s="2" t="s">
        <v>10</v>
      </c>
    </row>
    <row r="1325" spans="1:11" ht="27.6" hidden="1" x14ac:dyDescent="0.3">
      <c r="A1325" s="2" t="s">
        <v>4386</v>
      </c>
      <c r="B1325" s="2" t="s">
        <v>4523</v>
      </c>
      <c r="C1325" s="3">
        <v>24147</v>
      </c>
      <c r="D1325" s="1" t="s">
        <v>4524</v>
      </c>
      <c r="E1325" s="1" t="s">
        <v>4525</v>
      </c>
      <c r="F1325" s="2" t="s">
        <v>4396</v>
      </c>
      <c r="G1325" s="2" t="s">
        <v>4526</v>
      </c>
      <c r="H1325" s="2" t="s">
        <v>103</v>
      </c>
      <c r="I1325" s="2" t="s">
        <v>4386</v>
      </c>
      <c r="J1325" s="2" t="s">
        <v>4527</v>
      </c>
      <c r="K1325" s="2" t="s">
        <v>10</v>
      </c>
    </row>
    <row r="1326" spans="1:11" ht="27.6" hidden="1" x14ac:dyDescent="0.3">
      <c r="A1326" s="2" t="s">
        <v>4386</v>
      </c>
      <c r="B1326" s="2" t="s">
        <v>4528</v>
      </c>
      <c r="C1326" s="3">
        <v>31572</v>
      </c>
      <c r="D1326" s="1" t="s">
        <v>4529</v>
      </c>
      <c r="E1326" s="1" t="s">
        <v>4530</v>
      </c>
      <c r="F1326" s="2" t="s">
        <v>4396</v>
      </c>
      <c r="G1326" s="2" t="s">
        <v>4460</v>
      </c>
      <c r="H1326" s="2" t="s">
        <v>4531</v>
      </c>
      <c r="I1326" s="2" t="s">
        <v>4386</v>
      </c>
      <c r="J1326" s="2" t="s">
        <v>4461</v>
      </c>
      <c r="K1326" s="2" t="s">
        <v>10</v>
      </c>
    </row>
    <row r="1327" spans="1:11" ht="27.6" hidden="1" x14ac:dyDescent="0.3">
      <c r="A1327" s="2" t="s">
        <v>4386</v>
      </c>
      <c r="B1327" s="2" t="s">
        <v>4532</v>
      </c>
      <c r="C1327" s="3">
        <v>29446</v>
      </c>
      <c r="D1327" s="1" t="s">
        <v>4533</v>
      </c>
      <c r="E1327" s="1" t="s">
        <v>4534</v>
      </c>
      <c r="F1327" s="2" t="s">
        <v>4396</v>
      </c>
      <c r="G1327" s="2" t="s">
        <v>4513</v>
      </c>
      <c r="H1327" s="2" t="s">
        <v>822</v>
      </c>
      <c r="I1327" s="2" t="s">
        <v>4386</v>
      </c>
      <c r="J1327" s="2" t="s">
        <v>4514</v>
      </c>
      <c r="K1327" s="2" t="s">
        <v>10</v>
      </c>
    </row>
    <row r="1328" spans="1:11" ht="27.6" hidden="1" x14ac:dyDescent="0.3">
      <c r="A1328" s="2" t="s">
        <v>4386</v>
      </c>
      <c r="B1328" s="2" t="s">
        <v>4535</v>
      </c>
      <c r="C1328" s="3">
        <v>22689</v>
      </c>
      <c r="D1328" s="1" t="s">
        <v>4536</v>
      </c>
      <c r="E1328" s="1" t="s">
        <v>4537</v>
      </c>
      <c r="F1328" s="2" t="s">
        <v>4396</v>
      </c>
      <c r="G1328" s="2" t="s">
        <v>4538</v>
      </c>
      <c r="H1328" s="2" t="s">
        <v>10</v>
      </c>
      <c r="I1328" s="2" t="s">
        <v>4386</v>
      </c>
      <c r="J1328" s="2" t="s">
        <v>4539</v>
      </c>
      <c r="K1328" s="2" t="s">
        <v>10</v>
      </c>
    </row>
    <row r="1329" spans="1:11" ht="27.6" hidden="1" x14ac:dyDescent="0.3">
      <c r="A1329" s="2" t="s">
        <v>4386</v>
      </c>
      <c r="B1329" s="2" t="s">
        <v>4540</v>
      </c>
      <c r="C1329" s="3">
        <v>35852</v>
      </c>
      <c r="D1329" s="1" t="s">
        <v>4541</v>
      </c>
      <c r="E1329" s="1" t="s">
        <v>4542</v>
      </c>
      <c r="F1329" s="2" t="s">
        <v>4396</v>
      </c>
      <c r="G1329" s="2" t="s">
        <v>4513</v>
      </c>
      <c r="H1329" s="2" t="s">
        <v>81</v>
      </c>
      <c r="I1329" s="2" t="s">
        <v>4386</v>
      </c>
      <c r="J1329" s="2" t="s">
        <v>4514</v>
      </c>
      <c r="K1329" s="2" t="s">
        <v>10</v>
      </c>
    </row>
    <row r="1330" spans="1:11" ht="27.6" hidden="1" x14ac:dyDescent="0.3">
      <c r="A1330" s="2" t="s">
        <v>4386</v>
      </c>
      <c r="B1330" s="2" t="s">
        <v>4543</v>
      </c>
      <c r="C1330" s="3">
        <v>26775</v>
      </c>
      <c r="D1330" s="1" t="s">
        <v>4544</v>
      </c>
      <c r="E1330" s="1" t="s">
        <v>4545</v>
      </c>
      <c r="F1330" s="2" t="s">
        <v>4396</v>
      </c>
      <c r="G1330" s="2" t="s">
        <v>4538</v>
      </c>
      <c r="H1330" s="2" t="s">
        <v>81</v>
      </c>
      <c r="I1330" s="2" t="s">
        <v>4386</v>
      </c>
      <c r="J1330" s="2" t="s">
        <v>4546</v>
      </c>
      <c r="K1330" s="2" t="s">
        <v>10</v>
      </c>
    </row>
    <row r="1331" spans="1:11" ht="27.6" hidden="1" x14ac:dyDescent="0.3">
      <c r="A1331" s="2" t="s">
        <v>4386</v>
      </c>
      <c r="B1331" s="2" t="s">
        <v>4547</v>
      </c>
      <c r="C1331" s="3">
        <v>33666</v>
      </c>
      <c r="D1331" s="1" t="s">
        <v>4548</v>
      </c>
      <c r="E1331" s="1" t="s">
        <v>4549</v>
      </c>
      <c r="F1331" s="2" t="s">
        <v>4396</v>
      </c>
      <c r="G1331" s="2" t="s">
        <v>4550</v>
      </c>
      <c r="H1331" s="2" t="s">
        <v>10</v>
      </c>
      <c r="I1331" s="2" t="s">
        <v>4386</v>
      </c>
      <c r="J1331" s="2" t="s">
        <v>4551</v>
      </c>
      <c r="K1331" s="2" t="s">
        <v>10</v>
      </c>
    </row>
    <row r="1332" spans="1:11" ht="27.6" hidden="1" x14ac:dyDescent="0.3">
      <c r="A1332" s="2" t="s">
        <v>4386</v>
      </c>
      <c r="B1332" s="2" t="s">
        <v>4552</v>
      </c>
      <c r="C1332" s="3">
        <v>21008</v>
      </c>
      <c r="D1332" s="1" t="s">
        <v>4553</v>
      </c>
      <c r="E1332" s="1" t="s">
        <v>4554</v>
      </c>
      <c r="F1332" s="2" t="s">
        <v>4555</v>
      </c>
      <c r="G1332" s="2" t="s">
        <v>4556</v>
      </c>
      <c r="H1332" s="2" t="s">
        <v>10</v>
      </c>
      <c r="I1332" s="2" t="s">
        <v>4386</v>
      </c>
      <c r="J1332" s="2" t="s">
        <v>4557</v>
      </c>
      <c r="K1332" s="2" t="s">
        <v>10</v>
      </c>
    </row>
    <row r="1333" spans="1:11" ht="27.6" hidden="1" x14ac:dyDescent="0.3">
      <c r="A1333" s="2" t="s">
        <v>4386</v>
      </c>
      <c r="B1333" s="2" t="s">
        <v>4558</v>
      </c>
      <c r="C1333" s="3">
        <v>27236</v>
      </c>
      <c r="D1333" s="1" t="s">
        <v>4559</v>
      </c>
      <c r="E1333" s="1" t="s">
        <v>4560</v>
      </c>
      <c r="F1333" s="2" t="s">
        <v>4555</v>
      </c>
      <c r="G1333" s="2" t="s">
        <v>4561</v>
      </c>
      <c r="H1333" s="2" t="s">
        <v>10</v>
      </c>
      <c r="I1333" s="2" t="s">
        <v>4386</v>
      </c>
      <c r="J1333" s="2" t="s">
        <v>4562</v>
      </c>
      <c r="K1333" s="2" t="s">
        <v>10</v>
      </c>
    </row>
    <row r="1334" spans="1:11" ht="27.6" hidden="1" x14ac:dyDescent="0.3">
      <c r="A1334" s="2" t="s">
        <v>4386</v>
      </c>
      <c r="B1334" s="2" t="s">
        <v>4563</v>
      </c>
      <c r="C1334" s="3">
        <v>31305</v>
      </c>
      <c r="D1334" s="1" t="s">
        <v>4564</v>
      </c>
      <c r="E1334" s="1" t="s">
        <v>4565</v>
      </c>
      <c r="F1334" s="2" t="s">
        <v>4555</v>
      </c>
      <c r="G1334" s="2" t="s">
        <v>4566</v>
      </c>
      <c r="H1334" s="2" t="s">
        <v>103</v>
      </c>
      <c r="I1334" s="2" t="s">
        <v>4386</v>
      </c>
      <c r="J1334" s="2" t="s">
        <v>4567</v>
      </c>
      <c r="K1334" s="2" t="s">
        <v>10</v>
      </c>
    </row>
    <row r="1335" spans="1:11" ht="27.6" hidden="1" x14ac:dyDescent="0.3">
      <c r="A1335" s="2" t="s">
        <v>4386</v>
      </c>
      <c r="B1335" s="2" t="s">
        <v>4568</v>
      </c>
      <c r="C1335" s="3">
        <v>31047</v>
      </c>
      <c r="D1335" s="1" t="s">
        <v>4569</v>
      </c>
      <c r="E1335" s="1" t="s">
        <v>4570</v>
      </c>
      <c r="F1335" s="2" t="s">
        <v>4555</v>
      </c>
      <c r="G1335" s="2" t="s">
        <v>4566</v>
      </c>
      <c r="H1335" s="2" t="s">
        <v>81</v>
      </c>
      <c r="I1335" s="2" t="s">
        <v>4386</v>
      </c>
      <c r="J1335" s="2" t="s">
        <v>4567</v>
      </c>
      <c r="K1335" s="2" t="s">
        <v>10</v>
      </c>
    </row>
    <row r="1336" spans="1:11" ht="27.6" hidden="1" x14ac:dyDescent="0.3">
      <c r="A1336" s="2" t="s">
        <v>4386</v>
      </c>
      <c r="B1336" s="2" t="s">
        <v>4571</v>
      </c>
      <c r="C1336" s="3">
        <v>38247</v>
      </c>
      <c r="D1336" s="1" t="s">
        <v>4572</v>
      </c>
      <c r="E1336" s="1" t="s">
        <v>4573</v>
      </c>
      <c r="F1336" s="2" t="s">
        <v>4555</v>
      </c>
      <c r="G1336" s="2" t="s">
        <v>4574</v>
      </c>
      <c r="H1336" s="2" t="s">
        <v>10</v>
      </c>
      <c r="I1336" s="2" t="s">
        <v>4386</v>
      </c>
      <c r="J1336" s="2" t="s">
        <v>4575</v>
      </c>
      <c r="K1336" s="2" t="s">
        <v>10</v>
      </c>
    </row>
    <row r="1337" spans="1:11" ht="27.6" hidden="1" x14ac:dyDescent="0.3">
      <c r="A1337" s="2" t="s">
        <v>4386</v>
      </c>
      <c r="B1337" s="2" t="s">
        <v>4576</v>
      </c>
      <c r="C1337" s="3">
        <v>20734</v>
      </c>
      <c r="D1337" s="1" t="s">
        <v>4577</v>
      </c>
      <c r="E1337" s="1" t="s">
        <v>4578</v>
      </c>
      <c r="F1337" s="2" t="s">
        <v>4396</v>
      </c>
      <c r="G1337" s="2" t="s">
        <v>4579</v>
      </c>
      <c r="H1337" s="2" t="s">
        <v>10</v>
      </c>
      <c r="I1337" s="2" t="s">
        <v>4386</v>
      </c>
      <c r="J1337" s="2" t="s">
        <v>4580</v>
      </c>
      <c r="K1337" s="2" t="s">
        <v>10</v>
      </c>
    </row>
    <row r="1338" spans="1:11" ht="27.6" hidden="1" x14ac:dyDescent="0.3">
      <c r="A1338" s="2" t="s">
        <v>4386</v>
      </c>
      <c r="B1338" s="2" t="s">
        <v>4581</v>
      </c>
      <c r="C1338" s="3">
        <v>24285</v>
      </c>
      <c r="D1338" s="1" t="s">
        <v>4582</v>
      </c>
      <c r="E1338" s="1" t="s">
        <v>4583</v>
      </c>
      <c r="F1338" s="2" t="s">
        <v>4555</v>
      </c>
      <c r="G1338" s="2" t="s">
        <v>4584</v>
      </c>
      <c r="H1338" s="2" t="s">
        <v>10</v>
      </c>
      <c r="I1338" s="2" t="s">
        <v>4386</v>
      </c>
      <c r="J1338" s="2" t="s">
        <v>4585</v>
      </c>
      <c r="K1338" s="2" t="s">
        <v>10</v>
      </c>
    </row>
    <row r="1339" spans="1:11" ht="27.6" hidden="1" x14ac:dyDescent="0.3">
      <c r="A1339" s="2" t="s">
        <v>4386</v>
      </c>
      <c r="B1339" s="2" t="s">
        <v>4586</v>
      </c>
      <c r="C1339" s="3">
        <v>28171</v>
      </c>
      <c r="D1339" s="1" t="s">
        <v>4587</v>
      </c>
      <c r="E1339" s="1" t="s">
        <v>4588</v>
      </c>
      <c r="F1339" s="2" t="s">
        <v>4555</v>
      </c>
      <c r="G1339" s="2" t="s">
        <v>4589</v>
      </c>
      <c r="H1339" s="2" t="s">
        <v>10</v>
      </c>
      <c r="I1339" s="2" t="s">
        <v>4386</v>
      </c>
      <c r="J1339" s="2" t="s">
        <v>4590</v>
      </c>
      <c r="K1339" s="2" t="s">
        <v>10</v>
      </c>
    </row>
    <row r="1340" spans="1:11" ht="27.6" hidden="1" x14ac:dyDescent="0.3">
      <c r="A1340" s="2" t="s">
        <v>4386</v>
      </c>
      <c r="B1340" s="2" t="s">
        <v>4591</v>
      </c>
      <c r="C1340" s="3">
        <v>27528</v>
      </c>
      <c r="D1340" s="1" t="s">
        <v>4592</v>
      </c>
      <c r="E1340" s="1" t="s">
        <v>4593</v>
      </c>
      <c r="F1340" s="2" t="s">
        <v>4555</v>
      </c>
      <c r="G1340" s="2" t="s">
        <v>4594</v>
      </c>
      <c r="H1340" s="2" t="s">
        <v>10</v>
      </c>
      <c r="I1340" s="2" t="s">
        <v>4386</v>
      </c>
      <c r="J1340" s="2" t="s">
        <v>4595</v>
      </c>
      <c r="K1340" s="2" t="s">
        <v>10</v>
      </c>
    </row>
    <row r="1341" spans="1:11" ht="27.6" hidden="1" x14ac:dyDescent="0.3">
      <c r="A1341" s="2" t="s">
        <v>4386</v>
      </c>
      <c r="B1341" s="2" t="s">
        <v>4596</v>
      </c>
      <c r="C1341" s="3">
        <v>24451</v>
      </c>
      <c r="D1341" s="1" t="s">
        <v>4597</v>
      </c>
      <c r="E1341" s="1" t="s">
        <v>4598</v>
      </c>
      <c r="F1341" s="2" t="s">
        <v>4555</v>
      </c>
      <c r="G1341" s="2" t="s">
        <v>4599</v>
      </c>
      <c r="H1341" s="2" t="s">
        <v>103</v>
      </c>
      <c r="I1341" s="2" t="s">
        <v>4386</v>
      </c>
      <c r="J1341" s="2" t="s">
        <v>4600</v>
      </c>
      <c r="K1341" s="2" t="s">
        <v>10</v>
      </c>
    </row>
    <row r="1342" spans="1:11" ht="27.6" hidden="1" x14ac:dyDescent="0.3">
      <c r="A1342" s="2" t="s">
        <v>4386</v>
      </c>
      <c r="B1342" s="2" t="s">
        <v>4601</v>
      </c>
      <c r="C1342" s="3">
        <v>20413</v>
      </c>
      <c r="D1342" s="1" t="s">
        <v>4602</v>
      </c>
      <c r="E1342" s="1" t="s">
        <v>4603</v>
      </c>
      <c r="F1342" s="2" t="s">
        <v>4555</v>
      </c>
      <c r="G1342" s="2" t="s">
        <v>4599</v>
      </c>
      <c r="H1342" s="2" t="s">
        <v>81</v>
      </c>
      <c r="I1342" s="2" t="s">
        <v>4386</v>
      </c>
      <c r="J1342" s="2" t="s">
        <v>4600</v>
      </c>
      <c r="K1342" s="2" t="s">
        <v>10</v>
      </c>
    </row>
    <row r="1343" spans="1:11" ht="55.2" hidden="1" x14ac:dyDescent="0.3">
      <c r="A1343" s="2" t="s">
        <v>4604</v>
      </c>
      <c r="B1343" s="2" t="s">
        <v>4605</v>
      </c>
      <c r="C1343" s="3">
        <v>25439</v>
      </c>
      <c r="D1343" s="1" t="s">
        <v>4606</v>
      </c>
      <c r="E1343" s="1" t="s">
        <v>4607</v>
      </c>
      <c r="F1343" s="2" t="s">
        <v>4608</v>
      </c>
      <c r="G1343" s="2" t="s">
        <v>12</v>
      </c>
      <c r="H1343" s="2" t="s">
        <v>4609</v>
      </c>
      <c r="I1343" s="2" t="s">
        <v>4604</v>
      </c>
      <c r="J1343" s="2" t="s">
        <v>4610</v>
      </c>
      <c r="K1343" s="2" t="s">
        <v>10</v>
      </c>
    </row>
    <row r="1344" spans="1:11" ht="27.6" hidden="1" x14ac:dyDescent="0.3">
      <c r="A1344" s="2" t="s">
        <v>4386</v>
      </c>
      <c r="B1344" s="2" t="s">
        <v>4611</v>
      </c>
      <c r="C1344" s="3">
        <v>34613</v>
      </c>
      <c r="D1344" s="1" t="s">
        <v>4612</v>
      </c>
      <c r="E1344" s="1" t="s">
        <v>4613</v>
      </c>
      <c r="F1344" s="2" t="s">
        <v>4555</v>
      </c>
      <c r="G1344" s="2" t="s">
        <v>4599</v>
      </c>
      <c r="H1344" s="2" t="s">
        <v>562</v>
      </c>
      <c r="I1344" s="2" t="s">
        <v>4386</v>
      </c>
      <c r="J1344" s="2" t="s">
        <v>4600</v>
      </c>
      <c r="K1344" s="2" t="s">
        <v>10</v>
      </c>
    </row>
    <row r="1345" spans="1:11" ht="55.2" hidden="1" x14ac:dyDescent="0.3">
      <c r="A1345" s="2" t="s">
        <v>4604</v>
      </c>
      <c r="B1345" s="2" t="s">
        <v>4614</v>
      </c>
      <c r="C1345" s="3">
        <v>34382</v>
      </c>
      <c r="D1345" s="1" t="s">
        <v>4615</v>
      </c>
      <c r="E1345" s="1" t="s">
        <v>4616</v>
      </c>
      <c r="F1345" s="2" t="s">
        <v>4608</v>
      </c>
      <c r="G1345" s="2" t="s">
        <v>80</v>
      </c>
      <c r="H1345" s="2" t="s">
        <v>10</v>
      </c>
      <c r="I1345" s="2" t="s">
        <v>4604</v>
      </c>
      <c r="J1345" s="2" t="s">
        <v>4617</v>
      </c>
      <c r="K1345" s="2" t="s">
        <v>10</v>
      </c>
    </row>
    <row r="1346" spans="1:11" ht="55.2" hidden="1" x14ac:dyDescent="0.3">
      <c r="A1346" s="2" t="s">
        <v>4604</v>
      </c>
      <c r="B1346" s="2" t="s">
        <v>4618</v>
      </c>
      <c r="C1346" s="3">
        <v>17890</v>
      </c>
      <c r="D1346" s="1" t="s">
        <v>4619</v>
      </c>
      <c r="E1346" s="1" t="s">
        <v>4620</v>
      </c>
      <c r="F1346" s="2" t="s">
        <v>4608</v>
      </c>
      <c r="G1346" s="2" t="s">
        <v>152</v>
      </c>
      <c r="H1346" s="2" t="s">
        <v>4621</v>
      </c>
      <c r="I1346" s="2" t="s">
        <v>4604</v>
      </c>
      <c r="J1346" s="2" t="s">
        <v>4622</v>
      </c>
      <c r="K1346" s="2" t="s">
        <v>4623</v>
      </c>
    </row>
    <row r="1347" spans="1:11" ht="27.6" hidden="1" x14ac:dyDescent="0.3">
      <c r="A1347" s="2" t="s">
        <v>4386</v>
      </c>
      <c r="B1347" s="2" t="s">
        <v>4624</v>
      </c>
      <c r="C1347" s="3">
        <v>31654</v>
      </c>
      <c r="D1347" s="1" t="s">
        <v>4625</v>
      </c>
      <c r="E1347" s="1" t="s">
        <v>4626</v>
      </c>
      <c r="F1347" s="2" t="s">
        <v>4555</v>
      </c>
      <c r="G1347" s="2" t="s">
        <v>4599</v>
      </c>
      <c r="H1347" s="2" t="s">
        <v>822</v>
      </c>
      <c r="I1347" s="2" t="s">
        <v>4386</v>
      </c>
      <c r="J1347" s="2" t="s">
        <v>4600</v>
      </c>
      <c r="K1347" s="2" t="s">
        <v>10</v>
      </c>
    </row>
    <row r="1348" spans="1:11" ht="27.6" hidden="1" x14ac:dyDescent="0.3">
      <c r="A1348" s="2" t="s">
        <v>4386</v>
      </c>
      <c r="B1348" s="2" t="s">
        <v>4627</v>
      </c>
      <c r="C1348" s="3">
        <v>39083</v>
      </c>
      <c r="D1348" s="1" t="s">
        <v>4628</v>
      </c>
      <c r="E1348" s="1" t="s">
        <v>4629</v>
      </c>
      <c r="F1348" s="2" t="s">
        <v>4555</v>
      </c>
      <c r="G1348" s="2" t="s">
        <v>4599</v>
      </c>
      <c r="H1348" s="2" t="s">
        <v>3065</v>
      </c>
      <c r="I1348" s="2" t="s">
        <v>4386</v>
      </c>
      <c r="J1348" s="2" t="s">
        <v>4600</v>
      </c>
      <c r="K1348" s="2" t="s">
        <v>10</v>
      </c>
    </row>
    <row r="1349" spans="1:11" ht="55.2" hidden="1" x14ac:dyDescent="0.3">
      <c r="A1349" s="2" t="s">
        <v>4604</v>
      </c>
      <c r="B1349" s="2" t="s">
        <v>4630</v>
      </c>
      <c r="C1349" s="3">
        <v>37423</v>
      </c>
      <c r="D1349" s="1" t="s">
        <v>4631</v>
      </c>
      <c r="E1349" s="1" t="s">
        <v>4632</v>
      </c>
      <c r="F1349" s="2" t="s">
        <v>4608</v>
      </c>
      <c r="G1349" s="2" t="s">
        <v>12</v>
      </c>
      <c r="H1349" s="2" t="s">
        <v>4633</v>
      </c>
      <c r="I1349" s="2" t="s">
        <v>4604</v>
      </c>
      <c r="J1349" s="2" t="s">
        <v>4634</v>
      </c>
      <c r="K1349" s="2" t="s">
        <v>4623</v>
      </c>
    </row>
    <row r="1350" spans="1:11" ht="55.2" hidden="1" x14ac:dyDescent="0.3">
      <c r="A1350" s="2" t="s">
        <v>4604</v>
      </c>
      <c r="B1350" s="2" t="s">
        <v>4635</v>
      </c>
      <c r="C1350" s="3">
        <v>27009</v>
      </c>
      <c r="D1350" s="1" t="s">
        <v>4636</v>
      </c>
      <c r="E1350" s="1" t="s">
        <v>4637</v>
      </c>
      <c r="F1350" s="2" t="s">
        <v>4608</v>
      </c>
      <c r="G1350" s="2" t="s">
        <v>1403</v>
      </c>
      <c r="H1350" s="2" t="s">
        <v>10</v>
      </c>
      <c r="I1350" s="2" t="s">
        <v>4604</v>
      </c>
      <c r="J1350" s="2" t="s">
        <v>4638</v>
      </c>
      <c r="K1350" s="2" t="s">
        <v>10</v>
      </c>
    </row>
    <row r="1351" spans="1:11" ht="55.2" hidden="1" x14ac:dyDescent="0.3">
      <c r="A1351" s="2" t="s">
        <v>4604</v>
      </c>
      <c r="B1351" s="2" t="s">
        <v>4639</v>
      </c>
      <c r="C1351" s="3">
        <v>17636</v>
      </c>
      <c r="D1351" s="1" t="s">
        <v>4640</v>
      </c>
      <c r="E1351" s="1" t="s">
        <v>4641</v>
      </c>
      <c r="F1351" s="2" t="s">
        <v>4608</v>
      </c>
      <c r="G1351" s="2" t="s">
        <v>366</v>
      </c>
      <c r="H1351" s="2" t="s">
        <v>4642</v>
      </c>
      <c r="I1351" s="2" t="s">
        <v>4604</v>
      </c>
      <c r="J1351" s="2" t="s">
        <v>701</v>
      </c>
      <c r="K1351" s="2" t="s">
        <v>10</v>
      </c>
    </row>
    <row r="1352" spans="1:11" ht="27.6" hidden="1" x14ac:dyDescent="0.3">
      <c r="A1352" s="2" t="s">
        <v>4386</v>
      </c>
      <c r="B1352" s="2" t="s">
        <v>4643</v>
      </c>
      <c r="C1352" s="3">
        <v>32095</v>
      </c>
      <c r="D1352" s="1" t="s">
        <v>4644</v>
      </c>
      <c r="E1352" s="1" t="s">
        <v>4645</v>
      </c>
      <c r="F1352" s="2" t="s">
        <v>4555</v>
      </c>
      <c r="G1352" s="2" t="s">
        <v>4599</v>
      </c>
      <c r="H1352" s="2" t="s">
        <v>4646</v>
      </c>
      <c r="I1352" s="2" t="s">
        <v>4386</v>
      </c>
      <c r="J1352" s="2" t="s">
        <v>4600</v>
      </c>
      <c r="K1352" s="2" t="s">
        <v>10</v>
      </c>
    </row>
    <row r="1353" spans="1:11" ht="27.6" hidden="1" x14ac:dyDescent="0.3">
      <c r="A1353" s="2" t="s">
        <v>4386</v>
      </c>
      <c r="B1353" s="2" t="s">
        <v>4647</v>
      </c>
      <c r="C1353" s="3">
        <v>18419</v>
      </c>
      <c r="D1353" s="1" t="s">
        <v>4648</v>
      </c>
      <c r="E1353" s="1" t="s">
        <v>4649</v>
      </c>
      <c r="F1353" s="2" t="s">
        <v>4555</v>
      </c>
      <c r="G1353" s="2" t="s">
        <v>4599</v>
      </c>
      <c r="H1353" s="2" t="s">
        <v>4650</v>
      </c>
      <c r="I1353" s="2" t="s">
        <v>4386</v>
      </c>
      <c r="J1353" s="2" t="s">
        <v>4600</v>
      </c>
      <c r="K1353" s="2" t="s">
        <v>10</v>
      </c>
    </row>
    <row r="1354" spans="1:11" ht="27.6" hidden="1" x14ac:dyDescent="0.3">
      <c r="A1354" s="2" t="s">
        <v>4386</v>
      </c>
      <c r="B1354" s="2" t="s">
        <v>4651</v>
      </c>
      <c r="C1354" s="3">
        <v>36508</v>
      </c>
      <c r="D1354" s="1" t="s">
        <v>4652</v>
      </c>
      <c r="E1354" s="1" t="s">
        <v>4653</v>
      </c>
      <c r="F1354" s="2" t="s">
        <v>4555</v>
      </c>
      <c r="G1354" s="2" t="s">
        <v>4599</v>
      </c>
      <c r="H1354" s="2" t="s">
        <v>4654</v>
      </c>
      <c r="I1354" s="2" t="s">
        <v>4386</v>
      </c>
      <c r="J1354" s="2" t="s">
        <v>4600</v>
      </c>
      <c r="K1354" s="2" t="s">
        <v>10</v>
      </c>
    </row>
    <row r="1355" spans="1:11" ht="27.6" hidden="1" x14ac:dyDescent="0.3">
      <c r="A1355" s="2" t="s">
        <v>4386</v>
      </c>
      <c r="B1355" s="2" t="s">
        <v>4655</v>
      </c>
      <c r="C1355" s="3">
        <v>32372</v>
      </c>
      <c r="D1355" s="1" t="s">
        <v>4656</v>
      </c>
      <c r="E1355" s="1" t="s">
        <v>4657</v>
      </c>
      <c r="F1355" s="2" t="s">
        <v>4555</v>
      </c>
      <c r="G1355" s="2" t="s">
        <v>4658</v>
      </c>
      <c r="H1355" s="2" t="s">
        <v>103</v>
      </c>
      <c r="I1355" s="2" t="s">
        <v>4386</v>
      </c>
      <c r="J1355" s="2" t="s">
        <v>4659</v>
      </c>
      <c r="K1355" s="2" t="s">
        <v>10</v>
      </c>
    </row>
    <row r="1356" spans="1:11" ht="27.6" hidden="1" x14ac:dyDescent="0.3">
      <c r="A1356" s="2" t="s">
        <v>4386</v>
      </c>
      <c r="B1356" s="2" t="s">
        <v>4660</v>
      </c>
      <c r="C1356" s="3">
        <v>26008</v>
      </c>
      <c r="D1356" s="1" t="s">
        <v>4661</v>
      </c>
      <c r="E1356" s="1" t="s">
        <v>4662</v>
      </c>
      <c r="F1356" s="2" t="s">
        <v>4555</v>
      </c>
      <c r="G1356" s="2" t="s">
        <v>4658</v>
      </c>
      <c r="H1356" s="2" t="s">
        <v>81</v>
      </c>
      <c r="I1356" s="2" t="s">
        <v>4386</v>
      </c>
      <c r="J1356" s="2" t="s">
        <v>4659</v>
      </c>
      <c r="K1356" s="2" t="s">
        <v>10</v>
      </c>
    </row>
    <row r="1357" spans="1:11" ht="55.2" hidden="1" x14ac:dyDescent="0.3">
      <c r="A1357" s="2" t="s">
        <v>4604</v>
      </c>
      <c r="B1357" s="2" t="s">
        <v>4663</v>
      </c>
      <c r="C1357" s="3">
        <v>27873</v>
      </c>
      <c r="D1357" s="1" t="s">
        <v>4664</v>
      </c>
      <c r="E1357" s="1" t="s">
        <v>4665</v>
      </c>
      <c r="F1357" s="2" t="s">
        <v>4608</v>
      </c>
      <c r="G1357" s="2" t="s">
        <v>206</v>
      </c>
      <c r="H1357" s="2" t="s">
        <v>43</v>
      </c>
      <c r="I1357" s="2" t="s">
        <v>4604</v>
      </c>
      <c r="J1357" s="2" t="s">
        <v>4666</v>
      </c>
      <c r="K1357" s="2" t="s">
        <v>4667</v>
      </c>
    </row>
    <row r="1358" spans="1:11" ht="55.2" hidden="1" x14ac:dyDescent="0.3">
      <c r="A1358" s="2" t="s">
        <v>4604</v>
      </c>
      <c r="B1358" s="2" t="s">
        <v>4668</v>
      </c>
      <c r="C1358" s="3">
        <v>22026</v>
      </c>
      <c r="D1358" s="1" t="s">
        <v>4669</v>
      </c>
      <c r="E1358" s="1" t="s">
        <v>4670</v>
      </c>
      <c r="F1358" s="2" t="s">
        <v>4608</v>
      </c>
      <c r="G1358" s="2" t="s">
        <v>283</v>
      </c>
      <c r="H1358" s="2" t="s">
        <v>10</v>
      </c>
      <c r="I1358" s="2" t="s">
        <v>4604</v>
      </c>
      <c r="J1358" s="2" t="s">
        <v>4671</v>
      </c>
      <c r="K1358" s="2" t="s">
        <v>10</v>
      </c>
    </row>
    <row r="1359" spans="1:11" ht="55.2" hidden="1" x14ac:dyDescent="0.3">
      <c r="A1359" s="2" t="s">
        <v>4604</v>
      </c>
      <c r="B1359" s="2" t="s">
        <v>4672</v>
      </c>
      <c r="C1359" s="3">
        <v>24313</v>
      </c>
      <c r="D1359" s="1" t="s">
        <v>4673</v>
      </c>
      <c r="E1359" s="1" t="s">
        <v>4674</v>
      </c>
      <c r="F1359" s="2" t="s">
        <v>4608</v>
      </c>
      <c r="G1359" s="2" t="s">
        <v>211</v>
      </c>
      <c r="H1359" s="2" t="s">
        <v>10</v>
      </c>
      <c r="I1359" s="2" t="s">
        <v>4604</v>
      </c>
      <c r="J1359" s="2" t="s">
        <v>4675</v>
      </c>
      <c r="K1359" s="2" t="s">
        <v>10</v>
      </c>
    </row>
    <row r="1360" spans="1:11" ht="27.6" hidden="1" x14ac:dyDescent="0.3">
      <c r="A1360" s="2" t="s">
        <v>4386</v>
      </c>
      <c r="B1360" s="2" t="s">
        <v>4676</v>
      </c>
      <c r="C1360" s="3">
        <v>38919</v>
      </c>
      <c r="D1360" s="1" t="s">
        <v>4677</v>
      </c>
      <c r="E1360" s="1" t="s">
        <v>4678</v>
      </c>
      <c r="F1360" s="2" t="s">
        <v>4555</v>
      </c>
      <c r="G1360" s="2" t="s">
        <v>4679</v>
      </c>
      <c r="H1360" s="2" t="s">
        <v>10</v>
      </c>
      <c r="I1360" s="2" t="s">
        <v>4386</v>
      </c>
      <c r="J1360" s="2" t="s">
        <v>4680</v>
      </c>
      <c r="K1360" s="2" t="s">
        <v>10</v>
      </c>
    </row>
    <row r="1361" spans="1:11" ht="55.2" hidden="1" x14ac:dyDescent="0.3">
      <c r="A1361" s="2" t="s">
        <v>4604</v>
      </c>
      <c r="B1361" s="2" t="s">
        <v>4681</v>
      </c>
      <c r="C1361" s="3">
        <v>29693</v>
      </c>
      <c r="D1361" s="1" t="s">
        <v>4682</v>
      </c>
      <c r="E1361" s="1" t="s">
        <v>4683</v>
      </c>
      <c r="F1361" s="2" t="s">
        <v>4608</v>
      </c>
      <c r="G1361" s="2" t="s">
        <v>333</v>
      </c>
      <c r="H1361" s="2" t="s">
        <v>10</v>
      </c>
      <c r="I1361" s="2" t="s">
        <v>4604</v>
      </c>
      <c r="J1361" s="2" t="s">
        <v>4684</v>
      </c>
      <c r="K1361" s="2" t="s">
        <v>10</v>
      </c>
    </row>
    <row r="1362" spans="1:11" ht="27.6" hidden="1" x14ac:dyDescent="0.3">
      <c r="A1362" s="2" t="s">
        <v>4386</v>
      </c>
      <c r="B1362" s="2" t="s">
        <v>4685</v>
      </c>
      <c r="C1362" s="3">
        <v>24287</v>
      </c>
      <c r="D1362" s="1" t="s">
        <v>4686</v>
      </c>
      <c r="E1362" s="1" t="s">
        <v>4687</v>
      </c>
      <c r="F1362" s="2" t="s">
        <v>4396</v>
      </c>
      <c r="G1362" s="2" t="s">
        <v>4688</v>
      </c>
      <c r="H1362" s="2" t="s">
        <v>10</v>
      </c>
      <c r="I1362" s="2" t="s">
        <v>4386</v>
      </c>
      <c r="J1362" s="2" t="s">
        <v>4689</v>
      </c>
      <c r="K1362" s="2" t="s">
        <v>10</v>
      </c>
    </row>
    <row r="1363" spans="1:11" ht="27.6" hidden="1" x14ac:dyDescent="0.3">
      <c r="A1363" s="2" t="s">
        <v>4386</v>
      </c>
      <c r="B1363" s="2" t="s">
        <v>4690</v>
      </c>
      <c r="C1363" s="3">
        <v>24113</v>
      </c>
      <c r="D1363" s="1" t="s">
        <v>4691</v>
      </c>
      <c r="E1363" s="1" t="s">
        <v>4692</v>
      </c>
      <c r="F1363" s="2" t="s">
        <v>4396</v>
      </c>
      <c r="G1363" s="2" t="s">
        <v>4693</v>
      </c>
      <c r="H1363" s="2" t="s">
        <v>10</v>
      </c>
      <c r="I1363" s="2" t="s">
        <v>4386</v>
      </c>
      <c r="J1363" s="2" t="s">
        <v>4694</v>
      </c>
      <c r="K1363" s="2" t="s">
        <v>10</v>
      </c>
    </row>
    <row r="1364" spans="1:11" ht="55.2" hidden="1" x14ac:dyDescent="0.3">
      <c r="A1364" s="2" t="s">
        <v>4604</v>
      </c>
      <c r="B1364" s="2" t="s">
        <v>4695</v>
      </c>
      <c r="C1364" s="3">
        <v>30057</v>
      </c>
      <c r="D1364" s="1" t="s">
        <v>4696</v>
      </c>
      <c r="E1364" s="1" t="s">
        <v>4697</v>
      </c>
      <c r="F1364" s="2" t="s">
        <v>4698</v>
      </c>
      <c r="G1364" s="2" t="s">
        <v>86</v>
      </c>
      <c r="H1364" s="2" t="s">
        <v>4699</v>
      </c>
      <c r="I1364" s="2" t="s">
        <v>4604</v>
      </c>
      <c r="J1364" s="2" t="s">
        <v>4700</v>
      </c>
      <c r="K1364" s="2" t="s">
        <v>10</v>
      </c>
    </row>
    <row r="1365" spans="1:11" ht="55.2" hidden="1" x14ac:dyDescent="0.3">
      <c r="A1365" s="2" t="s">
        <v>4604</v>
      </c>
      <c r="B1365" s="2" t="s">
        <v>4701</v>
      </c>
      <c r="C1365" s="3">
        <v>35348</v>
      </c>
      <c r="D1365" s="1" t="s">
        <v>4702</v>
      </c>
      <c r="E1365" s="1" t="s">
        <v>4703</v>
      </c>
      <c r="F1365" s="2" t="s">
        <v>4704</v>
      </c>
      <c r="G1365" s="2" t="s">
        <v>643</v>
      </c>
      <c r="H1365" s="2" t="s">
        <v>10</v>
      </c>
      <c r="I1365" s="2" t="s">
        <v>4604</v>
      </c>
      <c r="J1365" s="2" t="s">
        <v>4705</v>
      </c>
      <c r="K1365" s="2" t="s">
        <v>10</v>
      </c>
    </row>
    <row r="1366" spans="1:11" ht="27.6" hidden="1" x14ac:dyDescent="0.3">
      <c r="A1366" s="2" t="s">
        <v>4386</v>
      </c>
      <c r="B1366" s="2" t="s">
        <v>4706</v>
      </c>
      <c r="C1366" s="3">
        <v>34702</v>
      </c>
      <c r="D1366" s="1" t="s">
        <v>4707</v>
      </c>
      <c r="E1366" s="1" t="s">
        <v>4708</v>
      </c>
      <c r="F1366" s="2" t="s">
        <v>4555</v>
      </c>
      <c r="G1366" s="2" t="s">
        <v>4709</v>
      </c>
      <c r="H1366" s="2" t="s">
        <v>10</v>
      </c>
      <c r="I1366" s="2" t="s">
        <v>4386</v>
      </c>
      <c r="J1366" s="2" t="s">
        <v>4710</v>
      </c>
      <c r="K1366" s="2" t="s">
        <v>10</v>
      </c>
    </row>
    <row r="1367" spans="1:11" ht="27.6" hidden="1" x14ac:dyDescent="0.3">
      <c r="A1367" s="2" t="s">
        <v>60</v>
      </c>
      <c r="B1367" s="2" t="s">
        <v>4711</v>
      </c>
      <c r="C1367" s="3">
        <v>29665</v>
      </c>
      <c r="D1367" s="1" t="s">
        <v>4712</v>
      </c>
      <c r="E1367" s="1" t="s">
        <v>4713</v>
      </c>
      <c r="F1367" s="2" t="s">
        <v>444</v>
      </c>
      <c r="G1367" s="2" t="s">
        <v>152</v>
      </c>
      <c r="H1367" s="2" t="s">
        <v>10</v>
      </c>
      <c r="I1367" s="2" t="s">
        <v>60</v>
      </c>
      <c r="J1367" s="2" t="s">
        <v>153</v>
      </c>
      <c r="K1367" s="2" t="s">
        <v>10</v>
      </c>
    </row>
    <row r="1368" spans="1:11" ht="27.6" hidden="1" x14ac:dyDescent="0.3">
      <c r="A1368" s="2" t="s">
        <v>60</v>
      </c>
      <c r="B1368" s="2" t="s">
        <v>4714</v>
      </c>
      <c r="C1368" s="3">
        <v>32541</v>
      </c>
      <c r="D1368" s="1" t="s">
        <v>4715</v>
      </c>
      <c r="E1368" s="1" t="s">
        <v>4716</v>
      </c>
      <c r="F1368" s="2" t="s">
        <v>813</v>
      </c>
      <c r="G1368" s="2" t="s">
        <v>37</v>
      </c>
      <c r="H1368" s="2" t="s">
        <v>10</v>
      </c>
      <c r="I1368" s="2" t="s">
        <v>60</v>
      </c>
      <c r="J1368" s="2" t="s">
        <v>4717</v>
      </c>
      <c r="K1368" s="2" t="s">
        <v>10</v>
      </c>
    </row>
    <row r="1369" spans="1:11" ht="27.6" hidden="1" x14ac:dyDescent="0.3">
      <c r="A1369" s="2" t="s">
        <v>60</v>
      </c>
      <c r="B1369" s="2" t="s">
        <v>4718</v>
      </c>
      <c r="C1369" s="3">
        <v>34086</v>
      </c>
      <c r="D1369" s="1" t="s">
        <v>4719</v>
      </c>
      <c r="E1369" s="1" t="s">
        <v>4720</v>
      </c>
      <c r="F1369" s="2" t="s">
        <v>813</v>
      </c>
      <c r="G1369" s="2" t="s">
        <v>319</v>
      </c>
      <c r="H1369" s="2" t="s">
        <v>354</v>
      </c>
      <c r="I1369" s="2" t="s">
        <v>60</v>
      </c>
      <c r="J1369" s="2" t="s">
        <v>4721</v>
      </c>
      <c r="K1369" s="2" t="s">
        <v>10</v>
      </c>
    </row>
    <row r="1370" spans="1:11" ht="27.6" hidden="1" x14ac:dyDescent="0.3">
      <c r="A1370" s="2" t="s">
        <v>60</v>
      </c>
      <c r="B1370" s="2" t="s">
        <v>4722</v>
      </c>
      <c r="C1370" s="3">
        <v>28937</v>
      </c>
      <c r="D1370" s="1" t="s">
        <v>4723</v>
      </c>
      <c r="E1370" s="1" t="s">
        <v>4724</v>
      </c>
      <c r="F1370" s="2" t="s">
        <v>60</v>
      </c>
      <c r="G1370" s="2" t="s">
        <v>1015</v>
      </c>
      <c r="H1370" s="2" t="s">
        <v>10</v>
      </c>
      <c r="I1370" s="2" t="s">
        <v>60</v>
      </c>
      <c r="J1370" s="2" t="s">
        <v>1016</v>
      </c>
      <c r="K1370" s="2" t="s">
        <v>10</v>
      </c>
    </row>
    <row r="1371" spans="1:11" ht="27.6" hidden="1" x14ac:dyDescent="0.3">
      <c r="A1371" s="2" t="s">
        <v>60</v>
      </c>
      <c r="B1371" s="2" t="s">
        <v>4725</v>
      </c>
      <c r="C1371" s="3">
        <v>25270</v>
      </c>
      <c r="D1371" s="1" t="s">
        <v>4726</v>
      </c>
      <c r="E1371" s="1" t="s">
        <v>4727</v>
      </c>
      <c r="F1371" s="2" t="s">
        <v>856</v>
      </c>
      <c r="G1371" s="2" t="s">
        <v>190</v>
      </c>
      <c r="H1371" s="2" t="s">
        <v>10</v>
      </c>
      <c r="I1371" s="2" t="s">
        <v>60</v>
      </c>
      <c r="J1371" s="2" t="s">
        <v>498</v>
      </c>
      <c r="K1371" s="2" t="s">
        <v>10</v>
      </c>
    </row>
    <row r="1372" spans="1:11" ht="27.6" hidden="1" x14ac:dyDescent="0.3">
      <c r="A1372" s="2" t="s">
        <v>4386</v>
      </c>
      <c r="B1372" s="2" t="s">
        <v>4728</v>
      </c>
      <c r="C1372" s="3">
        <v>30136</v>
      </c>
      <c r="D1372" s="1" t="s">
        <v>4729</v>
      </c>
      <c r="E1372" s="1" t="s">
        <v>4730</v>
      </c>
      <c r="F1372" s="2" t="s">
        <v>4555</v>
      </c>
      <c r="G1372" s="2" t="s">
        <v>4731</v>
      </c>
      <c r="H1372" s="2" t="s">
        <v>10</v>
      </c>
      <c r="I1372" s="2" t="s">
        <v>4386</v>
      </c>
      <c r="J1372" s="2" t="s">
        <v>4732</v>
      </c>
      <c r="K1372" s="2" t="s">
        <v>10</v>
      </c>
    </row>
    <row r="1373" spans="1:11" ht="27.6" hidden="1" x14ac:dyDescent="0.3">
      <c r="A1373" s="2" t="s">
        <v>60</v>
      </c>
      <c r="B1373" s="2" t="s">
        <v>4733</v>
      </c>
      <c r="C1373" s="3">
        <v>38644</v>
      </c>
      <c r="D1373" s="1" t="s">
        <v>4734</v>
      </c>
      <c r="E1373" s="1" t="s">
        <v>4735</v>
      </c>
      <c r="F1373" s="2" t="s">
        <v>151</v>
      </c>
      <c r="G1373" s="2" t="s">
        <v>190</v>
      </c>
      <c r="H1373" s="2" t="s">
        <v>10</v>
      </c>
      <c r="I1373" s="2" t="s">
        <v>60</v>
      </c>
      <c r="J1373" s="2" t="s">
        <v>191</v>
      </c>
      <c r="K1373" s="2" t="s">
        <v>10</v>
      </c>
    </row>
    <row r="1374" spans="1:11" ht="27.6" hidden="1" x14ac:dyDescent="0.3">
      <c r="A1374" s="2" t="s">
        <v>60</v>
      </c>
      <c r="B1374" s="2" t="s">
        <v>4736</v>
      </c>
      <c r="C1374" s="3">
        <v>22023</v>
      </c>
      <c r="D1374" s="1" t="s">
        <v>4737</v>
      </c>
      <c r="E1374" s="1" t="s">
        <v>4738</v>
      </c>
      <c r="F1374" s="2" t="s">
        <v>609</v>
      </c>
      <c r="G1374" s="2" t="s">
        <v>124</v>
      </c>
      <c r="H1374" s="2" t="s">
        <v>43</v>
      </c>
      <c r="I1374" s="2" t="s">
        <v>60</v>
      </c>
      <c r="J1374" s="2" t="s">
        <v>173</v>
      </c>
      <c r="K1374" s="2" t="s">
        <v>10</v>
      </c>
    </row>
    <row r="1375" spans="1:11" ht="27.6" hidden="1" x14ac:dyDescent="0.3">
      <c r="A1375" s="2" t="s">
        <v>4386</v>
      </c>
      <c r="B1375" s="2" t="s">
        <v>4739</v>
      </c>
      <c r="C1375" s="3">
        <v>37460</v>
      </c>
      <c r="D1375" s="1" t="s">
        <v>261</v>
      </c>
      <c r="E1375" s="1" t="s">
        <v>4740</v>
      </c>
      <c r="F1375" s="2" t="s">
        <v>4555</v>
      </c>
      <c r="G1375" s="2" t="s">
        <v>4741</v>
      </c>
      <c r="H1375" s="2" t="s">
        <v>10</v>
      </c>
      <c r="I1375" s="2" t="s">
        <v>4386</v>
      </c>
      <c r="J1375" s="2" t="s">
        <v>4742</v>
      </c>
      <c r="K1375" s="2" t="s">
        <v>10</v>
      </c>
    </row>
    <row r="1376" spans="1:11" ht="27.6" hidden="1" x14ac:dyDescent="0.3">
      <c r="A1376" s="2" t="s">
        <v>4386</v>
      </c>
      <c r="B1376" s="2" t="s">
        <v>4743</v>
      </c>
      <c r="C1376" s="3">
        <v>33597</v>
      </c>
      <c r="D1376" s="1" t="s">
        <v>4744</v>
      </c>
      <c r="E1376" s="1" t="s">
        <v>4745</v>
      </c>
      <c r="F1376" s="2" t="s">
        <v>4555</v>
      </c>
      <c r="G1376" s="2" t="s">
        <v>4746</v>
      </c>
      <c r="H1376" s="2" t="s">
        <v>103</v>
      </c>
      <c r="I1376" s="2" t="s">
        <v>4386</v>
      </c>
      <c r="J1376" s="2" t="s">
        <v>4747</v>
      </c>
      <c r="K1376" s="2" t="s">
        <v>10</v>
      </c>
    </row>
    <row r="1377" spans="1:11" ht="27.6" hidden="1" x14ac:dyDescent="0.3">
      <c r="A1377" s="2" t="s">
        <v>4386</v>
      </c>
      <c r="B1377" s="2" t="s">
        <v>4748</v>
      </c>
      <c r="C1377" s="3">
        <v>33407</v>
      </c>
      <c r="D1377" s="1" t="s">
        <v>4749</v>
      </c>
      <c r="E1377" s="1" t="s">
        <v>4750</v>
      </c>
      <c r="F1377" s="2" t="s">
        <v>4555</v>
      </c>
      <c r="G1377" s="2" t="s">
        <v>4746</v>
      </c>
      <c r="H1377" s="2" t="s">
        <v>81</v>
      </c>
      <c r="I1377" s="2" t="s">
        <v>4386</v>
      </c>
      <c r="J1377" s="2" t="s">
        <v>4751</v>
      </c>
      <c r="K1377" s="2" t="s">
        <v>10</v>
      </c>
    </row>
    <row r="1378" spans="1:11" ht="27.6" hidden="1" x14ac:dyDescent="0.3">
      <c r="A1378" s="2" t="s">
        <v>4386</v>
      </c>
      <c r="B1378" s="2" t="s">
        <v>4752</v>
      </c>
      <c r="C1378" s="3">
        <v>24464</v>
      </c>
      <c r="D1378" s="1" t="s">
        <v>4753</v>
      </c>
      <c r="E1378" s="1" t="s">
        <v>4754</v>
      </c>
      <c r="F1378" s="2" t="s">
        <v>4555</v>
      </c>
      <c r="G1378" s="2" t="s">
        <v>4755</v>
      </c>
      <c r="H1378" s="2" t="s">
        <v>10</v>
      </c>
      <c r="I1378" s="2" t="s">
        <v>4386</v>
      </c>
      <c r="J1378" s="2" t="s">
        <v>4756</v>
      </c>
      <c r="K1378" s="2" t="s">
        <v>10</v>
      </c>
    </row>
    <row r="1379" spans="1:11" ht="27.6" hidden="1" x14ac:dyDescent="0.3">
      <c r="A1379" s="2" t="s">
        <v>4386</v>
      </c>
      <c r="B1379" s="2" t="s">
        <v>4757</v>
      </c>
      <c r="C1379" s="3">
        <v>29773</v>
      </c>
      <c r="D1379" s="1" t="s">
        <v>4758</v>
      </c>
      <c r="E1379" s="1" t="s">
        <v>4759</v>
      </c>
      <c r="F1379" s="2" t="s">
        <v>4555</v>
      </c>
      <c r="G1379" s="2" t="s">
        <v>4760</v>
      </c>
      <c r="H1379" s="2" t="s">
        <v>10</v>
      </c>
      <c r="I1379" s="2" t="s">
        <v>4386</v>
      </c>
      <c r="J1379" s="2" t="s">
        <v>4761</v>
      </c>
      <c r="K1379" s="2" t="s">
        <v>10</v>
      </c>
    </row>
    <row r="1380" spans="1:11" ht="27.6" hidden="1" x14ac:dyDescent="0.3">
      <c r="A1380" s="2" t="s">
        <v>4386</v>
      </c>
      <c r="B1380" s="2" t="s">
        <v>4762</v>
      </c>
      <c r="C1380" s="3">
        <v>36285</v>
      </c>
      <c r="D1380" s="1" t="s">
        <v>4763</v>
      </c>
      <c r="E1380" s="1" t="s">
        <v>4764</v>
      </c>
      <c r="F1380" s="2" t="s">
        <v>4555</v>
      </c>
      <c r="G1380" s="2" t="s">
        <v>4765</v>
      </c>
      <c r="H1380" s="2" t="s">
        <v>10</v>
      </c>
      <c r="I1380" s="2" t="s">
        <v>4386</v>
      </c>
      <c r="J1380" s="2" t="s">
        <v>4766</v>
      </c>
      <c r="K1380" s="2" t="s">
        <v>10</v>
      </c>
    </row>
    <row r="1381" spans="1:11" ht="27.6" hidden="1" x14ac:dyDescent="0.3">
      <c r="A1381" s="2" t="s">
        <v>4386</v>
      </c>
      <c r="B1381" s="2" t="s">
        <v>4767</v>
      </c>
      <c r="C1381" s="3">
        <v>34252</v>
      </c>
      <c r="D1381" s="1" t="s">
        <v>4768</v>
      </c>
      <c r="E1381" s="1" t="s">
        <v>4769</v>
      </c>
      <c r="F1381" s="2" t="s">
        <v>4555</v>
      </c>
      <c r="G1381" s="2" t="s">
        <v>4770</v>
      </c>
      <c r="H1381" s="2" t="s">
        <v>10</v>
      </c>
      <c r="I1381" s="2" t="s">
        <v>4386</v>
      </c>
      <c r="J1381" s="2" t="s">
        <v>4771</v>
      </c>
      <c r="K1381" s="2" t="s">
        <v>10</v>
      </c>
    </row>
    <row r="1382" spans="1:11" ht="27.6" hidden="1" x14ac:dyDescent="0.3">
      <c r="A1382" s="2" t="s">
        <v>4386</v>
      </c>
      <c r="B1382" s="2" t="s">
        <v>4772</v>
      </c>
      <c r="C1382" s="3">
        <v>17107</v>
      </c>
      <c r="D1382" s="1" t="s">
        <v>4773</v>
      </c>
      <c r="E1382" s="1" t="s">
        <v>4774</v>
      </c>
      <c r="F1382" s="2" t="s">
        <v>4555</v>
      </c>
      <c r="G1382" s="2" t="s">
        <v>4775</v>
      </c>
      <c r="H1382" s="2" t="s">
        <v>10</v>
      </c>
      <c r="I1382" s="2" t="s">
        <v>4386</v>
      </c>
      <c r="J1382" s="2" t="s">
        <v>4776</v>
      </c>
      <c r="K1382" s="2" t="s">
        <v>10</v>
      </c>
    </row>
    <row r="1383" spans="1:11" ht="27.6" hidden="1" x14ac:dyDescent="0.3">
      <c r="A1383" s="2" t="s">
        <v>4386</v>
      </c>
      <c r="B1383" s="2" t="s">
        <v>4777</v>
      </c>
      <c r="C1383" s="3">
        <v>20219</v>
      </c>
      <c r="D1383" s="1" t="s">
        <v>4778</v>
      </c>
      <c r="E1383" s="1" t="s">
        <v>4779</v>
      </c>
      <c r="F1383" s="2" t="s">
        <v>4555</v>
      </c>
      <c r="G1383" s="2" t="s">
        <v>4780</v>
      </c>
      <c r="H1383" s="2" t="s">
        <v>103</v>
      </c>
      <c r="I1383" s="2" t="s">
        <v>4386</v>
      </c>
      <c r="J1383" s="2" t="s">
        <v>4781</v>
      </c>
      <c r="K1383" s="2" t="s">
        <v>10</v>
      </c>
    </row>
    <row r="1384" spans="1:11" ht="27.6" hidden="1" x14ac:dyDescent="0.3">
      <c r="A1384" s="2" t="s">
        <v>4386</v>
      </c>
      <c r="B1384" s="2" t="s">
        <v>4782</v>
      </c>
      <c r="C1384" s="3">
        <v>31315</v>
      </c>
      <c r="D1384" s="1" t="s">
        <v>4783</v>
      </c>
      <c r="E1384" s="1" t="s">
        <v>4784</v>
      </c>
      <c r="F1384" s="2" t="s">
        <v>4555</v>
      </c>
      <c r="G1384" s="2" t="s">
        <v>4785</v>
      </c>
      <c r="H1384" s="2" t="s">
        <v>10</v>
      </c>
      <c r="I1384" s="2" t="s">
        <v>4386</v>
      </c>
      <c r="J1384" s="2" t="s">
        <v>4786</v>
      </c>
      <c r="K1384" s="2" t="s">
        <v>10</v>
      </c>
    </row>
    <row r="1385" spans="1:11" ht="27.6" hidden="1" x14ac:dyDescent="0.3">
      <c r="A1385" s="2" t="s">
        <v>4386</v>
      </c>
      <c r="B1385" s="2" t="s">
        <v>4787</v>
      </c>
      <c r="C1385" s="3">
        <v>37123</v>
      </c>
      <c r="D1385" s="1" t="s">
        <v>4788</v>
      </c>
      <c r="E1385" s="1" t="s">
        <v>4789</v>
      </c>
      <c r="F1385" s="2" t="s">
        <v>4555</v>
      </c>
      <c r="G1385" s="2" t="s">
        <v>4790</v>
      </c>
      <c r="H1385" s="2" t="s">
        <v>10</v>
      </c>
      <c r="I1385" s="2" t="s">
        <v>4386</v>
      </c>
      <c r="J1385" s="2" t="s">
        <v>4791</v>
      </c>
      <c r="K1385" s="2" t="s">
        <v>10</v>
      </c>
    </row>
    <row r="1386" spans="1:11" ht="27.6" hidden="1" x14ac:dyDescent="0.3">
      <c r="A1386" s="2" t="s">
        <v>4386</v>
      </c>
      <c r="B1386" s="2" t="s">
        <v>4792</v>
      </c>
      <c r="C1386" s="3">
        <v>29596</v>
      </c>
      <c r="D1386" s="1" t="s">
        <v>4793</v>
      </c>
      <c r="E1386" s="1" t="s">
        <v>4794</v>
      </c>
      <c r="F1386" s="2" t="s">
        <v>4555</v>
      </c>
      <c r="G1386" s="2" t="s">
        <v>4795</v>
      </c>
      <c r="H1386" s="2" t="s">
        <v>10</v>
      </c>
      <c r="I1386" s="2" t="s">
        <v>4386</v>
      </c>
      <c r="J1386" s="2" t="s">
        <v>4796</v>
      </c>
      <c r="K1386" s="2" t="s">
        <v>10</v>
      </c>
    </row>
    <row r="1387" spans="1:11" ht="27.6" hidden="1" x14ac:dyDescent="0.3">
      <c r="A1387" s="2" t="s">
        <v>4386</v>
      </c>
      <c r="B1387" s="2" t="s">
        <v>4797</v>
      </c>
      <c r="C1387" s="3">
        <v>34986</v>
      </c>
      <c r="D1387" s="1" t="s">
        <v>4798</v>
      </c>
      <c r="E1387" s="1" t="s">
        <v>4799</v>
      </c>
      <c r="F1387" s="2" t="s">
        <v>4555</v>
      </c>
      <c r="G1387" s="2" t="s">
        <v>4800</v>
      </c>
      <c r="H1387" s="2" t="s">
        <v>10</v>
      </c>
      <c r="I1387" s="2" t="s">
        <v>4386</v>
      </c>
      <c r="J1387" s="2" t="s">
        <v>4801</v>
      </c>
      <c r="K1387" s="2" t="s">
        <v>10</v>
      </c>
    </row>
    <row r="1388" spans="1:11" ht="27.6" hidden="1" x14ac:dyDescent="0.3">
      <c r="A1388" s="2" t="s">
        <v>4386</v>
      </c>
      <c r="B1388" s="2" t="s">
        <v>4802</v>
      </c>
      <c r="C1388" s="3">
        <v>31285</v>
      </c>
      <c r="D1388" s="1" t="s">
        <v>4803</v>
      </c>
      <c r="E1388" s="1" t="s">
        <v>4804</v>
      </c>
      <c r="F1388" s="2" t="s">
        <v>4396</v>
      </c>
      <c r="G1388" s="2" t="s">
        <v>4795</v>
      </c>
      <c r="H1388" s="2" t="s">
        <v>10</v>
      </c>
      <c r="I1388" s="2" t="s">
        <v>4386</v>
      </c>
      <c r="J1388" s="2" t="s">
        <v>4796</v>
      </c>
      <c r="K1388" s="2" t="s">
        <v>10</v>
      </c>
    </row>
    <row r="1389" spans="1:11" ht="27.6" hidden="1" x14ac:dyDescent="0.3">
      <c r="A1389" s="2" t="s">
        <v>4386</v>
      </c>
      <c r="B1389" s="2" t="s">
        <v>4805</v>
      </c>
      <c r="C1389" s="3">
        <v>33175</v>
      </c>
      <c r="D1389" s="1" t="s">
        <v>4806</v>
      </c>
      <c r="E1389" s="1" t="s">
        <v>4807</v>
      </c>
      <c r="F1389" s="2" t="s">
        <v>4555</v>
      </c>
      <c r="G1389" s="2" t="s">
        <v>4808</v>
      </c>
      <c r="H1389" s="2" t="s">
        <v>10</v>
      </c>
      <c r="I1389" s="2" t="s">
        <v>4386</v>
      </c>
      <c r="J1389" s="2" t="s">
        <v>4809</v>
      </c>
      <c r="K1389" s="2" t="s">
        <v>10</v>
      </c>
    </row>
    <row r="1390" spans="1:11" ht="27.6" hidden="1" x14ac:dyDescent="0.3">
      <c r="A1390" s="2" t="s">
        <v>60</v>
      </c>
      <c r="B1390" s="2" t="s">
        <v>4810</v>
      </c>
      <c r="C1390" s="3">
        <v>34709</v>
      </c>
      <c r="D1390" s="1" t="s">
        <v>4811</v>
      </c>
      <c r="E1390" s="1" t="s">
        <v>4812</v>
      </c>
      <c r="F1390" s="2" t="s">
        <v>257</v>
      </c>
      <c r="G1390" s="2" t="s">
        <v>112</v>
      </c>
      <c r="H1390" s="2" t="s">
        <v>10</v>
      </c>
      <c r="I1390" s="2" t="s">
        <v>60</v>
      </c>
      <c r="J1390" s="2" t="s">
        <v>4813</v>
      </c>
      <c r="K1390" s="2" t="s">
        <v>10</v>
      </c>
    </row>
    <row r="1391" spans="1:11" ht="27.6" hidden="1" x14ac:dyDescent="0.3">
      <c r="A1391" s="2" t="s">
        <v>60</v>
      </c>
      <c r="B1391" s="2" t="s">
        <v>4814</v>
      </c>
      <c r="C1391" s="3">
        <v>30208</v>
      </c>
      <c r="D1391" s="1" t="s">
        <v>4815</v>
      </c>
      <c r="E1391" s="1" t="s">
        <v>4816</v>
      </c>
      <c r="F1391" s="2" t="s">
        <v>825</v>
      </c>
      <c r="G1391" s="2" t="s">
        <v>217</v>
      </c>
      <c r="H1391" s="2" t="s">
        <v>334</v>
      </c>
      <c r="I1391" s="2" t="s">
        <v>60</v>
      </c>
      <c r="J1391" s="2" t="s">
        <v>218</v>
      </c>
      <c r="K1391" s="2" t="s">
        <v>10</v>
      </c>
    </row>
    <row r="1392" spans="1:11" ht="27.6" hidden="1" x14ac:dyDescent="0.3">
      <c r="A1392" s="2" t="s">
        <v>4386</v>
      </c>
      <c r="B1392" s="2" t="s">
        <v>4817</v>
      </c>
      <c r="C1392" s="3">
        <v>27166</v>
      </c>
      <c r="D1392" s="1" t="s">
        <v>4818</v>
      </c>
      <c r="E1392" s="1" t="s">
        <v>4819</v>
      </c>
      <c r="F1392" s="2" t="s">
        <v>4555</v>
      </c>
      <c r="G1392" s="2" t="s">
        <v>4820</v>
      </c>
      <c r="H1392" s="2" t="s">
        <v>10</v>
      </c>
      <c r="I1392" s="2" t="s">
        <v>4386</v>
      </c>
      <c r="J1392" s="2" t="s">
        <v>4821</v>
      </c>
      <c r="K1392" s="2" t="s">
        <v>10</v>
      </c>
    </row>
    <row r="1393" spans="1:11" ht="55.2" hidden="1" x14ac:dyDescent="0.3">
      <c r="A1393" s="2" t="s">
        <v>4604</v>
      </c>
      <c r="B1393" s="2" t="s">
        <v>4822</v>
      </c>
      <c r="C1393" s="3">
        <v>25898</v>
      </c>
      <c r="D1393" s="1" t="s">
        <v>4823</v>
      </c>
      <c r="E1393" s="1" t="s">
        <v>4824</v>
      </c>
      <c r="F1393" s="2" t="s">
        <v>4698</v>
      </c>
      <c r="G1393" s="2" t="s">
        <v>258</v>
      </c>
      <c r="H1393" s="2" t="s">
        <v>4825</v>
      </c>
      <c r="I1393" s="2" t="s">
        <v>4604</v>
      </c>
      <c r="J1393" s="2" t="s">
        <v>430</v>
      </c>
      <c r="K1393" s="2" t="s">
        <v>10</v>
      </c>
    </row>
    <row r="1394" spans="1:11" ht="55.2" hidden="1" x14ac:dyDescent="0.3">
      <c r="A1394" s="2" t="s">
        <v>4604</v>
      </c>
      <c r="B1394" s="2" t="s">
        <v>4826</v>
      </c>
      <c r="C1394" s="3">
        <v>22057</v>
      </c>
      <c r="D1394" s="1" t="s">
        <v>4827</v>
      </c>
      <c r="E1394" s="1" t="s">
        <v>4828</v>
      </c>
      <c r="F1394" s="2" t="s">
        <v>4698</v>
      </c>
      <c r="G1394" s="2" t="s">
        <v>1504</v>
      </c>
      <c r="H1394" s="2" t="s">
        <v>10</v>
      </c>
      <c r="I1394" s="2" t="s">
        <v>4604</v>
      </c>
      <c r="J1394" s="2" t="s">
        <v>2066</v>
      </c>
      <c r="K1394" s="2" t="s">
        <v>10</v>
      </c>
    </row>
    <row r="1395" spans="1:11" ht="55.2" hidden="1" x14ac:dyDescent="0.3">
      <c r="A1395" s="2" t="s">
        <v>4604</v>
      </c>
      <c r="B1395" s="2" t="s">
        <v>4829</v>
      </c>
      <c r="C1395" s="3">
        <v>29765</v>
      </c>
      <c r="D1395" s="1" t="s">
        <v>4830</v>
      </c>
      <c r="E1395" s="1" t="s">
        <v>4831</v>
      </c>
      <c r="F1395" s="2" t="s">
        <v>4698</v>
      </c>
      <c r="G1395" s="2" t="s">
        <v>1228</v>
      </c>
      <c r="H1395" s="2" t="s">
        <v>10</v>
      </c>
      <c r="I1395" s="2" t="s">
        <v>4604</v>
      </c>
      <c r="J1395" s="2" t="s">
        <v>4832</v>
      </c>
      <c r="K1395" s="2" t="s">
        <v>10</v>
      </c>
    </row>
    <row r="1396" spans="1:11" ht="55.2" hidden="1" x14ac:dyDescent="0.3">
      <c r="A1396" s="2" t="s">
        <v>4604</v>
      </c>
      <c r="B1396" s="2" t="s">
        <v>4833</v>
      </c>
      <c r="C1396" s="3">
        <v>28633</v>
      </c>
      <c r="D1396" s="1" t="s">
        <v>4834</v>
      </c>
      <c r="E1396" s="1" t="s">
        <v>4835</v>
      </c>
      <c r="F1396" s="2" t="s">
        <v>4698</v>
      </c>
      <c r="G1396" s="2" t="s">
        <v>1228</v>
      </c>
      <c r="H1396" s="2" t="s">
        <v>103</v>
      </c>
      <c r="I1396" s="2" t="s">
        <v>4604</v>
      </c>
      <c r="J1396" s="2" t="s">
        <v>4832</v>
      </c>
      <c r="K1396" s="2" t="s">
        <v>10</v>
      </c>
    </row>
    <row r="1397" spans="1:11" ht="55.2" hidden="1" x14ac:dyDescent="0.3">
      <c r="A1397" s="2" t="s">
        <v>4604</v>
      </c>
      <c r="B1397" s="2" t="s">
        <v>4836</v>
      </c>
      <c r="C1397" s="3">
        <v>21232</v>
      </c>
      <c r="D1397" s="1" t="s">
        <v>4837</v>
      </c>
      <c r="E1397" s="1" t="s">
        <v>4838</v>
      </c>
      <c r="F1397" s="2" t="s">
        <v>4698</v>
      </c>
      <c r="G1397" s="2" t="s">
        <v>933</v>
      </c>
      <c r="H1397" s="2" t="s">
        <v>10</v>
      </c>
      <c r="I1397" s="2" t="s">
        <v>4604</v>
      </c>
      <c r="J1397" s="2" t="s">
        <v>4839</v>
      </c>
      <c r="K1397" s="2" t="s">
        <v>10</v>
      </c>
    </row>
    <row r="1398" spans="1:11" ht="55.2" hidden="1" x14ac:dyDescent="0.3">
      <c r="A1398" s="2" t="s">
        <v>4604</v>
      </c>
      <c r="B1398" s="2" t="s">
        <v>4840</v>
      </c>
      <c r="C1398" s="3">
        <v>26157</v>
      </c>
      <c r="D1398" s="1" t="s">
        <v>4841</v>
      </c>
      <c r="E1398" s="1" t="s">
        <v>4842</v>
      </c>
      <c r="F1398" s="2" t="s">
        <v>4698</v>
      </c>
      <c r="G1398" s="2" t="s">
        <v>25</v>
      </c>
      <c r="H1398" s="2" t="s">
        <v>4843</v>
      </c>
      <c r="I1398" s="2" t="s">
        <v>4604</v>
      </c>
      <c r="J1398" s="2" t="s">
        <v>27</v>
      </c>
      <c r="K1398" s="2" t="s">
        <v>10</v>
      </c>
    </row>
    <row r="1399" spans="1:11" ht="55.2" hidden="1" x14ac:dyDescent="0.3">
      <c r="A1399" s="2" t="s">
        <v>4604</v>
      </c>
      <c r="B1399" s="2" t="s">
        <v>4844</v>
      </c>
      <c r="C1399" s="3">
        <v>25125</v>
      </c>
      <c r="D1399" s="1" t="s">
        <v>4845</v>
      </c>
      <c r="E1399" s="1" t="s">
        <v>4846</v>
      </c>
      <c r="F1399" s="2" t="s">
        <v>4698</v>
      </c>
      <c r="G1399" s="2" t="s">
        <v>1403</v>
      </c>
      <c r="H1399" s="2" t="s">
        <v>4847</v>
      </c>
      <c r="I1399" s="2" t="s">
        <v>4604</v>
      </c>
      <c r="J1399" s="2" t="s">
        <v>4848</v>
      </c>
      <c r="K1399" s="2" t="s">
        <v>10</v>
      </c>
    </row>
    <row r="1400" spans="1:11" ht="55.2" hidden="1" x14ac:dyDescent="0.3">
      <c r="A1400" s="2" t="s">
        <v>4604</v>
      </c>
      <c r="B1400" s="2" t="s">
        <v>4849</v>
      </c>
      <c r="C1400" s="3">
        <v>25632</v>
      </c>
      <c r="D1400" s="1" t="s">
        <v>4850</v>
      </c>
      <c r="E1400" s="1" t="s">
        <v>4851</v>
      </c>
      <c r="F1400" s="2" t="s">
        <v>4698</v>
      </c>
      <c r="G1400" s="2" t="s">
        <v>292</v>
      </c>
      <c r="H1400" s="2" t="s">
        <v>4852</v>
      </c>
      <c r="I1400" s="2" t="s">
        <v>4604</v>
      </c>
      <c r="J1400" s="2" t="s">
        <v>3419</v>
      </c>
      <c r="K1400" s="2" t="s">
        <v>10</v>
      </c>
    </row>
    <row r="1401" spans="1:11" ht="55.2" hidden="1" x14ac:dyDescent="0.3">
      <c r="A1401" s="2" t="s">
        <v>4604</v>
      </c>
      <c r="B1401" s="2" t="s">
        <v>4853</v>
      </c>
      <c r="C1401" s="3">
        <v>24821</v>
      </c>
      <c r="D1401" s="1" t="s">
        <v>4854</v>
      </c>
      <c r="E1401" s="1" t="s">
        <v>4855</v>
      </c>
      <c r="F1401" s="2" t="s">
        <v>4698</v>
      </c>
      <c r="G1401" s="2" t="s">
        <v>1403</v>
      </c>
      <c r="H1401" s="2" t="s">
        <v>4856</v>
      </c>
      <c r="I1401" s="2" t="s">
        <v>4604</v>
      </c>
      <c r="J1401" s="2" t="s">
        <v>4848</v>
      </c>
      <c r="K1401" s="2" t="s">
        <v>10</v>
      </c>
    </row>
    <row r="1402" spans="1:11" ht="55.2" hidden="1" x14ac:dyDescent="0.3">
      <c r="A1402" s="2" t="s">
        <v>4604</v>
      </c>
      <c r="B1402" s="2" t="s">
        <v>4857</v>
      </c>
      <c r="C1402" s="3">
        <v>30247</v>
      </c>
      <c r="D1402" s="1" t="s">
        <v>4858</v>
      </c>
      <c r="E1402" s="1" t="s">
        <v>4859</v>
      </c>
      <c r="F1402" s="2" t="s">
        <v>4698</v>
      </c>
      <c r="G1402" s="2" t="s">
        <v>880</v>
      </c>
      <c r="H1402" s="2" t="s">
        <v>4860</v>
      </c>
      <c r="I1402" s="2" t="s">
        <v>4604</v>
      </c>
      <c r="J1402" s="2" t="s">
        <v>4861</v>
      </c>
      <c r="K1402" s="2" t="s">
        <v>10</v>
      </c>
    </row>
    <row r="1403" spans="1:11" ht="55.2" hidden="1" x14ac:dyDescent="0.3">
      <c r="A1403" s="2" t="s">
        <v>4604</v>
      </c>
      <c r="B1403" s="2" t="s">
        <v>4862</v>
      </c>
      <c r="C1403" s="3">
        <v>34778</v>
      </c>
      <c r="D1403" s="1" t="s">
        <v>4863</v>
      </c>
      <c r="E1403" s="1" t="s">
        <v>4864</v>
      </c>
      <c r="F1403" s="2" t="s">
        <v>4698</v>
      </c>
      <c r="G1403" s="2" t="s">
        <v>2079</v>
      </c>
      <c r="H1403" s="2" t="s">
        <v>4865</v>
      </c>
      <c r="I1403" s="2" t="s">
        <v>4604</v>
      </c>
      <c r="J1403" s="2" t="s">
        <v>4866</v>
      </c>
      <c r="K1403" s="2" t="s">
        <v>10</v>
      </c>
    </row>
    <row r="1404" spans="1:11" ht="55.2" hidden="1" x14ac:dyDescent="0.3">
      <c r="A1404" s="2" t="s">
        <v>4604</v>
      </c>
      <c r="B1404" s="2" t="s">
        <v>4867</v>
      </c>
      <c r="C1404" s="3">
        <v>34570</v>
      </c>
      <c r="D1404" s="1" t="s">
        <v>4868</v>
      </c>
      <c r="E1404" s="1" t="s">
        <v>4869</v>
      </c>
      <c r="F1404" s="2" t="s">
        <v>4698</v>
      </c>
      <c r="G1404" s="2" t="s">
        <v>1266</v>
      </c>
      <c r="H1404" s="2" t="s">
        <v>4870</v>
      </c>
      <c r="I1404" s="2" t="s">
        <v>4604</v>
      </c>
      <c r="J1404" s="2" t="s">
        <v>4871</v>
      </c>
      <c r="K1404" s="2" t="s">
        <v>10</v>
      </c>
    </row>
    <row r="1405" spans="1:11" ht="55.2" hidden="1" x14ac:dyDescent="0.3">
      <c r="A1405" s="2" t="s">
        <v>4604</v>
      </c>
      <c r="B1405" s="2" t="s">
        <v>4872</v>
      </c>
      <c r="C1405" s="3">
        <v>35549</v>
      </c>
      <c r="D1405" s="1" t="s">
        <v>4873</v>
      </c>
      <c r="E1405" s="1" t="s">
        <v>4874</v>
      </c>
      <c r="F1405" s="2" t="s">
        <v>4698</v>
      </c>
      <c r="G1405" s="2" t="s">
        <v>852</v>
      </c>
      <c r="H1405" s="2" t="s">
        <v>4875</v>
      </c>
      <c r="I1405" s="2" t="s">
        <v>4604</v>
      </c>
      <c r="J1405" s="2" t="s">
        <v>4876</v>
      </c>
      <c r="K1405" s="2" t="s">
        <v>10</v>
      </c>
    </row>
    <row r="1406" spans="1:11" ht="55.2" hidden="1" x14ac:dyDescent="0.3">
      <c r="A1406" s="2" t="s">
        <v>4604</v>
      </c>
      <c r="B1406" s="2" t="s">
        <v>4877</v>
      </c>
      <c r="C1406" s="3">
        <v>20378</v>
      </c>
      <c r="D1406" s="1" t="s">
        <v>4878</v>
      </c>
      <c r="E1406" s="1" t="s">
        <v>4879</v>
      </c>
      <c r="F1406" s="2" t="s">
        <v>4698</v>
      </c>
      <c r="G1406" s="2" t="s">
        <v>3957</v>
      </c>
      <c r="H1406" s="2" t="s">
        <v>4880</v>
      </c>
      <c r="I1406" s="2" t="s">
        <v>4604</v>
      </c>
      <c r="J1406" s="2" t="s">
        <v>4881</v>
      </c>
      <c r="K1406" s="2" t="s">
        <v>10</v>
      </c>
    </row>
    <row r="1407" spans="1:11" ht="27.6" hidden="1" x14ac:dyDescent="0.3">
      <c r="A1407" s="2" t="s">
        <v>4386</v>
      </c>
      <c r="B1407" s="2" t="s">
        <v>4882</v>
      </c>
      <c r="C1407" s="3">
        <v>31442</v>
      </c>
      <c r="D1407" s="1" t="s">
        <v>4883</v>
      </c>
      <c r="E1407" s="1" t="s">
        <v>4884</v>
      </c>
      <c r="F1407" s="2" t="s">
        <v>4396</v>
      </c>
      <c r="G1407" s="2" t="s">
        <v>4885</v>
      </c>
      <c r="H1407" s="2" t="s">
        <v>10</v>
      </c>
      <c r="I1407" s="2" t="s">
        <v>4386</v>
      </c>
      <c r="J1407" s="2" t="s">
        <v>4886</v>
      </c>
      <c r="K1407" s="2" t="s">
        <v>10</v>
      </c>
    </row>
    <row r="1408" spans="1:11" ht="55.2" hidden="1" x14ac:dyDescent="0.3">
      <c r="A1408" s="2" t="s">
        <v>4604</v>
      </c>
      <c r="B1408" s="2" t="s">
        <v>4887</v>
      </c>
      <c r="C1408" s="3">
        <v>33659</v>
      </c>
      <c r="D1408" s="1" t="s">
        <v>4888</v>
      </c>
      <c r="E1408" s="1" t="s">
        <v>4889</v>
      </c>
      <c r="F1408" s="2" t="s">
        <v>4698</v>
      </c>
      <c r="G1408" s="2" t="s">
        <v>328</v>
      </c>
      <c r="H1408" s="2" t="s">
        <v>4890</v>
      </c>
      <c r="I1408" s="2" t="s">
        <v>4604</v>
      </c>
      <c r="J1408" s="2" t="s">
        <v>4891</v>
      </c>
      <c r="K1408" s="2" t="s">
        <v>10</v>
      </c>
    </row>
    <row r="1409" spans="1:11" ht="55.2" hidden="1" x14ac:dyDescent="0.3">
      <c r="A1409" s="2" t="s">
        <v>4604</v>
      </c>
      <c r="B1409" s="2" t="s">
        <v>4892</v>
      </c>
      <c r="C1409" s="3">
        <v>33653</v>
      </c>
      <c r="D1409" s="1" t="s">
        <v>4893</v>
      </c>
      <c r="E1409" s="1" t="s">
        <v>4894</v>
      </c>
      <c r="F1409" s="2" t="s">
        <v>4698</v>
      </c>
      <c r="G1409" s="2" t="s">
        <v>206</v>
      </c>
      <c r="H1409" s="2" t="s">
        <v>4895</v>
      </c>
      <c r="I1409" s="2" t="s">
        <v>4604</v>
      </c>
      <c r="J1409" s="2" t="s">
        <v>434</v>
      </c>
      <c r="K1409" s="2" t="s">
        <v>10</v>
      </c>
    </row>
    <row r="1410" spans="1:11" ht="55.2" hidden="1" x14ac:dyDescent="0.3">
      <c r="A1410" s="2" t="s">
        <v>4604</v>
      </c>
      <c r="B1410" s="2" t="s">
        <v>4896</v>
      </c>
      <c r="C1410" s="3">
        <v>37435</v>
      </c>
      <c r="D1410" s="1" t="s">
        <v>4897</v>
      </c>
      <c r="E1410" s="1" t="s">
        <v>4898</v>
      </c>
      <c r="F1410" s="2" t="s">
        <v>4698</v>
      </c>
      <c r="G1410" s="2" t="s">
        <v>1763</v>
      </c>
      <c r="H1410" s="2" t="s">
        <v>4899</v>
      </c>
      <c r="I1410" s="2" t="s">
        <v>4604</v>
      </c>
      <c r="J1410" s="2" t="s">
        <v>1764</v>
      </c>
      <c r="K1410" s="2" t="s">
        <v>10</v>
      </c>
    </row>
    <row r="1411" spans="1:11" ht="55.2" hidden="1" x14ac:dyDescent="0.3">
      <c r="A1411" s="2" t="s">
        <v>4604</v>
      </c>
      <c r="B1411" s="2" t="s">
        <v>4900</v>
      </c>
      <c r="C1411" s="3">
        <v>31490</v>
      </c>
      <c r="D1411" s="1" t="s">
        <v>669</v>
      </c>
      <c r="E1411" s="1" t="s">
        <v>4901</v>
      </c>
      <c r="F1411" s="2" t="s">
        <v>4698</v>
      </c>
      <c r="G1411" s="2" t="s">
        <v>604</v>
      </c>
      <c r="H1411" s="2" t="s">
        <v>4902</v>
      </c>
      <c r="I1411" s="2" t="s">
        <v>4604</v>
      </c>
      <c r="J1411" s="2" t="s">
        <v>4903</v>
      </c>
      <c r="K1411" s="2" t="s">
        <v>10</v>
      </c>
    </row>
    <row r="1412" spans="1:11" ht="55.2" hidden="1" x14ac:dyDescent="0.3">
      <c r="A1412" s="2" t="s">
        <v>4604</v>
      </c>
      <c r="B1412" s="2" t="s">
        <v>4904</v>
      </c>
      <c r="C1412" s="3">
        <v>28193</v>
      </c>
      <c r="D1412" s="1" t="s">
        <v>4905</v>
      </c>
      <c r="E1412" s="1" t="s">
        <v>4906</v>
      </c>
      <c r="F1412" s="2" t="s">
        <v>4698</v>
      </c>
      <c r="G1412" s="2" t="s">
        <v>860</v>
      </c>
      <c r="H1412" s="2" t="s">
        <v>4907</v>
      </c>
      <c r="I1412" s="2" t="s">
        <v>4604</v>
      </c>
      <c r="J1412" s="2" t="s">
        <v>4908</v>
      </c>
      <c r="K1412" s="2" t="s">
        <v>10</v>
      </c>
    </row>
    <row r="1413" spans="1:11" ht="55.2" hidden="1" x14ac:dyDescent="0.3">
      <c r="A1413" s="2" t="s">
        <v>4604</v>
      </c>
      <c r="B1413" s="2" t="s">
        <v>4909</v>
      </c>
      <c r="C1413" s="3">
        <v>27480</v>
      </c>
      <c r="D1413" s="1" t="s">
        <v>4910</v>
      </c>
      <c r="E1413" s="1" t="s">
        <v>4911</v>
      </c>
      <c r="F1413" s="2" t="s">
        <v>4698</v>
      </c>
      <c r="G1413" s="2" t="s">
        <v>2267</v>
      </c>
      <c r="H1413" s="2" t="s">
        <v>4912</v>
      </c>
      <c r="I1413" s="2" t="s">
        <v>4604</v>
      </c>
      <c r="J1413" s="2" t="s">
        <v>735</v>
      </c>
      <c r="K1413" s="2" t="s">
        <v>10</v>
      </c>
    </row>
    <row r="1414" spans="1:11" ht="55.2" hidden="1" x14ac:dyDescent="0.3">
      <c r="A1414" s="2" t="s">
        <v>4604</v>
      </c>
      <c r="B1414" s="2" t="s">
        <v>4913</v>
      </c>
      <c r="C1414" s="3">
        <v>30698</v>
      </c>
      <c r="D1414" s="1" t="s">
        <v>4914</v>
      </c>
      <c r="E1414" s="1" t="s">
        <v>4915</v>
      </c>
      <c r="F1414" s="2" t="s">
        <v>4698</v>
      </c>
      <c r="G1414" s="2" t="s">
        <v>4916</v>
      </c>
      <c r="H1414" s="2" t="s">
        <v>4917</v>
      </c>
      <c r="I1414" s="2" t="s">
        <v>4604</v>
      </c>
      <c r="J1414" s="2" t="s">
        <v>4918</v>
      </c>
      <c r="K1414" s="2" t="s">
        <v>10</v>
      </c>
    </row>
    <row r="1415" spans="1:11" ht="55.2" hidden="1" x14ac:dyDescent="0.3">
      <c r="A1415" s="2" t="s">
        <v>4604</v>
      </c>
      <c r="B1415" s="2" t="s">
        <v>4919</v>
      </c>
      <c r="C1415" s="3">
        <v>32357</v>
      </c>
      <c r="D1415" s="1" t="s">
        <v>4920</v>
      </c>
      <c r="E1415" s="1" t="s">
        <v>4921</v>
      </c>
      <c r="F1415" s="2" t="s">
        <v>4698</v>
      </c>
      <c r="G1415" s="2" t="s">
        <v>2336</v>
      </c>
      <c r="H1415" s="2" t="s">
        <v>4922</v>
      </c>
      <c r="I1415" s="2" t="s">
        <v>4604</v>
      </c>
      <c r="J1415" s="2" t="s">
        <v>4923</v>
      </c>
      <c r="K1415" s="2" t="s">
        <v>10</v>
      </c>
    </row>
    <row r="1416" spans="1:11" ht="55.2" hidden="1" x14ac:dyDescent="0.3">
      <c r="A1416" s="2" t="s">
        <v>4604</v>
      </c>
      <c r="B1416" s="2" t="s">
        <v>4924</v>
      </c>
      <c r="C1416" s="3">
        <v>34909</v>
      </c>
      <c r="D1416" s="1" t="s">
        <v>4925</v>
      </c>
      <c r="E1416" s="1" t="s">
        <v>4926</v>
      </c>
      <c r="F1416" s="2" t="s">
        <v>4698</v>
      </c>
      <c r="G1416" s="2" t="s">
        <v>604</v>
      </c>
      <c r="H1416" s="2" t="s">
        <v>4927</v>
      </c>
      <c r="I1416" s="2" t="s">
        <v>4604</v>
      </c>
      <c r="J1416" s="2" t="s">
        <v>4903</v>
      </c>
      <c r="K1416" s="2" t="s">
        <v>10</v>
      </c>
    </row>
    <row r="1417" spans="1:11" ht="55.2" hidden="1" x14ac:dyDescent="0.3">
      <c r="A1417" s="2" t="s">
        <v>4604</v>
      </c>
      <c r="B1417" s="2" t="s">
        <v>4928</v>
      </c>
      <c r="C1417" s="3">
        <v>36082</v>
      </c>
      <c r="D1417" s="1" t="s">
        <v>4929</v>
      </c>
      <c r="E1417" s="1" t="s">
        <v>4930</v>
      </c>
      <c r="F1417" s="2" t="s">
        <v>4698</v>
      </c>
      <c r="G1417" s="2" t="s">
        <v>2594</v>
      </c>
      <c r="H1417" s="2" t="s">
        <v>4931</v>
      </c>
      <c r="I1417" s="2" t="s">
        <v>4604</v>
      </c>
      <c r="J1417" s="2" t="s">
        <v>4932</v>
      </c>
      <c r="K1417" s="2" t="s">
        <v>10</v>
      </c>
    </row>
    <row r="1418" spans="1:11" ht="55.2" hidden="1" x14ac:dyDescent="0.3">
      <c r="A1418" s="2" t="s">
        <v>4604</v>
      </c>
      <c r="B1418" s="2" t="s">
        <v>4933</v>
      </c>
      <c r="C1418" s="3">
        <v>29256</v>
      </c>
      <c r="D1418" s="1" t="s">
        <v>4934</v>
      </c>
      <c r="E1418" s="1" t="s">
        <v>4935</v>
      </c>
      <c r="F1418" s="2" t="s">
        <v>4608</v>
      </c>
      <c r="G1418" s="2" t="s">
        <v>12</v>
      </c>
      <c r="H1418" s="2" t="s">
        <v>4936</v>
      </c>
      <c r="I1418" s="2" t="s">
        <v>4604</v>
      </c>
      <c r="J1418" s="2" t="s">
        <v>54</v>
      </c>
      <c r="K1418" s="2" t="s">
        <v>10</v>
      </c>
    </row>
    <row r="1419" spans="1:11" ht="55.2" hidden="1" x14ac:dyDescent="0.3">
      <c r="A1419" s="2" t="s">
        <v>4604</v>
      </c>
      <c r="B1419" s="2" t="s">
        <v>4937</v>
      </c>
      <c r="C1419" s="3">
        <v>23470</v>
      </c>
      <c r="D1419" s="1" t="s">
        <v>4938</v>
      </c>
      <c r="E1419" s="1" t="s">
        <v>4939</v>
      </c>
      <c r="F1419" s="2" t="s">
        <v>4608</v>
      </c>
      <c r="G1419" s="2" t="s">
        <v>25</v>
      </c>
      <c r="H1419" s="2" t="s">
        <v>4940</v>
      </c>
      <c r="I1419" s="2" t="s">
        <v>4604</v>
      </c>
      <c r="J1419" s="2" t="s">
        <v>27</v>
      </c>
      <c r="K1419" s="2" t="s">
        <v>4941</v>
      </c>
    </row>
    <row r="1420" spans="1:11" ht="55.2" hidden="1" x14ac:dyDescent="0.3">
      <c r="A1420" s="2" t="s">
        <v>4604</v>
      </c>
      <c r="B1420" s="2" t="s">
        <v>4942</v>
      </c>
      <c r="C1420" s="3">
        <v>35736</v>
      </c>
      <c r="D1420" s="1" t="s">
        <v>4943</v>
      </c>
      <c r="E1420" s="1" t="s">
        <v>4944</v>
      </c>
      <c r="F1420" s="2" t="s">
        <v>4698</v>
      </c>
      <c r="G1420" s="2" t="s">
        <v>12</v>
      </c>
      <c r="H1420" s="2" t="s">
        <v>4945</v>
      </c>
      <c r="I1420" s="2" t="s">
        <v>4604</v>
      </c>
      <c r="J1420" s="2" t="s">
        <v>54</v>
      </c>
      <c r="K1420" s="2" t="s">
        <v>10</v>
      </c>
    </row>
    <row r="1421" spans="1:11" ht="55.2" hidden="1" x14ac:dyDescent="0.3">
      <c r="A1421" s="2" t="s">
        <v>4604</v>
      </c>
      <c r="B1421" s="2" t="s">
        <v>4946</v>
      </c>
      <c r="C1421" s="3">
        <v>27873</v>
      </c>
      <c r="D1421" s="1" t="s">
        <v>4664</v>
      </c>
      <c r="E1421" s="1" t="s">
        <v>4665</v>
      </c>
      <c r="F1421" s="2" t="s">
        <v>4698</v>
      </c>
      <c r="G1421" s="2" t="s">
        <v>124</v>
      </c>
      <c r="H1421" s="2" t="s">
        <v>4947</v>
      </c>
      <c r="I1421" s="2" t="s">
        <v>4604</v>
      </c>
      <c r="J1421" s="2" t="s">
        <v>3270</v>
      </c>
      <c r="K1421" s="2" t="s">
        <v>10</v>
      </c>
    </row>
    <row r="1422" spans="1:11" ht="55.2" hidden="1" x14ac:dyDescent="0.3">
      <c r="A1422" s="2" t="s">
        <v>4604</v>
      </c>
      <c r="B1422" s="2" t="s">
        <v>4946</v>
      </c>
      <c r="C1422" s="3">
        <v>27873</v>
      </c>
      <c r="D1422" s="1" t="s">
        <v>4664</v>
      </c>
      <c r="E1422" s="1" t="s">
        <v>4665</v>
      </c>
      <c r="F1422" s="2" t="s">
        <v>4698</v>
      </c>
      <c r="G1422" s="2" t="s">
        <v>196</v>
      </c>
      <c r="H1422" s="2" t="s">
        <v>4948</v>
      </c>
      <c r="I1422" s="2" t="s">
        <v>4604</v>
      </c>
      <c r="J1422" s="2" t="s">
        <v>367</v>
      </c>
      <c r="K1422" s="2" t="s">
        <v>10</v>
      </c>
    </row>
    <row r="1423" spans="1:11" ht="55.2" hidden="1" x14ac:dyDescent="0.3">
      <c r="A1423" s="2" t="s">
        <v>4604</v>
      </c>
      <c r="B1423" s="2" t="s">
        <v>4949</v>
      </c>
      <c r="C1423" s="3">
        <v>37624</v>
      </c>
      <c r="D1423" s="1" t="s">
        <v>4950</v>
      </c>
      <c r="E1423" s="1" t="s">
        <v>4951</v>
      </c>
      <c r="F1423" s="2" t="s">
        <v>4698</v>
      </c>
      <c r="G1423" s="2" t="s">
        <v>190</v>
      </c>
      <c r="H1423" s="2" t="s">
        <v>4952</v>
      </c>
      <c r="I1423" s="2" t="s">
        <v>4604</v>
      </c>
      <c r="J1423" s="2" t="s">
        <v>768</v>
      </c>
      <c r="K1423" s="2" t="s">
        <v>10</v>
      </c>
    </row>
    <row r="1424" spans="1:11" ht="55.2" hidden="1" x14ac:dyDescent="0.3">
      <c r="A1424" s="2" t="s">
        <v>4604</v>
      </c>
      <c r="B1424" s="2" t="s">
        <v>4953</v>
      </c>
      <c r="C1424" s="3">
        <v>26255</v>
      </c>
      <c r="D1424" s="1" t="s">
        <v>4954</v>
      </c>
      <c r="E1424" s="1" t="s">
        <v>4955</v>
      </c>
      <c r="F1424" s="2" t="s">
        <v>4698</v>
      </c>
      <c r="G1424" s="2" t="s">
        <v>4956</v>
      </c>
      <c r="H1424" s="2" t="s">
        <v>4948</v>
      </c>
      <c r="I1424" s="2" t="s">
        <v>4604</v>
      </c>
      <c r="J1424" s="2" t="s">
        <v>4957</v>
      </c>
      <c r="K1424" s="2" t="s">
        <v>10</v>
      </c>
    </row>
    <row r="1425" spans="1:11" ht="55.2" hidden="1" x14ac:dyDescent="0.3">
      <c r="A1425" s="2" t="s">
        <v>4604</v>
      </c>
      <c r="B1425" s="2" t="s">
        <v>4958</v>
      </c>
      <c r="C1425" s="3">
        <v>31535</v>
      </c>
      <c r="D1425" s="1" t="s">
        <v>4959</v>
      </c>
      <c r="E1425" s="1" t="s">
        <v>4960</v>
      </c>
      <c r="F1425" s="2" t="s">
        <v>4698</v>
      </c>
      <c r="G1425" s="2" t="s">
        <v>288</v>
      </c>
      <c r="H1425" s="2" t="s">
        <v>4961</v>
      </c>
      <c r="I1425" s="2" t="s">
        <v>4604</v>
      </c>
      <c r="J1425" s="2" t="s">
        <v>4962</v>
      </c>
      <c r="K1425" s="2" t="s">
        <v>10</v>
      </c>
    </row>
    <row r="1426" spans="1:11" ht="55.2" hidden="1" x14ac:dyDescent="0.3">
      <c r="A1426" s="2" t="s">
        <v>4604</v>
      </c>
      <c r="B1426" s="2" t="s">
        <v>4963</v>
      </c>
      <c r="C1426" s="3">
        <v>38792</v>
      </c>
      <c r="D1426" s="1" t="s">
        <v>4964</v>
      </c>
      <c r="E1426" s="1" t="s">
        <v>4965</v>
      </c>
      <c r="F1426" s="2" t="s">
        <v>4698</v>
      </c>
      <c r="G1426" s="2" t="s">
        <v>278</v>
      </c>
      <c r="H1426" s="2" t="s">
        <v>4966</v>
      </c>
      <c r="I1426" s="2" t="s">
        <v>4604</v>
      </c>
      <c r="J1426" s="2" t="s">
        <v>4967</v>
      </c>
      <c r="K1426" s="2" t="s">
        <v>10</v>
      </c>
    </row>
    <row r="1427" spans="1:11" ht="55.2" hidden="1" x14ac:dyDescent="0.3">
      <c r="A1427" s="2" t="s">
        <v>4604</v>
      </c>
      <c r="B1427" s="2" t="s">
        <v>4968</v>
      </c>
      <c r="C1427" s="3">
        <v>34745</v>
      </c>
      <c r="D1427" s="1" t="s">
        <v>4969</v>
      </c>
      <c r="E1427" s="1" t="s">
        <v>4970</v>
      </c>
      <c r="F1427" s="2" t="s">
        <v>4698</v>
      </c>
      <c r="G1427" s="2" t="s">
        <v>1763</v>
      </c>
      <c r="H1427" s="2" t="s">
        <v>4971</v>
      </c>
      <c r="I1427" s="2" t="s">
        <v>4604</v>
      </c>
      <c r="J1427" s="2" t="s">
        <v>4972</v>
      </c>
      <c r="K1427" s="2" t="s">
        <v>10</v>
      </c>
    </row>
    <row r="1428" spans="1:11" ht="55.2" hidden="1" x14ac:dyDescent="0.3">
      <c r="A1428" s="2" t="s">
        <v>4604</v>
      </c>
      <c r="B1428" s="2" t="s">
        <v>4973</v>
      </c>
      <c r="C1428" s="3">
        <v>32731</v>
      </c>
      <c r="D1428" s="1" t="s">
        <v>4974</v>
      </c>
      <c r="E1428" s="1" t="s">
        <v>4975</v>
      </c>
      <c r="F1428" s="2" t="s">
        <v>4698</v>
      </c>
      <c r="G1428" s="2" t="s">
        <v>350</v>
      </c>
      <c r="H1428" s="2" t="s">
        <v>4976</v>
      </c>
      <c r="I1428" s="2" t="s">
        <v>4604</v>
      </c>
      <c r="J1428" s="2" t="s">
        <v>351</v>
      </c>
      <c r="K1428" s="2" t="s">
        <v>10</v>
      </c>
    </row>
    <row r="1429" spans="1:11" ht="55.2" hidden="1" x14ac:dyDescent="0.3">
      <c r="A1429" s="2" t="s">
        <v>4604</v>
      </c>
      <c r="B1429" s="2" t="s">
        <v>4977</v>
      </c>
      <c r="C1429" s="3">
        <v>34894</v>
      </c>
      <c r="D1429" s="1" t="s">
        <v>4978</v>
      </c>
      <c r="E1429" s="1" t="s">
        <v>4979</v>
      </c>
      <c r="F1429" s="2" t="s">
        <v>4698</v>
      </c>
      <c r="G1429" s="2" t="s">
        <v>552</v>
      </c>
      <c r="H1429" s="2" t="s">
        <v>4980</v>
      </c>
      <c r="I1429" s="2" t="s">
        <v>4604</v>
      </c>
      <c r="J1429" s="2" t="s">
        <v>4981</v>
      </c>
      <c r="K1429" s="2" t="s">
        <v>10</v>
      </c>
    </row>
    <row r="1430" spans="1:11" ht="55.2" hidden="1" x14ac:dyDescent="0.3">
      <c r="A1430" s="2" t="s">
        <v>4604</v>
      </c>
      <c r="B1430" s="2" t="s">
        <v>4982</v>
      </c>
      <c r="C1430" s="3">
        <v>33026</v>
      </c>
      <c r="D1430" s="1" t="s">
        <v>4983</v>
      </c>
      <c r="E1430" s="1" t="s">
        <v>4984</v>
      </c>
      <c r="F1430" s="2" t="s">
        <v>4698</v>
      </c>
      <c r="G1430" s="2" t="s">
        <v>3940</v>
      </c>
      <c r="H1430" s="2" t="s">
        <v>4966</v>
      </c>
      <c r="I1430" s="2" t="s">
        <v>4604</v>
      </c>
      <c r="J1430" s="2" t="s">
        <v>4985</v>
      </c>
      <c r="K1430" s="2" t="s">
        <v>10</v>
      </c>
    </row>
    <row r="1431" spans="1:11" ht="55.2" hidden="1" x14ac:dyDescent="0.3">
      <c r="A1431" s="2" t="s">
        <v>4604</v>
      </c>
      <c r="B1431" s="2" t="s">
        <v>4986</v>
      </c>
      <c r="C1431" s="3">
        <v>34058</v>
      </c>
      <c r="D1431" s="1" t="s">
        <v>4987</v>
      </c>
      <c r="E1431" s="1" t="s">
        <v>4988</v>
      </c>
      <c r="F1431" s="2" t="s">
        <v>4698</v>
      </c>
      <c r="G1431" s="2" t="s">
        <v>669</v>
      </c>
      <c r="H1431" s="2" t="s">
        <v>4989</v>
      </c>
      <c r="I1431" s="2" t="s">
        <v>4604</v>
      </c>
      <c r="J1431" s="2" t="s">
        <v>1888</v>
      </c>
      <c r="K1431" s="2" t="s">
        <v>10</v>
      </c>
    </row>
    <row r="1432" spans="1:11" ht="55.2" hidden="1" x14ac:dyDescent="0.3">
      <c r="A1432" s="2" t="s">
        <v>4604</v>
      </c>
      <c r="B1432" s="2" t="s">
        <v>4990</v>
      </c>
      <c r="C1432" s="3">
        <v>34326</v>
      </c>
      <c r="D1432" s="1" t="s">
        <v>4991</v>
      </c>
      <c r="E1432" s="1" t="s">
        <v>4992</v>
      </c>
      <c r="F1432" s="2" t="s">
        <v>4698</v>
      </c>
      <c r="G1432" s="2" t="s">
        <v>2743</v>
      </c>
      <c r="H1432" s="2" t="s">
        <v>4993</v>
      </c>
      <c r="I1432" s="2" t="s">
        <v>4604</v>
      </c>
      <c r="J1432" s="2" t="s">
        <v>4994</v>
      </c>
      <c r="K1432" s="2" t="s">
        <v>10</v>
      </c>
    </row>
    <row r="1433" spans="1:11" ht="55.2" hidden="1" x14ac:dyDescent="0.3">
      <c r="A1433" s="2" t="s">
        <v>4604</v>
      </c>
      <c r="B1433" s="2" t="s">
        <v>4995</v>
      </c>
      <c r="C1433" s="3">
        <v>34667</v>
      </c>
      <c r="D1433" s="1" t="s">
        <v>4996</v>
      </c>
      <c r="E1433" s="1" t="s">
        <v>4997</v>
      </c>
      <c r="F1433" s="2" t="s">
        <v>4698</v>
      </c>
      <c r="G1433" s="2" t="s">
        <v>2566</v>
      </c>
      <c r="H1433" s="2" t="s">
        <v>4998</v>
      </c>
      <c r="I1433" s="2" t="s">
        <v>4604</v>
      </c>
      <c r="J1433" s="2" t="s">
        <v>4999</v>
      </c>
      <c r="K1433" s="2" t="s">
        <v>10</v>
      </c>
    </row>
    <row r="1434" spans="1:11" ht="55.2" hidden="1" x14ac:dyDescent="0.3">
      <c r="A1434" s="2" t="s">
        <v>4604</v>
      </c>
      <c r="B1434" s="2" t="s">
        <v>5000</v>
      </c>
      <c r="C1434" s="3">
        <v>37470</v>
      </c>
      <c r="D1434" s="1" t="s">
        <v>5001</v>
      </c>
      <c r="E1434" s="1" t="s">
        <v>5002</v>
      </c>
      <c r="F1434" s="2" t="s">
        <v>4698</v>
      </c>
      <c r="G1434" s="2" t="s">
        <v>3931</v>
      </c>
      <c r="H1434" s="2" t="s">
        <v>5003</v>
      </c>
      <c r="I1434" s="2" t="s">
        <v>4604</v>
      </c>
      <c r="J1434" s="2" t="s">
        <v>5004</v>
      </c>
      <c r="K1434" s="2" t="s">
        <v>10</v>
      </c>
    </row>
    <row r="1435" spans="1:11" ht="55.2" hidden="1" x14ac:dyDescent="0.3">
      <c r="A1435" s="2" t="s">
        <v>4604</v>
      </c>
      <c r="B1435" s="2" t="s">
        <v>5005</v>
      </c>
      <c r="C1435" s="3">
        <v>34463</v>
      </c>
      <c r="D1435" s="1" t="s">
        <v>5006</v>
      </c>
      <c r="E1435" s="1" t="s">
        <v>5007</v>
      </c>
      <c r="F1435" s="2" t="s">
        <v>4698</v>
      </c>
      <c r="G1435" s="2" t="s">
        <v>1069</v>
      </c>
      <c r="H1435" s="2" t="s">
        <v>5008</v>
      </c>
      <c r="I1435" s="2" t="s">
        <v>4604</v>
      </c>
      <c r="J1435" s="2" t="s">
        <v>5009</v>
      </c>
      <c r="K1435" s="2" t="s">
        <v>10</v>
      </c>
    </row>
    <row r="1436" spans="1:11" ht="55.2" hidden="1" x14ac:dyDescent="0.3">
      <c r="A1436" s="2" t="s">
        <v>4604</v>
      </c>
      <c r="B1436" s="2" t="s">
        <v>5010</v>
      </c>
      <c r="C1436" s="3">
        <v>35712</v>
      </c>
      <c r="D1436" s="1" t="s">
        <v>5011</v>
      </c>
      <c r="E1436" s="1" t="s">
        <v>5012</v>
      </c>
      <c r="F1436" s="2" t="s">
        <v>4608</v>
      </c>
      <c r="G1436" s="2" t="s">
        <v>366</v>
      </c>
      <c r="H1436" s="2" t="s">
        <v>5013</v>
      </c>
      <c r="I1436" s="2" t="s">
        <v>4604</v>
      </c>
      <c r="J1436" s="2" t="s">
        <v>701</v>
      </c>
      <c r="K1436" s="2" t="s">
        <v>10</v>
      </c>
    </row>
    <row r="1437" spans="1:11" ht="55.2" hidden="1" x14ac:dyDescent="0.3">
      <c r="A1437" s="2" t="s">
        <v>4604</v>
      </c>
      <c r="B1437" s="2" t="s">
        <v>5014</v>
      </c>
      <c r="C1437" s="3">
        <v>26737</v>
      </c>
      <c r="D1437" s="1" t="s">
        <v>5015</v>
      </c>
      <c r="E1437" s="1" t="s">
        <v>5016</v>
      </c>
      <c r="F1437" s="2" t="s">
        <v>4608</v>
      </c>
      <c r="G1437" s="2" t="s">
        <v>25</v>
      </c>
      <c r="H1437" s="2" t="s">
        <v>5017</v>
      </c>
      <c r="I1437" s="2" t="s">
        <v>4604</v>
      </c>
      <c r="J1437" s="2" t="s">
        <v>117</v>
      </c>
      <c r="K1437" s="2" t="s">
        <v>10</v>
      </c>
    </row>
    <row r="1438" spans="1:11" ht="55.2" hidden="1" x14ac:dyDescent="0.3">
      <c r="A1438" s="2" t="s">
        <v>4604</v>
      </c>
      <c r="B1438" s="2" t="s">
        <v>5018</v>
      </c>
      <c r="C1438" s="3">
        <v>23286</v>
      </c>
      <c r="D1438" s="1" t="s">
        <v>5019</v>
      </c>
      <c r="E1438" s="1" t="s">
        <v>5020</v>
      </c>
      <c r="F1438" s="2" t="s">
        <v>4698</v>
      </c>
      <c r="G1438" s="2" t="s">
        <v>385</v>
      </c>
      <c r="H1438" s="2" t="s">
        <v>5021</v>
      </c>
      <c r="I1438" s="2" t="s">
        <v>4604</v>
      </c>
      <c r="J1438" s="2" t="s">
        <v>5022</v>
      </c>
      <c r="K1438" s="2" t="s">
        <v>10</v>
      </c>
    </row>
    <row r="1439" spans="1:11" ht="55.2" hidden="1" x14ac:dyDescent="0.3">
      <c r="A1439" s="2" t="s">
        <v>4604</v>
      </c>
      <c r="B1439" s="2" t="s">
        <v>5023</v>
      </c>
      <c r="C1439" s="3">
        <v>34796</v>
      </c>
      <c r="D1439" s="1" t="s">
        <v>5024</v>
      </c>
      <c r="E1439" s="1" t="s">
        <v>5025</v>
      </c>
      <c r="F1439" s="2" t="s">
        <v>4608</v>
      </c>
      <c r="G1439" s="2" t="s">
        <v>222</v>
      </c>
      <c r="H1439" s="2" t="s">
        <v>103</v>
      </c>
      <c r="I1439" s="2" t="s">
        <v>4604</v>
      </c>
      <c r="J1439" s="2" t="s">
        <v>5026</v>
      </c>
      <c r="K1439" s="2" t="s">
        <v>10</v>
      </c>
    </row>
    <row r="1440" spans="1:11" ht="55.2" hidden="1" x14ac:dyDescent="0.3">
      <c r="A1440" s="2" t="s">
        <v>4604</v>
      </c>
      <c r="B1440" s="2" t="s">
        <v>5027</v>
      </c>
      <c r="C1440" s="3">
        <v>27067</v>
      </c>
      <c r="D1440" s="1" t="s">
        <v>5028</v>
      </c>
      <c r="E1440" s="1" t="s">
        <v>5029</v>
      </c>
      <c r="F1440" s="2" t="s">
        <v>4608</v>
      </c>
      <c r="G1440" s="2" t="s">
        <v>222</v>
      </c>
      <c r="H1440" s="2" t="s">
        <v>81</v>
      </c>
      <c r="I1440" s="2" t="s">
        <v>4604</v>
      </c>
      <c r="J1440" s="2" t="s">
        <v>5030</v>
      </c>
      <c r="K1440" s="2" t="s">
        <v>10</v>
      </c>
    </row>
    <row r="1441" spans="1:11" ht="55.2" hidden="1" x14ac:dyDescent="0.3">
      <c r="A1441" s="2" t="s">
        <v>4604</v>
      </c>
      <c r="B1441" s="2" t="s">
        <v>5031</v>
      </c>
      <c r="C1441" s="3">
        <v>23384</v>
      </c>
      <c r="D1441" s="1" t="s">
        <v>5032</v>
      </c>
      <c r="E1441" s="1" t="s">
        <v>5033</v>
      </c>
      <c r="F1441" s="2" t="s">
        <v>4608</v>
      </c>
      <c r="G1441" s="2" t="s">
        <v>222</v>
      </c>
      <c r="H1441" s="2" t="s">
        <v>562</v>
      </c>
      <c r="I1441" s="2" t="s">
        <v>4604</v>
      </c>
      <c r="J1441" s="2" t="s">
        <v>5030</v>
      </c>
      <c r="K1441" s="2" t="s">
        <v>10</v>
      </c>
    </row>
    <row r="1442" spans="1:11" ht="55.2" hidden="1" x14ac:dyDescent="0.3">
      <c r="A1442" s="2" t="s">
        <v>4604</v>
      </c>
      <c r="B1442" s="2" t="s">
        <v>5035</v>
      </c>
      <c r="C1442" s="3">
        <v>32197</v>
      </c>
      <c r="D1442" s="1" t="s">
        <v>5036</v>
      </c>
      <c r="E1442" s="1" t="s">
        <v>5037</v>
      </c>
      <c r="F1442" s="2" t="s">
        <v>4608</v>
      </c>
      <c r="G1442" s="2" t="s">
        <v>222</v>
      </c>
      <c r="H1442" s="2" t="s">
        <v>5038</v>
      </c>
      <c r="I1442" s="2" t="s">
        <v>4604</v>
      </c>
      <c r="J1442" s="2" t="s">
        <v>5030</v>
      </c>
      <c r="K1442" s="2" t="s">
        <v>10</v>
      </c>
    </row>
    <row r="1443" spans="1:11" ht="55.2" hidden="1" x14ac:dyDescent="0.3">
      <c r="A1443" s="2" t="s">
        <v>4604</v>
      </c>
      <c r="B1443" s="2" t="s">
        <v>5039</v>
      </c>
      <c r="C1443" s="3">
        <v>34296</v>
      </c>
      <c r="D1443" s="1" t="s">
        <v>5040</v>
      </c>
      <c r="E1443" s="1" t="s">
        <v>5041</v>
      </c>
      <c r="F1443" s="2" t="s">
        <v>4698</v>
      </c>
      <c r="G1443" s="2" t="s">
        <v>75</v>
      </c>
      <c r="H1443" s="2" t="s">
        <v>10</v>
      </c>
      <c r="I1443" s="2" t="s">
        <v>4604</v>
      </c>
      <c r="J1443" s="2" t="s">
        <v>5042</v>
      </c>
      <c r="K1443" s="2" t="s">
        <v>10</v>
      </c>
    </row>
    <row r="1444" spans="1:11" ht="55.2" hidden="1" x14ac:dyDescent="0.3">
      <c r="A1444" s="2" t="s">
        <v>4604</v>
      </c>
      <c r="B1444" s="2" t="s">
        <v>5043</v>
      </c>
      <c r="C1444" s="3">
        <v>23427</v>
      </c>
      <c r="D1444" s="1" t="s">
        <v>5044</v>
      </c>
      <c r="E1444" s="1" t="s">
        <v>5045</v>
      </c>
      <c r="F1444" s="2" t="s">
        <v>4698</v>
      </c>
      <c r="G1444" s="2" t="s">
        <v>92</v>
      </c>
      <c r="H1444" s="2" t="s">
        <v>10</v>
      </c>
      <c r="I1444" s="2" t="s">
        <v>4604</v>
      </c>
      <c r="J1444" s="2" t="s">
        <v>93</v>
      </c>
      <c r="K1444" s="2" t="s">
        <v>10</v>
      </c>
    </row>
    <row r="1445" spans="1:11" ht="27.6" hidden="1" x14ac:dyDescent="0.3">
      <c r="A1445" s="2" t="s">
        <v>4386</v>
      </c>
      <c r="B1445" s="2" t="s">
        <v>5046</v>
      </c>
      <c r="C1445" s="3">
        <v>27648</v>
      </c>
      <c r="D1445" s="1" t="s">
        <v>5047</v>
      </c>
      <c r="E1445" s="1" t="s">
        <v>5048</v>
      </c>
      <c r="F1445" s="2" t="s">
        <v>5049</v>
      </c>
      <c r="G1445" s="2" t="s">
        <v>350</v>
      </c>
      <c r="H1445" s="2" t="s">
        <v>81</v>
      </c>
      <c r="I1445" s="2" t="s">
        <v>4386</v>
      </c>
      <c r="J1445" s="2" t="s">
        <v>1224</v>
      </c>
      <c r="K1445" s="2" t="s">
        <v>10</v>
      </c>
    </row>
    <row r="1446" spans="1:11" ht="27.6" hidden="1" x14ac:dyDescent="0.3">
      <c r="A1446" s="2" t="s">
        <v>4386</v>
      </c>
      <c r="B1446" s="2" t="s">
        <v>5050</v>
      </c>
      <c r="C1446" s="3">
        <v>36683</v>
      </c>
      <c r="D1446" s="1" t="s">
        <v>5051</v>
      </c>
      <c r="E1446" s="1" t="s">
        <v>5052</v>
      </c>
      <c r="F1446" s="2" t="s">
        <v>5053</v>
      </c>
      <c r="G1446" s="2" t="s">
        <v>860</v>
      </c>
      <c r="H1446" s="2" t="s">
        <v>10</v>
      </c>
      <c r="I1446" s="2" t="s">
        <v>4386</v>
      </c>
      <c r="J1446" s="2" t="s">
        <v>5054</v>
      </c>
      <c r="K1446" s="2" t="s">
        <v>10</v>
      </c>
    </row>
    <row r="1447" spans="1:11" ht="27.6" hidden="1" x14ac:dyDescent="0.3">
      <c r="A1447" s="2" t="s">
        <v>60</v>
      </c>
      <c r="B1447" s="2" t="s">
        <v>5055</v>
      </c>
      <c r="C1447" s="3">
        <v>33316</v>
      </c>
      <c r="D1447" s="1" t="s">
        <v>5056</v>
      </c>
      <c r="E1447" s="1" t="s">
        <v>953</v>
      </c>
      <c r="F1447" s="2" t="s">
        <v>856</v>
      </c>
      <c r="G1447" s="2" t="s">
        <v>492</v>
      </c>
      <c r="H1447" s="2" t="s">
        <v>334</v>
      </c>
      <c r="I1447" s="2" t="s">
        <v>60</v>
      </c>
      <c r="J1447" s="2" t="s">
        <v>2010</v>
      </c>
      <c r="K1447" s="2" t="s">
        <v>10</v>
      </c>
    </row>
    <row r="1448" spans="1:11" ht="27.6" hidden="1" x14ac:dyDescent="0.3">
      <c r="A1448" s="2" t="s">
        <v>4386</v>
      </c>
      <c r="B1448" s="2" t="s">
        <v>5057</v>
      </c>
      <c r="C1448" s="3">
        <v>36784</v>
      </c>
      <c r="D1448" s="1" t="s">
        <v>5058</v>
      </c>
      <c r="E1448" s="1" t="s">
        <v>5059</v>
      </c>
      <c r="F1448" s="2" t="s">
        <v>5053</v>
      </c>
      <c r="G1448" s="2" t="s">
        <v>333</v>
      </c>
      <c r="H1448" s="2" t="s">
        <v>103</v>
      </c>
      <c r="I1448" s="2" t="s">
        <v>4386</v>
      </c>
      <c r="J1448" s="2" t="s">
        <v>4058</v>
      </c>
      <c r="K1448" s="2" t="s">
        <v>10</v>
      </c>
    </row>
    <row r="1449" spans="1:11" ht="27.6" hidden="1" x14ac:dyDescent="0.3">
      <c r="A1449" s="2" t="s">
        <v>4386</v>
      </c>
      <c r="B1449" s="2" t="s">
        <v>5060</v>
      </c>
      <c r="C1449" s="3">
        <v>33028</v>
      </c>
      <c r="D1449" s="1" t="s">
        <v>5061</v>
      </c>
      <c r="E1449" s="1" t="s">
        <v>5062</v>
      </c>
      <c r="F1449" s="2" t="s">
        <v>5053</v>
      </c>
      <c r="G1449" s="2" t="s">
        <v>350</v>
      </c>
      <c r="H1449" s="2" t="s">
        <v>10</v>
      </c>
      <c r="I1449" s="2" t="s">
        <v>4386</v>
      </c>
      <c r="J1449" s="2" t="s">
        <v>5063</v>
      </c>
      <c r="K1449" s="2" t="s">
        <v>10</v>
      </c>
    </row>
    <row r="1450" spans="1:11" ht="27.6" hidden="1" x14ac:dyDescent="0.3">
      <c r="A1450" s="2" t="s">
        <v>4386</v>
      </c>
      <c r="B1450" s="2" t="s">
        <v>5064</v>
      </c>
      <c r="C1450" s="3">
        <v>37342</v>
      </c>
      <c r="D1450" s="1" t="s">
        <v>5065</v>
      </c>
      <c r="E1450" s="1" t="s">
        <v>5066</v>
      </c>
      <c r="F1450" s="2" t="s">
        <v>5049</v>
      </c>
      <c r="G1450" s="2" t="s">
        <v>1222</v>
      </c>
      <c r="H1450" s="2" t="s">
        <v>562</v>
      </c>
      <c r="I1450" s="2" t="s">
        <v>4386</v>
      </c>
      <c r="J1450" s="2" t="s">
        <v>5067</v>
      </c>
      <c r="K1450" s="2" t="s">
        <v>10</v>
      </c>
    </row>
    <row r="1451" spans="1:11" ht="27.6" hidden="1" x14ac:dyDescent="0.3">
      <c r="A1451" s="2" t="s">
        <v>4386</v>
      </c>
      <c r="B1451" s="2" t="s">
        <v>5068</v>
      </c>
      <c r="C1451" s="3">
        <v>33000</v>
      </c>
      <c r="D1451" s="1" t="s">
        <v>5069</v>
      </c>
      <c r="E1451" s="1" t="s">
        <v>5070</v>
      </c>
      <c r="F1451" s="2" t="s">
        <v>5053</v>
      </c>
      <c r="G1451" s="2" t="s">
        <v>1294</v>
      </c>
      <c r="H1451" s="2" t="s">
        <v>103</v>
      </c>
      <c r="I1451" s="2" t="s">
        <v>4386</v>
      </c>
      <c r="J1451" s="2" t="s">
        <v>1296</v>
      </c>
      <c r="K1451" s="2" t="s">
        <v>10</v>
      </c>
    </row>
    <row r="1452" spans="1:11" ht="55.2" hidden="1" x14ac:dyDescent="0.3">
      <c r="A1452" s="2" t="s">
        <v>4604</v>
      </c>
      <c r="B1452" s="2" t="s">
        <v>5071</v>
      </c>
      <c r="C1452" s="3">
        <v>29386</v>
      </c>
      <c r="D1452" s="1" t="s">
        <v>5072</v>
      </c>
      <c r="E1452" s="1" t="s">
        <v>5073</v>
      </c>
      <c r="F1452" s="2" t="s">
        <v>4698</v>
      </c>
      <c r="G1452" s="2" t="s">
        <v>152</v>
      </c>
      <c r="H1452" s="2" t="s">
        <v>5074</v>
      </c>
      <c r="I1452" s="2" t="s">
        <v>4604</v>
      </c>
      <c r="J1452" s="2" t="s">
        <v>5075</v>
      </c>
      <c r="K1452" s="2" t="s">
        <v>10</v>
      </c>
    </row>
    <row r="1453" spans="1:11" ht="27.6" hidden="1" x14ac:dyDescent="0.3">
      <c r="A1453" s="2" t="s">
        <v>4386</v>
      </c>
      <c r="B1453" s="2" t="s">
        <v>5076</v>
      </c>
      <c r="C1453" s="3">
        <v>29897</v>
      </c>
      <c r="D1453" s="1" t="s">
        <v>5077</v>
      </c>
      <c r="E1453" s="1" t="s">
        <v>5078</v>
      </c>
      <c r="F1453" s="2" t="s">
        <v>5053</v>
      </c>
      <c r="G1453" s="2" t="s">
        <v>1294</v>
      </c>
      <c r="H1453" s="2" t="s">
        <v>562</v>
      </c>
      <c r="I1453" s="2" t="s">
        <v>4386</v>
      </c>
      <c r="J1453" s="2" t="s">
        <v>1296</v>
      </c>
      <c r="K1453" s="2" t="s">
        <v>10</v>
      </c>
    </row>
    <row r="1454" spans="1:11" ht="27.6" hidden="1" x14ac:dyDescent="0.3">
      <c r="A1454" s="2" t="s">
        <v>4386</v>
      </c>
      <c r="B1454" s="2" t="s">
        <v>5079</v>
      </c>
      <c r="C1454" s="3">
        <v>27992</v>
      </c>
      <c r="D1454" s="1" t="s">
        <v>5080</v>
      </c>
      <c r="E1454" s="1" t="s">
        <v>5081</v>
      </c>
      <c r="F1454" s="2" t="s">
        <v>5053</v>
      </c>
      <c r="G1454" s="2" t="s">
        <v>552</v>
      </c>
      <c r="H1454" s="2" t="s">
        <v>10</v>
      </c>
      <c r="I1454" s="2" t="s">
        <v>4386</v>
      </c>
      <c r="J1454" s="2" t="s">
        <v>5082</v>
      </c>
      <c r="K1454" s="2" t="s">
        <v>10</v>
      </c>
    </row>
    <row r="1455" spans="1:11" ht="27.6" hidden="1" x14ac:dyDescent="0.3">
      <c r="A1455" s="2" t="s">
        <v>4386</v>
      </c>
      <c r="B1455" s="2" t="s">
        <v>5083</v>
      </c>
      <c r="C1455" s="3">
        <v>20791</v>
      </c>
      <c r="D1455" s="1" t="s">
        <v>4443</v>
      </c>
      <c r="E1455" s="1" t="s">
        <v>4444</v>
      </c>
      <c r="F1455" s="2" t="s">
        <v>5053</v>
      </c>
      <c r="G1455" s="2" t="s">
        <v>1294</v>
      </c>
      <c r="H1455" s="2" t="s">
        <v>81</v>
      </c>
      <c r="I1455" s="2" t="s">
        <v>4386</v>
      </c>
      <c r="J1455" s="2" t="s">
        <v>1296</v>
      </c>
      <c r="K1455" s="2" t="s">
        <v>10</v>
      </c>
    </row>
    <row r="1456" spans="1:11" ht="27.6" hidden="1" x14ac:dyDescent="0.3">
      <c r="A1456" s="2" t="s">
        <v>4386</v>
      </c>
      <c r="B1456" s="2" t="s">
        <v>5084</v>
      </c>
      <c r="C1456" s="3">
        <v>29018</v>
      </c>
      <c r="D1456" s="1" t="s">
        <v>5085</v>
      </c>
      <c r="E1456" s="1" t="s">
        <v>5086</v>
      </c>
      <c r="F1456" s="2" t="s">
        <v>5053</v>
      </c>
      <c r="G1456" s="2" t="s">
        <v>2743</v>
      </c>
      <c r="H1456" s="2" t="s">
        <v>10</v>
      </c>
      <c r="I1456" s="2" t="s">
        <v>4386</v>
      </c>
      <c r="J1456" s="2" t="s">
        <v>5087</v>
      </c>
      <c r="K1456" s="2" t="s">
        <v>10</v>
      </c>
    </row>
    <row r="1457" spans="1:11" ht="27.6" hidden="1" x14ac:dyDescent="0.3">
      <c r="A1457" s="2" t="s">
        <v>4386</v>
      </c>
      <c r="B1457" s="2" t="s">
        <v>5088</v>
      </c>
      <c r="C1457" s="3">
        <v>39288</v>
      </c>
      <c r="D1457" s="1" t="s">
        <v>5089</v>
      </c>
      <c r="E1457" s="1" t="s">
        <v>5090</v>
      </c>
      <c r="F1457" s="2" t="s">
        <v>5091</v>
      </c>
      <c r="G1457" s="2" t="s">
        <v>5092</v>
      </c>
      <c r="H1457" s="2" t="s">
        <v>10</v>
      </c>
      <c r="I1457" s="2" t="s">
        <v>4386</v>
      </c>
      <c r="J1457" s="2" t="s">
        <v>5093</v>
      </c>
      <c r="K1457" s="2" t="s">
        <v>10</v>
      </c>
    </row>
    <row r="1458" spans="1:11" ht="27.6" hidden="1" x14ac:dyDescent="0.3">
      <c r="A1458" s="2" t="s">
        <v>4386</v>
      </c>
      <c r="B1458" s="2" t="s">
        <v>5094</v>
      </c>
      <c r="C1458" s="3">
        <v>39095</v>
      </c>
      <c r="D1458" s="1" t="s">
        <v>5095</v>
      </c>
      <c r="E1458" s="1" t="s">
        <v>5096</v>
      </c>
      <c r="F1458" s="2" t="s">
        <v>5053</v>
      </c>
      <c r="G1458" s="2" t="s">
        <v>1294</v>
      </c>
      <c r="H1458" s="2" t="s">
        <v>822</v>
      </c>
      <c r="I1458" s="2" t="s">
        <v>4386</v>
      </c>
      <c r="J1458" s="2" t="s">
        <v>1296</v>
      </c>
      <c r="K1458" s="2" t="s">
        <v>10</v>
      </c>
    </row>
    <row r="1459" spans="1:11" ht="27.6" hidden="1" x14ac:dyDescent="0.3">
      <c r="A1459" s="2" t="s">
        <v>4386</v>
      </c>
      <c r="B1459" s="2" t="s">
        <v>5097</v>
      </c>
      <c r="C1459" s="3">
        <v>32016</v>
      </c>
      <c r="D1459" s="1" t="s">
        <v>528</v>
      </c>
      <c r="E1459" s="1" t="s">
        <v>529</v>
      </c>
      <c r="F1459" s="2" t="s">
        <v>5053</v>
      </c>
      <c r="G1459" s="2" t="s">
        <v>1069</v>
      </c>
      <c r="H1459" s="2" t="s">
        <v>10</v>
      </c>
      <c r="I1459" s="2" t="s">
        <v>4386</v>
      </c>
      <c r="J1459" s="2" t="s">
        <v>2263</v>
      </c>
      <c r="K1459" s="2" t="s">
        <v>10</v>
      </c>
    </row>
    <row r="1460" spans="1:11" ht="27.6" hidden="1" x14ac:dyDescent="0.3">
      <c r="A1460" s="2" t="s">
        <v>4386</v>
      </c>
      <c r="B1460" s="2" t="s">
        <v>5098</v>
      </c>
      <c r="C1460" s="3">
        <v>37501</v>
      </c>
      <c r="D1460" s="1" t="s">
        <v>5099</v>
      </c>
      <c r="E1460" s="1" t="s">
        <v>5100</v>
      </c>
      <c r="F1460" s="2" t="s">
        <v>5091</v>
      </c>
      <c r="G1460" s="2" t="s">
        <v>5101</v>
      </c>
      <c r="H1460" s="2" t="s">
        <v>10</v>
      </c>
      <c r="I1460" s="2" t="s">
        <v>4386</v>
      </c>
      <c r="J1460" s="2" t="s">
        <v>5102</v>
      </c>
      <c r="K1460" s="2" t="s">
        <v>10</v>
      </c>
    </row>
    <row r="1461" spans="1:11" ht="27.6" hidden="1" x14ac:dyDescent="0.3">
      <c r="A1461" s="2" t="s">
        <v>4386</v>
      </c>
      <c r="B1461" s="2" t="s">
        <v>5103</v>
      </c>
      <c r="C1461" s="3">
        <v>26706</v>
      </c>
      <c r="D1461" s="1" t="s">
        <v>5104</v>
      </c>
      <c r="E1461" s="1" t="s">
        <v>5105</v>
      </c>
      <c r="F1461" s="2" t="s">
        <v>5053</v>
      </c>
      <c r="G1461" s="2" t="s">
        <v>712</v>
      </c>
      <c r="H1461" s="2" t="s">
        <v>10</v>
      </c>
      <c r="I1461" s="2" t="s">
        <v>4386</v>
      </c>
      <c r="J1461" s="2" t="s">
        <v>5106</v>
      </c>
      <c r="K1461" s="2" t="s">
        <v>10</v>
      </c>
    </row>
    <row r="1462" spans="1:11" ht="55.2" hidden="1" x14ac:dyDescent="0.3">
      <c r="A1462" s="2" t="s">
        <v>4604</v>
      </c>
      <c r="B1462" s="2" t="s">
        <v>5107</v>
      </c>
      <c r="C1462" s="3">
        <v>33763</v>
      </c>
      <c r="D1462" s="1" t="s">
        <v>5108</v>
      </c>
      <c r="E1462" s="1" t="s">
        <v>5109</v>
      </c>
      <c r="F1462" s="2" t="s">
        <v>4698</v>
      </c>
      <c r="G1462" s="2" t="s">
        <v>309</v>
      </c>
      <c r="H1462" s="2" t="s">
        <v>10</v>
      </c>
      <c r="I1462" s="2" t="s">
        <v>4604</v>
      </c>
      <c r="J1462" s="2" t="s">
        <v>5110</v>
      </c>
      <c r="K1462" s="2" t="s">
        <v>10</v>
      </c>
    </row>
    <row r="1463" spans="1:11" ht="55.2" hidden="1" x14ac:dyDescent="0.3">
      <c r="A1463" s="2" t="s">
        <v>4604</v>
      </c>
      <c r="B1463" s="2" t="s">
        <v>5111</v>
      </c>
      <c r="C1463" s="3">
        <v>33650</v>
      </c>
      <c r="D1463" s="1" t="s">
        <v>442</v>
      </c>
      <c r="E1463" s="1" t="s">
        <v>5112</v>
      </c>
      <c r="F1463" s="2" t="s">
        <v>4698</v>
      </c>
      <c r="G1463" s="2" t="s">
        <v>397</v>
      </c>
      <c r="H1463" s="2" t="s">
        <v>10</v>
      </c>
      <c r="I1463" s="2" t="s">
        <v>4604</v>
      </c>
      <c r="J1463" s="2" t="s">
        <v>5113</v>
      </c>
      <c r="K1463" s="2" t="s">
        <v>10</v>
      </c>
    </row>
    <row r="1464" spans="1:11" ht="55.2" hidden="1" x14ac:dyDescent="0.3">
      <c r="A1464" s="2" t="s">
        <v>4604</v>
      </c>
      <c r="B1464" s="2" t="s">
        <v>5114</v>
      </c>
      <c r="C1464" s="3">
        <v>36051</v>
      </c>
      <c r="D1464" s="1" t="s">
        <v>5115</v>
      </c>
      <c r="E1464" s="1" t="s">
        <v>5116</v>
      </c>
      <c r="F1464" s="2" t="s">
        <v>4698</v>
      </c>
      <c r="G1464" s="2" t="s">
        <v>2594</v>
      </c>
      <c r="H1464" s="2" t="s">
        <v>10</v>
      </c>
      <c r="I1464" s="2" t="s">
        <v>4604</v>
      </c>
      <c r="J1464" s="2" t="s">
        <v>5117</v>
      </c>
      <c r="K1464" s="2" t="s">
        <v>10</v>
      </c>
    </row>
    <row r="1465" spans="1:11" ht="27.6" hidden="1" x14ac:dyDescent="0.3">
      <c r="A1465" s="2" t="s">
        <v>4386</v>
      </c>
      <c r="B1465" s="2" t="s">
        <v>5118</v>
      </c>
      <c r="C1465" s="3">
        <v>31710.041666666668</v>
      </c>
      <c r="D1465" s="1" t="s">
        <v>5119</v>
      </c>
      <c r="E1465" s="1" t="s">
        <v>5120</v>
      </c>
      <c r="F1465" s="2" t="s">
        <v>5053</v>
      </c>
      <c r="G1465" s="2" t="s">
        <v>3935</v>
      </c>
      <c r="H1465" s="2" t="s">
        <v>10</v>
      </c>
      <c r="I1465" s="2" t="s">
        <v>4386</v>
      </c>
      <c r="J1465" s="2" t="s">
        <v>5121</v>
      </c>
      <c r="K1465" s="2" t="s">
        <v>10</v>
      </c>
    </row>
    <row r="1466" spans="1:11" ht="27.6" hidden="1" x14ac:dyDescent="0.3">
      <c r="A1466" s="2" t="s">
        <v>4386</v>
      </c>
      <c r="B1466" s="2" t="s">
        <v>5122</v>
      </c>
      <c r="C1466" s="3">
        <v>24026</v>
      </c>
      <c r="D1466" s="1" t="s">
        <v>5123</v>
      </c>
      <c r="E1466" s="1" t="s">
        <v>5124</v>
      </c>
      <c r="F1466" s="2" t="s">
        <v>5053</v>
      </c>
      <c r="G1466" s="2" t="s">
        <v>1758</v>
      </c>
      <c r="H1466" s="2" t="s">
        <v>103</v>
      </c>
      <c r="I1466" s="2" t="s">
        <v>4386</v>
      </c>
      <c r="J1466" s="2" t="s">
        <v>1759</v>
      </c>
      <c r="K1466" s="2" t="s">
        <v>10</v>
      </c>
    </row>
    <row r="1467" spans="1:11" ht="27.6" hidden="1" x14ac:dyDescent="0.3">
      <c r="A1467" s="2" t="s">
        <v>4386</v>
      </c>
      <c r="B1467" s="2" t="s">
        <v>5125</v>
      </c>
      <c r="C1467" s="3">
        <v>34810</v>
      </c>
      <c r="D1467" s="1" t="s">
        <v>5126</v>
      </c>
      <c r="E1467" s="1" t="s">
        <v>5127</v>
      </c>
      <c r="F1467" s="2" t="s">
        <v>5091</v>
      </c>
      <c r="G1467" s="2" t="s">
        <v>5128</v>
      </c>
      <c r="H1467" s="2" t="s">
        <v>10</v>
      </c>
      <c r="I1467" s="2" t="s">
        <v>4386</v>
      </c>
      <c r="J1467" s="2" t="s">
        <v>5129</v>
      </c>
      <c r="K1467" s="2" t="s">
        <v>10</v>
      </c>
    </row>
    <row r="1468" spans="1:11" ht="27.6" hidden="1" x14ac:dyDescent="0.3">
      <c r="A1468" s="2" t="s">
        <v>4386</v>
      </c>
      <c r="B1468" s="2" t="s">
        <v>5130</v>
      </c>
      <c r="C1468" s="3">
        <v>39326</v>
      </c>
      <c r="D1468" s="1" t="s">
        <v>5131</v>
      </c>
      <c r="E1468" s="1" t="s">
        <v>5132</v>
      </c>
      <c r="F1468" s="2" t="s">
        <v>5053</v>
      </c>
      <c r="G1468" s="2" t="s">
        <v>1758</v>
      </c>
      <c r="H1468" s="2" t="s">
        <v>81</v>
      </c>
      <c r="I1468" s="2" t="s">
        <v>4386</v>
      </c>
      <c r="J1468" s="2" t="s">
        <v>1759</v>
      </c>
      <c r="K1468" s="2" t="s">
        <v>10</v>
      </c>
    </row>
    <row r="1469" spans="1:11" ht="55.2" hidden="1" x14ac:dyDescent="0.3">
      <c r="A1469" s="2" t="s">
        <v>4604</v>
      </c>
      <c r="B1469" s="2" t="s">
        <v>5133</v>
      </c>
      <c r="C1469" s="3">
        <v>27342</v>
      </c>
      <c r="D1469" s="1" t="s">
        <v>5134</v>
      </c>
      <c r="E1469" s="1" t="s">
        <v>5135</v>
      </c>
      <c r="F1469" s="2" t="s">
        <v>4704</v>
      </c>
      <c r="G1469" s="2" t="s">
        <v>669</v>
      </c>
      <c r="H1469" s="2" t="s">
        <v>10</v>
      </c>
      <c r="I1469" s="2" t="s">
        <v>4604</v>
      </c>
      <c r="J1469" s="2" t="s">
        <v>5136</v>
      </c>
      <c r="K1469" s="2" t="s">
        <v>10</v>
      </c>
    </row>
    <row r="1470" spans="1:11" ht="55.2" hidden="1" x14ac:dyDescent="0.3">
      <c r="A1470" s="2" t="s">
        <v>4604</v>
      </c>
      <c r="B1470" s="2" t="s">
        <v>5137</v>
      </c>
      <c r="C1470" s="3">
        <v>19673</v>
      </c>
      <c r="D1470" s="1" t="s">
        <v>5138</v>
      </c>
      <c r="E1470" s="1" t="s">
        <v>5139</v>
      </c>
      <c r="F1470" s="2" t="s">
        <v>4704</v>
      </c>
      <c r="G1470" s="2" t="s">
        <v>880</v>
      </c>
      <c r="H1470" s="2" t="s">
        <v>10</v>
      </c>
      <c r="I1470" s="2" t="s">
        <v>4604</v>
      </c>
      <c r="J1470" s="2" t="s">
        <v>4861</v>
      </c>
      <c r="K1470" s="2" t="s">
        <v>10</v>
      </c>
    </row>
    <row r="1471" spans="1:11" ht="27.6" hidden="1" x14ac:dyDescent="0.3">
      <c r="A1471" s="2" t="s">
        <v>4386</v>
      </c>
      <c r="B1471" s="2" t="s">
        <v>5140</v>
      </c>
      <c r="C1471" s="3">
        <v>27600</v>
      </c>
      <c r="D1471" s="1" t="s">
        <v>5141</v>
      </c>
      <c r="E1471" s="1" t="s">
        <v>5142</v>
      </c>
      <c r="F1471" s="2" t="s">
        <v>5053</v>
      </c>
      <c r="G1471" s="2" t="s">
        <v>1758</v>
      </c>
      <c r="H1471" s="2" t="s">
        <v>5143</v>
      </c>
      <c r="I1471" s="2" t="s">
        <v>4386</v>
      </c>
      <c r="J1471" s="2" t="s">
        <v>1759</v>
      </c>
      <c r="K1471" s="2" t="s">
        <v>10</v>
      </c>
    </row>
    <row r="1472" spans="1:11" ht="27.6" hidden="1" x14ac:dyDescent="0.3">
      <c r="A1472" s="2" t="s">
        <v>4386</v>
      </c>
      <c r="B1472" s="2" t="s">
        <v>5144</v>
      </c>
      <c r="C1472" s="3">
        <v>37746</v>
      </c>
      <c r="D1472" s="1" t="s">
        <v>5145</v>
      </c>
      <c r="E1472" s="1" t="s">
        <v>5146</v>
      </c>
      <c r="F1472" s="2" t="s">
        <v>5053</v>
      </c>
      <c r="G1472" s="2" t="s">
        <v>1135</v>
      </c>
      <c r="H1472" s="2" t="s">
        <v>10</v>
      </c>
      <c r="I1472" s="2" t="s">
        <v>4386</v>
      </c>
      <c r="J1472" s="2" t="s">
        <v>5147</v>
      </c>
      <c r="K1472" s="2" t="s">
        <v>10</v>
      </c>
    </row>
    <row r="1473" spans="1:11" ht="27.6" hidden="1" x14ac:dyDescent="0.3">
      <c r="A1473" s="2" t="s">
        <v>4386</v>
      </c>
      <c r="B1473" s="2" t="s">
        <v>5148</v>
      </c>
      <c r="C1473" s="3">
        <v>17661</v>
      </c>
      <c r="D1473" s="1" t="s">
        <v>5149</v>
      </c>
      <c r="E1473" s="1" t="s">
        <v>5150</v>
      </c>
      <c r="F1473" s="2" t="s">
        <v>5091</v>
      </c>
      <c r="G1473" s="2" t="s">
        <v>5151</v>
      </c>
      <c r="H1473" s="2" t="s">
        <v>103</v>
      </c>
      <c r="I1473" s="2" t="s">
        <v>4386</v>
      </c>
      <c r="J1473" s="2" t="s">
        <v>5152</v>
      </c>
      <c r="K1473" s="2" t="s">
        <v>10</v>
      </c>
    </row>
    <row r="1474" spans="1:11" ht="55.2" hidden="1" x14ac:dyDescent="0.3">
      <c r="A1474" s="2" t="s">
        <v>4604</v>
      </c>
      <c r="B1474" s="2" t="s">
        <v>5153</v>
      </c>
      <c r="C1474" s="3">
        <v>21927</v>
      </c>
      <c r="D1474" s="1" t="s">
        <v>5154</v>
      </c>
      <c r="E1474" s="1" t="s">
        <v>5155</v>
      </c>
      <c r="F1474" s="2" t="s">
        <v>4608</v>
      </c>
      <c r="G1474" s="2" t="s">
        <v>112</v>
      </c>
      <c r="H1474" s="2" t="s">
        <v>10</v>
      </c>
      <c r="I1474" s="2" t="s">
        <v>4604</v>
      </c>
      <c r="J1474" s="2" t="s">
        <v>5156</v>
      </c>
      <c r="K1474" s="2" t="s">
        <v>10</v>
      </c>
    </row>
    <row r="1475" spans="1:11" ht="55.2" hidden="1" x14ac:dyDescent="0.3">
      <c r="A1475" s="2" t="s">
        <v>4604</v>
      </c>
      <c r="B1475" s="2" t="s">
        <v>5157</v>
      </c>
      <c r="C1475" s="3">
        <v>29228</v>
      </c>
      <c r="D1475" s="1" t="s">
        <v>5158</v>
      </c>
      <c r="E1475" s="1" t="s">
        <v>5159</v>
      </c>
      <c r="F1475" s="2" t="s">
        <v>4608</v>
      </c>
      <c r="G1475" s="2" t="s">
        <v>288</v>
      </c>
      <c r="H1475" s="2" t="s">
        <v>10</v>
      </c>
      <c r="I1475" s="2" t="s">
        <v>4604</v>
      </c>
      <c r="J1475" s="2" t="s">
        <v>4962</v>
      </c>
      <c r="K1475" s="2" t="s">
        <v>10</v>
      </c>
    </row>
    <row r="1476" spans="1:11" ht="27.6" hidden="1" x14ac:dyDescent="0.3">
      <c r="A1476" s="2" t="s">
        <v>4386</v>
      </c>
      <c r="B1476" s="2" t="s">
        <v>5160</v>
      </c>
      <c r="C1476" s="3">
        <v>26386</v>
      </c>
      <c r="D1476" s="1" t="s">
        <v>5161</v>
      </c>
      <c r="E1476" s="1" t="s">
        <v>5162</v>
      </c>
      <c r="F1476" s="2" t="s">
        <v>5053</v>
      </c>
      <c r="G1476" s="2" t="s">
        <v>4916</v>
      </c>
      <c r="H1476" s="2" t="s">
        <v>103</v>
      </c>
      <c r="I1476" s="2" t="s">
        <v>4386</v>
      </c>
      <c r="J1476" s="2" t="s">
        <v>5163</v>
      </c>
      <c r="K1476" s="2" t="s">
        <v>10</v>
      </c>
    </row>
    <row r="1477" spans="1:11" ht="55.2" hidden="1" x14ac:dyDescent="0.3">
      <c r="A1477" s="2" t="s">
        <v>4604</v>
      </c>
      <c r="B1477" s="2" t="s">
        <v>5164</v>
      </c>
      <c r="C1477" s="3">
        <v>31694</v>
      </c>
      <c r="D1477" s="1" t="s">
        <v>5165</v>
      </c>
      <c r="E1477" s="1" t="s">
        <v>5166</v>
      </c>
      <c r="F1477" s="2" t="s">
        <v>4698</v>
      </c>
      <c r="G1477" s="2" t="s">
        <v>366</v>
      </c>
      <c r="H1477" s="2" t="s">
        <v>10</v>
      </c>
      <c r="I1477" s="2" t="s">
        <v>4604</v>
      </c>
      <c r="J1477" s="2" t="s">
        <v>5167</v>
      </c>
      <c r="K1477" s="2" t="s">
        <v>10</v>
      </c>
    </row>
    <row r="1478" spans="1:11" ht="55.2" hidden="1" x14ac:dyDescent="0.3">
      <c r="A1478" s="2" t="s">
        <v>4604</v>
      </c>
      <c r="B1478" s="2" t="s">
        <v>5168</v>
      </c>
      <c r="C1478" s="3">
        <v>34390</v>
      </c>
      <c r="D1478" s="1" t="s">
        <v>5169</v>
      </c>
      <c r="E1478" s="1" t="s">
        <v>5170</v>
      </c>
      <c r="F1478" s="2" t="s">
        <v>4698</v>
      </c>
      <c r="G1478" s="2" t="s">
        <v>328</v>
      </c>
      <c r="H1478" s="2" t="s">
        <v>10</v>
      </c>
      <c r="I1478" s="2" t="s">
        <v>4604</v>
      </c>
      <c r="J1478" s="2" t="s">
        <v>5171</v>
      </c>
      <c r="K1478" s="2" t="s">
        <v>10</v>
      </c>
    </row>
    <row r="1479" spans="1:11" ht="55.2" hidden="1" x14ac:dyDescent="0.3">
      <c r="A1479" s="2" t="s">
        <v>4604</v>
      </c>
      <c r="B1479" s="2" t="s">
        <v>5172</v>
      </c>
      <c r="C1479" s="3">
        <v>28757</v>
      </c>
      <c r="D1479" s="1" t="s">
        <v>5173</v>
      </c>
      <c r="E1479" s="1" t="s">
        <v>5174</v>
      </c>
      <c r="F1479" s="2" t="s">
        <v>4698</v>
      </c>
      <c r="G1479" s="2" t="s">
        <v>37</v>
      </c>
      <c r="H1479" s="2" t="s">
        <v>10</v>
      </c>
      <c r="I1479" s="2" t="s">
        <v>4604</v>
      </c>
      <c r="J1479" s="2" t="s">
        <v>5175</v>
      </c>
      <c r="K1479" s="2" t="s">
        <v>10</v>
      </c>
    </row>
    <row r="1480" spans="1:11" ht="55.2" hidden="1" x14ac:dyDescent="0.3">
      <c r="A1480" s="2" t="s">
        <v>4604</v>
      </c>
      <c r="B1480" s="2" t="s">
        <v>5176</v>
      </c>
      <c r="C1480" s="3">
        <v>30252</v>
      </c>
      <c r="D1480" s="1" t="s">
        <v>5177</v>
      </c>
      <c r="E1480" s="1" t="s">
        <v>5178</v>
      </c>
      <c r="F1480" s="2" t="s">
        <v>4698</v>
      </c>
      <c r="G1480" s="2" t="s">
        <v>48</v>
      </c>
      <c r="H1480" s="2" t="s">
        <v>10</v>
      </c>
      <c r="I1480" s="2" t="s">
        <v>4604</v>
      </c>
      <c r="J1480" s="2" t="s">
        <v>5179</v>
      </c>
      <c r="K1480" s="2" t="s">
        <v>10</v>
      </c>
    </row>
    <row r="1481" spans="1:11" ht="55.2" hidden="1" x14ac:dyDescent="0.3">
      <c r="A1481" s="2" t="s">
        <v>4604</v>
      </c>
      <c r="B1481" s="2" t="s">
        <v>5180</v>
      </c>
      <c r="C1481" s="3">
        <v>23439</v>
      </c>
      <c r="D1481" s="1" t="s">
        <v>5181</v>
      </c>
      <c r="E1481" s="1" t="s">
        <v>5182</v>
      </c>
      <c r="F1481" s="2" t="s">
        <v>4698</v>
      </c>
      <c r="G1481" s="2" t="s">
        <v>75</v>
      </c>
      <c r="H1481" s="2" t="s">
        <v>334</v>
      </c>
      <c r="I1481" s="2" t="s">
        <v>4604</v>
      </c>
      <c r="J1481" s="2" t="s">
        <v>5183</v>
      </c>
      <c r="K1481" s="2" t="s">
        <v>10</v>
      </c>
    </row>
    <row r="1482" spans="1:11" ht="55.2" hidden="1" x14ac:dyDescent="0.3">
      <c r="A1482" s="2" t="s">
        <v>4604</v>
      </c>
      <c r="B1482" s="2" t="s">
        <v>5184</v>
      </c>
      <c r="C1482" s="3">
        <v>27493</v>
      </c>
      <c r="D1482" s="1" t="s">
        <v>5185</v>
      </c>
      <c r="E1482" s="1" t="s">
        <v>5186</v>
      </c>
      <c r="F1482" s="2" t="s">
        <v>4698</v>
      </c>
      <c r="G1482" s="2" t="s">
        <v>230</v>
      </c>
      <c r="H1482" s="2" t="s">
        <v>10</v>
      </c>
      <c r="I1482" s="2" t="s">
        <v>4604</v>
      </c>
      <c r="J1482" s="2" t="s">
        <v>5187</v>
      </c>
      <c r="K1482" s="2" t="s">
        <v>10</v>
      </c>
    </row>
    <row r="1483" spans="1:11" ht="27.6" hidden="1" x14ac:dyDescent="0.3">
      <c r="A1483" s="2" t="s">
        <v>4386</v>
      </c>
      <c r="B1483" s="2" t="s">
        <v>5188</v>
      </c>
      <c r="C1483" s="3">
        <v>35457</v>
      </c>
      <c r="D1483" s="1" t="s">
        <v>5189</v>
      </c>
      <c r="E1483" s="1" t="s">
        <v>5190</v>
      </c>
      <c r="F1483" s="2" t="s">
        <v>5053</v>
      </c>
      <c r="G1483" s="2" t="s">
        <v>4916</v>
      </c>
      <c r="H1483" s="2" t="s">
        <v>81</v>
      </c>
      <c r="I1483" s="2" t="s">
        <v>4386</v>
      </c>
      <c r="J1483" s="2" t="s">
        <v>5163</v>
      </c>
      <c r="K1483" s="2" t="s">
        <v>10</v>
      </c>
    </row>
    <row r="1484" spans="1:11" ht="27.6" hidden="1" x14ac:dyDescent="0.3">
      <c r="A1484" s="2" t="s">
        <v>4386</v>
      </c>
      <c r="B1484" s="2" t="s">
        <v>5191</v>
      </c>
      <c r="C1484" s="3">
        <v>24356</v>
      </c>
      <c r="D1484" s="1" t="s">
        <v>5192</v>
      </c>
      <c r="E1484" s="1" t="s">
        <v>5193</v>
      </c>
      <c r="F1484" s="2" t="s">
        <v>5053</v>
      </c>
      <c r="G1484" s="2" t="s">
        <v>933</v>
      </c>
      <c r="H1484" s="2" t="s">
        <v>10</v>
      </c>
      <c r="I1484" s="2" t="s">
        <v>4386</v>
      </c>
      <c r="J1484" s="2" t="s">
        <v>5194</v>
      </c>
      <c r="K1484" s="2" t="s">
        <v>10</v>
      </c>
    </row>
    <row r="1485" spans="1:11" ht="27.6" hidden="1" x14ac:dyDescent="0.3">
      <c r="A1485" s="2" t="s">
        <v>4386</v>
      </c>
      <c r="B1485" s="2" t="s">
        <v>5195</v>
      </c>
      <c r="C1485" s="3">
        <v>26714</v>
      </c>
      <c r="D1485" s="1" t="s">
        <v>5196</v>
      </c>
      <c r="E1485" s="1" t="s">
        <v>5197</v>
      </c>
      <c r="F1485" s="2" t="s">
        <v>5053</v>
      </c>
      <c r="G1485" s="2" t="s">
        <v>1015</v>
      </c>
      <c r="H1485" s="2" t="s">
        <v>103</v>
      </c>
      <c r="I1485" s="2" t="s">
        <v>4386</v>
      </c>
      <c r="J1485" s="2" t="s">
        <v>1016</v>
      </c>
      <c r="K1485" s="2" t="s">
        <v>10</v>
      </c>
    </row>
    <row r="1486" spans="1:11" ht="27.6" hidden="1" x14ac:dyDescent="0.3">
      <c r="A1486" s="2" t="s">
        <v>4386</v>
      </c>
      <c r="B1486" s="2" t="s">
        <v>5198</v>
      </c>
      <c r="C1486" s="3">
        <v>37236</v>
      </c>
      <c r="D1486" s="1" t="s">
        <v>5199</v>
      </c>
      <c r="E1486" s="1" t="s">
        <v>5200</v>
      </c>
      <c r="F1486" s="2" t="s">
        <v>5053</v>
      </c>
      <c r="G1486" s="2" t="s">
        <v>1015</v>
      </c>
      <c r="H1486" s="2" t="s">
        <v>81</v>
      </c>
      <c r="I1486" s="2" t="s">
        <v>4386</v>
      </c>
      <c r="J1486" s="2" t="s">
        <v>1016</v>
      </c>
      <c r="K1486" s="2" t="s">
        <v>10</v>
      </c>
    </row>
    <row r="1487" spans="1:11" ht="27.6" hidden="1" x14ac:dyDescent="0.3">
      <c r="A1487" s="2" t="s">
        <v>4386</v>
      </c>
      <c r="B1487" s="2" t="s">
        <v>5201</v>
      </c>
      <c r="C1487" s="3">
        <v>34874</v>
      </c>
      <c r="D1487" s="1" t="s">
        <v>5202</v>
      </c>
      <c r="E1487" s="1" t="s">
        <v>5203</v>
      </c>
      <c r="F1487" s="2" t="s">
        <v>5091</v>
      </c>
      <c r="G1487" s="2" t="s">
        <v>5204</v>
      </c>
      <c r="H1487" s="2" t="s">
        <v>10</v>
      </c>
      <c r="I1487" s="2" t="s">
        <v>4386</v>
      </c>
      <c r="J1487" s="2" t="s">
        <v>5205</v>
      </c>
      <c r="K1487" s="2" t="s">
        <v>10</v>
      </c>
    </row>
    <row r="1488" spans="1:11" ht="27.6" hidden="1" x14ac:dyDescent="0.3">
      <c r="A1488" s="2" t="s">
        <v>4386</v>
      </c>
      <c r="B1488" s="2" t="s">
        <v>5206</v>
      </c>
      <c r="C1488" s="3">
        <v>33954</v>
      </c>
      <c r="D1488" s="1" t="s">
        <v>5207</v>
      </c>
      <c r="E1488" s="1" t="s">
        <v>5208</v>
      </c>
      <c r="F1488" s="2" t="s">
        <v>5091</v>
      </c>
      <c r="G1488" s="2" t="s">
        <v>5209</v>
      </c>
      <c r="H1488" s="2" t="s">
        <v>10</v>
      </c>
      <c r="I1488" s="2" t="s">
        <v>4386</v>
      </c>
      <c r="J1488" s="2" t="s">
        <v>5210</v>
      </c>
      <c r="K1488" s="2" t="s">
        <v>10</v>
      </c>
    </row>
    <row r="1489" spans="1:11" ht="27.6" hidden="1" x14ac:dyDescent="0.3">
      <c r="A1489" s="2" t="s">
        <v>4386</v>
      </c>
      <c r="B1489" s="2" t="s">
        <v>5211</v>
      </c>
      <c r="C1489" s="3">
        <v>35088</v>
      </c>
      <c r="D1489" s="1" t="s">
        <v>5212</v>
      </c>
      <c r="E1489" s="1" t="s">
        <v>5213</v>
      </c>
      <c r="F1489" s="2" t="s">
        <v>5053</v>
      </c>
      <c r="G1489" s="2" t="s">
        <v>1228</v>
      </c>
      <c r="H1489" s="2" t="s">
        <v>10</v>
      </c>
      <c r="I1489" s="2" t="s">
        <v>4386</v>
      </c>
      <c r="J1489" s="2" t="s">
        <v>5214</v>
      </c>
      <c r="K1489" s="2" t="s">
        <v>10</v>
      </c>
    </row>
    <row r="1490" spans="1:11" ht="27.6" hidden="1" x14ac:dyDescent="0.3">
      <c r="A1490" s="2" t="s">
        <v>4386</v>
      </c>
      <c r="B1490" s="2" t="s">
        <v>5215</v>
      </c>
      <c r="C1490" s="3">
        <v>35109</v>
      </c>
      <c r="D1490" s="1" t="s">
        <v>5216</v>
      </c>
      <c r="E1490" s="1" t="s">
        <v>5217</v>
      </c>
      <c r="F1490" s="2" t="s">
        <v>4555</v>
      </c>
      <c r="G1490" s="2" t="s">
        <v>5218</v>
      </c>
      <c r="H1490" s="2" t="s">
        <v>10</v>
      </c>
      <c r="I1490" s="2" t="s">
        <v>4386</v>
      </c>
      <c r="J1490" s="2" t="s">
        <v>5219</v>
      </c>
      <c r="K1490" s="2" t="s">
        <v>10</v>
      </c>
    </row>
    <row r="1491" spans="1:11" ht="55.2" hidden="1" x14ac:dyDescent="0.3">
      <c r="A1491" s="2" t="s">
        <v>4604</v>
      </c>
      <c r="B1491" s="2" t="s">
        <v>5220</v>
      </c>
      <c r="C1491" s="3">
        <v>29606</v>
      </c>
      <c r="D1491" s="1" t="s">
        <v>5221</v>
      </c>
      <c r="E1491" s="1" t="s">
        <v>5222</v>
      </c>
      <c r="F1491" s="2" t="s">
        <v>4704</v>
      </c>
      <c r="G1491" s="2" t="s">
        <v>1228</v>
      </c>
      <c r="H1491" s="2" t="s">
        <v>10</v>
      </c>
      <c r="I1491" s="2" t="s">
        <v>4604</v>
      </c>
      <c r="J1491" s="2" t="s">
        <v>5223</v>
      </c>
      <c r="K1491" s="2" t="s">
        <v>10</v>
      </c>
    </row>
    <row r="1492" spans="1:11" ht="55.2" hidden="1" x14ac:dyDescent="0.3">
      <c r="A1492" s="2" t="s">
        <v>4604</v>
      </c>
      <c r="B1492" s="2" t="s">
        <v>5224</v>
      </c>
      <c r="C1492" s="3">
        <v>30521</v>
      </c>
      <c r="D1492" s="1" t="s">
        <v>5225</v>
      </c>
      <c r="E1492" s="1" t="s">
        <v>5226</v>
      </c>
      <c r="F1492" s="2" t="s">
        <v>4608</v>
      </c>
      <c r="G1492" s="2" t="s">
        <v>350</v>
      </c>
      <c r="H1492" s="2" t="s">
        <v>10</v>
      </c>
      <c r="I1492" s="2" t="s">
        <v>4604</v>
      </c>
      <c r="J1492" s="2" t="s">
        <v>5227</v>
      </c>
      <c r="K1492" s="2" t="s">
        <v>10</v>
      </c>
    </row>
    <row r="1493" spans="1:11" ht="27.6" hidden="1" x14ac:dyDescent="0.3">
      <c r="A1493" s="2" t="s">
        <v>4386</v>
      </c>
      <c r="B1493" s="2" t="s">
        <v>5228</v>
      </c>
      <c r="C1493" s="3">
        <v>22465</v>
      </c>
      <c r="D1493" s="1" t="s">
        <v>5229</v>
      </c>
      <c r="E1493" s="1" t="s">
        <v>5230</v>
      </c>
      <c r="F1493" s="2" t="s">
        <v>5231</v>
      </c>
      <c r="G1493" s="2" t="s">
        <v>5232</v>
      </c>
      <c r="H1493" s="2" t="s">
        <v>10</v>
      </c>
      <c r="I1493" s="2" t="s">
        <v>4386</v>
      </c>
      <c r="J1493" s="2" t="s">
        <v>5233</v>
      </c>
      <c r="K1493" s="2" t="s">
        <v>10</v>
      </c>
    </row>
    <row r="1494" spans="1:11" ht="27.6" hidden="1" x14ac:dyDescent="0.3">
      <c r="A1494" s="2" t="s">
        <v>4386</v>
      </c>
      <c r="B1494" s="2" t="s">
        <v>5234</v>
      </c>
      <c r="C1494" s="3">
        <v>32207</v>
      </c>
      <c r="D1494" s="1" t="s">
        <v>5235</v>
      </c>
      <c r="E1494" s="1" t="s">
        <v>5236</v>
      </c>
      <c r="F1494" s="2" t="s">
        <v>5231</v>
      </c>
      <c r="G1494" s="2" t="s">
        <v>5237</v>
      </c>
      <c r="H1494" s="2" t="s">
        <v>10</v>
      </c>
      <c r="I1494" s="2" t="s">
        <v>4386</v>
      </c>
      <c r="J1494" s="2" t="s">
        <v>5238</v>
      </c>
      <c r="K1494" s="2" t="s">
        <v>10</v>
      </c>
    </row>
    <row r="1495" spans="1:11" ht="27.6" hidden="1" x14ac:dyDescent="0.3">
      <c r="A1495" s="2" t="s">
        <v>4386</v>
      </c>
      <c r="B1495" s="2" t="s">
        <v>5239</v>
      </c>
      <c r="C1495" s="3">
        <v>19543</v>
      </c>
      <c r="D1495" s="1" t="s">
        <v>5240</v>
      </c>
      <c r="E1495" s="1" t="s">
        <v>5241</v>
      </c>
      <c r="F1495" s="2" t="s">
        <v>5231</v>
      </c>
      <c r="G1495" s="2" t="s">
        <v>5242</v>
      </c>
      <c r="H1495" s="2" t="s">
        <v>10</v>
      </c>
      <c r="I1495" s="2" t="s">
        <v>4386</v>
      </c>
      <c r="J1495" s="2" t="s">
        <v>5243</v>
      </c>
      <c r="K1495" s="2" t="s">
        <v>10</v>
      </c>
    </row>
    <row r="1496" spans="1:11" ht="27.6" hidden="1" x14ac:dyDescent="0.3">
      <c r="A1496" s="2" t="s">
        <v>60</v>
      </c>
      <c r="B1496" s="2" t="s">
        <v>5244</v>
      </c>
      <c r="C1496" s="3">
        <v>30389</v>
      </c>
      <c r="D1496" s="1" t="s">
        <v>5245</v>
      </c>
      <c r="E1496" s="1" t="s">
        <v>5246</v>
      </c>
      <c r="F1496" s="2" t="s">
        <v>636</v>
      </c>
      <c r="G1496" s="2" t="s">
        <v>222</v>
      </c>
      <c r="H1496" s="2" t="s">
        <v>43</v>
      </c>
      <c r="I1496" s="2" t="s">
        <v>60</v>
      </c>
      <c r="J1496" s="2" t="s">
        <v>5247</v>
      </c>
      <c r="K1496" s="2" t="s">
        <v>10</v>
      </c>
    </row>
    <row r="1497" spans="1:11" ht="27.6" hidden="1" x14ac:dyDescent="0.3">
      <c r="A1497" s="2" t="s">
        <v>4386</v>
      </c>
      <c r="B1497" s="2" t="s">
        <v>5248</v>
      </c>
      <c r="C1497" s="3">
        <v>36881</v>
      </c>
      <c r="D1497" s="1" t="s">
        <v>5249</v>
      </c>
      <c r="E1497" s="1" t="s">
        <v>5250</v>
      </c>
      <c r="F1497" s="2" t="s">
        <v>5231</v>
      </c>
      <c r="G1497" s="2" t="s">
        <v>5251</v>
      </c>
      <c r="H1497" s="2" t="s">
        <v>81</v>
      </c>
      <c r="I1497" s="2" t="s">
        <v>4386</v>
      </c>
      <c r="J1497" s="2" t="s">
        <v>5252</v>
      </c>
      <c r="K1497" s="2" t="s">
        <v>10</v>
      </c>
    </row>
    <row r="1498" spans="1:11" ht="27.6" hidden="1" x14ac:dyDescent="0.3">
      <c r="A1498" s="2" t="s">
        <v>4386</v>
      </c>
      <c r="B1498" s="2" t="s">
        <v>5253</v>
      </c>
      <c r="C1498" s="3">
        <v>38600</v>
      </c>
      <c r="D1498" s="1" t="s">
        <v>5254</v>
      </c>
      <c r="E1498" s="1" t="s">
        <v>5255</v>
      </c>
      <c r="F1498" s="2" t="s">
        <v>5231</v>
      </c>
      <c r="G1498" s="2" t="s">
        <v>5256</v>
      </c>
      <c r="H1498" s="2" t="s">
        <v>10</v>
      </c>
      <c r="I1498" s="2" t="s">
        <v>4386</v>
      </c>
      <c r="J1498" s="2" t="s">
        <v>5257</v>
      </c>
      <c r="K1498" s="2" t="s">
        <v>10</v>
      </c>
    </row>
    <row r="1499" spans="1:11" ht="55.2" hidden="1" x14ac:dyDescent="0.3">
      <c r="A1499" s="2" t="s">
        <v>4604</v>
      </c>
      <c r="B1499" s="2" t="s">
        <v>5258</v>
      </c>
      <c r="C1499" s="3">
        <v>31315</v>
      </c>
      <c r="D1499" s="1" t="s">
        <v>5259</v>
      </c>
      <c r="E1499" s="1" t="s">
        <v>5260</v>
      </c>
      <c r="F1499" s="2" t="s">
        <v>4704</v>
      </c>
      <c r="G1499" s="2" t="s">
        <v>1015</v>
      </c>
      <c r="H1499" s="2" t="s">
        <v>5261</v>
      </c>
      <c r="I1499" s="2" t="s">
        <v>4604</v>
      </c>
      <c r="J1499" s="2" t="s">
        <v>5262</v>
      </c>
      <c r="K1499" s="2" t="s">
        <v>10</v>
      </c>
    </row>
    <row r="1500" spans="1:11" ht="55.2" hidden="1" x14ac:dyDescent="0.3">
      <c r="A1500" s="2" t="s">
        <v>4604</v>
      </c>
      <c r="B1500" s="2" t="s">
        <v>5263</v>
      </c>
      <c r="C1500" s="3">
        <v>29367</v>
      </c>
      <c r="D1500" s="1" t="s">
        <v>5264</v>
      </c>
      <c r="E1500" s="1" t="s">
        <v>5265</v>
      </c>
      <c r="F1500" s="2" t="s">
        <v>4608</v>
      </c>
      <c r="G1500" s="2" t="s">
        <v>669</v>
      </c>
      <c r="H1500" s="2" t="s">
        <v>5266</v>
      </c>
      <c r="I1500" s="2" t="s">
        <v>4604</v>
      </c>
      <c r="J1500" s="2" t="s">
        <v>5136</v>
      </c>
      <c r="K1500" s="2" t="s">
        <v>10</v>
      </c>
    </row>
    <row r="1501" spans="1:11" ht="55.2" hidden="1" x14ac:dyDescent="0.3">
      <c r="A1501" s="2" t="s">
        <v>4604</v>
      </c>
      <c r="B1501" s="2" t="s">
        <v>5267</v>
      </c>
      <c r="C1501" s="3">
        <v>31693</v>
      </c>
      <c r="D1501" s="1" t="s">
        <v>5268</v>
      </c>
      <c r="E1501" s="1" t="s">
        <v>5269</v>
      </c>
      <c r="F1501" s="2" t="s">
        <v>4608</v>
      </c>
      <c r="G1501" s="2" t="s">
        <v>2267</v>
      </c>
      <c r="H1501" s="2" t="s">
        <v>10</v>
      </c>
      <c r="I1501" s="2" t="s">
        <v>4604</v>
      </c>
      <c r="J1501" s="2" t="s">
        <v>5270</v>
      </c>
      <c r="K1501" s="2" t="s">
        <v>10</v>
      </c>
    </row>
    <row r="1502" spans="1:11" ht="27.6" hidden="1" x14ac:dyDescent="0.3">
      <c r="A1502" s="2" t="s">
        <v>4386</v>
      </c>
      <c r="B1502" s="2" t="s">
        <v>5271</v>
      </c>
      <c r="C1502" s="3">
        <v>33959</v>
      </c>
      <c r="D1502" s="1" t="s">
        <v>5272</v>
      </c>
      <c r="E1502" s="1" t="s">
        <v>5273</v>
      </c>
      <c r="F1502" s="2" t="s">
        <v>4396</v>
      </c>
      <c r="G1502" s="2" t="s">
        <v>5274</v>
      </c>
      <c r="H1502" s="2" t="s">
        <v>10</v>
      </c>
      <c r="I1502" s="2" t="s">
        <v>4386</v>
      </c>
      <c r="J1502" s="2" t="s">
        <v>5275</v>
      </c>
      <c r="K1502" s="2" t="s">
        <v>10</v>
      </c>
    </row>
    <row r="1503" spans="1:11" ht="27.6" hidden="1" x14ac:dyDescent="0.3">
      <c r="A1503" s="2" t="s">
        <v>4386</v>
      </c>
      <c r="B1503" s="2" t="s">
        <v>5276</v>
      </c>
      <c r="C1503" s="3">
        <v>26619</v>
      </c>
      <c r="D1503" s="1" t="s">
        <v>5277</v>
      </c>
      <c r="E1503" s="1" t="s">
        <v>5278</v>
      </c>
      <c r="F1503" s="2" t="s">
        <v>5231</v>
      </c>
      <c r="G1503" s="2" t="s">
        <v>5251</v>
      </c>
      <c r="H1503" s="2" t="s">
        <v>5279</v>
      </c>
      <c r="I1503" s="2" t="s">
        <v>4386</v>
      </c>
      <c r="J1503" s="2" t="s">
        <v>5252</v>
      </c>
      <c r="K1503" s="2" t="s">
        <v>10</v>
      </c>
    </row>
    <row r="1504" spans="1:11" ht="27.6" hidden="1" x14ac:dyDescent="0.3">
      <c r="A1504" s="2" t="s">
        <v>4386</v>
      </c>
      <c r="B1504" s="2" t="s">
        <v>5280</v>
      </c>
      <c r="C1504" s="3">
        <v>30102</v>
      </c>
      <c r="D1504" s="1" t="s">
        <v>5281</v>
      </c>
      <c r="E1504" s="1" t="s">
        <v>5282</v>
      </c>
      <c r="F1504" s="2" t="s">
        <v>5231</v>
      </c>
      <c r="G1504" s="2" t="s">
        <v>5256</v>
      </c>
      <c r="H1504" s="2" t="s">
        <v>81</v>
      </c>
      <c r="I1504" s="2" t="s">
        <v>4386</v>
      </c>
      <c r="J1504" s="2" t="s">
        <v>5283</v>
      </c>
      <c r="K1504" s="2" t="s">
        <v>10</v>
      </c>
    </row>
    <row r="1505" spans="1:11" ht="27.6" hidden="1" x14ac:dyDescent="0.3">
      <c r="A1505" s="2" t="s">
        <v>4386</v>
      </c>
      <c r="B1505" s="2" t="s">
        <v>5284</v>
      </c>
      <c r="C1505" s="3">
        <v>36377</v>
      </c>
      <c r="D1505" s="1" t="s">
        <v>5285</v>
      </c>
      <c r="E1505" s="1" t="s">
        <v>5286</v>
      </c>
      <c r="F1505" s="2" t="s">
        <v>5231</v>
      </c>
      <c r="G1505" s="2" t="s">
        <v>5251</v>
      </c>
      <c r="H1505" s="2" t="s">
        <v>5287</v>
      </c>
      <c r="I1505" s="2" t="s">
        <v>4386</v>
      </c>
      <c r="J1505" s="2" t="s">
        <v>5252</v>
      </c>
      <c r="K1505" s="2" t="s">
        <v>10</v>
      </c>
    </row>
    <row r="1506" spans="1:11" ht="27.6" hidden="1" x14ac:dyDescent="0.3">
      <c r="A1506" s="2" t="s">
        <v>4386</v>
      </c>
      <c r="B1506" s="2" t="s">
        <v>5288</v>
      </c>
      <c r="C1506" s="3">
        <v>34114</v>
      </c>
      <c r="D1506" s="1" t="s">
        <v>5289</v>
      </c>
      <c r="E1506" s="1" t="s">
        <v>5290</v>
      </c>
      <c r="F1506" s="2" t="s">
        <v>5231</v>
      </c>
      <c r="G1506" s="2" t="s">
        <v>5291</v>
      </c>
      <c r="H1506" s="2" t="s">
        <v>10</v>
      </c>
      <c r="I1506" s="2" t="s">
        <v>4386</v>
      </c>
      <c r="J1506" s="2" t="s">
        <v>5292</v>
      </c>
      <c r="K1506" s="2" t="s">
        <v>10</v>
      </c>
    </row>
    <row r="1507" spans="1:11" ht="27.6" hidden="1" x14ac:dyDescent="0.3">
      <c r="A1507" s="2" t="s">
        <v>4386</v>
      </c>
      <c r="B1507" s="2" t="s">
        <v>5293</v>
      </c>
      <c r="C1507" s="3">
        <v>18912</v>
      </c>
      <c r="D1507" s="1" t="s">
        <v>5294</v>
      </c>
      <c r="E1507" s="1" t="s">
        <v>5295</v>
      </c>
      <c r="F1507" s="2" t="s">
        <v>5231</v>
      </c>
      <c r="G1507" s="2" t="s">
        <v>5251</v>
      </c>
      <c r="H1507" s="2" t="s">
        <v>3065</v>
      </c>
      <c r="I1507" s="2" t="s">
        <v>4386</v>
      </c>
      <c r="J1507" s="2" t="s">
        <v>5252</v>
      </c>
      <c r="K1507" s="2" t="s">
        <v>10</v>
      </c>
    </row>
    <row r="1508" spans="1:11" ht="55.2" hidden="1" x14ac:dyDescent="0.3">
      <c r="A1508" s="2" t="s">
        <v>4604</v>
      </c>
      <c r="B1508" s="2" t="s">
        <v>5296</v>
      </c>
      <c r="C1508" s="3">
        <v>30520</v>
      </c>
      <c r="D1508" s="1" t="s">
        <v>5297</v>
      </c>
      <c r="E1508" s="1" t="s">
        <v>5298</v>
      </c>
      <c r="F1508" s="2" t="s">
        <v>4608</v>
      </c>
      <c r="G1508" s="2" t="s">
        <v>1266</v>
      </c>
      <c r="H1508" s="2" t="s">
        <v>5299</v>
      </c>
      <c r="I1508" s="2" t="s">
        <v>4604</v>
      </c>
      <c r="J1508" s="2" t="s">
        <v>5300</v>
      </c>
      <c r="K1508" s="2" t="s">
        <v>10</v>
      </c>
    </row>
    <row r="1509" spans="1:11" ht="55.2" hidden="1" x14ac:dyDescent="0.3">
      <c r="A1509" s="2" t="s">
        <v>4604</v>
      </c>
      <c r="B1509" s="2" t="s">
        <v>5301</v>
      </c>
      <c r="C1509" s="3">
        <v>30085</v>
      </c>
      <c r="D1509" s="1" t="s">
        <v>5302</v>
      </c>
      <c r="E1509" s="1" t="s">
        <v>5303</v>
      </c>
      <c r="F1509" s="2" t="s">
        <v>4698</v>
      </c>
      <c r="G1509" s="2" t="s">
        <v>2773</v>
      </c>
      <c r="H1509" s="2" t="s">
        <v>10</v>
      </c>
      <c r="I1509" s="2" t="s">
        <v>4604</v>
      </c>
      <c r="J1509" s="2" t="s">
        <v>5304</v>
      </c>
      <c r="K1509" s="2" t="s">
        <v>10</v>
      </c>
    </row>
    <row r="1510" spans="1:11" ht="55.2" hidden="1" x14ac:dyDescent="0.3">
      <c r="A1510" s="2" t="s">
        <v>4604</v>
      </c>
      <c r="B1510" s="2" t="s">
        <v>5305</v>
      </c>
      <c r="C1510" s="3">
        <v>32627</v>
      </c>
      <c r="D1510" s="1" t="s">
        <v>5306</v>
      </c>
      <c r="E1510" s="1" t="s">
        <v>5307</v>
      </c>
      <c r="F1510" s="2" t="s">
        <v>4698</v>
      </c>
      <c r="G1510" s="2" t="s">
        <v>283</v>
      </c>
      <c r="H1510" s="2" t="s">
        <v>5308</v>
      </c>
      <c r="I1510" s="2" t="s">
        <v>4604</v>
      </c>
      <c r="J1510" s="2" t="s">
        <v>4161</v>
      </c>
      <c r="K1510" s="2" t="s">
        <v>10</v>
      </c>
    </row>
    <row r="1511" spans="1:11" ht="55.2" hidden="1" x14ac:dyDescent="0.3">
      <c r="A1511" s="2" t="s">
        <v>4604</v>
      </c>
      <c r="B1511" s="2" t="s">
        <v>5309</v>
      </c>
      <c r="C1511" s="3">
        <v>19678</v>
      </c>
      <c r="D1511" s="1" t="s">
        <v>5310</v>
      </c>
      <c r="E1511" s="1" t="s">
        <v>5311</v>
      </c>
      <c r="F1511" s="2" t="s">
        <v>4698</v>
      </c>
      <c r="G1511" s="2" t="s">
        <v>1328</v>
      </c>
      <c r="H1511" s="2" t="s">
        <v>5312</v>
      </c>
      <c r="I1511" s="2" t="s">
        <v>4604</v>
      </c>
      <c r="J1511" s="2" t="s">
        <v>5313</v>
      </c>
      <c r="K1511" s="2" t="s">
        <v>10</v>
      </c>
    </row>
    <row r="1512" spans="1:11" ht="55.2" hidden="1" x14ac:dyDescent="0.3">
      <c r="A1512" s="2" t="s">
        <v>4604</v>
      </c>
      <c r="B1512" s="2" t="s">
        <v>5314</v>
      </c>
      <c r="C1512" s="3">
        <v>34390</v>
      </c>
      <c r="D1512" s="1" t="s">
        <v>5315</v>
      </c>
      <c r="E1512" s="1" t="s">
        <v>5170</v>
      </c>
      <c r="F1512" s="2" t="s">
        <v>4698</v>
      </c>
      <c r="G1512" s="2" t="s">
        <v>3940</v>
      </c>
      <c r="H1512" s="2" t="s">
        <v>5316</v>
      </c>
      <c r="I1512" s="2" t="s">
        <v>4604</v>
      </c>
      <c r="J1512" s="2" t="s">
        <v>5317</v>
      </c>
      <c r="K1512" s="2" t="s">
        <v>10</v>
      </c>
    </row>
    <row r="1513" spans="1:11" ht="55.2" hidden="1" x14ac:dyDescent="0.3">
      <c r="A1513" s="2" t="s">
        <v>4604</v>
      </c>
      <c r="B1513" s="2" t="s">
        <v>5318</v>
      </c>
      <c r="C1513" s="3">
        <v>32108</v>
      </c>
      <c r="D1513" s="1" t="s">
        <v>5319</v>
      </c>
      <c r="E1513" s="1" t="s">
        <v>5320</v>
      </c>
      <c r="F1513" s="2" t="s">
        <v>4698</v>
      </c>
      <c r="G1513" s="2" t="s">
        <v>288</v>
      </c>
      <c r="H1513" s="2" t="s">
        <v>5321</v>
      </c>
      <c r="I1513" s="2" t="s">
        <v>4604</v>
      </c>
      <c r="J1513" s="2" t="s">
        <v>5322</v>
      </c>
      <c r="K1513" s="2" t="s">
        <v>10</v>
      </c>
    </row>
    <row r="1514" spans="1:11" ht="55.2" hidden="1" x14ac:dyDescent="0.3">
      <c r="A1514" s="2" t="s">
        <v>4604</v>
      </c>
      <c r="B1514" s="2" t="s">
        <v>5323</v>
      </c>
      <c r="C1514" s="3">
        <v>33506</v>
      </c>
      <c r="D1514" s="1" t="s">
        <v>5324</v>
      </c>
      <c r="E1514" s="1" t="s">
        <v>5325</v>
      </c>
      <c r="F1514" s="2" t="s">
        <v>4698</v>
      </c>
      <c r="G1514" s="2" t="s">
        <v>80</v>
      </c>
      <c r="H1514" s="2" t="s">
        <v>5326</v>
      </c>
      <c r="I1514" s="2" t="s">
        <v>4604</v>
      </c>
      <c r="J1514" s="2" t="s">
        <v>5327</v>
      </c>
      <c r="K1514" s="2" t="s">
        <v>10</v>
      </c>
    </row>
    <row r="1515" spans="1:11" ht="55.2" hidden="1" x14ac:dyDescent="0.3">
      <c r="A1515" s="2" t="s">
        <v>4604</v>
      </c>
      <c r="B1515" s="2" t="s">
        <v>5328</v>
      </c>
      <c r="C1515" s="3">
        <v>32098</v>
      </c>
      <c r="D1515" s="1" t="s">
        <v>5329</v>
      </c>
      <c r="E1515" s="1" t="s">
        <v>5330</v>
      </c>
      <c r="F1515" s="2" t="s">
        <v>4698</v>
      </c>
      <c r="G1515" s="2" t="s">
        <v>596</v>
      </c>
      <c r="H1515" s="2" t="s">
        <v>5331</v>
      </c>
      <c r="I1515" s="2" t="s">
        <v>4604</v>
      </c>
      <c r="J1515" s="2" t="s">
        <v>5332</v>
      </c>
      <c r="K1515" s="2" t="s">
        <v>10</v>
      </c>
    </row>
    <row r="1516" spans="1:11" ht="55.2" hidden="1" x14ac:dyDescent="0.3">
      <c r="A1516" s="2" t="s">
        <v>4604</v>
      </c>
      <c r="B1516" s="2" t="s">
        <v>5328</v>
      </c>
      <c r="C1516" s="3">
        <v>32098</v>
      </c>
      <c r="D1516" s="1" t="s">
        <v>5329</v>
      </c>
      <c r="E1516" s="1" t="s">
        <v>5330</v>
      </c>
      <c r="F1516" s="2" t="s">
        <v>4698</v>
      </c>
      <c r="G1516" s="2" t="s">
        <v>2790</v>
      </c>
      <c r="H1516" s="2" t="s">
        <v>5333</v>
      </c>
      <c r="I1516" s="2" t="s">
        <v>4604</v>
      </c>
      <c r="J1516" s="2" t="s">
        <v>5334</v>
      </c>
      <c r="K1516" s="2" t="s">
        <v>10</v>
      </c>
    </row>
    <row r="1517" spans="1:11" ht="55.2" hidden="1" x14ac:dyDescent="0.3">
      <c r="A1517" s="2" t="s">
        <v>4604</v>
      </c>
      <c r="B1517" s="2" t="s">
        <v>5335</v>
      </c>
      <c r="C1517" s="3">
        <v>34651</v>
      </c>
      <c r="D1517" s="1" t="s">
        <v>5336</v>
      </c>
      <c r="E1517" s="1" t="s">
        <v>5337</v>
      </c>
      <c r="F1517" s="2" t="s">
        <v>4698</v>
      </c>
      <c r="G1517" s="2" t="s">
        <v>292</v>
      </c>
      <c r="H1517" s="2" t="s">
        <v>5338</v>
      </c>
      <c r="I1517" s="2" t="s">
        <v>4604</v>
      </c>
      <c r="J1517" s="2" t="s">
        <v>5339</v>
      </c>
      <c r="K1517" s="2" t="s">
        <v>10</v>
      </c>
    </row>
    <row r="1518" spans="1:11" ht="55.2" hidden="1" x14ac:dyDescent="0.3">
      <c r="A1518" s="2" t="s">
        <v>4604</v>
      </c>
      <c r="B1518" s="2" t="s">
        <v>5340</v>
      </c>
      <c r="C1518" s="3">
        <v>30747</v>
      </c>
      <c r="D1518" s="1" t="s">
        <v>5341</v>
      </c>
      <c r="E1518" s="1" t="s">
        <v>5342</v>
      </c>
      <c r="F1518" s="2" t="s">
        <v>4698</v>
      </c>
      <c r="G1518" s="2" t="s">
        <v>4916</v>
      </c>
      <c r="H1518" s="2" t="s">
        <v>5343</v>
      </c>
      <c r="I1518" s="2" t="s">
        <v>4604</v>
      </c>
      <c r="J1518" s="2" t="s">
        <v>5344</v>
      </c>
      <c r="K1518" s="2" t="s">
        <v>10</v>
      </c>
    </row>
    <row r="1519" spans="1:11" ht="55.2" hidden="1" x14ac:dyDescent="0.3">
      <c r="A1519" s="2" t="s">
        <v>4604</v>
      </c>
      <c r="B1519" s="2" t="s">
        <v>5184</v>
      </c>
      <c r="C1519" s="3">
        <v>27493</v>
      </c>
      <c r="D1519" s="1" t="s">
        <v>5345</v>
      </c>
      <c r="E1519" s="1" t="s">
        <v>5186</v>
      </c>
      <c r="F1519" s="2" t="s">
        <v>4698</v>
      </c>
      <c r="G1519" s="2" t="s">
        <v>392</v>
      </c>
      <c r="H1519" s="2" t="s">
        <v>5346</v>
      </c>
      <c r="I1519" s="2" t="s">
        <v>4604</v>
      </c>
      <c r="J1519" s="2" t="s">
        <v>5347</v>
      </c>
      <c r="K1519" s="2" t="s">
        <v>10</v>
      </c>
    </row>
    <row r="1520" spans="1:11" ht="55.2" hidden="1" x14ac:dyDescent="0.3">
      <c r="A1520" s="2" t="s">
        <v>4604</v>
      </c>
      <c r="B1520" s="2" t="s">
        <v>5348</v>
      </c>
      <c r="C1520" s="3">
        <v>27493</v>
      </c>
      <c r="D1520" s="1" t="s">
        <v>5345</v>
      </c>
      <c r="E1520" s="1" t="s">
        <v>5186</v>
      </c>
      <c r="F1520" s="2" t="s">
        <v>4698</v>
      </c>
      <c r="G1520" s="2" t="s">
        <v>392</v>
      </c>
      <c r="H1520" s="2" t="s">
        <v>5349</v>
      </c>
      <c r="I1520" s="2" t="s">
        <v>4604</v>
      </c>
      <c r="J1520" s="2" t="s">
        <v>5347</v>
      </c>
      <c r="K1520" s="2" t="s">
        <v>10</v>
      </c>
    </row>
    <row r="1521" spans="1:11" ht="55.2" hidden="1" x14ac:dyDescent="0.3">
      <c r="A1521" s="2" t="s">
        <v>4604</v>
      </c>
      <c r="B1521" s="2" t="s">
        <v>5350</v>
      </c>
      <c r="C1521" s="3">
        <v>32230</v>
      </c>
      <c r="D1521" s="1" t="s">
        <v>5351</v>
      </c>
      <c r="E1521" s="1" t="s">
        <v>5352</v>
      </c>
      <c r="F1521" s="2" t="s">
        <v>4698</v>
      </c>
      <c r="G1521" s="2" t="s">
        <v>425</v>
      </c>
      <c r="H1521" s="2" t="s">
        <v>4952</v>
      </c>
      <c r="I1521" s="2" t="s">
        <v>4604</v>
      </c>
      <c r="J1521" s="2" t="s">
        <v>841</v>
      </c>
      <c r="K1521" s="2" t="s">
        <v>10</v>
      </c>
    </row>
    <row r="1522" spans="1:11" ht="55.2" hidden="1" x14ac:dyDescent="0.3">
      <c r="A1522" s="2" t="s">
        <v>4604</v>
      </c>
      <c r="B1522" s="2" t="s">
        <v>5353</v>
      </c>
      <c r="C1522" s="3">
        <v>33665</v>
      </c>
      <c r="D1522" s="1" t="s">
        <v>5354</v>
      </c>
      <c r="E1522" s="1" t="s">
        <v>5355</v>
      </c>
      <c r="F1522" s="2" t="s">
        <v>4698</v>
      </c>
      <c r="G1522" s="2" t="s">
        <v>80</v>
      </c>
      <c r="H1522" s="2" t="s">
        <v>5356</v>
      </c>
      <c r="I1522" s="2" t="s">
        <v>4604</v>
      </c>
      <c r="J1522" s="2" t="s">
        <v>1881</v>
      </c>
      <c r="K1522" s="2" t="s">
        <v>10</v>
      </c>
    </row>
    <row r="1523" spans="1:11" ht="55.2" hidden="1" x14ac:dyDescent="0.3">
      <c r="A1523" s="2" t="s">
        <v>4604</v>
      </c>
      <c r="B1523" s="2" t="s">
        <v>5357</v>
      </c>
      <c r="C1523" s="3">
        <v>31659</v>
      </c>
      <c r="D1523" s="1" t="s">
        <v>5358</v>
      </c>
      <c r="E1523" s="1" t="s">
        <v>5359</v>
      </c>
      <c r="F1523" s="2" t="s">
        <v>4698</v>
      </c>
      <c r="G1523" s="2" t="s">
        <v>350</v>
      </c>
      <c r="H1523" s="2" t="s">
        <v>5360</v>
      </c>
      <c r="I1523" s="2" t="s">
        <v>4604</v>
      </c>
      <c r="J1523" s="2" t="s">
        <v>5361</v>
      </c>
      <c r="K1523" s="2" t="s">
        <v>10</v>
      </c>
    </row>
    <row r="1524" spans="1:11" ht="55.2" hidden="1" x14ac:dyDescent="0.3">
      <c r="A1524" s="2" t="s">
        <v>4604</v>
      </c>
      <c r="B1524" s="2" t="s">
        <v>5362</v>
      </c>
      <c r="C1524" s="3">
        <v>29088</v>
      </c>
      <c r="D1524" s="1" t="s">
        <v>5363</v>
      </c>
      <c r="E1524" s="1" t="s">
        <v>5364</v>
      </c>
      <c r="F1524" s="2" t="s">
        <v>4698</v>
      </c>
      <c r="G1524" s="2" t="s">
        <v>860</v>
      </c>
      <c r="H1524" s="2" t="s">
        <v>5365</v>
      </c>
      <c r="I1524" s="2" t="s">
        <v>4604</v>
      </c>
      <c r="J1524" s="2" t="s">
        <v>4908</v>
      </c>
      <c r="K1524" s="2" t="s">
        <v>10</v>
      </c>
    </row>
    <row r="1525" spans="1:11" ht="55.2" hidden="1" x14ac:dyDescent="0.3">
      <c r="A1525" s="2" t="s">
        <v>4604</v>
      </c>
      <c r="B1525" s="2" t="s">
        <v>5366</v>
      </c>
      <c r="C1525" s="3">
        <v>30934</v>
      </c>
      <c r="D1525" s="1" t="s">
        <v>5367</v>
      </c>
      <c r="E1525" s="1" t="s">
        <v>5368</v>
      </c>
      <c r="F1525" s="2" t="s">
        <v>4698</v>
      </c>
      <c r="G1525" s="2" t="s">
        <v>3940</v>
      </c>
      <c r="H1525" s="2" t="s">
        <v>5369</v>
      </c>
      <c r="I1525" s="2" t="s">
        <v>4604</v>
      </c>
      <c r="J1525" s="2" t="s">
        <v>5370</v>
      </c>
      <c r="K1525" s="2" t="s">
        <v>10</v>
      </c>
    </row>
    <row r="1526" spans="1:11" ht="55.2" hidden="1" x14ac:dyDescent="0.3">
      <c r="A1526" s="2" t="s">
        <v>4604</v>
      </c>
      <c r="B1526" s="2" t="s">
        <v>5371</v>
      </c>
      <c r="C1526" s="3">
        <v>31861</v>
      </c>
      <c r="D1526" s="1" t="s">
        <v>5372</v>
      </c>
      <c r="E1526" s="1" t="s">
        <v>5373</v>
      </c>
      <c r="F1526" s="2" t="s">
        <v>4698</v>
      </c>
      <c r="G1526" s="2" t="s">
        <v>1758</v>
      </c>
      <c r="H1526" s="2" t="s">
        <v>5374</v>
      </c>
      <c r="I1526" s="2" t="s">
        <v>4604</v>
      </c>
      <c r="J1526" s="2" t="s">
        <v>5375</v>
      </c>
      <c r="K1526" s="2" t="s">
        <v>10</v>
      </c>
    </row>
    <row r="1527" spans="1:11" ht="55.2" hidden="1" x14ac:dyDescent="0.3">
      <c r="A1527" s="2" t="s">
        <v>4604</v>
      </c>
      <c r="B1527" s="2" t="s">
        <v>4489</v>
      </c>
      <c r="C1527" s="3">
        <v>31861</v>
      </c>
      <c r="D1527" s="1" t="s">
        <v>5372</v>
      </c>
      <c r="E1527" s="1" t="s">
        <v>5373</v>
      </c>
      <c r="F1527" s="2" t="s">
        <v>4698</v>
      </c>
      <c r="G1527" s="2" t="s">
        <v>734</v>
      </c>
      <c r="H1527" s="2" t="s">
        <v>5376</v>
      </c>
      <c r="I1527" s="2" t="s">
        <v>4604</v>
      </c>
      <c r="J1527" s="2" t="s">
        <v>5377</v>
      </c>
      <c r="K1527" s="2" t="s">
        <v>10</v>
      </c>
    </row>
    <row r="1528" spans="1:11" ht="55.2" hidden="1" x14ac:dyDescent="0.3">
      <c r="A1528" s="2" t="s">
        <v>4604</v>
      </c>
      <c r="B1528" s="2" t="s">
        <v>5378</v>
      </c>
      <c r="C1528" s="3">
        <v>26391</v>
      </c>
      <c r="D1528" s="1" t="s">
        <v>5379</v>
      </c>
      <c r="E1528" s="1" t="s">
        <v>5380</v>
      </c>
      <c r="F1528" s="2" t="s">
        <v>4698</v>
      </c>
      <c r="G1528" s="2" t="s">
        <v>328</v>
      </c>
      <c r="H1528" s="2" t="s">
        <v>5381</v>
      </c>
      <c r="I1528" s="2" t="s">
        <v>4604</v>
      </c>
      <c r="J1528" s="2" t="s">
        <v>5171</v>
      </c>
      <c r="K1528" s="2" t="s">
        <v>10</v>
      </c>
    </row>
    <row r="1529" spans="1:11" ht="55.2" hidden="1" x14ac:dyDescent="0.3">
      <c r="A1529" s="2" t="s">
        <v>4604</v>
      </c>
      <c r="B1529" s="2" t="s">
        <v>5382</v>
      </c>
      <c r="C1529" s="3">
        <v>20378</v>
      </c>
      <c r="D1529" s="1" t="s">
        <v>4878</v>
      </c>
      <c r="E1529" s="1" t="s">
        <v>4879</v>
      </c>
      <c r="F1529" s="2" t="s">
        <v>4698</v>
      </c>
      <c r="G1529" s="2" t="s">
        <v>217</v>
      </c>
      <c r="H1529" s="2" t="s">
        <v>5383</v>
      </c>
      <c r="I1529" s="2" t="s">
        <v>4604</v>
      </c>
      <c r="J1529" s="2" t="s">
        <v>5384</v>
      </c>
      <c r="K1529" s="2" t="s">
        <v>10</v>
      </c>
    </row>
    <row r="1530" spans="1:11" ht="55.2" hidden="1" x14ac:dyDescent="0.3">
      <c r="A1530" s="2" t="s">
        <v>4604</v>
      </c>
      <c r="B1530" s="2" t="s">
        <v>5385</v>
      </c>
      <c r="C1530" s="3">
        <v>32399</v>
      </c>
      <c r="D1530" s="1" t="s">
        <v>5386</v>
      </c>
      <c r="E1530" s="1" t="s">
        <v>5387</v>
      </c>
      <c r="F1530" s="2" t="s">
        <v>4698</v>
      </c>
      <c r="G1530" s="2" t="s">
        <v>64</v>
      </c>
      <c r="H1530" s="2" t="s">
        <v>5388</v>
      </c>
      <c r="I1530" s="2" t="s">
        <v>4604</v>
      </c>
      <c r="J1530" s="2" t="s">
        <v>5389</v>
      </c>
      <c r="K1530" s="2" t="s">
        <v>10</v>
      </c>
    </row>
    <row r="1531" spans="1:11" ht="55.2" hidden="1" x14ac:dyDescent="0.3">
      <c r="A1531" s="2" t="s">
        <v>4604</v>
      </c>
      <c r="B1531" s="2" t="s">
        <v>5390</v>
      </c>
      <c r="C1531" s="3">
        <v>29479</v>
      </c>
      <c r="D1531" s="1" t="s">
        <v>5391</v>
      </c>
      <c r="E1531" s="1" t="s">
        <v>5392</v>
      </c>
      <c r="F1531" s="2" t="s">
        <v>4698</v>
      </c>
      <c r="G1531" s="2" t="s">
        <v>1876</v>
      </c>
      <c r="H1531" s="2" t="s">
        <v>5393</v>
      </c>
      <c r="I1531" s="2" t="s">
        <v>4604</v>
      </c>
      <c r="J1531" s="2" t="s">
        <v>5394</v>
      </c>
      <c r="K1531" s="2" t="s">
        <v>10</v>
      </c>
    </row>
    <row r="1532" spans="1:11" ht="55.2" hidden="1" x14ac:dyDescent="0.3">
      <c r="A1532" s="2" t="s">
        <v>4604</v>
      </c>
      <c r="B1532" s="2" t="s">
        <v>5395</v>
      </c>
      <c r="C1532" s="3">
        <v>35621</v>
      </c>
      <c r="D1532" s="1" t="s">
        <v>5396</v>
      </c>
      <c r="E1532" s="1" t="s">
        <v>5397</v>
      </c>
      <c r="F1532" s="2" t="s">
        <v>4698</v>
      </c>
      <c r="G1532" s="2" t="s">
        <v>3027</v>
      </c>
      <c r="H1532" s="2" t="s">
        <v>5398</v>
      </c>
      <c r="I1532" s="2" t="s">
        <v>4604</v>
      </c>
      <c r="J1532" s="2" t="s">
        <v>5399</v>
      </c>
      <c r="K1532" s="2" t="s">
        <v>10</v>
      </c>
    </row>
    <row r="1533" spans="1:11" ht="55.2" hidden="1" x14ac:dyDescent="0.3">
      <c r="A1533" s="2" t="s">
        <v>4604</v>
      </c>
      <c r="B1533" s="2" t="s">
        <v>5400</v>
      </c>
      <c r="C1533" s="3">
        <v>36760</v>
      </c>
      <c r="D1533" s="1" t="s">
        <v>5401</v>
      </c>
      <c r="E1533" s="1" t="s">
        <v>5402</v>
      </c>
      <c r="F1533" s="2" t="s">
        <v>4698</v>
      </c>
      <c r="G1533" s="2" t="s">
        <v>2383</v>
      </c>
      <c r="H1533" s="2" t="s">
        <v>5403</v>
      </c>
      <c r="I1533" s="2" t="s">
        <v>4604</v>
      </c>
      <c r="J1533" s="2" t="s">
        <v>571</v>
      </c>
      <c r="K1533" s="2" t="s">
        <v>10</v>
      </c>
    </row>
    <row r="1534" spans="1:11" ht="55.2" hidden="1" x14ac:dyDescent="0.3">
      <c r="A1534" s="2" t="s">
        <v>4604</v>
      </c>
      <c r="B1534" s="2" t="s">
        <v>5404</v>
      </c>
      <c r="C1534" s="3">
        <v>36899</v>
      </c>
      <c r="D1534" s="1" t="s">
        <v>5405</v>
      </c>
      <c r="E1534" s="1" t="s">
        <v>5406</v>
      </c>
      <c r="F1534" s="2" t="s">
        <v>4698</v>
      </c>
      <c r="G1534" s="2" t="s">
        <v>1135</v>
      </c>
      <c r="H1534" s="2" t="s">
        <v>5407</v>
      </c>
      <c r="I1534" s="2" t="s">
        <v>4604</v>
      </c>
      <c r="J1534" s="2" t="s">
        <v>5408</v>
      </c>
      <c r="K1534" s="2" t="s">
        <v>10</v>
      </c>
    </row>
    <row r="1535" spans="1:11" ht="55.2" hidden="1" x14ac:dyDescent="0.3">
      <c r="A1535" s="2" t="s">
        <v>4604</v>
      </c>
      <c r="B1535" s="2" t="s">
        <v>5409</v>
      </c>
      <c r="C1535" s="3">
        <v>31118</v>
      </c>
      <c r="D1535" s="1" t="s">
        <v>5410</v>
      </c>
      <c r="E1535" s="1" t="s">
        <v>5411</v>
      </c>
      <c r="F1535" s="2" t="s">
        <v>4698</v>
      </c>
      <c r="G1535" s="2" t="s">
        <v>3940</v>
      </c>
      <c r="H1535" s="2" t="s">
        <v>5412</v>
      </c>
      <c r="I1535" s="2" t="s">
        <v>4604</v>
      </c>
      <c r="J1535" s="2" t="s">
        <v>5317</v>
      </c>
      <c r="K1535" s="2" t="s">
        <v>10</v>
      </c>
    </row>
    <row r="1536" spans="1:11" ht="55.2" hidden="1" x14ac:dyDescent="0.3">
      <c r="A1536" s="2" t="s">
        <v>4604</v>
      </c>
      <c r="B1536" s="2" t="s">
        <v>5413</v>
      </c>
      <c r="C1536" s="3">
        <v>28163</v>
      </c>
      <c r="D1536" s="1" t="s">
        <v>5414</v>
      </c>
      <c r="E1536" s="1" t="s">
        <v>5415</v>
      </c>
      <c r="F1536" s="2" t="s">
        <v>4698</v>
      </c>
      <c r="G1536" s="2" t="s">
        <v>933</v>
      </c>
      <c r="H1536" s="2" t="s">
        <v>5416</v>
      </c>
      <c r="I1536" s="2" t="s">
        <v>4604</v>
      </c>
      <c r="J1536" s="2" t="s">
        <v>5417</v>
      </c>
      <c r="K1536" s="2" t="s">
        <v>10</v>
      </c>
    </row>
    <row r="1537" spans="1:11" ht="55.2" hidden="1" x14ac:dyDescent="0.3">
      <c r="A1537" s="2" t="s">
        <v>4604</v>
      </c>
      <c r="B1537" s="2" t="s">
        <v>5418</v>
      </c>
      <c r="C1537" s="3">
        <v>32008</v>
      </c>
      <c r="D1537" s="1" t="s">
        <v>5419</v>
      </c>
      <c r="E1537" s="1" t="s">
        <v>5420</v>
      </c>
      <c r="F1537" s="2" t="s">
        <v>4698</v>
      </c>
      <c r="G1537" s="2" t="s">
        <v>222</v>
      </c>
      <c r="H1537" s="2" t="s">
        <v>5421</v>
      </c>
      <c r="I1537" s="2" t="s">
        <v>4604</v>
      </c>
      <c r="J1537" s="2" t="s">
        <v>417</v>
      </c>
      <c r="K1537" s="2" t="s">
        <v>10</v>
      </c>
    </row>
    <row r="1538" spans="1:11" ht="55.2" hidden="1" x14ac:dyDescent="0.3">
      <c r="A1538" s="2" t="s">
        <v>4604</v>
      </c>
      <c r="B1538" s="2" t="s">
        <v>5422</v>
      </c>
      <c r="C1538" s="3">
        <v>29987</v>
      </c>
      <c r="D1538" s="1" t="s">
        <v>5423</v>
      </c>
      <c r="E1538" s="1" t="s">
        <v>5424</v>
      </c>
      <c r="F1538" s="2" t="s">
        <v>4698</v>
      </c>
      <c r="G1538" s="2" t="s">
        <v>669</v>
      </c>
      <c r="H1538" s="2" t="s">
        <v>334</v>
      </c>
      <c r="I1538" s="2" t="s">
        <v>4604</v>
      </c>
      <c r="J1538" s="2" t="s">
        <v>1888</v>
      </c>
      <c r="K1538" s="2" t="s">
        <v>10</v>
      </c>
    </row>
    <row r="1539" spans="1:11" ht="55.2" hidden="1" x14ac:dyDescent="0.3">
      <c r="A1539" s="2" t="s">
        <v>4604</v>
      </c>
      <c r="B1539" s="2" t="s">
        <v>5425</v>
      </c>
      <c r="C1539" s="3">
        <v>22386</v>
      </c>
      <c r="D1539" s="1" t="s">
        <v>5426</v>
      </c>
      <c r="E1539" s="1" t="s">
        <v>5427</v>
      </c>
      <c r="F1539" s="2" t="s">
        <v>4698</v>
      </c>
      <c r="G1539" s="2" t="s">
        <v>1015</v>
      </c>
      <c r="H1539" s="2" t="s">
        <v>5428</v>
      </c>
      <c r="I1539" s="2" t="s">
        <v>4604</v>
      </c>
      <c r="J1539" s="2" t="s">
        <v>5429</v>
      </c>
      <c r="K1539" s="2" t="s">
        <v>10</v>
      </c>
    </row>
    <row r="1540" spans="1:11" ht="55.2" hidden="1" x14ac:dyDescent="0.3">
      <c r="A1540" s="2" t="s">
        <v>4604</v>
      </c>
      <c r="B1540" s="2" t="s">
        <v>5430</v>
      </c>
      <c r="C1540" s="3">
        <v>28605</v>
      </c>
      <c r="D1540" s="1" t="s">
        <v>5431</v>
      </c>
      <c r="E1540" s="1" t="s">
        <v>5432</v>
      </c>
      <c r="F1540" s="2" t="s">
        <v>4698</v>
      </c>
      <c r="G1540" s="2" t="s">
        <v>933</v>
      </c>
      <c r="H1540" s="2" t="s">
        <v>5433</v>
      </c>
      <c r="I1540" s="2" t="s">
        <v>4604</v>
      </c>
      <c r="J1540" s="2" t="s">
        <v>5417</v>
      </c>
      <c r="K1540" s="2" t="s">
        <v>10</v>
      </c>
    </row>
    <row r="1541" spans="1:11" ht="55.2" hidden="1" x14ac:dyDescent="0.3">
      <c r="A1541" s="2" t="s">
        <v>4604</v>
      </c>
      <c r="B1541" s="2" t="s">
        <v>5434</v>
      </c>
      <c r="C1541" s="3">
        <v>32775</v>
      </c>
      <c r="D1541" s="1" t="s">
        <v>5435</v>
      </c>
      <c r="E1541" s="1" t="s">
        <v>5436</v>
      </c>
      <c r="F1541" s="2" t="s">
        <v>4698</v>
      </c>
      <c r="G1541" s="2" t="s">
        <v>712</v>
      </c>
      <c r="H1541" s="2" t="s">
        <v>5437</v>
      </c>
      <c r="I1541" s="2" t="s">
        <v>4604</v>
      </c>
      <c r="J1541" s="2" t="s">
        <v>5438</v>
      </c>
      <c r="K1541" s="2" t="s">
        <v>10</v>
      </c>
    </row>
    <row r="1542" spans="1:11" ht="55.2" hidden="1" x14ac:dyDescent="0.3">
      <c r="A1542" s="2" t="s">
        <v>4604</v>
      </c>
      <c r="B1542" s="2" t="s">
        <v>5439</v>
      </c>
      <c r="C1542" s="3">
        <v>31562</v>
      </c>
      <c r="D1542" s="1" t="s">
        <v>5440</v>
      </c>
      <c r="E1542" s="1" t="s">
        <v>5441</v>
      </c>
      <c r="F1542" s="2" t="s">
        <v>4698</v>
      </c>
      <c r="G1542" s="2" t="s">
        <v>1135</v>
      </c>
      <c r="H1542" s="2" t="s">
        <v>5442</v>
      </c>
      <c r="I1542" s="2" t="s">
        <v>4604</v>
      </c>
      <c r="J1542" s="2" t="s">
        <v>5408</v>
      </c>
      <c r="K1542" s="2" t="s">
        <v>10</v>
      </c>
    </row>
    <row r="1543" spans="1:11" ht="55.2" hidden="1" x14ac:dyDescent="0.3">
      <c r="A1543" s="2" t="s">
        <v>4604</v>
      </c>
      <c r="B1543" s="2" t="s">
        <v>5443</v>
      </c>
      <c r="C1543" s="3">
        <v>26723</v>
      </c>
      <c r="D1543" s="1" t="s">
        <v>5444</v>
      </c>
      <c r="E1543" s="1" t="s">
        <v>5445</v>
      </c>
      <c r="F1543" s="2" t="s">
        <v>4698</v>
      </c>
      <c r="G1543" s="2" t="s">
        <v>1135</v>
      </c>
      <c r="H1543" s="2" t="s">
        <v>5446</v>
      </c>
      <c r="I1543" s="2" t="s">
        <v>4604</v>
      </c>
      <c r="J1543" s="2" t="s">
        <v>5408</v>
      </c>
      <c r="K1543" s="2" t="s">
        <v>10</v>
      </c>
    </row>
    <row r="1544" spans="1:11" ht="55.2" hidden="1" x14ac:dyDescent="0.3">
      <c r="A1544" s="2" t="s">
        <v>4604</v>
      </c>
      <c r="B1544" s="2" t="s">
        <v>5447</v>
      </c>
      <c r="C1544" s="3">
        <v>25917</v>
      </c>
      <c r="D1544" s="1" t="s">
        <v>5448</v>
      </c>
      <c r="E1544" s="1" t="s">
        <v>5449</v>
      </c>
      <c r="F1544" s="2" t="s">
        <v>4698</v>
      </c>
      <c r="G1544" s="2" t="s">
        <v>288</v>
      </c>
      <c r="H1544" s="2" t="s">
        <v>5450</v>
      </c>
      <c r="I1544" s="2" t="s">
        <v>4604</v>
      </c>
      <c r="J1544" s="2" t="s">
        <v>4962</v>
      </c>
      <c r="K1544" s="2" t="s">
        <v>10</v>
      </c>
    </row>
    <row r="1545" spans="1:11" ht="55.2" hidden="1" x14ac:dyDescent="0.3">
      <c r="A1545" s="2" t="s">
        <v>4604</v>
      </c>
      <c r="B1545" s="2" t="s">
        <v>5451</v>
      </c>
      <c r="C1545" s="3">
        <v>26137</v>
      </c>
      <c r="D1545" s="1" t="s">
        <v>5452</v>
      </c>
      <c r="E1545" s="1" t="s">
        <v>5453</v>
      </c>
      <c r="F1545" s="2" t="s">
        <v>4698</v>
      </c>
      <c r="G1545" s="2" t="s">
        <v>2748</v>
      </c>
      <c r="H1545" s="2" t="s">
        <v>5454</v>
      </c>
      <c r="I1545" s="2" t="s">
        <v>4604</v>
      </c>
      <c r="J1545" s="2" t="s">
        <v>5455</v>
      </c>
      <c r="K1545" s="2" t="s">
        <v>10</v>
      </c>
    </row>
    <row r="1546" spans="1:11" ht="55.2" hidden="1" x14ac:dyDescent="0.3">
      <c r="A1546" s="2" t="s">
        <v>4604</v>
      </c>
      <c r="B1546" s="2" t="s">
        <v>5456</v>
      </c>
      <c r="C1546" s="3">
        <v>23709</v>
      </c>
      <c r="D1546" s="1" t="s">
        <v>5457</v>
      </c>
      <c r="E1546" s="1" t="s">
        <v>5458</v>
      </c>
      <c r="F1546" s="2" t="s">
        <v>4698</v>
      </c>
      <c r="G1546" s="2" t="s">
        <v>2790</v>
      </c>
      <c r="H1546" s="2" t="s">
        <v>5459</v>
      </c>
      <c r="I1546" s="2" t="s">
        <v>4604</v>
      </c>
      <c r="J1546" s="2" t="s">
        <v>5460</v>
      </c>
      <c r="K1546" s="2" t="s">
        <v>10</v>
      </c>
    </row>
    <row r="1547" spans="1:11" ht="55.2" hidden="1" x14ac:dyDescent="0.3">
      <c r="A1547" s="2" t="s">
        <v>4604</v>
      </c>
      <c r="B1547" s="2" t="s">
        <v>5461</v>
      </c>
      <c r="C1547" s="3">
        <v>37942</v>
      </c>
      <c r="D1547" s="1" t="s">
        <v>5462</v>
      </c>
      <c r="E1547" s="1" t="s">
        <v>5463</v>
      </c>
      <c r="F1547" s="2" t="s">
        <v>4698</v>
      </c>
      <c r="G1547" s="2" t="s">
        <v>278</v>
      </c>
      <c r="H1547" s="2" t="s">
        <v>5464</v>
      </c>
      <c r="I1547" s="2" t="s">
        <v>4604</v>
      </c>
      <c r="J1547" s="2" t="s">
        <v>5465</v>
      </c>
      <c r="K1547" s="2" t="s">
        <v>10</v>
      </c>
    </row>
    <row r="1548" spans="1:11" ht="55.2" hidden="1" x14ac:dyDescent="0.3">
      <c r="A1548" s="2" t="s">
        <v>4604</v>
      </c>
      <c r="B1548" s="2" t="s">
        <v>5466</v>
      </c>
      <c r="C1548" s="3">
        <v>27636</v>
      </c>
      <c r="D1548" s="1" t="s">
        <v>5467</v>
      </c>
      <c r="E1548" s="1" t="s">
        <v>5468</v>
      </c>
      <c r="F1548" s="2" t="s">
        <v>4698</v>
      </c>
      <c r="G1548" s="2" t="s">
        <v>278</v>
      </c>
      <c r="H1548" s="2" t="s">
        <v>5469</v>
      </c>
      <c r="I1548" s="2" t="s">
        <v>4604</v>
      </c>
      <c r="J1548" s="2" t="s">
        <v>4967</v>
      </c>
      <c r="K1548" s="2" t="s">
        <v>10</v>
      </c>
    </row>
    <row r="1549" spans="1:11" ht="55.2" hidden="1" x14ac:dyDescent="0.3">
      <c r="A1549" s="2" t="s">
        <v>4604</v>
      </c>
      <c r="B1549" s="2" t="s">
        <v>5470</v>
      </c>
      <c r="C1549" s="3">
        <v>30887</v>
      </c>
      <c r="D1549" s="1" t="s">
        <v>5471</v>
      </c>
      <c r="E1549" s="1" t="s">
        <v>5472</v>
      </c>
      <c r="F1549" s="2" t="s">
        <v>4698</v>
      </c>
      <c r="G1549" s="2" t="s">
        <v>1763</v>
      </c>
      <c r="H1549" s="2" t="s">
        <v>5473</v>
      </c>
      <c r="I1549" s="2" t="s">
        <v>4604</v>
      </c>
      <c r="J1549" s="2" t="s">
        <v>4972</v>
      </c>
      <c r="K1549" s="2" t="s">
        <v>10</v>
      </c>
    </row>
    <row r="1550" spans="1:11" ht="55.2" hidden="1" x14ac:dyDescent="0.3">
      <c r="A1550" s="2" t="s">
        <v>4604</v>
      </c>
      <c r="B1550" s="2" t="s">
        <v>5474</v>
      </c>
      <c r="C1550" s="3">
        <v>29573</v>
      </c>
      <c r="D1550" s="1" t="s">
        <v>5475</v>
      </c>
      <c r="E1550" s="1" t="s">
        <v>5476</v>
      </c>
      <c r="F1550" s="2" t="s">
        <v>4698</v>
      </c>
      <c r="G1550" s="2" t="s">
        <v>552</v>
      </c>
      <c r="H1550" s="2" t="s">
        <v>5477</v>
      </c>
      <c r="I1550" s="2" t="s">
        <v>4604</v>
      </c>
      <c r="J1550" s="2" t="s">
        <v>4981</v>
      </c>
      <c r="K1550" s="2" t="s">
        <v>10</v>
      </c>
    </row>
    <row r="1551" spans="1:11" ht="55.2" hidden="1" x14ac:dyDescent="0.3">
      <c r="A1551" s="2" t="s">
        <v>4604</v>
      </c>
      <c r="B1551" s="2" t="s">
        <v>5478</v>
      </c>
      <c r="C1551" s="3">
        <v>33315</v>
      </c>
      <c r="D1551" s="1" t="s">
        <v>5479</v>
      </c>
      <c r="E1551" s="1" t="s">
        <v>5480</v>
      </c>
      <c r="F1551" s="2" t="s">
        <v>4698</v>
      </c>
      <c r="G1551" s="2" t="s">
        <v>3931</v>
      </c>
      <c r="H1551" s="2" t="s">
        <v>5481</v>
      </c>
      <c r="I1551" s="2" t="s">
        <v>4604</v>
      </c>
      <c r="J1551" s="2" t="s">
        <v>5004</v>
      </c>
      <c r="K1551" s="2" t="s">
        <v>10</v>
      </c>
    </row>
    <row r="1552" spans="1:11" ht="55.2" hidden="1" x14ac:dyDescent="0.3">
      <c r="A1552" s="2" t="s">
        <v>4604</v>
      </c>
      <c r="B1552" s="2" t="s">
        <v>5482</v>
      </c>
      <c r="C1552" s="3">
        <v>32698</v>
      </c>
      <c r="D1552" s="1" t="s">
        <v>5483</v>
      </c>
      <c r="E1552" s="1" t="s">
        <v>5484</v>
      </c>
      <c r="F1552" s="2" t="s">
        <v>4698</v>
      </c>
      <c r="G1552" s="2" t="s">
        <v>3134</v>
      </c>
      <c r="H1552" s="2" t="s">
        <v>5485</v>
      </c>
      <c r="I1552" s="2" t="s">
        <v>4604</v>
      </c>
      <c r="J1552" s="2" t="s">
        <v>4153</v>
      </c>
      <c r="K1552" s="2" t="s">
        <v>10</v>
      </c>
    </row>
    <row r="1553" spans="1:12" ht="55.2" hidden="1" x14ac:dyDescent="0.3">
      <c r="A1553" s="2" t="s">
        <v>4604</v>
      </c>
      <c r="B1553" s="2" t="s">
        <v>5486</v>
      </c>
      <c r="C1553" s="3">
        <v>30060</v>
      </c>
      <c r="D1553" s="1" t="s">
        <v>5487</v>
      </c>
      <c r="E1553" s="1" t="s">
        <v>5488</v>
      </c>
      <c r="F1553" s="2" t="s">
        <v>4698</v>
      </c>
      <c r="G1553" s="2" t="s">
        <v>3957</v>
      </c>
      <c r="H1553" s="2" t="s">
        <v>5489</v>
      </c>
      <c r="I1553" s="2" t="s">
        <v>4604</v>
      </c>
      <c r="J1553" s="2" t="s">
        <v>4881</v>
      </c>
      <c r="K1553" s="2" t="s">
        <v>10</v>
      </c>
    </row>
    <row r="1554" spans="1:12" ht="55.2" hidden="1" x14ac:dyDescent="0.3">
      <c r="A1554" s="2" t="s">
        <v>4604</v>
      </c>
      <c r="B1554" s="2" t="s">
        <v>5490</v>
      </c>
      <c r="C1554" s="3">
        <v>33427</v>
      </c>
      <c r="D1554" s="1" t="s">
        <v>5491</v>
      </c>
      <c r="E1554" s="1" t="s">
        <v>5492</v>
      </c>
      <c r="F1554" s="2" t="s">
        <v>4698</v>
      </c>
      <c r="G1554" s="2" t="s">
        <v>245</v>
      </c>
      <c r="H1554" s="2" t="s">
        <v>5493</v>
      </c>
      <c r="I1554" s="2" t="s">
        <v>4604</v>
      </c>
      <c r="J1554" s="2" t="s">
        <v>5494</v>
      </c>
      <c r="K1554" s="2" t="s">
        <v>10</v>
      </c>
    </row>
    <row r="1555" spans="1:12" ht="55.2" hidden="1" x14ac:dyDescent="0.3">
      <c r="A1555" s="2" t="s">
        <v>4604</v>
      </c>
      <c r="B1555" s="2" t="s">
        <v>5495</v>
      </c>
      <c r="C1555" s="3">
        <v>36149</v>
      </c>
      <c r="D1555" s="1" t="s">
        <v>5496</v>
      </c>
      <c r="E1555" s="1" t="s">
        <v>5497</v>
      </c>
      <c r="F1555" s="2" t="s">
        <v>4698</v>
      </c>
      <c r="G1555" s="2" t="s">
        <v>75</v>
      </c>
      <c r="H1555" s="2" t="s">
        <v>5498</v>
      </c>
      <c r="I1555" s="2" t="s">
        <v>4604</v>
      </c>
      <c r="J1555" s="2" t="s">
        <v>5499</v>
      </c>
      <c r="K1555" s="2" t="s">
        <v>10</v>
      </c>
    </row>
    <row r="1556" spans="1:12" ht="55.2" hidden="1" x14ac:dyDescent="0.3">
      <c r="A1556" s="2" t="s">
        <v>4604</v>
      </c>
      <c r="B1556" s="2" t="s">
        <v>5500</v>
      </c>
      <c r="C1556" s="3">
        <v>37549</v>
      </c>
      <c r="D1556" s="1" t="s">
        <v>5501</v>
      </c>
      <c r="E1556" s="1" t="s">
        <v>5502</v>
      </c>
      <c r="F1556" s="2" t="s">
        <v>4698</v>
      </c>
      <c r="G1556" s="2" t="s">
        <v>425</v>
      </c>
      <c r="H1556" s="2" t="s">
        <v>5503</v>
      </c>
      <c r="I1556" s="2" t="s">
        <v>4604</v>
      </c>
      <c r="J1556" s="2" t="s">
        <v>841</v>
      </c>
      <c r="K1556" s="2" t="s">
        <v>10</v>
      </c>
    </row>
    <row r="1557" spans="1:12" ht="55.2" hidden="1" x14ac:dyDescent="0.3">
      <c r="A1557" s="2" t="s">
        <v>4604</v>
      </c>
      <c r="B1557" s="2" t="s">
        <v>5504</v>
      </c>
      <c r="C1557" s="3">
        <v>29213</v>
      </c>
      <c r="D1557" s="1" t="s">
        <v>5505</v>
      </c>
      <c r="E1557" s="1" t="s">
        <v>5506</v>
      </c>
      <c r="F1557" s="2" t="s">
        <v>4698</v>
      </c>
      <c r="G1557" s="2" t="s">
        <v>222</v>
      </c>
      <c r="H1557" s="2" t="s">
        <v>5507</v>
      </c>
      <c r="I1557" s="2" t="s">
        <v>4604</v>
      </c>
      <c r="J1557" s="2" t="s">
        <v>417</v>
      </c>
      <c r="K1557" s="2" t="s">
        <v>10</v>
      </c>
    </row>
    <row r="1558" spans="1:12" ht="55.2" hidden="1" x14ac:dyDescent="0.3">
      <c r="A1558" s="2" t="s">
        <v>4604</v>
      </c>
      <c r="B1558" s="2" t="s">
        <v>5508</v>
      </c>
      <c r="C1558" s="3">
        <v>26979</v>
      </c>
      <c r="D1558" s="1" t="s">
        <v>5509</v>
      </c>
      <c r="E1558" s="1" t="s">
        <v>5510</v>
      </c>
      <c r="F1558" s="2" t="s">
        <v>4608</v>
      </c>
      <c r="G1558" s="2" t="s">
        <v>380</v>
      </c>
      <c r="H1558" s="2" t="s">
        <v>5511</v>
      </c>
      <c r="I1558" s="2" t="s">
        <v>4604</v>
      </c>
      <c r="J1558" s="2" t="s">
        <v>744</v>
      </c>
      <c r="K1558" s="2" t="s">
        <v>10</v>
      </c>
    </row>
    <row r="1559" spans="1:12" ht="55.2" hidden="1" x14ac:dyDescent="0.3">
      <c r="A1559" s="2" t="s">
        <v>4604</v>
      </c>
      <c r="B1559" s="2" t="s">
        <v>5512</v>
      </c>
      <c r="C1559" s="3">
        <v>32674</v>
      </c>
      <c r="D1559" s="1" t="s">
        <v>5513</v>
      </c>
      <c r="E1559" s="1" t="s">
        <v>5514</v>
      </c>
      <c r="F1559" s="2" t="s">
        <v>4698</v>
      </c>
      <c r="G1559" s="2" t="s">
        <v>211</v>
      </c>
      <c r="H1559" s="2" t="s">
        <v>5515</v>
      </c>
      <c r="I1559" s="2" t="s">
        <v>4604</v>
      </c>
      <c r="J1559" s="2" t="s">
        <v>601</v>
      </c>
      <c r="K1559" s="2" t="s">
        <v>10</v>
      </c>
    </row>
    <row r="1560" spans="1:12" ht="55.2" hidden="1" x14ac:dyDescent="0.3">
      <c r="A1560" s="2" t="s">
        <v>4604</v>
      </c>
      <c r="B1560" s="2" t="s">
        <v>5516</v>
      </c>
      <c r="C1560" s="3">
        <v>35917</v>
      </c>
      <c r="D1560" s="1" t="s">
        <v>5517</v>
      </c>
      <c r="E1560" s="1" t="s">
        <v>5518</v>
      </c>
      <c r="F1560" s="2" t="s">
        <v>4698</v>
      </c>
      <c r="G1560" s="2" t="s">
        <v>206</v>
      </c>
      <c r="H1560" s="2" t="s">
        <v>10</v>
      </c>
      <c r="I1560" s="2" t="s">
        <v>4604</v>
      </c>
      <c r="J1560" s="2" t="s">
        <v>4666</v>
      </c>
      <c r="K1560" s="2" t="s">
        <v>10</v>
      </c>
    </row>
    <row r="1561" spans="1:12" ht="55.2" hidden="1" x14ac:dyDescent="0.3">
      <c r="A1561" s="2" t="s">
        <v>4604</v>
      </c>
      <c r="B1561" s="2" t="s">
        <v>5519</v>
      </c>
      <c r="C1561" s="3">
        <v>30875</v>
      </c>
      <c r="D1561" s="1" t="s">
        <v>5520</v>
      </c>
      <c r="E1561" s="1" t="s">
        <v>5521</v>
      </c>
      <c r="F1561" s="2" t="s">
        <v>4608</v>
      </c>
      <c r="G1561" s="2" t="s">
        <v>552</v>
      </c>
      <c r="H1561" s="2" t="s">
        <v>10</v>
      </c>
      <c r="I1561" s="2" t="s">
        <v>4604</v>
      </c>
      <c r="J1561" s="2" t="s">
        <v>5522</v>
      </c>
      <c r="K1561" s="2" t="s">
        <v>10</v>
      </c>
    </row>
    <row r="1562" spans="1:12" ht="27.6" hidden="1" x14ac:dyDescent="0.3">
      <c r="A1562" s="2" t="s">
        <v>60</v>
      </c>
      <c r="B1562" s="2" t="s">
        <v>5523</v>
      </c>
      <c r="C1562" s="3">
        <v>15316</v>
      </c>
      <c r="D1562" s="1" t="s">
        <v>5524</v>
      </c>
      <c r="E1562" s="1" t="s">
        <v>5525</v>
      </c>
      <c r="F1562" s="2" t="s">
        <v>636</v>
      </c>
      <c r="G1562" s="2" t="s">
        <v>222</v>
      </c>
      <c r="H1562" s="2" t="s">
        <v>103</v>
      </c>
      <c r="I1562" s="2" t="s">
        <v>60</v>
      </c>
      <c r="J1562" s="2" t="s">
        <v>4229</v>
      </c>
      <c r="K1562" s="2" t="s">
        <v>10</v>
      </c>
    </row>
    <row r="1563" spans="1:12" ht="55.2" hidden="1" x14ac:dyDescent="0.3">
      <c r="A1563" s="2" t="s">
        <v>4604</v>
      </c>
      <c r="B1563" s="2" t="s">
        <v>5526</v>
      </c>
      <c r="C1563" s="3">
        <v>401035</v>
      </c>
      <c r="D1563" s="1" t="s">
        <v>5527</v>
      </c>
      <c r="E1563" s="1" t="s">
        <v>5528</v>
      </c>
      <c r="F1563" s="2" t="s">
        <v>4608</v>
      </c>
      <c r="G1563" s="2" t="s">
        <v>245</v>
      </c>
      <c r="H1563" s="2" t="s">
        <v>10</v>
      </c>
      <c r="I1563" s="2" t="s">
        <v>4604</v>
      </c>
      <c r="J1563" s="2" t="s">
        <v>5529</v>
      </c>
      <c r="K1563" s="2" t="s">
        <v>10</v>
      </c>
    </row>
    <row r="1564" spans="1:12" ht="27.6" hidden="1" x14ac:dyDescent="0.3">
      <c r="A1564" s="2" t="s">
        <v>60</v>
      </c>
      <c r="B1564" s="2" t="s">
        <v>5530</v>
      </c>
      <c r="C1564" s="3">
        <v>36316</v>
      </c>
      <c r="D1564" s="1" t="s">
        <v>5531</v>
      </c>
      <c r="E1564" s="1" t="s">
        <v>5532</v>
      </c>
      <c r="F1564" s="2" t="s">
        <v>314</v>
      </c>
      <c r="G1564" s="2" t="s">
        <v>157</v>
      </c>
      <c r="H1564" s="2" t="s">
        <v>334</v>
      </c>
      <c r="I1564" s="2" t="s">
        <v>60</v>
      </c>
      <c r="J1564" s="2" t="s">
        <v>119</v>
      </c>
      <c r="K1564" s="2" t="s">
        <v>10</v>
      </c>
    </row>
    <row r="1565" spans="1:12" ht="27.6" hidden="1" x14ac:dyDescent="0.3">
      <c r="A1565" s="2" t="s">
        <v>60</v>
      </c>
      <c r="B1565" s="2" t="s">
        <v>5533</v>
      </c>
      <c r="C1565" s="3">
        <v>32180</v>
      </c>
      <c r="D1565" s="1" t="s">
        <v>5534</v>
      </c>
      <c r="E1565" s="1" t="s">
        <v>5535</v>
      </c>
      <c r="F1565" s="2" t="s">
        <v>60</v>
      </c>
      <c r="G1565" s="2" t="s">
        <v>3931</v>
      </c>
      <c r="H1565" s="2" t="s">
        <v>81</v>
      </c>
      <c r="I1565" s="2" t="s">
        <v>60</v>
      </c>
      <c r="J1565" s="2" t="s">
        <v>4307</v>
      </c>
      <c r="K1565" s="2" t="s">
        <v>10</v>
      </c>
    </row>
    <row r="1566" spans="1:12" ht="27.6" hidden="1" x14ac:dyDescent="0.3">
      <c r="A1566" s="2" t="s">
        <v>60</v>
      </c>
      <c r="B1566" s="2" t="s">
        <v>5536</v>
      </c>
      <c r="C1566" s="3">
        <v>18791</v>
      </c>
      <c r="D1566" s="1" t="s">
        <v>5537</v>
      </c>
      <c r="E1566" s="1" t="s">
        <v>5538</v>
      </c>
      <c r="F1566" s="2" t="s">
        <v>314</v>
      </c>
      <c r="G1566" s="2" t="s">
        <v>425</v>
      </c>
      <c r="H1566" s="2" t="s">
        <v>10</v>
      </c>
      <c r="I1566" s="2" t="s">
        <v>60</v>
      </c>
      <c r="J1566" s="2" t="s">
        <v>426</v>
      </c>
      <c r="K1566" s="2" t="s">
        <v>10</v>
      </c>
    </row>
    <row r="1567" spans="1:12" ht="27.6" hidden="1" x14ac:dyDescent="0.3">
      <c r="A1567" s="2" t="s">
        <v>60</v>
      </c>
      <c r="B1567" s="2" t="s">
        <v>5533</v>
      </c>
      <c r="C1567" s="3">
        <v>32180</v>
      </c>
      <c r="D1567" s="1" t="s">
        <v>5534</v>
      </c>
      <c r="E1567" s="1" t="s">
        <v>5535</v>
      </c>
      <c r="F1567" s="2" t="s">
        <v>60</v>
      </c>
      <c r="G1567" s="2" t="s">
        <v>3931</v>
      </c>
      <c r="H1567" s="2" t="s">
        <v>103</v>
      </c>
      <c r="I1567" s="2" t="s">
        <v>60</v>
      </c>
      <c r="J1567" s="2" t="s">
        <v>4307</v>
      </c>
      <c r="K1567" s="2" t="s">
        <v>10</v>
      </c>
    </row>
    <row r="1568" spans="1:12" hidden="1" x14ac:dyDescent="0.3">
      <c r="A1568" s="2" t="s">
        <v>180</v>
      </c>
      <c r="B1568" s="2" t="s">
        <v>5539</v>
      </c>
      <c r="C1568" s="3">
        <v>34099</v>
      </c>
      <c r="D1568" s="1" t="s">
        <v>5540</v>
      </c>
      <c r="E1568" s="1" t="s">
        <v>5541</v>
      </c>
      <c r="F1568" s="2" t="s">
        <v>466</v>
      </c>
      <c r="G1568" s="2" t="s">
        <v>319</v>
      </c>
      <c r="H1568" s="2" t="s">
        <v>10</v>
      </c>
      <c r="I1568" s="2" t="s">
        <v>180</v>
      </c>
      <c r="J1568" s="2" t="s">
        <v>320</v>
      </c>
      <c r="K1568" s="2" t="s">
        <v>10</v>
      </c>
      <c r="L1568" s="6"/>
    </row>
    <row r="1569" spans="1:12" ht="27.6" hidden="1" x14ac:dyDescent="0.3">
      <c r="A1569" s="2" t="s">
        <v>1957</v>
      </c>
      <c r="B1569" s="2" t="s">
        <v>5542</v>
      </c>
      <c r="C1569" s="3">
        <v>24926</v>
      </c>
      <c r="D1569" s="1" t="s">
        <v>5543</v>
      </c>
      <c r="E1569" s="1" t="s">
        <v>5544</v>
      </c>
      <c r="F1569" s="2" t="s">
        <v>1961</v>
      </c>
      <c r="G1569" s="2" t="s">
        <v>392</v>
      </c>
      <c r="H1569" s="2" t="s">
        <v>10</v>
      </c>
      <c r="I1569" s="2" t="s">
        <v>1957</v>
      </c>
      <c r="J1569" s="2" t="s">
        <v>1258</v>
      </c>
      <c r="K1569" s="2" t="s">
        <v>10</v>
      </c>
    </row>
    <row r="1570" spans="1:12" ht="55.2" hidden="1" x14ac:dyDescent="0.3">
      <c r="A1570" s="2" t="s">
        <v>4604</v>
      </c>
      <c r="B1570" s="2" t="s">
        <v>5545</v>
      </c>
      <c r="C1570" s="3">
        <v>30549</v>
      </c>
      <c r="D1570" s="1" t="s">
        <v>261</v>
      </c>
      <c r="E1570" s="1" t="s">
        <v>5546</v>
      </c>
      <c r="F1570" s="2" t="s">
        <v>4608</v>
      </c>
      <c r="G1570" s="2" t="s">
        <v>511</v>
      </c>
      <c r="H1570" s="2" t="s">
        <v>10</v>
      </c>
      <c r="I1570" s="2" t="s">
        <v>4604</v>
      </c>
      <c r="J1570" s="2" t="s">
        <v>5547</v>
      </c>
      <c r="K1570" s="2" t="s">
        <v>10</v>
      </c>
    </row>
    <row r="1571" spans="1:12" ht="55.2" hidden="1" x14ac:dyDescent="0.3">
      <c r="A1571" s="2" t="s">
        <v>4604</v>
      </c>
      <c r="B1571" s="2" t="s">
        <v>5548</v>
      </c>
      <c r="C1571" s="3">
        <v>29358</v>
      </c>
      <c r="D1571" s="1" t="s">
        <v>5549</v>
      </c>
      <c r="E1571" s="1" t="s">
        <v>5550</v>
      </c>
      <c r="F1571" s="2" t="s">
        <v>4608</v>
      </c>
      <c r="G1571" s="2" t="s">
        <v>604</v>
      </c>
      <c r="H1571" s="2" t="s">
        <v>10</v>
      </c>
      <c r="I1571" s="2" t="s">
        <v>4604</v>
      </c>
      <c r="J1571" s="2" t="s">
        <v>5551</v>
      </c>
      <c r="K1571" s="2" t="s">
        <v>10</v>
      </c>
    </row>
    <row r="1572" spans="1:12" ht="27.6" hidden="1" x14ac:dyDescent="0.3">
      <c r="A1572" s="2" t="s">
        <v>4386</v>
      </c>
      <c r="B1572" s="2" t="s">
        <v>5552</v>
      </c>
      <c r="C1572" s="3">
        <v>26186</v>
      </c>
      <c r="D1572" s="1" t="s">
        <v>5553</v>
      </c>
      <c r="E1572" s="1" t="s">
        <v>5554</v>
      </c>
      <c r="F1572" s="2" t="s">
        <v>4555</v>
      </c>
      <c r="G1572" s="2" t="s">
        <v>5555</v>
      </c>
      <c r="H1572" s="2" t="s">
        <v>10</v>
      </c>
      <c r="I1572" s="2" t="s">
        <v>4386</v>
      </c>
      <c r="J1572" s="2" t="s">
        <v>5556</v>
      </c>
      <c r="K1572" s="15" t="s">
        <v>10</v>
      </c>
    </row>
    <row r="1573" spans="1:12" ht="27.6" hidden="1" x14ac:dyDescent="0.3">
      <c r="A1573" s="2" t="s">
        <v>4386</v>
      </c>
      <c r="B1573" s="2" t="s">
        <v>5557</v>
      </c>
      <c r="C1573" s="3">
        <v>32962</v>
      </c>
      <c r="D1573" s="1" t="s">
        <v>5448</v>
      </c>
      <c r="E1573" s="1" t="s">
        <v>5558</v>
      </c>
      <c r="F1573" s="2" t="s">
        <v>5559</v>
      </c>
      <c r="G1573" s="2" t="s">
        <v>5560</v>
      </c>
      <c r="H1573" s="2" t="s">
        <v>10</v>
      </c>
      <c r="I1573" s="2" t="s">
        <v>4386</v>
      </c>
      <c r="J1573" s="2" t="s">
        <v>5561</v>
      </c>
      <c r="K1573" s="2" t="s">
        <v>10</v>
      </c>
      <c r="L1573" s="6"/>
    </row>
    <row r="1574" spans="1:12" ht="27.6" hidden="1" x14ac:dyDescent="0.3">
      <c r="A1574" s="2" t="s">
        <v>4386</v>
      </c>
      <c r="B1574" s="2" t="s">
        <v>5562</v>
      </c>
      <c r="C1574" s="3">
        <v>26732</v>
      </c>
      <c r="D1574" s="1" t="s">
        <v>5563</v>
      </c>
      <c r="E1574" s="1" t="s">
        <v>5564</v>
      </c>
      <c r="F1574" s="2" t="s">
        <v>5231</v>
      </c>
      <c r="G1574" s="2" t="s">
        <v>5565</v>
      </c>
      <c r="H1574" s="2" t="s">
        <v>10</v>
      </c>
      <c r="I1574" s="2" t="s">
        <v>4386</v>
      </c>
      <c r="J1574" s="2" t="s">
        <v>5566</v>
      </c>
      <c r="K1574" s="18" t="s">
        <v>10</v>
      </c>
    </row>
    <row r="1575" spans="1:12" ht="27.6" hidden="1" x14ac:dyDescent="0.3">
      <c r="A1575" s="2" t="s">
        <v>4386</v>
      </c>
      <c r="B1575" s="2" t="s">
        <v>5567</v>
      </c>
      <c r="C1575" s="3">
        <v>19089</v>
      </c>
      <c r="D1575" s="1" t="s">
        <v>5568</v>
      </c>
      <c r="E1575" s="1" t="s">
        <v>5569</v>
      </c>
      <c r="F1575" s="2" t="s">
        <v>5231</v>
      </c>
      <c r="G1575" s="2" t="s">
        <v>5570</v>
      </c>
      <c r="H1575" s="2" t="s">
        <v>10</v>
      </c>
      <c r="I1575" s="2" t="s">
        <v>4386</v>
      </c>
      <c r="J1575" s="2" t="s">
        <v>5571</v>
      </c>
      <c r="K1575" s="2" t="s">
        <v>10</v>
      </c>
    </row>
    <row r="1576" spans="1:12" ht="27.6" hidden="1" x14ac:dyDescent="0.3">
      <c r="A1576" s="2" t="s">
        <v>4386</v>
      </c>
      <c r="B1576" s="2" t="s">
        <v>5572</v>
      </c>
      <c r="C1576" s="3">
        <v>21897</v>
      </c>
      <c r="D1576" s="1" t="s">
        <v>5573</v>
      </c>
      <c r="E1576" s="1" t="s">
        <v>5574</v>
      </c>
      <c r="F1576" s="2" t="s">
        <v>4555</v>
      </c>
      <c r="G1576" s="2" t="s">
        <v>5575</v>
      </c>
      <c r="H1576" s="2" t="s">
        <v>10</v>
      </c>
      <c r="I1576" s="2" t="s">
        <v>4386</v>
      </c>
      <c r="J1576" s="2" t="s">
        <v>5576</v>
      </c>
      <c r="K1576" s="2" t="s">
        <v>10</v>
      </c>
    </row>
    <row r="1577" spans="1:12" ht="27.6" hidden="1" x14ac:dyDescent="0.3">
      <c r="A1577" s="2" t="s">
        <v>4386</v>
      </c>
      <c r="B1577" s="2" t="s">
        <v>5577</v>
      </c>
      <c r="C1577" s="3">
        <v>42579</v>
      </c>
      <c r="D1577" s="1" t="s">
        <v>5578</v>
      </c>
      <c r="E1577" s="1" t="s">
        <v>5579</v>
      </c>
      <c r="F1577" s="2" t="s">
        <v>5231</v>
      </c>
      <c r="G1577" s="2" t="s">
        <v>5580</v>
      </c>
      <c r="H1577" s="2" t="s">
        <v>10</v>
      </c>
      <c r="I1577" s="2" t="s">
        <v>4386</v>
      </c>
      <c r="J1577" s="2" t="s">
        <v>5581</v>
      </c>
      <c r="K1577" s="2" t="s">
        <v>10</v>
      </c>
    </row>
    <row r="1578" spans="1:12" ht="27.6" hidden="1" x14ac:dyDescent="0.3">
      <c r="A1578" s="2" t="s">
        <v>4386</v>
      </c>
      <c r="B1578" s="2" t="s">
        <v>5582</v>
      </c>
      <c r="C1578" s="3">
        <v>29952</v>
      </c>
      <c r="D1578" s="1" t="s">
        <v>5583</v>
      </c>
      <c r="E1578" s="1" t="s">
        <v>5584</v>
      </c>
      <c r="F1578" s="2" t="s">
        <v>5231</v>
      </c>
      <c r="G1578" s="2" t="s">
        <v>5585</v>
      </c>
      <c r="H1578" s="2" t="s">
        <v>10</v>
      </c>
      <c r="I1578" s="2" t="s">
        <v>4386</v>
      </c>
      <c r="J1578" s="2" t="s">
        <v>5586</v>
      </c>
      <c r="K1578" s="2" t="s">
        <v>10</v>
      </c>
    </row>
    <row r="1579" spans="1:12" ht="27.6" hidden="1" x14ac:dyDescent="0.3">
      <c r="A1579" s="2" t="s">
        <v>60</v>
      </c>
      <c r="B1579" s="2" t="s">
        <v>5587</v>
      </c>
      <c r="C1579" s="3">
        <v>9834</v>
      </c>
      <c r="D1579" s="1" t="s">
        <v>5588</v>
      </c>
      <c r="E1579" s="1" t="s">
        <v>5589</v>
      </c>
      <c r="F1579" s="2" t="s">
        <v>60</v>
      </c>
      <c r="G1579" s="2" t="s">
        <v>2773</v>
      </c>
      <c r="H1579" s="2" t="s">
        <v>334</v>
      </c>
      <c r="I1579" s="2" t="s">
        <v>60</v>
      </c>
      <c r="J1579" s="2" t="s">
        <v>5590</v>
      </c>
      <c r="K1579" s="2" t="s">
        <v>10</v>
      </c>
    </row>
    <row r="1580" spans="1:12" ht="27.6" hidden="1" x14ac:dyDescent="0.3">
      <c r="A1580" s="2" t="s">
        <v>4386</v>
      </c>
      <c r="B1580" s="2" t="s">
        <v>5591</v>
      </c>
      <c r="C1580" s="3">
        <v>31972</v>
      </c>
      <c r="D1580" s="1" t="s">
        <v>5592</v>
      </c>
      <c r="E1580" s="1" t="s">
        <v>5593</v>
      </c>
      <c r="F1580" s="2" t="s">
        <v>4396</v>
      </c>
      <c r="G1580" s="2" t="s">
        <v>5594</v>
      </c>
      <c r="H1580" s="2" t="s">
        <v>10</v>
      </c>
      <c r="I1580" s="2" t="s">
        <v>4386</v>
      </c>
      <c r="J1580" s="2" t="s">
        <v>5595</v>
      </c>
      <c r="K1580" s="2" t="s">
        <v>10</v>
      </c>
    </row>
    <row r="1581" spans="1:12" ht="27.6" hidden="1" x14ac:dyDescent="0.3">
      <c r="A1581" s="2" t="s">
        <v>4386</v>
      </c>
      <c r="B1581" s="2" t="s">
        <v>5596</v>
      </c>
      <c r="C1581" s="3">
        <v>34958</v>
      </c>
      <c r="D1581" s="1" t="s">
        <v>5597</v>
      </c>
      <c r="E1581" s="1" t="s">
        <v>5598</v>
      </c>
      <c r="F1581" s="2" t="s">
        <v>4555</v>
      </c>
      <c r="G1581" s="2" t="s">
        <v>5599</v>
      </c>
      <c r="H1581" s="2" t="s">
        <v>10</v>
      </c>
      <c r="I1581" s="2" t="s">
        <v>4386</v>
      </c>
      <c r="J1581" s="2" t="s">
        <v>5600</v>
      </c>
      <c r="K1581" s="2" t="s">
        <v>10</v>
      </c>
    </row>
    <row r="1582" spans="1:12" ht="27.6" hidden="1" x14ac:dyDescent="0.3">
      <c r="A1582" s="2" t="s">
        <v>4386</v>
      </c>
      <c r="B1582" s="2" t="s">
        <v>5601</v>
      </c>
      <c r="C1582" s="3">
        <v>25999</v>
      </c>
      <c r="D1582" s="1" t="s">
        <v>5602</v>
      </c>
      <c r="E1582" s="1" t="s">
        <v>5603</v>
      </c>
      <c r="F1582" s="2" t="s">
        <v>5231</v>
      </c>
      <c r="G1582" s="2" t="s">
        <v>5604</v>
      </c>
      <c r="H1582" s="2" t="s">
        <v>10</v>
      </c>
      <c r="I1582" s="2" t="s">
        <v>4386</v>
      </c>
      <c r="J1582" s="2" t="s">
        <v>5605</v>
      </c>
      <c r="K1582" s="2" t="s">
        <v>10</v>
      </c>
    </row>
    <row r="1583" spans="1:12" ht="27.6" hidden="1" x14ac:dyDescent="0.3">
      <c r="A1583" s="2" t="s">
        <v>4386</v>
      </c>
      <c r="B1583" s="2" t="s">
        <v>5606</v>
      </c>
      <c r="C1583" s="3">
        <v>26923</v>
      </c>
      <c r="D1583" s="1" t="s">
        <v>5607</v>
      </c>
      <c r="E1583" s="1" t="s">
        <v>5608</v>
      </c>
      <c r="F1583" s="2" t="s">
        <v>4555</v>
      </c>
      <c r="G1583" s="2" t="s">
        <v>5609</v>
      </c>
      <c r="H1583" s="2" t="s">
        <v>10</v>
      </c>
      <c r="I1583" s="2" t="s">
        <v>4386</v>
      </c>
      <c r="J1583" s="2" t="s">
        <v>5610</v>
      </c>
      <c r="K1583" s="2" t="s">
        <v>10</v>
      </c>
    </row>
    <row r="1584" spans="1:12" ht="27.6" hidden="1" x14ac:dyDescent="0.3">
      <c r="A1584" s="2" t="s">
        <v>4386</v>
      </c>
      <c r="B1584" s="2" t="s">
        <v>5611</v>
      </c>
      <c r="C1584" s="3">
        <v>36232</v>
      </c>
      <c r="D1584" s="1" t="s">
        <v>5612</v>
      </c>
      <c r="E1584" s="1" t="s">
        <v>5613</v>
      </c>
      <c r="F1584" s="2" t="s">
        <v>4555</v>
      </c>
      <c r="G1584" s="2" t="s">
        <v>1222</v>
      </c>
      <c r="H1584" s="2" t="s">
        <v>10</v>
      </c>
      <c r="I1584" s="2" t="s">
        <v>4386</v>
      </c>
      <c r="J1584" s="2" t="s">
        <v>5614</v>
      </c>
      <c r="K1584" s="2" t="s">
        <v>10</v>
      </c>
    </row>
    <row r="1585" spans="1:11" ht="27.6" hidden="1" x14ac:dyDescent="0.3">
      <c r="A1585" s="2" t="s">
        <v>4386</v>
      </c>
      <c r="B1585" s="2" t="s">
        <v>5615</v>
      </c>
      <c r="C1585" s="3">
        <v>24252</v>
      </c>
      <c r="D1585" s="1" t="s">
        <v>5616</v>
      </c>
      <c r="E1585" s="1" t="s">
        <v>5617</v>
      </c>
      <c r="F1585" s="2" t="s">
        <v>5618</v>
      </c>
      <c r="G1585" s="2" t="s">
        <v>5619</v>
      </c>
      <c r="H1585" s="2" t="s">
        <v>10</v>
      </c>
      <c r="I1585" s="2" t="s">
        <v>4386</v>
      </c>
      <c r="J1585" s="2" t="s">
        <v>5620</v>
      </c>
      <c r="K1585" s="2" t="s">
        <v>380</v>
      </c>
    </row>
    <row r="1586" spans="1:11" ht="27.6" hidden="1" x14ac:dyDescent="0.3">
      <c r="A1586" s="2" t="s">
        <v>4386</v>
      </c>
      <c r="B1586" s="2" t="s">
        <v>5621</v>
      </c>
      <c r="C1586" s="3">
        <v>26191</v>
      </c>
      <c r="D1586" s="1" t="s">
        <v>5622</v>
      </c>
      <c r="E1586" s="1" t="s">
        <v>5623</v>
      </c>
      <c r="F1586" s="2" t="s">
        <v>5053</v>
      </c>
      <c r="G1586" s="2" t="s">
        <v>385</v>
      </c>
      <c r="H1586" s="2" t="s">
        <v>10</v>
      </c>
      <c r="I1586" s="2" t="s">
        <v>4386</v>
      </c>
      <c r="J1586" s="2" t="s">
        <v>913</v>
      </c>
      <c r="K1586" s="2" t="s">
        <v>10</v>
      </c>
    </row>
    <row r="1587" spans="1:11" ht="27.6" hidden="1" x14ac:dyDescent="0.3">
      <c r="A1587" s="2" t="s">
        <v>4386</v>
      </c>
      <c r="B1587" s="2" t="s">
        <v>5624</v>
      </c>
      <c r="C1587" s="3">
        <v>25331</v>
      </c>
      <c r="D1587" s="1" t="s">
        <v>5448</v>
      </c>
      <c r="E1587" s="1" t="s">
        <v>5625</v>
      </c>
      <c r="F1587" s="2" t="s">
        <v>5626</v>
      </c>
      <c r="G1587" s="2" t="s">
        <v>5627</v>
      </c>
      <c r="H1587" s="2" t="s">
        <v>103</v>
      </c>
      <c r="I1587" s="2" t="s">
        <v>4386</v>
      </c>
      <c r="J1587" s="2" t="s">
        <v>5628</v>
      </c>
      <c r="K1587" s="2" t="s">
        <v>10</v>
      </c>
    </row>
    <row r="1588" spans="1:11" ht="27.6" hidden="1" x14ac:dyDescent="0.3">
      <c r="A1588" s="2" t="s">
        <v>4386</v>
      </c>
      <c r="B1588" s="2" t="s">
        <v>5629</v>
      </c>
      <c r="C1588" s="3">
        <v>24538</v>
      </c>
      <c r="D1588" s="1" t="s">
        <v>5630</v>
      </c>
      <c r="E1588" s="1" t="s">
        <v>5631</v>
      </c>
      <c r="F1588" s="2" t="s">
        <v>5053</v>
      </c>
      <c r="G1588" s="2" t="s">
        <v>80</v>
      </c>
      <c r="H1588" s="2" t="s">
        <v>103</v>
      </c>
      <c r="I1588" s="2" t="s">
        <v>4386</v>
      </c>
      <c r="J1588" s="2" t="s">
        <v>1881</v>
      </c>
      <c r="K1588" s="2" t="s">
        <v>10</v>
      </c>
    </row>
    <row r="1589" spans="1:11" ht="27.6" hidden="1" x14ac:dyDescent="0.3">
      <c r="A1589" s="2" t="s">
        <v>4386</v>
      </c>
      <c r="B1589" s="2" t="s">
        <v>5632</v>
      </c>
      <c r="C1589" s="3">
        <v>27198</v>
      </c>
      <c r="D1589" s="1" t="s">
        <v>5633</v>
      </c>
      <c r="E1589" s="1" t="s">
        <v>5634</v>
      </c>
      <c r="F1589" s="2" t="s">
        <v>5635</v>
      </c>
      <c r="G1589" s="2" t="s">
        <v>511</v>
      </c>
      <c r="H1589" s="2" t="s">
        <v>10</v>
      </c>
      <c r="I1589" s="2" t="s">
        <v>4386</v>
      </c>
      <c r="J1589" s="2" t="s">
        <v>5636</v>
      </c>
      <c r="K1589" s="2" t="s">
        <v>10</v>
      </c>
    </row>
    <row r="1590" spans="1:11" ht="55.2" hidden="1" x14ac:dyDescent="0.3">
      <c r="A1590" s="2" t="s">
        <v>4604</v>
      </c>
      <c r="B1590" s="2" t="s">
        <v>5637</v>
      </c>
      <c r="C1590" s="3">
        <v>27064</v>
      </c>
      <c r="D1590" s="1" t="s">
        <v>5638</v>
      </c>
      <c r="E1590" s="1" t="s">
        <v>5639</v>
      </c>
      <c r="F1590" s="2" t="s">
        <v>4698</v>
      </c>
      <c r="G1590" s="2" t="s">
        <v>696</v>
      </c>
      <c r="H1590" s="2" t="s">
        <v>5640</v>
      </c>
      <c r="I1590" s="2" t="s">
        <v>4604</v>
      </c>
      <c r="J1590" s="2" t="s">
        <v>4099</v>
      </c>
      <c r="K1590" s="2" t="s">
        <v>10</v>
      </c>
    </row>
    <row r="1591" spans="1:11" ht="55.2" hidden="1" x14ac:dyDescent="0.3">
      <c r="A1591" s="2" t="s">
        <v>4604</v>
      </c>
      <c r="B1591" s="2" t="s">
        <v>5641</v>
      </c>
      <c r="C1591" s="3">
        <v>29290</v>
      </c>
      <c r="D1591" s="1" t="s">
        <v>5642</v>
      </c>
      <c r="E1591" s="1" t="s">
        <v>5643</v>
      </c>
      <c r="F1591" s="2" t="s">
        <v>4698</v>
      </c>
      <c r="G1591" s="2" t="s">
        <v>258</v>
      </c>
      <c r="H1591" s="2" t="s">
        <v>4907</v>
      </c>
      <c r="I1591" s="2" t="s">
        <v>4604</v>
      </c>
      <c r="J1591" s="2" t="s">
        <v>430</v>
      </c>
      <c r="K1591" s="2" t="s">
        <v>10</v>
      </c>
    </row>
    <row r="1592" spans="1:11" ht="55.2" hidden="1" x14ac:dyDescent="0.3">
      <c r="A1592" s="2" t="s">
        <v>4604</v>
      </c>
      <c r="B1592" s="2" t="s">
        <v>5644</v>
      </c>
      <c r="C1592" s="3">
        <v>29801</v>
      </c>
      <c r="D1592" s="1" t="s">
        <v>5645</v>
      </c>
      <c r="E1592" s="1" t="s">
        <v>5646</v>
      </c>
      <c r="F1592" s="2" t="s">
        <v>4698</v>
      </c>
      <c r="G1592" s="2" t="s">
        <v>5647</v>
      </c>
      <c r="H1592" s="2" t="s">
        <v>5648</v>
      </c>
      <c r="I1592" s="2" t="s">
        <v>4604</v>
      </c>
      <c r="J1592" s="2" t="s">
        <v>4962</v>
      </c>
      <c r="K1592" s="2" t="s">
        <v>10</v>
      </c>
    </row>
    <row r="1593" spans="1:11" ht="55.2" hidden="1" x14ac:dyDescent="0.3">
      <c r="A1593" s="2" t="s">
        <v>4604</v>
      </c>
      <c r="B1593" s="2" t="s">
        <v>5649</v>
      </c>
      <c r="C1593" s="3">
        <v>35704</v>
      </c>
      <c r="D1593" s="1" t="s">
        <v>5650</v>
      </c>
      <c r="E1593" s="1" t="s">
        <v>5651</v>
      </c>
      <c r="F1593" s="2" t="s">
        <v>4698</v>
      </c>
      <c r="G1593" s="2" t="s">
        <v>69</v>
      </c>
      <c r="H1593" s="2" t="s">
        <v>5652</v>
      </c>
      <c r="I1593" s="2" t="s">
        <v>4604</v>
      </c>
      <c r="J1593" s="2" t="s">
        <v>5653</v>
      </c>
      <c r="K1593" s="2" t="s">
        <v>10</v>
      </c>
    </row>
    <row r="1594" spans="1:11" ht="55.2" hidden="1" x14ac:dyDescent="0.3">
      <c r="A1594" s="2" t="s">
        <v>4604</v>
      </c>
      <c r="B1594" s="2" t="s">
        <v>5654</v>
      </c>
      <c r="C1594" s="3">
        <v>30876</v>
      </c>
      <c r="D1594" s="1" t="s">
        <v>5655</v>
      </c>
      <c r="E1594" s="1" t="s">
        <v>5656</v>
      </c>
      <c r="F1594" s="2" t="s">
        <v>4698</v>
      </c>
      <c r="G1594" s="2" t="s">
        <v>392</v>
      </c>
      <c r="H1594" s="2" t="s">
        <v>5657</v>
      </c>
      <c r="I1594" s="2" t="s">
        <v>4604</v>
      </c>
      <c r="J1594" s="2" t="s">
        <v>5658</v>
      </c>
      <c r="K1594" s="2" t="s">
        <v>10</v>
      </c>
    </row>
    <row r="1595" spans="1:11" ht="55.2" hidden="1" x14ac:dyDescent="0.3">
      <c r="A1595" s="2" t="s">
        <v>4604</v>
      </c>
      <c r="B1595" s="2" t="s">
        <v>5659</v>
      </c>
      <c r="C1595" s="3">
        <v>24641</v>
      </c>
      <c r="D1595" s="1" t="s">
        <v>5660</v>
      </c>
      <c r="E1595" s="1" t="s">
        <v>5661</v>
      </c>
      <c r="F1595" s="2" t="s">
        <v>4698</v>
      </c>
      <c r="G1595" s="2" t="s">
        <v>5662</v>
      </c>
      <c r="H1595" s="2" t="s">
        <v>5663</v>
      </c>
      <c r="I1595" s="2" t="s">
        <v>4604</v>
      </c>
      <c r="J1595" s="2" t="s">
        <v>5664</v>
      </c>
      <c r="K1595" s="2" t="s">
        <v>10</v>
      </c>
    </row>
    <row r="1596" spans="1:11" ht="55.2" hidden="1" x14ac:dyDescent="0.3">
      <c r="A1596" s="2" t="s">
        <v>4604</v>
      </c>
      <c r="B1596" s="2" t="s">
        <v>5665</v>
      </c>
      <c r="C1596" s="3">
        <v>29719</v>
      </c>
      <c r="D1596" s="1" t="s">
        <v>5666</v>
      </c>
      <c r="E1596" s="1" t="s">
        <v>5667</v>
      </c>
      <c r="F1596" s="2" t="s">
        <v>5668</v>
      </c>
      <c r="G1596" s="2" t="s">
        <v>112</v>
      </c>
      <c r="H1596" s="2" t="s">
        <v>4907</v>
      </c>
      <c r="I1596" s="2" t="s">
        <v>4604</v>
      </c>
      <c r="J1596" s="2" t="s">
        <v>113</v>
      </c>
      <c r="K1596" s="2" t="s">
        <v>10</v>
      </c>
    </row>
    <row r="1597" spans="1:11" ht="55.2" hidden="1" x14ac:dyDescent="0.3">
      <c r="A1597" s="2" t="s">
        <v>4604</v>
      </c>
      <c r="B1597" s="2" t="s">
        <v>5669</v>
      </c>
      <c r="C1597" s="3">
        <v>28216</v>
      </c>
      <c r="D1597" s="1" t="s">
        <v>5670</v>
      </c>
      <c r="E1597" s="1" t="s">
        <v>5671</v>
      </c>
      <c r="F1597" s="2" t="s">
        <v>5668</v>
      </c>
      <c r="G1597" s="2" t="s">
        <v>328</v>
      </c>
      <c r="H1597" s="2" t="s">
        <v>4907</v>
      </c>
      <c r="I1597" s="2" t="s">
        <v>4604</v>
      </c>
      <c r="J1597" s="2" t="s">
        <v>1839</v>
      </c>
      <c r="K1597" s="2" t="s">
        <v>10</v>
      </c>
    </row>
    <row r="1598" spans="1:11" ht="55.2" hidden="1" x14ac:dyDescent="0.3">
      <c r="A1598" s="2" t="s">
        <v>4604</v>
      </c>
      <c r="B1598" s="2" t="s">
        <v>5672</v>
      </c>
      <c r="C1598" s="3">
        <v>20044</v>
      </c>
      <c r="D1598" s="1" t="s">
        <v>5673</v>
      </c>
      <c r="E1598" s="1" t="s">
        <v>5674</v>
      </c>
      <c r="F1598" s="2" t="s">
        <v>5668</v>
      </c>
      <c r="G1598" s="2" t="s">
        <v>48</v>
      </c>
      <c r="H1598" s="2" t="s">
        <v>5675</v>
      </c>
      <c r="I1598" s="2" t="s">
        <v>4604</v>
      </c>
      <c r="J1598" s="2" t="s">
        <v>700</v>
      </c>
      <c r="K1598" s="2" t="s">
        <v>10</v>
      </c>
    </row>
    <row r="1599" spans="1:11" ht="55.2" hidden="1" x14ac:dyDescent="0.3">
      <c r="A1599" s="2" t="s">
        <v>4604</v>
      </c>
      <c r="B1599" s="2" t="s">
        <v>5676</v>
      </c>
      <c r="C1599" s="3">
        <v>23948</v>
      </c>
      <c r="D1599" s="1" t="s">
        <v>5677</v>
      </c>
      <c r="E1599" s="1" t="s">
        <v>5678</v>
      </c>
      <c r="F1599" s="2" t="s">
        <v>5668</v>
      </c>
      <c r="G1599" s="2" t="s">
        <v>80</v>
      </c>
      <c r="H1599" s="2" t="s">
        <v>5679</v>
      </c>
      <c r="I1599" s="2" t="s">
        <v>4604</v>
      </c>
      <c r="J1599" s="2" t="s">
        <v>3265</v>
      </c>
      <c r="K1599" s="2" t="s">
        <v>10</v>
      </c>
    </row>
    <row r="1600" spans="1:11" ht="55.2" hidden="1" x14ac:dyDescent="0.3">
      <c r="A1600" s="2" t="s">
        <v>4604</v>
      </c>
      <c r="B1600" s="2" t="s">
        <v>5680</v>
      </c>
      <c r="C1600" s="3">
        <v>25204</v>
      </c>
      <c r="D1600" s="1" t="s">
        <v>5681</v>
      </c>
      <c r="E1600" s="1" t="s">
        <v>5682</v>
      </c>
      <c r="F1600" s="2" t="s">
        <v>5668</v>
      </c>
      <c r="G1600" s="2" t="s">
        <v>206</v>
      </c>
      <c r="H1600" s="2" t="s">
        <v>5683</v>
      </c>
      <c r="I1600" s="2" t="s">
        <v>4604</v>
      </c>
      <c r="J1600" s="2" t="s">
        <v>434</v>
      </c>
      <c r="K1600" s="2" t="s">
        <v>10</v>
      </c>
    </row>
    <row r="1601" spans="1:11" ht="55.2" hidden="1" x14ac:dyDescent="0.3">
      <c r="A1601" s="2" t="s">
        <v>4604</v>
      </c>
      <c r="B1601" s="2" t="s">
        <v>5684</v>
      </c>
      <c r="C1601" s="3">
        <v>16091</v>
      </c>
      <c r="D1601" s="1" t="s">
        <v>5685</v>
      </c>
      <c r="E1601" s="1" t="s">
        <v>5686</v>
      </c>
      <c r="F1601" s="2" t="s">
        <v>5668</v>
      </c>
      <c r="G1601" s="2" t="s">
        <v>696</v>
      </c>
      <c r="H1601" s="2" t="s">
        <v>5687</v>
      </c>
      <c r="I1601" s="2" t="s">
        <v>4604</v>
      </c>
      <c r="J1601" s="2" t="s">
        <v>4099</v>
      </c>
      <c r="K1601" s="2" t="s">
        <v>10</v>
      </c>
    </row>
    <row r="1602" spans="1:11" ht="27.6" hidden="1" x14ac:dyDescent="0.3">
      <c r="A1602" s="2" t="s">
        <v>4386</v>
      </c>
      <c r="B1602" s="2" t="s">
        <v>5688</v>
      </c>
      <c r="C1602" s="3">
        <v>37309</v>
      </c>
      <c r="D1602" s="1" t="s">
        <v>5689</v>
      </c>
      <c r="E1602" s="1" t="s">
        <v>5690</v>
      </c>
      <c r="F1602" s="2" t="s">
        <v>5626</v>
      </c>
      <c r="G1602" s="2" t="s">
        <v>5627</v>
      </c>
      <c r="H1602" s="2" t="s">
        <v>4531</v>
      </c>
      <c r="I1602" s="2" t="s">
        <v>4386</v>
      </c>
      <c r="J1602" s="2" t="s">
        <v>5628</v>
      </c>
      <c r="K1602" s="2" t="s">
        <v>10</v>
      </c>
    </row>
    <row r="1603" spans="1:11" ht="55.2" hidden="1" x14ac:dyDescent="0.3">
      <c r="A1603" s="2" t="s">
        <v>4604</v>
      </c>
      <c r="B1603" s="2" t="s">
        <v>5691</v>
      </c>
      <c r="C1603" s="3">
        <v>29267</v>
      </c>
      <c r="D1603" s="1" t="s">
        <v>5692</v>
      </c>
      <c r="E1603" s="1" t="s">
        <v>5693</v>
      </c>
      <c r="F1603" s="2" t="s">
        <v>4698</v>
      </c>
      <c r="G1603" s="2" t="s">
        <v>25</v>
      </c>
      <c r="H1603" s="2" t="s">
        <v>334</v>
      </c>
      <c r="I1603" s="2" t="s">
        <v>4604</v>
      </c>
      <c r="J1603" s="2" t="s">
        <v>117</v>
      </c>
      <c r="K1603" s="2" t="s">
        <v>10</v>
      </c>
    </row>
    <row r="1604" spans="1:11" ht="55.2" hidden="1" x14ac:dyDescent="0.3">
      <c r="A1604" s="2" t="s">
        <v>4604</v>
      </c>
      <c r="B1604" s="2" t="s">
        <v>4681</v>
      </c>
      <c r="C1604" s="3">
        <v>29693</v>
      </c>
      <c r="D1604" s="1" t="s">
        <v>4682</v>
      </c>
      <c r="E1604" s="1" t="s">
        <v>4683</v>
      </c>
      <c r="F1604" s="2" t="s">
        <v>4698</v>
      </c>
      <c r="G1604" s="2" t="s">
        <v>92</v>
      </c>
      <c r="H1604" s="2" t="s">
        <v>334</v>
      </c>
      <c r="I1604" s="2" t="s">
        <v>4604</v>
      </c>
      <c r="J1604" s="2" t="s">
        <v>5694</v>
      </c>
      <c r="K1604" s="2" t="s">
        <v>10</v>
      </c>
    </row>
    <row r="1605" spans="1:11" ht="55.2" hidden="1" x14ac:dyDescent="0.3">
      <c r="A1605" s="2" t="s">
        <v>4604</v>
      </c>
      <c r="B1605" s="2" t="s">
        <v>5695</v>
      </c>
      <c r="C1605" s="3">
        <v>30673</v>
      </c>
      <c r="D1605" s="1" t="s">
        <v>5696</v>
      </c>
      <c r="E1605" s="1" t="s">
        <v>5697</v>
      </c>
      <c r="F1605" s="2" t="s">
        <v>5698</v>
      </c>
      <c r="G1605" s="2" t="s">
        <v>278</v>
      </c>
      <c r="H1605" s="2" t="s">
        <v>10</v>
      </c>
      <c r="I1605" s="2" t="s">
        <v>4604</v>
      </c>
      <c r="J1605" s="2" t="s">
        <v>4967</v>
      </c>
      <c r="K1605" s="2" t="s">
        <v>10</v>
      </c>
    </row>
    <row r="1606" spans="1:11" ht="55.2" hidden="1" x14ac:dyDescent="0.3">
      <c r="A1606" s="2" t="s">
        <v>4604</v>
      </c>
      <c r="B1606" s="2" t="s">
        <v>5699</v>
      </c>
      <c r="C1606" s="3">
        <v>39230</v>
      </c>
      <c r="D1606" s="1" t="s">
        <v>5700</v>
      </c>
      <c r="E1606" s="1" t="s">
        <v>5701</v>
      </c>
      <c r="F1606" s="2" t="s">
        <v>4698</v>
      </c>
      <c r="G1606" s="2" t="s">
        <v>222</v>
      </c>
      <c r="H1606" s="2" t="s">
        <v>5702</v>
      </c>
      <c r="I1606" s="2" t="s">
        <v>4604</v>
      </c>
      <c r="J1606" s="2" t="s">
        <v>5703</v>
      </c>
      <c r="K1606" s="2" t="s">
        <v>10</v>
      </c>
    </row>
    <row r="1607" spans="1:11" ht="27.6" hidden="1" x14ac:dyDescent="0.3">
      <c r="A1607" s="2" t="s">
        <v>60</v>
      </c>
      <c r="B1607" s="2" t="s">
        <v>5704</v>
      </c>
      <c r="C1607" s="3">
        <v>24199</v>
      </c>
      <c r="D1607" s="1" t="s">
        <v>5705</v>
      </c>
      <c r="E1607" s="1" t="s">
        <v>5706</v>
      </c>
      <c r="F1607" s="2" t="s">
        <v>269</v>
      </c>
      <c r="G1607" s="2" t="s">
        <v>196</v>
      </c>
      <c r="H1607" s="2" t="s">
        <v>10</v>
      </c>
      <c r="I1607" s="2" t="s">
        <v>60</v>
      </c>
      <c r="J1607" s="2" t="s">
        <v>197</v>
      </c>
      <c r="K1607" s="2" t="s">
        <v>10</v>
      </c>
    </row>
    <row r="1608" spans="1:11" ht="27.6" hidden="1" x14ac:dyDescent="0.3">
      <c r="A1608" s="2" t="s">
        <v>4386</v>
      </c>
      <c r="B1608" s="2" t="s">
        <v>5707</v>
      </c>
      <c r="C1608" s="3">
        <v>29086</v>
      </c>
      <c r="D1608" s="1" t="s">
        <v>5708</v>
      </c>
      <c r="E1608" s="1" t="s">
        <v>5709</v>
      </c>
      <c r="F1608" s="2" t="s">
        <v>5626</v>
      </c>
      <c r="G1608" s="2" t="s">
        <v>5627</v>
      </c>
      <c r="H1608" s="2" t="s">
        <v>5710</v>
      </c>
      <c r="I1608" s="2" t="s">
        <v>4386</v>
      </c>
      <c r="J1608" s="2" t="s">
        <v>5628</v>
      </c>
      <c r="K1608" s="2" t="s">
        <v>10</v>
      </c>
    </row>
    <row r="1609" spans="1:11" ht="27.6" hidden="1" x14ac:dyDescent="0.3">
      <c r="A1609" s="2" t="s">
        <v>4386</v>
      </c>
      <c r="B1609" s="2" t="s">
        <v>5711</v>
      </c>
      <c r="C1609" s="3">
        <v>26816</v>
      </c>
      <c r="D1609" s="1" t="s">
        <v>5712</v>
      </c>
      <c r="E1609" s="1" t="s">
        <v>5713</v>
      </c>
      <c r="F1609" s="2" t="s">
        <v>5618</v>
      </c>
      <c r="G1609" s="2" t="s">
        <v>4473</v>
      </c>
      <c r="H1609" s="2" t="s">
        <v>81</v>
      </c>
      <c r="I1609" s="2" t="s">
        <v>4386</v>
      </c>
      <c r="J1609" s="2" t="s">
        <v>4474</v>
      </c>
      <c r="K1609" s="2" t="s">
        <v>10</v>
      </c>
    </row>
    <row r="1610" spans="1:11" ht="55.2" hidden="1" x14ac:dyDescent="0.3">
      <c r="A1610" s="2" t="s">
        <v>4604</v>
      </c>
      <c r="B1610" s="2" t="s">
        <v>5714</v>
      </c>
      <c r="C1610" s="3">
        <v>35254</v>
      </c>
      <c r="D1610" s="1" t="s">
        <v>5715</v>
      </c>
      <c r="E1610" s="1" t="s">
        <v>5716</v>
      </c>
      <c r="F1610" s="2" t="s">
        <v>4698</v>
      </c>
      <c r="G1610" s="2" t="s">
        <v>333</v>
      </c>
      <c r="H1610" s="2" t="s">
        <v>5369</v>
      </c>
      <c r="I1610" s="2" t="s">
        <v>4604</v>
      </c>
      <c r="J1610" s="2" t="s">
        <v>335</v>
      </c>
      <c r="K1610" s="2" t="s">
        <v>10</v>
      </c>
    </row>
    <row r="1611" spans="1:11" ht="55.2" hidden="1" x14ac:dyDescent="0.3">
      <c r="A1611" s="2" t="s">
        <v>4604</v>
      </c>
      <c r="B1611" s="2" t="s">
        <v>5717</v>
      </c>
      <c r="C1611" s="3">
        <v>35047</v>
      </c>
      <c r="D1611" s="1" t="s">
        <v>5718</v>
      </c>
      <c r="E1611" s="1" t="s">
        <v>5719</v>
      </c>
      <c r="F1611" s="2" t="s">
        <v>4698</v>
      </c>
      <c r="G1611" s="2" t="s">
        <v>2594</v>
      </c>
      <c r="H1611" s="2" t="s">
        <v>5720</v>
      </c>
      <c r="I1611" s="2" t="s">
        <v>4604</v>
      </c>
      <c r="J1611" s="2" t="s">
        <v>4932</v>
      </c>
      <c r="K1611" s="2" t="s">
        <v>10</v>
      </c>
    </row>
    <row r="1612" spans="1:11" ht="55.2" hidden="1" x14ac:dyDescent="0.3">
      <c r="A1612" s="2" t="s">
        <v>4604</v>
      </c>
      <c r="B1612" s="2" t="s">
        <v>5721</v>
      </c>
      <c r="C1612" s="3">
        <v>28633</v>
      </c>
      <c r="D1612" s="1" t="s">
        <v>5722</v>
      </c>
      <c r="E1612" s="1" t="s">
        <v>4835</v>
      </c>
      <c r="F1612" s="2" t="s">
        <v>4698</v>
      </c>
      <c r="G1612" s="2" t="s">
        <v>2566</v>
      </c>
      <c r="H1612" s="2" t="s">
        <v>5723</v>
      </c>
      <c r="I1612" s="2" t="s">
        <v>4604</v>
      </c>
      <c r="J1612" s="2" t="s">
        <v>4999</v>
      </c>
      <c r="K1612" s="2" t="s">
        <v>10</v>
      </c>
    </row>
    <row r="1613" spans="1:11" ht="55.2" hidden="1" x14ac:dyDescent="0.3">
      <c r="A1613" s="2" t="s">
        <v>4604</v>
      </c>
      <c r="B1613" s="2" t="s">
        <v>5724</v>
      </c>
      <c r="C1613" s="3">
        <v>19416</v>
      </c>
      <c r="D1613" s="1" t="s">
        <v>5725</v>
      </c>
      <c r="E1613" s="1" t="s">
        <v>5726</v>
      </c>
      <c r="F1613" s="2" t="s">
        <v>4698</v>
      </c>
      <c r="G1613" s="2" t="s">
        <v>292</v>
      </c>
      <c r="H1613" s="2" t="s">
        <v>5727</v>
      </c>
      <c r="I1613" s="2" t="s">
        <v>4604</v>
      </c>
      <c r="J1613" s="2" t="s">
        <v>3419</v>
      </c>
      <c r="K1613" s="2" t="s">
        <v>10</v>
      </c>
    </row>
    <row r="1614" spans="1:11" ht="55.2" hidden="1" x14ac:dyDescent="0.3">
      <c r="A1614" s="2" t="s">
        <v>4604</v>
      </c>
      <c r="B1614" s="2" t="s">
        <v>5728</v>
      </c>
      <c r="C1614" s="3">
        <v>34237</v>
      </c>
      <c r="D1614" s="1" t="s">
        <v>5729</v>
      </c>
      <c r="E1614" s="1" t="s">
        <v>5730</v>
      </c>
      <c r="F1614" s="2" t="s">
        <v>4698</v>
      </c>
      <c r="G1614" s="2" t="s">
        <v>1763</v>
      </c>
      <c r="H1614" s="2" t="s">
        <v>5731</v>
      </c>
      <c r="I1614" s="2" t="s">
        <v>4604</v>
      </c>
      <c r="J1614" s="2" t="s">
        <v>4972</v>
      </c>
      <c r="K1614" s="2" t="s">
        <v>10</v>
      </c>
    </row>
    <row r="1615" spans="1:11" ht="55.2" hidden="1" x14ac:dyDescent="0.3">
      <c r="A1615" s="2" t="s">
        <v>4604</v>
      </c>
      <c r="B1615" s="2" t="s">
        <v>5732</v>
      </c>
      <c r="C1615" s="3">
        <v>28393</v>
      </c>
      <c r="D1615" s="1" t="s">
        <v>5733</v>
      </c>
      <c r="E1615" s="1" t="s">
        <v>5734</v>
      </c>
      <c r="F1615" s="2" t="s">
        <v>4698</v>
      </c>
      <c r="G1615" s="2" t="s">
        <v>333</v>
      </c>
      <c r="H1615" s="2" t="s">
        <v>5735</v>
      </c>
      <c r="I1615" s="2" t="s">
        <v>4604</v>
      </c>
      <c r="J1615" s="2" t="s">
        <v>335</v>
      </c>
      <c r="K1615" s="2" t="s">
        <v>10</v>
      </c>
    </row>
    <row r="1616" spans="1:11" ht="55.2" hidden="1" x14ac:dyDescent="0.3">
      <c r="A1616" s="2" t="s">
        <v>4604</v>
      </c>
      <c r="B1616" s="2" t="s">
        <v>5736</v>
      </c>
      <c r="C1616" s="3">
        <v>27319</v>
      </c>
      <c r="D1616" s="1" t="s">
        <v>5737</v>
      </c>
      <c r="E1616" s="1" t="s">
        <v>5738</v>
      </c>
      <c r="F1616" s="2" t="s">
        <v>4698</v>
      </c>
      <c r="G1616" s="2" t="s">
        <v>1015</v>
      </c>
      <c r="H1616" s="2" t="s">
        <v>5739</v>
      </c>
      <c r="I1616" s="2" t="s">
        <v>4604</v>
      </c>
      <c r="J1616" s="2" t="s">
        <v>5429</v>
      </c>
      <c r="K1616" s="2" t="s">
        <v>10</v>
      </c>
    </row>
    <row r="1617" spans="1:11" ht="55.2" hidden="1" x14ac:dyDescent="0.3">
      <c r="A1617" s="2" t="s">
        <v>4604</v>
      </c>
      <c r="B1617" s="2" t="s">
        <v>5740</v>
      </c>
      <c r="C1617" s="3">
        <v>29097</v>
      </c>
      <c r="D1617" s="1" t="s">
        <v>5741</v>
      </c>
      <c r="E1617" s="1" t="s">
        <v>5742</v>
      </c>
      <c r="F1617" s="2" t="s">
        <v>4698</v>
      </c>
      <c r="G1617" s="2" t="s">
        <v>1504</v>
      </c>
      <c r="H1617" s="2" t="s">
        <v>5743</v>
      </c>
      <c r="I1617" s="2" t="s">
        <v>4604</v>
      </c>
      <c r="J1617" s="2" t="s">
        <v>2066</v>
      </c>
      <c r="K1617" s="2" t="s">
        <v>10</v>
      </c>
    </row>
    <row r="1618" spans="1:11" ht="55.2" hidden="1" x14ac:dyDescent="0.3">
      <c r="A1618" s="2" t="s">
        <v>4604</v>
      </c>
      <c r="B1618" s="2" t="s">
        <v>5740</v>
      </c>
      <c r="C1618" s="3">
        <v>29097</v>
      </c>
      <c r="D1618" s="1" t="s">
        <v>5741</v>
      </c>
      <c r="E1618" s="1" t="s">
        <v>5742</v>
      </c>
      <c r="F1618" s="2" t="s">
        <v>4698</v>
      </c>
      <c r="G1618" s="2" t="s">
        <v>1228</v>
      </c>
      <c r="H1618" s="2" t="s">
        <v>5744</v>
      </c>
      <c r="I1618" s="2" t="s">
        <v>4604</v>
      </c>
      <c r="J1618" s="2" t="s">
        <v>4832</v>
      </c>
      <c r="K1618" s="2" t="s">
        <v>10</v>
      </c>
    </row>
    <row r="1619" spans="1:11" ht="55.2" hidden="1" x14ac:dyDescent="0.3">
      <c r="A1619" s="2" t="s">
        <v>4604</v>
      </c>
      <c r="B1619" s="2" t="s">
        <v>5745</v>
      </c>
      <c r="C1619" s="3">
        <v>25620</v>
      </c>
      <c r="D1619" s="1" t="s">
        <v>5746</v>
      </c>
      <c r="E1619" s="1" t="s">
        <v>5747</v>
      </c>
      <c r="F1619" s="2" t="s">
        <v>4698</v>
      </c>
      <c r="G1619" s="2" t="s">
        <v>350</v>
      </c>
      <c r="H1619" s="2" t="s">
        <v>5748</v>
      </c>
      <c r="I1619" s="2" t="s">
        <v>4604</v>
      </c>
      <c r="J1619" s="2" t="s">
        <v>5749</v>
      </c>
      <c r="K1619" s="2" t="s">
        <v>10</v>
      </c>
    </row>
    <row r="1620" spans="1:11" ht="55.2" hidden="1" x14ac:dyDescent="0.3">
      <c r="A1620" s="2" t="s">
        <v>4604</v>
      </c>
      <c r="B1620" s="2" t="s">
        <v>5750</v>
      </c>
      <c r="C1620" s="3">
        <v>32181</v>
      </c>
      <c r="D1620" s="1" t="s">
        <v>5751</v>
      </c>
      <c r="E1620" s="1" t="s">
        <v>5752</v>
      </c>
      <c r="F1620" s="2" t="s">
        <v>4698</v>
      </c>
      <c r="G1620" s="2" t="s">
        <v>552</v>
      </c>
      <c r="H1620" s="2" t="s">
        <v>5753</v>
      </c>
      <c r="I1620" s="2" t="s">
        <v>4604</v>
      </c>
      <c r="J1620" s="2" t="s">
        <v>4981</v>
      </c>
      <c r="K1620" s="2" t="s">
        <v>10</v>
      </c>
    </row>
    <row r="1621" spans="1:11" ht="55.2" hidden="1" x14ac:dyDescent="0.3">
      <c r="A1621" s="2" t="s">
        <v>4604</v>
      </c>
      <c r="B1621" s="2" t="s">
        <v>5754</v>
      </c>
      <c r="C1621" s="3">
        <v>34238</v>
      </c>
      <c r="D1621" s="1" t="s">
        <v>5755</v>
      </c>
      <c r="E1621" s="1" t="s">
        <v>5756</v>
      </c>
      <c r="F1621" s="2" t="s">
        <v>4698</v>
      </c>
      <c r="G1621" s="2" t="s">
        <v>1294</v>
      </c>
      <c r="H1621" s="2" t="s">
        <v>5757</v>
      </c>
      <c r="I1621" s="2" t="s">
        <v>4604</v>
      </c>
      <c r="J1621" s="2" t="s">
        <v>5758</v>
      </c>
      <c r="K1621" s="2" t="s">
        <v>10</v>
      </c>
    </row>
    <row r="1622" spans="1:11" ht="55.2" hidden="1" x14ac:dyDescent="0.3">
      <c r="A1622" s="2" t="s">
        <v>4604</v>
      </c>
      <c r="B1622" s="2" t="s">
        <v>5759</v>
      </c>
      <c r="C1622" s="3">
        <v>27830</v>
      </c>
      <c r="D1622" s="1" t="s">
        <v>5760</v>
      </c>
      <c r="E1622" s="1" t="s">
        <v>5761</v>
      </c>
      <c r="F1622" s="2" t="s">
        <v>4608</v>
      </c>
      <c r="G1622" s="2" t="s">
        <v>380</v>
      </c>
      <c r="H1622" s="2" t="s">
        <v>334</v>
      </c>
      <c r="I1622" s="2" t="s">
        <v>4604</v>
      </c>
      <c r="J1622" s="2" t="s">
        <v>744</v>
      </c>
      <c r="K1622" s="2" t="s">
        <v>10</v>
      </c>
    </row>
    <row r="1623" spans="1:11" ht="55.2" hidden="1" x14ac:dyDescent="0.3">
      <c r="A1623" s="2" t="s">
        <v>4604</v>
      </c>
      <c r="B1623" s="2" t="s">
        <v>5762</v>
      </c>
      <c r="C1623" s="3">
        <v>34372</v>
      </c>
      <c r="D1623" s="1" t="s">
        <v>5763</v>
      </c>
      <c r="E1623" s="1" t="s">
        <v>5764</v>
      </c>
      <c r="F1623" s="2" t="s">
        <v>4608</v>
      </c>
      <c r="G1623" s="2" t="s">
        <v>366</v>
      </c>
      <c r="H1623" s="2" t="s">
        <v>5765</v>
      </c>
      <c r="I1623" s="2" t="s">
        <v>4604</v>
      </c>
      <c r="J1623" s="2" t="s">
        <v>701</v>
      </c>
      <c r="K1623" s="2" t="s">
        <v>10</v>
      </c>
    </row>
    <row r="1624" spans="1:11" ht="55.2" hidden="1" x14ac:dyDescent="0.3">
      <c r="A1624" s="2" t="s">
        <v>4604</v>
      </c>
      <c r="B1624" s="2" t="s">
        <v>5766</v>
      </c>
      <c r="C1624" s="3">
        <v>33451</v>
      </c>
      <c r="D1624" s="1" t="s">
        <v>5767</v>
      </c>
      <c r="E1624" s="1" t="s">
        <v>5768</v>
      </c>
      <c r="F1624" s="2" t="s">
        <v>4608</v>
      </c>
      <c r="G1624" s="2" t="s">
        <v>217</v>
      </c>
      <c r="H1624" s="2" t="s">
        <v>5769</v>
      </c>
      <c r="I1624" s="2" t="s">
        <v>4604</v>
      </c>
      <c r="J1624" s="2" t="s">
        <v>5770</v>
      </c>
      <c r="K1624" s="2" t="s">
        <v>10</v>
      </c>
    </row>
    <row r="1625" spans="1:11" ht="55.2" hidden="1" x14ac:dyDescent="0.3">
      <c r="A1625" s="2" t="s">
        <v>4604</v>
      </c>
      <c r="B1625" s="2" t="s">
        <v>5771</v>
      </c>
      <c r="C1625" s="3">
        <v>29719</v>
      </c>
      <c r="D1625" s="1" t="s">
        <v>5666</v>
      </c>
      <c r="E1625" s="1" t="s">
        <v>5667</v>
      </c>
      <c r="F1625" s="2" t="s">
        <v>5668</v>
      </c>
      <c r="G1625" s="2" t="s">
        <v>222</v>
      </c>
      <c r="H1625" s="2" t="s">
        <v>10</v>
      </c>
      <c r="I1625" s="2" t="s">
        <v>4604</v>
      </c>
      <c r="J1625" s="2" t="s">
        <v>417</v>
      </c>
      <c r="K1625" s="2" t="s">
        <v>10</v>
      </c>
    </row>
    <row r="1626" spans="1:11" ht="55.2" hidden="1" x14ac:dyDescent="0.3">
      <c r="A1626" s="2" t="s">
        <v>4604</v>
      </c>
      <c r="B1626" s="2" t="s">
        <v>5772</v>
      </c>
      <c r="C1626" s="3">
        <v>29719</v>
      </c>
      <c r="D1626" s="1" t="s">
        <v>5666</v>
      </c>
      <c r="E1626" s="1" t="s">
        <v>5667</v>
      </c>
      <c r="F1626" s="2" t="s">
        <v>4608</v>
      </c>
      <c r="G1626" s="2" t="s">
        <v>37</v>
      </c>
      <c r="H1626" s="2" t="s">
        <v>10</v>
      </c>
      <c r="I1626" s="2" t="s">
        <v>4604</v>
      </c>
      <c r="J1626" s="2" t="s">
        <v>38</v>
      </c>
      <c r="K1626" s="2" t="s">
        <v>10</v>
      </c>
    </row>
    <row r="1627" spans="1:11" ht="55.2" hidden="1" x14ac:dyDescent="0.3">
      <c r="A1627" s="2" t="s">
        <v>4604</v>
      </c>
      <c r="B1627" s="2" t="s">
        <v>5672</v>
      </c>
      <c r="C1627" s="3">
        <v>20044</v>
      </c>
      <c r="D1627" s="1" t="s">
        <v>5673</v>
      </c>
      <c r="E1627" s="1" t="s">
        <v>5674</v>
      </c>
      <c r="F1627" s="2" t="s">
        <v>5668</v>
      </c>
      <c r="G1627" s="2" t="s">
        <v>92</v>
      </c>
      <c r="H1627" s="2" t="s">
        <v>5773</v>
      </c>
      <c r="I1627" s="2" t="s">
        <v>4604</v>
      </c>
      <c r="J1627" s="2" t="s">
        <v>93</v>
      </c>
      <c r="K1627" s="2" t="s">
        <v>10</v>
      </c>
    </row>
    <row r="1628" spans="1:11" ht="55.2" hidden="1" x14ac:dyDescent="0.3">
      <c r="A1628" s="2" t="s">
        <v>4604</v>
      </c>
      <c r="B1628" s="2" t="s">
        <v>5774</v>
      </c>
      <c r="C1628" s="3">
        <v>33626</v>
      </c>
      <c r="D1628" s="1" t="s">
        <v>5775</v>
      </c>
      <c r="E1628" s="1" t="s">
        <v>5776</v>
      </c>
      <c r="F1628" s="2" t="s">
        <v>5668</v>
      </c>
      <c r="G1628" s="2" t="s">
        <v>366</v>
      </c>
      <c r="H1628" s="2" t="s">
        <v>5777</v>
      </c>
      <c r="I1628" s="2" t="s">
        <v>4604</v>
      </c>
      <c r="J1628" s="2" t="s">
        <v>701</v>
      </c>
      <c r="K1628" s="2" t="s">
        <v>10</v>
      </c>
    </row>
    <row r="1629" spans="1:11" ht="55.2" hidden="1" x14ac:dyDescent="0.3">
      <c r="A1629" s="2" t="s">
        <v>4604</v>
      </c>
      <c r="B1629" s="2" t="s">
        <v>5778</v>
      </c>
      <c r="C1629" s="3">
        <v>21346</v>
      </c>
      <c r="D1629" s="1" t="s">
        <v>5779</v>
      </c>
      <c r="E1629" s="1" t="s">
        <v>5780</v>
      </c>
      <c r="F1629" s="2" t="s">
        <v>5668</v>
      </c>
      <c r="G1629" s="2" t="s">
        <v>511</v>
      </c>
      <c r="H1629" s="2" t="s">
        <v>5781</v>
      </c>
      <c r="I1629" s="2" t="s">
        <v>4604</v>
      </c>
      <c r="J1629" s="2" t="s">
        <v>5782</v>
      </c>
      <c r="K1629" s="2" t="s">
        <v>10</v>
      </c>
    </row>
    <row r="1630" spans="1:11" ht="55.2" hidden="1" x14ac:dyDescent="0.3">
      <c r="A1630" s="2" t="s">
        <v>4604</v>
      </c>
      <c r="B1630" s="2" t="s">
        <v>5783</v>
      </c>
      <c r="C1630" s="3">
        <v>21655</v>
      </c>
      <c r="D1630" s="1" t="s">
        <v>5784</v>
      </c>
      <c r="E1630" s="1" t="s">
        <v>5785</v>
      </c>
      <c r="F1630" s="2" t="s">
        <v>5668</v>
      </c>
      <c r="G1630" s="2" t="s">
        <v>217</v>
      </c>
      <c r="H1630" s="2" t="s">
        <v>5786</v>
      </c>
      <c r="I1630" s="2" t="s">
        <v>4604</v>
      </c>
      <c r="J1630" s="2" t="s">
        <v>412</v>
      </c>
      <c r="K1630" s="2" t="s">
        <v>10</v>
      </c>
    </row>
    <row r="1631" spans="1:11" ht="55.2" hidden="1" x14ac:dyDescent="0.3">
      <c r="A1631" s="2" t="s">
        <v>4604</v>
      </c>
      <c r="B1631" s="2" t="s">
        <v>5787</v>
      </c>
      <c r="C1631" s="3">
        <v>34055</v>
      </c>
      <c r="D1631" s="1" t="s">
        <v>5788</v>
      </c>
      <c r="E1631" s="1" t="s">
        <v>5789</v>
      </c>
      <c r="F1631" s="2" t="s">
        <v>4608</v>
      </c>
      <c r="G1631" s="2" t="s">
        <v>350</v>
      </c>
      <c r="H1631" s="2" t="s">
        <v>5790</v>
      </c>
      <c r="I1631" s="2" t="s">
        <v>4604</v>
      </c>
      <c r="J1631" s="2" t="s">
        <v>351</v>
      </c>
      <c r="K1631" s="2" t="s">
        <v>10</v>
      </c>
    </row>
    <row r="1632" spans="1:11" ht="55.2" hidden="1" x14ac:dyDescent="0.3">
      <c r="A1632" s="2" t="s">
        <v>4604</v>
      </c>
      <c r="B1632" s="2" t="s">
        <v>5791</v>
      </c>
      <c r="C1632" s="3">
        <v>35032</v>
      </c>
      <c r="D1632" s="1" t="s">
        <v>5792</v>
      </c>
      <c r="E1632" s="1" t="s">
        <v>5793</v>
      </c>
      <c r="F1632" s="2" t="s">
        <v>4608</v>
      </c>
      <c r="G1632" s="2" t="s">
        <v>1504</v>
      </c>
      <c r="H1632" s="2" t="s">
        <v>5794</v>
      </c>
      <c r="I1632" s="2" t="s">
        <v>4604</v>
      </c>
      <c r="J1632" s="2" t="s">
        <v>2066</v>
      </c>
      <c r="K1632" s="2" t="s">
        <v>10</v>
      </c>
    </row>
    <row r="1633" spans="1:11" ht="55.2" hidden="1" x14ac:dyDescent="0.3">
      <c r="A1633" s="2" t="s">
        <v>4604</v>
      </c>
      <c r="B1633" s="2" t="s">
        <v>5795</v>
      </c>
      <c r="C1633" s="3">
        <v>34152</v>
      </c>
      <c r="D1633" s="1" t="s">
        <v>5796</v>
      </c>
      <c r="E1633" s="1" t="s">
        <v>5797</v>
      </c>
      <c r="F1633" s="2" t="s">
        <v>4698</v>
      </c>
      <c r="G1633" s="2" t="s">
        <v>245</v>
      </c>
      <c r="H1633" s="2" t="s">
        <v>5798</v>
      </c>
      <c r="I1633" s="2" t="s">
        <v>4604</v>
      </c>
      <c r="J1633" s="2" t="s">
        <v>5529</v>
      </c>
      <c r="K1633" s="2" t="s">
        <v>10</v>
      </c>
    </row>
    <row r="1634" spans="1:11" ht="55.2" hidden="1" x14ac:dyDescent="0.3">
      <c r="A1634" s="2" t="s">
        <v>4604</v>
      </c>
      <c r="B1634" s="2" t="s">
        <v>5799</v>
      </c>
      <c r="C1634" s="3">
        <v>28220</v>
      </c>
      <c r="D1634" s="1" t="s">
        <v>5800</v>
      </c>
      <c r="E1634" s="1" t="s">
        <v>5801</v>
      </c>
      <c r="F1634" s="2" t="s">
        <v>4698</v>
      </c>
      <c r="G1634" s="2" t="s">
        <v>712</v>
      </c>
      <c r="H1634" s="2" t="s">
        <v>5802</v>
      </c>
      <c r="I1634" s="2" t="s">
        <v>4604</v>
      </c>
      <c r="J1634" s="2" t="s">
        <v>5803</v>
      </c>
      <c r="K1634" s="2" t="s">
        <v>10</v>
      </c>
    </row>
    <row r="1635" spans="1:11" ht="55.2" hidden="1" x14ac:dyDescent="0.3">
      <c r="A1635" s="2" t="s">
        <v>4604</v>
      </c>
      <c r="B1635" s="2" t="s">
        <v>5804</v>
      </c>
      <c r="C1635" s="3">
        <v>34416</v>
      </c>
      <c r="D1635" s="1" t="s">
        <v>5805</v>
      </c>
      <c r="E1635" s="1" t="s">
        <v>5806</v>
      </c>
      <c r="F1635" s="2" t="s">
        <v>4608</v>
      </c>
      <c r="G1635" s="2" t="s">
        <v>511</v>
      </c>
      <c r="H1635" s="2" t="s">
        <v>5807</v>
      </c>
      <c r="I1635" s="2" t="s">
        <v>4604</v>
      </c>
      <c r="J1635" s="2" t="s">
        <v>5782</v>
      </c>
      <c r="K1635" s="2" t="s">
        <v>10</v>
      </c>
    </row>
    <row r="1636" spans="1:11" ht="55.2" hidden="1" x14ac:dyDescent="0.3">
      <c r="A1636" s="2" t="s">
        <v>4604</v>
      </c>
      <c r="B1636" s="2" t="s">
        <v>5808</v>
      </c>
      <c r="C1636" s="3">
        <v>34416</v>
      </c>
      <c r="D1636" s="1" t="s">
        <v>5805</v>
      </c>
      <c r="E1636" s="1" t="s">
        <v>5806</v>
      </c>
      <c r="F1636" s="2" t="s">
        <v>4608</v>
      </c>
      <c r="G1636" s="2" t="s">
        <v>230</v>
      </c>
      <c r="H1636" s="2" t="s">
        <v>1324</v>
      </c>
      <c r="I1636" s="2" t="s">
        <v>4604</v>
      </c>
      <c r="J1636" s="2" t="s">
        <v>1922</v>
      </c>
      <c r="K1636" s="2" t="s">
        <v>10</v>
      </c>
    </row>
    <row r="1637" spans="1:11" ht="55.2" hidden="1" x14ac:dyDescent="0.3">
      <c r="A1637" s="2" t="s">
        <v>4604</v>
      </c>
      <c r="B1637" s="2" t="s">
        <v>5766</v>
      </c>
      <c r="C1637" s="3">
        <v>33451</v>
      </c>
      <c r="D1637" s="1" t="s">
        <v>5767</v>
      </c>
      <c r="E1637" s="1" t="s">
        <v>5768</v>
      </c>
      <c r="F1637" s="2" t="s">
        <v>4608</v>
      </c>
      <c r="G1637" s="2" t="s">
        <v>206</v>
      </c>
      <c r="H1637" s="2" t="s">
        <v>5809</v>
      </c>
      <c r="I1637" s="2" t="s">
        <v>4604</v>
      </c>
      <c r="J1637" s="2" t="s">
        <v>434</v>
      </c>
      <c r="K1637" s="2" t="s">
        <v>10</v>
      </c>
    </row>
    <row r="1638" spans="1:11" ht="55.2" hidden="1" x14ac:dyDescent="0.3">
      <c r="A1638" s="2" t="s">
        <v>4604</v>
      </c>
      <c r="B1638" s="2" t="s">
        <v>5810</v>
      </c>
      <c r="C1638" s="3">
        <v>33451</v>
      </c>
      <c r="D1638" s="1" t="s">
        <v>5767</v>
      </c>
      <c r="E1638" s="1" t="s">
        <v>5768</v>
      </c>
      <c r="F1638" s="2" t="s">
        <v>4608</v>
      </c>
      <c r="G1638" s="2" t="s">
        <v>288</v>
      </c>
      <c r="H1638" s="2" t="s">
        <v>334</v>
      </c>
      <c r="I1638" s="2" t="s">
        <v>4604</v>
      </c>
      <c r="J1638" s="2" t="s">
        <v>5811</v>
      </c>
      <c r="K1638" s="2" t="s">
        <v>10</v>
      </c>
    </row>
    <row r="1639" spans="1:11" ht="55.2" hidden="1" x14ac:dyDescent="0.3">
      <c r="A1639" s="2" t="s">
        <v>4604</v>
      </c>
      <c r="B1639" s="2" t="s">
        <v>5812</v>
      </c>
      <c r="C1639" s="3">
        <v>33457</v>
      </c>
      <c r="D1639" s="1" t="s">
        <v>442</v>
      </c>
      <c r="E1639" s="1" t="s">
        <v>5813</v>
      </c>
      <c r="F1639" s="2" t="s">
        <v>4698</v>
      </c>
      <c r="G1639" s="2" t="s">
        <v>1504</v>
      </c>
      <c r="H1639" s="2" t="s">
        <v>5814</v>
      </c>
      <c r="I1639" s="2" t="s">
        <v>4604</v>
      </c>
      <c r="J1639" s="2" t="s">
        <v>2066</v>
      </c>
      <c r="K1639" s="2" t="s">
        <v>10</v>
      </c>
    </row>
    <row r="1640" spans="1:11" ht="55.2" hidden="1" x14ac:dyDescent="0.3">
      <c r="A1640" s="2" t="s">
        <v>4604</v>
      </c>
      <c r="B1640" s="2" t="s">
        <v>5815</v>
      </c>
      <c r="C1640" s="3">
        <v>26235</v>
      </c>
      <c r="D1640" s="1" t="s">
        <v>5816</v>
      </c>
      <c r="E1640" s="1" t="s">
        <v>5817</v>
      </c>
      <c r="F1640" s="2" t="s">
        <v>5668</v>
      </c>
      <c r="G1640" s="2" t="s">
        <v>1504</v>
      </c>
      <c r="H1640" s="2" t="s">
        <v>5818</v>
      </c>
      <c r="I1640" s="2" t="s">
        <v>4604</v>
      </c>
      <c r="J1640" s="2" t="s">
        <v>2066</v>
      </c>
      <c r="K1640" s="2" t="s">
        <v>10</v>
      </c>
    </row>
    <row r="1641" spans="1:11" ht="55.2" hidden="1" x14ac:dyDescent="0.3">
      <c r="A1641" s="2" t="s">
        <v>4604</v>
      </c>
      <c r="B1641" s="2" t="s">
        <v>5819</v>
      </c>
      <c r="C1641" s="3">
        <v>25776</v>
      </c>
      <c r="D1641" s="1" t="s">
        <v>5820</v>
      </c>
      <c r="E1641" s="1" t="s">
        <v>5821</v>
      </c>
      <c r="F1641" s="2" t="s">
        <v>4608</v>
      </c>
      <c r="G1641" s="2" t="s">
        <v>643</v>
      </c>
      <c r="H1641" s="2" t="s">
        <v>5822</v>
      </c>
      <c r="I1641" s="2" t="s">
        <v>4604</v>
      </c>
      <c r="J1641" s="2" t="s">
        <v>5823</v>
      </c>
      <c r="K1641" s="2" t="s">
        <v>10</v>
      </c>
    </row>
    <row r="1642" spans="1:11" ht="55.2" hidden="1" x14ac:dyDescent="0.3">
      <c r="A1642" s="2" t="s">
        <v>4604</v>
      </c>
      <c r="B1642" s="2" t="s">
        <v>5824</v>
      </c>
      <c r="C1642" s="3">
        <v>25261</v>
      </c>
      <c r="D1642" s="1" t="s">
        <v>5825</v>
      </c>
      <c r="E1642" s="1" t="s">
        <v>5826</v>
      </c>
      <c r="F1642" s="2" t="s">
        <v>4608</v>
      </c>
      <c r="G1642" s="2" t="s">
        <v>1228</v>
      </c>
      <c r="H1642" s="2" t="s">
        <v>5827</v>
      </c>
      <c r="I1642" s="2" t="s">
        <v>4604</v>
      </c>
      <c r="J1642" s="2" t="s">
        <v>4832</v>
      </c>
      <c r="K1642" s="2" t="s">
        <v>10</v>
      </c>
    </row>
    <row r="1643" spans="1:11" ht="27.6" hidden="1" x14ac:dyDescent="0.3">
      <c r="A1643" s="2" t="s">
        <v>4386</v>
      </c>
      <c r="B1643" s="2" t="s">
        <v>5828</v>
      </c>
      <c r="C1643" s="3">
        <v>37882</v>
      </c>
      <c r="D1643" s="1" t="s">
        <v>5829</v>
      </c>
      <c r="E1643" s="1" t="s">
        <v>5830</v>
      </c>
      <c r="F1643" s="2" t="s">
        <v>5831</v>
      </c>
      <c r="G1643" s="2" t="s">
        <v>5832</v>
      </c>
      <c r="H1643" s="2" t="s">
        <v>5833</v>
      </c>
      <c r="I1643" s="2" t="s">
        <v>4386</v>
      </c>
      <c r="J1643" s="2" t="s">
        <v>5834</v>
      </c>
      <c r="K1643" s="2" t="s">
        <v>10</v>
      </c>
    </row>
    <row r="1644" spans="1:11" ht="27.6" hidden="1" x14ac:dyDescent="0.3">
      <c r="A1644" s="2" t="s">
        <v>4386</v>
      </c>
      <c r="B1644" s="2" t="s">
        <v>5835</v>
      </c>
      <c r="C1644" s="3">
        <v>34031</v>
      </c>
      <c r="D1644" s="1" t="s">
        <v>5836</v>
      </c>
      <c r="E1644" s="1" t="s">
        <v>5837</v>
      </c>
      <c r="F1644" s="2" t="s">
        <v>5831</v>
      </c>
      <c r="G1644" s="2" t="s">
        <v>5832</v>
      </c>
      <c r="H1644" s="2" t="s">
        <v>10</v>
      </c>
      <c r="I1644" s="2" t="s">
        <v>4386</v>
      </c>
      <c r="J1644" s="2" t="s">
        <v>5834</v>
      </c>
      <c r="K1644" s="2" t="s">
        <v>10</v>
      </c>
    </row>
    <row r="1645" spans="1:11" ht="27.6" hidden="1" x14ac:dyDescent="0.3">
      <c r="A1645" s="2" t="s">
        <v>4386</v>
      </c>
      <c r="B1645" s="2" t="s">
        <v>5838</v>
      </c>
      <c r="C1645" s="3">
        <v>37671</v>
      </c>
      <c r="D1645" s="1" t="s">
        <v>5839</v>
      </c>
      <c r="E1645" s="1" t="s">
        <v>5840</v>
      </c>
      <c r="F1645" s="2" t="s">
        <v>5831</v>
      </c>
      <c r="G1645" s="2" t="s">
        <v>5832</v>
      </c>
      <c r="H1645" s="2" t="s">
        <v>5841</v>
      </c>
      <c r="I1645" s="2" t="s">
        <v>4386</v>
      </c>
      <c r="J1645" s="2" t="s">
        <v>5834</v>
      </c>
      <c r="K1645" s="2" t="s">
        <v>10</v>
      </c>
    </row>
    <row r="1646" spans="1:11" ht="27.6" hidden="1" x14ac:dyDescent="0.3">
      <c r="A1646" s="2" t="s">
        <v>4386</v>
      </c>
      <c r="B1646" s="2" t="s">
        <v>5842</v>
      </c>
      <c r="C1646" s="3">
        <v>36397</v>
      </c>
      <c r="D1646" s="1" t="s">
        <v>5843</v>
      </c>
      <c r="E1646" s="1" t="s">
        <v>5844</v>
      </c>
      <c r="F1646" s="2" t="s">
        <v>5831</v>
      </c>
      <c r="G1646" s="2" t="s">
        <v>5832</v>
      </c>
      <c r="H1646" s="2" t="s">
        <v>5845</v>
      </c>
      <c r="I1646" s="2" t="s">
        <v>4386</v>
      </c>
      <c r="J1646" s="2" t="s">
        <v>5834</v>
      </c>
      <c r="K1646" s="2" t="s">
        <v>10</v>
      </c>
    </row>
    <row r="1647" spans="1:11" ht="27.6" hidden="1" x14ac:dyDescent="0.3">
      <c r="A1647" s="2" t="s">
        <v>4386</v>
      </c>
      <c r="B1647" s="2" t="s">
        <v>5846</v>
      </c>
      <c r="C1647" s="3">
        <v>36827</v>
      </c>
      <c r="D1647" s="1" t="s">
        <v>5847</v>
      </c>
      <c r="E1647" s="1" t="s">
        <v>5848</v>
      </c>
      <c r="F1647" s="2" t="s">
        <v>5831</v>
      </c>
      <c r="G1647" s="2" t="s">
        <v>5832</v>
      </c>
      <c r="H1647" s="2" t="s">
        <v>5849</v>
      </c>
      <c r="I1647" s="2" t="s">
        <v>4386</v>
      </c>
      <c r="J1647" s="2" t="s">
        <v>5834</v>
      </c>
      <c r="K1647" s="2" t="s">
        <v>10</v>
      </c>
    </row>
    <row r="1648" spans="1:11" ht="27.6" hidden="1" x14ac:dyDescent="0.3">
      <c r="A1648" s="2" t="s">
        <v>4386</v>
      </c>
      <c r="B1648" s="2" t="s">
        <v>5850</v>
      </c>
      <c r="C1648" s="3">
        <v>31702</v>
      </c>
      <c r="D1648" s="1" t="s">
        <v>5851</v>
      </c>
      <c r="E1648" s="1" t="s">
        <v>5852</v>
      </c>
      <c r="F1648" s="2" t="s">
        <v>5831</v>
      </c>
      <c r="G1648" s="2" t="s">
        <v>5832</v>
      </c>
      <c r="H1648" s="2" t="s">
        <v>562</v>
      </c>
      <c r="I1648" s="2" t="s">
        <v>4386</v>
      </c>
      <c r="J1648" s="2" t="s">
        <v>5834</v>
      </c>
      <c r="K1648" s="2" t="s">
        <v>10</v>
      </c>
    </row>
    <row r="1649" spans="1:11" ht="27.6" hidden="1" x14ac:dyDescent="0.3">
      <c r="A1649" s="2" t="s">
        <v>4386</v>
      </c>
      <c r="B1649" s="2" t="s">
        <v>5853</v>
      </c>
      <c r="C1649" s="3">
        <v>34881</v>
      </c>
      <c r="D1649" s="1" t="s">
        <v>5854</v>
      </c>
      <c r="E1649" s="1" t="s">
        <v>5855</v>
      </c>
      <c r="F1649" s="2" t="s">
        <v>5831</v>
      </c>
      <c r="G1649" s="2" t="s">
        <v>5832</v>
      </c>
      <c r="H1649" s="2" t="s">
        <v>81</v>
      </c>
      <c r="I1649" s="2" t="s">
        <v>4386</v>
      </c>
      <c r="J1649" s="2" t="s">
        <v>5834</v>
      </c>
      <c r="K1649" s="2" t="s">
        <v>10</v>
      </c>
    </row>
    <row r="1650" spans="1:11" ht="27.6" hidden="1" x14ac:dyDescent="0.3">
      <c r="A1650" s="2" t="s">
        <v>4386</v>
      </c>
      <c r="B1650" s="2" t="s">
        <v>5853</v>
      </c>
      <c r="C1650" s="3">
        <v>31074</v>
      </c>
      <c r="D1650" s="1" t="s">
        <v>5856</v>
      </c>
      <c r="E1650" s="1" t="s">
        <v>5857</v>
      </c>
      <c r="F1650" s="2" t="s">
        <v>5831</v>
      </c>
      <c r="G1650" s="2" t="s">
        <v>5832</v>
      </c>
      <c r="H1650" s="2" t="s">
        <v>1324</v>
      </c>
      <c r="I1650" s="2" t="s">
        <v>4386</v>
      </c>
      <c r="J1650" s="2" t="s">
        <v>5834</v>
      </c>
      <c r="K1650" s="2" t="s">
        <v>10</v>
      </c>
    </row>
    <row r="1651" spans="1:11" ht="27.6" hidden="1" x14ac:dyDescent="0.3">
      <c r="A1651" s="2" t="s">
        <v>4386</v>
      </c>
      <c r="B1651" s="2" t="s">
        <v>5858</v>
      </c>
      <c r="C1651" s="3">
        <v>23714</v>
      </c>
      <c r="D1651" s="1" t="s">
        <v>5859</v>
      </c>
      <c r="E1651" s="1" t="s">
        <v>5860</v>
      </c>
      <c r="F1651" s="2" t="s">
        <v>5618</v>
      </c>
      <c r="G1651" s="2" t="s">
        <v>4450</v>
      </c>
      <c r="H1651" s="2" t="s">
        <v>10</v>
      </c>
      <c r="I1651" s="2" t="s">
        <v>4386</v>
      </c>
      <c r="J1651" s="2" t="s">
        <v>4451</v>
      </c>
      <c r="K1651" s="2" t="s">
        <v>10</v>
      </c>
    </row>
    <row r="1652" spans="1:11" ht="27.6" hidden="1" x14ac:dyDescent="0.3">
      <c r="A1652" s="2" t="s">
        <v>4386</v>
      </c>
      <c r="B1652" s="2" t="s">
        <v>5861</v>
      </c>
      <c r="C1652" s="3">
        <v>36352</v>
      </c>
      <c r="D1652" s="1" t="s">
        <v>5862</v>
      </c>
      <c r="E1652" s="1" t="s">
        <v>5863</v>
      </c>
      <c r="F1652" s="2" t="s">
        <v>5618</v>
      </c>
      <c r="G1652" s="2" t="s">
        <v>4473</v>
      </c>
      <c r="H1652" s="2" t="s">
        <v>562</v>
      </c>
      <c r="I1652" s="2" t="s">
        <v>4386</v>
      </c>
      <c r="J1652" s="2" t="s">
        <v>4474</v>
      </c>
      <c r="K1652" s="2" t="s">
        <v>10</v>
      </c>
    </row>
    <row r="1653" spans="1:11" ht="27.6" hidden="1" x14ac:dyDescent="0.3">
      <c r="A1653" s="2" t="s">
        <v>4386</v>
      </c>
      <c r="B1653" s="2" t="s">
        <v>5864</v>
      </c>
      <c r="C1653" s="3">
        <v>30984</v>
      </c>
      <c r="D1653" s="1" t="s">
        <v>5865</v>
      </c>
      <c r="E1653" s="1" t="s">
        <v>5866</v>
      </c>
      <c r="F1653" s="2" t="s">
        <v>5635</v>
      </c>
      <c r="G1653" s="2" t="s">
        <v>230</v>
      </c>
      <c r="H1653" s="2" t="s">
        <v>10</v>
      </c>
      <c r="I1653" s="2" t="s">
        <v>4386</v>
      </c>
      <c r="J1653" s="2" t="s">
        <v>1922</v>
      </c>
      <c r="K1653" s="2" t="s">
        <v>10</v>
      </c>
    </row>
    <row r="1654" spans="1:11" ht="27.6" hidden="1" x14ac:dyDescent="0.3">
      <c r="A1654" s="2" t="s">
        <v>4386</v>
      </c>
      <c r="B1654" s="2" t="s">
        <v>5867</v>
      </c>
      <c r="C1654" s="3">
        <v>33500</v>
      </c>
      <c r="D1654" s="1" t="s">
        <v>5868</v>
      </c>
      <c r="E1654" s="1" t="s">
        <v>5869</v>
      </c>
      <c r="F1654" s="2" t="s">
        <v>5618</v>
      </c>
      <c r="G1654" s="2" t="s">
        <v>4473</v>
      </c>
      <c r="H1654" s="2" t="s">
        <v>103</v>
      </c>
      <c r="I1654" s="2" t="s">
        <v>4386</v>
      </c>
      <c r="J1654" s="2" t="s">
        <v>5870</v>
      </c>
      <c r="K1654" s="2" t="s">
        <v>10</v>
      </c>
    </row>
    <row r="1655" spans="1:11" ht="27.6" hidden="1" x14ac:dyDescent="0.3">
      <c r="A1655" s="2" t="s">
        <v>4386</v>
      </c>
      <c r="B1655" s="2" t="s">
        <v>5871</v>
      </c>
      <c r="C1655" s="3">
        <v>37824</v>
      </c>
      <c r="D1655" s="1" t="s">
        <v>5872</v>
      </c>
      <c r="E1655" s="1" t="s">
        <v>5873</v>
      </c>
      <c r="F1655" s="2" t="s">
        <v>4555</v>
      </c>
      <c r="G1655" s="2" t="s">
        <v>4795</v>
      </c>
      <c r="H1655" s="2" t="s">
        <v>5874</v>
      </c>
      <c r="I1655" s="2" t="s">
        <v>4386</v>
      </c>
      <c r="J1655" s="2" t="s">
        <v>4796</v>
      </c>
      <c r="K1655" s="2" t="s">
        <v>10</v>
      </c>
    </row>
    <row r="1656" spans="1:11" ht="27.6" hidden="1" x14ac:dyDescent="0.3">
      <c r="A1656" s="2" t="s">
        <v>4386</v>
      </c>
      <c r="B1656" s="2" t="s">
        <v>5875</v>
      </c>
      <c r="C1656" s="3">
        <v>21913</v>
      </c>
      <c r="D1656" s="1" t="s">
        <v>5876</v>
      </c>
      <c r="E1656" s="1" t="s">
        <v>5877</v>
      </c>
      <c r="F1656" s="2" t="s">
        <v>5091</v>
      </c>
      <c r="G1656" s="2" t="s">
        <v>5878</v>
      </c>
      <c r="H1656" s="2" t="s">
        <v>10</v>
      </c>
      <c r="I1656" s="2" t="s">
        <v>4386</v>
      </c>
      <c r="J1656" s="2" t="s">
        <v>5879</v>
      </c>
      <c r="K1656" s="2" t="s">
        <v>10</v>
      </c>
    </row>
    <row r="1657" spans="1:11" ht="27.6" hidden="1" x14ac:dyDescent="0.3">
      <c r="A1657" s="2" t="s">
        <v>4386</v>
      </c>
      <c r="B1657" s="2" t="s">
        <v>5880</v>
      </c>
      <c r="C1657" s="3">
        <v>30627</v>
      </c>
      <c r="D1657" s="1" t="s">
        <v>5881</v>
      </c>
      <c r="E1657" s="1" t="s">
        <v>5882</v>
      </c>
      <c r="F1657" s="2" t="s">
        <v>5635</v>
      </c>
      <c r="G1657" s="2" t="s">
        <v>328</v>
      </c>
      <c r="H1657" s="2" t="s">
        <v>10</v>
      </c>
      <c r="I1657" s="2" t="s">
        <v>4386</v>
      </c>
      <c r="J1657" s="2" t="s">
        <v>1839</v>
      </c>
      <c r="K1657" s="2" t="s">
        <v>10</v>
      </c>
    </row>
    <row r="1658" spans="1:11" ht="27.6" hidden="1" x14ac:dyDescent="0.3">
      <c r="A1658" s="2" t="s">
        <v>4386</v>
      </c>
      <c r="B1658" s="2" t="s">
        <v>5883</v>
      </c>
      <c r="C1658" s="3">
        <v>38740</v>
      </c>
      <c r="D1658" s="1" t="s">
        <v>5884</v>
      </c>
      <c r="E1658" s="1" t="s">
        <v>5885</v>
      </c>
      <c r="F1658" s="2" t="s">
        <v>5635</v>
      </c>
      <c r="G1658" s="2" t="s">
        <v>328</v>
      </c>
      <c r="H1658" s="2" t="s">
        <v>81</v>
      </c>
      <c r="I1658" s="2" t="s">
        <v>4386</v>
      </c>
      <c r="J1658" s="2" t="s">
        <v>1839</v>
      </c>
      <c r="K1658" s="2" t="s">
        <v>10</v>
      </c>
    </row>
    <row r="1659" spans="1:11" ht="27.6" hidden="1" x14ac:dyDescent="0.3">
      <c r="A1659" s="2" t="s">
        <v>4386</v>
      </c>
      <c r="B1659" s="2" t="s">
        <v>5886</v>
      </c>
      <c r="C1659" s="3">
        <v>26201</v>
      </c>
      <c r="D1659" s="1" t="s">
        <v>5887</v>
      </c>
      <c r="E1659" s="1" t="s">
        <v>5888</v>
      </c>
      <c r="F1659" s="2" t="s">
        <v>4555</v>
      </c>
      <c r="G1659" s="2" t="s">
        <v>5889</v>
      </c>
      <c r="H1659" s="2" t="s">
        <v>10</v>
      </c>
      <c r="I1659" s="2" t="s">
        <v>4386</v>
      </c>
      <c r="J1659" s="2" t="s">
        <v>5890</v>
      </c>
      <c r="K1659" s="2" t="s">
        <v>10</v>
      </c>
    </row>
    <row r="1660" spans="1:11" ht="27.6" hidden="1" x14ac:dyDescent="0.3">
      <c r="A1660" s="2" t="s">
        <v>4386</v>
      </c>
      <c r="B1660" s="2" t="s">
        <v>5891</v>
      </c>
      <c r="C1660" s="3">
        <v>21272</v>
      </c>
      <c r="D1660" s="1" t="s">
        <v>5892</v>
      </c>
      <c r="E1660" s="1" t="s">
        <v>5893</v>
      </c>
      <c r="F1660" s="2" t="s">
        <v>5635</v>
      </c>
      <c r="G1660" s="2" t="s">
        <v>80</v>
      </c>
      <c r="H1660" s="2" t="s">
        <v>103</v>
      </c>
      <c r="I1660" s="2" t="s">
        <v>4386</v>
      </c>
      <c r="J1660" s="2" t="s">
        <v>1881</v>
      </c>
      <c r="K1660" s="2" t="s">
        <v>10</v>
      </c>
    </row>
    <row r="1661" spans="1:11" ht="27.6" hidden="1" x14ac:dyDescent="0.3">
      <c r="A1661" s="2" t="s">
        <v>4386</v>
      </c>
      <c r="B1661" s="2" t="s">
        <v>5894</v>
      </c>
      <c r="C1661" s="3">
        <v>31552</v>
      </c>
      <c r="D1661" s="1" t="s">
        <v>5895</v>
      </c>
      <c r="E1661" s="1" t="s">
        <v>5896</v>
      </c>
      <c r="F1661" s="2" t="s">
        <v>5618</v>
      </c>
      <c r="G1661" s="2" t="s">
        <v>5897</v>
      </c>
      <c r="H1661" s="2" t="s">
        <v>10</v>
      </c>
      <c r="I1661" s="2" t="s">
        <v>4386</v>
      </c>
      <c r="J1661" s="2" t="s">
        <v>5898</v>
      </c>
      <c r="K1661" s="2" t="s">
        <v>10</v>
      </c>
    </row>
    <row r="1662" spans="1:11" ht="27.6" hidden="1" x14ac:dyDescent="0.3">
      <c r="A1662" s="2" t="s">
        <v>4386</v>
      </c>
      <c r="B1662" s="2" t="s">
        <v>5899</v>
      </c>
      <c r="C1662" s="3">
        <v>24932</v>
      </c>
      <c r="D1662" s="1" t="s">
        <v>5900</v>
      </c>
      <c r="E1662" s="1" t="s">
        <v>5901</v>
      </c>
      <c r="F1662" s="2" t="s">
        <v>5618</v>
      </c>
      <c r="G1662" s="2" t="s">
        <v>4460</v>
      </c>
      <c r="H1662" s="2" t="s">
        <v>10</v>
      </c>
      <c r="I1662" s="2" t="s">
        <v>4386</v>
      </c>
      <c r="J1662" s="2" t="s">
        <v>5902</v>
      </c>
      <c r="K1662" s="2" t="s">
        <v>10</v>
      </c>
    </row>
    <row r="1663" spans="1:11" ht="27.6" hidden="1" x14ac:dyDescent="0.3">
      <c r="A1663" s="2" t="s">
        <v>4386</v>
      </c>
      <c r="B1663" s="2" t="s">
        <v>5903</v>
      </c>
      <c r="C1663" s="3">
        <v>31438</v>
      </c>
      <c r="D1663" s="1" t="s">
        <v>5904</v>
      </c>
      <c r="E1663" s="1" t="s">
        <v>5905</v>
      </c>
      <c r="F1663" s="2" t="s">
        <v>5618</v>
      </c>
      <c r="G1663" s="2" t="s">
        <v>4450</v>
      </c>
      <c r="H1663" s="2" t="s">
        <v>4531</v>
      </c>
      <c r="I1663" s="2" t="s">
        <v>4386</v>
      </c>
      <c r="J1663" s="2" t="s">
        <v>5906</v>
      </c>
      <c r="K1663" s="2" t="s">
        <v>10</v>
      </c>
    </row>
    <row r="1664" spans="1:11" ht="27.6" hidden="1" x14ac:dyDescent="0.3">
      <c r="A1664" s="2" t="s">
        <v>4386</v>
      </c>
      <c r="B1664" s="2" t="s">
        <v>5907</v>
      </c>
      <c r="C1664" s="3">
        <v>33854</v>
      </c>
      <c r="D1664" s="1" t="s">
        <v>5908</v>
      </c>
      <c r="E1664" s="1" t="s">
        <v>5909</v>
      </c>
      <c r="F1664" s="2" t="s">
        <v>5618</v>
      </c>
      <c r="G1664" s="2" t="s">
        <v>5910</v>
      </c>
      <c r="H1664" s="2" t="s">
        <v>10</v>
      </c>
      <c r="I1664" s="2" t="s">
        <v>4386</v>
      </c>
      <c r="J1664" s="2" t="s">
        <v>5911</v>
      </c>
      <c r="K1664" s="2" t="s">
        <v>10</v>
      </c>
    </row>
    <row r="1665" spans="1:11" ht="27.6" hidden="1" x14ac:dyDescent="0.3">
      <c r="A1665" s="2" t="s">
        <v>4386</v>
      </c>
      <c r="B1665" s="2" t="s">
        <v>5912</v>
      </c>
      <c r="C1665" s="3">
        <v>25488</v>
      </c>
      <c r="D1665" s="1" t="s">
        <v>5913</v>
      </c>
      <c r="E1665" s="1" t="s">
        <v>5914</v>
      </c>
      <c r="F1665" s="2" t="s">
        <v>5618</v>
      </c>
      <c r="G1665" s="2" t="s">
        <v>5915</v>
      </c>
      <c r="H1665" s="2" t="s">
        <v>10</v>
      </c>
      <c r="I1665" s="2" t="s">
        <v>4386</v>
      </c>
      <c r="J1665" s="2" t="s">
        <v>5916</v>
      </c>
      <c r="K1665" s="2" t="s">
        <v>10</v>
      </c>
    </row>
    <row r="1666" spans="1:11" ht="27.6" hidden="1" x14ac:dyDescent="0.3">
      <c r="A1666" s="2" t="s">
        <v>4386</v>
      </c>
      <c r="B1666" s="2" t="s">
        <v>5917</v>
      </c>
      <c r="C1666" s="3">
        <v>33251</v>
      </c>
      <c r="D1666" s="1" t="s">
        <v>5918</v>
      </c>
      <c r="E1666" s="1" t="s">
        <v>5919</v>
      </c>
      <c r="F1666" s="2" t="s">
        <v>5618</v>
      </c>
      <c r="G1666" s="2" t="s">
        <v>5920</v>
      </c>
      <c r="H1666" s="2" t="s">
        <v>10</v>
      </c>
      <c r="I1666" s="2" t="s">
        <v>4386</v>
      </c>
      <c r="J1666" s="2" t="s">
        <v>5921</v>
      </c>
      <c r="K1666" s="2" t="s">
        <v>10</v>
      </c>
    </row>
    <row r="1667" spans="1:11" ht="27.6" hidden="1" x14ac:dyDescent="0.3">
      <c r="A1667" s="2" t="s">
        <v>4386</v>
      </c>
      <c r="B1667" s="2" t="s">
        <v>5922</v>
      </c>
      <c r="C1667" s="3">
        <v>38396</v>
      </c>
      <c r="D1667" s="1" t="s">
        <v>5923</v>
      </c>
      <c r="E1667" s="1" t="s">
        <v>5924</v>
      </c>
      <c r="F1667" s="2" t="s">
        <v>5618</v>
      </c>
      <c r="G1667" s="2" t="s">
        <v>5925</v>
      </c>
      <c r="H1667" s="2" t="s">
        <v>10</v>
      </c>
      <c r="I1667" s="2" t="s">
        <v>4386</v>
      </c>
      <c r="J1667" s="2" t="s">
        <v>5926</v>
      </c>
      <c r="K1667" s="2" t="s">
        <v>10</v>
      </c>
    </row>
    <row r="1668" spans="1:11" ht="27.6" hidden="1" x14ac:dyDescent="0.3">
      <c r="A1668" s="2" t="s">
        <v>4386</v>
      </c>
      <c r="B1668" s="2" t="s">
        <v>5927</v>
      </c>
      <c r="C1668" s="3">
        <v>24365</v>
      </c>
      <c r="D1668" s="1" t="s">
        <v>5928</v>
      </c>
      <c r="E1668" s="1" t="s">
        <v>5929</v>
      </c>
      <c r="F1668" s="2" t="s">
        <v>5618</v>
      </c>
      <c r="G1668" s="2" t="s">
        <v>5930</v>
      </c>
      <c r="H1668" s="2" t="s">
        <v>10</v>
      </c>
      <c r="I1668" s="2" t="s">
        <v>4386</v>
      </c>
      <c r="J1668" s="2" t="s">
        <v>5931</v>
      </c>
      <c r="K1668" s="2" t="s">
        <v>10</v>
      </c>
    </row>
    <row r="1669" spans="1:11" ht="27.6" hidden="1" x14ac:dyDescent="0.3">
      <c r="A1669" s="2" t="s">
        <v>4386</v>
      </c>
      <c r="B1669" s="2" t="s">
        <v>5932</v>
      </c>
      <c r="C1669" s="3">
        <v>35412</v>
      </c>
      <c r="D1669" s="1" t="s">
        <v>5933</v>
      </c>
      <c r="E1669" s="1" t="s">
        <v>5934</v>
      </c>
      <c r="F1669" s="2" t="s">
        <v>5618</v>
      </c>
      <c r="G1669" s="2" t="s">
        <v>5935</v>
      </c>
      <c r="H1669" s="2" t="s">
        <v>10</v>
      </c>
      <c r="I1669" s="2" t="s">
        <v>4386</v>
      </c>
      <c r="J1669" s="2" t="s">
        <v>5936</v>
      </c>
      <c r="K1669" s="2" t="s">
        <v>10</v>
      </c>
    </row>
    <row r="1670" spans="1:11" ht="27.6" hidden="1" x14ac:dyDescent="0.3">
      <c r="A1670" s="2" t="s">
        <v>60</v>
      </c>
      <c r="B1670" s="2" t="s">
        <v>5937</v>
      </c>
      <c r="C1670" s="3">
        <v>37343</v>
      </c>
      <c r="D1670" s="1" t="s">
        <v>5938</v>
      </c>
      <c r="E1670" s="1" t="s">
        <v>5939</v>
      </c>
      <c r="F1670" s="2" t="s">
        <v>825</v>
      </c>
      <c r="G1670" s="2" t="s">
        <v>152</v>
      </c>
      <c r="H1670" s="2" t="s">
        <v>10</v>
      </c>
      <c r="I1670" s="2" t="s">
        <v>60</v>
      </c>
      <c r="J1670" s="2" t="s">
        <v>153</v>
      </c>
      <c r="K1670" s="2" t="s">
        <v>10</v>
      </c>
    </row>
    <row r="1671" spans="1:11" ht="27.6" hidden="1" x14ac:dyDescent="0.3">
      <c r="A1671" s="2" t="s">
        <v>60</v>
      </c>
      <c r="B1671" s="2" t="s">
        <v>5940</v>
      </c>
      <c r="C1671" s="3">
        <v>32733</v>
      </c>
      <c r="D1671" s="1" t="s">
        <v>118</v>
      </c>
      <c r="E1671" s="1" t="s">
        <v>5941</v>
      </c>
      <c r="F1671" s="2" t="s">
        <v>257</v>
      </c>
      <c r="G1671" s="2" t="s">
        <v>1763</v>
      </c>
      <c r="H1671" s="2" t="s">
        <v>10</v>
      </c>
      <c r="I1671" s="2" t="s">
        <v>60</v>
      </c>
      <c r="J1671" s="2" t="s">
        <v>1764</v>
      </c>
      <c r="K1671" s="2" t="s">
        <v>10</v>
      </c>
    </row>
    <row r="1672" spans="1:11" ht="27.6" hidden="1" x14ac:dyDescent="0.3">
      <c r="A1672" s="2" t="s">
        <v>4386</v>
      </c>
      <c r="B1672" s="2" t="s">
        <v>5942</v>
      </c>
      <c r="C1672" s="3">
        <v>30601</v>
      </c>
      <c r="D1672" s="1" t="s">
        <v>5943</v>
      </c>
      <c r="E1672" s="1" t="s">
        <v>5944</v>
      </c>
      <c r="F1672" s="2" t="s">
        <v>5618</v>
      </c>
      <c r="G1672" s="2" t="s">
        <v>5945</v>
      </c>
      <c r="H1672" s="2" t="s">
        <v>5849</v>
      </c>
      <c r="I1672" s="2" t="s">
        <v>4386</v>
      </c>
      <c r="J1672" s="2" t="s">
        <v>5926</v>
      </c>
      <c r="K1672" s="2" t="s">
        <v>10</v>
      </c>
    </row>
    <row r="1673" spans="1:11" ht="27.6" hidden="1" x14ac:dyDescent="0.3">
      <c r="A1673" s="2" t="s">
        <v>4386</v>
      </c>
      <c r="B1673" s="2" t="s">
        <v>5946</v>
      </c>
      <c r="C1673" s="3">
        <v>31396</v>
      </c>
      <c r="D1673" s="1" t="s">
        <v>5947</v>
      </c>
      <c r="E1673" s="1" t="s">
        <v>5948</v>
      </c>
      <c r="F1673" s="2" t="s">
        <v>5618</v>
      </c>
      <c r="G1673" s="2" t="s">
        <v>5945</v>
      </c>
      <c r="H1673" s="2" t="s">
        <v>562</v>
      </c>
      <c r="I1673" s="2" t="s">
        <v>4386</v>
      </c>
      <c r="J1673" s="2" t="s">
        <v>5926</v>
      </c>
      <c r="K1673" s="2" t="s">
        <v>10</v>
      </c>
    </row>
    <row r="1674" spans="1:11" ht="27.6" hidden="1" x14ac:dyDescent="0.3">
      <c r="A1674" s="2" t="s">
        <v>4386</v>
      </c>
      <c r="B1674" s="2" t="s">
        <v>5949</v>
      </c>
      <c r="C1674" s="3">
        <v>33636</v>
      </c>
      <c r="D1674" s="1" t="s">
        <v>5950</v>
      </c>
      <c r="E1674" s="1" t="s">
        <v>5951</v>
      </c>
      <c r="F1674" s="2" t="s">
        <v>5618</v>
      </c>
      <c r="G1674" s="2" t="s">
        <v>5952</v>
      </c>
      <c r="H1674" s="2" t="s">
        <v>10</v>
      </c>
      <c r="I1674" s="2" t="s">
        <v>4386</v>
      </c>
      <c r="J1674" s="2" t="s">
        <v>5953</v>
      </c>
      <c r="K1674" s="2" t="s">
        <v>10</v>
      </c>
    </row>
    <row r="1675" spans="1:11" ht="27.6" hidden="1" x14ac:dyDescent="0.3">
      <c r="A1675" s="2" t="s">
        <v>4386</v>
      </c>
      <c r="B1675" s="2" t="s">
        <v>5954</v>
      </c>
      <c r="C1675" s="3">
        <v>30941</v>
      </c>
      <c r="D1675" s="1" t="s">
        <v>5955</v>
      </c>
      <c r="E1675" s="1" t="s">
        <v>5956</v>
      </c>
      <c r="F1675" s="2" t="s">
        <v>5618</v>
      </c>
      <c r="G1675" s="2" t="s">
        <v>4484</v>
      </c>
      <c r="H1675" s="2" t="s">
        <v>10</v>
      </c>
      <c r="I1675" s="2" t="s">
        <v>4386</v>
      </c>
      <c r="J1675" s="2" t="s">
        <v>5957</v>
      </c>
      <c r="K1675" s="2" t="s">
        <v>10</v>
      </c>
    </row>
    <row r="1676" spans="1:11" ht="27.6" hidden="1" x14ac:dyDescent="0.3">
      <c r="A1676" s="2" t="s">
        <v>4386</v>
      </c>
      <c r="B1676" s="2" t="s">
        <v>5958</v>
      </c>
      <c r="C1676" s="3">
        <v>23796</v>
      </c>
      <c r="D1676" s="1" t="s">
        <v>5959</v>
      </c>
      <c r="E1676" s="1" t="s">
        <v>5960</v>
      </c>
      <c r="F1676" s="2" t="s">
        <v>5618</v>
      </c>
      <c r="G1676" s="2" t="s">
        <v>4550</v>
      </c>
      <c r="H1676" s="2" t="s">
        <v>10</v>
      </c>
      <c r="I1676" s="2" t="s">
        <v>4386</v>
      </c>
      <c r="J1676" s="2" t="s">
        <v>5961</v>
      </c>
      <c r="K1676" s="2" t="s">
        <v>10</v>
      </c>
    </row>
    <row r="1677" spans="1:11" ht="55.2" hidden="1" x14ac:dyDescent="0.3">
      <c r="A1677" s="2" t="s">
        <v>4604</v>
      </c>
      <c r="B1677" s="2" t="s">
        <v>5962</v>
      </c>
      <c r="C1677" s="3">
        <v>25069</v>
      </c>
      <c r="D1677" s="1" t="s">
        <v>5963</v>
      </c>
      <c r="E1677" s="1" t="s">
        <v>5964</v>
      </c>
      <c r="F1677" s="2" t="s">
        <v>5668</v>
      </c>
      <c r="G1677" s="2" t="s">
        <v>190</v>
      </c>
      <c r="H1677" s="2" t="s">
        <v>5965</v>
      </c>
      <c r="I1677" s="2" t="s">
        <v>4604</v>
      </c>
      <c r="J1677" s="2" t="s">
        <v>768</v>
      </c>
      <c r="K1677" s="2" t="s">
        <v>10</v>
      </c>
    </row>
    <row r="1678" spans="1:11" ht="55.2" hidden="1" x14ac:dyDescent="0.3">
      <c r="A1678" s="2" t="s">
        <v>4604</v>
      </c>
      <c r="B1678" s="2" t="s">
        <v>5966</v>
      </c>
      <c r="C1678" s="3">
        <v>34142</v>
      </c>
      <c r="D1678" s="1" t="s">
        <v>5967</v>
      </c>
      <c r="E1678" s="1" t="s">
        <v>5968</v>
      </c>
      <c r="F1678" s="2" t="s">
        <v>5969</v>
      </c>
      <c r="G1678" s="2" t="s">
        <v>152</v>
      </c>
      <c r="H1678" s="2" t="s">
        <v>5970</v>
      </c>
      <c r="I1678" s="2" t="s">
        <v>4604</v>
      </c>
      <c r="J1678" s="2" t="s">
        <v>108</v>
      </c>
      <c r="K1678" s="2" t="s">
        <v>10</v>
      </c>
    </row>
    <row r="1679" spans="1:11" ht="27.6" hidden="1" x14ac:dyDescent="0.3">
      <c r="A1679" s="2" t="s">
        <v>60</v>
      </c>
      <c r="B1679" s="2" t="s">
        <v>5971</v>
      </c>
      <c r="C1679" s="3">
        <v>33886</v>
      </c>
      <c r="D1679" s="1" t="s">
        <v>5972</v>
      </c>
      <c r="E1679" s="1" t="s">
        <v>5973</v>
      </c>
      <c r="F1679" s="2" t="s">
        <v>257</v>
      </c>
      <c r="G1679" s="2" t="s">
        <v>278</v>
      </c>
      <c r="H1679" s="2" t="s">
        <v>10</v>
      </c>
      <c r="I1679" s="2" t="s">
        <v>60</v>
      </c>
      <c r="J1679" s="2" t="s">
        <v>279</v>
      </c>
      <c r="K1679" s="2" t="s">
        <v>10</v>
      </c>
    </row>
    <row r="1680" spans="1:11" ht="27.6" hidden="1" x14ac:dyDescent="0.3">
      <c r="A1680" s="2" t="s">
        <v>60</v>
      </c>
      <c r="B1680" s="2" t="s">
        <v>5974</v>
      </c>
      <c r="C1680" s="3">
        <v>30344</v>
      </c>
      <c r="D1680" s="1" t="s">
        <v>5975</v>
      </c>
      <c r="E1680" s="1" t="s">
        <v>5976</v>
      </c>
      <c r="F1680" s="2" t="s">
        <v>274</v>
      </c>
      <c r="G1680" s="2" t="s">
        <v>643</v>
      </c>
      <c r="H1680" s="2" t="s">
        <v>10</v>
      </c>
      <c r="I1680" s="2" t="s">
        <v>60</v>
      </c>
      <c r="J1680" s="2" t="s">
        <v>644</v>
      </c>
      <c r="K1680" s="2" t="s">
        <v>10</v>
      </c>
    </row>
    <row r="1681" spans="1:11" ht="27.6" hidden="1" x14ac:dyDescent="0.3">
      <c r="A1681" s="2" t="s">
        <v>60</v>
      </c>
      <c r="B1681" s="2" t="s">
        <v>5977</v>
      </c>
      <c r="C1681" s="3">
        <v>31752</v>
      </c>
      <c r="D1681" s="1" t="s">
        <v>5978</v>
      </c>
      <c r="E1681" s="1" t="s">
        <v>5979</v>
      </c>
      <c r="F1681" s="2" t="s">
        <v>825</v>
      </c>
      <c r="G1681" s="2" t="s">
        <v>152</v>
      </c>
      <c r="H1681" s="2" t="s">
        <v>43</v>
      </c>
      <c r="I1681" s="2" t="s">
        <v>60</v>
      </c>
      <c r="J1681" s="2" t="s">
        <v>5980</v>
      </c>
      <c r="K1681" s="2" t="s">
        <v>10</v>
      </c>
    </row>
    <row r="1682" spans="1:11" ht="55.2" hidden="1" x14ac:dyDescent="0.3">
      <c r="A1682" s="2" t="s">
        <v>4604</v>
      </c>
      <c r="B1682" s="2" t="s">
        <v>5981</v>
      </c>
      <c r="C1682" s="3">
        <v>23907</v>
      </c>
      <c r="D1682" s="1" t="s">
        <v>5982</v>
      </c>
      <c r="E1682" s="1" t="s">
        <v>5983</v>
      </c>
      <c r="F1682" s="2" t="s">
        <v>5969</v>
      </c>
      <c r="G1682" s="2" t="s">
        <v>319</v>
      </c>
      <c r="H1682" s="2" t="s">
        <v>5984</v>
      </c>
      <c r="I1682" s="2" t="s">
        <v>4604</v>
      </c>
      <c r="J1682" s="2" t="s">
        <v>5985</v>
      </c>
      <c r="K1682" s="2" t="s">
        <v>10</v>
      </c>
    </row>
    <row r="1683" spans="1:11" ht="55.2" hidden="1" x14ac:dyDescent="0.3">
      <c r="A1683" s="2" t="s">
        <v>4604</v>
      </c>
      <c r="B1683" s="2" t="s">
        <v>5986</v>
      </c>
      <c r="C1683" s="3">
        <v>32980</v>
      </c>
      <c r="D1683" s="1" t="s">
        <v>5987</v>
      </c>
      <c r="E1683" s="1" t="s">
        <v>5988</v>
      </c>
      <c r="F1683" s="2" t="s">
        <v>5989</v>
      </c>
      <c r="G1683" s="2" t="s">
        <v>425</v>
      </c>
      <c r="H1683" s="2" t="s">
        <v>5990</v>
      </c>
      <c r="I1683" s="2" t="s">
        <v>4604</v>
      </c>
      <c r="J1683" s="2" t="s">
        <v>841</v>
      </c>
      <c r="K1683" s="2" t="s">
        <v>10</v>
      </c>
    </row>
    <row r="1684" spans="1:11" ht="55.2" hidden="1" x14ac:dyDescent="0.3">
      <c r="A1684" s="2" t="s">
        <v>4604</v>
      </c>
      <c r="B1684" s="2" t="s">
        <v>5991</v>
      </c>
      <c r="C1684" s="3">
        <v>38951</v>
      </c>
      <c r="D1684" s="1" t="s">
        <v>5992</v>
      </c>
      <c r="E1684" s="1" t="s">
        <v>5993</v>
      </c>
      <c r="F1684" s="2" t="s">
        <v>5989</v>
      </c>
      <c r="G1684" s="2" t="s">
        <v>80</v>
      </c>
      <c r="H1684" s="2" t="s">
        <v>5994</v>
      </c>
      <c r="I1684" s="2" t="s">
        <v>4604</v>
      </c>
      <c r="J1684" s="2" t="s">
        <v>5327</v>
      </c>
      <c r="K1684" s="2" t="s">
        <v>10</v>
      </c>
    </row>
    <row r="1685" spans="1:11" ht="55.2" hidden="1" x14ac:dyDescent="0.3">
      <c r="A1685" s="2" t="s">
        <v>4604</v>
      </c>
      <c r="B1685" s="2" t="s">
        <v>5995</v>
      </c>
      <c r="C1685" s="3">
        <v>22803</v>
      </c>
      <c r="D1685" s="1" t="s">
        <v>5996</v>
      </c>
      <c r="E1685" s="1" t="s">
        <v>5997</v>
      </c>
      <c r="F1685" s="2" t="s">
        <v>5989</v>
      </c>
      <c r="G1685" s="2" t="s">
        <v>222</v>
      </c>
      <c r="H1685" s="2" t="s">
        <v>5998</v>
      </c>
      <c r="I1685" s="2" t="s">
        <v>4604</v>
      </c>
      <c r="J1685" s="2" t="s">
        <v>417</v>
      </c>
      <c r="K1685" s="2" t="s">
        <v>10</v>
      </c>
    </row>
    <row r="1686" spans="1:11" ht="55.2" hidden="1" x14ac:dyDescent="0.3">
      <c r="A1686" s="2" t="s">
        <v>4604</v>
      </c>
      <c r="B1686" s="2" t="s">
        <v>5999</v>
      </c>
      <c r="C1686" s="3">
        <v>15323</v>
      </c>
      <c r="D1686" s="1" t="s">
        <v>6000</v>
      </c>
      <c r="E1686" s="1" t="s">
        <v>6001</v>
      </c>
      <c r="F1686" s="2" t="s">
        <v>5989</v>
      </c>
      <c r="G1686" s="2" t="s">
        <v>511</v>
      </c>
      <c r="H1686" s="2" t="s">
        <v>6002</v>
      </c>
      <c r="I1686" s="2" t="s">
        <v>4604</v>
      </c>
      <c r="J1686" s="2" t="s">
        <v>5782</v>
      </c>
      <c r="K1686" s="2" t="s">
        <v>10</v>
      </c>
    </row>
    <row r="1687" spans="1:11" ht="55.2" hidden="1" x14ac:dyDescent="0.3">
      <c r="A1687" s="2" t="s">
        <v>4604</v>
      </c>
      <c r="B1687" s="2" t="s">
        <v>6003</v>
      </c>
      <c r="C1687" s="3">
        <v>24706</v>
      </c>
      <c r="D1687" s="1" t="s">
        <v>6004</v>
      </c>
      <c r="E1687" s="1" t="s">
        <v>6005</v>
      </c>
      <c r="F1687" s="2" t="s">
        <v>4608</v>
      </c>
      <c r="G1687" s="2" t="s">
        <v>696</v>
      </c>
      <c r="H1687" s="2" t="s">
        <v>6006</v>
      </c>
      <c r="I1687" s="2" t="s">
        <v>4604</v>
      </c>
      <c r="J1687" s="2" t="s">
        <v>4099</v>
      </c>
      <c r="K1687" s="2" t="s">
        <v>10</v>
      </c>
    </row>
    <row r="1688" spans="1:11" ht="55.2" hidden="1" x14ac:dyDescent="0.3">
      <c r="A1688" s="2" t="s">
        <v>4604</v>
      </c>
      <c r="B1688" s="2" t="s">
        <v>6007</v>
      </c>
      <c r="C1688" s="3">
        <v>35622</v>
      </c>
      <c r="D1688" s="1" t="s">
        <v>6008</v>
      </c>
      <c r="E1688" s="1" t="s">
        <v>6009</v>
      </c>
      <c r="F1688" s="2" t="s">
        <v>4608</v>
      </c>
      <c r="G1688" s="2" t="s">
        <v>1222</v>
      </c>
      <c r="H1688" s="2" t="s">
        <v>6010</v>
      </c>
      <c r="I1688" s="2" t="s">
        <v>4604</v>
      </c>
      <c r="J1688" s="2" t="s">
        <v>4315</v>
      </c>
      <c r="K1688" s="2" t="s">
        <v>10</v>
      </c>
    </row>
    <row r="1689" spans="1:11" ht="55.2" hidden="1" x14ac:dyDescent="0.3">
      <c r="A1689" s="2" t="s">
        <v>4604</v>
      </c>
      <c r="B1689" s="2" t="s">
        <v>6011</v>
      </c>
      <c r="C1689" s="3">
        <v>27638</v>
      </c>
      <c r="D1689" s="1" t="s">
        <v>6012</v>
      </c>
      <c r="E1689" s="1" t="s">
        <v>6013</v>
      </c>
      <c r="F1689" s="2" t="s">
        <v>4608</v>
      </c>
      <c r="G1689" s="2" t="s">
        <v>217</v>
      </c>
      <c r="H1689" s="2" t="s">
        <v>6014</v>
      </c>
      <c r="I1689" s="2" t="s">
        <v>4604</v>
      </c>
      <c r="J1689" s="2" t="s">
        <v>412</v>
      </c>
      <c r="K1689" s="2" t="s">
        <v>10</v>
      </c>
    </row>
    <row r="1690" spans="1:11" ht="55.2" hidden="1" x14ac:dyDescent="0.3">
      <c r="A1690" s="2" t="s">
        <v>4604</v>
      </c>
      <c r="B1690" s="2" t="s">
        <v>6015</v>
      </c>
      <c r="C1690" s="3">
        <v>27109</v>
      </c>
      <c r="D1690" s="1" t="s">
        <v>6016</v>
      </c>
      <c r="E1690" s="1" t="s">
        <v>6017</v>
      </c>
      <c r="F1690" s="2" t="s">
        <v>5668</v>
      </c>
      <c r="G1690" s="2" t="s">
        <v>1504</v>
      </c>
      <c r="H1690" s="2" t="s">
        <v>6018</v>
      </c>
      <c r="I1690" s="2" t="s">
        <v>4604</v>
      </c>
      <c r="J1690" s="2" t="s">
        <v>2066</v>
      </c>
      <c r="K1690" s="2" t="s">
        <v>10</v>
      </c>
    </row>
    <row r="1691" spans="1:11" ht="55.2" hidden="1" x14ac:dyDescent="0.3">
      <c r="A1691" s="2" t="s">
        <v>4604</v>
      </c>
      <c r="B1691" s="2" t="s">
        <v>6015</v>
      </c>
      <c r="C1691" s="3">
        <v>27109</v>
      </c>
      <c r="D1691" s="1" t="s">
        <v>6016</v>
      </c>
      <c r="E1691" s="1" t="s">
        <v>6017</v>
      </c>
      <c r="F1691" s="2" t="s">
        <v>4608</v>
      </c>
      <c r="G1691" s="2" t="s">
        <v>292</v>
      </c>
      <c r="H1691" s="2" t="s">
        <v>6019</v>
      </c>
      <c r="I1691" s="2" t="s">
        <v>4604</v>
      </c>
      <c r="J1691" s="2" t="s">
        <v>3419</v>
      </c>
      <c r="K1691" s="2" t="s">
        <v>10</v>
      </c>
    </row>
    <row r="1692" spans="1:11" ht="55.2" hidden="1" x14ac:dyDescent="0.3">
      <c r="A1692" s="2" t="s">
        <v>4604</v>
      </c>
      <c r="B1692" s="2" t="s">
        <v>6020</v>
      </c>
      <c r="C1692" s="3">
        <v>23640</v>
      </c>
      <c r="D1692" s="1" t="s">
        <v>6021</v>
      </c>
      <c r="E1692" s="1" t="s">
        <v>6022</v>
      </c>
      <c r="F1692" s="2" t="s">
        <v>5969</v>
      </c>
      <c r="G1692" s="2" t="s">
        <v>12</v>
      </c>
      <c r="H1692" s="2" t="s">
        <v>6023</v>
      </c>
      <c r="I1692" s="2" t="s">
        <v>4604</v>
      </c>
      <c r="J1692" s="2" t="s">
        <v>54</v>
      </c>
      <c r="K1692" s="2" t="s">
        <v>10</v>
      </c>
    </row>
    <row r="1693" spans="1:11" ht="55.2" hidden="1" x14ac:dyDescent="0.3">
      <c r="A1693" s="2" t="s">
        <v>4604</v>
      </c>
      <c r="B1693" s="2" t="s">
        <v>6024</v>
      </c>
      <c r="C1693" s="3">
        <v>37762</v>
      </c>
      <c r="D1693" s="1" t="s">
        <v>6025</v>
      </c>
      <c r="E1693" s="1" t="s">
        <v>6026</v>
      </c>
      <c r="F1693" s="2" t="s">
        <v>5969</v>
      </c>
      <c r="G1693" s="2" t="s">
        <v>366</v>
      </c>
      <c r="H1693" s="2" t="s">
        <v>6027</v>
      </c>
      <c r="I1693" s="2" t="s">
        <v>4604</v>
      </c>
      <c r="J1693" s="2" t="s">
        <v>6028</v>
      </c>
      <c r="K1693" s="2" t="s">
        <v>10</v>
      </c>
    </row>
    <row r="1694" spans="1:11" ht="55.2" hidden="1" x14ac:dyDescent="0.3">
      <c r="A1694" s="2" t="s">
        <v>4604</v>
      </c>
      <c r="B1694" s="2" t="s">
        <v>6029</v>
      </c>
      <c r="C1694" s="3">
        <v>23557</v>
      </c>
      <c r="D1694" s="1" t="s">
        <v>6030</v>
      </c>
      <c r="E1694" s="1" t="s">
        <v>6031</v>
      </c>
      <c r="F1694" s="2" t="s">
        <v>5969</v>
      </c>
      <c r="G1694" s="2" t="s">
        <v>48</v>
      </c>
      <c r="H1694" s="2" t="s">
        <v>6032</v>
      </c>
      <c r="I1694" s="2" t="s">
        <v>4604</v>
      </c>
      <c r="J1694" s="2" t="s">
        <v>700</v>
      </c>
      <c r="K1694" s="2" t="s">
        <v>10</v>
      </c>
    </row>
    <row r="1695" spans="1:11" ht="55.2" hidden="1" x14ac:dyDescent="0.3">
      <c r="A1695" s="2" t="s">
        <v>4604</v>
      </c>
      <c r="B1695" s="2" t="s">
        <v>6033</v>
      </c>
      <c r="C1695" s="3">
        <v>30735</v>
      </c>
      <c r="D1695" s="1" t="s">
        <v>6034</v>
      </c>
      <c r="E1695" s="1" t="s">
        <v>6035</v>
      </c>
      <c r="F1695" s="2" t="s">
        <v>5969</v>
      </c>
      <c r="G1695" s="2" t="s">
        <v>385</v>
      </c>
      <c r="H1695" s="2" t="s">
        <v>6036</v>
      </c>
      <c r="I1695" s="2" t="s">
        <v>4604</v>
      </c>
      <c r="J1695" s="2" t="s">
        <v>975</v>
      </c>
      <c r="K1695" s="2" t="s">
        <v>10</v>
      </c>
    </row>
    <row r="1696" spans="1:11" ht="55.2" hidden="1" x14ac:dyDescent="0.3">
      <c r="A1696" s="2" t="s">
        <v>4604</v>
      </c>
      <c r="B1696" s="2" t="s">
        <v>6037</v>
      </c>
      <c r="C1696" s="3">
        <v>13509</v>
      </c>
      <c r="D1696" s="1" t="s">
        <v>6038</v>
      </c>
      <c r="E1696" s="1" t="s">
        <v>6039</v>
      </c>
      <c r="F1696" s="2" t="s">
        <v>5969</v>
      </c>
      <c r="G1696" s="2" t="s">
        <v>385</v>
      </c>
      <c r="H1696" s="2" t="s">
        <v>6040</v>
      </c>
      <c r="I1696" s="2" t="s">
        <v>4604</v>
      </c>
      <c r="J1696" s="2" t="s">
        <v>975</v>
      </c>
      <c r="K1696" s="2" t="s">
        <v>10</v>
      </c>
    </row>
    <row r="1697" spans="1:11" ht="55.2" hidden="1" x14ac:dyDescent="0.3">
      <c r="A1697" s="2" t="s">
        <v>4604</v>
      </c>
      <c r="B1697" s="2" t="s">
        <v>6041</v>
      </c>
      <c r="C1697" s="3">
        <v>36550</v>
      </c>
      <c r="D1697" s="1" t="s">
        <v>6042</v>
      </c>
      <c r="E1697" s="1" t="s">
        <v>6043</v>
      </c>
      <c r="F1697" s="2" t="s">
        <v>5989</v>
      </c>
      <c r="G1697" s="2" t="s">
        <v>112</v>
      </c>
      <c r="H1697" s="2" t="s">
        <v>6044</v>
      </c>
      <c r="I1697" s="2" t="s">
        <v>4604</v>
      </c>
      <c r="J1697" s="2" t="s">
        <v>113</v>
      </c>
      <c r="K1697" s="2" t="s">
        <v>10</v>
      </c>
    </row>
    <row r="1698" spans="1:11" ht="55.2" hidden="1" x14ac:dyDescent="0.3">
      <c r="A1698" s="2" t="s">
        <v>4604</v>
      </c>
      <c r="B1698" s="2" t="s">
        <v>6045</v>
      </c>
      <c r="C1698" s="3">
        <v>17359</v>
      </c>
      <c r="D1698" s="1" t="s">
        <v>442</v>
      </c>
      <c r="E1698" s="1" t="s">
        <v>6046</v>
      </c>
      <c r="F1698" s="2" t="s">
        <v>5989</v>
      </c>
      <c r="G1698" s="2" t="s">
        <v>328</v>
      </c>
      <c r="H1698" s="2" t="s">
        <v>6047</v>
      </c>
      <c r="I1698" s="2" t="s">
        <v>4604</v>
      </c>
      <c r="J1698" s="2" t="s">
        <v>1839</v>
      </c>
      <c r="K1698" s="2" t="s">
        <v>10</v>
      </c>
    </row>
    <row r="1699" spans="1:11" ht="55.2" hidden="1" x14ac:dyDescent="0.3">
      <c r="A1699" s="2" t="s">
        <v>4604</v>
      </c>
      <c r="B1699" s="2" t="s">
        <v>6048</v>
      </c>
      <c r="C1699" s="3">
        <v>25301</v>
      </c>
      <c r="D1699" s="1" t="s">
        <v>6049</v>
      </c>
      <c r="E1699" s="1" t="s">
        <v>6050</v>
      </c>
      <c r="F1699" s="2" t="s">
        <v>4608</v>
      </c>
      <c r="G1699" s="2" t="s">
        <v>696</v>
      </c>
      <c r="H1699" s="2" t="s">
        <v>6051</v>
      </c>
      <c r="I1699" s="2" t="s">
        <v>4604</v>
      </c>
      <c r="J1699" s="2" t="s">
        <v>6052</v>
      </c>
      <c r="K1699" s="2" t="s">
        <v>10</v>
      </c>
    </row>
    <row r="1700" spans="1:11" ht="55.2" hidden="1" x14ac:dyDescent="0.3">
      <c r="A1700" s="2" t="s">
        <v>4604</v>
      </c>
      <c r="B1700" s="2" t="s">
        <v>6053</v>
      </c>
      <c r="C1700" s="3">
        <v>23278</v>
      </c>
      <c r="D1700" s="1" t="s">
        <v>6054</v>
      </c>
      <c r="E1700" s="1" t="s">
        <v>6055</v>
      </c>
      <c r="F1700" s="2" t="s">
        <v>4608</v>
      </c>
      <c r="G1700" s="2" t="s">
        <v>1403</v>
      </c>
      <c r="H1700" s="2" t="s">
        <v>6056</v>
      </c>
      <c r="I1700" s="2" t="s">
        <v>4604</v>
      </c>
      <c r="J1700" s="2" t="s">
        <v>4638</v>
      </c>
      <c r="K1700" s="2" t="s">
        <v>10</v>
      </c>
    </row>
    <row r="1701" spans="1:11" ht="55.2" hidden="1" x14ac:dyDescent="0.3">
      <c r="A1701" s="2" t="s">
        <v>4604</v>
      </c>
      <c r="B1701" s="2" t="s">
        <v>6057</v>
      </c>
      <c r="C1701" s="3">
        <v>27304</v>
      </c>
      <c r="D1701" s="1" t="s">
        <v>6058</v>
      </c>
      <c r="E1701" s="1" t="s">
        <v>6059</v>
      </c>
      <c r="F1701" s="2" t="s">
        <v>4608</v>
      </c>
      <c r="G1701" s="2" t="s">
        <v>333</v>
      </c>
      <c r="H1701" s="2" t="s">
        <v>6060</v>
      </c>
      <c r="I1701" s="2" t="s">
        <v>4604</v>
      </c>
      <c r="J1701" s="2" t="s">
        <v>335</v>
      </c>
      <c r="K1701" s="2" t="s">
        <v>10</v>
      </c>
    </row>
    <row r="1702" spans="1:11" ht="55.2" hidden="1" x14ac:dyDescent="0.3">
      <c r="A1702" s="2" t="s">
        <v>4604</v>
      </c>
      <c r="B1702" s="2" t="s">
        <v>6061</v>
      </c>
      <c r="C1702" s="3">
        <v>24112</v>
      </c>
      <c r="D1702" s="1" t="s">
        <v>6062</v>
      </c>
      <c r="E1702" s="1" t="s">
        <v>6063</v>
      </c>
      <c r="F1702" s="2" t="s">
        <v>5668</v>
      </c>
      <c r="G1702" s="2" t="s">
        <v>1955</v>
      </c>
      <c r="H1702" s="2" t="s">
        <v>6064</v>
      </c>
      <c r="I1702" s="2" t="s">
        <v>4604</v>
      </c>
      <c r="J1702" s="2" t="s">
        <v>6065</v>
      </c>
      <c r="K1702" s="2" t="s">
        <v>10</v>
      </c>
    </row>
    <row r="1703" spans="1:11" ht="55.2" hidden="1" x14ac:dyDescent="0.3">
      <c r="A1703" s="2" t="s">
        <v>4604</v>
      </c>
      <c r="B1703" s="2" t="s">
        <v>6066</v>
      </c>
      <c r="C1703" s="3">
        <v>36786</v>
      </c>
      <c r="D1703" s="1" t="s">
        <v>6067</v>
      </c>
      <c r="E1703" s="1" t="s">
        <v>6068</v>
      </c>
      <c r="F1703" s="2" t="s">
        <v>4698</v>
      </c>
      <c r="G1703" s="2" t="s">
        <v>385</v>
      </c>
      <c r="H1703" s="2" t="s">
        <v>334</v>
      </c>
      <c r="I1703" s="2" t="s">
        <v>4604</v>
      </c>
      <c r="J1703" s="2" t="s">
        <v>2047</v>
      </c>
      <c r="K1703" s="2" t="s">
        <v>10</v>
      </c>
    </row>
    <row r="1704" spans="1:11" ht="55.2" hidden="1" x14ac:dyDescent="0.3">
      <c r="A1704" s="2" t="s">
        <v>4604</v>
      </c>
      <c r="B1704" s="2" t="s">
        <v>6069</v>
      </c>
      <c r="C1704" s="3">
        <v>23649</v>
      </c>
      <c r="D1704" s="1" t="s">
        <v>6070</v>
      </c>
      <c r="E1704" s="1" t="s">
        <v>6071</v>
      </c>
      <c r="F1704" s="2" t="s">
        <v>4608</v>
      </c>
      <c r="G1704" s="2" t="s">
        <v>852</v>
      </c>
      <c r="H1704" s="2" t="s">
        <v>10</v>
      </c>
      <c r="I1704" s="2" t="s">
        <v>4604</v>
      </c>
      <c r="J1704" s="2" t="s">
        <v>6072</v>
      </c>
      <c r="K1704" s="2" t="s">
        <v>10</v>
      </c>
    </row>
    <row r="1705" spans="1:11" ht="55.2" hidden="1" x14ac:dyDescent="0.3">
      <c r="A1705" s="2" t="s">
        <v>4604</v>
      </c>
      <c r="B1705" s="2" t="s">
        <v>6073</v>
      </c>
      <c r="C1705" s="3">
        <v>33560</v>
      </c>
      <c r="D1705" s="1" t="s">
        <v>6074</v>
      </c>
      <c r="E1705" s="1" t="s">
        <v>6075</v>
      </c>
      <c r="F1705" s="2" t="s">
        <v>4608</v>
      </c>
      <c r="G1705" s="2" t="s">
        <v>1763</v>
      </c>
      <c r="H1705" s="2" t="s">
        <v>6076</v>
      </c>
      <c r="I1705" s="2" t="s">
        <v>4604</v>
      </c>
      <c r="J1705" s="2" t="s">
        <v>6077</v>
      </c>
      <c r="K1705" s="2" t="s">
        <v>10</v>
      </c>
    </row>
    <row r="1706" spans="1:11" ht="55.2" hidden="1" x14ac:dyDescent="0.3">
      <c r="A1706" s="2" t="s">
        <v>4604</v>
      </c>
      <c r="B1706" s="2" t="s">
        <v>6078</v>
      </c>
      <c r="C1706" s="3">
        <v>26433</v>
      </c>
      <c r="D1706" s="1" t="s">
        <v>6079</v>
      </c>
      <c r="E1706" s="1" t="s">
        <v>6080</v>
      </c>
      <c r="F1706" s="2" t="s">
        <v>4608</v>
      </c>
      <c r="G1706" s="2" t="s">
        <v>2079</v>
      </c>
      <c r="H1706" s="2" t="s">
        <v>6081</v>
      </c>
      <c r="I1706" s="2" t="s">
        <v>4604</v>
      </c>
      <c r="J1706" s="2" t="s">
        <v>6082</v>
      </c>
      <c r="K1706" s="2" t="s">
        <v>10</v>
      </c>
    </row>
    <row r="1707" spans="1:11" ht="27.6" hidden="1" x14ac:dyDescent="0.3">
      <c r="A1707" s="2" t="s">
        <v>4386</v>
      </c>
      <c r="B1707" s="2" t="s">
        <v>6083</v>
      </c>
      <c r="C1707" s="3">
        <v>38096</v>
      </c>
      <c r="D1707" s="1" t="s">
        <v>6084</v>
      </c>
      <c r="E1707" s="1" t="s">
        <v>6085</v>
      </c>
      <c r="F1707" s="2" t="s">
        <v>6086</v>
      </c>
      <c r="G1707" s="2" t="s">
        <v>25</v>
      </c>
      <c r="H1707" s="2" t="s">
        <v>10</v>
      </c>
      <c r="I1707" s="2" t="s">
        <v>4386</v>
      </c>
      <c r="J1707" s="2" t="s">
        <v>305</v>
      </c>
      <c r="K1707" s="2" t="s">
        <v>10</v>
      </c>
    </row>
    <row r="1708" spans="1:11" ht="27.6" hidden="1" x14ac:dyDescent="0.3">
      <c r="A1708" s="2" t="s">
        <v>4386</v>
      </c>
      <c r="B1708" s="2" t="s">
        <v>6087</v>
      </c>
      <c r="C1708" s="3">
        <v>23267</v>
      </c>
      <c r="D1708" s="1" t="s">
        <v>6088</v>
      </c>
      <c r="E1708" s="1" t="s">
        <v>6089</v>
      </c>
      <c r="F1708" s="2" t="s">
        <v>4396</v>
      </c>
      <c r="G1708" s="2" t="s">
        <v>6090</v>
      </c>
      <c r="H1708" s="2" t="s">
        <v>103</v>
      </c>
      <c r="I1708" s="2" t="s">
        <v>4386</v>
      </c>
      <c r="J1708" s="2" t="s">
        <v>6091</v>
      </c>
      <c r="K1708" s="2" t="s">
        <v>10</v>
      </c>
    </row>
    <row r="1709" spans="1:11" ht="27.6" hidden="1" x14ac:dyDescent="0.3">
      <c r="A1709" s="2" t="s">
        <v>4386</v>
      </c>
      <c r="B1709" s="2" t="s">
        <v>6092</v>
      </c>
      <c r="C1709" s="3">
        <v>34163</v>
      </c>
      <c r="D1709" s="1" t="s">
        <v>6093</v>
      </c>
      <c r="E1709" s="1" t="s">
        <v>6094</v>
      </c>
      <c r="F1709" s="2" t="s">
        <v>6095</v>
      </c>
      <c r="G1709" s="2" t="s">
        <v>4650</v>
      </c>
      <c r="H1709" s="2" t="s">
        <v>10</v>
      </c>
      <c r="I1709" s="2" t="s">
        <v>4386</v>
      </c>
      <c r="J1709" s="2" t="s">
        <v>49</v>
      </c>
      <c r="K1709" s="2" t="s">
        <v>10</v>
      </c>
    </row>
    <row r="1710" spans="1:11" ht="27.6" hidden="1" x14ac:dyDescent="0.3">
      <c r="A1710" s="2" t="s">
        <v>4386</v>
      </c>
      <c r="B1710" s="2" t="s">
        <v>6096</v>
      </c>
      <c r="C1710" s="3">
        <v>24486</v>
      </c>
      <c r="D1710" s="1" t="s">
        <v>6097</v>
      </c>
      <c r="E1710" s="1" t="s">
        <v>6098</v>
      </c>
      <c r="F1710" s="2" t="s">
        <v>6095</v>
      </c>
      <c r="G1710" s="2" t="s">
        <v>4654</v>
      </c>
      <c r="H1710" s="2" t="s">
        <v>10</v>
      </c>
      <c r="I1710" s="2" t="s">
        <v>4386</v>
      </c>
      <c r="J1710" s="2" t="s">
        <v>6099</v>
      </c>
      <c r="K1710" s="2" t="s">
        <v>10</v>
      </c>
    </row>
    <row r="1711" spans="1:11" ht="27.6" hidden="1" x14ac:dyDescent="0.3">
      <c r="A1711" s="2" t="s">
        <v>4386</v>
      </c>
      <c r="B1711" s="2" t="s">
        <v>6100</v>
      </c>
      <c r="C1711" s="3">
        <v>18023</v>
      </c>
      <c r="D1711" s="1" t="s">
        <v>5448</v>
      </c>
      <c r="E1711" s="1" t="s">
        <v>6101</v>
      </c>
      <c r="F1711" s="2" t="s">
        <v>6095</v>
      </c>
      <c r="G1711" s="2" t="s">
        <v>380</v>
      </c>
      <c r="H1711" s="2" t="s">
        <v>10</v>
      </c>
      <c r="I1711" s="2" t="s">
        <v>4386</v>
      </c>
      <c r="J1711" s="2" t="s">
        <v>3049</v>
      </c>
      <c r="K1711" s="2" t="s">
        <v>10</v>
      </c>
    </row>
    <row r="1712" spans="1:11" ht="27.6" hidden="1" x14ac:dyDescent="0.3">
      <c r="A1712" s="2" t="s">
        <v>4386</v>
      </c>
      <c r="B1712" s="2" t="s">
        <v>6102</v>
      </c>
      <c r="C1712" s="3">
        <v>36480</v>
      </c>
      <c r="D1712" s="1" t="s">
        <v>6103</v>
      </c>
      <c r="E1712" s="1" t="s">
        <v>6104</v>
      </c>
      <c r="F1712" s="2" t="s">
        <v>6095</v>
      </c>
      <c r="G1712" s="2" t="s">
        <v>92</v>
      </c>
      <c r="H1712" s="2" t="s">
        <v>10</v>
      </c>
      <c r="I1712" s="2" t="s">
        <v>4386</v>
      </c>
      <c r="J1712" s="2" t="s">
        <v>6105</v>
      </c>
      <c r="K1712" s="2" t="s">
        <v>10</v>
      </c>
    </row>
    <row r="1713" spans="1:11" ht="27.6" hidden="1" x14ac:dyDescent="0.3">
      <c r="A1713" s="2" t="s">
        <v>4386</v>
      </c>
      <c r="B1713" s="2" t="s">
        <v>6106</v>
      </c>
      <c r="C1713" s="3">
        <v>29601</v>
      </c>
      <c r="D1713" s="1" t="s">
        <v>6107</v>
      </c>
      <c r="E1713" s="1" t="s">
        <v>6108</v>
      </c>
      <c r="F1713" s="2" t="s">
        <v>6095</v>
      </c>
      <c r="G1713" s="2" t="s">
        <v>12</v>
      </c>
      <c r="H1713" s="2" t="s">
        <v>10</v>
      </c>
      <c r="I1713" s="2" t="s">
        <v>4386</v>
      </c>
      <c r="J1713" s="2" t="s">
        <v>540</v>
      </c>
      <c r="K1713" s="2" t="s">
        <v>10</v>
      </c>
    </row>
    <row r="1714" spans="1:11" ht="27.6" hidden="1" x14ac:dyDescent="0.3">
      <c r="A1714" s="2" t="s">
        <v>4386</v>
      </c>
      <c r="B1714" s="2" t="s">
        <v>6109</v>
      </c>
      <c r="C1714" s="3">
        <v>29410</v>
      </c>
      <c r="D1714" s="1" t="s">
        <v>6110</v>
      </c>
      <c r="E1714" s="1" t="s">
        <v>6111</v>
      </c>
      <c r="F1714" s="2" t="s">
        <v>6095</v>
      </c>
      <c r="G1714" s="2" t="s">
        <v>385</v>
      </c>
      <c r="H1714" s="2" t="s">
        <v>10</v>
      </c>
      <c r="I1714" s="2" t="s">
        <v>4386</v>
      </c>
      <c r="J1714" s="2" t="s">
        <v>6112</v>
      </c>
      <c r="K1714" s="2" t="s">
        <v>10</v>
      </c>
    </row>
    <row r="1715" spans="1:11" ht="27.6" hidden="1" x14ac:dyDescent="0.3">
      <c r="A1715" s="2" t="s">
        <v>4386</v>
      </c>
      <c r="B1715" s="2" t="s">
        <v>6113</v>
      </c>
      <c r="C1715" s="3">
        <v>21925</v>
      </c>
      <c r="D1715" s="1" t="s">
        <v>6114</v>
      </c>
      <c r="E1715" s="1" t="s">
        <v>6115</v>
      </c>
      <c r="F1715" s="2" t="s">
        <v>4396</v>
      </c>
      <c r="G1715" s="2" t="s">
        <v>4484</v>
      </c>
      <c r="H1715" s="2" t="s">
        <v>5710</v>
      </c>
      <c r="I1715" s="2" t="s">
        <v>4386</v>
      </c>
      <c r="J1715" s="2" t="s">
        <v>6116</v>
      </c>
      <c r="K1715" s="2" t="s">
        <v>10</v>
      </c>
    </row>
    <row r="1716" spans="1:11" ht="27.6" hidden="1" x14ac:dyDescent="0.3">
      <c r="A1716" s="2" t="s">
        <v>4386</v>
      </c>
      <c r="B1716" s="2" t="s">
        <v>6117</v>
      </c>
      <c r="C1716" s="3">
        <v>31723</v>
      </c>
      <c r="D1716" s="1" t="s">
        <v>6118</v>
      </c>
      <c r="E1716" s="1" t="s">
        <v>6119</v>
      </c>
      <c r="F1716" s="2" t="s">
        <v>6120</v>
      </c>
      <c r="G1716" s="2" t="s">
        <v>380</v>
      </c>
      <c r="H1716" s="2" t="s">
        <v>10</v>
      </c>
      <c r="I1716" s="2" t="s">
        <v>4386</v>
      </c>
      <c r="J1716" s="2" t="s">
        <v>6121</v>
      </c>
      <c r="K1716" s="2" t="s">
        <v>10</v>
      </c>
    </row>
    <row r="1717" spans="1:11" ht="27.6" hidden="1" x14ac:dyDescent="0.3">
      <c r="A1717" s="2" t="s">
        <v>4386</v>
      </c>
      <c r="B1717" s="2" t="s">
        <v>6122</v>
      </c>
      <c r="C1717" s="3">
        <v>35532</v>
      </c>
      <c r="D1717" s="1" t="s">
        <v>6123</v>
      </c>
      <c r="E1717" s="1" t="s">
        <v>6124</v>
      </c>
      <c r="F1717" s="2" t="s">
        <v>6120</v>
      </c>
      <c r="G1717" s="2" t="s">
        <v>31</v>
      </c>
      <c r="H1717" s="2" t="s">
        <v>10</v>
      </c>
      <c r="I1717" s="2" t="s">
        <v>4386</v>
      </c>
      <c r="J1717" s="2" t="s">
        <v>558</v>
      </c>
      <c r="K1717" s="2" t="s">
        <v>10</v>
      </c>
    </row>
    <row r="1718" spans="1:11" ht="27.6" hidden="1" x14ac:dyDescent="0.3">
      <c r="A1718" s="2" t="s">
        <v>4386</v>
      </c>
      <c r="B1718" s="2" t="s">
        <v>6125</v>
      </c>
      <c r="C1718" s="3">
        <v>32233</v>
      </c>
      <c r="D1718" s="1" t="s">
        <v>6126</v>
      </c>
      <c r="E1718" s="1" t="s">
        <v>6127</v>
      </c>
      <c r="F1718" s="2" t="s">
        <v>5053</v>
      </c>
      <c r="G1718" s="2" t="s">
        <v>2079</v>
      </c>
      <c r="H1718" s="2" t="s">
        <v>81</v>
      </c>
      <c r="I1718" s="2" t="s">
        <v>4386</v>
      </c>
      <c r="J1718" s="2" t="s">
        <v>2080</v>
      </c>
      <c r="K1718" s="2" t="s">
        <v>10</v>
      </c>
    </row>
    <row r="1719" spans="1:11" ht="27.6" hidden="1" x14ac:dyDescent="0.3">
      <c r="A1719" s="2" t="s">
        <v>4386</v>
      </c>
      <c r="B1719" s="2" t="s">
        <v>6128</v>
      </c>
      <c r="C1719" s="3">
        <v>32035</v>
      </c>
      <c r="D1719" s="1" t="s">
        <v>6129</v>
      </c>
      <c r="E1719" s="1" t="s">
        <v>6130</v>
      </c>
      <c r="F1719" s="2" t="s">
        <v>5053</v>
      </c>
      <c r="G1719" s="2" t="s">
        <v>288</v>
      </c>
      <c r="H1719" s="2" t="s">
        <v>10</v>
      </c>
      <c r="I1719" s="2" t="s">
        <v>4386</v>
      </c>
      <c r="J1719" s="2" t="s">
        <v>289</v>
      </c>
      <c r="K1719" s="2" t="s">
        <v>10</v>
      </c>
    </row>
    <row r="1720" spans="1:11" ht="27.6" hidden="1" x14ac:dyDescent="0.3">
      <c r="A1720" s="2" t="s">
        <v>4386</v>
      </c>
      <c r="B1720" s="2" t="s">
        <v>6131</v>
      </c>
      <c r="C1720" s="3">
        <v>24456</v>
      </c>
      <c r="D1720" s="1" t="s">
        <v>6132</v>
      </c>
      <c r="E1720" s="1" t="s">
        <v>6133</v>
      </c>
      <c r="F1720" s="2" t="s">
        <v>5053</v>
      </c>
      <c r="G1720" s="2" t="s">
        <v>206</v>
      </c>
      <c r="H1720" s="2" t="s">
        <v>10</v>
      </c>
      <c r="I1720" s="2" t="s">
        <v>4386</v>
      </c>
      <c r="J1720" s="2" t="s">
        <v>207</v>
      </c>
      <c r="K1720" s="2" t="s">
        <v>10</v>
      </c>
    </row>
    <row r="1721" spans="1:11" ht="27.6" hidden="1" x14ac:dyDescent="0.3">
      <c r="A1721" s="2" t="s">
        <v>4386</v>
      </c>
      <c r="B1721" s="2" t="s">
        <v>6134</v>
      </c>
      <c r="C1721" s="3">
        <v>35921</v>
      </c>
      <c r="D1721" s="1" t="s">
        <v>6135</v>
      </c>
      <c r="E1721" s="1" t="s">
        <v>6136</v>
      </c>
      <c r="F1721" s="2" t="s">
        <v>5053</v>
      </c>
      <c r="G1721" s="2" t="s">
        <v>511</v>
      </c>
      <c r="H1721" s="2" t="s">
        <v>10</v>
      </c>
      <c r="I1721" s="2" t="s">
        <v>4386</v>
      </c>
      <c r="J1721" s="2" t="s">
        <v>512</v>
      </c>
      <c r="K1721" s="2" t="s">
        <v>10</v>
      </c>
    </row>
    <row r="1722" spans="1:11" ht="27.6" hidden="1" x14ac:dyDescent="0.3">
      <c r="A1722" s="2" t="s">
        <v>4386</v>
      </c>
      <c r="B1722" s="2" t="s">
        <v>6137</v>
      </c>
      <c r="C1722" s="3">
        <v>34499</v>
      </c>
      <c r="D1722" s="1" t="s">
        <v>6138</v>
      </c>
      <c r="E1722" s="1" t="s">
        <v>6139</v>
      </c>
      <c r="F1722" s="2" t="s">
        <v>5053</v>
      </c>
      <c r="G1722" s="2" t="s">
        <v>328</v>
      </c>
      <c r="H1722" s="2" t="s">
        <v>10</v>
      </c>
      <c r="I1722" s="2" t="s">
        <v>4386</v>
      </c>
      <c r="J1722" s="2" t="s">
        <v>329</v>
      </c>
      <c r="K1722" s="2" t="s">
        <v>10</v>
      </c>
    </row>
    <row r="1723" spans="1:11" ht="27.6" hidden="1" x14ac:dyDescent="0.3">
      <c r="A1723" s="2" t="s">
        <v>4386</v>
      </c>
      <c r="B1723" s="2" t="s">
        <v>6140</v>
      </c>
      <c r="C1723" s="3">
        <v>19686</v>
      </c>
      <c r="D1723" s="1" t="s">
        <v>6141</v>
      </c>
      <c r="E1723" s="1" t="s">
        <v>6142</v>
      </c>
      <c r="F1723" s="2" t="s">
        <v>5053</v>
      </c>
      <c r="G1723" s="2" t="s">
        <v>222</v>
      </c>
      <c r="H1723" s="2" t="s">
        <v>10</v>
      </c>
      <c r="I1723" s="2" t="s">
        <v>4386</v>
      </c>
      <c r="J1723" s="2" t="s">
        <v>223</v>
      </c>
      <c r="K1723" s="2" t="s">
        <v>10</v>
      </c>
    </row>
    <row r="1724" spans="1:11" ht="27.6" hidden="1" x14ac:dyDescent="0.3">
      <c r="A1724" s="2" t="s">
        <v>60</v>
      </c>
      <c r="B1724" s="2" t="s">
        <v>6143</v>
      </c>
      <c r="C1724" s="3">
        <v>35723</v>
      </c>
      <c r="D1724" s="1" t="s">
        <v>6144</v>
      </c>
      <c r="E1724" s="1" t="s">
        <v>6145</v>
      </c>
      <c r="F1724" s="2" t="s">
        <v>60</v>
      </c>
      <c r="G1724" s="2" t="s">
        <v>3775</v>
      </c>
      <c r="H1724" s="2" t="s">
        <v>10</v>
      </c>
      <c r="I1724" s="2" t="s">
        <v>60</v>
      </c>
      <c r="J1724" s="2" t="s">
        <v>6146</v>
      </c>
      <c r="K1724" s="2" t="s">
        <v>10</v>
      </c>
    </row>
    <row r="1725" spans="1:11" ht="27.6" hidden="1" x14ac:dyDescent="0.3">
      <c r="A1725" s="2" t="s">
        <v>4386</v>
      </c>
      <c r="B1725" s="2" t="s">
        <v>6147</v>
      </c>
      <c r="C1725" s="3">
        <v>34370</v>
      </c>
      <c r="D1725" s="1" t="s">
        <v>6148</v>
      </c>
      <c r="E1725" s="1" t="s">
        <v>6149</v>
      </c>
      <c r="F1725" s="2" t="s">
        <v>5618</v>
      </c>
      <c r="G1725" s="2" t="s">
        <v>6150</v>
      </c>
      <c r="H1725" s="2" t="s">
        <v>10</v>
      </c>
      <c r="I1725" s="2" t="s">
        <v>4386</v>
      </c>
      <c r="J1725" s="2" t="s">
        <v>6151</v>
      </c>
      <c r="K1725" s="2" t="s">
        <v>10</v>
      </c>
    </row>
    <row r="1726" spans="1:11" ht="27.6" hidden="1" x14ac:dyDescent="0.3">
      <c r="A1726" s="2" t="s">
        <v>4386</v>
      </c>
      <c r="B1726" s="2" t="s">
        <v>6152</v>
      </c>
      <c r="C1726" s="3">
        <v>28110</v>
      </c>
      <c r="D1726" s="1" t="s">
        <v>6153</v>
      </c>
      <c r="E1726" s="1" t="s">
        <v>6154</v>
      </c>
      <c r="F1726" s="2" t="s">
        <v>4396</v>
      </c>
      <c r="G1726" s="2" t="s">
        <v>5897</v>
      </c>
      <c r="H1726" s="2" t="s">
        <v>10</v>
      </c>
      <c r="I1726" s="2" t="s">
        <v>4386</v>
      </c>
      <c r="J1726" s="2" t="s">
        <v>5898</v>
      </c>
      <c r="K1726" s="2" t="s">
        <v>10</v>
      </c>
    </row>
    <row r="1727" spans="1:11" ht="27.6" hidden="1" x14ac:dyDescent="0.3">
      <c r="A1727" s="2" t="s">
        <v>4386</v>
      </c>
      <c r="B1727" s="2" t="s">
        <v>6155</v>
      </c>
      <c r="C1727" s="3">
        <v>34897</v>
      </c>
      <c r="D1727" s="1" t="s">
        <v>6156</v>
      </c>
      <c r="E1727" s="1" t="s">
        <v>6157</v>
      </c>
      <c r="F1727" s="2" t="s">
        <v>6158</v>
      </c>
      <c r="G1727" s="2" t="s">
        <v>206</v>
      </c>
      <c r="H1727" s="2" t="s">
        <v>10</v>
      </c>
      <c r="I1727" s="2" t="s">
        <v>4386</v>
      </c>
      <c r="J1727" s="2" t="s">
        <v>6159</v>
      </c>
      <c r="K1727" s="2" t="s">
        <v>10</v>
      </c>
    </row>
    <row r="1728" spans="1:11" ht="27.6" hidden="1" x14ac:dyDescent="0.3">
      <c r="A1728" s="2" t="s">
        <v>4386</v>
      </c>
      <c r="B1728" s="2" t="s">
        <v>6160</v>
      </c>
      <c r="C1728" s="3">
        <v>21957</v>
      </c>
      <c r="D1728" s="1" t="s">
        <v>6161</v>
      </c>
      <c r="E1728" s="1" t="s">
        <v>6162</v>
      </c>
      <c r="F1728" s="2" t="s">
        <v>4555</v>
      </c>
      <c r="G1728" s="2" t="s">
        <v>6163</v>
      </c>
      <c r="H1728" s="2" t="s">
        <v>10</v>
      </c>
      <c r="I1728" s="2" t="s">
        <v>4386</v>
      </c>
      <c r="J1728" s="2" t="s">
        <v>6164</v>
      </c>
      <c r="K1728" s="2" t="s">
        <v>10</v>
      </c>
    </row>
    <row r="1729" spans="1:12" ht="27.6" hidden="1" x14ac:dyDescent="0.3">
      <c r="A1729" s="2" t="s">
        <v>4386</v>
      </c>
      <c r="B1729" s="2" t="s">
        <v>6165</v>
      </c>
      <c r="C1729" s="3">
        <v>34077</v>
      </c>
      <c r="D1729" s="1" t="s">
        <v>6166</v>
      </c>
      <c r="E1729" s="1" t="s">
        <v>6167</v>
      </c>
      <c r="F1729" s="2" t="s">
        <v>6158</v>
      </c>
      <c r="G1729" s="2" t="s">
        <v>425</v>
      </c>
      <c r="H1729" s="2" t="s">
        <v>10</v>
      </c>
      <c r="I1729" s="2" t="s">
        <v>4386</v>
      </c>
      <c r="J1729" s="2" t="s">
        <v>6168</v>
      </c>
      <c r="K1729" s="2" t="s">
        <v>10</v>
      </c>
    </row>
    <row r="1730" spans="1:12" ht="27.6" hidden="1" x14ac:dyDescent="0.3">
      <c r="A1730" s="2" t="s">
        <v>4386</v>
      </c>
      <c r="B1730" s="2" t="s">
        <v>6169</v>
      </c>
      <c r="C1730" s="3">
        <v>34668</v>
      </c>
      <c r="D1730" s="1" t="s">
        <v>6170</v>
      </c>
      <c r="E1730" s="1" t="s">
        <v>6171</v>
      </c>
      <c r="F1730" s="2" t="s">
        <v>4555</v>
      </c>
      <c r="G1730" s="2" t="s">
        <v>6172</v>
      </c>
      <c r="H1730" s="2" t="s">
        <v>10</v>
      </c>
      <c r="I1730" s="2" t="s">
        <v>4386</v>
      </c>
      <c r="J1730" s="2" t="s">
        <v>6173</v>
      </c>
      <c r="K1730" s="2" t="s">
        <v>10</v>
      </c>
    </row>
    <row r="1731" spans="1:12" ht="27.6" hidden="1" x14ac:dyDescent="0.3">
      <c r="A1731" s="2" t="s">
        <v>4386</v>
      </c>
      <c r="B1731" s="2" t="s">
        <v>6174</v>
      </c>
      <c r="C1731" s="3">
        <v>30795</v>
      </c>
      <c r="D1731" s="1" t="s">
        <v>6175</v>
      </c>
      <c r="E1731" s="1" t="s">
        <v>6176</v>
      </c>
      <c r="F1731" s="2" t="s">
        <v>6158</v>
      </c>
      <c r="G1731" s="2" t="s">
        <v>222</v>
      </c>
      <c r="H1731" s="2" t="s">
        <v>10</v>
      </c>
      <c r="I1731" s="2" t="s">
        <v>4386</v>
      </c>
      <c r="J1731" s="2" t="s">
        <v>6177</v>
      </c>
      <c r="K1731" s="2" t="s">
        <v>10</v>
      </c>
    </row>
    <row r="1732" spans="1:12" ht="27.6" hidden="1" x14ac:dyDescent="0.3">
      <c r="A1732" s="2" t="s">
        <v>4386</v>
      </c>
      <c r="B1732" s="2" t="s">
        <v>6178</v>
      </c>
      <c r="C1732" s="3">
        <v>26600</v>
      </c>
      <c r="D1732" s="1" t="s">
        <v>6179</v>
      </c>
      <c r="E1732" s="1" t="s">
        <v>6180</v>
      </c>
      <c r="F1732" s="2" t="s">
        <v>6158</v>
      </c>
      <c r="G1732" s="2" t="s">
        <v>112</v>
      </c>
      <c r="H1732" s="2" t="s">
        <v>10</v>
      </c>
      <c r="I1732" s="2" t="s">
        <v>4386</v>
      </c>
      <c r="J1732" s="2" t="s">
        <v>315</v>
      </c>
      <c r="K1732" s="2" t="s">
        <v>10</v>
      </c>
    </row>
    <row r="1733" spans="1:12" ht="27.6" hidden="1" x14ac:dyDescent="0.3">
      <c r="A1733" s="2" t="s">
        <v>4386</v>
      </c>
      <c r="B1733" s="2" t="s">
        <v>6181</v>
      </c>
      <c r="C1733" s="3">
        <v>37222</v>
      </c>
      <c r="D1733" s="1" t="s">
        <v>6182</v>
      </c>
      <c r="E1733" s="1" t="s">
        <v>6183</v>
      </c>
      <c r="F1733" s="2" t="s">
        <v>5231</v>
      </c>
      <c r="G1733" s="2" t="s">
        <v>511</v>
      </c>
      <c r="H1733" s="2" t="s">
        <v>10</v>
      </c>
      <c r="I1733" s="2" t="s">
        <v>4386</v>
      </c>
      <c r="J1733" s="2" t="s">
        <v>6184</v>
      </c>
      <c r="K1733" s="2" t="s">
        <v>10</v>
      </c>
    </row>
    <row r="1734" spans="1:12" ht="27.6" hidden="1" x14ac:dyDescent="0.3">
      <c r="A1734" s="2" t="s">
        <v>4386</v>
      </c>
      <c r="B1734" s="2" t="s">
        <v>6185</v>
      </c>
      <c r="C1734" s="3">
        <v>30803</v>
      </c>
      <c r="D1734" s="1" t="s">
        <v>6186</v>
      </c>
      <c r="E1734" s="1" t="s">
        <v>6187</v>
      </c>
      <c r="F1734" s="2" t="s">
        <v>5053</v>
      </c>
      <c r="G1734" s="2" t="s">
        <v>258</v>
      </c>
      <c r="H1734" s="2" t="s">
        <v>10</v>
      </c>
      <c r="I1734" s="2" t="s">
        <v>4386</v>
      </c>
      <c r="J1734" s="2" t="s">
        <v>259</v>
      </c>
      <c r="K1734" s="2" t="s">
        <v>10</v>
      </c>
    </row>
    <row r="1735" spans="1:12" ht="27.6" hidden="1" x14ac:dyDescent="0.3">
      <c r="A1735" s="2" t="s">
        <v>4386</v>
      </c>
      <c r="B1735" s="2" t="s">
        <v>6188</v>
      </c>
      <c r="C1735" s="3">
        <v>33375</v>
      </c>
      <c r="D1735" s="1" t="s">
        <v>6189</v>
      </c>
      <c r="E1735" s="1" t="s">
        <v>6190</v>
      </c>
      <c r="F1735" s="2" t="s">
        <v>4555</v>
      </c>
      <c r="G1735" s="2" t="s">
        <v>6191</v>
      </c>
      <c r="H1735" s="2" t="s">
        <v>10</v>
      </c>
      <c r="I1735" s="2" t="s">
        <v>4386</v>
      </c>
      <c r="J1735" s="2" t="s">
        <v>6192</v>
      </c>
      <c r="K1735" s="2" t="s">
        <v>10</v>
      </c>
    </row>
    <row r="1736" spans="1:12" ht="27.6" hidden="1" x14ac:dyDescent="0.3">
      <c r="A1736" s="2" t="s">
        <v>4386</v>
      </c>
      <c r="B1736" s="2" t="s">
        <v>6193</v>
      </c>
      <c r="C1736" s="3">
        <v>31663</v>
      </c>
      <c r="D1736" s="1" t="s">
        <v>6194</v>
      </c>
      <c r="E1736" s="1" t="s">
        <v>6195</v>
      </c>
      <c r="F1736" s="2" t="s">
        <v>4555</v>
      </c>
      <c r="G1736" s="2" t="s">
        <v>6196</v>
      </c>
      <c r="H1736" s="2" t="s">
        <v>10</v>
      </c>
      <c r="I1736" s="2" t="s">
        <v>4386</v>
      </c>
      <c r="J1736" s="2" t="s">
        <v>6197</v>
      </c>
      <c r="K1736" s="2" t="s">
        <v>10</v>
      </c>
    </row>
    <row r="1737" spans="1:12" ht="27.6" hidden="1" x14ac:dyDescent="0.3">
      <c r="A1737" s="2" t="s">
        <v>4386</v>
      </c>
      <c r="B1737" s="2" t="s">
        <v>6198</v>
      </c>
      <c r="C1737" s="3">
        <v>28642</v>
      </c>
      <c r="D1737" s="1" t="s">
        <v>6199</v>
      </c>
      <c r="E1737" s="1" t="s">
        <v>6200</v>
      </c>
      <c r="F1737" s="2" t="s">
        <v>4555</v>
      </c>
      <c r="G1737" s="2" t="s">
        <v>6201</v>
      </c>
      <c r="H1737" s="2" t="s">
        <v>103</v>
      </c>
      <c r="I1737" s="2" t="s">
        <v>4386</v>
      </c>
      <c r="J1737" s="2" t="s">
        <v>6202</v>
      </c>
      <c r="K1737" s="2" t="s">
        <v>10</v>
      </c>
    </row>
    <row r="1738" spans="1:12" ht="27.6" hidden="1" x14ac:dyDescent="0.3">
      <c r="A1738" s="2" t="s">
        <v>4386</v>
      </c>
      <c r="B1738" s="2" t="s">
        <v>6203</v>
      </c>
      <c r="C1738" s="3">
        <v>36432</v>
      </c>
      <c r="D1738" s="1" t="s">
        <v>6204</v>
      </c>
      <c r="E1738" s="1" t="s">
        <v>6205</v>
      </c>
      <c r="F1738" s="2" t="s">
        <v>5053</v>
      </c>
      <c r="G1738" s="2" t="s">
        <v>2079</v>
      </c>
      <c r="H1738" s="2" t="s">
        <v>5710</v>
      </c>
      <c r="I1738" s="2" t="s">
        <v>4386</v>
      </c>
      <c r="J1738" s="2" t="s">
        <v>2080</v>
      </c>
      <c r="K1738" s="2" t="s">
        <v>10</v>
      </c>
    </row>
    <row r="1739" spans="1:12" ht="27.6" hidden="1" x14ac:dyDescent="0.3">
      <c r="A1739" s="2" t="s">
        <v>4386</v>
      </c>
      <c r="B1739" s="2" t="s">
        <v>6206</v>
      </c>
      <c r="C1739" s="3">
        <v>14430</v>
      </c>
      <c r="D1739" s="1" t="s">
        <v>6207</v>
      </c>
      <c r="E1739" s="1" t="s">
        <v>6208</v>
      </c>
      <c r="F1739" s="2" t="s">
        <v>4555</v>
      </c>
      <c r="G1739" s="2" t="s">
        <v>6201</v>
      </c>
      <c r="H1739" s="2" t="s">
        <v>81</v>
      </c>
      <c r="I1739" s="2" t="s">
        <v>4386</v>
      </c>
      <c r="J1739" s="2" t="s">
        <v>6202</v>
      </c>
      <c r="K1739" s="2" t="s">
        <v>10</v>
      </c>
    </row>
    <row r="1740" spans="1:12" ht="27.6" hidden="1" x14ac:dyDescent="0.3">
      <c r="A1740" s="2" t="s">
        <v>4386</v>
      </c>
      <c r="B1740" s="2" t="s">
        <v>6209</v>
      </c>
      <c r="C1740" s="3">
        <v>21357</v>
      </c>
      <c r="D1740" s="1" t="s">
        <v>6210</v>
      </c>
      <c r="E1740" s="1" t="s">
        <v>6211</v>
      </c>
      <c r="F1740" s="2" t="s">
        <v>6212</v>
      </c>
      <c r="G1740" s="2" t="s">
        <v>6213</v>
      </c>
      <c r="H1740" s="2" t="s">
        <v>81</v>
      </c>
      <c r="I1740" s="2" t="s">
        <v>4386</v>
      </c>
      <c r="J1740" s="2" t="s">
        <v>6214</v>
      </c>
      <c r="K1740" s="2" t="s">
        <v>10</v>
      </c>
    </row>
    <row r="1741" spans="1:12" ht="27.6" hidden="1" x14ac:dyDescent="0.3">
      <c r="A1741" s="2" t="s">
        <v>4386</v>
      </c>
      <c r="B1741" s="2" t="s">
        <v>6215</v>
      </c>
      <c r="C1741" s="3">
        <v>31246</v>
      </c>
      <c r="D1741" s="1" t="s">
        <v>6216</v>
      </c>
      <c r="E1741" s="1" t="s">
        <v>6217</v>
      </c>
      <c r="F1741" s="2" t="s">
        <v>4396</v>
      </c>
      <c r="G1741" s="2" t="s">
        <v>5619</v>
      </c>
      <c r="H1741" s="2" t="s">
        <v>10</v>
      </c>
      <c r="I1741" s="2" t="s">
        <v>4386</v>
      </c>
      <c r="J1741" s="2" t="s">
        <v>6218</v>
      </c>
      <c r="K1741" s="2" t="s">
        <v>10</v>
      </c>
    </row>
    <row r="1742" spans="1:12" ht="27.6" hidden="1" x14ac:dyDescent="0.3">
      <c r="A1742" s="2" t="s">
        <v>4386</v>
      </c>
      <c r="B1742" s="2" t="s">
        <v>6219</v>
      </c>
      <c r="C1742" s="3">
        <v>27636</v>
      </c>
      <c r="D1742" s="1" t="s">
        <v>6220</v>
      </c>
      <c r="E1742" s="1" t="s">
        <v>6221</v>
      </c>
      <c r="F1742" s="2" t="s">
        <v>4390</v>
      </c>
      <c r="G1742" s="2" t="s">
        <v>6222</v>
      </c>
      <c r="H1742" s="2" t="s">
        <v>10</v>
      </c>
      <c r="I1742" s="2" t="s">
        <v>4386</v>
      </c>
      <c r="J1742" s="2" t="s">
        <v>6223</v>
      </c>
      <c r="K1742" s="2" t="s">
        <v>10</v>
      </c>
    </row>
    <row r="1743" spans="1:12" ht="27.6" hidden="1" x14ac:dyDescent="0.3">
      <c r="A1743" s="2" t="s">
        <v>4386</v>
      </c>
      <c r="B1743" s="2" t="s">
        <v>6224</v>
      </c>
      <c r="C1743" s="3">
        <v>36869</v>
      </c>
      <c r="D1743" s="1" t="s">
        <v>6225</v>
      </c>
      <c r="E1743" s="1" t="s">
        <v>6226</v>
      </c>
      <c r="F1743" s="2" t="s">
        <v>5618</v>
      </c>
      <c r="G1743" s="2" t="s">
        <v>4885</v>
      </c>
      <c r="H1743" s="2" t="s">
        <v>10</v>
      </c>
      <c r="I1743" s="2" t="s">
        <v>4386</v>
      </c>
      <c r="J1743" s="2" t="s">
        <v>6227</v>
      </c>
      <c r="K1743" s="15" t="s">
        <v>10</v>
      </c>
    </row>
    <row r="1744" spans="1:12" ht="27.6" hidden="1" x14ac:dyDescent="0.3">
      <c r="A1744" s="2" t="s">
        <v>4386</v>
      </c>
      <c r="B1744" s="2" t="s">
        <v>6228</v>
      </c>
      <c r="C1744" s="3">
        <v>23202</v>
      </c>
      <c r="D1744" s="1" t="s">
        <v>6229</v>
      </c>
      <c r="E1744" s="1" t="s">
        <v>6230</v>
      </c>
      <c r="F1744" s="2" t="s">
        <v>6231</v>
      </c>
      <c r="G1744" s="2" t="s">
        <v>152</v>
      </c>
      <c r="H1744" s="2" t="s">
        <v>10</v>
      </c>
      <c r="I1744" s="2" t="s">
        <v>4386</v>
      </c>
      <c r="J1744" s="2" t="s">
        <v>558</v>
      </c>
      <c r="K1744" s="2"/>
      <c r="L1744" s="6"/>
    </row>
    <row r="1745" spans="1:12" ht="27.6" hidden="1" x14ac:dyDescent="0.3">
      <c r="A1745" s="2" t="s">
        <v>4386</v>
      </c>
      <c r="B1745" s="2" t="s">
        <v>6232</v>
      </c>
      <c r="C1745" s="3">
        <v>35663</v>
      </c>
      <c r="D1745" s="1" t="s">
        <v>6233</v>
      </c>
      <c r="E1745" s="1" t="s">
        <v>6234</v>
      </c>
      <c r="F1745" s="2" t="s">
        <v>6231</v>
      </c>
      <c r="G1745" s="2" t="s">
        <v>143</v>
      </c>
      <c r="H1745" s="2" t="s">
        <v>10</v>
      </c>
      <c r="I1745" s="2" t="s">
        <v>4386</v>
      </c>
      <c r="J1745" s="2" t="s">
        <v>324</v>
      </c>
      <c r="K1745" s="41" t="s">
        <v>13193</v>
      </c>
      <c r="L1745" s="6" t="s">
        <v>13194</v>
      </c>
    </row>
    <row r="1746" spans="1:12" ht="27.6" hidden="1" x14ac:dyDescent="0.3">
      <c r="A1746" s="2" t="s">
        <v>4386</v>
      </c>
      <c r="B1746" s="2" t="s">
        <v>6235</v>
      </c>
      <c r="C1746" s="3">
        <v>28216</v>
      </c>
      <c r="D1746" s="1" t="s">
        <v>5670</v>
      </c>
      <c r="E1746" s="1" t="s">
        <v>5671</v>
      </c>
      <c r="F1746" s="2" t="s">
        <v>6231</v>
      </c>
      <c r="G1746" s="2" t="s">
        <v>25</v>
      </c>
      <c r="H1746" s="2" t="s">
        <v>10</v>
      </c>
      <c r="I1746" s="2" t="s">
        <v>4386</v>
      </c>
      <c r="J1746" s="2" t="s">
        <v>27</v>
      </c>
      <c r="K1746" s="44" t="s">
        <v>13193</v>
      </c>
      <c r="L1746" s="24" t="s">
        <v>13194</v>
      </c>
    </row>
    <row r="1747" spans="1:12" ht="27.6" hidden="1" x14ac:dyDescent="0.3">
      <c r="A1747" s="2" t="s">
        <v>4386</v>
      </c>
      <c r="B1747" s="2" t="s">
        <v>6236</v>
      </c>
      <c r="C1747" s="3">
        <v>30361</v>
      </c>
      <c r="D1747" s="1" t="s">
        <v>6237</v>
      </c>
      <c r="E1747" s="1" t="s">
        <v>6238</v>
      </c>
      <c r="F1747" s="2" t="s">
        <v>6239</v>
      </c>
      <c r="G1747" s="2" t="s">
        <v>385</v>
      </c>
      <c r="H1747" s="2" t="s">
        <v>103</v>
      </c>
      <c r="I1747" s="2" t="s">
        <v>4386</v>
      </c>
      <c r="J1747" s="2" t="s">
        <v>975</v>
      </c>
      <c r="K1747" s="2" t="s">
        <v>10</v>
      </c>
      <c r="L1747" s="6"/>
    </row>
    <row r="1748" spans="1:12" ht="27.6" hidden="1" x14ac:dyDescent="0.3">
      <c r="A1748" s="2" t="s">
        <v>4386</v>
      </c>
      <c r="B1748" s="2" t="s">
        <v>6240</v>
      </c>
      <c r="C1748" s="3">
        <v>34915</v>
      </c>
      <c r="D1748" s="1" t="s">
        <v>6241</v>
      </c>
      <c r="E1748" s="1" t="s">
        <v>6242</v>
      </c>
      <c r="F1748" s="2" t="s">
        <v>6239</v>
      </c>
      <c r="G1748" s="2" t="s">
        <v>222</v>
      </c>
      <c r="H1748" s="2" t="s">
        <v>10</v>
      </c>
      <c r="I1748" s="2" t="s">
        <v>4386</v>
      </c>
      <c r="J1748" s="2" t="s">
        <v>417</v>
      </c>
      <c r="K1748" s="30" t="s">
        <v>13193</v>
      </c>
      <c r="L1748" s="6" t="s">
        <v>13194</v>
      </c>
    </row>
    <row r="1749" spans="1:12" ht="27.6" hidden="1" x14ac:dyDescent="0.3">
      <c r="A1749" s="2" t="s">
        <v>4386</v>
      </c>
      <c r="B1749" s="2" t="s">
        <v>6243</v>
      </c>
      <c r="C1749" s="3">
        <v>38601</v>
      </c>
      <c r="D1749" s="1" t="s">
        <v>6244</v>
      </c>
      <c r="E1749" s="1" t="s">
        <v>6245</v>
      </c>
      <c r="F1749" s="2" t="s">
        <v>6239</v>
      </c>
      <c r="G1749" s="2" t="s">
        <v>80</v>
      </c>
      <c r="H1749" s="2" t="s">
        <v>10</v>
      </c>
      <c r="I1749" s="2" t="s">
        <v>4386</v>
      </c>
      <c r="J1749" s="2" t="s">
        <v>1881</v>
      </c>
      <c r="K1749" s="30" t="s">
        <v>13193</v>
      </c>
      <c r="L1749" s="6" t="s">
        <v>13194</v>
      </c>
    </row>
    <row r="1750" spans="1:12" ht="27.6" hidden="1" x14ac:dyDescent="0.3">
      <c r="A1750" s="2" t="s">
        <v>4386</v>
      </c>
      <c r="B1750" s="2" t="s">
        <v>6246</v>
      </c>
      <c r="C1750" s="3">
        <v>35799</v>
      </c>
      <c r="D1750" s="1" t="s">
        <v>6247</v>
      </c>
      <c r="E1750" s="1" t="s">
        <v>6248</v>
      </c>
      <c r="F1750" s="2" t="s">
        <v>6239</v>
      </c>
      <c r="G1750" s="2" t="s">
        <v>206</v>
      </c>
      <c r="H1750" s="2" t="s">
        <v>10</v>
      </c>
      <c r="I1750" s="2" t="s">
        <v>4386</v>
      </c>
      <c r="J1750" s="2" t="s">
        <v>27</v>
      </c>
      <c r="K1750" s="30" t="s">
        <v>13193</v>
      </c>
      <c r="L1750" s="6" t="s">
        <v>13194</v>
      </c>
    </row>
    <row r="1751" spans="1:12" ht="27.6" hidden="1" x14ac:dyDescent="0.3">
      <c r="A1751" s="2" t="s">
        <v>4386</v>
      </c>
      <c r="B1751" s="2" t="s">
        <v>6249</v>
      </c>
      <c r="C1751" s="3">
        <v>22373</v>
      </c>
      <c r="D1751" s="1" t="s">
        <v>6250</v>
      </c>
      <c r="E1751" s="1" t="s">
        <v>6251</v>
      </c>
      <c r="F1751" s="2" t="s">
        <v>6239</v>
      </c>
      <c r="G1751" s="2" t="s">
        <v>25</v>
      </c>
      <c r="H1751" s="2" t="s">
        <v>10</v>
      </c>
      <c r="I1751" s="2" t="s">
        <v>4386</v>
      </c>
      <c r="J1751" s="2" t="s">
        <v>27</v>
      </c>
      <c r="K1751" s="30" t="s">
        <v>13193</v>
      </c>
      <c r="L1751" s="6" t="s">
        <v>13194</v>
      </c>
    </row>
    <row r="1752" spans="1:12" ht="27.6" hidden="1" x14ac:dyDescent="0.3">
      <c r="A1752" s="2" t="s">
        <v>4386</v>
      </c>
      <c r="B1752" s="2" t="s">
        <v>6252</v>
      </c>
      <c r="C1752" s="3">
        <v>26917</v>
      </c>
      <c r="D1752" s="1" t="s">
        <v>6253</v>
      </c>
      <c r="E1752" s="1" t="s">
        <v>6254</v>
      </c>
      <c r="F1752" s="2" t="s">
        <v>4555</v>
      </c>
      <c r="G1752" s="2" t="s">
        <v>6255</v>
      </c>
      <c r="H1752" s="2" t="s">
        <v>10</v>
      </c>
      <c r="I1752" s="2" t="s">
        <v>4386</v>
      </c>
      <c r="J1752" s="2" t="s">
        <v>6256</v>
      </c>
      <c r="K1752" s="18" t="s">
        <v>10</v>
      </c>
    </row>
    <row r="1753" spans="1:12" ht="27.6" hidden="1" x14ac:dyDescent="0.3">
      <c r="A1753" s="2" t="s">
        <v>4386</v>
      </c>
      <c r="B1753" s="2" t="s">
        <v>6257</v>
      </c>
      <c r="C1753" s="3">
        <v>32514</v>
      </c>
      <c r="D1753" s="1" t="s">
        <v>6258</v>
      </c>
      <c r="E1753" s="1" t="s">
        <v>6259</v>
      </c>
      <c r="F1753" s="2" t="s">
        <v>6212</v>
      </c>
      <c r="G1753" s="2" t="s">
        <v>6260</v>
      </c>
      <c r="H1753" s="2" t="s">
        <v>10</v>
      </c>
      <c r="I1753" s="2" t="s">
        <v>4386</v>
      </c>
      <c r="J1753" s="2" t="s">
        <v>6261</v>
      </c>
      <c r="K1753" s="2" t="s">
        <v>10</v>
      </c>
    </row>
    <row r="1754" spans="1:12" ht="55.2" hidden="1" x14ac:dyDescent="0.3">
      <c r="A1754" s="2" t="s">
        <v>4604</v>
      </c>
      <c r="B1754" s="2" t="s">
        <v>6262</v>
      </c>
      <c r="C1754" s="3">
        <v>26895</v>
      </c>
      <c r="D1754" s="1" t="s">
        <v>6263</v>
      </c>
      <c r="E1754" s="1" t="s">
        <v>6264</v>
      </c>
      <c r="F1754" s="2" t="s">
        <v>4698</v>
      </c>
      <c r="G1754" s="2" t="s">
        <v>25</v>
      </c>
      <c r="H1754" s="2" t="s">
        <v>6265</v>
      </c>
      <c r="I1754" s="2" t="s">
        <v>4604</v>
      </c>
      <c r="J1754" s="2" t="s">
        <v>6266</v>
      </c>
      <c r="K1754" s="2" t="s">
        <v>10</v>
      </c>
    </row>
    <row r="1755" spans="1:12" ht="27.6" hidden="1" x14ac:dyDescent="0.3">
      <c r="A1755" s="2" t="s">
        <v>4386</v>
      </c>
      <c r="B1755" s="2" t="s">
        <v>6267</v>
      </c>
      <c r="C1755" s="3">
        <v>26224</v>
      </c>
      <c r="D1755" s="1" t="s">
        <v>6268</v>
      </c>
      <c r="E1755" s="1" t="s">
        <v>6269</v>
      </c>
      <c r="F1755" s="2" t="s">
        <v>6270</v>
      </c>
      <c r="G1755" s="2" t="s">
        <v>380</v>
      </c>
      <c r="H1755" s="2" t="s">
        <v>10</v>
      </c>
      <c r="I1755" s="2" t="s">
        <v>4386</v>
      </c>
      <c r="J1755" s="2" t="s">
        <v>6271</v>
      </c>
      <c r="K1755" s="40" t="s">
        <v>13193</v>
      </c>
      <c r="L1755" s="6" t="s">
        <v>13194</v>
      </c>
    </row>
    <row r="1756" spans="1:12" ht="27.6" hidden="1" x14ac:dyDescent="0.3">
      <c r="A1756" s="2" t="s">
        <v>4386</v>
      </c>
      <c r="B1756" s="2" t="s">
        <v>6272</v>
      </c>
      <c r="C1756" s="3">
        <v>21909</v>
      </c>
      <c r="D1756" s="1" t="s">
        <v>6273</v>
      </c>
      <c r="E1756" s="1" t="s">
        <v>6274</v>
      </c>
      <c r="F1756" s="2" t="s">
        <v>6270</v>
      </c>
      <c r="G1756" s="2" t="s">
        <v>222</v>
      </c>
      <c r="H1756" s="2" t="s">
        <v>10</v>
      </c>
      <c r="I1756" s="2" t="s">
        <v>4386</v>
      </c>
      <c r="J1756" s="2" t="s">
        <v>1788</v>
      </c>
      <c r="K1756" s="40" t="s">
        <v>13193</v>
      </c>
      <c r="L1756" s="6" t="s">
        <v>13194</v>
      </c>
    </row>
    <row r="1757" spans="1:12" ht="55.2" hidden="1" x14ac:dyDescent="0.3">
      <c r="A1757" s="2" t="s">
        <v>4604</v>
      </c>
      <c r="B1757" s="2" t="s">
        <v>6275</v>
      </c>
      <c r="C1757" s="3">
        <v>32207</v>
      </c>
      <c r="D1757" s="1" t="s">
        <v>6276</v>
      </c>
      <c r="E1757" s="1" t="s">
        <v>6277</v>
      </c>
      <c r="F1757" s="2" t="s">
        <v>4698</v>
      </c>
      <c r="G1757" s="2" t="s">
        <v>803</v>
      </c>
      <c r="H1757" s="2" t="s">
        <v>103</v>
      </c>
      <c r="I1757" s="2" t="s">
        <v>4604</v>
      </c>
      <c r="J1757" s="2" t="s">
        <v>6278</v>
      </c>
      <c r="K1757" s="2" t="s">
        <v>10</v>
      </c>
    </row>
    <row r="1758" spans="1:12" ht="55.2" hidden="1" x14ac:dyDescent="0.3">
      <c r="A1758" s="2" t="s">
        <v>4604</v>
      </c>
      <c r="B1758" s="2" t="s">
        <v>6279</v>
      </c>
      <c r="C1758" s="3">
        <v>35792</v>
      </c>
      <c r="D1758" s="1" t="s">
        <v>6280</v>
      </c>
      <c r="E1758" s="1" t="s">
        <v>6281</v>
      </c>
      <c r="F1758" s="2" t="s">
        <v>4698</v>
      </c>
      <c r="G1758" s="2" t="s">
        <v>803</v>
      </c>
      <c r="H1758" s="2" t="s">
        <v>10</v>
      </c>
      <c r="I1758" s="2" t="s">
        <v>4604</v>
      </c>
      <c r="J1758" s="2" t="s">
        <v>6278</v>
      </c>
      <c r="K1758" s="2" t="s">
        <v>10</v>
      </c>
    </row>
    <row r="1759" spans="1:12" ht="55.2" hidden="1" x14ac:dyDescent="0.3">
      <c r="A1759" s="2" t="s">
        <v>4604</v>
      </c>
      <c r="B1759" s="2" t="s">
        <v>6282</v>
      </c>
      <c r="C1759" s="3">
        <v>35665</v>
      </c>
      <c r="D1759" s="1" t="s">
        <v>6283</v>
      </c>
      <c r="E1759" s="1" t="s">
        <v>6284</v>
      </c>
      <c r="F1759" s="2" t="s">
        <v>4698</v>
      </c>
      <c r="G1759" s="2" t="s">
        <v>102</v>
      </c>
      <c r="H1759" s="2" t="s">
        <v>103</v>
      </c>
      <c r="I1759" s="2" t="s">
        <v>4604</v>
      </c>
      <c r="J1759" s="2" t="s">
        <v>6285</v>
      </c>
      <c r="K1759" s="2" t="s">
        <v>10</v>
      </c>
    </row>
    <row r="1760" spans="1:12" ht="55.2" hidden="1" x14ac:dyDescent="0.3">
      <c r="A1760" s="2" t="s">
        <v>4604</v>
      </c>
      <c r="B1760" s="2" t="s">
        <v>6286</v>
      </c>
      <c r="C1760" s="3">
        <v>36036</v>
      </c>
      <c r="D1760" s="1" t="s">
        <v>6287</v>
      </c>
      <c r="E1760" s="1" t="s">
        <v>6288</v>
      </c>
      <c r="F1760" s="2" t="s">
        <v>4698</v>
      </c>
      <c r="G1760" s="2" t="s">
        <v>2814</v>
      </c>
      <c r="H1760" s="2" t="s">
        <v>6289</v>
      </c>
      <c r="I1760" s="2" t="s">
        <v>4604</v>
      </c>
      <c r="J1760" s="2" t="s">
        <v>6290</v>
      </c>
      <c r="K1760" s="2" t="s">
        <v>10</v>
      </c>
    </row>
    <row r="1761" spans="1:12" ht="27.6" hidden="1" x14ac:dyDescent="0.3">
      <c r="A1761" s="2" t="s">
        <v>4386</v>
      </c>
      <c r="B1761" s="2" t="s">
        <v>6291</v>
      </c>
      <c r="C1761" s="3">
        <v>33926</v>
      </c>
      <c r="D1761" s="1" t="s">
        <v>6292</v>
      </c>
      <c r="E1761" s="1" t="s">
        <v>6293</v>
      </c>
      <c r="F1761" s="2" t="s">
        <v>6270</v>
      </c>
      <c r="G1761" s="2" t="s">
        <v>12</v>
      </c>
      <c r="H1761" s="2" t="s">
        <v>10</v>
      </c>
      <c r="I1761" s="2" t="s">
        <v>4386</v>
      </c>
      <c r="J1761" s="2" t="s">
        <v>6294</v>
      </c>
      <c r="K1761" s="40" t="s">
        <v>13193</v>
      </c>
      <c r="L1761" s="6" t="s">
        <v>13194</v>
      </c>
    </row>
    <row r="1762" spans="1:12" ht="55.2" hidden="1" x14ac:dyDescent="0.3">
      <c r="A1762" s="2" t="s">
        <v>4604</v>
      </c>
      <c r="B1762" s="2" t="s">
        <v>6295</v>
      </c>
      <c r="C1762" s="3">
        <v>34021</v>
      </c>
      <c r="D1762" s="1" t="s">
        <v>6296</v>
      </c>
      <c r="E1762" s="1" t="s">
        <v>6297</v>
      </c>
      <c r="F1762" s="2" t="s">
        <v>4698</v>
      </c>
      <c r="G1762" s="2" t="s">
        <v>604</v>
      </c>
      <c r="H1762" s="2" t="s">
        <v>10</v>
      </c>
      <c r="I1762" s="2" t="s">
        <v>4604</v>
      </c>
      <c r="J1762" s="2" t="s">
        <v>5551</v>
      </c>
      <c r="K1762" s="2" t="s">
        <v>10</v>
      </c>
    </row>
    <row r="1763" spans="1:12" ht="55.2" hidden="1" x14ac:dyDescent="0.3">
      <c r="A1763" s="2" t="s">
        <v>4604</v>
      </c>
      <c r="B1763" s="2" t="s">
        <v>6298</v>
      </c>
      <c r="C1763" s="3">
        <v>28617</v>
      </c>
      <c r="D1763" s="1" t="s">
        <v>6299</v>
      </c>
      <c r="E1763" s="1" t="s">
        <v>6300</v>
      </c>
      <c r="F1763" s="2" t="s">
        <v>4698</v>
      </c>
      <c r="G1763" s="2" t="s">
        <v>780</v>
      </c>
      <c r="H1763" s="2" t="s">
        <v>6301</v>
      </c>
      <c r="I1763" s="2" t="s">
        <v>4604</v>
      </c>
      <c r="J1763" s="2" t="s">
        <v>6302</v>
      </c>
      <c r="K1763" s="2" t="s">
        <v>10</v>
      </c>
    </row>
    <row r="1764" spans="1:12" ht="27.6" hidden="1" x14ac:dyDescent="0.3">
      <c r="A1764" s="2" t="s">
        <v>4386</v>
      </c>
      <c r="B1764" s="2" t="s">
        <v>6303</v>
      </c>
      <c r="C1764" s="3">
        <v>29856</v>
      </c>
      <c r="D1764" s="1" t="s">
        <v>6304</v>
      </c>
      <c r="E1764" s="1" t="s">
        <v>6305</v>
      </c>
      <c r="F1764" s="2" t="s">
        <v>6270</v>
      </c>
      <c r="G1764" s="2" t="s">
        <v>328</v>
      </c>
      <c r="H1764" s="2" t="s">
        <v>10</v>
      </c>
      <c r="I1764" s="2" t="s">
        <v>4386</v>
      </c>
      <c r="J1764" s="2" t="s">
        <v>329</v>
      </c>
      <c r="K1764" s="42" t="s">
        <v>13193</v>
      </c>
      <c r="L1764" s="24" t="s">
        <v>13194</v>
      </c>
    </row>
    <row r="1765" spans="1:12" ht="27.6" hidden="1" x14ac:dyDescent="0.3">
      <c r="A1765" s="2" t="s">
        <v>4386</v>
      </c>
      <c r="B1765" s="2" t="s">
        <v>6306</v>
      </c>
      <c r="C1765" s="3">
        <v>26481</v>
      </c>
      <c r="D1765" s="1" t="s">
        <v>6307</v>
      </c>
      <c r="E1765" s="1" t="s">
        <v>6308</v>
      </c>
      <c r="F1765" s="2" t="s">
        <v>5559</v>
      </c>
      <c r="G1765" s="2" t="s">
        <v>6309</v>
      </c>
      <c r="H1765" s="2" t="s">
        <v>10</v>
      </c>
      <c r="I1765" s="2" t="s">
        <v>4386</v>
      </c>
      <c r="J1765" s="2" t="s">
        <v>6310</v>
      </c>
      <c r="K1765" s="30" t="s">
        <v>13193</v>
      </c>
      <c r="L1765" s="6" t="s">
        <v>13194</v>
      </c>
    </row>
    <row r="1766" spans="1:12" ht="27.6" hidden="1" x14ac:dyDescent="0.3">
      <c r="A1766" s="2" t="s">
        <v>4386</v>
      </c>
      <c r="B1766" s="2" t="s">
        <v>6311</v>
      </c>
      <c r="C1766" s="3">
        <v>31236</v>
      </c>
      <c r="D1766" s="1" t="s">
        <v>6312</v>
      </c>
      <c r="E1766" s="1" t="s">
        <v>6313</v>
      </c>
      <c r="F1766" s="2" t="s">
        <v>5053</v>
      </c>
      <c r="G1766" s="2" t="s">
        <v>92</v>
      </c>
      <c r="H1766" s="2" t="s">
        <v>10</v>
      </c>
      <c r="I1766" s="2" t="s">
        <v>4386</v>
      </c>
      <c r="J1766" s="2" t="s">
        <v>93</v>
      </c>
      <c r="K1766" s="18" t="s">
        <v>10</v>
      </c>
    </row>
    <row r="1767" spans="1:12" ht="27.6" hidden="1" x14ac:dyDescent="0.3">
      <c r="A1767" s="2" t="s">
        <v>4386</v>
      </c>
      <c r="B1767" s="2" t="s">
        <v>6314</v>
      </c>
      <c r="C1767" s="3">
        <v>18473</v>
      </c>
      <c r="D1767" s="1" t="s">
        <v>6315</v>
      </c>
      <c r="E1767" s="1" t="s">
        <v>6316</v>
      </c>
      <c r="F1767" s="2" t="s">
        <v>6212</v>
      </c>
      <c r="G1767" s="2" t="s">
        <v>6213</v>
      </c>
      <c r="H1767" s="2" t="s">
        <v>103</v>
      </c>
      <c r="I1767" s="2" t="s">
        <v>4386</v>
      </c>
      <c r="J1767" s="2" t="s">
        <v>6317</v>
      </c>
      <c r="K1767" s="15" t="s">
        <v>10</v>
      </c>
    </row>
    <row r="1768" spans="1:12" ht="27.6" hidden="1" x14ac:dyDescent="0.3">
      <c r="A1768" s="2" t="s">
        <v>4386</v>
      </c>
      <c r="B1768" s="2" t="s">
        <v>6318</v>
      </c>
      <c r="C1768" s="3">
        <v>31959</v>
      </c>
      <c r="D1768" s="1" t="s">
        <v>6319</v>
      </c>
      <c r="E1768" s="1" t="s">
        <v>6320</v>
      </c>
      <c r="F1768" s="2" t="s">
        <v>5559</v>
      </c>
      <c r="G1768" s="2" t="s">
        <v>6321</v>
      </c>
      <c r="H1768" s="2" t="s">
        <v>10</v>
      </c>
      <c r="I1768" s="2" t="s">
        <v>4386</v>
      </c>
      <c r="J1768" s="2" t="s">
        <v>6322</v>
      </c>
      <c r="K1768" s="30" t="s">
        <v>13193</v>
      </c>
      <c r="L1768" s="6" t="s">
        <v>13194</v>
      </c>
    </row>
    <row r="1769" spans="1:12" ht="27.6" hidden="1" x14ac:dyDescent="0.3">
      <c r="A1769" s="2" t="s">
        <v>4386</v>
      </c>
      <c r="B1769" s="2" t="s">
        <v>6323</v>
      </c>
      <c r="C1769" s="3">
        <v>22079</v>
      </c>
      <c r="D1769" s="1" t="s">
        <v>5616</v>
      </c>
      <c r="E1769" s="1" t="s">
        <v>6324</v>
      </c>
      <c r="F1769" s="2" t="s">
        <v>4555</v>
      </c>
      <c r="G1769" s="2" t="s">
        <v>6325</v>
      </c>
      <c r="H1769" s="2" t="s">
        <v>10</v>
      </c>
      <c r="I1769" s="2" t="s">
        <v>4386</v>
      </c>
      <c r="J1769" s="2" t="s">
        <v>6326</v>
      </c>
      <c r="K1769" s="19" t="s">
        <v>10</v>
      </c>
    </row>
    <row r="1770" spans="1:12" ht="27.6" hidden="1" x14ac:dyDescent="0.3">
      <c r="A1770" s="2" t="s">
        <v>4386</v>
      </c>
      <c r="B1770" s="2" t="s">
        <v>6327</v>
      </c>
      <c r="C1770" s="3">
        <v>29843</v>
      </c>
      <c r="D1770" s="1" t="s">
        <v>6328</v>
      </c>
      <c r="E1770" s="1" t="s">
        <v>6329</v>
      </c>
      <c r="F1770" s="2" t="s">
        <v>5559</v>
      </c>
      <c r="G1770" s="2" t="s">
        <v>6330</v>
      </c>
      <c r="H1770" s="2" t="s">
        <v>10</v>
      </c>
      <c r="I1770" s="2" t="s">
        <v>4386</v>
      </c>
      <c r="J1770" s="2" t="s">
        <v>6331</v>
      </c>
      <c r="K1770" s="30" t="s">
        <v>13193</v>
      </c>
      <c r="L1770" s="6" t="s">
        <v>13194</v>
      </c>
    </row>
    <row r="1771" spans="1:12" ht="27.6" hidden="1" x14ac:dyDescent="0.3">
      <c r="A1771" s="2" t="s">
        <v>4386</v>
      </c>
      <c r="B1771" s="2" t="s">
        <v>6332</v>
      </c>
      <c r="C1771" s="3">
        <v>31044</v>
      </c>
      <c r="D1771" s="1" t="s">
        <v>6333</v>
      </c>
      <c r="E1771" s="1" t="s">
        <v>6334</v>
      </c>
      <c r="F1771" s="2" t="s">
        <v>5559</v>
      </c>
      <c r="G1771" s="2" t="s">
        <v>6335</v>
      </c>
      <c r="H1771" s="2" t="s">
        <v>10</v>
      </c>
      <c r="I1771" s="2" t="s">
        <v>4386</v>
      </c>
      <c r="J1771" s="2" t="s">
        <v>6336</v>
      </c>
      <c r="K1771" s="2" t="s">
        <v>10</v>
      </c>
      <c r="L1771" s="6"/>
    </row>
    <row r="1772" spans="1:12" ht="55.2" hidden="1" x14ac:dyDescent="0.3">
      <c r="A1772" s="2" t="s">
        <v>4604</v>
      </c>
      <c r="B1772" s="2" t="s">
        <v>6337</v>
      </c>
      <c r="C1772" s="3">
        <v>23749</v>
      </c>
      <c r="D1772" s="1" t="s">
        <v>6338</v>
      </c>
      <c r="E1772" s="1" t="s">
        <v>6339</v>
      </c>
      <c r="F1772" s="2" t="s">
        <v>4608</v>
      </c>
      <c r="G1772" s="2" t="s">
        <v>190</v>
      </c>
      <c r="H1772" s="2" t="s">
        <v>6340</v>
      </c>
      <c r="I1772" s="2" t="s">
        <v>4604</v>
      </c>
      <c r="J1772" s="2" t="s">
        <v>768</v>
      </c>
      <c r="K1772" s="18" t="s">
        <v>10</v>
      </c>
    </row>
    <row r="1773" spans="1:12" ht="55.2" hidden="1" x14ac:dyDescent="0.3">
      <c r="A1773" s="2" t="s">
        <v>4604</v>
      </c>
      <c r="B1773" s="2" t="s">
        <v>6341</v>
      </c>
      <c r="C1773" s="3">
        <v>17752</v>
      </c>
      <c r="D1773" s="1" t="s">
        <v>6342</v>
      </c>
      <c r="E1773" s="1" t="s">
        <v>6343</v>
      </c>
      <c r="F1773" s="2" t="s">
        <v>4608</v>
      </c>
      <c r="G1773" s="2" t="s">
        <v>604</v>
      </c>
      <c r="H1773" s="2" t="s">
        <v>6344</v>
      </c>
      <c r="I1773" s="2" t="s">
        <v>4604</v>
      </c>
      <c r="J1773" s="2" t="s">
        <v>4903</v>
      </c>
      <c r="K1773" s="2" t="s">
        <v>10</v>
      </c>
    </row>
    <row r="1774" spans="1:12" ht="55.2" hidden="1" x14ac:dyDescent="0.3">
      <c r="A1774" s="2" t="s">
        <v>4604</v>
      </c>
      <c r="B1774" s="2" t="s">
        <v>6345</v>
      </c>
      <c r="C1774" s="3">
        <v>28237</v>
      </c>
      <c r="D1774" s="1" t="s">
        <v>6346</v>
      </c>
      <c r="E1774" s="1" t="s">
        <v>6347</v>
      </c>
      <c r="F1774" s="2" t="s">
        <v>4608</v>
      </c>
      <c r="G1774" s="2" t="s">
        <v>206</v>
      </c>
      <c r="H1774" s="2" t="s">
        <v>6348</v>
      </c>
      <c r="I1774" s="2" t="s">
        <v>4604</v>
      </c>
      <c r="J1774" s="2" t="s">
        <v>434</v>
      </c>
      <c r="K1774" s="2" t="s">
        <v>10</v>
      </c>
    </row>
    <row r="1775" spans="1:12" ht="55.2" hidden="1" x14ac:dyDescent="0.3">
      <c r="A1775" s="2" t="s">
        <v>4604</v>
      </c>
      <c r="B1775" s="2" t="s">
        <v>6349</v>
      </c>
      <c r="C1775" s="3">
        <v>27743</v>
      </c>
      <c r="D1775" s="1" t="s">
        <v>6350</v>
      </c>
      <c r="E1775" s="1" t="s">
        <v>6351</v>
      </c>
      <c r="F1775" s="2" t="s">
        <v>4608</v>
      </c>
      <c r="G1775" s="2" t="s">
        <v>860</v>
      </c>
      <c r="H1775" s="2" t="s">
        <v>6352</v>
      </c>
      <c r="I1775" s="2" t="s">
        <v>4604</v>
      </c>
      <c r="J1775" s="2" t="s">
        <v>4908</v>
      </c>
      <c r="K1775" s="2" t="s">
        <v>10</v>
      </c>
    </row>
    <row r="1776" spans="1:12" ht="55.2" hidden="1" x14ac:dyDescent="0.3">
      <c r="A1776" s="2" t="s">
        <v>4604</v>
      </c>
      <c r="B1776" s="2" t="s">
        <v>6353</v>
      </c>
      <c r="C1776" s="3">
        <v>25459</v>
      </c>
      <c r="D1776" s="1" t="s">
        <v>6354</v>
      </c>
      <c r="E1776" s="1" t="s">
        <v>6355</v>
      </c>
      <c r="F1776" s="2" t="s">
        <v>4608</v>
      </c>
      <c r="G1776" s="2" t="s">
        <v>143</v>
      </c>
      <c r="H1776" s="2" t="s">
        <v>6356</v>
      </c>
      <c r="I1776" s="2" t="s">
        <v>4604</v>
      </c>
      <c r="J1776" s="2" t="s">
        <v>324</v>
      </c>
      <c r="K1776" s="2" t="s">
        <v>10</v>
      </c>
    </row>
    <row r="1777" spans="1:11" ht="55.2" hidden="1" x14ac:dyDescent="0.3">
      <c r="A1777" s="2" t="s">
        <v>4604</v>
      </c>
      <c r="B1777" s="2" t="s">
        <v>6357</v>
      </c>
      <c r="C1777" s="3">
        <v>15927</v>
      </c>
      <c r="D1777" s="1" t="s">
        <v>6358</v>
      </c>
      <c r="E1777" s="1" t="s">
        <v>6359</v>
      </c>
      <c r="F1777" s="2" t="s">
        <v>4608</v>
      </c>
      <c r="G1777" s="2" t="s">
        <v>258</v>
      </c>
      <c r="H1777" s="2" t="s">
        <v>6360</v>
      </c>
      <c r="I1777" s="2" t="s">
        <v>4604</v>
      </c>
      <c r="J1777" s="2" t="s">
        <v>430</v>
      </c>
      <c r="K1777" s="2" t="s">
        <v>10</v>
      </c>
    </row>
    <row r="1778" spans="1:11" ht="55.2" hidden="1" x14ac:dyDescent="0.3">
      <c r="A1778" s="2" t="s">
        <v>4604</v>
      </c>
      <c r="B1778" s="2" t="s">
        <v>6361</v>
      </c>
      <c r="C1778" s="3">
        <v>31536</v>
      </c>
      <c r="D1778" s="1" t="s">
        <v>6362</v>
      </c>
      <c r="E1778" s="1" t="s">
        <v>6363</v>
      </c>
      <c r="F1778" s="2" t="s">
        <v>4608</v>
      </c>
      <c r="G1778" s="2" t="s">
        <v>1955</v>
      </c>
      <c r="H1778" s="2" t="s">
        <v>6364</v>
      </c>
      <c r="I1778" s="2" t="s">
        <v>4604</v>
      </c>
      <c r="J1778" s="2" t="s">
        <v>4338</v>
      </c>
      <c r="K1778" s="2" t="s">
        <v>10</v>
      </c>
    </row>
    <row r="1779" spans="1:11" ht="55.2" hidden="1" x14ac:dyDescent="0.3">
      <c r="A1779" s="2" t="s">
        <v>4604</v>
      </c>
      <c r="B1779" s="2" t="s">
        <v>6365</v>
      </c>
      <c r="C1779" s="3">
        <v>29747</v>
      </c>
      <c r="D1779" s="1" t="s">
        <v>6366</v>
      </c>
      <c r="E1779" s="1" t="s">
        <v>6367</v>
      </c>
      <c r="F1779" s="2" t="s">
        <v>5668</v>
      </c>
      <c r="G1779" s="2" t="s">
        <v>124</v>
      </c>
      <c r="H1779" s="2" t="s">
        <v>6368</v>
      </c>
      <c r="I1779" s="2" t="s">
        <v>4604</v>
      </c>
      <c r="J1779" s="2" t="s">
        <v>3270</v>
      </c>
      <c r="K1779" s="2" t="s">
        <v>10</v>
      </c>
    </row>
    <row r="1780" spans="1:11" ht="55.2" hidden="1" x14ac:dyDescent="0.3">
      <c r="A1780" s="2" t="s">
        <v>4604</v>
      </c>
      <c r="B1780" s="2" t="s">
        <v>6369</v>
      </c>
      <c r="C1780" s="3">
        <v>26657</v>
      </c>
      <c r="D1780" s="1" t="s">
        <v>6370</v>
      </c>
      <c r="E1780" s="1" t="s">
        <v>6371</v>
      </c>
      <c r="F1780" s="2" t="s">
        <v>5668</v>
      </c>
      <c r="G1780" s="2" t="s">
        <v>196</v>
      </c>
      <c r="H1780" s="2" t="s">
        <v>6372</v>
      </c>
      <c r="I1780" s="2" t="s">
        <v>4604</v>
      </c>
      <c r="J1780" s="2" t="s">
        <v>6373</v>
      </c>
      <c r="K1780" s="2" t="s">
        <v>10</v>
      </c>
    </row>
    <row r="1781" spans="1:11" ht="55.2" hidden="1" x14ac:dyDescent="0.3">
      <c r="A1781" s="2" t="s">
        <v>4604</v>
      </c>
      <c r="B1781" s="2" t="s">
        <v>6374</v>
      </c>
      <c r="C1781" s="3">
        <v>22472</v>
      </c>
      <c r="D1781" s="1" t="s">
        <v>6375</v>
      </c>
      <c r="E1781" s="1" t="s">
        <v>6376</v>
      </c>
      <c r="F1781" s="2" t="s">
        <v>5668</v>
      </c>
      <c r="G1781" s="2" t="s">
        <v>492</v>
      </c>
      <c r="H1781" s="2" t="s">
        <v>6377</v>
      </c>
      <c r="I1781" s="2" t="s">
        <v>4604</v>
      </c>
      <c r="J1781" s="2" t="s">
        <v>375</v>
      </c>
      <c r="K1781" s="2" t="s">
        <v>10</v>
      </c>
    </row>
    <row r="1782" spans="1:11" ht="55.2" hidden="1" x14ac:dyDescent="0.3">
      <c r="A1782" s="2" t="s">
        <v>4604</v>
      </c>
      <c r="B1782" s="2" t="s">
        <v>6378</v>
      </c>
      <c r="C1782" s="3">
        <v>29930</v>
      </c>
      <c r="D1782" s="1" t="s">
        <v>6379</v>
      </c>
      <c r="E1782" s="1" t="s">
        <v>6380</v>
      </c>
      <c r="F1782" s="2" t="s">
        <v>5668</v>
      </c>
      <c r="G1782" s="2" t="s">
        <v>86</v>
      </c>
      <c r="H1782" s="2" t="s">
        <v>6381</v>
      </c>
      <c r="I1782" s="2" t="s">
        <v>4604</v>
      </c>
      <c r="J1782" s="2" t="s">
        <v>3249</v>
      </c>
      <c r="K1782" s="2" t="s">
        <v>10</v>
      </c>
    </row>
    <row r="1783" spans="1:11" ht="55.2" hidden="1" x14ac:dyDescent="0.3">
      <c r="A1783" s="2" t="s">
        <v>4604</v>
      </c>
      <c r="B1783" s="2" t="s">
        <v>6382</v>
      </c>
      <c r="C1783" s="3">
        <v>28007</v>
      </c>
      <c r="D1783" s="1" t="s">
        <v>6383</v>
      </c>
      <c r="E1783" s="1" t="s">
        <v>6384</v>
      </c>
      <c r="F1783" s="2" t="s">
        <v>6385</v>
      </c>
      <c r="G1783" s="2" t="s">
        <v>80</v>
      </c>
      <c r="H1783" s="2" t="s">
        <v>6386</v>
      </c>
      <c r="I1783" s="2" t="s">
        <v>4604</v>
      </c>
      <c r="J1783" s="2" t="s">
        <v>3265</v>
      </c>
      <c r="K1783" s="2" t="s">
        <v>10</v>
      </c>
    </row>
    <row r="1784" spans="1:11" ht="55.2" hidden="1" x14ac:dyDescent="0.3">
      <c r="A1784" s="2" t="s">
        <v>4604</v>
      </c>
      <c r="B1784" s="2" t="s">
        <v>6387</v>
      </c>
      <c r="C1784" s="3">
        <v>34172</v>
      </c>
      <c r="D1784" s="1" t="s">
        <v>6388</v>
      </c>
      <c r="E1784" s="1" t="s">
        <v>6389</v>
      </c>
      <c r="F1784" s="2" t="s">
        <v>6385</v>
      </c>
      <c r="G1784" s="2" t="s">
        <v>425</v>
      </c>
      <c r="H1784" s="2" t="s">
        <v>6390</v>
      </c>
      <c r="I1784" s="2" t="s">
        <v>4604</v>
      </c>
      <c r="J1784" s="2" t="s">
        <v>841</v>
      </c>
      <c r="K1784" s="2" t="s">
        <v>10</v>
      </c>
    </row>
    <row r="1785" spans="1:11" ht="55.2" hidden="1" x14ac:dyDescent="0.3">
      <c r="A1785" s="2" t="s">
        <v>4604</v>
      </c>
      <c r="B1785" s="2" t="s">
        <v>6391</v>
      </c>
      <c r="C1785" s="3">
        <v>22995</v>
      </c>
      <c r="D1785" s="1" t="s">
        <v>6392</v>
      </c>
      <c r="E1785" s="1" t="s">
        <v>6393</v>
      </c>
      <c r="F1785" s="2" t="s">
        <v>4698</v>
      </c>
      <c r="G1785" s="2" t="s">
        <v>2800</v>
      </c>
      <c r="H1785" s="2" t="s">
        <v>6394</v>
      </c>
      <c r="I1785" s="2" t="s">
        <v>4604</v>
      </c>
      <c r="J1785" s="2" t="s">
        <v>6395</v>
      </c>
      <c r="K1785" s="2" t="s">
        <v>10</v>
      </c>
    </row>
    <row r="1786" spans="1:11" ht="55.2" hidden="1" x14ac:dyDescent="0.3">
      <c r="A1786" s="2" t="s">
        <v>4604</v>
      </c>
      <c r="B1786" s="2" t="s">
        <v>6396</v>
      </c>
      <c r="C1786" s="3">
        <v>32867</v>
      </c>
      <c r="D1786" s="1" t="s">
        <v>6397</v>
      </c>
      <c r="E1786" s="1" t="s">
        <v>6398</v>
      </c>
      <c r="F1786" s="2" t="s">
        <v>4698</v>
      </c>
      <c r="G1786" s="2" t="s">
        <v>2916</v>
      </c>
      <c r="H1786" s="2" t="s">
        <v>6399</v>
      </c>
      <c r="I1786" s="2" t="s">
        <v>4604</v>
      </c>
      <c r="J1786" s="2" t="s">
        <v>6400</v>
      </c>
      <c r="K1786" s="2" t="s">
        <v>10</v>
      </c>
    </row>
    <row r="1787" spans="1:11" ht="55.2" hidden="1" x14ac:dyDescent="0.3">
      <c r="A1787" s="2" t="s">
        <v>4604</v>
      </c>
      <c r="B1787" s="2" t="s">
        <v>6401</v>
      </c>
      <c r="C1787" s="3">
        <v>23978</v>
      </c>
      <c r="D1787" s="1" t="s">
        <v>6402</v>
      </c>
      <c r="E1787" s="1" t="s">
        <v>6403</v>
      </c>
      <c r="F1787" s="2" t="s">
        <v>4608</v>
      </c>
      <c r="G1787" s="2" t="s">
        <v>124</v>
      </c>
      <c r="H1787" s="2" t="s">
        <v>6404</v>
      </c>
      <c r="I1787" s="2" t="s">
        <v>4604</v>
      </c>
      <c r="J1787" s="2" t="s">
        <v>3270</v>
      </c>
      <c r="K1787" s="2" t="s">
        <v>10</v>
      </c>
    </row>
    <row r="1788" spans="1:11" ht="55.2" hidden="1" x14ac:dyDescent="0.3">
      <c r="A1788" s="2" t="s">
        <v>4604</v>
      </c>
      <c r="B1788" s="2" t="s">
        <v>6405</v>
      </c>
      <c r="C1788" s="3">
        <v>34111</v>
      </c>
      <c r="D1788" s="1" t="s">
        <v>6406</v>
      </c>
      <c r="E1788" s="1" t="s">
        <v>6407</v>
      </c>
      <c r="F1788" s="2" t="s">
        <v>5668</v>
      </c>
      <c r="G1788" s="2" t="s">
        <v>157</v>
      </c>
      <c r="H1788" s="2" t="s">
        <v>6408</v>
      </c>
      <c r="I1788" s="2" t="s">
        <v>4604</v>
      </c>
      <c r="J1788" s="2" t="s">
        <v>119</v>
      </c>
      <c r="K1788" s="2" t="s">
        <v>10</v>
      </c>
    </row>
    <row r="1789" spans="1:11" ht="55.2" hidden="1" x14ac:dyDescent="0.3">
      <c r="A1789" s="2" t="s">
        <v>4604</v>
      </c>
      <c r="B1789" s="2" t="s">
        <v>6409</v>
      </c>
      <c r="C1789" s="3">
        <v>32322</v>
      </c>
      <c r="D1789" s="1" t="s">
        <v>6410</v>
      </c>
      <c r="E1789" s="1" t="s">
        <v>6411</v>
      </c>
      <c r="F1789" s="2" t="s">
        <v>5668</v>
      </c>
      <c r="G1789" s="2" t="s">
        <v>124</v>
      </c>
      <c r="H1789" s="2" t="s">
        <v>6412</v>
      </c>
      <c r="I1789" s="2" t="s">
        <v>4604</v>
      </c>
      <c r="J1789" s="2" t="s">
        <v>3270</v>
      </c>
      <c r="K1789" s="2" t="s">
        <v>10</v>
      </c>
    </row>
    <row r="1790" spans="1:11" ht="27.6" hidden="1" x14ac:dyDescent="0.3">
      <c r="A1790" s="2" t="s">
        <v>60</v>
      </c>
      <c r="B1790" s="2" t="s">
        <v>6413</v>
      </c>
      <c r="C1790" s="3">
        <v>29613</v>
      </c>
      <c r="D1790" s="1" t="s">
        <v>6414</v>
      </c>
      <c r="E1790" s="1" t="s">
        <v>6415</v>
      </c>
      <c r="F1790" s="2" t="s">
        <v>60</v>
      </c>
      <c r="G1790" s="2" t="s">
        <v>2910</v>
      </c>
      <c r="H1790" s="2" t="s">
        <v>81</v>
      </c>
      <c r="I1790" s="2" t="s">
        <v>60</v>
      </c>
      <c r="J1790" s="2" t="s">
        <v>6416</v>
      </c>
      <c r="K1790" s="2" t="s">
        <v>10</v>
      </c>
    </row>
    <row r="1791" spans="1:11" ht="27.6" hidden="1" x14ac:dyDescent="0.3">
      <c r="A1791" s="2" t="s">
        <v>60</v>
      </c>
      <c r="B1791" s="2" t="s">
        <v>6417</v>
      </c>
      <c r="C1791" s="3">
        <v>27198</v>
      </c>
      <c r="D1791" s="1" t="s">
        <v>2214</v>
      </c>
      <c r="E1791" s="1" t="s">
        <v>2215</v>
      </c>
      <c r="F1791" s="2" t="s">
        <v>60</v>
      </c>
      <c r="G1791" s="2" t="s">
        <v>2216</v>
      </c>
      <c r="H1791" s="2" t="s">
        <v>81</v>
      </c>
      <c r="I1791" s="2" t="s">
        <v>60</v>
      </c>
      <c r="J1791" s="2" t="s">
        <v>2217</v>
      </c>
      <c r="K1791" s="2" t="s">
        <v>10</v>
      </c>
    </row>
    <row r="1792" spans="1:11" ht="55.2" hidden="1" x14ac:dyDescent="0.3">
      <c r="A1792" s="2" t="s">
        <v>4604</v>
      </c>
      <c r="B1792" s="2" t="s">
        <v>6418</v>
      </c>
      <c r="C1792" s="3">
        <v>21459</v>
      </c>
      <c r="D1792" s="1" t="s">
        <v>6419</v>
      </c>
      <c r="E1792" s="1" t="s">
        <v>6420</v>
      </c>
      <c r="F1792" s="2" t="s">
        <v>5668</v>
      </c>
      <c r="G1792" s="2" t="s">
        <v>380</v>
      </c>
      <c r="H1792" s="2" t="s">
        <v>6421</v>
      </c>
      <c r="I1792" s="2" t="s">
        <v>4604</v>
      </c>
      <c r="J1792" s="2" t="s">
        <v>6422</v>
      </c>
      <c r="K1792" s="2" t="s">
        <v>10</v>
      </c>
    </row>
    <row r="1793" spans="1:11" ht="55.2" hidden="1" x14ac:dyDescent="0.3">
      <c r="A1793" s="2" t="s">
        <v>4604</v>
      </c>
      <c r="B1793" s="2" t="s">
        <v>6423</v>
      </c>
      <c r="C1793" s="3">
        <v>15807</v>
      </c>
      <c r="D1793" s="1" t="s">
        <v>6424</v>
      </c>
      <c r="E1793" s="1" t="s">
        <v>6425</v>
      </c>
      <c r="F1793" s="2" t="s">
        <v>5668</v>
      </c>
      <c r="G1793" s="2" t="s">
        <v>92</v>
      </c>
      <c r="H1793" s="2" t="s">
        <v>6426</v>
      </c>
      <c r="I1793" s="2" t="s">
        <v>4604</v>
      </c>
      <c r="J1793" s="2" t="s">
        <v>93</v>
      </c>
      <c r="K1793" s="2" t="s">
        <v>10</v>
      </c>
    </row>
    <row r="1794" spans="1:11" ht="55.2" hidden="1" x14ac:dyDescent="0.3">
      <c r="A1794" s="2" t="s">
        <v>4604</v>
      </c>
      <c r="B1794" s="2" t="s">
        <v>6427</v>
      </c>
      <c r="C1794" s="3">
        <v>36045</v>
      </c>
      <c r="D1794" s="1" t="s">
        <v>6428</v>
      </c>
      <c r="E1794" s="1" t="s">
        <v>6429</v>
      </c>
      <c r="F1794" s="2" t="s">
        <v>6430</v>
      </c>
      <c r="G1794" s="2" t="s">
        <v>75</v>
      </c>
      <c r="H1794" s="2" t="s">
        <v>6431</v>
      </c>
      <c r="I1794" s="2" t="s">
        <v>4604</v>
      </c>
      <c r="J1794" s="2" t="s">
        <v>5499</v>
      </c>
      <c r="K1794" s="2" t="s">
        <v>10</v>
      </c>
    </row>
    <row r="1795" spans="1:11" ht="55.2" hidden="1" x14ac:dyDescent="0.3">
      <c r="A1795" s="2" t="s">
        <v>4604</v>
      </c>
      <c r="B1795" s="2" t="s">
        <v>6432</v>
      </c>
      <c r="C1795" s="3">
        <v>19045</v>
      </c>
      <c r="D1795" s="1" t="s">
        <v>6433</v>
      </c>
      <c r="E1795" s="1" t="s">
        <v>6434</v>
      </c>
      <c r="F1795" s="2" t="s">
        <v>5969</v>
      </c>
      <c r="G1795" s="2" t="s">
        <v>37</v>
      </c>
      <c r="H1795" s="2" t="s">
        <v>6435</v>
      </c>
      <c r="I1795" s="2" t="s">
        <v>4604</v>
      </c>
      <c r="J1795" s="2" t="s">
        <v>6436</v>
      </c>
      <c r="K1795" s="2" t="s">
        <v>10</v>
      </c>
    </row>
    <row r="1796" spans="1:11" ht="55.2" hidden="1" x14ac:dyDescent="0.3">
      <c r="A1796" s="2" t="s">
        <v>4604</v>
      </c>
      <c r="B1796" s="2" t="s">
        <v>6437</v>
      </c>
      <c r="C1796" s="3">
        <v>27854</v>
      </c>
      <c r="D1796" s="1" t="s">
        <v>6438</v>
      </c>
      <c r="E1796" s="1" t="s">
        <v>6439</v>
      </c>
      <c r="F1796" s="2" t="s">
        <v>5969</v>
      </c>
      <c r="G1796" s="2" t="s">
        <v>230</v>
      </c>
      <c r="H1796" s="2" t="s">
        <v>6440</v>
      </c>
      <c r="I1796" s="2" t="s">
        <v>4604</v>
      </c>
      <c r="J1796" s="2" t="s">
        <v>1922</v>
      </c>
      <c r="K1796" s="2" t="s">
        <v>10</v>
      </c>
    </row>
    <row r="1797" spans="1:11" ht="55.2" hidden="1" x14ac:dyDescent="0.3">
      <c r="A1797" s="2" t="s">
        <v>4604</v>
      </c>
      <c r="B1797" s="2" t="s">
        <v>6441</v>
      </c>
      <c r="C1797" s="3">
        <v>23330</v>
      </c>
      <c r="D1797" s="1" t="s">
        <v>6442</v>
      </c>
      <c r="E1797" s="1" t="s">
        <v>6443</v>
      </c>
      <c r="F1797" s="2" t="s">
        <v>5969</v>
      </c>
      <c r="G1797" s="2" t="s">
        <v>696</v>
      </c>
      <c r="H1797" s="2" t="s">
        <v>6444</v>
      </c>
      <c r="I1797" s="2" t="s">
        <v>4604</v>
      </c>
      <c r="J1797" s="2" t="s">
        <v>4099</v>
      </c>
      <c r="K1797" s="2" t="s">
        <v>10</v>
      </c>
    </row>
    <row r="1798" spans="1:11" ht="55.2" hidden="1" x14ac:dyDescent="0.3">
      <c r="A1798" s="2" t="s">
        <v>4604</v>
      </c>
      <c r="B1798" s="2" t="s">
        <v>6445</v>
      </c>
      <c r="C1798" s="3">
        <v>23099</v>
      </c>
      <c r="D1798" s="1" t="s">
        <v>6446</v>
      </c>
      <c r="E1798" s="1" t="s">
        <v>6447</v>
      </c>
      <c r="F1798" s="2" t="s">
        <v>5969</v>
      </c>
      <c r="G1798" s="2" t="s">
        <v>31</v>
      </c>
      <c r="H1798" s="2" t="s">
        <v>6448</v>
      </c>
      <c r="I1798" s="2" t="s">
        <v>4604</v>
      </c>
      <c r="J1798" s="2" t="s">
        <v>558</v>
      </c>
      <c r="K1798" s="2" t="s">
        <v>10</v>
      </c>
    </row>
    <row r="1799" spans="1:11" ht="55.2" hidden="1" x14ac:dyDescent="0.3">
      <c r="A1799" s="2" t="s">
        <v>4604</v>
      </c>
      <c r="B1799" s="2" t="s">
        <v>6449</v>
      </c>
      <c r="C1799" s="3">
        <v>35790</v>
      </c>
      <c r="D1799" s="1" t="s">
        <v>6450</v>
      </c>
      <c r="E1799" s="1" t="s">
        <v>6451</v>
      </c>
      <c r="F1799" s="2" t="s">
        <v>6430</v>
      </c>
      <c r="G1799" s="2" t="s">
        <v>112</v>
      </c>
      <c r="H1799" s="2" t="s">
        <v>6452</v>
      </c>
      <c r="I1799" s="2" t="s">
        <v>4604</v>
      </c>
      <c r="J1799" s="2" t="s">
        <v>113</v>
      </c>
      <c r="K1799" s="2" t="s">
        <v>10</v>
      </c>
    </row>
    <row r="1800" spans="1:11" ht="55.2" hidden="1" x14ac:dyDescent="0.3">
      <c r="A1800" s="2" t="s">
        <v>4604</v>
      </c>
      <c r="B1800" s="2" t="s">
        <v>6453</v>
      </c>
      <c r="C1800" s="3">
        <v>38407</v>
      </c>
      <c r="D1800" s="1" t="s">
        <v>6454</v>
      </c>
      <c r="E1800" s="1" t="s">
        <v>6455</v>
      </c>
      <c r="F1800" s="2" t="s">
        <v>6430</v>
      </c>
      <c r="G1800" s="2" t="s">
        <v>80</v>
      </c>
      <c r="H1800" s="2" t="s">
        <v>6456</v>
      </c>
      <c r="I1800" s="2" t="s">
        <v>4604</v>
      </c>
      <c r="J1800" s="2" t="s">
        <v>6457</v>
      </c>
      <c r="K1800" s="2" t="s">
        <v>10</v>
      </c>
    </row>
    <row r="1801" spans="1:11" ht="55.2" hidden="1" x14ac:dyDescent="0.3">
      <c r="A1801" s="2" t="s">
        <v>4604</v>
      </c>
      <c r="B1801" s="2" t="s">
        <v>6458</v>
      </c>
      <c r="C1801" s="3">
        <v>17726</v>
      </c>
      <c r="D1801" s="1" t="s">
        <v>6459</v>
      </c>
      <c r="E1801" s="1" t="s">
        <v>6460</v>
      </c>
      <c r="F1801" s="2" t="s">
        <v>5969</v>
      </c>
      <c r="G1801" s="2" t="s">
        <v>217</v>
      </c>
      <c r="H1801" s="2" t="s">
        <v>6461</v>
      </c>
      <c r="I1801" s="2" t="s">
        <v>4604</v>
      </c>
      <c r="J1801" s="2" t="s">
        <v>412</v>
      </c>
      <c r="K1801" s="2" t="s">
        <v>10</v>
      </c>
    </row>
    <row r="1802" spans="1:11" ht="55.2" hidden="1" x14ac:dyDescent="0.3">
      <c r="A1802" s="2" t="s">
        <v>4604</v>
      </c>
      <c r="B1802" s="2" t="s">
        <v>6462</v>
      </c>
      <c r="C1802" s="3">
        <v>38544</v>
      </c>
      <c r="D1802" s="1" t="s">
        <v>5715</v>
      </c>
      <c r="E1802" s="1" t="s">
        <v>6463</v>
      </c>
      <c r="F1802" s="2" t="s">
        <v>5969</v>
      </c>
      <c r="G1802" s="2" t="s">
        <v>124</v>
      </c>
      <c r="H1802" s="2" t="s">
        <v>6464</v>
      </c>
      <c r="I1802" s="2" t="s">
        <v>4604</v>
      </c>
      <c r="J1802" s="2" t="s">
        <v>3270</v>
      </c>
      <c r="K1802" s="2" t="s">
        <v>10</v>
      </c>
    </row>
    <row r="1803" spans="1:11" ht="55.2" hidden="1" x14ac:dyDescent="0.3">
      <c r="A1803" s="2" t="s">
        <v>4604</v>
      </c>
      <c r="B1803" s="2" t="s">
        <v>6465</v>
      </c>
      <c r="C1803" s="3">
        <v>19944</v>
      </c>
      <c r="D1803" s="1" t="s">
        <v>6466</v>
      </c>
      <c r="E1803" s="1" t="s">
        <v>6467</v>
      </c>
      <c r="F1803" s="2" t="s">
        <v>5969</v>
      </c>
      <c r="G1803" s="2" t="s">
        <v>206</v>
      </c>
      <c r="H1803" s="2" t="s">
        <v>6468</v>
      </c>
      <c r="I1803" s="2" t="s">
        <v>4604</v>
      </c>
      <c r="J1803" s="2" t="s">
        <v>434</v>
      </c>
      <c r="K1803" s="2" t="s">
        <v>10</v>
      </c>
    </row>
    <row r="1804" spans="1:11" ht="55.2" hidden="1" x14ac:dyDescent="0.3">
      <c r="A1804" s="2" t="s">
        <v>4604</v>
      </c>
      <c r="B1804" s="2" t="s">
        <v>6469</v>
      </c>
      <c r="C1804" s="3">
        <v>27804</v>
      </c>
      <c r="D1804" s="1" t="s">
        <v>6470</v>
      </c>
      <c r="E1804" s="1" t="s">
        <v>6471</v>
      </c>
      <c r="F1804" s="2" t="s">
        <v>5668</v>
      </c>
      <c r="G1804" s="2" t="s">
        <v>196</v>
      </c>
      <c r="H1804" s="2" t="s">
        <v>6472</v>
      </c>
      <c r="I1804" s="2" t="s">
        <v>4604</v>
      </c>
      <c r="J1804" s="2" t="s">
        <v>367</v>
      </c>
      <c r="K1804" s="2" t="s">
        <v>10</v>
      </c>
    </row>
    <row r="1805" spans="1:11" ht="55.2" hidden="1" x14ac:dyDescent="0.3">
      <c r="A1805" s="2" t="s">
        <v>4604</v>
      </c>
      <c r="B1805" s="2" t="s">
        <v>6473</v>
      </c>
      <c r="C1805" s="3">
        <v>32271</v>
      </c>
      <c r="D1805" s="1" t="s">
        <v>6474</v>
      </c>
      <c r="E1805" s="1" t="s">
        <v>6475</v>
      </c>
      <c r="F1805" s="2" t="s">
        <v>5969</v>
      </c>
      <c r="G1805" s="2" t="s">
        <v>157</v>
      </c>
      <c r="H1805" s="2" t="s">
        <v>6023</v>
      </c>
      <c r="I1805" s="2" t="s">
        <v>4604</v>
      </c>
      <c r="J1805" s="2" t="s">
        <v>119</v>
      </c>
      <c r="K1805" s="2" t="s">
        <v>10</v>
      </c>
    </row>
    <row r="1806" spans="1:11" ht="27.6" hidden="1" x14ac:dyDescent="0.3">
      <c r="A1806" s="2" t="s">
        <v>4386</v>
      </c>
      <c r="B1806" s="2" t="s">
        <v>6476</v>
      </c>
      <c r="C1806" s="3">
        <v>28348</v>
      </c>
      <c r="D1806" s="1" t="s">
        <v>6477</v>
      </c>
      <c r="E1806" s="1" t="s">
        <v>6478</v>
      </c>
      <c r="F1806" s="2" t="s">
        <v>6212</v>
      </c>
      <c r="G1806" s="2" t="s">
        <v>6479</v>
      </c>
      <c r="H1806" s="2" t="s">
        <v>103</v>
      </c>
      <c r="I1806" s="2" t="s">
        <v>4386</v>
      </c>
      <c r="J1806" s="2" t="s">
        <v>6480</v>
      </c>
      <c r="K1806" s="2" t="s">
        <v>10</v>
      </c>
    </row>
    <row r="1807" spans="1:11" ht="27.6" hidden="1" x14ac:dyDescent="0.3">
      <c r="A1807" s="2" t="s">
        <v>4386</v>
      </c>
      <c r="B1807" s="2" t="s">
        <v>6481</v>
      </c>
      <c r="C1807" s="3">
        <v>31528</v>
      </c>
      <c r="D1807" s="1" t="s">
        <v>6482</v>
      </c>
      <c r="E1807" s="1" t="s">
        <v>6483</v>
      </c>
      <c r="F1807" s="2" t="s">
        <v>5091</v>
      </c>
      <c r="G1807" s="2" t="s">
        <v>6484</v>
      </c>
      <c r="H1807" s="2" t="s">
        <v>103</v>
      </c>
      <c r="I1807" s="2" t="s">
        <v>4386</v>
      </c>
      <c r="J1807" s="2" t="s">
        <v>6485</v>
      </c>
      <c r="K1807" s="2" t="s">
        <v>10</v>
      </c>
    </row>
    <row r="1808" spans="1:11" ht="27.6" hidden="1" x14ac:dyDescent="0.3">
      <c r="A1808" s="2" t="s">
        <v>4386</v>
      </c>
      <c r="B1808" s="2" t="s">
        <v>6486</v>
      </c>
      <c r="C1808" s="3">
        <v>30078</v>
      </c>
      <c r="D1808" s="1" t="s">
        <v>6487</v>
      </c>
      <c r="E1808" s="1" t="s">
        <v>6488</v>
      </c>
      <c r="F1808" s="2" t="s">
        <v>4555</v>
      </c>
      <c r="G1808" s="2" t="s">
        <v>6489</v>
      </c>
      <c r="H1808" s="2" t="s">
        <v>103</v>
      </c>
      <c r="I1808" s="2" t="s">
        <v>4386</v>
      </c>
      <c r="J1808" s="2" t="s">
        <v>6490</v>
      </c>
      <c r="K1808" s="2" t="s">
        <v>10</v>
      </c>
    </row>
    <row r="1809" spans="1:11" ht="27.6" hidden="1" x14ac:dyDescent="0.3">
      <c r="A1809" s="2" t="s">
        <v>4386</v>
      </c>
      <c r="B1809" s="2" t="s">
        <v>6491</v>
      </c>
      <c r="C1809" s="3">
        <v>28894</v>
      </c>
      <c r="D1809" s="1" t="s">
        <v>6492</v>
      </c>
      <c r="E1809" s="1" t="s">
        <v>6493</v>
      </c>
      <c r="F1809" s="2" t="s">
        <v>4555</v>
      </c>
      <c r="G1809" s="2" t="s">
        <v>6489</v>
      </c>
      <c r="H1809" s="2" t="s">
        <v>81</v>
      </c>
      <c r="I1809" s="2" t="s">
        <v>4386</v>
      </c>
      <c r="J1809" s="2" t="s">
        <v>6494</v>
      </c>
      <c r="K1809" s="2" t="s">
        <v>10</v>
      </c>
    </row>
    <row r="1810" spans="1:11" ht="27.6" hidden="1" x14ac:dyDescent="0.3">
      <c r="A1810" s="2" t="s">
        <v>4386</v>
      </c>
      <c r="B1810" s="2" t="s">
        <v>6495</v>
      </c>
      <c r="C1810" s="3">
        <v>26069</v>
      </c>
      <c r="D1810" s="1" t="s">
        <v>6496</v>
      </c>
      <c r="E1810" s="1" t="s">
        <v>6497</v>
      </c>
      <c r="F1810" s="2" t="s">
        <v>5053</v>
      </c>
      <c r="G1810" s="2" t="s">
        <v>987</v>
      </c>
      <c r="H1810" s="2" t="s">
        <v>10</v>
      </c>
      <c r="I1810" s="2" t="s">
        <v>4386</v>
      </c>
      <c r="J1810" s="2" t="s">
        <v>6498</v>
      </c>
      <c r="K1810" s="2" t="s">
        <v>10</v>
      </c>
    </row>
    <row r="1811" spans="1:11" ht="27.6" hidden="1" x14ac:dyDescent="0.3">
      <c r="A1811" s="2" t="s">
        <v>4386</v>
      </c>
      <c r="B1811" s="2" t="s">
        <v>6499</v>
      </c>
      <c r="C1811" s="3">
        <v>27594</v>
      </c>
      <c r="D1811" s="1" t="s">
        <v>6500</v>
      </c>
      <c r="E1811" s="1" t="s">
        <v>6501</v>
      </c>
      <c r="F1811" s="2" t="s">
        <v>5091</v>
      </c>
      <c r="G1811" s="2" t="s">
        <v>5151</v>
      </c>
      <c r="H1811" s="2" t="s">
        <v>81</v>
      </c>
      <c r="I1811" s="2" t="s">
        <v>4386</v>
      </c>
      <c r="J1811" s="2" t="s">
        <v>6502</v>
      </c>
      <c r="K1811" s="2" t="s">
        <v>10</v>
      </c>
    </row>
    <row r="1812" spans="1:11" ht="27.6" hidden="1" x14ac:dyDescent="0.3">
      <c r="A1812" s="2" t="s">
        <v>4386</v>
      </c>
      <c r="B1812" s="2" t="s">
        <v>6503</v>
      </c>
      <c r="C1812" s="3">
        <v>30197</v>
      </c>
      <c r="D1812" s="1" t="s">
        <v>6504</v>
      </c>
      <c r="E1812" s="1" t="s">
        <v>6505</v>
      </c>
      <c r="F1812" s="2" t="s">
        <v>4555</v>
      </c>
      <c r="G1812" s="2" t="s">
        <v>380</v>
      </c>
      <c r="H1812" s="2" t="s">
        <v>10</v>
      </c>
      <c r="I1812" s="2" t="s">
        <v>4386</v>
      </c>
      <c r="J1812" s="2" t="s">
        <v>744</v>
      </c>
      <c r="K1812" s="2" t="s">
        <v>10</v>
      </c>
    </row>
    <row r="1813" spans="1:11" ht="27.6" hidden="1" x14ac:dyDescent="0.3">
      <c r="A1813" s="2" t="s">
        <v>11</v>
      </c>
      <c r="B1813" s="2" t="s">
        <v>6506</v>
      </c>
      <c r="C1813" s="3">
        <v>38555</v>
      </c>
      <c r="D1813" s="1" t="s">
        <v>6507</v>
      </c>
      <c r="E1813" s="1" t="s">
        <v>6508</v>
      </c>
      <c r="F1813" s="2" t="s">
        <v>36</v>
      </c>
      <c r="G1813" s="2" t="s">
        <v>48</v>
      </c>
      <c r="H1813" s="2" t="s">
        <v>43</v>
      </c>
      <c r="I1813" s="2" t="s">
        <v>11</v>
      </c>
      <c r="J1813" s="2" t="s">
        <v>6509</v>
      </c>
      <c r="K1813" s="2" t="s">
        <v>10</v>
      </c>
    </row>
    <row r="1814" spans="1:11" ht="27.6" hidden="1" x14ac:dyDescent="0.3">
      <c r="A1814" s="2" t="s">
        <v>4386</v>
      </c>
      <c r="B1814" s="2" t="s">
        <v>6510</v>
      </c>
      <c r="C1814" s="3">
        <v>25178</v>
      </c>
      <c r="D1814" s="1" t="s">
        <v>6511</v>
      </c>
      <c r="E1814" s="1" t="s">
        <v>6512</v>
      </c>
      <c r="F1814" s="2" t="s">
        <v>6095</v>
      </c>
      <c r="G1814" s="2" t="s">
        <v>385</v>
      </c>
      <c r="H1814" s="2" t="s">
        <v>334</v>
      </c>
      <c r="I1814" s="2" t="s">
        <v>4386</v>
      </c>
      <c r="J1814" s="2" t="s">
        <v>913</v>
      </c>
      <c r="K1814" s="2" t="s">
        <v>10</v>
      </c>
    </row>
    <row r="1815" spans="1:11" ht="27.6" hidden="1" x14ac:dyDescent="0.3">
      <c r="A1815" s="2" t="s">
        <v>4386</v>
      </c>
      <c r="B1815" s="2" t="s">
        <v>6513</v>
      </c>
      <c r="C1815" s="3">
        <v>19374</v>
      </c>
      <c r="D1815" s="1" t="s">
        <v>6514</v>
      </c>
      <c r="E1815" s="1" t="s">
        <v>6515</v>
      </c>
      <c r="F1815" s="2" t="s">
        <v>6095</v>
      </c>
      <c r="G1815" s="2" t="s">
        <v>385</v>
      </c>
      <c r="H1815" s="2" t="s">
        <v>81</v>
      </c>
      <c r="I1815" s="2" t="s">
        <v>4386</v>
      </c>
      <c r="J1815" s="2" t="s">
        <v>913</v>
      </c>
      <c r="K1815" s="2" t="s">
        <v>10</v>
      </c>
    </row>
    <row r="1816" spans="1:11" ht="27.6" hidden="1" x14ac:dyDescent="0.3">
      <c r="A1816" s="2" t="s">
        <v>4386</v>
      </c>
      <c r="B1816" s="2" t="s">
        <v>6516</v>
      </c>
      <c r="C1816" s="3">
        <v>22383</v>
      </c>
      <c r="D1816" s="1" t="s">
        <v>6517</v>
      </c>
      <c r="E1816" s="1" t="s">
        <v>6518</v>
      </c>
      <c r="F1816" s="2" t="s">
        <v>4396</v>
      </c>
      <c r="G1816" s="2" t="s">
        <v>5925</v>
      </c>
      <c r="H1816" s="2" t="s">
        <v>10</v>
      </c>
      <c r="I1816" s="2" t="s">
        <v>4386</v>
      </c>
      <c r="J1816" s="2" t="s">
        <v>6519</v>
      </c>
      <c r="K1816" s="2" t="s">
        <v>10</v>
      </c>
    </row>
    <row r="1817" spans="1:11" ht="27.6" hidden="1" x14ac:dyDescent="0.3">
      <c r="A1817" s="2" t="s">
        <v>4386</v>
      </c>
      <c r="B1817" s="2" t="s">
        <v>6520</v>
      </c>
      <c r="C1817" s="3">
        <v>34265</v>
      </c>
      <c r="D1817" s="1" t="s">
        <v>6521</v>
      </c>
      <c r="E1817" s="1" t="s">
        <v>6522</v>
      </c>
      <c r="F1817" s="2" t="s">
        <v>6086</v>
      </c>
      <c r="G1817" s="2" t="s">
        <v>31</v>
      </c>
      <c r="H1817" s="2" t="s">
        <v>10</v>
      </c>
      <c r="I1817" s="2" t="s">
        <v>4386</v>
      </c>
      <c r="J1817" s="2" t="s">
        <v>684</v>
      </c>
      <c r="K1817" s="2" t="s">
        <v>10</v>
      </c>
    </row>
    <row r="1818" spans="1:11" ht="27.6" hidden="1" x14ac:dyDescent="0.3">
      <c r="A1818" s="2" t="s">
        <v>4386</v>
      </c>
      <c r="B1818" s="2" t="s">
        <v>6523</v>
      </c>
      <c r="C1818" s="3">
        <v>38164</v>
      </c>
      <c r="D1818" s="1" t="s">
        <v>6524</v>
      </c>
      <c r="E1818" s="1" t="s">
        <v>6525</v>
      </c>
      <c r="F1818" s="2" t="s">
        <v>6086</v>
      </c>
      <c r="G1818" s="2" t="s">
        <v>92</v>
      </c>
      <c r="H1818" s="2" t="s">
        <v>10</v>
      </c>
      <c r="I1818" s="2" t="s">
        <v>4386</v>
      </c>
      <c r="J1818" s="2" t="s">
        <v>544</v>
      </c>
      <c r="K1818" s="2" t="s">
        <v>10</v>
      </c>
    </row>
    <row r="1819" spans="1:11" ht="27.6" hidden="1" x14ac:dyDescent="0.3">
      <c r="A1819" s="2" t="s">
        <v>4386</v>
      </c>
      <c r="B1819" s="2" t="s">
        <v>6526</v>
      </c>
      <c r="C1819" s="3">
        <v>31502</v>
      </c>
      <c r="D1819" s="1" t="s">
        <v>6527</v>
      </c>
      <c r="E1819" s="1" t="s">
        <v>6528</v>
      </c>
      <c r="F1819" s="2" t="s">
        <v>6529</v>
      </c>
      <c r="G1819" s="2" t="s">
        <v>283</v>
      </c>
      <c r="H1819" s="2" t="s">
        <v>81</v>
      </c>
      <c r="I1819" s="2" t="s">
        <v>4386</v>
      </c>
      <c r="J1819" s="2" t="s">
        <v>284</v>
      </c>
      <c r="K1819" s="2" t="s">
        <v>10</v>
      </c>
    </row>
    <row r="1820" spans="1:11" ht="27.6" hidden="1" x14ac:dyDescent="0.3">
      <c r="A1820" s="2" t="s">
        <v>4386</v>
      </c>
      <c r="B1820" s="2" t="s">
        <v>6530</v>
      </c>
      <c r="C1820" s="3">
        <v>32237</v>
      </c>
      <c r="D1820" s="1" t="s">
        <v>6531</v>
      </c>
      <c r="E1820" s="1" t="s">
        <v>6532</v>
      </c>
      <c r="F1820" s="2" t="s">
        <v>6529</v>
      </c>
      <c r="G1820" s="2" t="s">
        <v>283</v>
      </c>
      <c r="H1820" s="2" t="s">
        <v>103</v>
      </c>
      <c r="I1820" s="2" t="s">
        <v>4386</v>
      </c>
      <c r="J1820" s="2" t="s">
        <v>284</v>
      </c>
      <c r="K1820" s="2" t="s">
        <v>10</v>
      </c>
    </row>
    <row r="1821" spans="1:11" ht="27.6" hidden="1" x14ac:dyDescent="0.3">
      <c r="A1821" s="2" t="s">
        <v>4386</v>
      </c>
      <c r="B1821" s="2" t="s">
        <v>6533</v>
      </c>
      <c r="C1821" s="3">
        <v>33092</v>
      </c>
      <c r="D1821" s="1" t="s">
        <v>6534</v>
      </c>
      <c r="E1821" s="1" t="s">
        <v>6535</v>
      </c>
      <c r="F1821" s="2" t="s">
        <v>6529</v>
      </c>
      <c r="G1821" s="2" t="s">
        <v>604</v>
      </c>
      <c r="H1821" s="2" t="s">
        <v>10</v>
      </c>
      <c r="I1821" s="2" t="s">
        <v>4386</v>
      </c>
      <c r="J1821" s="2" t="s">
        <v>605</v>
      </c>
      <c r="K1821" s="2" t="s">
        <v>10</v>
      </c>
    </row>
    <row r="1822" spans="1:11" ht="27.6" hidden="1" x14ac:dyDescent="0.3">
      <c r="A1822" s="2" t="s">
        <v>4386</v>
      </c>
      <c r="B1822" s="2" t="s">
        <v>6536</v>
      </c>
      <c r="C1822" s="3">
        <v>35434</v>
      </c>
      <c r="D1822" s="1" t="s">
        <v>6537</v>
      </c>
      <c r="E1822" s="1" t="s">
        <v>4395</v>
      </c>
      <c r="F1822" s="2" t="s">
        <v>6529</v>
      </c>
      <c r="G1822" s="2" t="s">
        <v>333</v>
      </c>
      <c r="H1822" s="2" t="s">
        <v>10</v>
      </c>
      <c r="I1822" s="2" t="s">
        <v>4386</v>
      </c>
      <c r="J1822" s="2" t="s">
        <v>1059</v>
      </c>
      <c r="K1822" s="2" t="s">
        <v>10</v>
      </c>
    </row>
    <row r="1823" spans="1:11" ht="27.6" hidden="1" x14ac:dyDescent="0.3">
      <c r="A1823" s="2" t="s">
        <v>4386</v>
      </c>
      <c r="B1823" s="2" t="s">
        <v>6538</v>
      </c>
      <c r="C1823" s="3">
        <v>32780</v>
      </c>
      <c r="D1823" s="1" t="s">
        <v>6539</v>
      </c>
      <c r="E1823" s="1" t="s">
        <v>6540</v>
      </c>
      <c r="F1823" s="2" t="s">
        <v>6529</v>
      </c>
      <c r="G1823" s="2" t="s">
        <v>288</v>
      </c>
      <c r="H1823" s="2" t="s">
        <v>10</v>
      </c>
      <c r="I1823" s="2" t="s">
        <v>4386</v>
      </c>
      <c r="J1823" s="2" t="s">
        <v>6541</v>
      </c>
      <c r="K1823" s="2" t="s">
        <v>10</v>
      </c>
    </row>
    <row r="1824" spans="1:11" ht="27.6" hidden="1" x14ac:dyDescent="0.3">
      <c r="A1824" s="2" t="s">
        <v>60</v>
      </c>
      <c r="B1824" s="2" t="s">
        <v>6542</v>
      </c>
      <c r="C1824" s="3">
        <v>29680</v>
      </c>
      <c r="D1824" s="1" t="s">
        <v>6543</v>
      </c>
      <c r="E1824" s="1" t="s">
        <v>6544</v>
      </c>
      <c r="F1824" s="2" t="s">
        <v>60</v>
      </c>
      <c r="G1824" s="2" t="s">
        <v>2283</v>
      </c>
      <c r="H1824" s="2" t="s">
        <v>103</v>
      </c>
      <c r="I1824" s="2" t="s">
        <v>60</v>
      </c>
      <c r="J1824" s="2" t="s">
        <v>2284</v>
      </c>
      <c r="K1824" s="2" t="s">
        <v>10</v>
      </c>
    </row>
    <row r="1825" spans="1:11" ht="27.6" hidden="1" x14ac:dyDescent="0.3">
      <c r="A1825" s="2" t="s">
        <v>60</v>
      </c>
      <c r="B1825" s="2" t="s">
        <v>6545</v>
      </c>
      <c r="C1825" s="3">
        <v>35028</v>
      </c>
      <c r="D1825" s="1" t="s">
        <v>6546</v>
      </c>
      <c r="E1825" s="1" t="s">
        <v>6547</v>
      </c>
      <c r="F1825" s="2" t="s">
        <v>825</v>
      </c>
      <c r="G1825" s="2" t="s">
        <v>157</v>
      </c>
      <c r="H1825" s="2" t="s">
        <v>10</v>
      </c>
      <c r="I1825" s="2" t="s">
        <v>60</v>
      </c>
      <c r="J1825" s="2" t="s">
        <v>158</v>
      </c>
      <c r="K1825" s="2" t="s">
        <v>10</v>
      </c>
    </row>
    <row r="1826" spans="1:11" ht="27.6" hidden="1" x14ac:dyDescent="0.3">
      <c r="A1826" s="2" t="s">
        <v>60</v>
      </c>
      <c r="B1826" s="2" t="s">
        <v>6548</v>
      </c>
      <c r="C1826" s="3">
        <v>28388</v>
      </c>
      <c r="D1826" s="1" t="s">
        <v>6549</v>
      </c>
      <c r="E1826" s="1" t="s">
        <v>6550</v>
      </c>
      <c r="F1826" s="2" t="s">
        <v>60</v>
      </c>
      <c r="G1826" s="2" t="s">
        <v>6551</v>
      </c>
      <c r="H1826" s="2" t="s">
        <v>10</v>
      </c>
      <c r="I1826" s="2" t="s">
        <v>60</v>
      </c>
      <c r="J1826" s="2" t="s">
        <v>6552</v>
      </c>
      <c r="K1826" s="2" t="s">
        <v>10</v>
      </c>
    </row>
    <row r="1827" spans="1:11" ht="27.6" hidden="1" x14ac:dyDescent="0.3">
      <c r="A1827" s="2" t="s">
        <v>4386</v>
      </c>
      <c r="B1827" s="2" t="s">
        <v>6553</v>
      </c>
      <c r="C1827" s="3">
        <v>26483</v>
      </c>
      <c r="D1827" s="1" t="s">
        <v>6554</v>
      </c>
      <c r="E1827" s="1" t="s">
        <v>6555</v>
      </c>
      <c r="F1827" s="2" t="s">
        <v>6529</v>
      </c>
      <c r="G1827" s="2" t="s">
        <v>604</v>
      </c>
      <c r="H1827" s="2" t="s">
        <v>81</v>
      </c>
      <c r="I1827" s="2" t="s">
        <v>4386</v>
      </c>
      <c r="J1827" s="2" t="s">
        <v>605</v>
      </c>
      <c r="K1827" s="2" t="s">
        <v>10</v>
      </c>
    </row>
    <row r="1828" spans="1:11" ht="27.6" hidden="1" x14ac:dyDescent="0.3">
      <c r="A1828" s="2" t="s">
        <v>4386</v>
      </c>
      <c r="B1828" s="2" t="s">
        <v>6556</v>
      </c>
      <c r="C1828" s="3">
        <v>33900</v>
      </c>
      <c r="D1828" s="1" t="s">
        <v>6557</v>
      </c>
      <c r="E1828" s="1" t="s">
        <v>6558</v>
      </c>
      <c r="F1828" s="2" t="s">
        <v>4396</v>
      </c>
      <c r="G1828" s="2" t="s">
        <v>5915</v>
      </c>
      <c r="H1828" s="2" t="s">
        <v>103</v>
      </c>
      <c r="I1828" s="2" t="s">
        <v>4386</v>
      </c>
      <c r="J1828" s="2" t="s">
        <v>5916</v>
      </c>
      <c r="K1828" s="2" t="s">
        <v>10</v>
      </c>
    </row>
    <row r="1829" spans="1:11" ht="27.6" hidden="1" x14ac:dyDescent="0.3">
      <c r="A1829" s="2" t="s">
        <v>4386</v>
      </c>
      <c r="B1829" s="2" t="s">
        <v>6559</v>
      </c>
      <c r="C1829" s="3">
        <v>28496</v>
      </c>
      <c r="D1829" s="1" t="s">
        <v>6560</v>
      </c>
      <c r="E1829" s="1" t="s">
        <v>6561</v>
      </c>
      <c r="F1829" s="2" t="s">
        <v>6158</v>
      </c>
      <c r="G1829" s="2" t="s">
        <v>37</v>
      </c>
      <c r="H1829" s="2" t="s">
        <v>10</v>
      </c>
      <c r="I1829" s="2" t="s">
        <v>4386</v>
      </c>
      <c r="J1829" s="2" t="s">
        <v>6562</v>
      </c>
      <c r="K1829" s="2" t="s">
        <v>10</v>
      </c>
    </row>
    <row r="1830" spans="1:11" ht="27.6" hidden="1" x14ac:dyDescent="0.3">
      <c r="A1830" s="2" t="s">
        <v>4386</v>
      </c>
      <c r="B1830" s="2" t="s">
        <v>6563</v>
      </c>
      <c r="C1830" s="3">
        <v>27278</v>
      </c>
      <c r="D1830" s="1" t="s">
        <v>6564</v>
      </c>
      <c r="E1830" s="1" t="s">
        <v>6565</v>
      </c>
      <c r="F1830" s="2" t="s">
        <v>6158</v>
      </c>
      <c r="G1830" s="2" t="s">
        <v>511</v>
      </c>
      <c r="H1830" s="2" t="s">
        <v>10</v>
      </c>
      <c r="I1830" s="2" t="s">
        <v>4386</v>
      </c>
      <c r="J1830" s="2" t="s">
        <v>6184</v>
      </c>
      <c r="K1830" s="2" t="s">
        <v>10</v>
      </c>
    </row>
    <row r="1831" spans="1:11" ht="27.6" hidden="1" x14ac:dyDescent="0.3">
      <c r="A1831" s="2" t="s">
        <v>4386</v>
      </c>
      <c r="B1831" s="2" t="s">
        <v>6566</v>
      </c>
      <c r="C1831" s="3">
        <v>34186</v>
      </c>
      <c r="D1831" s="1" t="s">
        <v>6567</v>
      </c>
      <c r="E1831" s="1" t="s">
        <v>6568</v>
      </c>
      <c r="F1831" s="2" t="s">
        <v>5618</v>
      </c>
      <c r="G1831" s="2" t="s">
        <v>4473</v>
      </c>
      <c r="H1831" s="2" t="s">
        <v>3065</v>
      </c>
      <c r="I1831" s="2" t="s">
        <v>4386</v>
      </c>
      <c r="J1831" s="2" t="s">
        <v>4474</v>
      </c>
      <c r="K1831" s="2" t="s">
        <v>10</v>
      </c>
    </row>
    <row r="1832" spans="1:11" ht="27.6" hidden="1" x14ac:dyDescent="0.3">
      <c r="A1832" s="2" t="s">
        <v>4386</v>
      </c>
      <c r="B1832" s="2" t="s">
        <v>6569</v>
      </c>
      <c r="C1832" s="3">
        <v>22343</v>
      </c>
      <c r="D1832" s="1" t="s">
        <v>6570</v>
      </c>
      <c r="E1832" s="1" t="s">
        <v>6571</v>
      </c>
      <c r="F1832" s="2" t="s">
        <v>5053</v>
      </c>
      <c r="G1832" s="2" t="s">
        <v>2566</v>
      </c>
      <c r="H1832" s="2" t="s">
        <v>10</v>
      </c>
      <c r="I1832" s="2" t="s">
        <v>4386</v>
      </c>
      <c r="J1832" s="2" t="s">
        <v>2572</v>
      </c>
      <c r="K1832" s="2" t="s">
        <v>10</v>
      </c>
    </row>
    <row r="1833" spans="1:11" ht="27.6" hidden="1" x14ac:dyDescent="0.3">
      <c r="A1833" s="2" t="s">
        <v>4386</v>
      </c>
      <c r="B1833" s="2" t="s">
        <v>6572</v>
      </c>
      <c r="C1833" s="3">
        <v>37475</v>
      </c>
      <c r="D1833" s="1" t="s">
        <v>6573</v>
      </c>
      <c r="E1833" s="1" t="s">
        <v>6574</v>
      </c>
      <c r="F1833" s="2" t="s">
        <v>5053</v>
      </c>
      <c r="G1833" s="2" t="s">
        <v>734</v>
      </c>
      <c r="H1833" s="2" t="s">
        <v>562</v>
      </c>
      <c r="I1833" s="2" t="s">
        <v>4386</v>
      </c>
      <c r="J1833" s="2" t="s">
        <v>3274</v>
      </c>
      <c r="K1833" s="2" t="s">
        <v>10</v>
      </c>
    </row>
    <row r="1834" spans="1:11" ht="27.6" hidden="1" x14ac:dyDescent="0.3">
      <c r="A1834" s="2" t="s">
        <v>4386</v>
      </c>
      <c r="B1834" s="2" t="s">
        <v>6575</v>
      </c>
      <c r="C1834" s="3">
        <v>27509</v>
      </c>
      <c r="D1834" s="1" t="s">
        <v>6576</v>
      </c>
      <c r="E1834" s="1" t="s">
        <v>6577</v>
      </c>
      <c r="F1834" s="2" t="s">
        <v>5053</v>
      </c>
      <c r="G1834" s="2" t="s">
        <v>734</v>
      </c>
      <c r="H1834" s="2" t="s">
        <v>103</v>
      </c>
      <c r="I1834" s="2" t="s">
        <v>4386</v>
      </c>
      <c r="J1834" s="2" t="s">
        <v>3274</v>
      </c>
      <c r="K1834" s="2" t="s">
        <v>10</v>
      </c>
    </row>
    <row r="1835" spans="1:11" ht="27.6" hidden="1" x14ac:dyDescent="0.3">
      <c r="A1835" s="2" t="s">
        <v>4386</v>
      </c>
      <c r="B1835" s="2" t="s">
        <v>6578</v>
      </c>
      <c r="C1835" s="3">
        <v>29815</v>
      </c>
      <c r="D1835" s="1" t="s">
        <v>6579</v>
      </c>
      <c r="E1835" s="1" t="s">
        <v>6580</v>
      </c>
      <c r="F1835" s="2" t="s">
        <v>5053</v>
      </c>
      <c r="G1835" s="2" t="s">
        <v>734</v>
      </c>
      <c r="H1835" s="2" t="s">
        <v>81</v>
      </c>
      <c r="I1835" s="2" t="s">
        <v>4386</v>
      </c>
      <c r="J1835" s="2" t="s">
        <v>3274</v>
      </c>
      <c r="K1835" s="2" t="s">
        <v>10</v>
      </c>
    </row>
    <row r="1836" spans="1:11" ht="27.6" hidden="1" x14ac:dyDescent="0.3">
      <c r="A1836" s="2" t="s">
        <v>4386</v>
      </c>
      <c r="B1836" s="2" t="s">
        <v>6581</v>
      </c>
      <c r="C1836" s="3">
        <v>28877</v>
      </c>
      <c r="D1836" s="1" t="s">
        <v>6582</v>
      </c>
      <c r="E1836" s="1" t="s">
        <v>6583</v>
      </c>
      <c r="F1836" s="2" t="s">
        <v>5053</v>
      </c>
      <c r="G1836" s="2" t="s">
        <v>1316</v>
      </c>
      <c r="H1836" s="2" t="s">
        <v>10</v>
      </c>
      <c r="I1836" s="2" t="s">
        <v>4386</v>
      </c>
      <c r="J1836" s="2" t="s">
        <v>6584</v>
      </c>
      <c r="K1836" s="2" t="s">
        <v>10</v>
      </c>
    </row>
    <row r="1837" spans="1:11" ht="27.6" hidden="1" x14ac:dyDescent="0.3">
      <c r="A1837" s="2" t="s">
        <v>4386</v>
      </c>
      <c r="B1837" s="2" t="s">
        <v>6585</v>
      </c>
      <c r="C1837" s="3">
        <v>20739</v>
      </c>
      <c r="D1837" s="1" t="s">
        <v>6586</v>
      </c>
      <c r="E1837" s="1" t="s">
        <v>6587</v>
      </c>
      <c r="F1837" s="2" t="s">
        <v>5053</v>
      </c>
      <c r="G1837" s="2" t="s">
        <v>6588</v>
      </c>
      <c r="H1837" s="2" t="s">
        <v>103</v>
      </c>
      <c r="I1837" s="2" t="s">
        <v>4386</v>
      </c>
      <c r="J1837" s="2" t="s">
        <v>6589</v>
      </c>
      <c r="K1837" s="2" t="s">
        <v>10</v>
      </c>
    </row>
    <row r="1838" spans="1:11" ht="27.6" hidden="1" x14ac:dyDescent="0.3">
      <c r="A1838" s="2" t="s">
        <v>4386</v>
      </c>
      <c r="B1838" s="2" t="s">
        <v>6590</v>
      </c>
      <c r="C1838" s="3">
        <v>34723</v>
      </c>
      <c r="D1838" s="1" t="s">
        <v>6591</v>
      </c>
      <c r="E1838" s="1" t="s">
        <v>6592</v>
      </c>
      <c r="F1838" s="2" t="s">
        <v>5053</v>
      </c>
      <c r="G1838" s="2" t="s">
        <v>6588</v>
      </c>
      <c r="H1838" s="2" t="s">
        <v>81</v>
      </c>
      <c r="I1838" s="2" t="s">
        <v>4386</v>
      </c>
      <c r="J1838" s="2" t="s">
        <v>6589</v>
      </c>
      <c r="K1838" s="2" t="s">
        <v>10</v>
      </c>
    </row>
    <row r="1839" spans="1:11" ht="27.6" hidden="1" x14ac:dyDescent="0.3">
      <c r="A1839" s="2" t="s">
        <v>4386</v>
      </c>
      <c r="B1839" s="2" t="s">
        <v>6593</v>
      </c>
      <c r="C1839" s="3">
        <v>27536</v>
      </c>
      <c r="D1839" s="1" t="s">
        <v>6594</v>
      </c>
      <c r="E1839" s="1" t="s">
        <v>6595</v>
      </c>
      <c r="F1839" s="2" t="s">
        <v>5053</v>
      </c>
      <c r="G1839" s="2" t="s">
        <v>64</v>
      </c>
      <c r="H1839" s="2" t="s">
        <v>10</v>
      </c>
      <c r="I1839" s="2" t="s">
        <v>4386</v>
      </c>
      <c r="J1839" s="2" t="s">
        <v>6596</v>
      </c>
      <c r="K1839" s="2" t="s">
        <v>10</v>
      </c>
    </row>
    <row r="1840" spans="1:11" ht="27.6" hidden="1" x14ac:dyDescent="0.3">
      <c r="A1840" s="2" t="s">
        <v>4386</v>
      </c>
      <c r="B1840" s="2" t="s">
        <v>6597</v>
      </c>
      <c r="C1840" s="3">
        <v>24476</v>
      </c>
      <c r="D1840" s="1" t="s">
        <v>6598</v>
      </c>
      <c r="E1840" s="1" t="s">
        <v>6599</v>
      </c>
      <c r="F1840" s="2" t="s">
        <v>5053</v>
      </c>
      <c r="G1840" s="2" t="s">
        <v>97</v>
      </c>
      <c r="H1840" s="2" t="s">
        <v>10</v>
      </c>
      <c r="I1840" s="2" t="s">
        <v>4386</v>
      </c>
      <c r="J1840" s="2" t="s">
        <v>6600</v>
      </c>
      <c r="K1840" s="2" t="s">
        <v>10</v>
      </c>
    </row>
    <row r="1841" spans="1:12" ht="27.6" hidden="1" x14ac:dyDescent="0.3">
      <c r="A1841" s="2" t="s">
        <v>4386</v>
      </c>
      <c r="B1841" s="2" t="s">
        <v>6601</v>
      </c>
      <c r="C1841" s="3">
        <v>23542</v>
      </c>
      <c r="D1841" s="1" t="s">
        <v>6602</v>
      </c>
      <c r="E1841" s="1" t="s">
        <v>6603</v>
      </c>
      <c r="F1841" s="2" t="s">
        <v>5053</v>
      </c>
      <c r="G1841" s="2" t="s">
        <v>3825</v>
      </c>
      <c r="H1841" s="2" t="s">
        <v>10</v>
      </c>
      <c r="I1841" s="2" t="s">
        <v>4386</v>
      </c>
      <c r="J1841" s="2" t="s">
        <v>6604</v>
      </c>
      <c r="K1841" s="2" t="s">
        <v>10</v>
      </c>
    </row>
    <row r="1842" spans="1:12" ht="27.6" hidden="1" x14ac:dyDescent="0.3">
      <c r="A1842" s="2" t="s">
        <v>4386</v>
      </c>
      <c r="B1842" s="2" t="s">
        <v>6605</v>
      </c>
      <c r="C1842" s="3">
        <v>27280</v>
      </c>
      <c r="D1842" s="1" t="s">
        <v>6606</v>
      </c>
      <c r="E1842" s="1" t="s">
        <v>6607</v>
      </c>
      <c r="F1842" s="2" t="s">
        <v>5053</v>
      </c>
      <c r="G1842" s="2" t="s">
        <v>3176</v>
      </c>
      <c r="H1842" s="2" t="s">
        <v>10</v>
      </c>
      <c r="I1842" s="2" t="s">
        <v>4386</v>
      </c>
      <c r="J1842" s="2" t="s">
        <v>3177</v>
      </c>
      <c r="K1842" s="2" t="s">
        <v>10</v>
      </c>
    </row>
    <row r="1843" spans="1:12" ht="27.6" hidden="1" x14ac:dyDescent="0.3">
      <c r="A1843" s="2" t="s">
        <v>4386</v>
      </c>
      <c r="B1843" s="2" t="s">
        <v>6608</v>
      </c>
      <c r="C1843" s="3">
        <v>27618</v>
      </c>
      <c r="D1843" s="1" t="s">
        <v>6609</v>
      </c>
      <c r="E1843" s="1" t="s">
        <v>6610</v>
      </c>
      <c r="F1843" s="2" t="s">
        <v>5053</v>
      </c>
      <c r="G1843" s="2" t="s">
        <v>2916</v>
      </c>
      <c r="H1843" s="2" t="s">
        <v>103</v>
      </c>
      <c r="I1843" s="2" t="s">
        <v>4386</v>
      </c>
      <c r="J1843" s="2" t="s">
        <v>3332</v>
      </c>
      <c r="K1843" s="2" t="s">
        <v>10</v>
      </c>
    </row>
    <row r="1844" spans="1:12" ht="27.6" hidden="1" x14ac:dyDescent="0.3">
      <c r="A1844" s="2" t="s">
        <v>4386</v>
      </c>
      <c r="B1844" s="2" t="s">
        <v>6611</v>
      </c>
      <c r="C1844" s="3">
        <v>28586</v>
      </c>
      <c r="D1844" s="1" t="s">
        <v>6612</v>
      </c>
      <c r="E1844" s="1" t="s">
        <v>6613</v>
      </c>
      <c r="F1844" s="2" t="s">
        <v>5053</v>
      </c>
      <c r="G1844" s="2" t="s">
        <v>2916</v>
      </c>
      <c r="H1844" s="2" t="s">
        <v>81</v>
      </c>
      <c r="I1844" s="2" t="s">
        <v>4386</v>
      </c>
      <c r="J1844" s="2" t="s">
        <v>6614</v>
      </c>
      <c r="K1844" s="2" t="s">
        <v>10</v>
      </c>
    </row>
    <row r="1845" spans="1:12" ht="27.6" hidden="1" x14ac:dyDescent="0.3">
      <c r="A1845" s="2" t="s">
        <v>4386</v>
      </c>
      <c r="B1845" s="2" t="s">
        <v>6615</v>
      </c>
      <c r="C1845" s="3">
        <v>24644</v>
      </c>
      <c r="D1845" s="1" t="s">
        <v>6616</v>
      </c>
      <c r="E1845" s="1" t="s">
        <v>6617</v>
      </c>
      <c r="F1845" s="2" t="s">
        <v>5053</v>
      </c>
      <c r="G1845" s="2" t="s">
        <v>2833</v>
      </c>
      <c r="H1845" s="2" t="s">
        <v>10</v>
      </c>
      <c r="I1845" s="2" t="s">
        <v>4386</v>
      </c>
      <c r="J1845" s="2" t="s">
        <v>6618</v>
      </c>
      <c r="K1845" s="2" t="s">
        <v>10</v>
      </c>
    </row>
    <row r="1846" spans="1:12" ht="27.6" hidden="1" x14ac:dyDescent="0.3">
      <c r="A1846" s="2" t="s">
        <v>4386</v>
      </c>
      <c r="B1846" s="2" t="s">
        <v>6619</v>
      </c>
      <c r="C1846" s="3">
        <v>29336</v>
      </c>
      <c r="D1846" s="1" t="s">
        <v>6620</v>
      </c>
      <c r="E1846" s="1" t="s">
        <v>6621</v>
      </c>
      <c r="F1846" s="2" t="s">
        <v>5053</v>
      </c>
      <c r="G1846" s="2" t="s">
        <v>3428</v>
      </c>
      <c r="H1846" s="2" t="s">
        <v>81</v>
      </c>
      <c r="I1846" s="2" t="s">
        <v>4386</v>
      </c>
      <c r="J1846" s="2" t="s">
        <v>3429</v>
      </c>
      <c r="K1846" s="2" t="s">
        <v>10</v>
      </c>
    </row>
    <row r="1847" spans="1:12" ht="27.6" hidden="1" x14ac:dyDescent="0.3">
      <c r="A1847" s="2" t="s">
        <v>4386</v>
      </c>
      <c r="B1847" s="2" t="s">
        <v>6622</v>
      </c>
      <c r="C1847" s="3">
        <v>35908</v>
      </c>
      <c r="D1847" s="1" t="s">
        <v>6623</v>
      </c>
      <c r="E1847" s="1" t="s">
        <v>6624</v>
      </c>
      <c r="F1847" s="2" t="s">
        <v>5053</v>
      </c>
      <c r="G1847" s="2" t="s">
        <v>3428</v>
      </c>
      <c r="H1847" s="2" t="s">
        <v>103</v>
      </c>
      <c r="I1847" s="2" t="s">
        <v>4386</v>
      </c>
      <c r="J1847" s="2" t="s">
        <v>3429</v>
      </c>
      <c r="K1847" s="2" t="s">
        <v>10</v>
      </c>
    </row>
    <row r="1848" spans="1:12" ht="27.6" hidden="1" x14ac:dyDescent="0.3">
      <c r="A1848" s="2" t="s">
        <v>60</v>
      </c>
      <c r="B1848" s="2" t="s">
        <v>6625</v>
      </c>
      <c r="C1848" s="3">
        <v>29243</v>
      </c>
      <c r="D1848" s="1" t="s">
        <v>6626</v>
      </c>
      <c r="E1848" s="1" t="s">
        <v>6627</v>
      </c>
      <c r="F1848" s="2" t="s">
        <v>60</v>
      </c>
      <c r="G1848" s="2" t="s">
        <v>1217</v>
      </c>
      <c r="H1848" s="2" t="s">
        <v>43</v>
      </c>
      <c r="I1848" s="2" t="s">
        <v>60</v>
      </c>
      <c r="J1848" s="2" t="s">
        <v>6628</v>
      </c>
      <c r="K1848" s="2" t="s">
        <v>10</v>
      </c>
    </row>
    <row r="1849" spans="1:12" ht="27.6" hidden="1" x14ac:dyDescent="0.3">
      <c r="A1849" s="2" t="s">
        <v>60</v>
      </c>
      <c r="B1849" s="2" t="s">
        <v>6629</v>
      </c>
      <c r="C1849" s="3">
        <v>37816</v>
      </c>
      <c r="D1849" s="1" t="s">
        <v>6630</v>
      </c>
      <c r="E1849" s="1" t="s">
        <v>6631</v>
      </c>
      <c r="F1849" s="2" t="s">
        <v>60</v>
      </c>
      <c r="G1849" s="2" t="s">
        <v>4916</v>
      </c>
      <c r="H1849" s="2" t="s">
        <v>43</v>
      </c>
      <c r="I1849" s="2" t="s">
        <v>60</v>
      </c>
      <c r="J1849" s="2" t="s">
        <v>5163</v>
      </c>
      <c r="K1849" s="2" t="s">
        <v>10</v>
      </c>
    </row>
    <row r="1850" spans="1:12" ht="27.6" hidden="1" x14ac:dyDescent="0.3">
      <c r="A1850" s="2" t="s">
        <v>4386</v>
      </c>
      <c r="B1850" s="2" t="s">
        <v>6632</v>
      </c>
      <c r="C1850" s="3">
        <v>34197</v>
      </c>
      <c r="D1850" s="1" t="s">
        <v>6633</v>
      </c>
      <c r="E1850" s="1" t="s">
        <v>6634</v>
      </c>
      <c r="F1850" s="2" t="s">
        <v>6212</v>
      </c>
      <c r="G1850" s="2" t="s">
        <v>6635</v>
      </c>
      <c r="H1850" s="2" t="s">
        <v>10</v>
      </c>
      <c r="I1850" s="2" t="s">
        <v>4386</v>
      </c>
      <c r="J1850" s="2" t="s">
        <v>6636</v>
      </c>
      <c r="K1850" s="2" t="s">
        <v>10</v>
      </c>
    </row>
    <row r="1851" spans="1:12" ht="27.6" hidden="1" x14ac:dyDescent="0.3">
      <c r="A1851" s="2" t="s">
        <v>60</v>
      </c>
      <c r="B1851" s="2" t="s">
        <v>6637</v>
      </c>
      <c r="C1851" s="3">
        <v>34465</v>
      </c>
      <c r="D1851" s="1" t="s">
        <v>6638</v>
      </c>
      <c r="E1851" s="1" t="s">
        <v>6639</v>
      </c>
      <c r="F1851" s="2" t="s">
        <v>60</v>
      </c>
      <c r="G1851" s="2" t="s">
        <v>4916</v>
      </c>
      <c r="H1851" s="2" t="s">
        <v>10</v>
      </c>
      <c r="I1851" s="2" t="s">
        <v>60</v>
      </c>
      <c r="J1851" s="2" t="s">
        <v>5163</v>
      </c>
      <c r="K1851" s="15" t="s">
        <v>10</v>
      </c>
    </row>
    <row r="1852" spans="1:12" ht="27.6" hidden="1" x14ac:dyDescent="0.3">
      <c r="A1852" s="2" t="s">
        <v>4386</v>
      </c>
      <c r="B1852" s="2" t="s">
        <v>6640</v>
      </c>
      <c r="C1852" s="3">
        <v>37638</v>
      </c>
      <c r="D1852" s="1" t="s">
        <v>6641</v>
      </c>
      <c r="E1852" s="1" t="s">
        <v>6642</v>
      </c>
      <c r="F1852" s="2" t="s">
        <v>5559</v>
      </c>
      <c r="G1852" s="2" t="s">
        <v>6643</v>
      </c>
      <c r="H1852" s="2" t="s">
        <v>10</v>
      </c>
      <c r="I1852" s="2" t="s">
        <v>4386</v>
      </c>
      <c r="J1852" s="2" t="s">
        <v>6644</v>
      </c>
      <c r="K1852" s="30" t="s">
        <v>13193</v>
      </c>
      <c r="L1852" s="6" t="s">
        <v>13194</v>
      </c>
    </row>
    <row r="1853" spans="1:12" ht="27.6" hidden="1" x14ac:dyDescent="0.3">
      <c r="A1853" s="2" t="s">
        <v>4386</v>
      </c>
      <c r="B1853" s="2" t="s">
        <v>6645</v>
      </c>
      <c r="C1853" s="3">
        <v>32596</v>
      </c>
      <c r="D1853" s="1" t="s">
        <v>6646</v>
      </c>
      <c r="E1853" s="1" t="s">
        <v>6647</v>
      </c>
      <c r="F1853" s="2" t="s">
        <v>5559</v>
      </c>
      <c r="G1853" s="2" t="s">
        <v>6648</v>
      </c>
      <c r="H1853" s="2" t="s">
        <v>103</v>
      </c>
      <c r="I1853" s="2" t="s">
        <v>4386</v>
      </c>
      <c r="J1853" s="2" t="s">
        <v>6649</v>
      </c>
      <c r="K1853" s="2" t="s">
        <v>10</v>
      </c>
      <c r="L1853" s="6"/>
    </row>
    <row r="1854" spans="1:12" ht="27.6" hidden="1" x14ac:dyDescent="0.3">
      <c r="A1854" s="2" t="s">
        <v>4386</v>
      </c>
      <c r="B1854" s="2" t="s">
        <v>6650</v>
      </c>
      <c r="C1854" s="3">
        <v>38761</v>
      </c>
      <c r="D1854" s="1" t="s">
        <v>6651</v>
      </c>
      <c r="E1854" s="1" t="s">
        <v>6652</v>
      </c>
      <c r="F1854" s="2" t="s">
        <v>5559</v>
      </c>
      <c r="G1854" s="2" t="s">
        <v>6648</v>
      </c>
      <c r="H1854" s="2" t="s">
        <v>81</v>
      </c>
      <c r="I1854" s="2" t="s">
        <v>4386</v>
      </c>
      <c r="J1854" s="2" t="s">
        <v>6649</v>
      </c>
      <c r="K1854" s="2" t="s">
        <v>10</v>
      </c>
      <c r="L1854" s="6"/>
    </row>
    <row r="1855" spans="1:12" ht="27.6" hidden="1" x14ac:dyDescent="0.3">
      <c r="A1855" s="2" t="s">
        <v>4386</v>
      </c>
      <c r="B1855" s="2" t="s">
        <v>6653</v>
      </c>
      <c r="C1855" s="3">
        <v>24627</v>
      </c>
      <c r="D1855" s="1" t="s">
        <v>6654</v>
      </c>
      <c r="E1855" s="1" t="s">
        <v>6655</v>
      </c>
      <c r="F1855" s="2" t="s">
        <v>6270</v>
      </c>
      <c r="G1855" s="2" t="s">
        <v>25</v>
      </c>
      <c r="H1855" s="2" t="s">
        <v>10</v>
      </c>
      <c r="I1855" s="2" t="s">
        <v>4386</v>
      </c>
      <c r="J1855" s="2" t="s">
        <v>6656</v>
      </c>
      <c r="K1855" s="43" t="s">
        <v>13193</v>
      </c>
      <c r="L1855" s="26" t="s">
        <v>13194</v>
      </c>
    </row>
    <row r="1856" spans="1:12" ht="27.6" hidden="1" x14ac:dyDescent="0.3">
      <c r="A1856" s="2" t="s">
        <v>4386</v>
      </c>
      <c r="B1856" s="2" t="s">
        <v>6657</v>
      </c>
      <c r="C1856" s="3">
        <v>30794</v>
      </c>
      <c r="D1856" s="1" t="s">
        <v>6658</v>
      </c>
      <c r="E1856" s="1" t="s">
        <v>6659</v>
      </c>
      <c r="F1856" s="2" t="s">
        <v>6270</v>
      </c>
      <c r="G1856" s="2" t="s">
        <v>152</v>
      </c>
      <c r="H1856" s="2" t="s">
        <v>10</v>
      </c>
      <c r="I1856" s="2" t="s">
        <v>4386</v>
      </c>
      <c r="J1856" s="2" t="s">
        <v>6660</v>
      </c>
      <c r="K1856" s="40" t="s">
        <v>13193</v>
      </c>
      <c r="L1856" s="6" t="s">
        <v>13194</v>
      </c>
    </row>
    <row r="1857" spans="1:12" ht="55.2" hidden="1" x14ac:dyDescent="0.3">
      <c r="A1857" s="2" t="s">
        <v>4604</v>
      </c>
      <c r="B1857" s="2" t="s">
        <v>6661</v>
      </c>
      <c r="C1857" s="3">
        <v>25118</v>
      </c>
      <c r="D1857" s="1" t="s">
        <v>442</v>
      </c>
      <c r="E1857" s="1" t="s">
        <v>6662</v>
      </c>
      <c r="F1857" s="2" t="s">
        <v>6663</v>
      </c>
      <c r="G1857" s="2" t="s">
        <v>86</v>
      </c>
      <c r="H1857" s="2" t="s">
        <v>6664</v>
      </c>
      <c r="I1857" s="2" t="s">
        <v>4604</v>
      </c>
      <c r="J1857" s="2" t="s">
        <v>3249</v>
      </c>
      <c r="K1857" s="2" t="s">
        <v>10</v>
      </c>
    </row>
    <row r="1858" spans="1:12" ht="55.2" hidden="1" x14ac:dyDescent="0.3">
      <c r="A1858" s="2" t="s">
        <v>4604</v>
      </c>
      <c r="B1858" s="2" t="s">
        <v>6665</v>
      </c>
      <c r="C1858" s="3">
        <v>22401</v>
      </c>
      <c r="D1858" s="1" t="s">
        <v>6666</v>
      </c>
      <c r="E1858" s="1" t="s">
        <v>6667</v>
      </c>
      <c r="F1858" s="2" t="s">
        <v>6663</v>
      </c>
      <c r="G1858" s="2" t="s">
        <v>80</v>
      </c>
      <c r="H1858" s="2" t="s">
        <v>6668</v>
      </c>
      <c r="I1858" s="2" t="s">
        <v>4604</v>
      </c>
      <c r="J1858" s="2" t="s">
        <v>1881</v>
      </c>
      <c r="K1858" s="2" t="s">
        <v>10</v>
      </c>
    </row>
    <row r="1859" spans="1:12" ht="55.2" hidden="1" x14ac:dyDescent="0.3">
      <c r="A1859" s="2" t="s">
        <v>4604</v>
      </c>
      <c r="B1859" s="2" t="s">
        <v>6669</v>
      </c>
      <c r="C1859" s="3">
        <v>28875</v>
      </c>
      <c r="D1859" s="1" t="s">
        <v>6670</v>
      </c>
      <c r="E1859" s="1" t="s">
        <v>6671</v>
      </c>
      <c r="F1859" s="2" t="s">
        <v>4608</v>
      </c>
      <c r="G1859" s="2" t="s">
        <v>1763</v>
      </c>
      <c r="H1859" s="2" t="s">
        <v>6672</v>
      </c>
      <c r="I1859" s="2" t="s">
        <v>4604</v>
      </c>
      <c r="J1859" s="2" t="s">
        <v>4972</v>
      </c>
      <c r="K1859" s="2" t="s">
        <v>10</v>
      </c>
    </row>
    <row r="1860" spans="1:12" ht="27.6" hidden="1" x14ac:dyDescent="0.3">
      <c r="A1860" s="2" t="s">
        <v>4386</v>
      </c>
      <c r="B1860" s="2" t="s">
        <v>6673</v>
      </c>
      <c r="C1860" s="3">
        <v>33598</v>
      </c>
      <c r="D1860" s="1" t="s">
        <v>6674</v>
      </c>
      <c r="E1860" s="1" t="s">
        <v>6675</v>
      </c>
      <c r="F1860" s="2" t="s">
        <v>6270</v>
      </c>
      <c r="G1860" s="2" t="s">
        <v>80</v>
      </c>
      <c r="H1860" s="2" t="s">
        <v>10</v>
      </c>
      <c r="I1860" s="2" t="s">
        <v>4386</v>
      </c>
      <c r="J1860" s="2" t="s">
        <v>6676</v>
      </c>
      <c r="K1860" s="40" t="s">
        <v>13193</v>
      </c>
      <c r="L1860" s="6" t="s">
        <v>13194</v>
      </c>
    </row>
    <row r="1861" spans="1:12" ht="27.6" hidden="1" x14ac:dyDescent="0.3">
      <c r="A1861" s="2" t="s">
        <v>4386</v>
      </c>
      <c r="B1861" s="2" t="s">
        <v>6677</v>
      </c>
      <c r="C1861" s="3">
        <v>37485</v>
      </c>
      <c r="D1861" s="1" t="s">
        <v>6678</v>
      </c>
      <c r="E1861" s="1" t="s">
        <v>6679</v>
      </c>
      <c r="F1861" s="2" t="s">
        <v>6270</v>
      </c>
      <c r="G1861" s="2" t="s">
        <v>75</v>
      </c>
      <c r="H1861" s="2" t="s">
        <v>10</v>
      </c>
      <c r="I1861" s="2" t="s">
        <v>4386</v>
      </c>
      <c r="J1861" s="2" t="s">
        <v>6680</v>
      </c>
      <c r="K1861" s="40" t="s">
        <v>13193</v>
      </c>
      <c r="L1861" s="6" t="s">
        <v>13194</v>
      </c>
    </row>
    <row r="1862" spans="1:12" ht="55.2" hidden="1" x14ac:dyDescent="0.3">
      <c r="A1862" s="2" t="s">
        <v>4604</v>
      </c>
      <c r="B1862" s="2" t="s">
        <v>6681</v>
      </c>
      <c r="C1862" s="3">
        <v>21862</v>
      </c>
      <c r="D1862" s="1" t="s">
        <v>6682</v>
      </c>
      <c r="E1862" s="1" t="s">
        <v>6683</v>
      </c>
      <c r="F1862" s="2" t="s">
        <v>5668</v>
      </c>
      <c r="G1862" s="2" t="s">
        <v>92</v>
      </c>
      <c r="H1862" s="2" t="s">
        <v>6684</v>
      </c>
      <c r="I1862" s="2" t="s">
        <v>4604</v>
      </c>
      <c r="J1862" s="2" t="s">
        <v>93</v>
      </c>
      <c r="K1862" s="2" t="s">
        <v>10</v>
      </c>
    </row>
    <row r="1863" spans="1:12" ht="27.6" hidden="1" x14ac:dyDescent="0.3">
      <c r="A1863" s="2" t="s">
        <v>4386</v>
      </c>
      <c r="B1863" s="2" t="s">
        <v>6685</v>
      </c>
      <c r="C1863" s="3">
        <v>29792</v>
      </c>
      <c r="D1863" s="1" t="s">
        <v>6686</v>
      </c>
      <c r="E1863" s="1" t="s">
        <v>6687</v>
      </c>
      <c r="F1863" s="2" t="s">
        <v>6270</v>
      </c>
      <c r="G1863" s="2" t="s">
        <v>511</v>
      </c>
      <c r="H1863" s="2" t="s">
        <v>10</v>
      </c>
      <c r="I1863" s="2" t="s">
        <v>4386</v>
      </c>
      <c r="J1863" s="2" t="s">
        <v>6688</v>
      </c>
      <c r="K1863" s="40" t="s">
        <v>13193</v>
      </c>
      <c r="L1863" s="6" t="s">
        <v>13194</v>
      </c>
    </row>
    <row r="1864" spans="1:12" ht="27.6" hidden="1" x14ac:dyDescent="0.3">
      <c r="A1864" s="2" t="s">
        <v>4386</v>
      </c>
      <c r="B1864" s="2" t="s">
        <v>6689</v>
      </c>
      <c r="C1864" s="3">
        <v>37942</v>
      </c>
      <c r="D1864" s="1" t="s">
        <v>6690</v>
      </c>
      <c r="E1864" s="1" t="s">
        <v>6691</v>
      </c>
      <c r="F1864" s="2" t="s">
        <v>6270</v>
      </c>
      <c r="G1864" s="2" t="s">
        <v>258</v>
      </c>
      <c r="H1864" s="2" t="s">
        <v>10</v>
      </c>
      <c r="I1864" s="2" t="s">
        <v>4386</v>
      </c>
      <c r="J1864" s="2" t="s">
        <v>1794</v>
      </c>
      <c r="K1864" s="40" t="s">
        <v>13193</v>
      </c>
      <c r="L1864" s="6" t="s">
        <v>13194</v>
      </c>
    </row>
    <row r="1865" spans="1:12" ht="55.2" hidden="1" x14ac:dyDescent="0.3">
      <c r="A1865" s="2" t="s">
        <v>4604</v>
      </c>
      <c r="B1865" s="2" t="s">
        <v>6692</v>
      </c>
      <c r="C1865" s="3">
        <v>28049</v>
      </c>
      <c r="D1865" s="1" t="s">
        <v>6693</v>
      </c>
      <c r="E1865" s="1" t="s">
        <v>6694</v>
      </c>
      <c r="F1865" s="2" t="s">
        <v>5668</v>
      </c>
      <c r="G1865" s="2" t="s">
        <v>25</v>
      </c>
      <c r="H1865" s="2" t="s">
        <v>6695</v>
      </c>
      <c r="I1865" s="2" t="s">
        <v>4604</v>
      </c>
      <c r="J1865" s="2" t="s">
        <v>27</v>
      </c>
      <c r="K1865" s="2" t="s">
        <v>10</v>
      </c>
    </row>
    <row r="1866" spans="1:12" ht="27.6" hidden="1" x14ac:dyDescent="0.3">
      <c r="A1866" s="2" t="s">
        <v>4386</v>
      </c>
      <c r="B1866" s="2" t="s">
        <v>6696</v>
      </c>
      <c r="C1866" s="3">
        <v>39516</v>
      </c>
      <c r="D1866" s="1" t="s">
        <v>6697</v>
      </c>
      <c r="E1866" s="1" t="s">
        <v>6698</v>
      </c>
      <c r="F1866" s="2" t="s">
        <v>4555</v>
      </c>
      <c r="G1866" s="2" t="s">
        <v>6699</v>
      </c>
      <c r="H1866" s="2" t="s">
        <v>103</v>
      </c>
      <c r="I1866" s="2" t="s">
        <v>4386</v>
      </c>
      <c r="J1866" s="2" t="s">
        <v>6700</v>
      </c>
      <c r="K1866" s="2" t="s">
        <v>10</v>
      </c>
    </row>
    <row r="1867" spans="1:12" ht="27.6" hidden="1" x14ac:dyDescent="0.3">
      <c r="A1867" s="2" t="s">
        <v>4386</v>
      </c>
      <c r="B1867" s="2" t="s">
        <v>6701</v>
      </c>
      <c r="C1867" s="3">
        <v>37087</v>
      </c>
      <c r="D1867" s="1" t="s">
        <v>6702</v>
      </c>
      <c r="E1867" s="1" t="s">
        <v>6703</v>
      </c>
      <c r="F1867" s="2" t="s">
        <v>4555</v>
      </c>
      <c r="G1867" s="2" t="s">
        <v>6699</v>
      </c>
      <c r="H1867" s="2" t="s">
        <v>6704</v>
      </c>
      <c r="I1867" s="2" t="s">
        <v>4386</v>
      </c>
      <c r="J1867" s="2" t="s">
        <v>6705</v>
      </c>
      <c r="K1867" s="2" t="s">
        <v>10</v>
      </c>
    </row>
    <row r="1868" spans="1:12" ht="27.6" hidden="1" x14ac:dyDescent="0.3">
      <c r="A1868" s="2" t="s">
        <v>4386</v>
      </c>
      <c r="B1868" s="2" t="s">
        <v>6706</v>
      </c>
      <c r="C1868" s="3">
        <v>35097</v>
      </c>
      <c r="D1868" s="1" t="s">
        <v>6707</v>
      </c>
      <c r="E1868" s="1" t="s">
        <v>6708</v>
      </c>
      <c r="F1868" s="2" t="s">
        <v>4555</v>
      </c>
      <c r="G1868" s="2" t="s">
        <v>6699</v>
      </c>
      <c r="H1868" s="2" t="s">
        <v>81</v>
      </c>
      <c r="I1868" s="2" t="s">
        <v>4386</v>
      </c>
      <c r="J1868" s="2" t="s">
        <v>6709</v>
      </c>
      <c r="K1868" s="2" t="s">
        <v>10</v>
      </c>
    </row>
    <row r="1869" spans="1:12" ht="27.6" hidden="1" x14ac:dyDescent="0.3">
      <c r="A1869" s="2" t="s">
        <v>4386</v>
      </c>
      <c r="B1869" s="2" t="s">
        <v>6710</v>
      </c>
      <c r="C1869" s="3">
        <v>29522</v>
      </c>
      <c r="D1869" s="1" t="s">
        <v>6711</v>
      </c>
      <c r="E1869" s="1" t="s">
        <v>6712</v>
      </c>
      <c r="F1869" s="2" t="s">
        <v>4555</v>
      </c>
      <c r="G1869" s="2" t="s">
        <v>6713</v>
      </c>
      <c r="H1869" s="2" t="s">
        <v>10</v>
      </c>
      <c r="I1869" s="2" t="s">
        <v>4386</v>
      </c>
      <c r="J1869" s="2" t="s">
        <v>6714</v>
      </c>
      <c r="K1869" s="2" t="s">
        <v>10</v>
      </c>
    </row>
    <row r="1870" spans="1:12" ht="27.6" hidden="1" x14ac:dyDescent="0.3">
      <c r="A1870" s="2" t="s">
        <v>4386</v>
      </c>
      <c r="B1870" s="2" t="s">
        <v>6715</v>
      </c>
      <c r="C1870" s="3">
        <v>37005</v>
      </c>
      <c r="D1870" s="1" t="s">
        <v>6716</v>
      </c>
      <c r="E1870" s="1" t="s">
        <v>6717</v>
      </c>
      <c r="F1870" s="2" t="s">
        <v>4555</v>
      </c>
      <c r="G1870" s="2" t="s">
        <v>6699</v>
      </c>
      <c r="H1870" s="2" t="s">
        <v>822</v>
      </c>
      <c r="I1870" s="2" t="s">
        <v>4386</v>
      </c>
      <c r="J1870" s="2" t="s">
        <v>6709</v>
      </c>
      <c r="K1870" s="2" t="s">
        <v>10</v>
      </c>
    </row>
    <row r="1871" spans="1:12" ht="55.2" hidden="1" x14ac:dyDescent="0.3">
      <c r="A1871" s="2" t="s">
        <v>4604</v>
      </c>
      <c r="B1871" s="2" t="s">
        <v>6718</v>
      </c>
      <c r="C1871" s="3">
        <v>31815</v>
      </c>
      <c r="D1871" s="1" t="s">
        <v>6719</v>
      </c>
      <c r="E1871" s="1" t="s">
        <v>6720</v>
      </c>
      <c r="F1871" s="2" t="s">
        <v>4698</v>
      </c>
      <c r="G1871" s="2" t="s">
        <v>31</v>
      </c>
      <c r="H1871" s="2" t="s">
        <v>10</v>
      </c>
      <c r="I1871" s="2" t="s">
        <v>4604</v>
      </c>
      <c r="J1871" s="2" t="s">
        <v>32</v>
      </c>
      <c r="K1871" s="2" t="s">
        <v>10</v>
      </c>
    </row>
    <row r="1872" spans="1:12" ht="55.2" hidden="1" x14ac:dyDescent="0.3">
      <c r="A1872" s="2" t="s">
        <v>4604</v>
      </c>
      <c r="B1872" s="2" t="s">
        <v>6721</v>
      </c>
      <c r="C1872" s="3">
        <v>32003</v>
      </c>
      <c r="D1872" s="1" t="s">
        <v>6722</v>
      </c>
      <c r="E1872" s="1" t="s">
        <v>6723</v>
      </c>
      <c r="F1872" s="2" t="s">
        <v>5698</v>
      </c>
      <c r="G1872" s="2" t="s">
        <v>1504</v>
      </c>
      <c r="H1872" s="2" t="s">
        <v>10</v>
      </c>
      <c r="I1872" s="2" t="s">
        <v>4604</v>
      </c>
      <c r="J1872" s="2" t="s">
        <v>6724</v>
      </c>
      <c r="K1872" s="2" t="s">
        <v>10</v>
      </c>
    </row>
    <row r="1873" spans="1:11" ht="55.2" hidden="1" x14ac:dyDescent="0.3">
      <c r="A1873" s="2" t="s">
        <v>4604</v>
      </c>
      <c r="B1873" s="2" t="s">
        <v>6725</v>
      </c>
      <c r="C1873" s="3">
        <v>22583</v>
      </c>
      <c r="D1873" s="1" t="s">
        <v>5715</v>
      </c>
      <c r="E1873" s="1" t="s">
        <v>6726</v>
      </c>
      <c r="F1873" s="2" t="s">
        <v>5698</v>
      </c>
      <c r="G1873" s="2" t="s">
        <v>143</v>
      </c>
      <c r="H1873" s="2" t="s">
        <v>5003</v>
      </c>
      <c r="I1873" s="2" t="s">
        <v>4604</v>
      </c>
      <c r="J1873" s="2" t="s">
        <v>324</v>
      </c>
      <c r="K1873" s="2" t="s">
        <v>10</v>
      </c>
    </row>
    <row r="1874" spans="1:11" ht="55.2" hidden="1" x14ac:dyDescent="0.3">
      <c r="A1874" s="2" t="s">
        <v>4604</v>
      </c>
      <c r="B1874" s="2" t="s">
        <v>6727</v>
      </c>
      <c r="C1874" s="3">
        <v>25166</v>
      </c>
      <c r="D1874" s="1" t="s">
        <v>6728</v>
      </c>
      <c r="E1874" s="1" t="s">
        <v>6729</v>
      </c>
      <c r="F1874" s="2" t="s">
        <v>4608</v>
      </c>
      <c r="G1874" s="2" t="s">
        <v>1403</v>
      </c>
      <c r="H1874" s="2" t="s">
        <v>6014</v>
      </c>
      <c r="I1874" s="2" t="s">
        <v>4604</v>
      </c>
      <c r="J1874" s="2" t="s">
        <v>4848</v>
      </c>
      <c r="K1874" s="2" t="s">
        <v>10</v>
      </c>
    </row>
    <row r="1875" spans="1:11" ht="55.2" hidden="1" x14ac:dyDescent="0.3">
      <c r="A1875" s="2" t="s">
        <v>4604</v>
      </c>
      <c r="B1875" s="2" t="s">
        <v>6730</v>
      </c>
      <c r="C1875" s="3">
        <v>20809</v>
      </c>
      <c r="D1875" s="1" t="s">
        <v>6731</v>
      </c>
      <c r="E1875" s="1" t="s">
        <v>6732</v>
      </c>
      <c r="F1875" s="2" t="s">
        <v>6385</v>
      </c>
      <c r="G1875" s="2" t="s">
        <v>278</v>
      </c>
      <c r="H1875" s="2" t="s">
        <v>6733</v>
      </c>
      <c r="I1875" s="2" t="s">
        <v>4604</v>
      </c>
      <c r="J1875" s="2" t="s">
        <v>4967</v>
      </c>
      <c r="K1875" s="2" t="s">
        <v>10</v>
      </c>
    </row>
    <row r="1876" spans="1:11" ht="55.2" hidden="1" x14ac:dyDescent="0.3">
      <c r="A1876" s="2" t="s">
        <v>4604</v>
      </c>
      <c r="B1876" s="2" t="s">
        <v>6734</v>
      </c>
      <c r="C1876" s="3">
        <v>24127</v>
      </c>
      <c r="D1876" s="1" t="s">
        <v>6735</v>
      </c>
      <c r="E1876" s="1" t="s">
        <v>6736</v>
      </c>
      <c r="F1876" s="2" t="s">
        <v>4608</v>
      </c>
      <c r="G1876" s="2" t="s">
        <v>1763</v>
      </c>
      <c r="H1876" s="2" t="s">
        <v>6737</v>
      </c>
      <c r="I1876" s="2" t="s">
        <v>4604</v>
      </c>
      <c r="J1876" s="2" t="s">
        <v>4972</v>
      </c>
      <c r="K1876" s="2" t="s">
        <v>10</v>
      </c>
    </row>
    <row r="1877" spans="1:11" ht="55.2" hidden="1" x14ac:dyDescent="0.3">
      <c r="A1877" s="2" t="s">
        <v>4604</v>
      </c>
      <c r="B1877" s="2" t="s">
        <v>6738</v>
      </c>
      <c r="C1877" s="3">
        <v>26445</v>
      </c>
      <c r="D1877" s="1" t="s">
        <v>6739</v>
      </c>
      <c r="E1877" s="1" t="s">
        <v>6740</v>
      </c>
      <c r="F1877" s="2" t="s">
        <v>5989</v>
      </c>
      <c r="G1877" s="2" t="s">
        <v>112</v>
      </c>
      <c r="H1877" s="2" t="s">
        <v>6426</v>
      </c>
      <c r="I1877" s="2" t="s">
        <v>4604</v>
      </c>
      <c r="J1877" s="2" t="s">
        <v>113</v>
      </c>
      <c r="K1877" s="2" t="s">
        <v>10</v>
      </c>
    </row>
    <row r="1878" spans="1:11" ht="55.2" hidden="1" x14ac:dyDescent="0.3">
      <c r="A1878" s="2" t="s">
        <v>4604</v>
      </c>
      <c r="B1878" s="2" t="s">
        <v>6741</v>
      </c>
      <c r="C1878" s="3">
        <v>22678</v>
      </c>
      <c r="D1878" s="1" t="s">
        <v>6742</v>
      </c>
      <c r="E1878" s="1" t="s">
        <v>6743</v>
      </c>
      <c r="F1878" s="2" t="s">
        <v>6663</v>
      </c>
      <c r="G1878" s="2" t="s">
        <v>492</v>
      </c>
      <c r="H1878" s="2" t="s">
        <v>6664</v>
      </c>
      <c r="I1878" s="2" t="s">
        <v>4604</v>
      </c>
      <c r="J1878" s="2" t="s">
        <v>375</v>
      </c>
      <c r="K1878" s="2" t="s">
        <v>10</v>
      </c>
    </row>
    <row r="1879" spans="1:11" ht="55.2" hidden="1" x14ac:dyDescent="0.3">
      <c r="A1879" s="2" t="s">
        <v>4604</v>
      </c>
      <c r="B1879" s="2" t="s">
        <v>6744</v>
      </c>
      <c r="C1879" s="3">
        <v>28102</v>
      </c>
      <c r="D1879" s="1" t="s">
        <v>6745</v>
      </c>
      <c r="E1879" s="1" t="s">
        <v>6746</v>
      </c>
      <c r="F1879" s="2" t="s">
        <v>4608</v>
      </c>
      <c r="G1879" s="2" t="s">
        <v>1222</v>
      </c>
      <c r="H1879" s="2" t="s">
        <v>6747</v>
      </c>
      <c r="I1879" s="2" t="s">
        <v>4604</v>
      </c>
      <c r="J1879" s="2" t="s">
        <v>4315</v>
      </c>
      <c r="K1879" s="2" t="s">
        <v>10</v>
      </c>
    </row>
    <row r="1880" spans="1:11" ht="55.2" hidden="1" x14ac:dyDescent="0.3">
      <c r="A1880" s="2" t="s">
        <v>4604</v>
      </c>
      <c r="B1880" s="2" t="s">
        <v>6748</v>
      </c>
      <c r="C1880" s="3">
        <v>29987</v>
      </c>
      <c r="D1880" s="1" t="s">
        <v>6749</v>
      </c>
      <c r="E1880" s="1" t="s">
        <v>6750</v>
      </c>
      <c r="F1880" s="2" t="s">
        <v>6385</v>
      </c>
      <c r="G1880" s="2" t="s">
        <v>425</v>
      </c>
      <c r="H1880" s="2" t="s">
        <v>6751</v>
      </c>
      <c r="I1880" s="2" t="s">
        <v>4604</v>
      </c>
      <c r="J1880" s="2" t="s">
        <v>841</v>
      </c>
      <c r="K1880" s="2" t="s">
        <v>10</v>
      </c>
    </row>
    <row r="1881" spans="1:11" ht="55.2" hidden="1" x14ac:dyDescent="0.3">
      <c r="A1881" s="2" t="s">
        <v>4604</v>
      </c>
      <c r="B1881" s="2" t="s">
        <v>6752</v>
      </c>
      <c r="C1881" s="3">
        <v>35705</v>
      </c>
      <c r="D1881" s="1" t="s">
        <v>6753</v>
      </c>
      <c r="E1881" s="1" t="s">
        <v>6754</v>
      </c>
      <c r="F1881" s="2" t="s">
        <v>4698</v>
      </c>
      <c r="G1881" s="2" t="s">
        <v>190</v>
      </c>
      <c r="H1881" s="2" t="s">
        <v>6755</v>
      </c>
      <c r="I1881" s="2" t="s">
        <v>4604</v>
      </c>
      <c r="J1881" s="2" t="s">
        <v>768</v>
      </c>
      <c r="K1881" s="2" t="s">
        <v>10</v>
      </c>
    </row>
    <row r="1882" spans="1:11" ht="55.2" hidden="1" x14ac:dyDescent="0.3">
      <c r="A1882" s="2" t="s">
        <v>4604</v>
      </c>
      <c r="B1882" s="2" t="s">
        <v>6756</v>
      </c>
      <c r="C1882" s="3">
        <v>35936</v>
      </c>
      <c r="D1882" s="1" t="s">
        <v>6757</v>
      </c>
      <c r="E1882" s="1" t="s">
        <v>6758</v>
      </c>
      <c r="F1882" s="2" t="s">
        <v>6385</v>
      </c>
      <c r="G1882" s="2" t="s">
        <v>222</v>
      </c>
      <c r="H1882" s="2" t="s">
        <v>6759</v>
      </c>
      <c r="I1882" s="2" t="s">
        <v>4604</v>
      </c>
      <c r="J1882" s="2" t="s">
        <v>417</v>
      </c>
      <c r="K1882" s="2" t="s">
        <v>10</v>
      </c>
    </row>
    <row r="1883" spans="1:11" ht="27.6" hidden="1" x14ac:dyDescent="0.3">
      <c r="A1883" s="2" t="s">
        <v>60</v>
      </c>
      <c r="B1883" s="2" t="s">
        <v>6760</v>
      </c>
      <c r="C1883" s="3">
        <v>35239</v>
      </c>
      <c r="D1883" s="1" t="s">
        <v>6761</v>
      </c>
      <c r="E1883" s="1" t="s">
        <v>6762</v>
      </c>
      <c r="F1883" s="2" t="s">
        <v>2022</v>
      </c>
      <c r="G1883" s="2" t="s">
        <v>143</v>
      </c>
      <c r="H1883" s="2" t="s">
        <v>10</v>
      </c>
      <c r="I1883" s="2" t="s">
        <v>60</v>
      </c>
      <c r="J1883" s="2" t="s">
        <v>144</v>
      </c>
      <c r="K1883" s="2" t="s">
        <v>10</v>
      </c>
    </row>
    <row r="1884" spans="1:11" ht="27.6" hidden="1" x14ac:dyDescent="0.3">
      <c r="A1884" s="2" t="s">
        <v>60</v>
      </c>
      <c r="B1884" s="2" t="s">
        <v>6763</v>
      </c>
      <c r="C1884" s="3">
        <v>31890</v>
      </c>
      <c r="D1884" s="1" t="s">
        <v>6764</v>
      </c>
      <c r="E1884" s="1" t="s">
        <v>6765</v>
      </c>
      <c r="F1884" s="2" t="s">
        <v>2103</v>
      </c>
      <c r="G1884" s="2" t="s">
        <v>425</v>
      </c>
      <c r="H1884" s="2" t="s">
        <v>10</v>
      </c>
      <c r="I1884" s="2" t="s">
        <v>60</v>
      </c>
      <c r="J1884" s="2" t="s">
        <v>6766</v>
      </c>
      <c r="K1884" s="2" t="s">
        <v>10</v>
      </c>
    </row>
    <row r="1885" spans="1:11" ht="27.6" hidden="1" x14ac:dyDescent="0.3">
      <c r="A1885" s="2" t="s">
        <v>4386</v>
      </c>
      <c r="B1885" s="2" t="s">
        <v>6767</v>
      </c>
      <c r="C1885" s="3">
        <v>28573</v>
      </c>
      <c r="D1885" s="1" t="s">
        <v>6768</v>
      </c>
      <c r="E1885" s="1" t="s">
        <v>6769</v>
      </c>
      <c r="F1885" s="2" t="s">
        <v>5091</v>
      </c>
      <c r="G1885" s="2" t="s">
        <v>6770</v>
      </c>
      <c r="H1885" s="2" t="s">
        <v>10</v>
      </c>
      <c r="I1885" s="2" t="s">
        <v>4386</v>
      </c>
      <c r="J1885" s="2" t="s">
        <v>6771</v>
      </c>
      <c r="K1885" s="2" t="s">
        <v>10</v>
      </c>
    </row>
    <row r="1886" spans="1:11" ht="27.6" hidden="1" x14ac:dyDescent="0.3">
      <c r="A1886" s="2" t="s">
        <v>4386</v>
      </c>
      <c r="B1886" s="2" t="s">
        <v>6772</v>
      </c>
      <c r="C1886" s="3">
        <v>19496</v>
      </c>
      <c r="D1886" s="1" t="s">
        <v>6773</v>
      </c>
      <c r="E1886" s="1" t="s">
        <v>6774</v>
      </c>
      <c r="F1886" s="2" t="s">
        <v>4396</v>
      </c>
      <c r="G1886" s="2" t="s">
        <v>6775</v>
      </c>
      <c r="H1886" s="2" t="s">
        <v>10</v>
      </c>
      <c r="I1886" s="2" t="s">
        <v>4386</v>
      </c>
      <c r="J1886" s="2" t="s">
        <v>6776</v>
      </c>
      <c r="K1886" s="2" t="s">
        <v>10</v>
      </c>
    </row>
    <row r="1887" spans="1:11" ht="27.6" hidden="1" x14ac:dyDescent="0.3">
      <c r="A1887" s="2" t="s">
        <v>4386</v>
      </c>
      <c r="B1887" s="2" t="s">
        <v>6777</v>
      </c>
      <c r="C1887" s="3">
        <v>26334</v>
      </c>
      <c r="D1887" s="1" t="s">
        <v>6778</v>
      </c>
      <c r="E1887" s="1" t="s">
        <v>6779</v>
      </c>
      <c r="F1887" s="2" t="s">
        <v>5231</v>
      </c>
      <c r="G1887" s="2" t="s">
        <v>6780</v>
      </c>
      <c r="H1887" s="2" t="s">
        <v>10</v>
      </c>
      <c r="I1887" s="2" t="s">
        <v>4386</v>
      </c>
      <c r="J1887" s="2" t="s">
        <v>6781</v>
      </c>
      <c r="K1887" s="2" t="s">
        <v>10</v>
      </c>
    </row>
    <row r="1888" spans="1:11" ht="27.6" hidden="1" x14ac:dyDescent="0.3">
      <c r="A1888" s="2" t="s">
        <v>4386</v>
      </c>
      <c r="B1888" s="2" t="s">
        <v>6782</v>
      </c>
      <c r="C1888" s="3">
        <v>30732</v>
      </c>
      <c r="D1888" s="1" t="s">
        <v>6783</v>
      </c>
      <c r="E1888" s="1" t="s">
        <v>6784</v>
      </c>
      <c r="F1888" s="2" t="s">
        <v>5231</v>
      </c>
      <c r="G1888" s="2" t="s">
        <v>6785</v>
      </c>
      <c r="H1888" s="2" t="s">
        <v>103</v>
      </c>
      <c r="I1888" s="2" t="s">
        <v>4386</v>
      </c>
      <c r="J1888" s="2" t="s">
        <v>6786</v>
      </c>
      <c r="K1888" s="2" t="s">
        <v>10</v>
      </c>
    </row>
    <row r="1889" spans="1:12" ht="27.6" hidden="1" x14ac:dyDescent="0.3">
      <c r="A1889" s="2" t="s">
        <v>4386</v>
      </c>
      <c r="B1889" s="2" t="s">
        <v>6787</v>
      </c>
      <c r="C1889" s="3">
        <v>34238</v>
      </c>
      <c r="D1889" s="1" t="s">
        <v>6788</v>
      </c>
      <c r="E1889" s="1" t="s">
        <v>6789</v>
      </c>
      <c r="F1889" s="2" t="s">
        <v>5231</v>
      </c>
      <c r="G1889" s="2" t="s">
        <v>6790</v>
      </c>
      <c r="H1889" s="2" t="s">
        <v>10</v>
      </c>
      <c r="I1889" s="2" t="s">
        <v>4386</v>
      </c>
      <c r="J1889" s="2" t="s">
        <v>6791</v>
      </c>
      <c r="K1889" s="2" t="s">
        <v>10</v>
      </c>
    </row>
    <row r="1890" spans="1:12" ht="27.6" hidden="1" x14ac:dyDescent="0.3">
      <c r="A1890" s="2" t="s">
        <v>4386</v>
      </c>
      <c r="B1890" s="2" t="s">
        <v>6792</v>
      </c>
      <c r="C1890" s="3">
        <v>29516</v>
      </c>
      <c r="D1890" s="1" t="s">
        <v>6793</v>
      </c>
      <c r="E1890" s="1" t="s">
        <v>6794</v>
      </c>
      <c r="F1890" s="2" t="s">
        <v>5231</v>
      </c>
      <c r="G1890" s="2" t="s">
        <v>6795</v>
      </c>
      <c r="H1890" s="2" t="s">
        <v>10</v>
      </c>
      <c r="I1890" s="2" t="s">
        <v>4386</v>
      </c>
      <c r="J1890" s="2" t="s">
        <v>6796</v>
      </c>
      <c r="K1890" s="2" t="s">
        <v>10</v>
      </c>
    </row>
    <row r="1891" spans="1:12" ht="27.6" hidden="1" x14ac:dyDescent="0.3">
      <c r="A1891" s="2" t="s">
        <v>4386</v>
      </c>
      <c r="B1891" s="2" t="s">
        <v>6797</v>
      </c>
      <c r="C1891" s="3">
        <v>37727</v>
      </c>
      <c r="D1891" s="1" t="s">
        <v>6798</v>
      </c>
      <c r="E1891" s="1" t="s">
        <v>6799</v>
      </c>
      <c r="F1891" s="2" t="s">
        <v>5618</v>
      </c>
      <c r="G1891" s="2" t="s">
        <v>6800</v>
      </c>
      <c r="H1891" s="2" t="s">
        <v>10</v>
      </c>
      <c r="I1891" s="2" t="s">
        <v>4386</v>
      </c>
      <c r="J1891" s="2" t="s">
        <v>6801</v>
      </c>
      <c r="K1891" s="2" t="s">
        <v>10</v>
      </c>
    </row>
    <row r="1892" spans="1:12" ht="27.6" hidden="1" x14ac:dyDescent="0.3">
      <c r="A1892" s="2" t="s">
        <v>4386</v>
      </c>
      <c r="B1892" s="2" t="s">
        <v>6802</v>
      </c>
      <c r="C1892" s="3">
        <v>38257</v>
      </c>
      <c r="D1892" s="1" t="s">
        <v>6803</v>
      </c>
      <c r="E1892" s="1" t="s">
        <v>6804</v>
      </c>
      <c r="F1892" s="2" t="s">
        <v>5618</v>
      </c>
      <c r="G1892" s="2" t="s">
        <v>5945</v>
      </c>
      <c r="H1892" s="2" t="s">
        <v>81</v>
      </c>
      <c r="I1892" s="2" t="s">
        <v>4386</v>
      </c>
      <c r="J1892" s="2" t="s">
        <v>6805</v>
      </c>
      <c r="K1892" s="2" t="s">
        <v>10</v>
      </c>
    </row>
    <row r="1893" spans="1:12" ht="27.6" hidden="1" x14ac:dyDescent="0.3">
      <c r="A1893" s="2" t="s">
        <v>4386</v>
      </c>
      <c r="B1893" s="2" t="s">
        <v>6806</v>
      </c>
      <c r="C1893" s="3">
        <v>23023</v>
      </c>
      <c r="D1893" s="1" t="s">
        <v>6807</v>
      </c>
      <c r="E1893" s="1" t="s">
        <v>6808</v>
      </c>
      <c r="F1893" s="2" t="s">
        <v>5618</v>
      </c>
      <c r="G1893" s="2" t="s">
        <v>6809</v>
      </c>
      <c r="H1893" s="2" t="s">
        <v>10</v>
      </c>
      <c r="I1893" s="2" t="s">
        <v>4386</v>
      </c>
      <c r="J1893" s="2" t="s">
        <v>6810</v>
      </c>
      <c r="K1893" s="2" t="s">
        <v>10</v>
      </c>
    </row>
    <row r="1894" spans="1:12" ht="27.6" hidden="1" x14ac:dyDescent="0.3">
      <c r="A1894" s="2" t="s">
        <v>4386</v>
      </c>
      <c r="B1894" s="2" t="s">
        <v>6811</v>
      </c>
      <c r="C1894" s="3">
        <v>31981</v>
      </c>
      <c r="D1894" s="1" t="s">
        <v>6812</v>
      </c>
      <c r="E1894" s="1" t="s">
        <v>6813</v>
      </c>
      <c r="F1894" s="2" t="s">
        <v>5618</v>
      </c>
      <c r="G1894" s="2" t="s">
        <v>6814</v>
      </c>
      <c r="H1894" s="2" t="s">
        <v>10</v>
      </c>
      <c r="I1894" s="2" t="s">
        <v>4386</v>
      </c>
      <c r="J1894" s="2" t="s">
        <v>6815</v>
      </c>
      <c r="K1894" s="2" t="s">
        <v>10</v>
      </c>
    </row>
    <row r="1895" spans="1:12" ht="27.6" hidden="1" x14ac:dyDescent="0.3">
      <c r="A1895" s="2" t="s">
        <v>4386</v>
      </c>
      <c r="B1895" s="2" t="s">
        <v>4223</v>
      </c>
      <c r="C1895" s="3">
        <v>36758</v>
      </c>
      <c r="D1895" s="1" t="s">
        <v>6816</v>
      </c>
      <c r="E1895" s="1" t="s">
        <v>6817</v>
      </c>
      <c r="F1895" s="2" t="s">
        <v>5618</v>
      </c>
      <c r="G1895" s="2" t="s">
        <v>6818</v>
      </c>
      <c r="H1895" s="2" t="s">
        <v>10</v>
      </c>
      <c r="I1895" s="2" t="s">
        <v>4386</v>
      </c>
      <c r="J1895" s="2" t="s">
        <v>6819</v>
      </c>
      <c r="K1895" s="2" t="s">
        <v>10</v>
      </c>
    </row>
    <row r="1896" spans="1:12" ht="27.6" hidden="1" x14ac:dyDescent="0.3">
      <c r="A1896" s="2" t="s">
        <v>4386</v>
      </c>
      <c r="B1896" s="2" t="s">
        <v>6820</v>
      </c>
      <c r="C1896" s="3">
        <v>33070</v>
      </c>
      <c r="D1896" s="1" t="s">
        <v>6821</v>
      </c>
      <c r="E1896" s="1" t="s">
        <v>6822</v>
      </c>
      <c r="F1896" s="2" t="s">
        <v>6212</v>
      </c>
      <c r="G1896" s="2" t="s">
        <v>6823</v>
      </c>
      <c r="H1896" s="2" t="s">
        <v>10</v>
      </c>
      <c r="I1896" s="2" t="s">
        <v>4386</v>
      </c>
      <c r="J1896" s="2" t="s">
        <v>6824</v>
      </c>
      <c r="K1896" s="2" t="s">
        <v>10</v>
      </c>
    </row>
    <row r="1897" spans="1:12" ht="27.6" hidden="1" x14ac:dyDescent="0.3">
      <c r="A1897" s="2" t="s">
        <v>4386</v>
      </c>
      <c r="B1897" s="2" t="s">
        <v>6825</v>
      </c>
      <c r="C1897" s="3">
        <v>20982</v>
      </c>
      <c r="D1897" s="1" t="s">
        <v>6826</v>
      </c>
      <c r="E1897" s="1" t="s">
        <v>6827</v>
      </c>
      <c r="F1897" s="2" t="s">
        <v>4396</v>
      </c>
      <c r="G1897" s="2" t="s">
        <v>5952</v>
      </c>
      <c r="H1897" s="2" t="s">
        <v>103</v>
      </c>
      <c r="I1897" s="2" t="s">
        <v>4386</v>
      </c>
      <c r="J1897" s="2" t="s">
        <v>5953</v>
      </c>
      <c r="K1897" s="2" t="s">
        <v>10</v>
      </c>
    </row>
    <row r="1898" spans="1:12" ht="27.6" hidden="1" x14ac:dyDescent="0.3">
      <c r="A1898" s="2" t="s">
        <v>4386</v>
      </c>
      <c r="B1898" s="2" t="s">
        <v>6828</v>
      </c>
      <c r="C1898" s="3">
        <v>31835</v>
      </c>
      <c r="D1898" s="1" t="s">
        <v>6829</v>
      </c>
      <c r="E1898" s="1" t="s">
        <v>6830</v>
      </c>
      <c r="F1898" s="2" t="s">
        <v>6831</v>
      </c>
      <c r="G1898" s="2" t="s">
        <v>48</v>
      </c>
      <c r="H1898" s="2" t="s">
        <v>103</v>
      </c>
      <c r="I1898" s="2" t="s">
        <v>4386</v>
      </c>
      <c r="J1898" s="2" t="s">
        <v>49</v>
      </c>
      <c r="K1898" s="2" t="s">
        <v>10</v>
      </c>
    </row>
    <row r="1899" spans="1:12" ht="27.6" hidden="1" x14ac:dyDescent="0.3">
      <c r="A1899" s="2" t="s">
        <v>4386</v>
      </c>
      <c r="B1899" s="2" t="s">
        <v>6832</v>
      </c>
      <c r="C1899" s="3">
        <v>25806</v>
      </c>
      <c r="D1899" s="1" t="s">
        <v>6833</v>
      </c>
      <c r="E1899" s="1" t="s">
        <v>6834</v>
      </c>
      <c r="F1899" s="2" t="s">
        <v>6270</v>
      </c>
      <c r="G1899" s="2" t="s">
        <v>366</v>
      </c>
      <c r="H1899" s="2" t="s">
        <v>10</v>
      </c>
      <c r="I1899" s="2" t="s">
        <v>4386</v>
      </c>
      <c r="J1899" s="2" t="s">
        <v>437</v>
      </c>
      <c r="K1899" s="40" t="s">
        <v>13193</v>
      </c>
      <c r="L1899" s="6" t="s">
        <v>13194</v>
      </c>
    </row>
    <row r="1900" spans="1:12" ht="27.6" hidden="1" x14ac:dyDescent="0.3">
      <c r="A1900" s="2" t="s">
        <v>4386</v>
      </c>
      <c r="B1900" s="2" t="s">
        <v>6835</v>
      </c>
      <c r="C1900" s="3">
        <v>25663</v>
      </c>
      <c r="D1900" s="1" t="s">
        <v>6836</v>
      </c>
      <c r="E1900" s="1" t="s">
        <v>6837</v>
      </c>
      <c r="F1900" s="2" t="s">
        <v>6095</v>
      </c>
      <c r="G1900" s="2" t="s">
        <v>366</v>
      </c>
      <c r="H1900" s="2" t="s">
        <v>10</v>
      </c>
      <c r="I1900" s="2" t="s">
        <v>4386</v>
      </c>
      <c r="J1900" s="2" t="s">
        <v>437</v>
      </c>
      <c r="K1900" s="2" t="s">
        <v>10</v>
      </c>
    </row>
    <row r="1901" spans="1:12" ht="27.6" hidden="1" x14ac:dyDescent="0.3">
      <c r="A1901" s="2" t="s">
        <v>4386</v>
      </c>
      <c r="B1901" s="2" t="s">
        <v>6838</v>
      </c>
      <c r="C1901" s="3">
        <v>30371</v>
      </c>
      <c r="D1901" s="1" t="s">
        <v>6839</v>
      </c>
      <c r="E1901" s="1" t="s">
        <v>6840</v>
      </c>
      <c r="F1901" s="2" t="s">
        <v>6841</v>
      </c>
      <c r="G1901" s="2" t="s">
        <v>31</v>
      </c>
      <c r="H1901" s="2" t="s">
        <v>10</v>
      </c>
      <c r="I1901" s="2" t="s">
        <v>4386</v>
      </c>
      <c r="J1901" s="2" t="s">
        <v>684</v>
      </c>
      <c r="K1901" s="2" t="s">
        <v>10</v>
      </c>
    </row>
    <row r="1902" spans="1:12" ht="27.6" hidden="1" x14ac:dyDescent="0.3">
      <c r="A1902" s="2" t="s">
        <v>4386</v>
      </c>
      <c r="B1902" s="2" t="s">
        <v>6842</v>
      </c>
      <c r="C1902" s="3">
        <v>34224</v>
      </c>
      <c r="D1902" s="1" t="s">
        <v>6843</v>
      </c>
      <c r="E1902" s="1" t="s">
        <v>6844</v>
      </c>
      <c r="F1902" s="2" t="s">
        <v>4396</v>
      </c>
      <c r="G1902" s="2" t="s">
        <v>6845</v>
      </c>
      <c r="H1902" s="2" t="s">
        <v>10</v>
      </c>
      <c r="I1902" s="2" t="s">
        <v>4386</v>
      </c>
      <c r="J1902" s="2" t="s">
        <v>6846</v>
      </c>
      <c r="K1902" s="2" t="s">
        <v>10</v>
      </c>
    </row>
    <row r="1903" spans="1:12" ht="27.6" hidden="1" x14ac:dyDescent="0.3">
      <c r="A1903" s="2" t="s">
        <v>4386</v>
      </c>
      <c r="B1903" s="2" t="s">
        <v>6847</v>
      </c>
      <c r="C1903" s="3">
        <v>35636</v>
      </c>
      <c r="D1903" s="1" t="s">
        <v>6848</v>
      </c>
      <c r="E1903" s="1" t="s">
        <v>6849</v>
      </c>
      <c r="F1903" s="2" t="s">
        <v>6841</v>
      </c>
      <c r="G1903" s="2" t="s">
        <v>380</v>
      </c>
      <c r="H1903" s="2" t="s">
        <v>103</v>
      </c>
      <c r="I1903" s="2" t="s">
        <v>4386</v>
      </c>
      <c r="J1903" s="2" t="s">
        <v>1083</v>
      </c>
      <c r="K1903" s="2" t="s">
        <v>10</v>
      </c>
    </row>
    <row r="1904" spans="1:12" ht="27.6" hidden="1" x14ac:dyDescent="0.3">
      <c r="A1904" s="2" t="s">
        <v>4386</v>
      </c>
      <c r="B1904" s="2" t="s">
        <v>6850</v>
      </c>
      <c r="C1904" s="3">
        <v>36415</v>
      </c>
      <c r="D1904" s="1" t="s">
        <v>6851</v>
      </c>
      <c r="E1904" s="1" t="s">
        <v>6852</v>
      </c>
      <c r="F1904" s="2" t="s">
        <v>6841</v>
      </c>
      <c r="G1904" s="2" t="s">
        <v>380</v>
      </c>
      <c r="H1904" s="2" t="s">
        <v>81</v>
      </c>
      <c r="I1904" s="2" t="s">
        <v>4386</v>
      </c>
      <c r="J1904" s="2" t="s">
        <v>1271</v>
      </c>
      <c r="K1904" s="2" t="s">
        <v>10</v>
      </c>
    </row>
    <row r="1905" spans="1:12" ht="27.6" hidden="1" x14ac:dyDescent="0.3">
      <c r="A1905" s="2" t="s">
        <v>4386</v>
      </c>
      <c r="B1905" s="2" t="s">
        <v>6853</v>
      </c>
      <c r="C1905" s="3">
        <v>35808</v>
      </c>
      <c r="D1905" s="1" t="s">
        <v>6854</v>
      </c>
      <c r="E1905" s="1" t="s">
        <v>6855</v>
      </c>
      <c r="F1905" s="2" t="s">
        <v>6831</v>
      </c>
      <c r="G1905" s="2" t="s">
        <v>366</v>
      </c>
      <c r="H1905" s="2" t="s">
        <v>10</v>
      </c>
      <c r="I1905" s="2" t="s">
        <v>4386</v>
      </c>
      <c r="J1905" s="2" t="s">
        <v>437</v>
      </c>
      <c r="K1905" s="2" t="s">
        <v>10</v>
      </c>
    </row>
    <row r="1906" spans="1:12" ht="27.6" hidden="1" x14ac:dyDescent="0.3">
      <c r="A1906" s="2" t="s">
        <v>4386</v>
      </c>
      <c r="B1906" s="2" t="s">
        <v>6856</v>
      </c>
      <c r="C1906" s="3">
        <v>37584</v>
      </c>
      <c r="D1906" s="1" t="s">
        <v>6857</v>
      </c>
      <c r="E1906" s="1" t="s">
        <v>6858</v>
      </c>
      <c r="F1906" s="2" t="s">
        <v>6831</v>
      </c>
      <c r="G1906" s="2" t="s">
        <v>425</v>
      </c>
      <c r="H1906" s="2" t="s">
        <v>10</v>
      </c>
      <c r="I1906" s="2" t="s">
        <v>4386</v>
      </c>
      <c r="J1906" s="2" t="s">
        <v>1181</v>
      </c>
      <c r="K1906" s="2" t="s">
        <v>10</v>
      </c>
    </row>
    <row r="1907" spans="1:12" ht="27.6" hidden="1" x14ac:dyDescent="0.3">
      <c r="A1907" s="2" t="s">
        <v>4386</v>
      </c>
      <c r="B1907" s="2" t="s">
        <v>6859</v>
      </c>
      <c r="C1907" s="3">
        <v>32532</v>
      </c>
      <c r="D1907" s="1" t="s">
        <v>6860</v>
      </c>
      <c r="E1907" s="1" t="s">
        <v>6861</v>
      </c>
      <c r="F1907" s="2" t="s">
        <v>5618</v>
      </c>
      <c r="G1907" s="2" t="s">
        <v>6090</v>
      </c>
      <c r="H1907" s="2" t="s">
        <v>10</v>
      </c>
      <c r="I1907" s="2" t="s">
        <v>4386</v>
      </c>
      <c r="J1907" s="2" t="s">
        <v>6862</v>
      </c>
      <c r="K1907" s="2" t="s">
        <v>10</v>
      </c>
    </row>
    <row r="1908" spans="1:12" ht="27.6" hidden="1" x14ac:dyDescent="0.3">
      <c r="A1908" s="2" t="s">
        <v>4386</v>
      </c>
      <c r="B1908" s="2" t="s">
        <v>6863</v>
      </c>
      <c r="C1908" s="3">
        <v>24223</v>
      </c>
      <c r="D1908" s="1" t="s">
        <v>6864</v>
      </c>
      <c r="E1908" s="1" t="s">
        <v>6865</v>
      </c>
      <c r="F1908" s="2" t="s">
        <v>4396</v>
      </c>
      <c r="G1908" s="2" t="s">
        <v>5915</v>
      </c>
      <c r="H1908" s="2" t="s">
        <v>4531</v>
      </c>
      <c r="I1908" s="2" t="s">
        <v>4386</v>
      </c>
      <c r="J1908" s="2" t="s">
        <v>5916</v>
      </c>
      <c r="K1908" s="2" t="s">
        <v>10</v>
      </c>
    </row>
    <row r="1909" spans="1:12" ht="27.6" hidden="1" x14ac:dyDescent="0.3">
      <c r="A1909" s="2" t="s">
        <v>4386</v>
      </c>
      <c r="B1909" s="2" t="s">
        <v>6866</v>
      </c>
      <c r="C1909" s="3">
        <v>26769</v>
      </c>
      <c r="D1909" s="1" t="s">
        <v>6867</v>
      </c>
      <c r="E1909" s="1" t="s">
        <v>6868</v>
      </c>
      <c r="F1909" s="2" t="s">
        <v>5618</v>
      </c>
      <c r="G1909" s="2" t="s">
        <v>6869</v>
      </c>
      <c r="H1909" s="2" t="s">
        <v>10</v>
      </c>
      <c r="I1909" s="2" t="s">
        <v>4386</v>
      </c>
      <c r="J1909" s="2" t="s">
        <v>6870</v>
      </c>
      <c r="K1909" s="2" t="s">
        <v>10</v>
      </c>
    </row>
    <row r="1910" spans="1:12" ht="27.6" hidden="1" x14ac:dyDescent="0.3">
      <c r="A1910" s="2" t="s">
        <v>4386</v>
      </c>
      <c r="B1910" s="2" t="s">
        <v>6871</v>
      </c>
      <c r="C1910" s="3">
        <v>28989</v>
      </c>
      <c r="D1910" s="1" t="s">
        <v>6872</v>
      </c>
      <c r="E1910" s="1" t="s">
        <v>6873</v>
      </c>
      <c r="F1910" s="2" t="s">
        <v>6831</v>
      </c>
      <c r="G1910" s="2" t="s">
        <v>75</v>
      </c>
      <c r="H1910" s="2" t="s">
        <v>10</v>
      </c>
      <c r="I1910" s="2" t="s">
        <v>4386</v>
      </c>
      <c r="J1910" s="2" t="s">
        <v>6874</v>
      </c>
      <c r="K1910" s="2" t="s">
        <v>10</v>
      </c>
    </row>
    <row r="1911" spans="1:12" ht="27.6" hidden="1" x14ac:dyDescent="0.3">
      <c r="A1911" s="2" t="s">
        <v>4386</v>
      </c>
      <c r="B1911" s="2" t="s">
        <v>6875</v>
      </c>
      <c r="C1911" s="3">
        <v>36546</v>
      </c>
      <c r="D1911" s="1" t="s">
        <v>6876</v>
      </c>
      <c r="E1911" s="1" t="s">
        <v>6877</v>
      </c>
      <c r="F1911" s="2" t="s">
        <v>6831</v>
      </c>
      <c r="G1911" s="2" t="s">
        <v>380</v>
      </c>
      <c r="H1911" s="2" t="s">
        <v>10</v>
      </c>
      <c r="I1911" s="2" t="s">
        <v>4386</v>
      </c>
      <c r="J1911" s="2" t="s">
        <v>1083</v>
      </c>
      <c r="K1911" s="2" t="s">
        <v>10</v>
      </c>
    </row>
    <row r="1912" spans="1:12" ht="27.6" hidden="1" x14ac:dyDescent="0.3">
      <c r="A1912" s="2" t="s">
        <v>4386</v>
      </c>
      <c r="B1912" s="2" t="s">
        <v>6878</v>
      </c>
      <c r="C1912" s="3">
        <v>36679</v>
      </c>
      <c r="D1912" s="1" t="s">
        <v>6879</v>
      </c>
      <c r="E1912" s="1" t="s">
        <v>6880</v>
      </c>
      <c r="F1912" s="2" t="s">
        <v>6095</v>
      </c>
      <c r="G1912" s="2" t="s">
        <v>25</v>
      </c>
      <c r="H1912" s="2" t="s">
        <v>10</v>
      </c>
      <c r="I1912" s="2" t="s">
        <v>4386</v>
      </c>
      <c r="J1912" s="2" t="s">
        <v>305</v>
      </c>
      <c r="K1912" s="2" t="s">
        <v>10</v>
      </c>
    </row>
    <row r="1913" spans="1:12" ht="27.6" hidden="1" x14ac:dyDescent="0.3">
      <c r="A1913" s="2" t="s">
        <v>4386</v>
      </c>
      <c r="B1913" s="2" t="s">
        <v>6881</v>
      </c>
      <c r="C1913" s="3">
        <v>391871</v>
      </c>
      <c r="D1913" s="1" t="s">
        <v>6882</v>
      </c>
      <c r="E1913" s="1" t="s">
        <v>6883</v>
      </c>
      <c r="F1913" s="2" t="s">
        <v>6841</v>
      </c>
      <c r="G1913" s="2" t="s">
        <v>385</v>
      </c>
      <c r="H1913" s="2" t="s">
        <v>10</v>
      </c>
      <c r="I1913" s="2" t="s">
        <v>4386</v>
      </c>
      <c r="J1913" s="2" t="s">
        <v>1074</v>
      </c>
      <c r="K1913" s="2" t="s">
        <v>10</v>
      </c>
    </row>
    <row r="1914" spans="1:12" ht="27.6" hidden="1" x14ac:dyDescent="0.3">
      <c r="A1914" s="2" t="s">
        <v>4386</v>
      </c>
      <c r="B1914" s="2" t="s">
        <v>6884</v>
      </c>
      <c r="C1914" s="3">
        <v>38120</v>
      </c>
      <c r="D1914" s="1" t="s">
        <v>6885</v>
      </c>
      <c r="E1914" s="1" t="s">
        <v>6886</v>
      </c>
      <c r="F1914" s="2" t="s">
        <v>4555</v>
      </c>
      <c r="G1914" s="2" t="s">
        <v>6887</v>
      </c>
      <c r="H1914" s="2" t="s">
        <v>103</v>
      </c>
      <c r="I1914" s="2" t="s">
        <v>4386</v>
      </c>
      <c r="J1914" s="2" t="s">
        <v>6888</v>
      </c>
      <c r="K1914" s="2" t="s">
        <v>10</v>
      </c>
    </row>
    <row r="1915" spans="1:12" ht="27.6" hidden="1" x14ac:dyDescent="0.3">
      <c r="A1915" s="2" t="s">
        <v>4386</v>
      </c>
      <c r="B1915" s="2" t="s">
        <v>6889</v>
      </c>
      <c r="C1915" s="3">
        <v>30570</v>
      </c>
      <c r="D1915" s="1" t="s">
        <v>6890</v>
      </c>
      <c r="E1915" s="1" t="s">
        <v>6891</v>
      </c>
      <c r="F1915" s="2" t="s">
        <v>5231</v>
      </c>
      <c r="G1915" s="2" t="s">
        <v>6892</v>
      </c>
      <c r="H1915" s="2" t="s">
        <v>10</v>
      </c>
      <c r="I1915" s="2" t="s">
        <v>4386</v>
      </c>
      <c r="J1915" s="2" t="s">
        <v>6893</v>
      </c>
      <c r="K1915" s="2" t="s">
        <v>10</v>
      </c>
    </row>
    <row r="1916" spans="1:12" ht="27.6" hidden="1" x14ac:dyDescent="0.3">
      <c r="A1916" s="2" t="s">
        <v>4386</v>
      </c>
      <c r="B1916" s="2" t="s">
        <v>6894</v>
      </c>
      <c r="C1916" s="3">
        <v>30561</v>
      </c>
      <c r="D1916" s="1" t="s">
        <v>6895</v>
      </c>
      <c r="E1916" s="1" t="s">
        <v>6896</v>
      </c>
      <c r="F1916" s="2" t="s">
        <v>4555</v>
      </c>
      <c r="G1916" s="2" t="s">
        <v>6887</v>
      </c>
      <c r="H1916" s="2" t="s">
        <v>10</v>
      </c>
      <c r="I1916" s="2" t="s">
        <v>4386</v>
      </c>
      <c r="J1916" s="2" t="s">
        <v>6897</v>
      </c>
      <c r="K1916" s="2" t="s">
        <v>10</v>
      </c>
    </row>
    <row r="1917" spans="1:12" ht="27.6" hidden="1" x14ac:dyDescent="0.3">
      <c r="A1917" s="2" t="s">
        <v>4386</v>
      </c>
      <c r="B1917" s="2" t="s">
        <v>6898</v>
      </c>
      <c r="C1917" s="3">
        <v>25608</v>
      </c>
      <c r="D1917" s="1" t="s">
        <v>6899</v>
      </c>
      <c r="E1917" s="1" t="s">
        <v>6900</v>
      </c>
      <c r="F1917" s="2" t="s">
        <v>4555</v>
      </c>
      <c r="G1917" s="2" t="s">
        <v>6887</v>
      </c>
      <c r="H1917" s="2" t="s">
        <v>562</v>
      </c>
      <c r="I1917" s="2" t="s">
        <v>4386</v>
      </c>
      <c r="J1917" s="2" t="s">
        <v>6888</v>
      </c>
      <c r="K1917" s="2" t="s">
        <v>10</v>
      </c>
    </row>
    <row r="1918" spans="1:12" ht="27.6" hidden="1" x14ac:dyDescent="0.3">
      <c r="A1918" s="2" t="s">
        <v>4386</v>
      </c>
      <c r="B1918" s="2" t="s">
        <v>6901</v>
      </c>
      <c r="C1918" s="3">
        <v>21436</v>
      </c>
      <c r="D1918" s="1" t="s">
        <v>6902</v>
      </c>
      <c r="E1918" s="1" t="s">
        <v>6903</v>
      </c>
      <c r="F1918" s="2" t="s">
        <v>4396</v>
      </c>
      <c r="G1918" s="2" t="s">
        <v>5952</v>
      </c>
      <c r="H1918" s="2" t="s">
        <v>4531</v>
      </c>
      <c r="I1918" s="2" t="s">
        <v>4386</v>
      </c>
      <c r="J1918" s="2" t="s">
        <v>5953</v>
      </c>
      <c r="K1918" s="2" t="s">
        <v>10</v>
      </c>
    </row>
    <row r="1919" spans="1:12" ht="27.6" hidden="1" x14ac:dyDescent="0.3">
      <c r="A1919" s="2" t="s">
        <v>4386</v>
      </c>
      <c r="B1919" s="2" t="s">
        <v>6904</v>
      </c>
      <c r="C1919" s="3">
        <v>31854</v>
      </c>
      <c r="D1919" s="1" t="s">
        <v>6905</v>
      </c>
      <c r="E1919" s="1" t="s">
        <v>6906</v>
      </c>
      <c r="F1919" s="2" t="s">
        <v>5618</v>
      </c>
      <c r="G1919" s="2" t="s">
        <v>4526</v>
      </c>
      <c r="H1919" s="2" t="s">
        <v>10</v>
      </c>
      <c r="I1919" s="2" t="s">
        <v>4386</v>
      </c>
      <c r="J1919" s="2" t="s">
        <v>6907</v>
      </c>
      <c r="K1919" s="15" t="s">
        <v>10</v>
      </c>
    </row>
    <row r="1920" spans="1:12" ht="27.6" hidden="1" x14ac:dyDescent="0.3">
      <c r="A1920" s="2" t="s">
        <v>4386</v>
      </c>
      <c r="B1920" s="2" t="s">
        <v>6908</v>
      </c>
      <c r="C1920" s="3">
        <v>30828</v>
      </c>
      <c r="D1920" s="1" t="s">
        <v>6909</v>
      </c>
      <c r="E1920" s="1" t="s">
        <v>6910</v>
      </c>
      <c r="F1920" s="2" t="s">
        <v>6231</v>
      </c>
      <c r="G1920" s="2" t="s">
        <v>366</v>
      </c>
      <c r="H1920" s="2" t="s">
        <v>10</v>
      </c>
      <c r="I1920" s="2" t="s">
        <v>4386</v>
      </c>
      <c r="J1920" s="2" t="s">
        <v>6911</v>
      </c>
      <c r="K1920" s="41" t="s">
        <v>13193</v>
      </c>
      <c r="L1920" s="6" t="s">
        <v>13194</v>
      </c>
    </row>
    <row r="1921" spans="1:12" ht="27.6" hidden="1" x14ac:dyDescent="0.3">
      <c r="A1921" s="2" t="s">
        <v>4386</v>
      </c>
      <c r="B1921" s="2" t="s">
        <v>6912</v>
      </c>
      <c r="C1921" s="3">
        <v>26778</v>
      </c>
      <c r="D1921" s="1" t="s">
        <v>6913</v>
      </c>
      <c r="E1921" s="1" t="s">
        <v>6914</v>
      </c>
      <c r="F1921" s="2" t="s">
        <v>4390</v>
      </c>
      <c r="G1921" s="2" t="s">
        <v>6915</v>
      </c>
      <c r="H1921" s="2" t="s">
        <v>10</v>
      </c>
      <c r="I1921" s="2" t="s">
        <v>4386</v>
      </c>
      <c r="J1921" s="2" t="s">
        <v>6916</v>
      </c>
      <c r="K1921" s="18" t="s">
        <v>10</v>
      </c>
    </row>
    <row r="1922" spans="1:12" ht="27.6" hidden="1" x14ac:dyDescent="0.3">
      <c r="A1922" s="2" t="s">
        <v>4386</v>
      </c>
      <c r="B1922" s="2" t="s">
        <v>6917</v>
      </c>
      <c r="C1922" s="3">
        <v>37729</v>
      </c>
      <c r="D1922" s="1" t="s">
        <v>6918</v>
      </c>
      <c r="E1922" s="1" t="s">
        <v>6919</v>
      </c>
      <c r="F1922" s="2" t="s">
        <v>4555</v>
      </c>
      <c r="G1922" s="2" t="s">
        <v>6920</v>
      </c>
      <c r="H1922" s="2" t="s">
        <v>10</v>
      </c>
      <c r="I1922" s="2" t="s">
        <v>4386</v>
      </c>
      <c r="J1922" s="2" t="s">
        <v>6921</v>
      </c>
      <c r="K1922" s="2" t="s">
        <v>10</v>
      </c>
    </row>
    <row r="1923" spans="1:12" ht="27.6" hidden="1" x14ac:dyDescent="0.3">
      <c r="A1923" s="2" t="s">
        <v>4386</v>
      </c>
      <c r="B1923" s="2" t="s">
        <v>6922</v>
      </c>
      <c r="C1923" s="3">
        <v>26322</v>
      </c>
      <c r="D1923" s="1" t="s">
        <v>6923</v>
      </c>
      <c r="E1923" s="1" t="s">
        <v>6924</v>
      </c>
      <c r="F1923" s="2" t="s">
        <v>6925</v>
      </c>
      <c r="G1923" s="2" t="s">
        <v>31</v>
      </c>
      <c r="H1923" s="2" t="s">
        <v>10</v>
      </c>
      <c r="I1923" s="2" t="s">
        <v>4386</v>
      </c>
      <c r="J1923" s="2" t="s">
        <v>684</v>
      </c>
      <c r="K1923" s="2" t="s">
        <v>10</v>
      </c>
    </row>
    <row r="1924" spans="1:12" ht="27.6" hidden="1" x14ac:dyDescent="0.3">
      <c r="A1924" s="2" t="s">
        <v>4386</v>
      </c>
      <c r="B1924" s="2" t="s">
        <v>6926</v>
      </c>
      <c r="C1924" s="3">
        <v>37053</v>
      </c>
      <c r="D1924" s="1" t="s">
        <v>6927</v>
      </c>
      <c r="E1924" s="1" t="s">
        <v>6928</v>
      </c>
      <c r="F1924" s="2" t="s">
        <v>4555</v>
      </c>
      <c r="G1924" s="2" t="s">
        <v>6929</v>
      </c>
      <c r="H1924" s="2" t="s">
        <v>10</v>
      </c>
      <c r="I1924" s="2" t="s">
        <v>4386</v>
      </c>
      <c r="J1924" s="2" t="s">
        <v>6930</v>
      </c>
      <c r="K1924" s="2" t="s">
        <v>10</v>
      </c>
    </row>
    <row r="1925" spans="1:12" ht="27.6" hidden="1" x14ac:dyDescent="0.3">
      <c r="A1925" s="2" t="s">
        <v>4386</v>
      </c>
      <c r="B1925" s="2" t="s">
        <v>6931</v>
      </c>
      <c r="C1925" s="3">
        <v>33684</v>
      </c>
      <c r="D1925" s="1" t="s">
        <v>6932</v>
      </c>
      <c r="E1925" s="1" t="s">
        <v>6933</v>
      </c>
      <c r="F1925" s="2" t="s">
        <v>6925</v>
      </c>
      <c r="G1925" s="2" t="s">
        <v>385</v>
      </c>
      <c r="H1925" s="2" t="s">
        <v>103</v>
      </c>
      <c r="I1925" s="2" t="s">
        <v>4386</v>
      </c>
      <c r="J1925" s="2" t="s">
        <v>913</v>
      </c>
      <c r="K1925" s="2" t="s">
        <v>10</v>
      </c>
    </row>
    <row r="1926" spans="1:12" ht="27.6" hidden="1" x14ac:dyDescent="0.3">
      <c r="A1926" s="2" t="s">
        <v>4386</v>
      </c>
      <c r="B1926" s="2" t="s">
        <v>6934</v>
      </c>
      <c r="C1926" s="3">
        <v>19963</v>
      </c>
      <c r="D1926" s="1" t="s">
        <v>6935</v>
      </c>
      <c r="E1926" s="1" t="s">
        <v>6936</v>
      </c>
      <c r="F1926" s="2" t="s">
        <v>6925</v>
      </c>
      <c r="G1926" s="2" t="s">
        <v>75</v>
      </c>
      <c r="H1926" s="2" t="s">
        <v>10</v>
      </c>
      <c r="I1926" s="2" t="s">
        <v>4386</v>
      </c>
      <c r="J1926" s="2" t="s">
        <v>76</v>
      </c>
      <c r="K1926" s="2" t="s">
        <v>10</v>
      </c>
    </row>
    <row r="1927" spans="1:12" ht="27.6" hidden="1" x14ac:dyDescent="0.3">
      <c r="A1927" s="2" t="s">
        <v>4386</v>
      </c>
      <c r="B1927" s="2" t="s">
        <v>6937</v>
      </c>
      <c r="C1927" s="3">
        <v>34479</v>
      </c>
      <c r="D1927" s="1" t="s">
        <v>6938</v>
      </c>
      <c r="E1927" s="1" t="s">
        <v>6939</v>
      </c>
      <c r="F1927" s="2" t="s">
        <v>4555</v>
      </c>
      <c r="G1927" s="2" t="s">
        <v>6940</v>
      </c>
      <c r="H1927" s="2" t="s">
        <v>10</v>
      </c>
      <c r="I1927" s="2" t="s">
        <v>4386</v>
      </c>
      <c r="J1927" s="2" t="s">
        <v>6941</v>
      </c>
      <c r="K1927" s="2" t="s">
        <v>10</v>
      </c>
    </row>
    <row r="1928" spans="1:12" ht="27.6" hidden="1" x14ac:dyDescent="0.3">
      <c r="A1928" s="2" t="s">
        <v>4386</v>
      </c>
      <c r="B1928" s="2" t="s">
        <v>6942</v>
      </c>
      <c r="C1928" s="3">
        <v>39255</v>
      </c>
      <c r="D1928" s="1" t="s">
        <v>6943</v>
      </c>
      <c r="E1928" s="1" t="s">
        <v>6944</v>
      </c>
      <c r="F1928" s="2" t="s">
        <v>4555</v>
      </c>
      <c r="G1928" s="2" t="s">
        <v>6945</v>
      </c>
      <c r="H1928" s="2" t="s">
        <v>10</v>
      </c>
      <c r="I1928" s="2" t="s">
        <v>4386</v>
      </c>
      <c r="J1928" s="2" t="s">
        <v>6946</v>
      </c>
      <c r="K1928" s="15" t="s">
        <v>10</v>
      </c>
    </row>
    <row r="1929" spans="1:12" ht="27.6" hidden="1" x14ac:dyDescent="0.3">
      <c r="A1929" s="2" t="s">
        <v>4386</v>
      </c>
      <c r="B1929" s="2" t="s">
        <v>6947</v>
      </c>
      <c r="C1929" s="3">
        <v>31631</v>
      </c>
      <c r="D1929" s="1" t="s">
        <v>6948</v>
      </c>
      <c r="E1929" s="1" t="s">
        <v>6949</v>
      </c>
      <c r="F1929" s="2" t="s">
        <v>6950</v>
      </c>
      <c r="G1929" s="2" t="s">
        <v>12</v>
      </c>
      <c r="H1929" s="2" t="s">
        <v>10</v>
      </c>
      <c r="I1929" s="2" t="s">
        <v>4386</v>
      </c>
      <c r="J1929" s="2" t="s">
        <v>540</v>
      </c>
      <c r="K1929" s="30" t="s">
        <v>13193</v>
      </c>
      <c r="L1929" s="6" t="s">
        <v>13194</v>
      </c>
    </row>
    <row r="1930" spans="1:12" ht="27.6" hidden="1" x14ac:dyDescent="0.3">
      <c r="A1930" s="2" t="s">
        <v>4386</v>
      </c>
      <c r="B1930" s="2" t="s">
        <v>6951</v>
      </c>
      <c r="C1930" s="3">
        <v>35952</v>
      </c>
      <c r="D1930" s="1" t="s">
        <v>6952</v>
      </c>
      <c r="E1930" s="1" t="s">
        <v>6953</v>
      </c>
      <c r="F1930" s="2" t="s">
        <v>6950</v>
      </c>
      <c r="G1930" s="2" t="s">
        <v>425</v>
      </c>
      <c r="H1930" s="2" t="s">
        <v>103</v>
      </c>
      <c r="I1930" s="2" t="s">
        <v>4386</v>
      </c>
      <c r="J1930" s="2" t="s">
        <v>1181</v>
      </c>
      <c r="K1930" s="2" t="s">
        <v>10</v>
      </c>
      <c r="L1930" s="6"/>
    </row>
    <row r="1931" spans="1:12" ht="27.6" hidden="1" x14ac:dyDescent="0.3">
      <c r="A1931" s="2" t="s">
        <v>4386</v>
      </c>
      <c r="B1931" s="2" t="s">
        <v>6954</v>
      </c>
      <c r="C1931" s="3">
        <v>33903</v>
      </c>
      <c r="D1931" s="1" t="s">
        <v>6955</v>
      </c>
      <c r="E1931" s="1" t="s">
        <v>6956</v>
      </c>
      <c r="F1931" s="2" t="s">
        <v>6950</v>
      </c>
      <c r="G1931" s="2" t="s">
        <v>112</v>
      </c>
      <c r="H1931" s="2" t="s">
        <v>103</v>
      </c>
      <c r="I1931" s="2" t="s">
        <v>4386</v>
      </c>
      <c r="J1931" s="2" t="s">
        <v>315</v>
      </c>
      <c r="K1931" s="30" t="s">
        <v>13193</v>
      </c>
      <c r="L1931" s="6" t="s">
        <v>13194</v>
      </c>
    </row>
    <row r="1932" spans="1:12" ht="27.6" hidden="1" x14ac:dyDescent="0.3">
      <c r="A1932" s="2" t="s">
        <v>4386</v>
      </c>
      <c r="B1932" s="2" t="s">
        <v>6957</v>
      </c>
      <c r="C1932" s="3">
        <v>30412</v>
      </c>
      <c r="D1932" s="1" t="s">
        <v>6958</v>
      </c>
      <c r="E1932" s="1" t="s">
        <v>6959</v>
      </c>
      <c r="F1932" s="2" t="s">
        <v>6950</v>
      </c>
      <c r="G1932" s="2" t="s">
        <v>380</v>
      </c>
      <c r="H1932" s="2" t="s">
        <v>10</v>
      </c>
      <c r="I1932" s="2" t="s">
        <v>4386</v>
      </c>
      <c r="J1932" s="2" t="s">
        <v>1083</v>
      </c>
      <c r="K1932" s="30" t="s">
        <v>13193</v>
      </c>
      <c r="L1932" s="6" t="s">
        <v>13194</v>
      </c>
    </row>
    <row r="1933" spans="1:12" ht="27.6" hidden="1" x14ac:dyDescent="0.3">
      <c r="A1933" s="2" t="s">
        <v>4386</v>
      </c>
      <c r="B1933" s="2" t="s">
        <v>6960</v>
      </c>
      <c r="C1933" s="3">
        <v>33410</v>
      </c>
      <c r="D1933" s="1" t="s">
        <v>6961</v>
      </c>
      <c r="E1933" s="1" t="s">
        <v>6962</v>
      </c>
      <c r="F1933" s="2" t="s">
        <v>6950</v>
      </c>
      <c r="G1933" s="2" t="s">
        <v>696</v>
      </c>
      <c r="H1933" s="2" t="s">
        <v>10</v>
      </c>
      <c r="I1933" s="2" t="s">
        <v>4386</v>
      </c>
      <c r="J1933" s="2" t="s">
        <v>6963</v>
      </c>
      <c r="K1933" s="30" t="s">
        <v>13193</v>
      </c>
      <c r="L1933" s="6" t="s">
        <v>13194</v>
      </c>
    </row>
    <row r="1934" spans="1:12" ht="27.6" hidden="1" x14ac:dyDescent="0.3">
      <c r="A1934" s="2" t="s">
        <v>4386</v>
      </c>
      <c r="B1934" s="2" t="s">
        <v>6964</v>
      </c>
      <c r="C1934" s="3">
        <v>34679</v>
      </c>
      <c r="D1934" s="1" t="s">
        <v>6965</v>
      </c>
      <c r="E1934" s="1" t="s">
        <v>6966</v>
      </c>
      <c r="F1934" s="2" t="s">
        <v>6950</v>
      </c>
      <c r="G1934" s="2" t="s">
        <v>37</v>
      </c>
      <c r="H1934" s="2" t="s">
        <v>10</v>
      </c>
      <c r="I1934" s="2" t="s">
        <v>4386</v>
      </c>
      <c r="J1934" s="2" t="s">
        <v>6967</v>
      </c>
      <c r="K1934" s="30" t="s">
        <v>13193</v>
      </c>
      <c r="L1934" s="6" t="s">
        <v>13194</v>
      </c>
    </row>
    <row r="1935" spans="1:12" ht="27.6" hidden="1" x14ac:dyDescent="0.3">
      <c r="A1935" s="2" t="s">
        <v>4386</v>
      </c>
      <c r="B1935" s="2" t="s">
        <v>6968</v>
      </c>
      <c r="C1935" s="3">
        <v>31321</v>
      </c>
      <c r="D1935" s="1" t="s">
        <v>6969</v>
      </c>
      <c r="E1935" s="1" t="s">
        <v>6970</v>
      </c>
      <c r="F1935" s="2" t="s">
        <v>6950</v>
      </c>
      <c r="G1935" s="2" t="s">
        <v>511</v>
      </c>
      <c r="H1935" s="2" t="s">
        <v>10</v>
      </c>
      <c r="I1935" s="2" t="s">
        <v>4386</v>
      </c>
      <c r="J1935" s="2" t="s">
        <v>6971</v>
      </c>
      <c r="K1935" s="30" t="s">
        <v>13193</v>
      </c>
      <c r="L1935" s="6" t="s">
        <v>13194</v>
      </c>
    </row>
    <row r="1936" spans="1:12" ht="27.6" hidden="1" x14ac:dyDescent="0.3">
      <c r="A1936" s="2" t="s">
        <v>4386</v>
      </c>
      <c r="B1936" s="2" t="s">
        <v>6972</v>
      </c>
      <c r="C1936" s="3">
        <v>29171</v>
      </c>
      <c r="D1936" s="1" t="s">
        <v>6973</v>
      </c>
      <c r="E1936" s="1" t="s">
        <v>6974</v>
      </c>
      <c r="F1936" s="2" t="s">
        <v>6950</v>
      </c>
      <c r="G1936" s="2" t="s">
        <v>92</v>
      </c>
      <c r="H1936" s="2" t="s">
        <v>10</v>
      </c>
      <c r="I1936" s="2" t="s">
        <v>4386</v>
      </c>
      <c r="J1936" s="2" t="s">
        <v>826</v>
      </c>
      <c r="K1936" s="30" t="s">
        <v>13193</v>
      </c>
      <c r="L1936" s="6" t="s">
        <v>13194</v>
      </c>
    </row>
    <row r="1937" spans="1:12" ht="27.6" hidden="1" x14ac:dyDescent="0.3">
      <c r="A1937" s="2" t="s">
        <v>4386</v>
      </c>
      <c r="B1937" s="2" t="s">
        <v>6975</v>
      </c>
      <c r="C1937" s="3">
        <v>37465</v>
      </c>
      <c r="D1937" s="1" t="s">
        <v>6976</v>
      </c>
      <c r="E1937" s="1" t="s">
        <v>6977</v>
      </c>
      <c r="F1937" s="2" t="s">
        <v>6831</v>
      </c>
      <c r="G1937" s="2" t="s">
        <v>380</v>
      </c>
      <c r="H1937" s="2" t="s">
        <v>334</v>
      </c>
      <c r="I1937" s="2" t="s">
        <v>4386</v>
      </c>
      <c r="J1937" s="2" t="s">
        <v>1083</v>
      </c>
      <c r="K1937" s="18" t="s">
        <v>10</v>
      </c>
    </row>
    <row r="1938" spans="1:12" ht="27.6" hidden="1" x14ac:dyDescent="0.3">
      <c r="A1938" s="2" t="s">
        <v>4386</v>
      </c>
      <c r="B1938" s="2" t="s">
        <v>6978</v>
      </c>
      <c r="C1938" s="3">
        <v>30105</v>
      </c>
      <c r="D1938" s="1" t="s">
        <v>6979</v>
      </c>
      <c r="E1938" s="1" t="s">
        <v>6980</v>
      </c>
      <c r="F1938" s="2" t="s">
        <v>4555</v>
      </c>
      <c r="G1938" s="2" t="s">
        <v>6981</v>
      </c>
      <c r="H1938" s="2" t="s">
        <v>10</v>
      </c>
      <c r="I1938" s="2" t="s">
        <v>4386</v>
      </c>
      <c r="J1938" s="2" t="s">
        <v>6982</v>
      </c>
      <c r="K1938" s="2" t="s">
        <v>10</v>
      </c>
    </row>
    <row r="1939" spans="1:12" ht="27.6" hidden="1" x14ac:dyDescent="0.3">
      <c r="A1939" s="2" t="s">
        <v>4386</v>
      </c>
      <c r="B1939" s="2" t="s">
        <v>6983</v>
      </c>
      <c r="C1939" s="3">
        <v>37539</v>
      </c>
      <c r="D1939" s="1" t="s">
        <v>6984</v>
      </c>
      <c r="E1939" s="1" t="s">
        <v>6985</v>
      </c>
      <c r="F1939" s="2" t="s">
        <v>4555</v>
      </c>
      <c r="G1939" s="2" t="s">
        <v>6986</v>
      </c>
      <c r="H1939" s="2" t="s">
        <v>103</v>
      </c>
      <c r="I1939" s="2" t="s">
        <v>4386</v>
      </c>
      <c r="J1939" s="2" t="s">
        <v>6987</v>
      </c>
      <c r="K1939" s="15" t="s">
        <v>10</v>
      </c>
    </row>
    <row r="1940" spans="1:12" ht="27.6" hidden="1" x14ac:dyDescent="0.3">
      <c r="A1940" s="2" t="s">
        <v>4386</v>
      </c>
      <c r="B1940" s="2" t="s">
        <v>6988</v>
      </c>
      <c r="C1940" s="3">
        <v>33476</v>
      </c>
      <c r="D1940" s="1" t="s">
        <v>6989</v>
      </c>
      <c r="E1940" s="1" t="s">
        <v>6990</v>
      </c>
      <c r="F1940" s="2" t="s">
        <v>6239</v>
      </c>
      <c r="G1940" s="2" t="s">
        <v>75</v>
      </c>
      <c r="H1940" s="2" t="s">
        <v>10</v>
      </c>
      <c r="I1940" s="2" t="s">
        <v>4386</v>
      </c>
      <c r="J1940" s="2" t="s">
        <v>5499</v>
      </c>
      <c r="K1940" s="30" t="s">
        <v>13193</v>
      </c>
      <c r="L1940" s="6" t="s">
        <v>13194</v>
      </c>
    </row>
    <row r="1941" spans="1:12" ht="27.6" hidden="1" x14ac:dyDescent="0.3">
      <c r="A1941" s="2" t="s">
        <v>4386</v>
      </c>
      <c r="B1941" s="2" t="s">
        <v>6991</v>
      </c>
      <c r="C1941" s="3">
        <v>30806</v>
      </c>
      <c r="D1941" s="1" t="s">
        <v>6992</v>
      </c>
      <c r="E1941" s="1" t="s">
        <v>6993</v>
      </c>
      <c r="F1941" s="2" t="s">
        <v>6925</v>
      </c>
      <c r="G1941" s="2" t="s">
        <v>48</v>
      </c>
      <c r="H1941" s="2" t="s">
        <v>10</v>
      </c>
      <c r="I1941" s="2" t="s">
        <v>4386</v>
      </c>
      <c r="J1941" s="2" t="s">
        <v>700</v>
      </c>
      <c r="K1941" s="18" t="s">
        <v>10</v>
      </c>
    </row>
    <row r="1942" spans="1:12" ht="27.6" hidden="1" x14ac:dyDescent="0.3">
      <c r="A1942" s="2" t="s">
        <v>4386</v>
      </c>
      <c r="B1942" s="2" t="s">
        <v>6994</v>
      </c>
      <c r="C1942" s="3">
        <v>24739</v>
      </c>
      <c r="D1942" s="1" t="s">
        <v>6995</v>
      </c>
      <c r="E1942" s="1" t="s">
        <v>6996</v>
      </c>
      <c r="F1942" s="2" t="s">
        <v>6925</v>
      </c>
      <c r="G1942" s="2" t="s">
        <v>25</v>
      </c>
      <c r="H1942" s="2" t="s">
        <v>10</v>
      </c>
      <c r="I1942" s="2" t="s">
        <v>4386</v>
      </c>
      <c r="J1942" s="2" t="s">
        <v>27</v>
      </c>
      <c r="K1942" s="2" t="s">
        <v>10</v>
      </c>
    </row>
    <row r="1943" spans="1:12" ht="27.6" hidden="1" x14ac:dyDescent="0.3">
      <c r="A1943" s="2" t="s">
        <v>4386</v>
      </c>
      <c r="B1943" s="2" t="s">
        <v>6997</v>
      </c>
      <c r="C1943" s="3">
        <v>27558</v>
      </c>
      <c r="D1943" s="1" t="s">
        <v>6998</v>
      </c>
      <c r="E1943" s="1" t="s">
        <v>6999</v>
      </c>
      <c r="F1943" s="2" t="s">
        <v>6925</v>
      </c>
      <c r="G1943" s="2" t="s">
        <v>92</v>
      </c>
      <c r="H1943" s="2" t="s">
        <v>10</v>
      </c>
      <c r="I1943" s="2" t="s">
        <v>4386</v>
      </c>
      <c r="J1943" s="2" t="s">
        <v>93</v>
      </c>
      <c r="K1943" s="2" t="s">
        <v>10</v>
      </c>
    </row>
    <row r="1944" spans="1:12" ht="27.6" hidden="1" x14ac:dyDescent="0.3">
      <c r="A1944" s="2" t="s">
        <v>4386</v>
      </c>
      <c r="B1944" s="2" t="s">
        <v>7000</v>
      </c>
      <c r="C1944" s="3">
        <v>32692</v>
      </c>
      <c r="D1944" s="1" t="s">
        <v>7001</v>
      </c>
      <c r="E1944" s="1" t="s">
        <v>7002</v>
      </c>
      <c r="F1944" s="2" t="s">
        <v>6925</v>
      </c>
      <c r="G1944" s="2" t="s">
        <v>80</v>
      </c>
      <c r="H1944" s="2" t="s">
        <v>10</v>
      </c>
      <c r="I1944" s="2" t="s">
        <v>4386</v>
      </c>
      <c r="J1944" s="2" t="s">
        <v>1881</v>
      </c>
      <c r="K1944" s="2" t="s">
        <v>10</v>
      </c>
    </row>
    <row r="1945" spans="1:12" ht="27.6" hidden="1" x14ac:dyDescent="0.3">
      <c r="A1945" s="2" t="s">
        <v>4386</v>
      </c>
      <c r="B1945" s="2" t="s">
        <v>7003</v>
      </c>
      <c r="C1945" s="3">
        <v>35114</v>
      </c>
      <c r="D1945" s="1" t="s">
        <v>7004</v>
      </c>
      <c r="E1945" s="1" t="s">
        <v>7005</v>
      </c>
      <c r="F1945" s="2" t="s">
        <v>6212</v>
      </c>
      <c r="G1945" s="2" t="s">
        <v>7006</v>
      </c>
      <c r="H1945" s="2" t="s">
        <v>10</v>
      </c>
      <c r="I1945" s="2" t="s">
        <v>4386</v>
      </c>
      <c r="J1945" s="2" t="s">
        <v>7007</v>
      </c>
      <c r="K1945" s="2" t="s">
        <v>10</v>
      </c>
    </row>
    <row r="1946" spans="1:12" ht="27.6" hidden="1" x14ac:dyDescent="0.3">
      <c r="A1946" s="2" t="s">
        <v>4386</v>
      </c>
      <c r="B1946" s="2" t="s">
        <v>7008</v>
      </c>
      <c r="C1946" s="3">
        <v>37088</v>
      </c>
      <c r="D1946" s="1" t="s">
        <v>7009</v>
      </c>
      <c r="E1946" s="1" t="s">
        <v>7010</v>
      </c>
      <c r="F1946" s="2" t="s">
        <v>4555</v>
      </c>
      <c r="G1946" s="2" t="s">
        <v>6986</v>
      </c>
      <c r="H1946" s="2" t="s">
        <v>81</v>
      </c>
      <c r="I1946" s="2" t="s">
        <v>4386</v>
      </c>
      <c r="J1946" s="2" t="s">
        <v>7011</v>
      </c>
      <c r="K1946" s="2" t="s">
        <v>10</v>
      </c>
    </row>
    <row r="1947" spans="1:12" ht="27.6" hidden="1" x14ac:dyDescent="0.3">
      <c r="A1947" s="2" t="s">
        <v>4386</v>
      </c>
      <c r="B1947" s="2" t="s">
        <v>7012</v>
      </c>
      <c r="C1947" s="3">
        <v>27688</v>
      </c>
      <c r="D1947" s="1" t="s">
        <v>7013</v>
      </c>
      <c r="E1947" s="1" t="s">
        <v>7014</v>
      </c>
      <c r="F1947" s="2" t="s">
        <v>4555</v>
      </c>
      <c r="G1947" s="2" t="s">
        <v>7015</v>
      </c>
      <c r="H1947" s="2" t="s">
        <v>103</v>
      </c>
      <c r="I1947" s="2" t="s">
        <v>4386</v>
      </c>
      <c r="J1947" s="2" t="s">
        <v>7016</v>
      </c>
      <c r="K1947" s="2" t="s">
        <v>10</v>
      </c>
    </row>
    <row r="1948" spans="1:12" ht="27.6" hidden="1" x14ac:dyDescent="0.3">
      <c r="A1948" s="2" t="s">
        <v>4386</v>
      </c>
      <c r="B1948" s="2" t="s">
        <v>7017</v>
      </c>
      <c r="C1948" s="3">
        <v>37087</v>
      </c>
      <c r="D1948" s="1" t="s">
        <v>6702</v>
      </c>
      <c r="E1948" s="1" t="s">
        <v>6703</v>
      </c>
      <c r="F1948" s="2" t="s">
        <v>4555</v>
      </c>
      <c r="G1948" s="2" t="s">
        <v>6699</v>
      </c>
      <c r="H1948" s="2" t="s">
        <v>562</v>
      </c>
      <c r="I1948" s="2" t="s">
        <v>4386</v>
      </c>
      <c r="J1948" s="2" t="s">
        <v>6705</v>
      </c>
      <c r="K1948" s="2" t="s">
        <v>10</v>
      </c>
    </row>
    <row r="1949" spans="1:12" ht="27.6" hidden="1" x14ac:dyDescent="0.3">
      <c r="A1949" s="2" t="s">
        <v>4386</v>
      </c>
      <c r="B1949" s="2" t="s">
        <v>7018</v>
      </c>
      <c r="C1949" s="3">
        <v>31344</v>
      </c>
      <c r="D1949" s="1" t="s">
        <v>7019</v>
      </c>
      <c r="E1949" s="1" t="s">
        <v>7020</v>
      </c>
      <c r="F1949" s="2" t="s">
        <v>5053</v>
      </c>
      <c r="G1949" s="2" t="s">
        <v>739</v>
      </c>
      <c r="H1949" s="2" t="s">
        <v>103</v>
      </c>
      <c r="I1949" s="2" t="s">
        <v>4386</v>
      </c>
      <c r="J1949" s="2" t="s">
        <v>1309</v>
      </c>
      <c r="K1949" s="2" t="s">
        <v>10</v>
      </c>
    </row>
    <row r="1950" spans="1:12" ht="27.6" hidden="1" x14ac:dyDescent="0.3">
      <c r="A1950" s="2" t="s">
        <v>4386</v>
      </c>
      <c r="B1950" s="2" t="s">
        <v>7021</v>
      </c>
      <c r="C1950" s="3">
        <v>34279</v>
      </c>
      <c r="D1950" s="1" t="s">
        <v>7022</v>
      </c>
      <c r="E1950" s="1" t="s">
        <v>7023</v>
      </c>
      <c r="F1950" s="2" t="s">
        <v>6270</v>
      </c>
      <c r="G1950" s="2" t="s">
        <v>112</v>
      </c>
      <c r="H1950" s="2" t="s">
        <v>10</v>
      </c>
      <c r="I1950" s="2" t="s">
        <v>4386</v>
      </c>
      <c r="J1950" s="2" t="s">
        <v>315</v>
      </c>
      <c r="K1950" s="40" t="s">
        <v>13193</v>
      </c>
      <c r="L1950" s="6" t="s">
        <v>13194</v>
      </c>
    </row>
    <row r="1951" spans="1:12" ht="27.6" hidden="1" x14ac:dyDescent="0.3">
      <c r="A1951" s="2" t="s">
        <v>4386</v>
      </c>
      <c r="B1951" s="2" t="s">
        <v>7024</v>
      </c>
      <c r="C1951" s="3">
        <v>36378</v>
      </c>
      <c r="D1951" s="1" t="s">
        <v>7025</v>
      </c>
      <c r="E1951" s="1" t="s">
        <v>7026</v>
      </c>
      <c r="F1951" s="2" t="s">
        <v>6270</v>
      </c>
      <c r="G1951" s="2" t="s">
        <v>48</v>
      </c>
      <c r="H1951" s="2" t="s">
        <v>10</v>
      </c>
      <c r="I1951" s="2" t="s">
        <v>4386</v>
      </c>
      <c r="J1951" s="2" t="s">
        <v>1181</v>
      </c>
      <c r="K1951" s="42" t="s">
        <v>13193</v>
      </c>
      <c r="L1951" s="24" t="s">
        <v>13194</v>
      </c>
    </row>
    <row r="1952" spans="1:12" ht="27.6" hidden="1" x14ac:dyDescent="0.3">
      <c r="A1952" s="2" t="s">
        <v>4386</v>
      </c>
      <c r="B1952" s="2" t="s">
        <v>7027</v>
      </c>
      <c r="C1952" s="3">
        <v>29223</v>
      </c>
      <c r="D1952" s="1" t="s">
        <v>7028</v>
      </c>
      <c r="E1952" s="1" t="s">
        <v>7029</v>
      </c>
      <c r="F1952" s="2" t="s">
        <v>7030</v>
      </c>
      <c r="G1952" s="2" t="s">
        <v>7031</v>
      </c>
      <c r="H1952" s="2" t="s">
        <v>10</v>
      </c>
      <c r="I1952" s="2" t="s">
        <v>4386</v>
      </c>
      <c r="J1952" s="2" t="s">
        <v>7032</v>
      </c>
      <c r="K1952" s="30" t="s">
        <v>13193</v>
      </c>
      <c r="L1952" s="6" t="s">
        <v>13194</v>
      </c>
    </row>
    <row r="1953" spans="1:12" ht="27.6" hidden="1" x14ac:dyDescent="0.3">
      <c r="A1953" s="2" t="s">
        <v>4386</v>
      </c>
      <c r="B1953" s="2" t="s">
        <v>7033</v>
      </c>
      <c r="C1953" s="3">
        <v>18793</v>
      </c>
      <c r="D1953" s="1" t="s">
        <v>7034</v>
      </c>
      <c r="E1953" s="1" t="s">
        <v>7035</v>
      </c>
      <c r="F1953" s="2" t="s">
        <v>5559</v>
      </c>
      <c r="G1953" s="2" t="s">
        <v>7036</v>
      </c>
      <c r="H1953" s="2" t="s">
        <v>103</v>
      </c>
      <c r="I1953" s="2" t="s">
        <v>4386</v>
      </c>
      <c r="J1953" s="2" t="s">
        <v>7037</v>
      </c>
      <c r="K1953" s="38" t="s">
        <v>13193</v>
      </c>
      <c r="L1953" s="26" t="s">
        <v>13194</v>
      </c>
    </row>
    <row r="1954" spans="1:12" ht="27.6" hidden="1" x14ac:dyDescent="0.3">
      <c r="A1954" s="2" t="s">
        <v>4386</v>
      </c>
      <c r="B1954" s="2" t="s">
        <v>7038</v>
      </c>
      <c r="C1954" s="3">
        <v>27974</v>
      </c>
      <c r="D1954" s="1" t="s">
        <v>7039</v>
      </c>
      <c r="E1954" s="1" t="s">
        <v>7040</v>
      </c>
      <c r="F1954" s="2" t="s">
        <v>5559</v>
      </c>
      <c r="G1954" s="2" t="s">
        <v>7041</v>
      </c>
      <c r="H1954" s="2" t="s">
        <v>10</v>
      </c>
      <c r="I1954" s="2" t="s">
        <v>4386</v>
      </c>
      <c r="J1954" s="2" t="s">
        <v>7042</v>
      </c>
      <c r="K1954" s="2" t="s">
        <v>10</v>
      </c>
      <c r="L1954" s="6"/>
    </row>
    <row r="1955" spans="1:12" ht="27.6" hidden="1" x14ac:dyDescent="0.3">
      <c r="A1955" s="2" t="s">
        <v>4386</v>
      </c>
      <c r="B1955" s="2" t="s">
        <v>7043</v>
      </c>
      <c r="C1955" s="3">
        <v>32726</v>
      </c>
      <c r="D1955" s="1" t="s">
        <v>7044</v>
      </c>
      <c r="E1955" s="1" t="s">
        <v>7045</v>
      </c>
      <c r="F1955" s="2" t="s">
        <v>6270</v>
      </c>
      <c r="G1955" s="2" t="s">
        <v>425</v>
      </c>
      <c r="H1955" s="2" t="s">
        <v>10</v>
      </c>
      <c r="I1955" s="2" t="s">
        <v>4386</v>
      </c>
      <c r="J1955" s="2" t="s">
        <v>49</v>
      </c>
      <c r="K1955" s="43" t="s">
        <v>13193</v>
      </c>
      <c r="L1955" s="26" t="s">
        <v>13194</v>
      </c>
    </row>
    <row r="1956" spans="1:12" ht="55.2" hidden="1" x14ac:dyDescent="0.3">
      <c r="A1956" s="2" t="s">
        <v>4604</v>
      </c>
      <c r="B1956" s="2" t="s">
        <v>7046</v>
      </c>
      <c r="C1956" s="3">
        <v>32859</v>
      </c>
      <c r="D1956" s="1" t="s">
        <v>7047</v>
      </c>
      <c r="E1956" s="1" t="s">
        <v>7048</v>
      </c>
      <c r="F1956" s="2" t="s">
        <v>5698</v>
      </c>
      <c r="G1956" s="2" t="s">
        <v>604</v>
      </c>
      <c r="H1956" s="2" t="s">
        <v>7049</v>
      </c>
      <c r="I1956" s="2" t="s">
        <v>4604</v>
      </c>
      <c r="J1956" s="2" t="s">
        <v>5551</v>
      </c>
      <c r="K1956" s="2" t="s">
        <v>10</v>
      </c>
    </row>
    <row r="1957" spans="1:12" ht="55.2" hidden="1" x14ac:dyDescent="0.3">
      <c r="A1957" s="2" t="s">
        <v>4604</v>
      </c>
      <c r="B1957" s="2" t="s">
        <v>7050</v>
      </c>
      <c r="C1957" s="3">
        <v>29159</v>
      </c>
      <c r="D1957" s="1" t="s">
        <v>7051</v>
      </c>
      <c r="E1957" s="1" t="s">
        <v>7052</v>
      </c>
      <c r="F1957" s="2" t="s">
        <v>5698</v>
      </c>
      <c r="G1957" s="2" t="s">
        <v>350</v>
      </c>
      <c r="H1957" s="2" t="s">
        <v>7053</v>
      </c>
      <c r="I1957" s="2" t="s">
        <v>4604</v>
      </c>
      <c r="J1957" s="2" t="s">
        <v>5227</v>
      </c>
      <c r="K1957" s="2" t="s">
        <v>10</v>
      </c>
    </row>
    <row r="1958" spans="1:12" ht="55.2" hidden="1" x14ac:dyDescent="0.3">
      <c r="A1958" s="2" t="s">
        <v>4604</v>
      </c>
      <c r="B1958" s="2" t="s">
        <v>7054</v>
      </c>
      <c r="C1958" s="3">
        <v>36124</v>
      </c>
      <c r="D1958" s="1" t="s">
        <v>7055</v>
      </c>
      <c r="E1958" s="1" t="s">
        <v>7056</v>
      </c>
      <c r="F1958" s="2" t="s">
        <v>5698</v>
      </c>
      <c r="G1958" s="2" t="s">
        <v>643</v>
      </c>
      <c r="H1958" s="2" t="s">
        <v>7057</v>
      </c>
      <c r="I1958" s="2" t="s">
        <v>4604</v>
      </c>
      <c r="J1958" s="2" t="s">
        <v>4705</v>
      </c>
      <c r="K1958" s="2" t="s">
        <v>10</v>
      </c>
    </row>
    <row r="1959" spans="1:12" ht="55.2" hidden="1" x14ac:dyDescent="0.3">
      <c r="A1959" s="2" t="s">
        <v>4604</v>
      </c>
      <c r="B1959" s="2" t="s">
        <v>7058</v>
      </c>
      <c r="C1959" s="3">
        <v>28222</v>
      </c>
      <c r="D1959" s="1" t="s">
        <v>7059</v>
      </c>
      <c r="E1959" s="1" t="s">
        <v>7060</v>
      </c>
      <c r="F1959" s="2" t="s">
        <v>4608</v>
      </c>
      <c r="G1959" s="2" t="s">
        <v>696</v>
      </c>
      <c r="H1959" s="2" t="s">
        <v>1324</v>
      </c>
      <c r="I1959" s="2" t="s">
        <v>4604</v>
      </c>
      <c r="J1959" s="2" t="s">
        <v>7061</v>
      </c>
      <c r="K1959" s="2" t="s">
        <v>10</v>
      </c>
    </row>
    <row r="1960" spans="1:12" ht="55.2" hidden="1" x14ac:dyDescent="0.3">
      <c r="A1960" s="2" t="s">
        <v>4604</v>
      </c>
      <c r="B1960" s="2" t="s">
        <v>7062</v>
      </c>
      <c r="C1960" s="3">
        <v>29887</v>
      </c>
      <c r="D1960" s="1" t="s">
        <v>7063</v>
      </c>
      <c r="E1960" s="1" t="s">
        <v>7064</v>
      </c>
      <c r="F1960" s="2" t="s">
        <v>4608</v>
      </c>
      <c r="G1960" s="2" t="s">
        <v>37</v>
      </c>
      <c r="H1960" s="2" t="s">
        <v>334</v>
      </c>
      <c r="I1960" s="2" t="s">
        <v>4604</v>
      </c>
      <c r="J1960" s="2" t="s">
        <v>5175</v>
      </c>
      <c r="K1960" s="2" t="s">
        <v>10</v>
      </c>
    </row>
    <row r="1961" spans="1:12" ht="27.6" hidden="1" x14ac:dyDescent="0.3">
      <c r="A1961" s="2" t="s">
        <v>4386</v>
      </c>
      <c r="B1961" s="2" t="s">
        <v>7065</v>
      </c>
      <c r="C1961" s="3">
        <v>37553</v>
      </c>
      <c r="D1961" s="1" t="s">
        <v>7066</v>
      </c>
      <c r="E1961" s="1" t="s">
        <v>7067</v>
      </c>
      <c r="F1961" s="2" t="s">
        <v>4396</v>
      </c>
      <c r="G1961" s="2" t="s">
        <v>7068</v>
      </c>
      <c r="H1961" s="2" t="s">
        <v>10</v>
      </c>
      <c r="I1961" s="2" t="s">
        <v>4386</v>
      </c>
      <c r="J1961" s="2" t="s">
        <v>7069</v>
      </c>
      <c r="K1961" s="2" t="s">
        <v>10</v>
      </c>
    </row>
    <row r="1962" spans="1:12" ht="27.6" hidden="1" x14ac:dyDescent="0.3">
      <c r="A1962" s="2" t="s">
        <v>4386</v>
      </c>
      <c r="B1962" s="2" t="s">
        <v>7070</v>
      </c>
      <c r="C1962" s="3">
        <v>31311</v>
      </c>
      <c r="D1962" s="1" t="s">
        <v>7071</v>
      </c>
      <c r="E1962" s="1" t="s">
        <v>7072</v>
      </c>
      <c r="F1962" s="2" t="s">
        <v>6529</v>
      </c>
      <c r="G1962" s="2" t="s">
        <v>292</v>
      </c>
      <c r="H1962" s="2" t="s">
        <v>103</v>
      </c>
      <c r="I1962" s="2" t="s">
        <v>4386</v>
      </c>
      <c r="J1962" s="2" t="s">
        <v>7073</v>
      </c>
      <c r="K1962" s="2" t="s">
        <v>10</v>
      </c>
    </row>
    <row r="1963" spans="1:12" ht="27.6" hidden="1" x14ac:dyDescent="0.3">
      <c r="A1963" s="2" t="s">
        <v>4386</v>
      </c>
      <c r="B1963" s="2" t="s">
        <v>7074</v>
      </c>
      <c r="C1963" s="3">
        <v>37027</v>
      </c>
      <c r="D1963" s="1" t="s">
        <v>7075</v>
      </c>
      <c r="E1963" s="1" t="s">
        <v>7076</v>
      </c>
      <c r="F1963" s="2" t="s">
        <v>6212</v>
      </c>
      <c r="G1963" s="2" t="s">
        <v>7077</v>
      </c>
      <c r="H1963" s="2" t="s">
        <v>10</v>
      </c>
      <c r="I1963" s="2" t="s">
        <v>4386</v>
      </c>
      <c r="J1963" s="2" t="s">
        <v>7078</v>
      </c>
      <c r="K1963" s="2" t="s">
        <v>10</v>
      </c>
    </row>
    <row r="1964" spans="1:12" ht="27.6" hidden="1" x14ac:dyDescent="0.3">
      <c r="A1964" s="2" t="s">
        <v>4386</v>
      </c>
      <c r="B1964" s="2" t="s">
        <v>7079</v>
      </c>
      <c r="C1964" s="3">
        <v>36946</v>
      </c>
      <c r="D1964" s="1" t="s">
        <v>7080</v>
      </c>
      <c r="E1964" s="1" t="s">
        <v>7080</v>
      </c>
      <c r="F1964" s="2" t="s">
        <v>5053</v>
      </c>
      <c r="G1964" s="2" t="s">
        <v>80</v>
      </c>
      <c r="H1964" s="2" t="s">
        <v>81</v>
      </c>
      <c r="I1964" s="2" t="s">
        <v>4386</v>
      </c>
      <c r="J1964" s="2" t="s">
        <v>845</v>
      </c>
      <c r="K1964" s="2" t="s">
        <v>10</v>
      </c>
    </row>
    <row r="1965" spans="1:12" ht="27.6" hidden="1" x14ac:dyDescent="0.3">
      <c r="A1965" s="2" t="s">
        <v>4386</v>
      </c>
      <c r="B1965" s="2" t="s">
        <v>7081</v>
      </c>
      <c r="C1965" s="3">
        <v>32661</v>
      </c>
      <c r="D1965" s="1" t="s">
        <v>7082</v>
      </c>
      <c r="E1965" s="1" t="s">
        <v>7083</v>
      </c>
      <c r="F1965" s="2" t="s">
        <v>6925</v>
      </c>
      <c r="G1965" s="2" t="s">
        <v>425</v>
      </c>
      <c r="H1965" s="2" t="s">
        <v>10</v>
      </c>
      <c r="I1965" s="2" t="s">
        <v>4386</v>
      </c>
      <c r="J1965" s="2" t="s">
        <v>7084</v>
      </c>
      <c r="K1965" s="2" t="s">
        <v>10</v>
      </c>
    </row>
    <row r="1966" spans="1:12" ht="27.6" hidden="1" x14ac:dyDescent="0.3">
      <c r="A1966" s="2" t="s">
        <v>4386</v>
      </c>
      <c r="B1966" s="2" t="s">
        <v>7085</v>
      </c>
      <c r="C1966" s="3">
        <v>30255</v>
      </c>
      <c r="D1966" s="1" t="s">
        <v>7086</v>
      </c>
      <c r="E1966" s="1" t="s">
        <v>7087</v>
      </c>
      <c r="F1966" s="2" t="s">
        <v>7088</v>
      </c>
      <c r="G1966" s="2" t="s">
        <v>80</v>
      </c>
      <c r="H1966" s="2" t="s">
        <v>10</v>
      </c>
      <c r="I1966" s="2" t="s">
        <v>4386</v>
      </c>
      <c r="J1966" s="2" t="s">
        <v>845</v>
      </c>
      <c r="K1966" s="2" t="s">
        <v>10</v>
      </c>
    </row>
    <row r="1967" spans="1:12" ht="27.6" hidden="1" x14ac:dyDescent="0.3">
      <c r="A1967" s="2" t="s">
        <v>4386</v>
      </c>
      <c r="B1967" s="2" t="s">
        <v>7089</v>
      </c>
      <c r="C1967" s="3">
        <v>38297</v>
      </c>
      <c r="D1967" s="1" t="s">
        <v>7090</v>
      </c>
      <c r="E1967" s="1" t="s">
        <v>7091</v>
      </c>
      <c r="F1967" s="2" t="s">
        <v>7088</v>
      </c>
      <c r="G1967" s="2" t="s">
        <v>48</v>
      </c>
      <c r="H1967" s="2" t="s">
        <v>10</v>
      </c>
      <c r="I1967" s="2" t="s">
        <v>4386</v>
      </c>
      <c r="J1967" s="2" t="s">
        <v>49</v>
      </c>
      <c r="K1967" s="2" t="s">
        <v>10</v>
      </c>
    </row>
    <row r="1968" spans="1:12" ht="27.6" hidden="1" x14ac:dyDescent="0.3">
      <c r="A1968" s="2" t="s">
        <v>4386</v>
      </c>
      <c r="B1968" s="2" t="s">
        <v>7092</v>
      </c>
      <c r="C1968" s="3">
        <v>31122</v>
      </c>
      <c r="D1968" s="1" t="s">
        <v>7093</v>
      </c>
      <c r="E1968" s="1" t="s">
        <v>7094</v>
      </c>
      <c r="F1968" s="2" t="s">
        <v>7095</v>
      </c>
      <c r="G1968" s="2" t="s">
        <v>7096</v>
      </c>
      <c r="H1968" s="2" t="s">
        <v>10</v>
      </c>
      <c r="I1968" s="2" t="s">
        <v>4386</v>
      </c>
      <c r="J1968" s="2" t="s">
        <v>7097</v>
      </c>
      <c r="K1968" s="2" t="s">
        <v>10</v>
      </c>
    </row>
    <row r="1969" spans="1:12" ht="27.6" hidden="1" x14ac:dyDescent="0.3">
      <c r="A1969" s="2" t="s">
        <v>4386</v>
      </c>
      <c r="B1969" s="2" t="s">
        <v>7098</v>
      </c>
      <c r="C1969" s="3">
        <v>36111</v>
      </c>
      <c r="D1969" s="1" t="s">
        <v>10</v>
      </c>
      <c r="E1969" s="1" t="s">
        <v>7099</v>
      </c>
      <c r="F1969" s="2" t="s">
        <v>7095</v>
      </c>
      <c r="G1969" s="2" t="s">
        <v>7100</v>
      </c>
      <c r="H1969" s="2" t="s">
        <v>10</v>
      </c>
      <c r="I1969" s="2" t="s">
        <v>4386</v>
      </c>
      <c r="J1969" s="2" t="s">
        <v>7101</v>
      </c>
      <c r="K1969" s="2" t="s">
        <v>10</v>
      </c>
    </row>
    <row r="1970" spans="1:12" ht="27.6" hidden="1" x14ac:dyDescent="0.3">
      <c r="A1970" s="2" t="s">
        <v>4386</v>
      </c>
      <c r="B1970" s="2" t="s">
        <v>7102</v>
      </c>
      <c r="C1970" s="3">
        <v>35613</v>
      </c>
      <c r="D1970" s="1" t="s">
        <v>7103</v>
      </c>
      <c r="E1970" s="1" t="s">
        <v>7104</v>
      </c>
      <c r="F1970" s="2" t="s">
        <v>7095</v>
      </c>
      <c r="G1970" s="2" t="s">
        <v>7105</v>
      </c>
      <c r="H1970" s="2" t="s">
        <v>10</v>
      </c>
      <c r="I1970" s="2" t="s">
        <v>4386</v>
      </c>
      <c r="J1970" s="2" t="s">
        <v>7106</v>
      </c>
      <c r="K1970" s="15" t="s">
        <v>10</v>
      </c>
    </row>
    <row r="1971" spans="1:12" ht="27.6" hidden="1" x14ac:dyDescent="0.3">
      <c r="A1971" s="2" t="s">
        <v>4386</v>
      </c>
      <c r="B1971" s="2" t="s">
        <v>7107</v>
      </c>
      <c r="C1971" s="3">
        <v>32932</v>
      </c>
      <c r="D1971" s="1" t="s">
        <v>7108</v>
      </c>
      <c r="E1971" s="1" t="s">
        <v>7109</v>
      </c>
      <c r="F1971" s="2" t="s">
        <v>6239</v>
      </c>
      <c r="G1971" s="2" t="s">
        <v>112</v>
      </c>
      <c r="H1971" s="2" t="s">
        <v>10</v>
      </c>
      <c r="I1971" s="2" t="s">
        <v>4386</v>
      </c>
      <c r="J1971" s="2" t="s">
        <v>7110</v>
      </c>
      <c r="K1971" s="30" t="s">
        <v>13193</v>
      </c>
      <c r="L1971" s="6" t="s">
        <v>13194</v>
      </c>
    </row>
    <row r="1972" spans="1:12" ht="27.6" hidden="1" x14ac:dyDescent="0.3">
      <c r="A1972" s="2" t="s">
        <v>4386</v>
      </c>
      <c r="B1972" s="2" t="s">
        <v>7111</v>
      </c>
      <c r="C1972" s="3">
        <v>37658</v>
      </c>
      <c r="D1972" s="1" t="s">
        <v>7112</v>
      </c>
      <c r="E1972" s="1" t="s">
        <v>7113</v>
      </c>
      <c r="F1972" s="2" t="s">
        <v>5049</v>
      </c>
      <c r="G1972" s="2" t="s">
        <v>333</v>
      </c>
      <c r="H1972" s="2" t="s">
        <v>10</v>
      </c>
      <c r="I1972" s="2" t="s">
        <v>4386</v>
      </c>
      <c r="J1972" s="2" t="s">
        <v>335</v>
      </c>
      <c r="K1972" s="18" t="s">
        <v>10</v>
      </c>
    </row>
    <row r="1973" spans="1:12" ht="27.6" hidden="1" x14ac:dyDescent="0.3">
      <c r="A1973" s="2" t="s">
        <v>4386</v>
      </c>
      <c r="B1973" s="2" t="s">
        <v>7114</v>
      </c>
      <c r="C1973" s="3">
        <v>31818</v>
      </c>
      <c r="D1973" s="1" t="s">
        <v>7115</v>
      </c>
      <c r="E1973" s="1" t="s">
        <v>7116</v>
      </c>
      <c r="F1973" s="2" t="s">
        <v>5053</v>
      </c>
      <c r="G1973" s="2" t="s">
        <v>780</v>
      </c>
      <c r="H1973" s="2" t="s">
        <v>10</v>
      </c>
      <c r="I1973" s="2" t="s">
        <v>4386</v>
      </c>
      <c r="J1973" s="2" t="s">
        <v>7117</v>
      </c>
      <c r="K1973" s="2" t="s">
        <v>10</v>
      </c>
    </row>
    <row r="1974" spans="1:12" ht="27.6" hidden="1" x14ac:dyDescent="0.3">
      <c r="A1974" s="2" t="s">
        <v>4386</v>
      </c>
      <c r="B1974" s="2" t="s">
        <v>2668</v>
      </c>
      <c r="C1974" s="3">
        <v>22280</v>
      </c>
      <c r="D1974" s="1" t="s">
        <v>7118</v>
      </c>
      <c r="E1974" s="1" t="s">
        <v>7119</v>
      </c>
      <c r="F1974" s="2" t="s">
        <v>5053</v>
      </c>
      <c r="G1974" s="2" t="s">
        <v>2800</v>
      </c>
      <c r="H1974" s="2" t="s">
        <v>10</v>
      </c>
      <c r="I1974" s="2" t="s">
        <v>4386</v>
      </c>
      <c r="J1974" s="2" t="s">
        <v>7120</v>
      </c>
      <c r="K1974" s="15" t="s">
        <v>10</v>
      </c>
    </row>
    <row r="1975" spans="1:12" ht="27.6" hidden="1" x14ac:dyDescent="0.3">
      <c r="A1975" s="2" t="s">
        <v>4386</v>
      </c>
      <c r="B1975" s="2" t="s">
        <v>7121</v>
      </c>
      <c r="C1975" s="3">
        <v>34843</v>
      </c>
      <c r="D1975" s="1" t="s">
        <v>7122</v>
      </c>
      <c r="E1975" s="1" t="s">
        <v>7123</v>
      </c>
      <c r="F1975" s="2" t="s">
        <v>6239</v>
      </c>
      <c r="G1975" s="2" t="s">
        <v>92</v>
      </c>
      <c r="H1975" s="2" t="s">
        <v>103</v>
      </c>
      <c r="I1975" s="2" t="s">
        <v>4386</v>
      </c>
      <c r="J1975" s="2" t="s">
        <v>93</v>
      </c>
      <c r="K1975" s="30" t="s">
        <v>13193</v>
      </c>
      <c r="L1975" s="6" t="s">
        <v>13194</v>
      </c>
    </row>
    <row r="1976" spans="1:12" ht="27.6" hidden="1" x14ac:dyDescent="0.3">
      <c r="A1976" s="2" t="s">
        <v>4386</v>
      </c>
      <c r="B1976" s="2" t="s">
        <v>7124</v>
      </c>
      <c r="C1976" s="3">
        <v>34197</v>
      </c>
      <c r="D1976" s="1" t="s">
        <v>7125</v>
      </c>
      <c r="E1976" s="1" t="s">
        <v>7126</v>
      </c>
      <c r="F1976" s="2" t="s">
        <v>7127</v>
      </c>
      <c r="G1976" s="2" t="s">
        <v>80</v>
      </c>
      <c r="H1976" s="2" t="s">
        <v>10</v>
      </c>
      <c r="I1976" s="2" t="s">
        <v>4386</v>
      </c>
      <c r="J1976" s="2" t="s">
        <v>7128</v>
      </c>
      <c r="K1976" s="18" t="s">
        <v>10</v>
      </c>
    </row>
    <row r="1977" spans="1:12" ht="27.6" hidden="1" x14ac:dyDescent="0.3">
      <c r="A1977" s="2" t="s">
        <v>4386</v>
      </c>
      <c r="B1977" s="2" t="s">
        <v>7129</v>
      </c>
      <c r="C1977" s="3">
        <v>26742</v>
      </c>
      <c r="D1977" s="1" t="s">
        <v>7130</v>
      </c>
      <c r="E1977" s="1" t="s">
        <v>7131</v>
      </c>
      <c r="F1977" s="2" t="s">
        <v>6270</v>
      </c>
      <c r="G1977" s="2" t="s">
        <v>288</v>
      </c>
      <c r="H1977" s="2" t="s">
        <v>10</v>
      </c>
      <c r="I1977" s="2" t="s">
        <v>4386</v>
      </c>
      <c r="J1977" s="2" t="s">
        <v>7132</v>
      </c>
      <c r="K1977" s="40" t="s">
        <v>13193</v>
      </c>
      <c r="L1977" s="6" t="s">
        <v>13194</v>
      </c>
    </row>
    <row r="1978" spans="1:12" ht="27.6" hidden="1" x14ac:dyDescent="0.3">
      <c r="A1978" s="2" t="s">
        <v>4386</v>
      </c>
      <c r="B1978" s="2" t="s">
        <v>7133</v>
      </c>
      <c r="C1978" s="3">
        <v>28437</v>
      </c>
      <c r="D1978" s="1" t="s">
        <v>7134</v>
      </c>
      <c r="E1978" s="1" t="s">
        <v>7135</v>
      </c>
      <c r="F1978" s="2" t="s">
        <v>7127</v>
      </c>
      <c r="G1978" s="2" t="s">
        <v>385</v>
      </c>
      <c r="H1978" s="2" t="s">
        <v>10</v>
      </c>
      <c r="I1978" s="2" t="s">
        <v>4386</v>
      </c>
      <c r="J1978" s="2" t="s">
        <v>913</v>
      </c>
      <c r="K1978" s="15" t="s">
        <v>10</v>
      </c>
    </row>
    <row r="1979" spans="1:12" ht="27.6" hidden="1" x14ac:dyDescent="0.3">
      <c r="A1979" s="2" t="s">
        <v>4386</v>
      </c>
      <c r="B1979" s="2" t="s">
        <v>7136</v>
      </c>
      <c r="C1979" s="3">
        <v>15870</v>
      </c>
      <c r="D1979" s="1" t="s">
        <v>7137</v>
      </c>
      <c r="E1979" s="1" t="s">
        <v>7138</v>
      </c>
      <c r="F1979" s="2" t="s">
        <v>7030</v>
      </c>
      <c r="G1979" s="2" t="s">
        <v>6887</v>
      </c>
      <c r="H1979" s="2" t="s">
        <v>10</v>
      </c>
      <c r="I1979" s="2" t="s">
        <v>4386</v>
      </c>
      <c r="J1979" s="2" t="s">
        <v>7139</v>
      </c>
      <c r="K1979" s="2" t="s">
        <v>10</v>
      </c>
      <c r="L1979" s="6"/>
    </row>
    <row r="1980" spans="1:12" ht="27.6" hidden="1" x14ac:dyDescent="0.3">
      <c r="A1980" s="2" t="s">
        <v>4386</v>
      </c>
      <c r="B1980" s="2" t="s">
        <v>7140</v>
      </c>
      <c r="C1980" s="3">
        <v>31169</v>
      </c>
      <c r="D1980" s="1" t="s">
        <v>7141</v>
      </c>
      <c r="E1980" s="1" t="s">
        <v>7142</v>
      </c>
      <c r="F1980" s="2" t="s">
        <v>7143</v>
      </c>
      <c r="G1980" s="2" t="s">
        <v>31</v>
      </c>
      <c r="H1980" s="2" t="s">
        <v>103</v>
      </c>
      <c r="I1980" s="2" t="s">
        <v>4386</v>
      </c>
      <c r="J1980" s="2" t="s">
        <v>684</v>
      </c>
      <c r="K1980" s="30" t="s">
        <v>13193</v>
      </c>
      <c r="L1980" s="6" t="s">
        <v>13194</v>
      </c>
    </row>
    <row r="1981" spans="1:12" ht="27.6" hidden="1" x14ac:dyDescent="0.3">
      <c r="A1981" s="2" t="s">
        <v>4386</v>
      </c>
      <c r="B1981" s="2" t="s">
        <v>7144</v>
      </c>
      <c r="C1981" s="3">
        <v>31903</v>
      </c>
      <c r="D1981" s="1" t="s">
        <v>7145</v>
      </c>
      <c r="E1981" s="1" t="s">
        <v>7146</v>
      </c>
      <c r="F1981" s="2" t="s">
        <v>6239</v>
      </c>
      <c r="G1981" s="2" t="s">
        <v>366</v>
      </c>
      <c r="H1981" s="2" t="s">
        <v>10</v>
      </c>
      <c r="I1981" s="2" t="s">
        <v>4386</v>
      </c>
      <c r="J1981" s="2" t="s">
        <v>7147</v>
      </c>
      <c r="K1981" s="30" t="s">
        <v>13193</v>
      </c>
      <c r="L1981" s="6" t="s">
        <v>13194</v>
      </c>
    </row>
    <row r="1982" spans="1:12" ht="27.6" hidden="1" x14ac:dyDescent="0.3">
      <c r="A1982" s="2" t="s">
        <v>4386</v>
      </c>
      <c r="B1982" s="2" t="s">
        <v>7148</v>
      </c>
      <c r="C1982" s="3">
        <v>30208</v>
      </c>
      <c r="D1982" s="1" t="s">
        <v>7149</v>
      </c>
      <c r="E1982" s="1" t="s">
        <v>7150</v>
      </c>
      <c r="F1982" s="2" t="s">
        <v>6270</v>
      </c>
      <c r="G1982" s="2" t="s">
        <v>206</v>
      </c>
      <c r="H1982" s="2" t="s">
        <v>103</v>
      </c>
      <c r="I1982" s="2" t="s">
        <v>4386</v>
      </c>
      <c r="J1982" s="2" t="s">
        <v>7151</v>
      </c>
      <c r="K1982" s="45" t="s">
        <v>13193</v>
      </c>
      <c r="L1982" s="37" t="s">
        <v>13194</v>
      </c>
    </row>
    <row r="1983" spans="1:12" ht="27.6" hidden="1" x14ac:dyDescent="0.3">
      <c r="A1983" s="2" t="s">
        <v>4386</v>
      </c>
      <c r="B1983" s="2" t="s">
        <v>7152</v>
      </c>
      <c r="C1983" s="3">
        <v>36887</v>
      </c>
      <c r="D1983" s="1" t="s">
        <v>7153</v>
      </c>
      <c r="E1983" s="1" t="s">
        <v>7154</v>
      </c>
      <c r="F1983" s="2" t="s">
        <v>6239</v>
      </c>
      <c r="G1983" s="2" t="s">
        <v>31</v>
      </c>
      <c r="H1983" s="2" t="s">
        <v>10</v>
      </c>
      <c r="I1983" s="2" t="s">
        <v>4386</v>
      </c>
      <c r="J1983" s="2" t="s">
        <v>7155</v>
      </c>
      <c r="K1983" s="30" t="s">
        <v>13193</v>
      </c>
      <c r="L1983" s="6" t="s">
        <v>13194</v>
      </c>
    </row>
    <row r="1984" spans="1:12" ht="27.6" hidden="1" x14ac:dyDescent="0.3">
      <c r="A1984" s="2" t="s">
        <v>4386</v>
      </c>
      <c r="B1984" s="2" t="s">
        <v>7156</v>
      </c>
      <c r="C1984" s="3">
        <v>31035</v>
      </c>
      <c r="D1984" s="1" t="s">
        <v>7157</v>
      </c>
      <c r="E1984" s="1" t="s">
        <v>7158</v>
      </c>
      <c r="F1984" s="2" t="s">
        <v>7127</v>
      </c>
      <c r="G1984" s="2" t="s">
        <v>25</v>
      </c>
      <c r="H1984" s="2" t="s">
        <v>10</v>
      </c>
      <c r="I1984" s="2" t="s">
        <v>4386</v>
      </c>
      <c r="J1984" s="2" t="s">
        <v>305</v>
      </c>
      <c r="K1984" s="18" t="s">
        <v>10</v>
      </c>
    </row>
    <row r="1985" spans="1:11" ht="27.6" hidden="1" x14ac:dyDescent="0.3">
      <c r="A1985" s="2" t="s">
        <v>4386</v>
      </c>
      <c r="B1985" s="2" t="s">
        <v>7159</v>
      </c>
      <c r="C1985" s="3">
        <v>36257</v>
      </c>
      <c r="D1985" s="1" t="s">
        <v>7160</v>
      </c>
      <c r="E1985" s="1" t="s">
        <v>7161</v>
      </c>
      <c r="F1985" s="2" t="s">
        <v>7127</v>
      </c>
      <c r="G1985" s="2" t="s">
        <v>92</v>
      </c>
      <c r="H1985" s="2" t="s">
        <v>10</v>
      </c>
      <c r="I1985" s="2" t="s">
        <v>4386</v>
      </c>
      <c r="J1985" s="2" t="s">
        <v>826</v>
      </c>
      <c r="K1985" s="2" t="s">
        <v>10</v>
      </c>
    </row>
    <row r="1986" spans="1:11" ht="27.6" hidden="1" x14ac:dyDescent="0.3">
      <c r="A1986" s="2" t="s">
        <v>4386</v>
      </c>
      <c r="B1986" s="2" t="s">
        <v>7162</v>
      </c>
      <c r="C1986" s="3">
        <v>30242</v>
      </c>
      <c r="D1986" s="1" t="s">
        <v>7163</v>
      </c>
      <c r="E1986" s="1" t="s">
        <v>7164</v>
      </c>
      <c r="F1986" s="2" t="s">
        <v>7127</v>
      </c>
      <c r="G1986" s="2" t="s">
        <v>31</v>
      </c>
      <c r="H1986" s="2" t="s">
        <v>10</v>
      </c>
      <c r="I1986" s="2" t="s">
        <v>4386</v>
      </c>
      <c r="J1986" s="2" t="s">
        <v>684</v>
      </c>
      <c r="K1986" s="2" t="s">
        <v>10</v>
      </c>
    </row>
    <row r="1987" spans="1:11" ht="27.6" hidden="1" x14ac:dyDescent="0.3">
      <c r="A1987" s="2" t="s">
        <v>4386</v>
      </c>
      <c r="B1987" s="2" t="s">
        <v>7165</v>
      </c>
      <c r="C1987" s="3">
        <v>31393</v>
      </c>
      <c r="D1987" s="1" t="s">
        <v>7166</v>
      </c>
      <c r="E1987" s="1" t="s">
        <v>7167</v>
      </c>
      <c r="F1987" s="2" t="s">
        <v>4555</v>
      </c>
      <c r="G1987" s="2" t="s">
        <v>7168</v>
      </c>
      <c r="H1987" s="2" t="s">
        <v>10</v>
      </c>
      <c r="I1987" s="2" t="s">
        <v>4386</v>
      </c>
      <c r="J1987" s="2" t="s">
        <v>7169</v>
      </c>
      <c r="K1987" s="2" t="s">
        <v>10</v>
      </c>
    </row>
    <row r="1988" spans="1:11" ht="27.6" hidden="1" x14ac:dyDescent="0.3">
      <c r="A1988" s="2" t="s">
        <v>4386</v>
      </c>
      <c r="B1988" s="2" t="s">
        <v>7170</v>
      </c>
      <c r="C1988" s="3">
        <v>34838</v>
      </c>
      <c r="D1988" s="1" t="s">
        <v>7171</v>
      </c>
      <c r="E1988" s="1" t="s">
        <v>7172</v>
      </c>
      <c r="F1988" s="2" t="s">
        <v>5049</v>
      </c>
      <c r="G1988" s="2" t="s">
        <v>206</v>
      </c>
      <c r="H1988" s="2" t="s">
        <v>103</v>
      </c>
      <c r="I1988" s="2" t="s">
        <v>4386</v>
      </c>
      <c r="J1988" s="2" t="s">
        <v>207</v>
      </c>
      <c r="K1988" s="2" t="s">
        <v>10</v>
      </c>
    </row>
    <row r="1989" spans="1:11" ht="27.6" hidden="1" x14ac:dyDescent="0.3">
      <c r="A1989" s="2" t="s">
        <v>4386</v>
      </c>
      <c r="B1989" s="2" t="s">
        <v>7173</v>
      </c>
      <c r="C1989" s="3">
        <v>34873</v>
      </c>
      <c r="D1989" s="1" t="s">
        <v>7174</v>
      </c>
      <c r="E1989" s="1" t="s">
        <v>7175</v>
      </c>
      <c r="F1989" s="2" t="s">
        <v>5049</v>
      </c>
      <c r="G1989" s="2" t="s">
        <v>206</v>
      </c>
      <c r="H1989" s="2" t="s">
        <v>562</v>
      </c>
      <c r="I1989" s="2" t="s">
        <v>4386</v>
      </c>
      <c r="J1989" s="2" t="s">
        <v>207</v>
      </c>
      <c r="K1989" s="2" t="s">
        <v>10</v>
      </c>
    </row>
    <row r="1990" spans="1:11" ht="27.6" hidden="1" x14ac:dyDescent="0.3">
      <c r="A1990" s="2" t="s">
        <v>4386</v>
      </c>
      <c r="B1990" s="2" t="s">
        <v>7176</v>
      </c>
      <c r="C1990" s="3">
        <v>33741</v>
      </c>
      <c r="D1990" s="1" t="s">
        <v>7177</v>
      </c>
      <c r="E1990" s="1" t="s">
        <v>7178</v>
      </c>
      <c r="F1990" s="2" t="s">
        <v>5049</v>
      </c>
      <c r="G1990" s="2" t="s">
        <v>206</v>
      </c>
      <c r="H1990" s="2" t="s">
        <v>3065</v>
      </c>
      <c r="I1990" s="2" t="s">
        <v>4386</v>
      </c>
      <c r="J1990" s="2" t="s">
        <v>207</v>
      </c>
      <c r="K1990" s="2" t="s">
        <v>10</v>
      </c>
    </row>
    <row r="1991" spans="1:11" ht="27.6" hidden="1" x14ac:dyDescent="0.3">
      <c r="A1991" s="2" t="s">
        <v>4386</v>
      </c>
      <c r="B1991" s="2" t="s">
        <v>7179</v>
      </c>
      <c r="C1991" s="3">
        <v>31498</v>
      </c>
      <c r="D1991" s="1" t="s">
        <v>7180</v>
      </c>
      <c r="E1991" s="1" t="s">
        <v>7181</v>
      </c>
      <c r="F1991" s="2" t="s">
        <v>5049</v>
      </c>
      <c r="G1991" s="2" t="s">
        <v>328</v>
      </c>
      <c r="H1991" s="2" t="s">
        <v>10</v>
      </c>
      <c r="I1991" s="2" t="s">
        <v>4386</v>
      </c>
      <c r="J1991" s="2" t="s">
        <v>329</v>
      </c>
      <c r="K1991" s="2" t="s">
        <v>10</v>
      </c>
    </row>
    <row r="1992" spans="1:11" ht="27.6" hidden="1" x14ac:dyDescent="0.3">
      <c r="A1992" s="2" t="s">
        <v>4386</v>
      </c>
      <c r="B1992" s="2" t="s">
        <v>7182</v>
      </c>
      <c r="C1992" s="3">
        <v>28899</v>
      </c>
      <c r="D1992" s="1" t="s">
        <v>7183</v>
      </c>
      <c r="E1992" s="1" t="s">
        <v>7184</v>
      </c>
      <c r="F1992" s="2" t="s">
        <v>5049</v>
      </c>
      <c r="G1992" s="2" t="s">
        <v>511</v>
      </c>
      <c r="H1992" s="2" t="s">
        <v>10</v>
      </c>
      <c r="I1992" s="2" t="s">
        <v>4386</v>
      </c>
      <c r="J1992" s="2" t="s">
        <v>512</v>
      </c>
      <c r="K1992" s="2" t="s">
        <v>10</v>
      </c>
    </row>
    <row r="1993" spans="1:11" ht="27.6" hidden="1" x14ac:dyDescent="0.3">
      <c r="A1993" s="2" t="s">
        <v>4386</v>
      </c>
      <c r="B1993" s="2" t="s">
        <v>7185</v>
      </c>
      <c r="C1993" s="3">
        <v>36695</v>
      </c>
      <c r="D1993" s="1" t="s">
        <v>7186</v>
      </c>
      <c r="E1993" s="1" t="s">
        <v>7187</v>
      </c>
      <c r="F1993" s="2" t="s">
        <v>5049</v>
      </c>
      <c r="G1993" s="2" t="s">
        <v>217</v>
      </c>
      <c r="H1993" s="2" t="s">
        <v>10</v>
      </c>
      <c r="I1993" s="2" t="s">
        <v>4386</v>
      </c>
      <c r="J1993" s="2" t="s">
        <v>218</v>
      </c>
      <c r="K1993" s="2" t="s">
        <v>10</v>
      </c>
    </row>
    <row r="1994" spans="1:11" ht="27.6" hidden="1" x14ac:dyDescent="0.3">
      <c r="A1994" s="2" t="s">
        <v>4386</v>
      </c>
      <c r="B1994" s="2" t="s">
        <v>7188</v>
      </c>
      <c r="C1994" s="3">
        <v>19686</v>
      </c>
      <c r="D1994" s="1" t="s">
        <v>6141</v>
      </c>
      <c r="E1994" s="1" t="s">
        <v>6142</v>
      </c>
      <c r="F1994" s="2" t="s">
        <v>5049</v>
      </c>
      <c r="G1994" s="2" t="s">
        <v>696</v>
      </c>
      <c r="H1994" s="2" t="s">
        <v>103</v>
      </c>
      <c r="I1994" s="2" t="s">
        <v>4386</v>
      </c>
      <c r="J1994" s="2" t="s">
        <v>697</v>
      </c>
      <c r="K1994" s="2" t="s">
        <v>10</v>
      </c>
    </row>
    <row r="1995" spans="1:11" ht="27.6" hidden="1" x14ac:dyDescent="0.3">
      <c r="A1995" s="2" t="s">
        <v>4386</v>
      </c>
      <c r="B1995" s="2" t="s">
        <v>7189</v>
      </c>
      <c r="C1995" s="3">
        <v>29752</v>
      </c>
      <c r="D1995" s="1" t="s">
        <v>7190</v>
      </c>
      <c r="E1995" s="1" t="s">
        <v>7191</v>
      </c>
      <c r="F1995" s="2" t="s">
        <v>5049</v>
      </c>
      <c r="G1995" s="2" t="s">
        <v>696</v>
      </c>
      <c r="H1995" s="2" t="s">
        <v>81</v>
      </c>
      <c r="I1995" s="2" t="s">
        <v>4386</v>
      </c>
      <c r="J1995" s="2" t="s">
        <v>697</v>
      </c>
      <c r="K1995" s="2" t="s">
        <v>10</v>
      </c>
    </row>
    <row r="1996" spans="1:11" ht="27.6" hidden="1" x14ac:dyDescent="0.3">
      <c r="A1996" s="2" t="s">
        <v>4386</v>
      </c>
      <c r="B1996" s="2" t="s">
        <v>7192</v>
      </c>
      <c r="C1996" s="3">
        <v>19922</v>
      </c>
      <c r="D1996" s="1" t="s">
        <v>7193</v>
      </c>
      <c r="E1996" s="1" t="s">
        <v>7194</v>
      </c>
      <c r="F1996" s="2" t="s">
        <v>5049</v>
      </c>
      <c r="G1996" s="2" t="s">
        <v>1403</v>
      </c>
      <c r="H1996" s="2" t="s">
        <v>10</v>
      </c>
      <c r="I1996" s="2" t="s">
        <v>4386</v>
      </c>
      <c r="J1996" s="2" t="s">
        <v>7195</v>
      </c>
      <c r="K1996" s="2" t="s">
        <v>10</v>
      </c>
    </row>
    <row r="1997" spans="1:11" ht="27.6" hidden="1" x14ac:dyDescent="0.3">
      <c r="A1997" s="2" t="s">
        <v>4386</v>
      </c>
      <c r="B1997" s="2" t="s">
        <v>7192</v>
      </c>
      <c r="C1997" s="3">
        <v>27227</v>
      </c>
      <c r="D1997" s="1" t="s">
        <v>7193</v>
      </c>
      <c r="E1997" s="1" t="s">
        <v>7194</v>
      </c>
      <c r="F1997" s="2" t="s">
        <v>5049</v>
      </c>
      <c r="G1997" s="2" t="s">
        <v>278</v>
      </c>
      <c r="H1997" s="2" t="s">
        <v>103</v>
      </c>
      <c r="I1997" s="2" t="s">
        <v>4386</v>
      </c>
      <c r="J1997" s="2" t="s">
        <v>7196</v>
      </c>
      <c r="K1997" s="2" t="s">
        <v>10</v>
      </c>
    </row>
    <row r="1998" spans="1:11" ht="27.6" hidden="1" x14ac:dyDescent="0.3">
      <c r="A1998" s="2" t="s">
        <v>4386</v>
      </c>
      <c r="B1998" s="2" t="s">
        <v>7197</v>
      </c>
      <c r="C1998" s="3">
        <v>35273</v>
      </c>
      <c r="D1998" s="1" t="s">
        <v>7198</v>
      </c>
      <c r="E1998" s="1" t="s">
        <v>7199</v>
      </c>
      <c r="F1998" s="2" t="s">
        <v>5049</v>
      </c>
      <c r="G1998" s="2" t="s">
        <v>230</v>
      </c>
      <c r="H1998" s="2" t="s">
        <v>10</v>
      </c>
      <c r="I1998" s="2" t="s">
        <v>4386</v>
      </c>
      <c r="J1998" s="2" t="s">
        <v>270</v>
      </c>
      <c r="K1998" s="2" t="s">
        <v>10</v>
      </c>
    </row>
    <row r="1999" spans="1:11" ht="27.6" hidden="1" x14ac:dyDescent="0.3">
      <c r="A1999" s="2" t="s">
        <v>4386</v>
      </c>
      <c r="B1999" s="2" t="s">
        <v>7200</v>
      </c>
      <c r="C1999" s="3">
        <v>35316</v>
      </c>
      <c r="D1999" s="1" t="s">
        <v>7201</v>
      </c>
      <c r="E1999" s="1" t="s">
        <v>7202</v>
      </c>
      <c r="F1999" s="2" t="s">
        <v>5049</v>
      </c>
      <c r="G1999" s="2" t="s">
        <v>37</v>
      </c>
      <c r="H1999" s="2" t="s">
        <v>10</v>
      </c>
      <c r="I1999" s="2" t="s">
        <v>4386</v>
      </c>
      <c r="J1999" s="2" t="s">
        <v>406</v>
      </c>
      <c r="K1999" s="2" t="s">
        <v>10</v>
      </c>
    </row>
    <row r="2000" spans="1:11" ht="27.6" hidden="1" x14ac:dyDescent="0.3">
      <c r="A2000" s="2" t="s">
        <v>4386</v>
      </c>
      <c r="B2000" s="2" t="s">
        <v>7203</v>
      </c>
      <c r="C2000" s="3">
        <v>32547</v>
      </c>
      <c r="D2000" s="1" t="s">
        <v>7204</v>
      </c>
      <c r="E2000" s="1" t="s">
        <v>7205</v>
      </c>
      <c r="F2000" s="2" t="s">
        <v>5049</v>
      </c>
      <c r="G2000" s="2" t="s">
        <v>283</v>
      </c>
      <c r="H2000" s="2" t="s">
        <v>10</v>
      </c>
      <c r="I2000" s="2" t="s">
        <v>4386</v>
      </c>
      <c r="J2000" s="2" t="s">
        <v>284</v>
      </c>
      <c r="K2000" s="2" t="s">
        <v>10</v>
      </c>
    </row>
    <row r="2001" spans="1:12" ht="27.6" hidden="1" x14ac:dyDescent="0.3">
      <c r="A2001" s="2" t="s">
        <v>4386</v>
      </c>
      <c r="B2001" s="2" t="s">
        <v>7206</v>
      </c>
      <c r="C2001" s="3">
        <v>20870</v>
      </c>
      <c r="D2001" s="1" t="s">
        <v>7207</v>
      </c>
      <c r="E2001" s="1" t="s">
        <v>7208</v>
      </c>
      <c r="F2001" s="2" t="s">
        <v>7095</v>
      </c>
      <c r="G2001" s="2" t="s">
        <v>7209</v>
      </c>
      <c r="H2001" s="2" t="s">
        <v>103</v>
      </c>
      <c r="I2001" s="2" t="s">
        <v>4386</v>
      </c>
      <c r="J2001" s="2" t="s">
        <v>7210</v>
      </c>
      <c r="K2001" s="2" t="s">
        <v>10</v>
      </c>
    </row>
    <row r="2002" spans="1:12" ht="27.6" hidden="1" x14ac:dyDescent="0.3">
      <c r="A2002" s="2" t="s">
        <v>4386</v>
      </c>
      <c r="B2002" s="2" t="s">
        <v>7211</v>
      </c>
      <c r="C2002" s="3">
        <v>27221</v>
      </c>
      <c r="D2002" s="1" t="s">
        <v>7212</v>
      </c>
      <c r="E2002" s="1" t="s">
        <v>7213</v>
      </c>
      <c r="F2002" s="2" t="s">
        <v>7095</v>
      </c>
      <c r="G2002" s="2" t="s">
        <v>7214</v>
      </c>
      <c r="H2002" s="2" t="s">
        <v>10</v>
      </c>
      <c r="I2002" s="2" t="s">
        <v>4386</v>
      </c>
      <c r="J2002" s="2" t="s">
        <v>7215</v>
      </c>
      <c r="K2002" s="15" t="s">
        <v>10</v>
      </c>
    </row>
    <row r="2003" spans="1:12" hidden="1" x14ac:dyDescent="0.3">
      <c r="A2003" s="2" t="s">
        <v>4139</v>
      </c>
      <c r="B2003" s="2" t="s">
        <v>7216</v>
      </c>
      <c r="C2003" s="3">
        <v>34924</v>
      </c>
      <c r="D2003" s="1" t="s">
        <v>7217</v>
      </c>
      <c r="E2003" s="1" t="s">
        <v>7218</v>
      </c>
      <c r="F2003" s="2" t="s">
        <v>4143</v>
      </c>
      <c r="G2003" s="2" t="s">
        <v>7219</v>
      </c>
      <c r="H2003" s="2" t="s">
        <v>10</v>
      </c>
      <c r="I2003" s="2" t="s">
        <v>4139</v>
      </c>
      <c r="J2003" s="2" t="s">
        <v>7220</v>
      </c>
      <c r="K2003" s="2" t="s">
        <v>10</v>
      </c>
      <c r="L2003" s="6"/>
    </row>
    <row r="2004" spans="1:12" ht="27.6" hidden="1" x14ac:dyDescent="0.3">
      <c r="A2004" s="2" t="s">
        <v>4386</v>
      </c>
      <c r="B2004" s="2" t="s">
        <v>7221</v>
      </c>
      <c r="C2004" s="3">
        <v>39231</v>
      </c>
      <c r="D2004" s="1" t="s">
        <v>7222</v>
      </c>
      <c r="E2004" s="1" t="s">
        <v>7223</v>
      </c>
      <c r="F2004" s="2" t="s">
        <v>7095</v>
      </c>
      <c r="G2004" s="2" t="s">
        <v>7224</v>
      </c>
      <c r="H2004" s="2" t="s">
        <v>10</v>
      </c>
      <c r="I2004" s="2" t="s">
        <v>4386</v>
      </c>
      <c r="J2004" s="2" t="s">
        <v>7225</v>
      </c>
      <c r="K2004" s="18" t="s">
        <v>10</v>
      </c>
    </row>
    <row r="2005" spans="1:12" ht="27.6" hidden="1" x14ac:dyDescent="0.3">
      <c r="A2005" s="2" t="s">
        <v>4386</v>
      </c>
      <c r="B2005" s="2" t="s">
        <v>7226</v>
      </c>
      <c r="C2005" s="3">
        <v>26099</v>
      </c>
      <c r="D2005" s="1" t="s">
        <v>7227</v>
      </c>
      <c r="E2005" s="1" t="s">
        <v>7228</v>
      </c>
      <c r="F2005" s="2" t="s">
        <v>7095</v>
      </c>
      <c r="G2005" s="2" t="s">
        <v>7229</v>
      </c>
      <c r="H2005" s="2" t="s">
        <v>103</v>
      </c>
      <c r="I2005" s="2" t="s">
        <v>4386</v>
      </c>
      <c r="J2005" s="2" t="s">
        <v>7230</v>
      </c>
      <c r="K2005" s="2" t="s">
        <v>10</v>
      </c>
    </row>
    <row r="2006" spans="1:12" ht="27.6" hidden="1" x14ac:dyDescent="0.3">
      <c r="A2006" s="2" t="s">
        <v>4386</v>
      </c>
      <c r="B2006" s="2" t="s">
        <v>7231</v>
      </c>
      <c r="C2006" s="3">
        <v>31227</v>
      </c>
      <c r="D2006" s="1" t="s">
        <v>7232</v>
      </c>
      <c r="E2006" s="1" t="s">
        <v>7233</v>
      </c>
      <c r="F2006" s="2" t="s">
        <v>7095</v>
      </c>
      <c r="G2006" s="2" t="s">
        <v>7234</v>
      </c>
      <c r="H2006" s="2" t="s">
        <v>10</v>
      </c>
      <c r="I2006" s="2" t="s">
        <v>4386</v>
      </c>
      <c r="J2006" s="2" t="s">
        <v>7235</v>
      </c>
      <c r="K2006" s="2" t="s">
        <v>10</v>
      </c>
    </row>
    <row r="2007" spans="1:12" ht="27.6" hidden="1" x14ac:dyDescent="0.3">
      <c r="A2007" s="2" t="s">
        <v>60</v>
      </c>
      <c r="B2007" s="2" t="s">
        <v>7236</v>
      </c>
      <c r="C2007" s="3">
        <v>29631</v>
      </c>
      <c r="D2007" s="1" t="s">
        <v>7237</v>
      </c>
      <c r="E2007" s="1" t="s">
        <v>7238</v>
      </c>
      <c r="F2007" s="2" t="s">
        <v>2103</v>
      </c>
      <c r="G2007" s="2" t="s">
        <v>6588</v>
      </c>
      <c r="H2007" s="2" t="s">
        <v>10</v>
      </c>
      <c r="I2007" s="2" t="s">
        <v>60</v>
      </c>
      <c r="J2007" s="2" t="s">
        <v>7239</v>
      </c>
      <c r="K2007" s="2" t="s">
        <v>10</v>
      </c>
    </row>
    <row r="2008" spans="1:12" ht="27.6" hidden="1" x14ac:dyDescent="0.3">
      <c r="A2008" s="2" t="s">
        <v>4386</v>
      </c>
      <c r="B2008" s="2" t="s">
        <v>7240</v>
      </c>
      <c r="C2008" s="3">
        <v>31227</v>
      </c>
      <c r="D2008" s="1" t="s">
        <v>7241</v>
      </c>
      <c r="E2008" s="1" t="s">
        <v>7242</v>
      </c>
      <c r="F2008" s="2" t="s">
        <v>7095</v>
      </c>
      <c r="G2008" s="2" t="s">
        <v>7229</v>
      </c>
      <c r="H2008" s="2" t="s">
        <v>3932</v>
      </c>
      <c r="I2008" s="2" t="s">
        <v>4386</v>
      </c>
      <c r="J2008" s="2" t="s">
        <v>7230</v>
      </c>
      <c r="K2008" s="15" t="s">
        <v>10</v>
      </c>
    </row>
    <row r="2009" spans="1:12" hidden="1" x14ac:dyDescent="0.3">
      <c r="A2009" s="2" t="s">
        <v>4139</v>
      </c>
      <c r="B2009" s="2" t="s">
        <v>7243</v>
      </c>
      <c r="C2009" s="3">
        <v>30758</v>
      </c>
      <c r="D2009" s="1" t="s">
        <v>7244</v>
      </c>
      <c r="E2009" s="1" t="s">
        <v>7245</v>
      </c>
      <c r="F2009" s="2" t="s">
        <v>4143</v>
      </c>
      <c r="G2009" s="2" t="s">
        <v>7246</v>
      </c>
      <c r="H2009" s="2" t="s">
        <v>103</v>
      </c>
      <c r="I2009" s="2" t="s">
        <v>4139</v>
      </c>
      <c r="J2009" s="2" t="s">
        <v>7247</v>
      </c>
      <c r="K2009" s="2" t="s">
        <v>10</v>
      </c>
      <c r="L2009" s="6"/>
    </row>
    <row r="2010" spans="1:12" ht="27.6" hidden="1" x14ac:dyDescent="0.3">
      <c r="A2010" s="2" t="s">
        <v>4139</v>
      </c>
      <c r="B2010" s="2" t="s">
        <v>7248</v>
      </c>
      <c r="C2010" s="3">
        <v>30254</v>
      </c>
      <c r="D2010" s="1" t="s">
        <v>7249</v>
      </c>
      <c r="E2010" s="1" t="s">
        <v>7250</v>
      </c>
      <c r="F2010" s="2" t="s">
        <v>4143</v>
      </c>
      <c r="G2010" s="2" t="s">
        <v>7246</v>
      </c>
      <c r="H2010" s="2" t="s">
        <v>7251</v>
      </c>
      <c r="I2010" s="2" t="s">
        <v>4139</v>
      </c>
      <c r="J2010" s="2" t="s">
        <v>7247</v>
      </c>
      <c r="K2010" s="2" t="s">
        <v>10</v>
      </c>
      <c r="L2010" s="6"/>
    </row>
    <row r="2011" spans="1:12" ht="27.6" hidden="1" x14ac:dyDescent="0.3">
      <c r="A2011" s="2" t="s">
        <v>4386</v>
      </c>
      <c r="B2011" s="2" t="s">
        <v>7252</v>
      </c>
      <c r="C2011" s="3">
        <v>35185</v>
      </c>
      <c r="D2011" s="1" t="s">
        <v>7253</v>
      </c>
      <c r="E2011" s="1" t="s">
        <v>7254</v>
      </c>
      <c r="F2011" s="2" t="s">
        <v>7095</v>
      </c>
      <c r="G2011" s="2" t="s">
        <v>7255</v>
      </c>
      <c r="H2011" s="2" t="s">
        <v>10</v>
      </c>
      <c r="I2011" s="2" t="s">
        <v>4386</v>
      </c>
      <c r="J2011" s="2" t="s">
        <v>7256</v>
      </c>
      <c r="K2011" s="19" t="s">
        <v>10</v>
      </c>
    </row>
    <row r="2012" spans="1:12" hidden="1" x14ac:dyDescent="0.3">
      <c r="A2012" s="2" t="s">
        <v>4139</v>
      </c>
      <c r="B2012" s="2" t="s">
        <v>7257</v>
      </c>
      <c r="C2012" s="3">
        <v>24663</v>
      </c>
      <c r="D2012" s="1" t="s">
        <v>7258</v>
      </c>
      <c r="E2012" s="1" t="s">
        <v>7259</v>
      </c>
      <c r="F2012" s="2" t="s">
        <v>4143</v>
      </c>
      <c r="G2012" s="2" t="s">
        <v>7260</v>
      </c>
      <c r="H2012" s="2" t="s">
        <v>7261</v>
      </c>
      <c r="I2012" s="2" t="s">
        <v>4139</v>
      </c>
      <c r="J2012" s="2" t="s">
        <v>7262</v>
      </c>
      <c r="K2012" s="2" t="s">
        <v>10</v>
      </c>
      <c r="L2012" s="6"/>
    </row>
    <row r="2013" spans="1:12" hidden="1" x14ac:dyDescent="0.3">
      <c r="A2013" s="2" t="s">
        <v>4139</v>
      </c>
      <c r="B2013" s="2" t="s">
        <v>7263</v>
      </c>
      <c r="C2013" s="3">
        <v>24158</v>
      </c>
      <c r="D2013" s="1" t="s">
        <v>7264</v>
      </c>
      <c r="E2013" s="1" t="s">
        <v>7265</v>
      </c>
      <c r="F2013" s="2" t="s">
        <v>4143</v>
      </c>
      <c r="G2013" s="2" t="s">
        <v>7266</v>
      </c>
      <c r="H2013" s="2" t="s">
        <v>4409</v>
      </c>
      <c r="I2013" s="2" t="s">
        <v>4139</v>
      </c>
      <c r="J2013" s="2" t="s">
        <v>7267</v>
      </c>
      <c r="K2013" s="2" t="s">
        <v>10</v>
      </c>
      <c r="L2013" s="6"/>
    </row>
    <row r="2014" spans="1:12" hidden="1" x14ac:dyDescent="0.3">
      <c r="A2014" s="2" t="s">
        <v>4139</v>
      </c>
      <c r="B2014" s="2" t="s">
        <v>7268</v>
      </c>
      <c r="C2014" s="3">
        <v>17176</v>
      </c>
      <c r="D2014" s="1" t="s">
        <v>7269</v>
      </c>
      <c r="E2014" s="1" t="s">
        <v>7270</v>
      </c>
      <c r="F2014" s="2" t="s">
        <v>4143</v>
      </c>
      <c r="G2014" s="2" t="s">
        <v>7271</v>
      </c>
      <c r="H2014" s="2" t="s">
        <v>4409</v>
      </c>
      <c r="I2014" s="2" t="s">
        <v>4139</v>
      </c>
      <c r="J2014" s="2" t="s">
        <v>7272</v>
      </c>
      <c r="K2014" s="15" t="s">
        <v>10</v>
      </c>
      <c r="L2014" s="24"/>
    </row>
    <row r="2015" spans="1:12" ht="27.6" hidden="1" x14ac:dyDescent="0.3">
      <c r="A2015" s="2" t="s">
        <v>4386</v>
      </c>
      <c r="B2015" s="2" t="s">
        <v>7273</v>
      </c>
      <c r="C2015" s="3">
        <v>28310</v>
      </c>
      <c r="D2015" s="1" t="s">
        <v>7274</v>
      </c>
      <c r="E2015" s="1" t="s">
        <v>7275</v>
      </c>
      <c r="F2015" s="2" t="s">
        <v>7030</v>
      </c>
      <c r="G2015" s="2" t="s">
        <v>7276</v>
      </c>
      <c r="H2015" s="2" t="s">
        <v>10</v>
      </c>
      <c r="I2015" s="2" t="s">
        <v>4386</v>
      </c>
      <c r="J2015" s="2" t="s">
        <v>7277</v>
      </c>
      <c r="K2015" s="30" t="s">
        <v>13193</v>
      </c>
      <c r="L2015" s="6" t="s">
        <v>13194</v>
      </c>
    </row>
    <row r="2016" spans="1:12" ht="27.6" hidden="1" x14ac:dyDescent="0.3">
      <c r="A2016" s="2" t="s">
        <v>4386</v>
      </c>
      <c r="B2016" s="2" t="s">
        <v>7278</v>
      </c>
      <c r="C2016" s="3">
        <v>19225</v>
      </c>
      <c r="D2016" s="1" t="s">
        <v>7279</v>
      </c>
      <c r="E2016" s="1" t="s">
        <v>7280</v>
      </c>
      <c r="F2016" s="2" t="s">
        <v>7030</v>
      </c>
      <c r="G2016" s="2" t="s">
        <v>6699</v>
      </c>
      <c r="H2016" s="2" t="s">
        <v>10</v>
      </c>
      <c r="I2016" s="2" t="s">
        <v>4386</v>
      </c>
      <c r="J2016" s="2" t="s">
        <v>6709</v>
      </c>
      <c r="K2016" s="30" t="s">
        <v>13193</v>
      </c>
      <c r="L2016" s="6" t="s">
        <v>13194</v>
      </c>
    </row>
    <row r="2017" spans="1:12" ht="27.6" hidden="1" x14ac:dyDescent="0.3">
      <c r="A2017" s="2" t="s">
        <v>4386</v>
      </c>
      <c r="B2017" s="2" t="s">
        <v>7281</v>
      </c>
      <c r="C2017" s="3">
        <v>30420</v>
      </c>
      <c r="D2017" s="1" t="s">
        <v>7282</v>
      </c>
      <c r="E2017" s="1" t="s">
        <v>7283</v>
      </c>
      <c r="F2017" s="2" t="s">
        <v>7030</v>
      </c>
      <c r="G2017" s="2" t="s">
        <v>7284</v>
      </c>
      <c r="H2017" s="2" t="s">
        <v>10</v>
      </c>
      <c r="I2017" s="2" t="s">
        <v>4386</v>
      </c>
      <c r="J2017" s="2" t="s">
        <v>7285</v>
      </c>
      <c r="K2017" s="2" t="s">
        <v>10</v>
      </c>
      <c r="L2017" s="6"/>
    </row>
    <row r="2018" spans="1:12" ht="27.6" hidden="1" x14ac:dyDescent="0.3">
      <c r="A2018" s="2" t="s">
        <v>4386</v>
      </c>
      <c r="B2018" s="2" t="s">
        <v>7286</v>
      </c>
      <c r="C2018" s="3">
        <v>24962</v>
      </c>
      <c r="D2018" s="1" t="s">
        <v>7287</v>
      </c>
      <c r="E2018" s="1" t="s">
        <v>7288</v>
      </c>
      <c r="F2018" s="2" t="s">
        <v>7030</v>
      </c>
      <c r="G2018" s="2" t="s">
        <v>6920</v>
      </c>
      <c r="H2018" s="2" t="s">
        <v>10</v>
      </c>
      <c r="I2018" s="2" t="s">
        <v>4386</v>
      </c>
      <c r="J2018" s="2" t="s">
        <v>6921</v>
      </c>
      <c r="K2018" s="2" t="s">
        <v>10</v>
      </c>
      <c r="L2018" s="6"/>
    </row>
    <row r="2019" spans="1:12" ht="27.6" hidden="1" x14ac:dyDescent="0.3">
      <c r="A2019" s="2" t="s">
        <v>4386</v>
      </c>
      <c r="B2019" s="2" t="s">
        <v>7289</v>
      </c>
      <c r="C2019" s="3">
        <v>31187</v>
      </c>
      <c r="D2019" s="1" t="s">
        <v>7290</v>
      </c>
      <c r="E2019" s="1" t="s">
        <v>7291</v>
      </c>
      <c r="F2019" s="2" t="s">
        <v>7030</v>
      </c>
      <c r="G2019" s="2" t="s">
        <v>7292</v>
      </c>
      <c r="H2019" s="2" t="s">
        <v>10</v>
      </c>
      <c r="I2019" s="2" t="s">
        <v>4386</v>
      </c>
      <c r="J2019" s="2" t="s">
        <v>7293</v>
      </c>
      <c r="K2019" s="30" t="s">
        <v>13193</v>
      </c>
      <c r="L2019" s="6" t="s">
        <v>13194</v>
      </c>
    </row>
    <row r="2020" spans="1:12" ht="27.6" hidden="1" x14ac:dyDescent="0.3">
      <c r="A2020" s="2" t="s">
        <v>4386</v>
      </c>
      <c r="B2020" s="2" t="s">
        <v>7294</v>
      </c>
      <c r="C2020" s="3">
        <v>36192</v>
      </c>
      <c r="D2020" s="1" t="s">
        <v>7295</v>
      </c>
      <c r="E2020" s="1" t="s">
        <v>7296</v>
      </c>
      <c r="F2020" s="2" t="s">
        <v>7030</v>
      </c>
      <c r="G2020" s="2" t="s">
        <v>6191</v>
      </c>
      <c r="H2020" s="2" t="s">
        <v>10</v>
      </c>
      <c r="I2020" s="2" t="s">
        <v>4386</v>
      </c>
      <c r="J2020" s="2" t="s">
        <v>7297</v>
      </c>
      <c r="K2020" s="30" t="s">
        <v>13193</v>
      </c>
      <c r="L2020" s="6" t="s">
        <v>13194</v>
      </c>
    </row>
    <row r="2021" spans="1:12" ht="27.6" hidden="1" x14ac:dyDescent="0.3">
      <c r="A2021" s="2" t="s">
        <v>4386</v>
      </c>
      <c r="B2021" s="2" t="s">
        <v>7298</v>
      </c>
      <c r="C2021" s="3">
        <v>37453</v>
      </c>
      <c r="D2021" s="1" t="s">
        <v>7299</v>
      </c>
      <c r="E2021" s="1" t="s">
        <v>7300</v>
      </c>
      <c r="F2021" s="2" t="s">
        <v>7030</v>
      </c>
      <c r="G2021" s="2" t="s">
        <v>7015</v>
      </c>
      <c r="H2021" s="2" t="s">
        <v>10</v>
      </c>
      <c r="I2021" s="2" t="s">
        <v>4386</v>
      </c>
      <c r="J2021" s="2" t="s">
        <v>7301</v>
      </c>
      <c r="K2021" s="2" t="s">
        <v>10</v>
      </c>
      <c r="L2021" s="6"/>
    </row>
    <row r="2022" spans="1:12" ht="55.2" hidden="1" x14ac:dyDescent="0.3">
      <c r="A2022" s="2" t="s">
        <v>4604</v>
      </c>
      <c r="B2022" s="2" t="s">
        <v>7302</v>
      </c>
      <c r="C2022" s="3">
        <v>26712</v>
      </c>
      <c r="D2022" s="1" t="s">
        <v>7303</v>
      </c>
      <c r="E2022" s="1" t="s">
        <v>7304</v>
      </c>
      <c r="F2022" s="2" t="s">
        <v>7305</v>
      </c>
      <c r="G2022" s="2" t="s">
        <v>2594</v>
      </c>
      <c r="H2022" s="2" t="s">
        <v>7306</v>
      </c>
      <c r="I2022" s="2" t="s">
        <v>4604</v>
      </c>
      <c r="J2022" s="2" t="s">
        <v>7307</v>
      </c>
      <c r="K2022" s="18" t="s">
        <v>7308</v>
      </c>
    </row>
    <row r="2023" spans="1:12" ht="55.2" hidden="1" x14ac:dyDescent="0.3">
      <c r="A2023" s="2" t="s">
        <v>4604</v>
      </c>
      <c r="B2023" s="2" t="s">
        <v>7309</v>
      </c>
      <c r="C2023" s="3">
        <v>33352</v>
      </c>
      <c r="D2023" s="1" t="s">
        <v>7310</v>
      </c>
      <c r="E2023" s="1" t="s">
        <v>7311</v>
      </c>
      <c r="F2023" s="2" t="s">
        <v>7305</v>
      </c>
      <c r="G2023" s="2" t="s">
        <v>1955</v>
      </c>
      <c r="H2023" s="2" t="s">
        <v>7312</v>
      </c>
      <c r="I2023" s="2" t="s">
        <v>4604</v>
      </c>
      <c r="J2023" s="2" t="s">
        <v>4338</v>
      </c>
      <c r="K2023" s="2" t="s">
        <v>10</v>
      </c>
    </row>
    <row r="2024" spans="1:12" ht="55.2" hidden="1" x14ac:dyDescent="0.3">
      <c r="A2024" s="2" t="s">
        <v>4604</v>
      </c>
      <c r="B2024" s="2" t="s">
        <v>7313</v>
      </c>
      <c r="C2024" s="3">
        <v>20201</v>
      </c>
      <c r="D2024" s="1" t="s">
        <v>7314</v>
      </c>
      <c r="E2024" s="1" t="s">
        <v>7315</v>
      </c>
      <c r="F2024" s="2" t="s">
        <v>4608</v>
      </c>
      <c r="G2024" s="2" t="s">
        <v>3931</v>
      </c>
      <c r="H2024" s="2" t="s">
        <v>10</v>
      </c>
      <c r="I2024" s="2" t="s">
        <v>4604</v>
      </c>
      <c r="J2024" s="2" t="s">
        <v>5004</v>
      </c>
      <c r="K2024" s="15" t="s">
        <v>10</v>
      </c>
    </row>
    <row r="2025" spans="1:12" ht="27.6" hidden="1" x14ac:dyDescent="0.3">
      <c r="A2025" s="2" t="s">
        <v>4386</v>
      </c>
      <c r="B2025" s="2" t="s">
        <v>7316</v>
      </c>
      <c r="C2025" s="3">
        <v>36963</v>
      </c>
      <c r="D2025" s="1" t="s">
        <v>7317</v>
      </c>
      <c r="E2025" s="1" t="s">
        <v>7318</v>
      </c>
      <c r="F2025" s="2" t="s">
        <v>7319</v>
      </c>
      <c r="G2025" s="2" t="s">
        <v>31</v>
      </c>
      <c r="H2025" s="2" t="s">
        <v>5849</v>
      </c>
      <c r="I2025" s="2" t="s">
        <v>4386</v>
      </c>
      <c r="J2025" s="2" t="s">
        <v>7320</v>
      </c>
      <c r="K2025" s="30" t="s">
        <v>13193</v>
      </c>
      <c r="L2025" s="6" t="s">
        <v>13194</v>
      </c>
    </row>
    <row r="2026" spans="1:12" ht="27.6" hidden="1" x14ac:dyDescent="0.3">
      <c r="A2026" s="2" t="s">
        <v>4386</v>
      </c>
      <c r="B2026" s="2" t="s">
        <v>7321</v>
      </c>
      <c r="C2026" s="3">
        <v>35778</v>
      </c>
      <c r="D2026" s="1" t="s">
        <v>7322</v>
      </c>
      <c r="E2026" s="1" t="s">
        <v>7323</v>
      </c>
      <c r="F2026" s="2" t="s">
        <v>7319</v>
      </c>
      <c r="G2026" s="2" t="s">
        <v>31</v>
      </c>
      <c r="H2026" s="2" t="s">
        <v>4531</v>
      </c>
      <c r="I2026" s="2" t="s">
        <v>4386</v>
      </c>
      <c r="J2026" s="2" t="s">
        <v>7320</v>
      </c>
      <c r="K2026" s="30" t="s">
        <v>13193</v>
      </c>
      <c r="L2026" s="6" t="s">
        <v>13194</v>
      </c>
    </row>
    <row r="2027" spans="1:12" ht="27.6" hidden="1" x14ac:dyDescent="0.3">
      <c r="A2027" s="2" t="s">
        <v>4386</v>
      </c>
      <c r="B2027" s="2" t="s">
        <v>7324</v>
      </c>
      <c r="C2027" s="3">
        <v>36920</v>
      </c>
      <c r="D2027" s="1" t="s">
        <v>7325</v>
      </c>
      <c r="E2027" s="1" t="s">
        <v>7326</v>
      </c>
      <c r="F2027" s="2" t="s">
        <v>6925</v>
      </c>
      <c r="G2027" s="2" t="s">
        <v>222</v>
      </c>
      <c r="H2027" s="2" t="s">
        <v>10</v>
      </c>
      <c r="I2027" s="2" t="s">
        <v>4386</v>
      </c>
      <c r="J2027" s="2" t="s">
        <v>7327</v>
      </c>
      <c r="K2027" s="18" t="s">
        <v>10</v>
      </c>
    </row>
    <row r="2028" spans="1:12" ht="27.6" hidden="1" x14ac:dyDescent="0.3">
      <c r="A2028" s="2" t="s">
        <v>4386</v>
      </c>
      <c r="B2028" s="2" t="s">
        <v>7328</v>
      </c>
      <c r="C2028" s="3">
        <v>37245</v>
      </c>
      <c r="D2028" s="1" t="s">
        <v>7329</v>
      </c>
      <c r="E2028" s="1" t="s">
        <v>7330</v>
      </c>
      <c r="F2028" s="2" t="s">
        <v>6270</v>
      </c>
      <c r="G2028" s="2" t="s">
        <v>385</v>
      </c>
      <c r="H2028" s="2" t="s">
        <v>10</v>
      </c>
      <c r="I2028" s="2" t="s">
        <v>4386</v>
      </c>
      <c r="J2028" s="2" t="s">
        <v>913</v>
      </c>
      <c r="K2028" s="40" t="s">
        <v>13193</v>
      </c>
      <c r="L2028" s="6" t="s">
        <v>13194</v>
      </c>
    </row>
    <row r="2029" spans="1:12" ht="27.6" hidden="1" x14ac:dyDescent="0.3">
      <c r="A2029" s="2" t="s">
        <v>4386</v>
      </c>
      <c r="B2029" s="2" t="s">
        <v>7331</v>
      </c>
      <c r="C2029" s="3">
        <v>28692</v>
      </c>
      <c r="D2029" s="1" t="s">
        <v>7332</v>
      </c>
      <c r="E2029" s="1" t="s">
        <v>7333</v>
      </c>
      <c r="F2029" s="2" t="s">
        <v>5618</v>
      </c>
      <c r="G2029" s="2" t="s">
        <v>5274</v>
      </c>
      <c r="H2029" s="2" t="s">
        <v>10</v>
      </c>
      <c r="I2029" s="2" t="s">
        <v>4386</v>
      </c>
      <c r="J2029" s="2" t="s">
        <v>5275</v>
      </c>
      <c r="K2029" s="15" t="s">
        <v>10</v>
      </c>
    </row>
    <row r="2030" spans="1:12" ht="27.6" hidden="1" x14ac:dyDescent="0.3">
      <c r="A2030" s="2" t="s">
        <v>4386</v>
      </c>
      <c r="B2030" s="2" t="s">
        <v>7334</v>
      </c>
      <c r="C2030" s="3">
        <v>28653</v>
      </c>
      <c r="D2030" s="1" t="s">
        <v>7335</v>
      </c>
      <c r="E2030" s="1" t="s">
        <v>7336</v>
      </c>
      <c r="F2030" s="2" t="s">
        <v>6950</v>
      </c>
      <c r="G2030" s="2" t="s">
        <v>31</v>
      </c>
      <c r="H2030" s="2" t="s">
        <v>10</v>
      </c>
      <c r="I2030" s="2" t="s">
        <v>4386</v>
      </c>
      <c r="J2030" s="2" t="s">
        <v>684</v>
      </c>
      <c r="K2030" s="30" t="s">
        <v>13193</v>
      </c>
      <c r="L2030" s="6" t="s">
        <v>13194</v>
      </c>
    </row>
    <row r="2031" spans="1:12" ht="27.6" hidden="1" x14ac:dyDescent="0.3">
      <c r="A2031" s="2" t="s">
        <v>4386</v>
      </c>
      <c r="B2031" s="2" t="s">
        <v>7337</v>
      </c>
      <c r="C2031" s="3">
        <v>17513</v>
      </c>
      <c r="D2031" s="1" t="s">
        <v>7338</v>
      </c>
      <c r="E2031" s="1" t="s">
        <v>7339</v>
      </c>
      <c r="F2031" s="2" t="s">
        <v>6950</v>
      </c>
      <c r="G2031" s="2" t="s">
        <v>425</v>
      </c>
      <c r="H2031" s="2" t="s">
        <v>81</v>
      </c>
      <c r="I2031" s="2" t="s">
        <v>4386</v>
      </c>
      <c r="J2031" s="2" t="s">
        <v>1181</v>
      </c>
      <c r="K2031" s="30" t="s">
        <v>13193</v>
      </c>
      <c r="L2031" s="6" t="s">
        <v>13194</v>
      </c>
    </row>
    <row r="2032" spans="1:12" ht="27.6" hidden="1" x14ac:dyDescent="0.3">
      <c r="A2032" s="2" t="s">
        <v>4386</v>
      </c>
      <c r="B2032" s="2" t="s">
        <v>7340</v>
      </c>
      <c r="C2032" s="3">
        <v>29400</v>
      </c>
      <c r="D2032" s="1" t="s">
        <v>7341</v>
      </c>
      <c r="E2032" s="1" t="s">
        <v>7342</v>
      </c>
      <c r="F2032" s="2" t="s">
        <v>6950</v>
      </c>
      <c r="G2032" s="2" t="s">
        <v>112</v>
      </c>
      <c r="H2032" s="2" t="s">
        <v>81</v>
      </c>
      <c r="I2032" s="2" t="s">
        <v>4386</v>
      </c>
      <c r="J2032" s="2" t="s">
        <v>7343</v>
      </c>
      <c r="K2032" s="30" t="s">
        <v>13193</v>
      </c>
      <c r="L2032" s="6" t="s">
        <v>13194</v>
      </c>
    </row>
    <row r="2033" spans="1:12" ht="27.6" hidden="1" x14ac:dyDescent="0.3">
      <c r="A2033" s="2" t="s">
        <v>4386</v>
      </c>
      <c r="B2033" s="2" t="s">
        <v>7344</v>
      </c>
      <c r="C2033" s="3">
        <v>31834</v>
      </c>
      <c r="D2033" s="1" t="s">
        <v>7345</v>
      </c>
      <c r="E2033" s="1" t="s">
        <v>7346</v>
      </c>
      <c r="F2033" s="2" t="s">
        <v>4555</v>
      </c>
      <c r="G2033" s="2" t="s">
        <v>7347</v>
      </c>
      <c r="H2033" s="2" t="s">
        <v>10</v>
      </c>
      <c r="I2033" s="2" t="s">
        <v>4386</v>
      </c>
      <c r="J2033" s="2" t="s">
        <v>7348</v>
      </c>
      <c r="K2033" s="19" t="s">
        <v>10</v>
      </c>
    </row>
    <row r="2034" spans="1:12" ht="27.6" hidden="1" x14ac:dyDescent="0.3">
      <c r="A2034" s="2" t="s">
        <v>4386</v>
      </c>
      <c r="B2034" s="2" t="s">
        <v>7349</v>
      </c>
      <c r="C2034" s="3">
        <v>26831</v>
      </c>
      <c r="D2034" s="1" t="s">
        <v>7350</v>
      </c>
      <c r="E2034" s="1" t="s">
        <v>7351</v>
      </c>
      <c r="F2034" s="2" t="s">
        <v>7030</v>
      </c>
      <c r="G2034" s="2" t="s">
        <v>6713</v>
      </c>
      <c r="H2034" s="2" t="s">
        <v>10</v>
      </c>
      <c r="I2034" s="2" t="s">
        <v>4386</v>
      </c>
      <c r="J2034" s="2" t="s">
        <v>6714</v>
      </c>
      <c r="K2034" s="30" t="s">
        <v>13193</v>
      </c>
      <c r="L2034" s="6" t="s">
        <v>13194</v>
      </c>
    </row>
    <row r="2035" spans="1:12" ht="27.6" hidden="1" x14ac:dyDescent="0.3">
      <c r="A2035" s="2" t="s">
        <v>4386</v>
      </c>
      <c r="B2035" s="2" t="s">
        <v>7352</v>
      </c>
      <c r="C2035" s="3">
        <v>22724</v>
      </c>
      <c r="D2035" s="1" t="s">
        <v>7353</v>
      </c>
      <c r="E2035" s="1" t="s">
        <v>7354</v>
      </c>
      <c r="F2035" s="2" t="s">
        <v>7030</v>
      </c>
      <c r="G2035" s="2" t="s">
        <v>7355</v>
      </c>
      <c r="H2035" s="2" t="s">
        <v>103</v>
      </c>
      <c r="I2035" s="2" t="s">
        <v>4386</v>
      </c>
      <c r="J2035" s="2" t="s">
        <v>7356</v>
      </c>
      <c r="K2035" s="2" t="s">
        <v>10</v>
      </c>
      <c r="L2035" s="6"/>
    </row>
    <row r="2036" spans="1:12" ht="27.6" hidden="1" x14ac:dyDescent="0.3">
      <c r="A2036" s="2" t="s">
        <v>4386</v>
      </c>
      <c r="B2036" s="2" t="s">
        <v>7357</v>
      </c>
      <c r="C2036" s="3">
        <v>37397</v>
      </c>
      <c r="D2036" s="1" t="s">
        <v>7358</v>
      </c>
      <c r="E2036" s="1" t="s">
        <v>7359</v>
      </c>
      <c r="F2036" s="2" t="s">
        <v>7030</v>
      </c>
      <c r="G2036" s="2" t="s">
        <v>7355</v>
      </c>
      <c r="H2036" s="2" t="s">
        <v>81</v>
      </c>
      <c r="I2036" s="2" t="s">
        <v>4386</v>
      </c>
      <c r="J2036" s="2" t="s">
        <v>7356</v>
      </c>
      <c r="K2036" s="2" t="s">
        <v>10</v>
      </c>
      <c r="L2036" s="6"/>
    </row>
    <row r="2037" spans="1:12" ht="27.6" hidden="1" x14ac:dyDescent="0.3">
      <c r="A2037" s="2" t="s">
        <v>4386</v>
      </c>
      <c r="B2037" s="2" t="s">
        <v>7360</v>
      </c>
      <c r="C2037" s="3">
        <v>25723</v>
      </c>
      <c r="D2037" s="1" t="s">
        <v>7361</v>
      </c>
      <c r="E2037" s="1" t="s">
        <v>7362</v>
      </c>
      <c r="F2037" s="2" t="s">
        <v>7030</v>
      </c>
      <c r="G2037" s="2" t="s">
        <v>7363</v>
      </c>
      <c r="H2037" s="2" t="s">
        <v>10</v>
      </c>
      <c r="I2037" s="2" t="s">
        <v>4386</v>
      </c>
      <c r="J2037" s="2" t="s">
        <v>7364</v>
      </c>
      <c r="K2037" s="30" t="s">
        <v>13193</v>
      </c>
      <c r="L2037" s="6" t="s">
        <v>13194</v>
      </c>
    </row>
    <row r="2038" spans="1:12" ht="27.6" hidden="1" x14ac:dyDescent="0.3">
      <c r="A2038" s="2" t="s">
        <v>4386</v>
      </c>
      <c r="B2038" s="2" t="s">
        <v>7365</v>
      </c>
      <c r="C2038" s="3">
        <v>28656</v>
      </c>
      <c r="D2038" s="1" t="s">
        <v>7366</v>
      </c>
      <c r="E2038" s="1" t="s">
        <v>7367</v>
      </c>
      <c r="F2038" s="2" t="s">
        <v>7030</v>
      </c>
      <c r="G2038" s="2" t="s">
        <v>7368</v>
      </c>
      <c r="H2038" s="2" t="s">
        <v>10</v>
      </c>
      <c r="I2038" s="2" t="s">
        <v>4386</v>
      </c>
      <c r="J2038" s="2" t="s">
        <v>7369</v>
      </c>
      <c r="K2038" s="30" t="s">
        <v>13193</v>
      </c>
      <c r="L2038" s="6" t="s">
        <v>13194</v>
      </c>
    </row>
    <row r="2039" spans="1:12" ht="27.6" hidden="1" x14ac:dyDescent="0.3">
      <c r="A2039" s="2" t="s">
        <v>4386</v>
      </c>
      <c r="B2039" s="2" t="s">
        <v>7370</v>
      </c>
      <c r="C2039" s="3">
        <v>28443</v>
      </c>
      <c r="D2039" s="1" t="s">
        <v>7371</v>
      </c>
      <c r="E2039" s="1" t="s">
        <v>7372</v>
      </c>
      <c r="F2039" s="2" t="s">
        <v>7030</v>
      </c>
      <c r="G2039" s="2" t="s">
        <v>7373</v>
      </c>
      <c r="H2039" s="2" t="s">
        <v>10</v>
      </c>
      <c r="I2039" s="2" t="s">
        <v>4386</v>
      </c>
      <c r="J2039" s="2" t="s">
        <v>7374</v>
      </c>
      <c r="K2039" s="30" t="s">
        <v>13193</v>
      </c>
      <c r="L2039" s="6" t="s">
        <v>13194</v>
      </c>
    </row>
    <row r="2040" spans="1:12" ht="27.6" hidden="1" x14ac:dyDescent="0.3">
      <c r="A2040" s="2" t="s">
        <v>4386</v>
      </c>
      <c r="B2040" s="2" t="s">
        <v>7375</v>
      </c>
      <c r="C2040" s="3">
        <v>18738</v>
      </c>
      <c r="D2040" s="1" t="s">
        <v>7376</v>
      </c>
      <c r="E2040" s="1" t="s">
        <v>7377</v>
      </c>
      <c r="F2040" s="2" t="s">
        <v>7030</v>
      </c>
      <c r="G2040" s="2" t="s">
        <v>7378</v>
      </c>
      <c r="H2040" s="2" t="s">
        <v>10</v>
      </c>
      <c r="I2040" s="2" t="s">
        <v>4386</v>
      </c>
      <c r="J2040" s="2" t="s">
        <v>7379</v>
      </c>
      <c r="K2040" s="2" t="s">
        <v>10</v>
      </c>
      <c r="L2040" s="6"/>
    </row>
    <row r="2041" spans="1:12" ht="27.6" hidden="1" x14ac:dyDescent="0.3">
      <c r="A2041" s="2" t="s">
        <v>4386</v>
      </c>
      <c r="B2041" s="2" t="s">
        <v>7380</v>
      </c>
      <c r="C2041" s="3">
        <v>37665</v>
      </c>
      <c r="D2041" s="1" t="s">
        <v>7381</v>
      </c>
      <c r="E2041" s="1" t="s">
        <v>7382</v>
      </c>
      <c r="F2041" s="2" t="s">
        <v>7319</v>
      </c>
      <c r="G2041" s="2" t="s">
        <v>92</v>
      </c>
      <c r="H2041" s="2" t="s">
        <v>10</v>
      </c>
      <c r="I2041" s="2" t="s">
        <v>4386</v>
      </c>
      <c r="J2041" s="2" t="s">
        <v>826</v>
      </c>
      <c r="K2041" s="38" t="s">
        <v>13193</v>
      </c>
      <c r="L2041" s="26" t="s">
        <v>13194</v>
      </c>
    </row>
    <row r="2042" spans="1:12" ht="27.6" hidden="1" x14ac:dyDescent="0.3">
      <c r="A2042" s="2" t="s">
        <v>4386</v>
      </c>
      <c r="B2042" s="2" t="s">
        <v>7383</v>
      </c>
      <c r="C2042" s="3">
        <v>26716</v>
      </c>
      <c r="D2042" s="1" t="s">
        <v>7384</v>
      </c>
      <c r="E2042" s="1" t="s">
        <v>7385</v>
      </c>
      <c r="F2042" s="2" t="s">
        <v>7319</v>
      </c>
      <c r="G2042" s="2" t="s">
        <v>25</v>
      </c>
      <c r="H2042" s="2" t="s">
        <v>10</v>
      </c>
      <c r="I2042" s="2" t="s">
        <v>4386</v>
      </c>
      <c r="J2042" s="2" t="s">
        <v>305</v>
      </c>
      <c r="K2042" s="30" t="s">
        <v>13193</v>
      </c>
      <c r="L2042" s="6" t="s">
        <v>13194</v>
      </c>
    </row>
    <row r="2043" spans="1:12" ht="27.6" hidden="1" x14ac:dyDescent="0.3">
      <c r="A2043" s="2" t="s">
        <v>4386</v>
      </c>
      <c r="B2043" s="2" t="s">
        <v>7386</v>
      </c>
      <c r="C2043" s="3">
        <v>30566</v>
      </c>
      <c r="D2043" s="1" t="s">
        <v>7387</v>
      </c>
      <c r="E2043" s="1" t="s">
        <v>7388</v>
      </c>
      <c r="F2043" s="2" t="s">
        <v>7319</v>
      </c>
      <c r="G2043" s="2" t="s">
        <v>385</v>
      </c>
      <c r="H2043" s="2" t="s">
        <v>10</v>
      </c>
      <c r="I2043" s="2" t="s">
        <v>4386</v>
      </c>
      <c r="J2043" s="2" t="s">
        <v>913</v>
      </c>
      <c r="K2043" s="30" t="s">
        <v>13193</v>
      </c>
      <c r="L2043" s="6" t="s">
        <v>13194</v>
      </c>
    </row>
    <row r="2044" spans="1:12" ht="27.6" hidden="1" x14ac:dyDescent="0.3">
      <c r="A2044" s="2" t="s">
        <v>4386</v>
      </c>
      <c r="B2044" s="2" t="s">
        <v>7389</v>
      </c>
      <c r="C2044" s="3">
        <v>28814</v>
      </c>
      <c r="D2044" s="1" t="s">
        <v>7390</v>
      </c>
      <c r="E2044" s="1" t="s">
        <v>7391</v>
      </c>
      <c r="F2044" s="2" t="s">
        <v>7319</v>
      </c>
      <c r="G2044" s="2" t="s">
        <v>12</v>
      </c>
      <c r="H2044" s="2" t="s">
        <v>10</v>
      </c>
      <c r="I2044" s="2" t="s">
        <v>4386</v>
      </c>
      <c r="J2044" s="2" t="s">
        <v>540</v>
      </c>
      <c r="K2044" s="30" t="s">
        <v>13193</v>
      </c>
      <c r="L2044" s="6" t="s">
        <v>13194</v>
      </c>
    </row>
    <row r="2045" spans="1:12" hidden="1" x14ac:dyDescent="0.3">
      <c r="A2045" s="2" t="s">
        <v>4139</v>
      </c>
      <c r="B2045" s="2" t="s">
        <v>7392</v>
      </c>
      <c r="C2045" s="3">
        <v>15198</v>
      </c>
      <c r="D2045" s="1" t="s">
        <v>7393</v>
      </c>
      <c r="E2045" s="1" t="s">
        <v>7394</v>
      </c>
      <c r="F2045" s="2" t="s">
        <v>4143</v>
      </c>
      <c r="G2045" s="2" t="s">
        <v>5291</v>
      </c>
      <c r="H2045" s="2" t="s">
        <v>10</v>
      </c>
      <c r="I2045" s="2" t="s">
        <v>4139</v>
      </c>
      <c r="J2045" s="2" t="s">
        <v>7395</v>
      </c>
      <c r="K2045" s="20" t="s">
        <v>13177</v>
      </c>
      <c r="L2045" s="12" t="s">
        <v>13199</v>
      </c>
    </row>
    <row r="2046" spans="1:12" hidden="1" x14ac:dyDescent="0.3">
      <c r="A2046" s="2" t="s">
        <v>4139</v>
      </c>
      <c r="B2046" s="2" t="s">
        <v>7396</v>
      </c>
      <c r="C2046" s="3">
        <v>27898</v>
      </c>
      <c r="D2046" s="1" t="s">
        <v>7397</v>
      </c>
      <c r="E2046" s="1" t="s">
        <v>7398</v>
      </c>
      <c r="F2046" s="2" t="s">
        <v>4143</v>
      </c>
      <c r="G2046" s="2" t="s">
        <v>6785</v>
      </c>
      <c r="H2046" s="2" t="s">
        <v>103</v>
      </c>
      <c r="I2046" s="2" t="s">
        <v>4139</v>
      </c>
      <c r="J2046" s="2" t="s">
        <v>6786</v>
      </c>
      <c r="K2046" s="13" t="s">
        <v>13177</v>
      </c>
      <c r="L2046" s="7" t="s">
        <v>13199</v>
      </c>
    </row>
    <row r="2047" spans="1:12" hidden="1" x14ac:dyDescent="0.3">
      <c r="A2047" s="2" t="s">
        <v>4139</v>
      </c>
      <c r="B2047" s="2" t="s">
        <v>7396</v>
      </c>
      <c r="C2047" s="3">
        <v>27898</v>
      </c>
      <c r="D2047" s="1" t="s">
        <v>7399</v>
      </c>
      <c r="E2047" s="1" t="s">
        <v>7398</v>
      </c>
      <c r="F2047" s="2" t="s">
        <v>4143</v>
      </c>
      <c r="G2047" s="2" t="s">
        <v>6785</v>
      </c>
      <c r="H2047" s="2" t="s">
        <v>81</v>
      </c>
      <c r="I2047" s="2" t="s">
        <v>4139</v>
      </c>
      <c r="J2047" s="2" t="s">
        <v>6786</v>
      </c>
      <c r="K2047" s="13" t="s">
        <v>13177</v>
      </c>
      <c r="L2047" s="7" t="s">
        <v>13199</v>
      </c>
    </row>
    <row r="2048" spans="1:12" hidden="1" x14ac:dyDescent="0.3">
      <c r="A2048" s="2" t="s">
        <v>4139</v>
      </c>
      <c r="B2048" s="2" t="s">
        <v>7396</v>
      </c>
      <c r="C2048" s="3">
        <v>27898</v>
      </c>
      <c r="D2048" s="1" t="s">
        <v>7397</v>
      </c>
      <c r="E2048" s="1" t="s">
        <v>7398</v>
      </c>
      <c r="F2048" s="2" t="s">
        <v>4143</v>
      </c>
      <c r="G2048" s="2" t="s">
        <v>6785</v>
      </c>
      <c r="H2048" s="2" t="s">
        <v>562</v>
      </c>
      <c r="I2048" s="2" t="s">
        <v>4139</v>
      </c>
      <c r="J2048" s="2" t="s">
        <v>6786</v>
      </c>
      <c r="K2048" s="14"/>
      <c r="L2048" s="6"/>
    </row>
    <row r="2049" spans="1:12" ht="27.6" hidden="1" x14ac:dyDescent="0.3">
      <c r="A2049" s="2" t="s">
        <v>4139</v>
      </c>
      <c r="B2049" s="2" t="s">
        <v>7400</v>
      </c>
      <c r="C2049" s="3">
        <v>35942</v>
      </c>
      <c r="D2049" s="1" t="s">
        <v>7401</v>
      </c>
      <c r="E2049" s="1" t="s">
        <v>7402</v>
      </c>
      <c r="F2049" s="2" t="s">
        <v>4143</v>
      </c>
      <c r="G2049" s="2" t="s">
        <v>7403</v>
      </c>
      <c r="H2049" s="2" t="s">
        <v>81</v>
      </c>
      <c r="I2049" s="2" t="s">
        <v>4139</v>
      </c>
      <c r="J2049" s="2" t="s">
        <v>7404</v>
      </c>
      <c r="K2049" s="14"/>
      <c r="L2049" s="6"/>
    </row>
    <row r="2050" spans="1:12" hidden="1" x14ac:dyDescent="0.3">
      <c r="A2050" s="2" t="s">
        <v>4139</v>
      </c>
      <c r="B2050" s="2" t="s">
        <v>7405</v>
      </c>
      <c r="C2050" s="3">
        <v>28905</v>
      </c>
      <c r="D2050" s="1" t="s">
        <v>7406</v>
      </c>
      <c r="E2050" s="1" t="s">
        <v>7407</v>
      </c>
      <c r="F2050" s="2" t="s">
        <v>4143</v>
      </c>
      <c r="G2050" s="2" t="s">
        <v>7408</v>
      </c>
      <c r="H2050" s="2" t="s">
        <v>10</v>
      </c>
      <c r="I2050" s="2" t="s">
        <v>4139</v>
      </c>
      <c r="J2050" s="2" t="s">
        <v>7409</v>
      </c>
      <c r="K2050" s="14"/>
      <c r="L2050" s="6"/>
    </row>
    <row r="2051" spans="1:12" hidden="1" x14ac:dyDescent="0.3">
      <c r="A2051" s="2" t="s">
        <v>4139</v>
      </c>
      <c r="B2051" s="2" t="s">
        <v>7410</v>
      </c>
      <c r="C2051" s="3">
        <v>22836</v>
      </c>
      <c r="D2051" s="1" t="s">
        <v>7411</v>
      </c>
      <c r="E2051" s="1" t="s">
        <v>7412</v>
      </c>
      <c r="F2051" s="2" t="s">
        <v>4143</v>
      </c>
      <c r="G2051" s="2" t="s">
        <v>7413</v>
      </c>
      <c r="H2051" s="2" t="s">
        <v>2001</v>
      </c>
      <c r="I2051" s="2" t="s">
        <v>4139</v>
      </c>
      <c r="J2051" s="2" t="s">
        <v>7414</v>
      </c>
      <c r="K2051" s="14"/>
      <c r="L2051" s="6"/>
    </row>
    <row r="2052" spans="1:12" hidden="1" x14ac:dyDescent="0.3">
      <c r="A2052" s="2" t="s">
        <v>4139</v>
      </c>
      <c r="B2052" s="2" t="s">
        <v>7415</v>
      </c>
      <c r="C2052" s="3">
        <v>29394</v>
      </c>
      <c r="D2052" s="1" t="s">
        <v>7416</v>
      </c>
      <c r="E2052" s="1" t="s">
        <v>7417</v>
      </c>
      <c r="F2052" s="2" t="s">
        <v>4143</v>
      </c>
      <c r="G2052" s="2" t="s">
        <v>7418</v>
      </c>
      <c r="H2052" s="2" t="s">
        <v>10</v>
      </c>
      <c r="I2052" s="2" t="s">
        <v>4139</v>
      </c>
      <c r="J2052" s="2" t="s">
        <v>7419</v>
      </c>
      <c r="K2052" s="14"/>
      <c r="L2052" s="6"/>
    </row>
    <row r="2053" spans="1:12" hidden="1" x14ac:dyDescent="0.3">
      <c r="A2053" s="2" t="s">
        <v>4139</v>
      </c>
      <c r="B2053" s="2" t="s">
        <v>7420</v>
      </c>
      <c r="C2053" s="3">
        <v>25398</v>
      </c>
      <c r="D2053" s="1" t="s">
        <v>7421</v>
      </c>
      <c r="E2053" s="1" t="s">
        <v>7422</v>
      </c>
      <c r="F2053" s="2" t="s">
        <v>4143</v>
      </c>
      <c r="G2053" s="2" t="s">
        <v>7423</v>
      </c>
      <c r="H2053" s="2" t="s">
        <v>103</v>
      </c>
      <c r="I2053" s="2" t="s">
        <v>4139</v>
      </c>
      <c r="J2053" s="2" t="s">
        <v>7424</v>
      </c>
      <c r="K2053" s="14"/>
      <c r="L2053" s="6"/>
    </row>
    <row r="2054" spans="1:12" hidden="1" x14ac:dyDescent="0.3">
      <c r="A2054" s="2" t="s">
        <v>4139</v>
      </c>
      <c r="B2054" s="2" t="s">
        <v>7420</v>
      </c>
      <c r="C2054" s="3">
        <v>25398</v>
      </c>
      <c r="D2054" s="1" t="s">
        <v>7425</v>
      </c>
      <c r="E2054" s="1" t="s">
        <v>7422</v>
      </c>
      <c r="F2054" s="2" t="s">
        <v>4143</v>
      </c>
      <c r="G2054" s="2" t="s">
        <v>7423</v>
      </c>
      <c r="H2054" s="2" t="s">
        <v>81</v>
      </c>
      <c r="I2054" s="2" t="s">
        <v>4139</v>
      </c>
      <c r="J2054" s="2" t="s">
        <v>7424</v>
      </c>
      <c r="K2054" s="14"/>
      <c r="L2054" s="6"/>
    </row>
    <row r="2055" spans="1:12" hidden="1" x14ac:dyDescent="0.3">
      <c r="A2055" s="2" t="s">
        <v>4139</v>
      </c>
      <c r="B2055" s="2" t="s">
        <v>7420</v>
      </c>
      <c r="C2055" s="3">
        <v>25398</v>
      </c>
      <c r="D2055" s="1" t="s">
        <v>7421</v>
      </c>
      <c r="E2055" s="1" t="s">
        <v>7422</v>
      </c>
      <c r="F2055" s="2" t="s">
        <v>4143</v>
      </c>
      <c r="G2055" s="2" t="s">
        <v>7426</v>
      </c>
      <c r="H2055" s="2" t="s">
        <v>81</v>
      </c>
      <c r="I2055" s="2" t="s">
        <v>4139</v>
      </c>
      <c r="J2055" s="2" t="s">
        <v>7427</v>
      </c>
      <c r="K2055" s="14"/>
      <c r="L2055" s="6"/>
    </row>
    <row r="2056" spans="1:12" hidden="1" x14ac:dyDescent="0.3">
      <c r="A2056" s="2" t="s">
        <v>4139</v>
      </c>
      <c r="B2056" s="2" t="s">
        <v>7428</v>
      </c>
      <c r="C2056" s="3">
        <v>37212</v>
      </c>
      <c r="D2056" s="1" t="s">
        <v>7429</v>
      </c>
      <c r="E2056" s="1" t="s">
        <v>7430</v>
      </c>
      <c r="F2056" s="2" t="s">
        <v>4143</v>
      </c>
      <c r="G2056" s="2" t="s">
        <v>4144</v>
      </c>
      <c r="H2056" s="2" t="s">
        <v>81</v>
      </c>
      <c r="I2056" s="2" t="s">
        <v>4139</v>
      </c>
      <c r="J2056" s="2" t="s">
        <v>7431</v>
      </c>
      <c r="K2056" s="14"/>
      <c r="L2056" s="6"/>
    </row>
    <row r="2057" spans="1:12" hidden="1" x14ac:dyDescent="0.3">
      <c r="A2057" s="2" t="s">
        <v>4139</v>
      </c>
      <c r="B2057" s="2" t="s">
        <v>7432</v>
      </c>
      <c r="C2057" s="3">
        <v>31922</v>
      </c>
      <c r="D2057" s="1" t="s">
        <v>7433</v>
      </c>
      <c r="E2057" s="1" t="s">
        <v>7434</v>
      </c>
      <c r="F2057" s="2" t="s">
        <v>4143</v>
      </c>
      <c r="G2057" s="2" t="s">
        <v>7435</v>
      </c>
      <c r="H2057" s="2" t="s">
        <v>103</v>
      </c>
      <c r="I2057" s="2" t="s">
        <v>4139</v>
      </c>
      <c r="J2057" s="2" t="s">
        <v>7436</v>
      </c>
      <c r="K2057" s="14"/>
      <c r="L2057" s="6"/>
    </row>
    <row r="2058" spans="1:12" hidden="1" x14ac:dyDescent="0.3">
      <c r="A2058" s="2" t="s">
        <v>4139</v>
      </c>
      <c r="B2058" s="2" t="s">
        <v>7432</v>
      </c>
      <c r="C2058" s="3">
        <v>31922</v>
      </c>
      <c r="D2058" s="1" t="s">
        <v>7433</v>
      </c>
      <c r="E2058" s="1" t="s">
        <v>7434</v>
      </c>
      <c r="F2058" s="2" t="s">
        <v>4143</v>
      </c>
      <c r="G2058" s="2" t="s">
        <v>7435</v>
      </c>
      <c r="H2058" s="2" t="s">
        <v>81</v>
      </c>
      <c r="I2058" s="2" t="s">
        <v>4139</v>
      </c>
      <c r="J2058" s="2" t="s">
        <v>7436</v>
      </c>
      <c r="K2058" s="14"/>
      <c r="L2058" s="6"/>
    </row>
    <row r="2059" spans="1:12" hidden="1" x14ac:dyDescent="0.3">
      <c r="A2059" s="2" t="s">
        <v>4139</v>
      </c>
      <c r="B2059" s="2" t="s">
        <v>7432</v>
      </c>
      <c r="C2059" s="3">
        <v>32288</v>
      </c>
      <c r="D2059" s="1" t="s">
        <v>7433</v>
      </c>
      <c r="E2059" s="1" t="s">
        <v>7434</v>
      </c>
      <c r="F2059" s="2" t="s">
        <v>4143</v>
      </c>
      <c r="G2059" s="2" t="s">
        <v>7435</v>
      </c>
      <c r="H2059" s="2" t="s">
        <v>562</v>
      </c>
      <c r="I2059" s="2" t="s">
        <v>4139</v>
      </c>
      <c r="J2059" s="2" t="s">
        <v>7436</v>
      </c>
      <c r="K2059" s="14"/>
      <c r="L2059" s="6"/>
    </row>
    <row r="2060" spans="1:12" hidden="1" x14ac:dyDescent="0.3">
      <c r="A2060" s="2" t="s">
        <v>4139</v>
      </c>
      <c r="B2060" s="2" t="s">
        <v>7432</v>
      </c>
      <c r="C2060" s="3">
        <v>28635</v>
      </c>
      <c r="D2060" s="1" t="s">
        <v>7433</v>
      </c>
      <c r="E2060" s="1" t="s">
        <v>7434</v>
      </c>
      <c r="F2060" s="2" t="s">
        <v>4143</v>
      </c>
      <c r="G2060" s="2" t="s">
        <v>7435</v>
      </c>
      <c r="H2060" s="2" t="s">
        <v>822</v>
      </c>
      <c r="I2060" s="2" t="s">
        <v>4139</v>
      </c>
      <c r="J2060" s="2" t="s">
        <v>7436</v>
      </c>
      <c r="K2060" s="14"/>
      <c r="L2060" s="6"/>
    </row>
    <row r="2061" spans="1:12" ht="27.6" hidden="1" x14ac:dyDescent="0.3">
      <c r="A2061" s="2" t="s">
        <v>4386</v>
      </c>
      <c r="B2061" s="2" t="s">
        <v>7437</v>
      </c>
      <c r="C2061" s="3">
        <v>27655</v>
      </c>
      <c r="D2061" s="1" t="s">
        <v>7438</v>
      </c>
      <c r="E2061" s="1" t="s">
        <v>7439</v>
      </c>
      <c r="F2061" s="2" t="s">
        <v>5049</v>
      </c>
      <c r="G2061" s="2" t="s">
        <v>292</v>
      </c>
      <c r="H2061" s="2" t="s">
        <v>10</v>
      </c>
      <c r="I2061" s="2" t="s">
        <v>4386</v>
      </c>
      <c r="J2061" s="2" t="s">
        <v>293</v>
      </c>
      <c r="K2061" s="20" t="s">
        <v>13177</v>
      </c>
      <c r="L2061" s="12"/>
    </row>
    <row r="2062" spans="1:12" ht="27.6" hidden="1" x14ac:dyDescent="0.3">
      <c r="A2062" s="2" t="s">
        <v>4386</v>
      </c>
      <c r="B2062" s="2" t="s">
        <v>7440</v>
      </c>
      <c r="C2062" s="3">
        <v>34057</v>
      </c>
      <c r="D2062" s="1" t="s">
        <v>7441</v>
      </c>
      <c r="E2062" s="1" t="s">
        <v>7442</v>
      </c>
      <c r="F2062" s="2" t="s">
        <v>4555</v>
      </c>
      <c r="G2062" s="2" t="s">
        <v>7443</v>
      </c>
      <c r="H2062" s="2" t="s">
        <v>10</v>
      </c>
      <c r="I2062" s="2" t="s">
        <v>4386</v>
      </c>
      <c r="J2062" s="2" t="s">
        <v>7444</v>
      </c>
      <c r="K2062" s="13" t="s">
        <v>13177</v>
      </c>
      <c r="L2062" s="7"/>
    </row>
    <row r="2063" spans="1:12" ht="55.2" hidden="1" x14ac:dyDescent="0.3">
      <c r="A2063" s="2" t="s">
        <v>4604</v>
      </c>
      <c r="B2063" s="2" t="s">
        <v>7445</v>
      </c>
      <c r="C2063" s="3">
        <v>26737</v>
      </c>
      <c r="D2063" s="1" t="s">
        <v>7446</v>
      </c>
      <c r="E2063" s="1" t="s">
        <v>5016</v>
      </c>
      <c r="F2063" s="2" t="s">
        <v>5698</v>
      </c>
      <c r="G2063" s="2" t="s">
        <v>2594</v>
      </c>
      <c r="H2063" s="2" t="s">
        <v>10</v>
      </c>
      <c r="I2063" s="2" t="s">
        <v>4604</v>
      </c>
      <c r="J2063" s="2" t="s">
        <v>7447</v>
      </c>
      <c r="K2063" s="13" t="s">
        <v>13177</v>
      </c>
      <c r="L2063" s="7"/>
    </row>
    <row r="2064" spans="1:12" ht="55.2" hidden="1" x14ac:dyDescent="0.3">
      <c r="A2064" s="2" t="s">
        <v>4604</v>
      </c>
      <c r="B2064" s="2" t="s">
        <v>5014</v>
      </c>
      <c r="C2064" s="3">
        <v>26737</v>
      </c>
      <c r="D2064" s="1" t="s">
        <v>5015</v>
      </c>
      <c r="E2064" s="1" t="s">
        <v>5016</v>
      </c>
      <c r="F2064" s="2" t="s">
        <v>5698</v>
      </c>
      <c r="G2064" s="2" t="s">
        <v>397</v>
      </c>
      <c r="H2064" s="2" t="s">
        <v>10</v>
      </c>
      <c r="I2064" s="2" t="s">
        <v>4604</v>
      </c>
      <c r="J2064" s="2" t="s">
        <v>7448</v>
      </c>
      <c r="K2064" s="13" t="s">
        <v>13177</v>
      </c>
      <c r="L2064" s="7"/>
    </row>
    <row r="2065" spans="1:12" ht="55.2" hidden="1" x14ac:dyDescent="0.3">
      <c r="A2065" s="2" t="s">
        <v>4604</v>
      </c>
      <c r="B2065" s="2" t="s">
        <v>7449</v>
      </c>
      <c r="C2065" s="3">
        <v>25055</v>
      </c>
      <c r="D2065" s="1" t="s">
        <v>7450</v>
      </c>
      <c r="E2065" s="1" t="s">
        <v>7451</v>
      </c>
      <c r="F2065" s="2" t="s">
        <v>5698</v>
      </c>
      <c r="G2065" s="2" t="s">
        <v>1955</v>
      </c>
      <c r="H2065" s="2" t="s">
        <v>10</v>
      </c>
      <c r="I2065" s="2" t="s">
        <v>4604</v>
      </c>
      <c r="J2065" s="2" t="s">
        <v>7452</v>
      </c>
      <c r="K2065" s="13" t="s">
        <v>13177</v>
      </c>
      <c r="L2065" s="7"/>
    </row>
    <row r="2066" spans="1:12" ht="55.2" hidden="1" x14ac:dyDescent="0.3">
      <c r="A2066" s="2" t="s">
        <v>4604</v>
      </c>
      <c r="B2066" s="2" t="s">
        <v>7453</v>
      </c>
      <c r="C2066" s="3">
        <v>22380</v>
      </c>
      <c r="D2066" s="1" t="s">
        <v>7454</v>
      </c>
      <c r="E2066" s="1" t="s">
        <v>7455</v>
      </c>
      <c r="F2066" s="2" t="s">
        <v>6663</v>
      </c>
      <c r="G2066" s="2" t="s">
        <v>190</v>
      </c>
      <c r="H2066" s="2" t="s">
        <v>7456</v>
      </c>
      <c r="I2066" s="2" t="s">
        <v>4604</v>
      </c>
      <c r="J2066" s="2" t="s">
        <v>768</v>
      </c>
      <c r="K2066" s="13" t="s">
        <v>13177</v>
      </c>
      <c r="L2066" s="7"/>
    </row>
    <row r="2067" spans="1:12" ht="55.2" hidden="1" x14ac:dyDescent="0.3">
      <c r="A2067" s="2" t="s">
        <v>4604</v>
      </c>
      <c r="B2067" s="2" t="s">
        <v>7457</v>
      </c>
      <c r="C2067" s="3">
        <v>18828</v>
      </c>
      <c r="D2067" s="1" t="s">
        <v>7458</v>
      </c>
      <c r="E2067" s="1" t="s">
        <v>7459</v>
      </c>
      <c r="F2067" s="2" t="s">
        <v>7305</v>
      </c>
      <c r="G2067" s="2" t="s">
        <v>643</v>
      </c>
      <c r="H2067" s="2" t="s">
        <v>7460</v>
      </c>
      <c r="I2067" s="2" t="s">
        <v>4604</v>
      </c>
      <c r="J2067" s="2" t="s">
        <v>5823</v>
      </c>
      <c r="K2067" s="13" t="s">
        <v>13177</v>
      </c>
      <c r="L2067" s="7"/>
    </row>
    <row r="2068" spans="1:12" ht="55.2" hidden="1" x14ac:dyDescent="0.3">
      <c r="A2068" s="2" t="s">
        <v>4604</v>
      </c>
      <c r="B2068" s="2" t="s">
        <v>7461</v>
      </c>
      <c r="C2068" s="3">
        <v>29025</v>
      </c>
      <c r="D2068" s="1" t="s">
        <v>7462</v>
      </c>
      <c r="E2068" s="1" t="s">
        <v>7463</v>
      </c>
      <c r="F2068" s="2" t="s">
        <v>7305</v>
      </c>
      <c r="G2068" s="2" t="s">
        <v>350</v>
      </c>
      <c r="H2068" s="2" t="s">
        <v>7464</v>
      </c>
      <c r="I2068" s="2" t="s">
        <v>4604</v>
      </c>
      <c r="J2068" s="2" t="s">
        <v>351</v>
      </c>
      <c r="K2068" s="13" t="s">
        <v>13177</v>
      </c>
      <c r="L2068" s="7"/>
    </row>
    <row r="2069" spans="1:12" ht="55.2" hidden="1" x14ac:dyDescent="0.3">
      <c r="A2069" s="2" t="s">
        <v>4604</v>
      </c>
      <c r="B2069" s="2" t="s">
        <v>7465</v>
      </c>
      <c r="C2069" s="3">
        <v>25132</v>
      </c>
      <c r="D2069" s="1" t="s">
        <v>5715</v>
      </c>
      <c r="E2069" s="1" t="s">
        <v>7466</v>
      </c>
      <c r="F2069" s="2" t="s">
        <v>7305</v>
      </c>
      <c r="G2069" s="2" t="s">
        <v>552</v>
      </c>
      <c r="H2069" s="2" t="s">
        <v>7467</v>
      </c>
      <c r="I2069" s="2" t="s">
        <v>4604</v>
      </c>
      <c r="J2069" s="2" t="s">
        <v>4981</v>
      </c>
      <c r="K2069" s="13" t="s">
        <v>13177</v>
      </c>
      <c r="L2069" s="7"/>
    </row>
    <row r="2070" spans="1:12" ht="55.2" hidden="1" x14ac:dyDescent="0.3">
      <c r="A2070" s="2" t="s">
        <v>4604</v>
      </c>
      <c r="B2070" s="2" t="s">
        <v>7468</v>
      </c>
      <c r="C2070" s="3">
        <v>21387</v>
      </c>
      <c r="D2070" s="1" t="s">
        <v>442</v>
      </c>
      <c r="E2070" s="1" t="s">
        <v>7469</v>
      </c>
      <c r="F2070" s="2" t="s">
        <v>7305</v>
      </c>
      <c r="G2070" s="2" t="s">
        <v>860</v>
      </c>
      <c r="H2070" s="2" t="s">
        <v>7470</v>
      </c>
      <c r="I2070" s="2" t="s">
        <v>4604</v>
      </c>
      <c r="J2070" s="2" t="s">
        <v>4908</v>
      </c>
      <c r="K2070" s="13" t="s">
        <v>13177</v>
      </c>
      <c r="L2070" s="7"/>
    </row>
    <row r="2071" spans="1:12" ht="55.2" hidden="1" x14ac:dyDescent="0.3">
      <c r="A2071" s="2" t="s">
        <v>4604</v>
      </c>
      <c r="B2071" s="2" t="s">
        <v>7471</v>
      </c>
      <c r="C2071" s="3">
        <v>31356</v>
      </c>
      <c r="D2071" s="1" t="s">
        <v>7472</v>
      </c>
      <c r="E2071" s="1" t="s">
        <v>7473</v>
      </c>
      <c r="F2071" s="2" t="s">
        <v>7474</v>
      </c>
      <c r="G2071" s="2" t="s">
        <v>2566</v>
      </c>
      <c r="H2071" s="2" t="s">
        <v>7475</v>
      </c>
      <c r="I2071" s="2" t="s">
        <v>4604</v>
      </c>
      <c r="J2071" s="2" t="s">
        <v>4999</v>
      </c>
      <c r="K2071" s="13" t="s">
        <v>13177</v>
      </c>
      <c r="L2071" s="7" t="s">
        <v>13199</v>
      </c>
    </row>
    <row r="2072" spans="1:12" ht="27.6" hidden="1" x14ac:dyDescent="0.3">
      <c r="A2072" s="2" t="s">
        <v>60</v>
      </c>
      <c r="B2072" s="2" t="s">
        <v>7476</v>
      </c>
      <c r="C2072" s="3">
        <v>27490</v>
      </c>
      <c r="D2072" s="1" t="s">
        <v>7477</v>
      </c>
      <c r="E2072" s="1" t="s">
        <v>7478</v>
      </c>
      <c r="F2072" s="2" t="s">
        <v>900</v>
      </c>
      <c r="G2072" s="2" t="s">
        <v>157</v>
      </c>
      <c r="H2072" s="2" t="s">
        <v>334</v>
      </c>
      <c r="I2072" s="2" t="s">
        <v>60</v>
      </c>
      <c r="J2072" s="2" t="s">
        <v>158</v>
      </c>
      <c r="K2072" s="13" t="s">
        <v>13177</v>
      </c>
      <c r="L2072" s="7"/>
    </row>
    <row r="2073" spans="1:12" ht="55.2" hidden="1" x14ac:dyDescent="0.3">
      <c r="A2073" s="2" t="s">
        <v>4604</v>
      </c>
      <c r="B2073" s="2" t="s">
        <v>7479</v>
      </c>
      <c r="C2073" s="3">
        <v>25394</v>
      </c>
      <c r="D2073" s="1" t="s">
        <v>442</v>
      </c>
      <c r="E2073" s="1" t="s">
        <v>7480</v>
      </c>
      <c r="F2073" s="2" t="s">
        <v>4608</v>
      </c>
      <c r="G2073" s="2" t="s">
        <v>75</v>
      </c>
      <c r="H2073" s="2" t="s">
        <v>7481</v>
      </c>
      <c r="I2073" s="2" t="s">
        <v>4604</v>
      </c>
      <c r="J2073" s="2" t="s">
        <v>5183</v>
      </c>
      <c r="K2073" s="13" t="s">
        <v>13177</v>
      </c>
      <c r="L2073" s="7"/>
    </row>
    <row r="2074" spans="1:12" ht="55.2" hidden="1" x14ac:dyDescent="0.3">
      <c r="A2074" s="2" t="s">
        <v>4604</v>
      </c>
      <c r="B2074" s="2" t="s">
        <v>7482</v>
      </c>
      <c r="C2074" s="3">
        <v>28593</v>
      </c>
      <c r="D2074" s="1" t="s">
        <v>7483</v>
      </c>
      <c r="E2074" s="1" t="s">
        <v>7484</v>
      </c>
      <c r="F2074" s="2" t="s">
        <v>4608</v>
      </c>
      <c r="G2074" s="2" t="s">
        <v>222</v>
      </c>
      <c r="H2074" s="2" t="s">
        <v>7485</v>
      </c>
      <c r="I2074" s="2" t="s">
        <v>4604</v>
      </c>
      <c r="J2074" s="2" t="s">
        <v>5703</v>
      </c>
      <c r="K2074" s="13" t="s">
        <v>13177</v>
      </c>
      <c r="L2074" s="7"/>
    </row>
    <row r="2075" spans="1:12" ht="55.2" hidden="1" x14ac:dyDescent="0.3">
      <c r="A2075" s="2" t="s">
        <v>4604</v>
      </c>
      <c r="B2075" s="2" t="s">
        <v>7486</v>
      </c>
      <c r="C2075" s="3">
        <v>15943</v>
      </c>
      <c r="D2075" s="1" t="s">
        <v>7487</v>
      </c>
      <c r="E2075" s="1" t="s">
        <v>7488</v>
      </c>
      <c r="F2075" s="2" t="s">
        <v>4704</v>
      </c>
      <c r="G2075" s="2" t="s">
        <v>852</v>
      </c>
      <c r="H2075" s="2" t="s">
        <v>10</v>
      </c>
      <c r="I2075" s="2" t="s">
        <v>4604</v>
      </c>
      <c r="J2075" s="2" t="s">
        <v>6072</v>
      </c>
      <c r="K2075" s="13" t="s">
        <v>13177</v>
      </c>
      <c r="L2075" s="7"/>
    </row>
    <row r="2076" spans="1:12" ht="27.6" hidden="1" x14ac:dyDescent="0.3">
      <c r="A2076" s="2" t="s">
        <v>60</v>
      </c>
      <c r="B2076" s="2" t="s">
        <v>7489</v>
      </c>
      <c r="C2076" s="3">
        <v>27235</v>
      </c>
      <c r="D2076" s="1" t="s">
        <v>7490</v>
      </c>
      <c r="E2076" s="1" t="s">
        <v>7491</v>
      </c>
      <c r="F2076" s="2" t="s">
        <v>74</v>
      </c>
      <c r="G2076" s="2" t="s">
        <v>152</v>
      </c>
      <c r="H2076" s="2" t="s">
        <v>10</v>
      </c>
      <c r="I2076" s="2" t="s">
        <v>60</v>
      </c>
      <c r="J2076" s="2" t="s">
        <v>153</v>
      </c>
      <c r="K2076" s="13" t="s">
        <v>13177</v>
      </c>
      <c r="L2076" s="7"/>
    </row>
    <row r="2077" spans="1:12" ht="27.6" hidden="1" x14ac:dyDescent="0.3">
      <c r="A2077" s="2" t="s">
        <v>60</v>
      </c>
      <c r="B2077" s="2" t="s">
        <v>7492</v>
      </c>
      <c r="C2077" s="3">
        <v>24096</v>
      </c>
      <c r="D2077" s="1" t="s">
        <v>7493</v>
      </c>
      <c r="E2077" s="1" t="s">
        <v>7494</v>
      </c>
      <c r="F2077" s="2" t="s">
        <v>1986</v>
      </c>
      <c r="G2077" s="2" t="s">
        <v>31</v>
      </c>
      <c r="H2077" s="2" t="s">
        <v>10</v>
      </c>
      <c r="I2077" s="2" t="s">
        <v>60</v>
      </c>
      <c r="J2077" s="2" t="s">
        <v>684</v>
      </c>
      <c r="K2077" s="13" t="s">
        <v>13177</v>
      </c>
      <c r="L2077" s="7"/>
    </row>
    <row r="2078" spans="1:12" ht="55.2" hidden="1" x14ac:dyDescent="0.3">
      <c r="A2078" s="2" t="s">
        <v>4604</v>
      </c>
      <c r="B2078" s="2" t="s">
        <v>7495</v>
      </c>
      <c r="C2078" s="3">
        <v>24118</v>
      </c>
      <c r="D2078" s="1" t="s">
        <v>7496</v>
      </c>
      <c r="E2078" s="1" t="s">
        <v>7497</v>
      </c>
      <c r="F2078" s="2" t="s">
        <v>4608</v>
      </c>
      <c r="G2078" s="2" t="s">
        <v>37</v>
      </c>
      <c r="H2078" s="2" t="s">
        <v>1324</v>
      </c>
      <c r="I2078" s="2" t="s">
        <v>4604</v>
      </c>
      <c r="J2078" s="2" t="s">
        <v>5175</v>
      </c>
      <c r="K2078" s="16" t="s">
        <v>13177</v>
      </c>
      <c r="L2078" s="17"/>
    </row>
    <row r="2079" spans="1:12" hidden="1" x14ac:dyDescent="0.3">
      <c r="A2079" s="2" t="s">
        <v>4139</v>
      </c>
      <c r="B2079" s="2" t="s">
        <v>7498</v>
      </c>
      <c r="C2079" s="3">
        <v>32067</v>
      </c>
      <c r="D2079" s="1" t="s">
        <v>7499</v>
      </c>
      <c r="E2079" s="1" t="s">
        <v>7500</v>
      </c>
      <c r="F2079" s="2" t="s">
        <v>4143</v>
      </c>
      <c r="G2079" s="2" t="s">
        <v>7501</v>
      </c>
      <c r="H2079" s="2" t="s">
        <v>103</v>
      </c>
      <c r="I2079" s="2" t="s">
        <v>4139</v>
      </c>
      <c r="J2079" s="2" t="s">
        <v>7502</v>
      </c>
      <c r="K2079" s="14"/>
      <c r="L2079" s="6"/>
    </row>
    <row r="2080" spans="1:12" hidden="1" x14ac:dyDescent="0.3">
      <c r="A2080" s="2" t="s">
        <v>4139</v>
      </c>
      <c r="B2080" s="2" t="s">
        <v>7503</v>
      </c>
      <c r="C2080" s="3">
        <v>23666</v>
      </c>
      <c r="D2080" s="1" t="s">
        <v>7504</v>
      </c>
      <c r="E2080" s="1" t="s">
        <v>7505</v>
      </c>
      <c r="F2080" s="2" t="s">
        <v>4143</v>
      </c>
      <c r="G2080" s="2" t="s">
        <v>7506</v>
      </c>
      <c r="H2080" s="2" t="s">
        <v>10</v>
      </c>
      <c r="I2080" s="2" t="s">
        <v>4139</v>
      </c>
      <c r="J2080" s="2" t="s">
        <v>7507</v>
      </c>
      <c r="K2080" s="14"/>
      <c r="L2080" s="6"/>
    </row>
    <row r="2081" spans="1:12" ht="27.6" hidden="1" x14ac:dyDescent="0.3">
      <c r="A2081" s="2" t="s">
        <v>4139</v>
      </c>
      <c r="B2081" s="2" t="s">
        <v>7508</v>
      </c>
      <c r="C2081" s="3">
        <v>30726</v>
      </c>
      <c r="D2081" s="1" t="s">
        <v>7509</v>
      </c>
      <c r="E2081" s="1" t="s">
        <v>7510</v>
      </c>
      <c r="F2081" s="2" t="s">
        <v>4143</v>
      </c>
      <c r="G2081" s="2" t="s">
        <v>7501</v>
      </c>
      <c r="H2081" s="2" t="s">
        <v>7511</v>
      </c>
      <c r="I2081" s="2" t="s">
        <v>4139</v>
      </c>
      <c r="J2081" s="2" t="s">
        <v>7502</v>
      </c>
      <c r="K2081" s="14"/>
      <c r="L2081" s="6"/>
    </row>
    <row r="2082" spans="1:12" hidden="1" x14ac:dyDescent="0.3">
      <c r="A2082" s="2" t="s">
        <v>4139</v>
      </c>
      <c r="B2082" s="2" t="s">
        <v>7512</v>
      </c>
      <c r="C2082" s="3">
        <v>24976</v>
      </c>
      <c r="D2082" s="1" t="s">
        <v>7513</v>
      </c>
      <c r="E2082" s="1" t="s">
        <v>7514</v>
      </c>
      <c r="F2082" s="2" t="s">
        <v>4143</v>
      </c>
      <c r="G2082" s="2" t="s">
        <v>7515</v>
      </c>
      <c r="H2082" s="2" t="s">
        <v>81</v>
      </c>
      <c r="I2082" s="2" t="s">
        <v>4139</v>
      </c>
      <c r="J2082" s="2" t="s">
        <v>7516</v>
      </c>
      <c r="K2082" s="14"/>
      <c r="L2082" s="6"/>
    </row>
    <row r="2083" spans="1:12" ht="27.6" hidden="1" x14ac:dyDescent="0.3">
      <c r="A2083" s="2" t="s">
        <v>4139</v>
      </c>
      <c r="B2083" s="2" t="s">
        <v>7517</v>
      </c>
      <c r="C2083" s="3">
        <v>30667</v>
      </c>
      <c r="D2083" s="1" t="s">
        <v>7518</v>
      </c>
      <c r="E2083" s="1" t="s">
        <v>7519</v>
      </c>
      <c r="F2083" s="2" t="s">
        <v>4143</v>
      </c>
      <c r="G2083" s="2" t="s">
        <v>7520</v>
      </c>
      <c r="H2083" s="2" t="s">
        <v>7521</v>
      </c>
      <c r="I2083" s="2" t="s">
        <v>4139</v>
      </c>
      <c r="J2083" s="2" t="s">
        <v>7522</v>
      </c>
      <c r="K2083" s="14"/>
      <c r="L2083" s="6"/>
    </row>
    <row r="2084" spans="1:12" hidden="1" x14ac:dyDescent="0.3">
      <c r="A2084" s="2" t="s">
        <v>4139</v>
      </c>
      <c r="B2084" s="2" t="s">
        <v>7523</v>
      </c>
      <c r="C2084" s="3">
        <v>26858</v>
      </c>
      <c r="D2084" s="1" t="s">
        <v>7524</v>
      </c>
      <c r="E2084" s="1" t="s">
        <v>7525</v>
      </c>
      <c r="F2084" s="2" t="s">
        <v>4143</v>
      </c>
      <c r="G2084" s="2" t="s">
        <v>7526</v>
      </c>
      <c r="H2084" s="2" t="s">
        <v>7261</v>
      </c>
      <c r="I2084" s="2" t="s">
        <v>4139</v>
      </c>
      <c r="J2084" s="2" t="s">
        <v>7527</v>
      </c>
      <c r="K2084" s="14"/>
      <c r="L2084" s="6"/>
    </row>
    <row r="2085" spans="1:12" hidden="1" x14ac:dyDescent="0.3">
      <c r="A2085" s="2" t="s">
        <v>4139</v>
      </c>
      <c r="B2085" s="2" t="s">
        <v>7528</v>
      </c>
      <c r="C2085" s="3">
        <v>35226</v>
      </c>
      <c r="D2085" s="1" t="s">
        <v>7529</v>
      </c>
      <c r="E2085" s="1" t="s">
        <v>7530</v>
      </c>
      <c r="F2085" s="2" t="s">
        <v>4143</v>
      </c>
      <c r="G2085" s="2" t="s">
        <v>7531</v>
      </c>
      <c r="H2085" s="2" t="s">
        <v>103</v>
      </c>
      <c r="I2085" s="2" t="s">
        <v>4139</v>
      </c>
      <c r="J2085" s="2" t="s">
        <v>7532</v>
      </c>
      <c r="K2085" s="14"/>
      <c r="L2085" s="6"/>
    </row>
    <row r="2086" spans="1:12" hidden="1" x14ac:dyDescent="0.3">
      <c r="A2086" s="2" t="s">
        <v>4139</v>
      </c>
      <c r="B2086" s="2" t="s">
        <v>7533</v>
      </c>
      <c r="C2086" s="3">
        <v>23546</v>
      </c>
      <c r="D2086" s="1" t="s">
        <v>7534</v>
      </c>
      <c r="E2086" s="1" t="s">
        <v>7535</v>
      </c>
      <c r="F2086" s="2" t="s">
        <v>4143</v>
      </c>
      <c r="G2086" s="2" t="s">
        <v>7526</v>
      </c>
      <c r="H2086" s="2" t="s">
        <v>246</v>
      </c>
      <c r="I2086" s="2" t="s">
        <v>4139</v>
      </c>
      <c r="J2086" s="2" t="s">
        <v>7527</v>
      </c>
      <c r="K2086" s="14"/>
      <c r="L2086" s="6"/>
    </row>
    <row r="2087" spans="1:12" hidden="1" x14ac:dyDescent="0.3">
      <c r="A2087" s="2" t="s">
        <v>4139</v>
      </c>
      <c r="B2087" s="2" t="s">
        <v>7536</v>
      </c>
      <c r="C2087" s="3">
        <v>25215</v>
      </c>
      <c r="D2087" s="1" t="s">
        <v>7537</v>
      </c>
      <c r="E2087" s="1" t="s">
        <v>7538</v>
      </c>
      <c r="F2087" s="2" t="s">
        <v>4143</v>
      </c>
      <c r="G2087" s="2" t="s">
        <v>7539</v>
      </c>
      <c r="H2087" s="2" t="s">
        <v>4409</v>
      </c>
      <c r="I2087" s="2" t="s">
        <v>4139</v>
      </c>
      <c r="J2087" s="2" t="s">
        <v>7540</v>
      </c>
      <c r="K2087" s="14"/>
      <c r="L2087" s="6"/>
    </row>
    <row r="2088" spans="1:12" ht="27.6" hidden="1" x14ac:dyDescent="0.3">
      <c r="A2088" s="2" t="s">
        <v>4386</v>
      </c>
      <c r="B2088" s="2" t="s">
        <v>7541</v>
      </c>
      <c r="C2088" s="3">
        <v>27981</v>
      </c>
      <c r="D2088" s="1" t="s">
        <v>7542</v>
      </c>
      <c r="E2088" s="1" t="s">
        <v>7543</v>
      </c>
      <c r="F2088" s="2" t="s">
        <v>5618</v>
      </c>
      <c r="G2088" s="2" t="s">
        <v>4688</v>
      </c>
      <c r="H2088" s="2" t="s">
        <v>10</v>
      </c>
      <c r="I2088" s="2" t="s">
        <v>4386</v>
      </c>
      <c r="J2088" s="2" t="s">
        <v>7544</v>
      </c>
      <c r="K2088" s="20" t="s">
        <v>13177</v>
      </c>
      <c r="L2088" s="12"/>
    </row>
    <row r="2089" spans="1:12" ht="55.2" hidden="1" x14ac:dyDescent="0.3">
      <c r="A2089" s="2" t="s">
        <v>4604</v>
      </c>
      <c r="B2089" s="2" t="s">
        <v>7545</v>
      </c>
      <c r="C2089" s="3">
        <v>31834</v>
      </c>
      <c r="D2089" s="1" t="s">
        <v>7546</v>
      </c>
      <c r="E2089" s="1" t="s">
        <v>7547</v>
      </c>
      <c r="F2089" s="2" t="s">
        <v>4698</v>
      </c>
      <c r="G2089" s="2" t="s">
        <v>712</v>
      </c>
      <c r="H2089" s="2" t="s">
        <v>7548</v>
      </c>
      <c r="I2089" s="2" t="s">
        <v>4604</v>
      </c>
      <c r="J2089" s="2" t="s">
        <v>5438</v>
      </c>
      <c r="K2089" s="13" t="s">
        <v>13177</v>
      </c>
      <c r="L2089" s="7"/>
    </row>
    <row r="2090" spans="1:12" ht="55.2" hidden="1" x14ac:dyDescent="0.3">
      <c r="A2090" s="2" t="s">
        <v>4604</v>
      </c>
      <c r="B2090" s="2" t="s">
        <v>7549</v>
      </c>
      <c r="C2090" s="3">
        <v>34308</v>
      </c>
      <c r="D2090" s="1" t="s">
        <v>7550</v>
      </c>
      <c r="E2090" s="1" t="s">
        <v>7551</v>
      </c>
      <c r="F2090" s="2" t="s">
        <v>5989</v>
      </c>
      <c r="G2090" s="2" t="s">
        <v>12</v>
      </c>
      <c r="H2090" s="2" t="s">
        <v>7552</v>
      </c>
      <c r="I2090" s="2" t="s">
        <v>4604</v>
      </c>
      <c r="J2090" s="2" t="s">
        <v>54</v>
      </c>
      <c r="K2090" s="13" t="s">
        <v>13177</v>
      </c>
      <c r="L2090" s="7"/>
    </row>
    <row r="2091" spans="1:12" ht="55.2" hidden="1" x14ac:dyDescent="0.3">
      <c r="A2091" s="2" t="s">
        <v>4604</v>
      </c>
      <c r="B2091" s="2" t="s">
        <v>7553</v>
      </c>
      <c r="C2091" s="3">
        <v>24474</v>
      </c>
      <c r="D2091" s="1" t="s">
        <v>7554</v>
      </c>
      <c r="E2091" s="1" t="s">
        <v>7555</v>
      </c>
      <c r="F2091" s="2" t="s">
        <v>5989</v>
      </c>
      <c r="G2091" s="2" t="s">
        <v>12</v>
      </c>
      <c r="H2091" s="2" t="s">
        <v>7556</v>
      </c>
      <c r="I2091" s="2" t="s">
        <v>4604</v>
      </c>
      <c r="J2091" s="2" t="s">
        <v>54</v>
      </c>
      <c r="K2091" s="13" t="s">
        <v>13177</v>
      </c>
      <c r="L2091" s="7"/>
    </row>
    <row r="2092" spans="1:12" ht="55.2" hidden="1" x14ac:dyDescent="0.3">
      <c r="A2092" s="2" t="s">
        <v>4604</v>
      </c>
      <c r="B2092" s="2" t="s">
        <v>7557</v>
      </c>
      <c r="C2092" s="3">
        <v>32822</v>
      </c>
      <c r="D2092" s="1" t="s">
        <v>7558</v>
      </c>
      <c r="E2092" s="1" t="s">
        <v>7559</v>
      </c>
      <c r="F2092" s="2" t="s">
        <v>5989</v>
      </c>
      <c r="G2092" s="2" t="s">
        <v>92</v>
      </c>
      <c r="H2092" s="2" t="s">
        <v>7560</v>
      </c>
      <c r="I2092" s="2" t="s">
        <v>4604</v>
      </c>
      <c r="J2092" s="2" t="s">
        <v>93</v>
      </c>
      <c r="K2092" s="13" t="s">
        <v>13177</v>
      </c>
      <c r="L2092" s="7"/>
    </row>
    <row r="2093" spans="1:12" ht="55.2" hidden="1" x14ac:dyDescent="0.3">
      <c r="A2093" s="2" t="s">
        <v>4604</v>
      </c>
      <c r="B2093" s="2" t="s">
        <v>7561</v>
      </c>
      <c r="C2093" s="3">
        <v>17095</v>
      </c>
      <c r="D2093" s="1" t="s">
        <v>7562</v>
      </c>
      <c r="E2093" s="1" t="s">
        <v>7563</v>
      </c>
      <c r="F2093" s="2" t="s">
        <v>5989</v>
      </c>
      <c r="G2093" s="2" t="s">
        <v>80</v>
      </c>
      <c r="H2093" s="2" t="s">
        <v>7564</v>
      </c>
      <c r="I2093" s="2" t="s">
        <v>4604</v>
      </c>
      <c r="J2093" s="2" t="s">
        <v>1881</v>
      </c>
      <c r="K2093" s="13" t="s">
        <v>13177</v>
      </c>
      <c r="L2093" s="7"/>
    </row>
    <row r="2094" spans="1:12" ht="55.2" hidden="1" x14ac:dyDescent="0.3">
      <c r="A2094" s="2" t="s">
        <v>4604</v>
      </c>
      <c r="B2094" s="2" t="s">
        <v>7565</v>
      </c>
      <c r="C2094" s="3">
        <v>22614</v>
      </c>
      <c r="D2094" s="1" t="s">
        <v>7566</v>
      </c>
      <c r="E2094" s="1" t="s">
        <v>7567</v>
      </c>
      <c r="F2094" s="2" t="s">
        <v>6430</v>
      </c>
      <c r="G2094" s="2" t="s">
        <v>112</v>
      </c>
      <c r="H2094" s="2" t="s">
        <v>7568</v>
      </c>
      <c r="I2094" s="2" t="s">
        <v>4604</v>
      </c>
      <c r="J2094" s="2" t="s">
        <v>113</v>
      </c>
      <c r="K2094" s="13" t="s">
        <v>13177</v>
      </c>
      <c r="L2094" s="7"/>
    </row>
    <row r="2095" spans="1:12" ht="55.2" hidden="1" x14ac:dyDescent="0.3">
      <c r="A2095" s="2" t="s">
        <v>4604</v>
      </c>
      <c r="B2095" s="2" t="s">
        <v>7569</v>
      </c>
      <c r="C2095" s="3">
        <v>36037</v>
      </c>
      <c r="D2095" s="1" t="s">
        <v>7570</v>
      </c>
      <c r="E2095" s="1" t="s">
        <v>7571</v>
      </c>
      <c r="F2095" s="2" t="s">
        <v>6430</v>
      </c>
      <c r="G2095" s="2" t="s">
        <v>25</v>
      </c>
      <c r="H2095" s="2" t="s">
        <v>7572</v>
      </c>
      <c r="I2095" s="2" t="s">
        <v>4604</v>
      </c>
      <c r="J2095" s="2" t="s">
        <v>27</v>
      </c>
      <c r="K2095" s="13" t="s">
        <v>13177</v>
      </c>
      <c r="L2095" s="7"/>
    </row>
    <row r="2096" spans="1:12" ht="55.2" hidden="1" x14ac:dyDescent="0.3">
      <c r="A2096" s="2" t="s">
        <v>4604</v>
      </c>
      <c r="B2096" s="2" t="s">
        <v>7573</v>
      </c>
      <c r="C2096" s="3">
        <v>37950</v>
      </c>
      <c r="D2096" s="1" t="s">
        <v>7574</v>
      </c>
      <c r="E2096" s="1" t="s">
        <v>7575</v>
      </c>
      <c r="F2096" s="2" t="s">
        <v>7576</v>
      </c>
      <c r="G2096" s="2" t="s">
        <v>92</v>
      </c>
      <c r="H2096" s="2" t="s">
        <v>7577</v>
      </c>
      <c r="I2096" s="2" t="s">
        <v>4604</v>
      </c>
      <c r="J2096" s="2" t="s">
        <v>93</v>
      </c>
      <c r="K2096" s="13" t="s">
        <v>13177</v>
      </c>
      <c r="L2096" s="7"/>
    </row>
    <row r="2097" spans="1:12" ht="55.2" hidden="1" x14ac:dyDescent="0.3">
      <c r="A2097" s="2" t="s">
        <v>4604</v>
      </c>
      <c r="B2097" s="2" t="s">
        <v>7578</v>
      </c>
      <c r="C2097" s="3">
        <v>23641</v>
      </c>
      <c r="D2097" s="1" t="s">
        <v>7579</v>
      </c>
      <c r="E2097" s="1" t="s">
        <v>7580</v>
      </c>
      <c r="F2097" s="2" t="s">
        <v>7576</v>
      </c>
      <c r="G2097" s="2" t="s">
        <v>222</v>
      </c>
      <c r="H2097" s="2" t="s">
        <v>7581</v>
      </c>
      <c r="I2097" s="2" t="s">
        <v>4604</v>
      </c>
      <c r="J2097" s="2" t="s">
        <v>417</v>
      </c>
      <c r="K2097" s="13" t="s">
        <v>13177</v>
      </c>
      <c r="L2097" s="7"/>
    </row>
    <row r="2098" spans="1:12" ht="55.2" hidden="1" x14ac:dyDescent="0.3">
      <c r="A2098" s="2" t="s">
        <v>4604</v>
      </c>
      <c r="B2098" s="2" t="s">
        <v>7582</v>
      </c>
      <c r="C2098" s="3">
        <v>30159</v>
      </c>
      <c r="D2098" s="1" t="s">
        <v>7583</v>
      </c>
      <c r="E2098" s="1" t="s">
        <v>7584</v>
      </c>
      <c r="F2098" s="2" t="s">
        <v>7576</v>
      </c>
      <c r="G2098" s="2" t="s">
        <v>75</v>
      </c>
      <c r="H2098" s="2" t="s">
        <v>7585</v>
      </c>
      <c r="I2098" s="2" t="s">
        <v>4604</v>
      </c>
      <c r="J2098" s="2" t="s">
        <v>5499</v>
      </c>
      <c r="K2098" s="13" t="s">
        <v>13177</v>
      </c>
      <c r="L2098" s="7"/>
    </row>
    <row r="2099" spans="1:12" ht="55.2" hidden="1" x14ac:dyDescent="0.3">
      <c r="A2099" s="2" t="s">
        <v>4604</v>
      </c>
      <c r="B2099" s="2" t="s">
        <v>7586</v>
      </c>
      <c r="C2099" s="3">
        <v>30130</v>
      </c>
      <c r="D2099" s="1" t="s">
        <v>7587</v>
      </c>
      <c r="E2099" s="1" t="s">
        <v>7588</v>
      </c>
      <c r="F2099" s="2" t="s">
        <v>6663</v>
      </c>
      <c r="G2099" s="2" t="s">
        <v>319</v>
      </c>
      <c r="H2099" s="2" t="s">
        <v>7589</v>
      </c>
      <c r="I2099" s="2" t="s">
        <v>4604</v>
      </c>
      <c r="J2099" s="2" t="s">
        <v>2410</v>
      </c>
      <c r="K2099" s="13" t="s">
        <v>13177</v>
      </c>
      <c r="L2099" s="7"/>
    </row>
    <row r="2100" spans="1:12" ht="55.2" hidden="1" x14ac:dyDescent="0.3">
      <c r="A2100" s="2" t="s">
        <v>4604</v>
      </c>
      <c r="B2100" s="2" t="s">
        <v>7590</v>
      </c>
      <c r="C2100" s="3">
        <v>38759</v>
      </c>
      <c r="D2100" s="1" t="s">
        <v>7591</v>
      </c>
      <c r="E2100" s="1" t="s">
        <v>7592</v>
      </c>
      <c r="F2100" s="2" t="s">
        <v>4698</v>
      </c>
      <c r="G2100" s="2" t="s">
        <v>734</v>
      </c>
      <c r="H2100" s="2" t="s">
        <v>7593</v>
      </c>
      <c r="I2100" s="2" t="s">
        <v>4604</v>
      </c>
      <c r="J2100" s="2" t="s">
        <v>7594</v>
      </c>
      <c r="K2100" s="13" t="s">
        <v>13177</v>
      </c>
      <c r="L2100" s="7"/>
    </row>
    <row r="2101" spans="1:12" ht="55.2" hidden="1" x14ac:dyDescent="0.3">
      <c r="A2101" s="2" t="s">
        <v>4604</v>
      </c>
      <c r="B2101" s="2" t="s">
        <v>7590</v>
      </c>
      <c r="C2101" s="3">
        <v>38759</v>
      </c>
      <c r="D2101" s="1" t="s">
        <v>7591</v>
      </c>
      <c r="E2101" s="1" t="s">
        <v>7592</v>
      </c>
      <c r="F2101" s="2" t="s">
        <v>4698</v>
      </c>
      <c r="G2101" s="2" t="s">
        <v>1758</v>
      </c>
      <c r="H2101" s="2" t="s">
        <v>4880</v>
      </c>
      <c r="I2101" s="2" t="s">
        <v>4604</v>
      </c>
      <c r="J2101" s="2" t="s">
        <v>7595</v>
      </c>
      <c r="K2101" s="13" t="s">
        <v>13177</v>
      </c>
      <c r="L2101" s="7"/>
    </row>
    <row r="2102" spans="1:12" ht="55.2" hidden="1" x14ac:dyDescent="0.3">
      <c r="A2102" s="2" t="s">
        <v>4604</v>
      </c>
      <c r="B2102" s="2" t="s">
        <v>7596</v>
      </c>
      <c r="C2102" s="3">
        <v>33361</v>
      </c>
      <c r="D2102" s="1" t="s">
        <v>7597</v>
      </c>
      <c r="E2102" s="1" t="s">
        <v>7598</v>
      </c>
      <c r="F2102" s="2" t="s">
        <v>5989</v>
      </c>
      <c r="G2102" s="2" t="s">
        <v>190</v>
      </c>
      <c r="H2102" s="2" t="s">
        <v>7599</v>
      </c>
      <c r="I2102" s="2" t="s">
        <v>4604</v>
      </c>
      <c r="J2102" s="2" t="s">
        <v>768</v>
      </c>
      <c r="K2102" s="13" t="s">
        <v>13177</v>
      </c>
      <c r="L2102" s="7"/>
    </row>
    <row r="2103" spans="1:12" ht="55.2" hidden="1" x14ac:dyDescent="0.3">
      <c r="A2103" s="2" t="s">
        <v>4604</v>
      </c>
      <c r="B2103" s="2" t="s">
        <v>7600</v>
      </c>
      <c r="C2103" s="3">
        <v>22324</v>
      </c>
      <c r="D2103" s="1" t="s">
        <v>7601</v>
      </c>
      <c r="E2103" s="1" t="s">
        <v>7602</v>
      </c>
      <c r="F2103" s="2" t="s">
        <v>5989</v>
      </c>
      <c r="G2103" s="2" t="s">
        <v>124</v>
      </c>
      <c r="H2103" s="2" t="s">
        <v>7603</v>
      </c>
      <c r="I2103" s="2" t="s">
        <v>4604</v>
      </c>
      <c r="J2103" s="2" t="s">
        <v>3270</v>
      </c>
      <c r="K2103" s="13" t="s">
        <v>13177</v>
      </c>
      <c r="L2103" s="7"/>
    </row>
    <row r="2104" spans="1:12" ht="55.2" hidden="1" x14ac:dyDescent="0.3">
      <c r="A2104" s="2" t="s">
        <v>4604</v>
      </c>
      <c r="B2104" s="2" t="s">
        <v>5986</v>
      </c>
      <c r="C2104" s="3">
        <v>32980</v>
      </c>
      <c r="D2104" s="1" t="s">
        <v>5987</v>
      </c>
      <c r="E2104" s="1" t="s">
        <v>5988</v>
      </c>
      <c r="F2104" s="2" t="s">
        <v>5989</v>
      </c>
      <c r="G2104" s="2" t="s">
        <v>492</v>
      </c>
      <c r="H2104" s="2" t="s">
        <v>7604</v>
      </c>
      <c r="I2104" s="2" t="s">
        <v>4604</v>
      </c>
      <c r="J2104" s="2" t="s">
        <v>375</v>
      </c>
      <c r="K2104" s="13" t="s">
        <v>13177</v>
      </c>
      <c r="L2104" s="7"/>
    </row>
    <row r="2105" spans="1:12" ht="55.2" hidden="1" x14ac:dyDescent="0.3">
      <c r="A2105" s="2" t="s">
        <v>4604</v>
      </c>
      <c r="B2105" s="2" t="s">
        <v>7605</v>
      </c>
      <c r="C2105" s="3">
        <v>36550</v>
      </c>
      <c r="D2105" s="1" t="s">
        <v>6042</v>
      </c>
      <c r="E2105" s="1" t="s">
        <v>6043</v>
      </c>
      <c r="F2105" s="2" t="s">
        <v>5989</v>
      </c>
      <c r="G2105" s="2" t="s">
        <v>319</v>
      </c>
      <c r="H2105" s="2" t="s">
        <v>7606</v>
      </c>
      <c r="I2105" s="2" t="s">
        <v>4604</v>
      </c>
      <c r="J2105" s="2" t="s">
        <v>3249</v>
      </c>
      <c r="K2105" s="13" t="s">
        <v>13177</v>
      </c>
      <c r="L2105" s="7"/>
    </row>
    <row r="2106" spans="1:12" ht="55.2" hidden="1" x14ac:dyDescent="0.3">
      <c r="A2106" s="2" t="s">
        <v>4604</v>
      </c>
      <c r="B2106" s="2" t="s">
        <v>7607</v>
      </c>
      <c r="C2106" s="3">
        <v>27112</v>
      </c>
      <c r="D2106" s="1" t="s">
        <v>7608</v>
      </c>
      <c r="E2106" s="1" t="s">
        <v>7609</v>
      </c>
      <c r="F2106" s="2" t="s">
        <v>5989</v>
      </c>
      <c r="G2106" s="2" t="s">
        <v>86</v>
      </c>
      <c r="H2106" s="2" t="s">
        <v>7610</v>
      </c>
      <c r="I2106" s="2" t="s">
        <v>4604</v>
      </c>
      <c r="J2106" s="2" t="s">
        <v>3249</v>
      </c>
      <c r="K2106" s="13" t="s">
        <v>13177</v>
      </c>
      <c r="L2106" s="7"/>
    </row>
    <row r="2107" spans="1:12" ht="55.2" hidden="1" x14ac:dyDescent="0.3">
      <c r="A2107" s="2" t="s">
        <v>4604</v>
      </c>
      <c r="B2107" s="2" t="s">
        <v>7611</v>
      </c>
      <c r="C2107" s="3">
        <v>24313</v>
      </c>
      <c r="D2107" s="1" t="s">
        <v>7612</v>
      </c>
      <c r="E2107" s="1" t="s">
        <v>7613</v>
      </c>
      <c r="F2107" s="2" t="s">
        <v>5989</v>
      </c>
      <c r="G2107" s="2" t="s">
        <v>425</v>
      </c>
      <c r="H2107" s="2" t="s">
        <v>7614</v>
      </c>
      <c r="I2107" s="2" t="s">
        <v>4604</v>
      </c>
      <c r="J2107" s="2" t="s">
        <v>841</v>
      </c>
      <c r="K2107" s="13" t="s">
        <v>13177</v>
      </c>
      <c r="L2107" s="7"/>
    </row>
    <row r="2108" spans="1:12" ht="55.2" hidden="1" x14ac:dyDescent="0.3">
      <c r="A2108" s="2" t="s">
        <v>4604</v>
      </c>
      <c r="B2108" s="2" t="s">
        <v>7615</v>
      </c>
      <c r="C2108" s="3">
        <v>30868</v>
      </c>
      <c r="D2108" s="1" t="s">
        <v>7616</v>
      </c>
      <c r="E2108" s="1" t="s">
        <v>7617</v>
      </c>
      <c r="F2108" s="2" t="s">
        <v>6430</v>
      </c>
      <c r="G2108" s="2" t="s">
        <v>328</v>
      </c>
      <c r="H2108" s="2" t="s">
        <v>7618</v>
      </c>
      <c r="I2108" s="2" t="s">
        <v>4604</v>
      </c>
      <c r="J2108" s="2" t="s">
        <v>1839</v>
      </c>
      <c r="K2108" s="13" t="s">
        <v>13177</v>
      </c>
      <c r="L2108" s="7"/>
    </row>
    <row r="2109" spans="1:12" ht="55.2" hidden="1" x14ac:dyDescent="0.3">
      <c r="A2109" s="2" t="s">
        <v>4604</v>
      </c>
      <c r="B2109" s="2" t="s">
        <v>7619</v>
      </c>
      <c r="C2109" s="3">
        <v>26371</v>
      </c>
      <c r="D2109" s="1" t="s">
        <v>7620</v>
      </c>
      <c r="E2109" s="1" t="s">
        <v>7621</v>
      </c>
      <c r="F2109" s="2" t="s">
        <v>7576</v>
      </c>
      <c r="G2109" s="2" t="s">
        <v>333</v>
      </c>
      <c r="H2109" s="2" t="s">
        <v>7622</v>
      </c>
      <c r="I2109" s="2" t="s">
        <v>4604</v>
      </c>
      <c r="J2109" s="2" t="s">
        <v>335</v>
      </c>
      <c r="K2109" s="13" t="s">
        <v>13177</v>
      </c>
      <c r="L2109" s="7"/>
    </row>
    <row r="2110" spans="1:12" ht="55.2" hidden="1" x14ac:dyDescent="0.3">
      <c r="A2110" s="2" t="s">
        <v>4604</v>
      </c>
      <c r="B2110" s="2" t="s">
        <v>7623</v>
      </c>
      <c r="C2110" s="3">
        <v>27458</v>
      </c>
      <c r="D2110" s="1" t="s">
        <v>7624</v>
      </c>
      <c r="E2110" s="1" t="s">
        <v>7625</v>
      </c>
      <c r="F2110" s="2" t="s">
        <v>7576</v>
      </c>
      <c r="G2110" s="2" t="s">
        <v>492</v>
      </c>
      <c r="H2110" s="2" t="s">
        <v>7626</v>
      </c>
      <c r="I2110" s="2" t="s">
        <v>4604</v>
      </c>
      <c r="J2110" s="2" t="s">
        <v>375</v>
      </c>
      <c r="K2110" s="13" t="s">
        <v>13177</v>
      </c>
      <c r="L2110" s="7"/>
    </row>
    <row r="2111" spans="1:12" ht="55.2" hidden="1" x14ac:dyDescent="0.3">
      <c r="A2111" s="2" t="s">
        <v>4604</v>
      </c>
      <c r="B2111" s="2" t="s">
        <v>7627</v>
      </c>
      <c r="C2111" s="3">
        <v>21650</v>
      </c>
      <c r="D2111" s="1" t="s">
        <v>7628</v>
      </c>
      <c r="E2111" s="1" t="s">
        <v>7629</v>
      </c>
      <c r="F2111" s="2" t="s">
        <v>7576</v>
      </c>
      <c r="G2111" s="2" t="s">
        <v>328</v>
      </c>
      <c r="H2111" s="2" t="s">
        <v>7630</v>
      </c>
      <c r="I2111" s="2" t="s">
        <v>4604</v>
      </c>
      <c r="J2111" s="2" t="s">
        <v>1839</v>
      </c>
      <c r="K2111" s="13" t="s">
        <v>13177</v>
      </c>
      <c r="L2111" s="7"/>
    </row>
    <row r="2112" spans="1:12" ht="55.2" hidden="1" x14ac:dyDescent="0.3">
      <c r="A2112" s="2" t="s">
        <v>4604</v>
      </c>
      <c r="B2112" s="2" t="s">
        <v>7631</v>
      </c>
      <c r="C2112" s="3">
        <v>37809</v>
      </c>
      <c r="D2112" s="1" t="s">
        <v>7632</v>
      </c>
      <c r="E2112" s="1" t="s">
        <v>7633</v>
      </c>
      <c r="F2112" s="2" t="s">
        <v>6430</v>
      </c>
      <c r="G2112" s="2" t="s">
        <v>37</v>
      </c>
      <c r="H2112" s="2" t="s">
        <v>7634</v>
      </c>
      <c r="I2112" s="2" t="s">
        <v>4604</v>
      </c>
      <c r="J2112" s="2" t="s">
        <v>38</v>
      </c>
      <c r="K2112" s="16" t="s">
        <v>13177</v>
      </c>
      <c r="L2112" s="17"/>
    </row>
    <row r="2113" spans="1:12" hidden="1" x14ac:dyDescent="0.3">
      <c r="A2113" s="2" t="s">
        <v>4139</v>
      </c>
      <c r="B2113" s="2" t="s">
        <v>7635</v>
      </c>
      <c r="C2113" s="3">
        <v>32237</v>
      </c>
      <c r="D2113" s="1" t="s">
        <v>7636</v>
      </c>
      <c r="E2113" s="1" t="s">
        <v>7637</v>
      </c>
      <c r="F2113" s="2" t="s">
        <v>4143</v>
      </c>
      <c r="G2113" s="2" t="s">
        <v>4144</v>
      </c>
      <c r="H2113" s="2" t="s">
        <v>2001</v>
      </c>
      <c r="I2113" s="2" t="s">
        <v>4139</v>
      </c>
      <c r="J2113" s="2" t="s">
        <v>7638</v>
      </c>
      <c r="K2113" s="14"/>
      <c r="L2113" s="6"/>
    </row>
    <row r="2114" spans="1:12" hidden="1" x14ac:dyDescent="0.3">
      <c r="A2114" s="2" t="s">
        <v>4139</v>
      </c>
      <c r="B2114" s="2" t="s">
        <v>7639</v>
      </c>
      <c r="C2114" s="3">
        <v>15424</v>
      </c>
      <c r="D2114" s="1" t="s">
        <v>7640</v>
      </c>
      <c r="E2114" s="1" t="s">
        <v>7641</v>
      </c>
      <c r="F2114" s="2" t="s">
        <v>4143</v>
      </c>
      <c r="G2114" s="2" t="s">
        <v>7642</v>
      </c>
      <c r="H2114" s="2" t="s">
        <v>10</v>
      </c>
      <c r="I2114" s="2" t="s">
        <v>4139</v>
      </c>
      <c r="J2114" s="2" t="s">
        <v>7643</v>
      </c>
      <c r="K2114" s="14"/>
      <c r="L2114" s="6"/>
    </row>
    <row r="2115" spans="1:12" hidden="1" x14ac:dyDescent="0.3">
      <c r="A2115" s="2" t="s">
        <v>4139</v>
      </c>
      <c r="B2115" s="2" t="s">
        <v>7644</v>
      </c>
      <c r="C2115" s="3">
        <v>37361</v>
      </c>
      <c r="D2115" s="1" t="s">
        <v>7645</v>
      </c>
      <c r="E2115" s="1" t="s">
        <v>7646</v>
      </c>
      <c r="F2115" s="2" t="s">
        <v>4143</v>
      </c>
      <c r="G2115" s="2" t="s">
        <v>7647</v>
      </c>
      <c r="H2115" s="2" t="s">
        <v>103</v>
      </c>
      <c r="I2115" s="2" t="s">
        <v>4139</v>
      </c>
      <c r="J2115" s="2" t="s">
        <v>7648</v>
      </c>
      <c r="K2115" s="14"/>
      <c r="L2115" s="6"/>
    </row>
    <row r="2116" spans="1:12" ht="27.6" hidden="1" x14ac:dyDescent="0.3">
      <c r="A2116" s="2" t="s">
        <v>4139</v>
      </c>
      <c r="B2116" s="2" t="s">
        <v>7649</v>
      </c>
      <c r="C2116" s="3">
        <v>34345</v>
      </c>
      <c r="D2116" s="1" t="s">
        <v>7650</v>
      </c>
      <c r="E2116" s="1" t="s">
        <v>7651</v>
      </c>
      <c r="F2116" s="2" t="s">
        <v>4143</v>
      </c>
      <c r="G2116" s="2" t="s">
        <v>7647</v>
      </c>
      <c r="H2116" s="2" t="s">
        <v>81</v>
      </c>
      <c r="I2116" s="2" t="s">
        <v>4139</v>
      </c>
      <c r="J2116" s="2" t="s">
        <v>7648</v>
      </c>
      <c r="K2116" s="14"/>
      <c r="L2116" s="6"/>
    </row>
    <row r="2117" spans="1:12" hidden="1" x14ac:dyDescent="0.3">
      <c r="A2117" s="2" t="s">
        <v>4139</v>
      </c>
      <c r="B2117" s="2" t="s">
        <v>7652</v>
      </c>
      <c r="C2117" s="3">
        <v>26711</v>
      </c>
      <c r="D2117" s="1" t="s">
        <v>7653</v>
      </c>
      <c r="E2117" s="1" t="s">
        <v>7654</v>
      </c>
      <c r="F2117" s="2" t="s">
        <v>4143</v>
      </c>
      <c r="G2117" s="2" t="s">
        <v>7647</v>
      </c>
      <c r="H2117" s="2" t="s">
        <v>5849</v>
      </c>
      <c r="I2117" s="2" t="s">
        <v>4139</v>
      </c>
      <c r="J2117" s="2" t="s">
        <v>7648</v>
      </c>
      <c r="K2117" s="14"/>
      <c r="L2117" s="6"/>
    </row>
    <row r="2118" spans="1:12" hidden="1" x14ac:dyDescent="0.3">
      <c r="A2118" s="2" t="s">
        <v>4139</v>
      </c>
      <c r="B2118" s="2" t="s">
        <v>7655</v>
      </c>
      <c r="C2118" s="3">
        <v>24456</v>
      </c>
      <c r="D2118" s="1" t="s">
        <v>7656</v>
      </c>
      <c r="E2118" s="1" t="s">
        <v>7657</v>
      </c>
      <c r="F2118" s="2" t="s">
        <v>4143</v>
      </c>
      <c r="G2118" s="2" t="s">
        <v>7658</v>
      </c>
      <c r="H2118" s="2" t="s">
        <v>103</v>
      </c>
      <c r="I2118" s="2" t="s">
        <v>4139</v>
      </c>
      <c r="J2118" s="2" t="s">
        <v>7659</v>
      </c>
      <c r="K2118" s="14"/>
      <c r="L2118" s="6"/>
    </row>
    <row r="2119" spans="1:12" hidden="1" x14ac:dyDescent="0.3">
      <c r="A2119" s="2" t="s">
        <v>4139</v>
      </c>
      <c r="B2119" s="2" t="s">
        <v>7660</v>
      </c>
      <c r="C2119" s="3">
        <v>20380</v>
      </c>
      <c r="D2119" s="1" t="s">
        <v>7661</v>
      </c>
      <c r="E2119" s="1" t="s">
        <v>7662</v>
      </c>
      <c r="F2119" s="2" t="s">
        <v>4143</v>
      </c>
      <c r="G2119" s="2" t="s">
        <v>7663</v>
      </c>
      <c r="H2119" s="2" t="s">
        <v>10</v>
      </c>
      <c r="I2119" s="2" t="s">
        <v>4139</v>
      </c>
      <c r="J2119" s="2" t="s">
        <v>7664</v>
      </c>
      <c r="K2119" s="14"/>
      <c r="L2119" s="6"/>
    </row>
    <row r="2120" spans="1:12" hidden="1" x14ac:dyDescent="0.3">
      <c r="A2120" s="2" t="s">
        <v>4139</v>
      </c>
      <c r="B2120" s="2" t="s">
        <v>7665</v>
      </c>
      <c r="C2120" s="3">
        <v>23435</v>
      </c>
      <c r="D2120" s="1" t="s">
        <v>7666</v>
      </c>
      <c r="E2120" s="1" t="s">
        <v>7667</v>
      </c>
      <c r="F2120" s="2" t="s">
        <v>4143</v>
      </c>
      <c r="G2120" s="2" t="s">
        <v>7668</v>
      </c>
      <c r="H2120" s="2" t="s">
        <v>10</v>
      </c>
      <c r="I2120" s="2" t="s">
        <v>4139</v>
      </c>
      <c r="J2120" s="2" t="s">
        <v>7669</v>
      </c>
      <c r="K2120" s="14"/>
      <c r="L2120" s="6"/>
    </row>
    <row r="2121" spans="1:12" hidden="1" x14ac:dyDescent="0.3">
      <c r="A2121" s="2" t="s">
        <v>4139</v>
      </c>
      <c r="B2121" s="2" t="s">
        <v>7670</v>
      </c>
      <c r="C2121" s="3">
        <v>28390</v>
      </c>
      <c r="D2121" s="1" t="s">
        <v>7671</v>
      </c>
      <c r="E2121" s="1" t="s">
        <v>7672</v>
      </c>
      <c r="F2121" s="2" t="s">
        <v>4143</v>
      </c>
      <c r="G2121" s="2" t="s">
        <v>7673</v>
      </c>
      <c r="H2121" s="2" t="s">
        <v>10</v>
      </c>
      <c r="I2121" s="2" t="s">
        <v>4139</v>
      </c>
      <c r="J2121" s="2" t="s">
        <v>7674</v>
      </c>
      <c r="K2121" s="14"/>
      <c r="L2121" s="6"/>
    </row>
    <row r="2122" spans="1:12" hidden="1" x14ac:dyDescent="0.3">
      <c r="A2122" s="2" t="s">
        <v>4139</v>
      </c>
      <c r="B2122" s="2" t="s">
        <v>7675</v>
      </c>
      <c r="C2122" s="3">
        <v>29217</v>
      </c>
      <c r="D2122" s="1" t="s">
        <v>7676</v>
      </c>
      <c r="E2122" s="1" t="s">
        <v>7677</v>
      </c>
      <c r="F2122" s="2" t="s">
        <v>4143</v>
      </c>
      <c r="G2122" s="2" t="s">
        <v>7678</v>
      </c>
      <c r="H2122" s="2" t="s">
        <v>10</v>
      </c>
      <c r="I2122" s="2" t="s">
        <v>4139</v>
      </c>
      <c r="J2122" s="2" t="s">
        <v>7679</v>
      </c>
      <c r="K2122" s="14"/>
      <c r="L2122" s="6"/>
    </row>
    <row r="2123" spans="1:12" hidden="1" x14ac:dyDescent="0.3">
      <c r="A2123" s="2" t="s">
        <v>4139</v>
      </c>
      <c r="B2123" s="2" t="s">
        <v>7680</v>
      </c>
      <c r="C2123" s="3">
        <v>29681</v>
      </c>
      <c r="D2123" s="1" t="s">
        <v>7681</v>
      </c>
      <c r="E2123" s="1" t="s">
        <v>7682</v>
      </c>
      <c r="F2123" s="2" t="s">
        <v>4143</v>
      </c>
      <c r="G2123" s="2" t="s">
        <v>7658</v>
      </c>
      <c r="H2123" s="2" t="s">
        <v>81</v>
      </c>
      <c r="I2123" s="2" t="s">
        <v>4139</v>
      </c>
      <c r="J2123" s="2" t="s">
        <v>7683</v>
      </c>
      <c r="K2123" s="14"/>
      <c r="L2123" s="6"/>
    </row>
    <row r="2124" spans="1:12" hidden="1" x14ac:dyDescent="0.3">
      <c r="A2124" s="2" t="s">
        <v>4139</v>
      </c>
      <c r="B2124" s="2" t="s">
        <v>7684</v>
      </c>
      <c r="C2124" s="3">
        <v>25768</v>
      </c>
      <c r="D2124" s="1" t="s">
        <v>7685</v>
      </c>
      <c r="E2124" s="1" t="s">
        <v>7686</v>
      </c>
      <c r="F2124" s="2" t="s">
        <v>4143</v>
      </c>
      <c r="G2124" s="2" t="s">
        <v>7673</v>
      </c>
      <c r="H2124" s="2" t="s">
        <v>562</v>
      </c>
      <c r="I2124" s="2" t="s">
        <v>4139</v>
      </c>
      <c r="J2124" s="2" t="s">
        <v>7674</v>
      </c>
      <c r="K2124" s="14"/>
      <c r="L2124" s="6"/>
    </row>
    <row r="2125" spans="1:12" hidden="1" x14ac:dyDescent="0.3">
      <c r="A2125" s="2" t="s">
        <v>4139</v>
      </c>
      <c r="B2125" s="2" t="s">
        <v>7687</v>
      </c>
      <c r="C2125" s="3">
        <v>26027</v>
      </c>
      <c r="D2125" s="1" t="s">
        <v>7688</v>
      </c>
      <c r="E2125" s="1" t="s">
        <v>7689</v>
      </c>
      <c r="F2125" s="2" t="s">
        <v>4143</v>
      </c>
      <c r="G2125" s="2" t="s">
        <v>7690</v>
      </c>
      <c r="H2125" s="2" t="s">
        <v>10</v>
      </c>
      <c r="I2125" s="2" t="s">
        <v>4139</v>
      </c>
      <c r="J2125" s="2" t="s">
        <v>7691</v>
      </c>
      <c r="K2125" s="14"/>
      <c r="L2125" s="6"/>
    </row>
    <row r="2126" spans="1:12" hidden="1" x14ac:dyDescent="0.3">
      <c r="A2126" s="2" t="s">
        <v>4139</v>
      </c>
      <c r="B2126" s="2" t="s">
        <v>7692</v>
      </c>
      <c r="C2126" s="3">
        <v>19189</v>
      </c>
      <c r="D2126" s="1" t="s">
        <v>7693</v>
      </c>
      <c r="E2126" s="1" t="s">
        <v>7694</v>
      </c>
      <c r="F2126" s="2" t="s">
        <v>4143</v>
      </c>
      <c r="G2126" s="2" t="s">
        <v>7695</v>
      </c>
      <c r="H2126" s="2" t="s">
        <v>10</v>
      </c>
      <c r="I2126" s="2" t="s">
        <v>4139</v>
      </c>
      <c r="J2126" s="2" t="s">
        <v>7696</v>
      </c>
      <c r="K2126" s="14"/>
      <c r="L2126" s="6"/>
    </row>
    <row r="2127" spans="1:12" hidden="1" x14ac:dyDescent="0.3">
      <c r="A2127" s="2" t="s">
        <v>4139</v>
      </c>
      <c r="B2127" s="2" t="s">
        <v>7697</v>
      </c>
      <c r="C2127" s="3">
        <v>24156</v>
      </c>
      <c r="D2127" s="1" t="s">
        <v>7698</v>
      </c>
      <c r="E2127" s="1" t="s">
        <v>7699</v>
      </c>
      <c r="F2127" s="2" t="s">
        <v>4143</v>
      </c>
      <c r="G2127" s="2" t="s">
        <v>6795</v>
      </c>
      <c r="H2127" s="2" t="s">
        <v>10</v>
      </c>
      <c r="I2127" s="2" t="s">
        <v>4139</v>
      </c>
      <c r="J2127" s="2" t="s">
        <v>7700</v>
      </c>
      <c r="K2127" s="13" t="s">
        <v>13177</v>
      </c>
      <c r="L2127" s="7" t="s">
        <v>13199</v>
      </c>
    </row>
    <row r="2128" spans="1:12" hidden="1" x14ac:dyDescent="0.3">
      <c r="A2128" s="2" t="s">
        <v>4139</v>
      </c>
      <c r="B2128" s="2" t="s">
        <v>7701</v>
      </c>
      <c r="C2128" s="3">
        <v>29812</v>
      </c>
      <c r="D2128" s="1" t="s">
        <v>7702</v>
      </c>
      <c r="E2128" s="1" t="s">
        <v>7703</v>
      </c>
      <c r="F2128" s="2" t="s">
        <v>4143</v>
      </c>
      <c r="G2128" s="2" t="s">
        <v>7704</v>
      </c>
      <c r="H2128" s="2" t="s">
        <v>103</v>
      </c>
      <c r="I2128" s="2" t="s">
        <v>4139</v>
      </c>
      <c r="J2128" s="2" t="s">
        <v>7705</v>
      </c>
      <c r="K2128" s="14"/>
      <c r="L2128" s="6"/>
    </row>
    <row r="2129" spans="1:12" hidden="1" x14ac:dyDescent="0.3">
      <c r="A2129" s="2" t="s">
        <v>4139</v>
      </c>
      <c r="B2129" s="2" t="s">
        <v>7706</v>
      </c>
      <c r="C2129" s="3">
        <v>27290</v>
      </c>
      <c r="D2129" s="1" t="s">
        <v>4907</v>
      </c>
      <c r="E2129" s="1" t="s">
        <v>7707</v>
      </c>
      <c r="F2129" s="2" t="s">
        <v>4143</v>
      </c>
      <c r="G2129" s="2" t="s">
        <v>7704</v>
      </c>
      <c r="H2129" s="2" t="s">
        <v>10</v>
      </c>
      <c r="I2129" s="2" t="s">
        <v>4139</v>
      </c>
      <c r="J2129" s="2" t="s">
        <v>7708</v>
      </c>
      <c r="K2129" s="14"/>
      <c r="L2129" s="6"/>
    </row>
    <row r="2130" spans="1:12" hidden="1" x14ac:dyDescent="0.3">
      <c r="A2130" s="2" t="s">
        <v>4139</v>
      </c>
      <c r="B2130" s="2" t="s">
        <v>7709</v>
      </c>
      <c r="C2130" s="3">
        <v>-1</v>
      </c>
      <c r="D2130" s="1" t="s">
        <v>7710</v>
      </c>
      <c r="E2130" s="1" t="s">
        <v>7711</v>
      </c>
      <c r="F2130" s="2" t="s">
        <v>4143</v>
      </c>
      <c r="G2130" s="2" t="s">
        <v>7712</v>
      </c>
      <c r="H2130" s="2" t="s">
        <v>103</v>
      </c>
      <c r="I2130" s="2" t="s">
        <v>4139</v>
      </c>
      <c r="J2130" s="2" t="s">
        <v>7713</v>
      </c>
      <c r="K2130" s="14"/>
      <c r="L2130" s="6"/>
    </row>
    <row r="2131" spans="1:12" hidden="1" x14ac:dyDescent="0.3">
      <c r="A2131" s="2" t="s">
        <v>4139</v>
      </c>
      <c r="B2131" s="2" t="s">
        <v>7714</v>
      </c>
      <c r="C2131" s="3">
        <v>24785</v>
      </c>
      <c r="D2131" s="1" t="s">
        <v>7715</v>
      </c>
      <c r="E2131" s="1" t="s">
        <v>7716</v>
      </c>
      <c r="F2131" s="2" t="s">
        <v>4143</v>
      </c>
      <c r="G2131" s="2" t="s">
        <v>7426</v>
      </c>
      <c r="H2131" s="2" t="s">
        <v>103</v>
      </c>
      <c r="I2131" s="2" t="s">
        <v>4139</v>
      </c>
      <c r="J2131" s="2" t="s">
        <v>7427</v>
      </c>
      <c r="K2131" s="14"/>
      <c r="L2131" s="6"/>
    </row>
    <row r="2132" spans="1:12" hidden="1" x14ac:dyDescent="0.3">
      <c r="A2132" s="2" t="s">
        <v>4139</v>
      </c>
      <c r="B2132" s="2" t="s">
        <v>7717</v>
      </c>
      <c r="C2132" s="3">
        <v>24162</v>
      </c>
      <c r="D2132" s="1" t="s">
        <v>7718</v>
      </c>
      <c r="E2132" s="1" t="s">
        <v>7719</v>
      </c>
      <c r="F2132" s="2" t="s">
        <v>4143</v>
      </c>
      <c r="G2132" s="2" t="s">
        <v>7720</v>
      </c>
      <c r="H2132" s="2" t="s">
        <v>10</v>
      </c>
      <c r="I2132" s="2" t="s">
        <v>4139</v>
      </c>
      <c r="J2132" s="2" t="s">
        <v>7721</v>
      </c>
      <c r="K2132" s="23"/>
      <c r="L2132" s="24"/>
    </row>
    <row r="2133" spans="1:12" ht="27.6" hidden="1" x14ac:dyDescent="0.3">
      <c r="A2133" s="2" t="s">
        <v>4386</v>
      </c>
      <c r="B2133" s="2" t="s">
        <v>7722</v>
      </c>
      <c r="C2133" s="3">
        <v>37947</v>
      </c>
      <c r="D2133" s="1" t="s">
        <v>7723</v>
      </c>
      <c r="E2133" s="1" t="s">
        <v>7724</v>
      </c>
      <c r="F2133" s="2" t="s">
        <v>6950</v>
      </c>
      <c r="G2133" s="2" t="s">
        <v>206</v>
      </c>
      <c r="H2133" s="2" t="s">
        <v>10</v>
      </c>
      <c r="I2133" s="2" t="s">
        <v>4386</v>
      </c>
      <c r="J2133" s="2" t="s">
        <v>1552</v>
      </c>
      <c r="K2133" s="30" t="s">
        <v>13193</v>
      </c>
      <c r="L2133" s="6" t="s">
        <v>13194</v>
      </c>
    </row>
    <row r="2134" spans="1:12" ht="27.6" hidden="1" x14ac:dyDescent="0.3">
      <c r="A2134" s="2" t="s">
        <v>4386</v>
      </c>
      <c r="B2134" s="2" t="s">
        <v>7725</v>
      </c>
      <c r="C2134" s="3">
        <v>37554</v>
      </c>
      <c r="D2134" s="1" t="s">
        <v>7726</v>
      </c>
      <c r="E2134" s="1" t="s">
        <v>7727</v>
      </c>
      <c r="F2134" s="2" t="s">
        <v>4555</v>
      </c>
      <c r="G2134" s="2" t="s">
        <v>7015</v>
      </c>
      <c r="H2134" s="2" t="s">
        <v>81</v>
      </c>
      <c r="I2134" s="2" t="s">
        <v>4386</v>
      </c>
      <c r="J2134" s="2" t="s">
        <v>7728</v>
      </c>
      <c r="K2134" s="21" t="s">
        <v>13177</v>
      </c>
      <c r="L2134" s="22"/>
    </row>
    <row r="2135" spans="1:12" ht="27.6" hidden="1" x14ac:dyDescent="0.3">
      <c r="A2135" s="2" t="s">
        <v>4386</v>
      </c>
      <c r="B2135" s="2" t="s">
        <v>7729</v>
      </c>
      <c r="C2135" s="3">
        <v>38260</v>
      </c>
      <c r="D2135" s="1" t="s">
        <v>7730</v>
      </c>
      <c r="E2135" s="1" t="s">
        <v>7731</v>
      </c>
      <c r="F2135" s="2" t="s">
        <v>7319</v>
      </c>
      <c r="G2135" s="2" t="s">
        <v>222</v>
      </c>
      <c r="H2135" s="2" t="s">
        <v>103</v>
      </c>
      <c r="I2135" s="2" t="s">
        <v>4386</v>
      </c>
      <c r="J2135" s="2" t="s">
        <v>1788</v>
      </c>
      <c r="K2135" s="41" t="s">
        <v>13193</v>
      </c>
      <c r="L2135" s="6" t="s">
        <v>13194</v>
      </c>
    </row>
    <row r="2136" spans="1:12" ht="27.6" hidden="1" x14ac:dyDescent="0.3">
      <c r="A2136" s="2" t="s">
        <v>4386</v>
      </c>
      <c r="B2136" s="2" t="s">
        <v>7732</v>
      </c>
      <c r="C2136" s="3">
        <v>30195</v>
      </c>
      <c r="D2136" s="1" t="s">
        <v>7733</v>
      </c>
      <c r="E2136" s="1" t="s">
        <v>7734</v>
      </c>
      <c r="F2136" s="2" t="s">
        <v>7088</v>
      </c>
      <c r="G2136" s="2" t="s">
        <v>75</v>
      </c>
      <c r="H2136" s="2" t="s">
        <v>10</v>
      </c>
      <c r="I2136" s="2" t="s">
        <v>4386</v>
      </c>
      <c r="J2136" s="2" t="s">
        <v>76</v>
      </c>
      <c r="K2136" s="21" t="s">
        <v>13177</v>
      </c>
      <c r="L2136" s="22"/>
    </row>
    <row r="2137" spans="1:12" ht="27.6" hidden="1" x14ac:dyDescent="0.3">
      <c r="A2137" s="2" t="s">
        <v>4386</v>
      </c>
      <c r="B2137" s="2" t="s">
        <v>7735</v>
      </c>
      <c r="C2137" s="3">
        <v>36040</v>
      </c>
      <c r="D2137" s="1" t="s">
        <v>7736</v>
      </c>
      <c r="E2137" s="1" t="s">
        <v>7737</v>
      </c>
      <c r="F2137" s="2" t="s">
        <v>5559</v>
      </c>
      <c r="G2137" s="2" t="s">
        <v>7738</v>
      </c>
      <c r="H2137" s="2" t="s">
        <v>10</v>
      </c>
      <c r="I2137" s="2" t="s">
        <v>4386</v>
      </c>
      <c r="J2137" s="2" t="s">
        <v>7739</v>
      </c>
      <c r="K2137" s="41" t="s">
        <v>13193</v>
      </c>
      <c r="L2137" s="6" t="s">
        <v>13194</v>
      </c>
    </row>
    <row r="2138" spans="1:12" ht="27.6" hidden="1" x14ac:dyDescent="0.3">
      <c r="A2138" s="2" t="s">
        <v>4386</v>
      </c>
      <c r="B2138" s="2" t="s">
        <v>7740</v>
      </c>
      <c r="C2138" s="3">
        <v>23476</v>
      </c>
      <c r="D2138" s="1" t="s">
        <v>7741</v>
      </c>
      <c r="E2138" s="1" t="s">
        <v>7742</v>
      </c>
      <c r="F2138" s="2" t="s">
        <v>6212</v>
      </c>
      <c r="G2138" s="2" t="s">
        <v>7743</v>
      </c>
      <c r="H2138" s="2" t="s">
        <v>10</v>
      </c>
      <c r="I2138" s="2" t="s">
        <v>4386</v>
      </c>
      <c r="J2138" s="2" t="s">
        <v>7744</v>
      </c>
      <c r="K2138" s="20" t="s">
        <v>13177</v>
      </c>
      <c r="L2138" s="12"/>
    </row>
    <row r="2139" spans="1:12" ht="27.6" hidden="1" x14ac:dyDescent="0.3">
      <c r="A2139" s="2" t="s">
        <v>4386</v>
      </c>
      <c r="B2139" s="2" t="s">
        <v>7745</v>
      </c>
      <c r="C2139" s="3">
        <v>22918</v>
      </c>
      <c r="D2139" s="1" t="s">
        <v>7746</v>
      </c>
      <c r="E2139" s="1" t="s">
        <v>7747</v>
      </c>
      <c r="F2139" s="2" t="s">
        <v>7319</v>
      </c>
      <c r="G2139" s="2" t="s">
        <v>222</v>
      </c>
      <c r="H2139" s="2" t="s">
        <v>4531</v>
      </c>
      <c r="I2139" s="2" t="s">
        <v>4386</v>
      </c>
      <c r="J2139" s="2" t="s">
        <v>223</v>
      </c>
      <c r="K2139" s="41" t="s">
        <v>13193</v>
      </c>
      <c r="L2139" s="6" t="s">
        <v>13194</v>
      </c>
    </row>
    <row r="2140" spans="1:12" ht="27.6" hidden="1" x14ac:dyDescent="0.3">
      <c r="A2140" s="2" t="s">
        <v>4386</v>
      </c>
      <c r="B2140" s="2" t="s">
        <v>7748</v>
      </c>
      <c r="C2140" s="3">
        <v>23517</v>
      </c>
      <c r="D2140" s="1" t="s">
        <v>7749</v>
      </c>
      <c r="E2140" s="1" t="s">
        <v>7750</v>
      </c>
      <c r="F2140" s="2" t="s">
        <v>7319</v>
      </c>
      <c r="G2140" s="2" t="s">
        <v>222</v>
      </c>
      <c r="H2140" s="2" t="s">
        <v>5710</v>
      </c>
      <c r="I2140" s="2" t="s">
        <v>4386</v>
      </c>
      <c r="J2140" s="2" t="s">
        <v>1788</v>
      </c>
      <c r="K2140" s="41" t="s">
        <v>13193</v>
      </c>
      <c r="L2140" s="6" t="s">
        <v>13194</v>
      </c>
    </row>
    <row r="2141" spans="1:12" ht="27.6" hidden="1" x14ac:dyDescent="0.3">
      <c r="A2141" s="2" t="s">
        <v>4386</v>
      </c>
      <c r="B2141" s="2" t="s">
        <v>7751</v>
      </c>
      <c r="C2141" s="3">
        <v>22910</v>
      </c>
      <c r="D2141" s="1" t="s">
        <v>7752</v>
      </c>
      <c r="E2141" s="1" t="s">
        <v>7753</v>
      </c>
      <c r="F2141" s="2" t="s">
        <v>7319</v>
      </c>
      <c r="G2141" s="2" t="s">
        <v>328</v>
      </c>
      <c r="H2141" s="2" t="s">
        <v>10</v>
      </c>
      <c r="I2141" s="2" t="s">
        <v>4386</v>
      </c>
      <c r="J2141" s="2" t="s">
        <v>7754</v>
      </c>
      <c r="K2141" s="41" t="s">
        <v>13193</v>
      </c>
      <c r="L2141" s="6" t="s">
        <v>13194</v>
      </c>
    </row>
    <row r="2142" spans="1:12" ht="27.6" hidden="1" x14ac:dyDescent="0.3">
      <c r="A2142" s="2" t="s">
        <v>4386</v>
      </c>
      <c r="B2142" s="2" t="s">
        <v>7755</v>
      </c>
      <c r="C2142" s="3">
        <v>32047</v>
      </c>
      <c r="D2142" s="1" t="s">
        <v>7756</v>
      </c>
      <c r="E2142" s="1" t="s">
        <v>7757</v>
      </c>
      <c r="F2142" s="2" t="s">
        <v>7319</v>
      </c>
      <c r="G2142" s="2" t="s">
        <v>80</v>
      </c>
      <c r="H2142" s="2" t="s">
        <v>10</v>
      </c>
      <c r="I2142" s="2" t="s">
        <v>4386</v>
      </c>
      <c r="J2142" s="2" t="s">
        <v>7758</v>
      </c>
      <c r="K2142" s="41" t="s">
        <v>13193</v>
      </c>
      <c r="L2142" s="6" t="s">
        <v>13194</v>
      </c>
    </row>
    <row r="2143" spans="1:12" ht="27.6" hidden="1" x14ac:dyDescent="0.3">
      <c r="A2143" s="2" t="s">
        <v>4386</v>
      </c>
      <c r="B2143" s="2" t="s">
        <v>7759</v>
      </c>
      <c r="C2143" s="3">
        <v>28545</v>
      </c>
      <c r="D2143" s="1" t="s">
        <v>7760</v>
      </c>
      <c r="E2143" s="1" t="s">
        <v>7761</v>
      </c>
      <c r="F2143" s="2" t="s">
        <v>7319</v>
      </c>
      <c r="G2143" s="2" t="s">
        <v>206</v>
      </c>
      <c r="H2143" s="2" t="s">
        <v>10</v>
      </c>
      <c r="I2143" s="2" t="s">
        <v>4386</v>
      </c>
      <c r="J2143" s="2" t="s">
        <v>7762</v>
      </c>
      <c r="K2143" s="14"/>
      <c r="L2143" s="6"/>
    </row>
    <row r="2144" spans="1:12" ht="55.2" hidden="1" x14ac:dyDescent="0.3">
      <c r="A2144" s="2" t="s">
        <v>4604</v>
      </c>
      <c r="B2144" s="2" t="s">
        <v>7763</v>
      </c>
      <c r="C2144" s="3">
        <v>35160</v>
      </c>
      <c r="D2144" s="1" t="s">
        <v>7764</v>
      </c>
      <c r="E2144" s="1" t="s">
        <v>7765</v>
      </c>
      <c r="F2144" s="2" t="s">
        <v>5668</v>
      </c>
      <c r="G2144" s="2" t="s">
        <v>143</v>
      </c>
      <c r="H2144" s="2" t="s">
        <v>7766</v>
      </c>
      <c r="I2144" s="2" t="s">
        <v>4604</v>
      </c>
      <c r="J2144" s="2" t="s">
        <v>324</v>
      </c>
      <c r="K2144" s="13" t="s">
        <v>13177</v>
      </c>
      <c r="L2144" s="7"/>
    </row>
    <row r="2145" spans="1:12" ht="55.2" hidden="1" x14ac:dyDescent="0.3">
      <c r="A2145" s="2" t="s">
        <v>4604</v>
      </c>
      <c r="B2145" s="2" t="s">
        <v>7767</v>
      </c>
      <c r="C2145" s="3">
        <v>38753</v>
      </c>
      <c r="D2145" s="1" t="s">
        <v>7768</v>
      </c>
      <c r="E2145" s="1" t="s">
        <v>7769</v>
      </c>
      <c r="F2145" s="2" t="s">
        <v>5668</v>
      </c>
      <c r="G2145" s="2" t="s">
        <v>288</v>
      </c>
      <c r="H2145" s="2" t="s">
        <v>6064</v>
      </c>
      <c r="I2145" s="2" t="s">
        <v>4604</v>
      </c>
      <c r="J2145" s="2" t="s">
        <v>4962</v>
      </c>
      <c r="K2145" s="13" t="s">
        <v>13177</v>
      </c>
      <c r="L2145" s="7"/>
    </row>
    <row r="2146" spans="1:12" ht="55.2" hidden="1" x14ac:dyDescent="0.3">
      <c r="A2146" s="2" t="s">
        <v>4604</v>
      </c>
      <c r="B2146" s="2" t="s">
        <v>7770</v>
      </c>
      <c r="C2146" s="3">
        <v>31732</v>
      </c>
      <c r="D2146" s="1" t="s">
        <v>7771</v>
      </c>
      <c r="E2146" s="1" t="s">
        <v>7772</v>
      </c>
      <c r="F2146" s="2" t="s">
        <v>6663</v>
      </c>
      <c r="G2146" s="2" t="s">
        <v>258</v>
      </c>
      <c r="H2146" s="2" t="s">
        <v>7773</v>
      </c>
      <c r="I2146" s="2" t="s">
        <v>4604</v>
      </c>
      <c r="J2146" s="2" t="s">
        <v>430</v>
      </c>
      <c r="K2146" s="13" t="s">
        <v>13177</v>
      </c>
      <c r="L2146" s="7"/>
    </row>
    <row r="2147" spans="1:12" ht="55.2" hidden="1" x14ac:dyDescent="0.3">
      <c r="A2147" s="2" t="s">
        <v>4604</v>
      </c>
      <c r="B2147" s="2" t="s">
        <v>7774</v>
      </c>
      <c r="C2147" s="3">
        <v>35256</v>
      </c>
      <c r="D2147" s="1" t="s">
        <v>7775</v>
      </c>
      <c r="E2147" s="1" t="s">
        <v>7776</v>
      </c>
      <c r="F2147" s="2" t="s">
        <v>7576</v>
      </c>
      <c r="G2147" s="2" t="s">
        <v>211</v>
      </c>
      <c r="H2147" s="2" t="s">
        <v>7777</v>
      </c>
      <c r="I2147" s="2" t="s">
        <v>4604</v>
      </c>
      <c r="J2147" s="2" t="s">
        <v>601</v>
      </c>
      <c r="K2147" s="13" t="s">
        <v>13177</v>
      </c>
      <c r="L2147" s="7"/>
    </row>
    <row r="2148" spans="1:12" ht="55.2" hidden="1" x14ac:dyDescent="0.3">
      <c r="A2148" s="2" t="s">
        <v>4604</v>
      </c>
      <c r="B2148" s="2" t="s">
        <v>7778</v>
      </c>
      <c r="C2148" s="3">
        <v>31195</v>
      </c>
      <c r="D2148" s="1" t="s">
        <v>7779</v>
      </c>
      <c r="E2148" s="1" t="s">
        <v>7780</v>
      </c>
      <c r="F2148" s="2" t="s">
        <v>4608</v>
      </c>
      <c r="G2148" s="2" t="s">
        <v>604</v>
      </c>
      <c r="H2148" s="2" t="s">
        <v>7781</v>
      </c>
      <c r="I2148" s="2" t="s">
        <v>4604</v>
      </c>
      <c r="J2148" s="2" t="s">
        <v>4903</v>
      </c>
      <c r="K2148" s="13" t="s">
        <v>13177</v>
      </c>
      <c r="L2148" s="7"/>
    </row>
    <row r="2149" spans="1:12" ht="55.2" hidden="1" x14ac:dyDescent="0.3">
      <c r="A2149" s="2" t="s">
        <v>4604</v>
      </c>
      <c r="B2149" s="2" t="s">
        <v>7782</v>
      </c>
      <c r="C2149" s="3">
        <v>23700</v>
      </c>
      <c r="D2149" s="1" t="s">
        <v>7783</v>
      </c>
      <c r="E2149" s="1" t="s">
        <v>7784</v>
      </c>
      <c r="F2149" s="2" t="s">
        <v>5989</v>
      </c>
      <c r="G2149" s="2" t="s">
        <v>196</v>
      </c>
      <c r="H2149" s="2" t="s">
        <v>7785</v>
      </c>
      <c r="I2149" s="2" t="s">
        <v>4604</v>
      </c>
      <c r="J2149" s="2" t="s">
        <v>367</v>
      </c>
      <c r="K2149" s="13" t="s">
        <v>13177</v>
      </c>
      <c r="L2149" s="7"/>
    </row>
    <row r="2150" spans="1:12" ht="55.2" hidden="1" x14ac:dyDescent="0.3">
      <c r="A2150" s="2" t="s">
        <v>4604</v>
      </c>
      <c r="B2150" s="2" t="s">
        <v>7786</v>
      </c>
      <c r="C2150" s="3">
        <v>23700</v>
      </c>
      <c r="D2150" s="1" t="s">
        <v>7783</v>
      </c>
      <c r="E2150" s="1" t="s">
        <v>7784</v>
      </c>
      <c r="F2150" s="2" t="s">
        <v>7787</v>
      </c>
      <c r="G2150" s="2" t="s">
        <v>278</v>
      </c>
      <c r="H2150" s="2" t="s">
        <v>7788</v>
      </c>
      <c r="I2150" s="2" t="s">
        <v>4604</v>
      </c>
      <c r="J2150" s="2" t="s">
        <v>4967</v>
      </c>
      <c r="K2150" s="13" t="s">
        <v>13177</v>
      </c>
      <c r="L2150" s="7"/>
    </row>
    <row r="2151" spans="1:12" ht="55.2" hidden="1" x14ac:dyDescent="0.3">
      <c r="A2151" s="2" t="s">
        <v>4604</v>
      </c>
      <c r="B2151" s="2" t="s">
        <v>7789</v>
      </c>
      <c r="C2151" s="3">
        <v>30345</v>
      </c>
      <c r="D2151" s="1" t="s">
        <v>7790</v>
      </c>
      <c r="E2151" s="1" t="s">
        <v>7791</v>
      </c>
      <c r="F2151" s="2" t="s">
        <v>4608</v>
      </c>
      <c r="G2151" s="2" t="s">
        <v>492</v>
      </c>
      <c r="H2151" s="2" t="s">
        <v>7792</v>
      </c>
      <c r="I2151" s="2" t="s">
        <v>4604</v>
      </c>
      <c r="J2151" s="2" t="s">
        <v>375</v>
      </c>
      <c r="K2151" s="13" t="s">
        <v>13177</v>
      </c>
      <c r="L2151" s="7"/>
    </row>
    <row r="2152" spans="1:12" ht="55.2" hidden="1" x14ac:dyDescent="0.3">
      <c r="A2152" s="2" t="s">
        <v>4604</v>
      </c>
      <c r="B2152" s="2" t="s">
        <v>7793</v>
      </c>
      <c r="C2152" s="3">
        <v>24172</v>
      </c>
      <c r="D2152" s="1" t="s">
        <v>7794</v>
      </c>
      <c r="E2152" s="1" t="s">
        <v>7795</v>
      </c>
      <c r="F2152" s="2" t="s">
        <v>4608</v>
      </c>
      <c r="G2152" s="2" t="s">
        <v>2743</v>
      </c>
      <c r="H2152" s="2" t="s">
        <v>7796</v>
      </c>
      <c r="I2152" s="2" t="s">
        <v>4604</v>
      </c>
      <c r="J2152" s="2" t="s">
        <v>4994</v>
      </c>
      <c r="K2152" s="13" t="s">
        <v>13177</v>
      </c>
      <c r="L2152" s="7"/>
    </row>
    <row r="2153" spans="1:12" ht="55.2" hidden="1" x14ac:dyDescent="0.3">
      <c r="A2153" s="2" t="s">
        <v>4604</v>
      </c>
      <c r="B2153" s="2" t="s">
        <v>7797</v>
      </c>
      <c r="C2153" s="3">
        <v>25843</v>
      </c>
      <c r="D2153" s="1" t="s">
        <v>7798</v>
      </c>
      <c r="E2153" s="1" t="s">
        <v>7799</v>
      </c>
      <c r="F2153" s="2" t="s">
        <v>7576</v>
      </c>
      <c r="G2153" s="2" t="s">
        <v>112</v>
      </c>
      <c r="H2153" s="2" t="s">
        <v>7800</v>
      </c>
      <c r="I2153" s="2" t="s">
        <v>4604</v>
      </c>
      <c r="J2153" s="2" t="s">
        <v>113</v>
      </c>
      <c r="K2153" s="13" t="s">
        <v>13177</v>
      </c>
      <c r="L2153" s="7"/>
    </row>
    <row r="2154" spans="1:12" ht="55.2" hidden="1" x14ac:dyDescent="0.3">
      <c r="A2154" s="2" t="s">
        <v>4604</v>
      </c>
      <c r="B2154" s="2" t="s">
        <v>7801</v>
      </c>
      <c r="C2154" s="3">
        <v>16421</v>
      </c>
      <c r="D2154" s="1" t="s">
        <v>7802</v>
      </c>
      <c r="E2154" s="1" t="s">
        <v>7803</v>
      </c>
      <c r="F2154" s="2" t="s">
        <v>7576</v>
      </c>
      <c r="G2154" s="2" t="s">
        <v>425</v>
      </c>
      <c r="H2154" s="2" t="s">
        <v>7804</v>
      </c>
      <c r="I2154" s="2" t="s">
        <v>4604</v>
      </c>
      <c r="J2154" s="2" t="s">
        <v>841</v>
      </c>
      <c r="K2154" s="13" t="s">
        <v>13177</v>
      </c>
      <c r="L2154" s="7"/>
    </row>
    <row r="2155" spans="1:12" ht="55.2" hidden="1" x14ac:dyDescent="0.3">
      <c r="A2155" s="2" t="s">
        <v>4604</v>
      </c>
      <c r="B2155" s="2" t="s">
        <v>7805</v>
      </c>
      <c r="C2155" s="3">
        <v>23894</v>
      </c>
      <c r="D2155" s="1" t="s">
        <v>7806</v>
      </c>
      <c r="E2155" s="1" t="s">
        <v>7807</v>
      </c>
      <c r="F2155" s="2" t="s">
        <v>7576</v>
      </c>
      <c r="G2155" s="2" t="s">
        <v>86</v>
      </c>
      <c r="H2155" s="2" t="s">
        <v>7808</v>
      </c>
      <c r="I2155" s="2" t="s">
        <v>4604</v>
      </c>
      <c r="J2155" s="2" t="s">
        <v>3249</v>
      </c>
      <c r="K2155" s="13" t="s">
        <v>13177</v>
      </c>
      <c r="L2155" s="7"/>
    </row>
    <row r="2156" spans="1:12" ht="55.2" hidden="1" x14ac:dyDescent="0.3">
      <c r="A2156" s="2" t="s">
        <v>4604</v>
      </c>
      <c r="B2156" s="2" t="s">
        <v>7809</v>
      </c>
      <c r="C2156" s="3">
        <v>26047</v>
      </c>
      <c r="D2156" s="1" t="s">
        <v>7810</v>
      </c>
      <c r="E2156" s="1" t="s">
        <v>7811</v>
      </c>
      <c r="F2156" s="2" t="s">
        <v>6430</v>
      </c>
      <c r="G2156" s="2" t="s">
        <v>222</v>
      </c>
      <c r="H2156" s="2" t="s">
        <v>7812</v>
      </c>
      <c r="I2156" s="2" t="s">
        <v>4604</v>
      </c>
      <c r="J2156" s="2" t="s">
        <v>417</v>
      </c>
      <c r="K2156" s="13" t="s">
        <v>13177</v>
      </c>
      <c r="L2156" s="7"/>
    </row>
    <row r="2157" spans="1:12" ht="55.2" hidden="1" x14ac:dyDescent="0.3">
      <c r="A2157" s="2" t="s">
        <v>4604</v>
      </c>
      <c r="B2157" s="2" t="s">
        <v>7813</v>
      </c>
      <c r="C2157" s="3">
        <v>33743</v>
      </c>
      <c r="D2157" s="1" t="s">
        <v>7814</v>
      </c>
      <c r="E2157" s="1" t="s">
        <v>7815</v>
      </c>
      <c r="F2157" s="2" t="s">
        <v>4698</v>
      </c>
      <c r="G2157" s="2" t="s">
        <v>852</v>
      </c>
      <c r="H2157" s="2" t="s">
        <v>7816</v>
      </c>
      <c r="I2157" s="2" t="s">
        <v>4604</v>
      </c>
      <c r="J2157" s="2" t="s">
        <v>7817</v>
      </c>
      <c r="K2157" s="13" t="s">
        <v>13177</v>
      </c>
      <c r="L2157" s="7"/>
    </row>
    <row r="2158" spans="1:12" ht="55.2" hidden="1" x14ac:dyDescent="0.3">
      <c r="A2158" s="2" t="s">
        <v>4604</v>
      </c>
      <c r="B2158" s="2" t="s">
        <v>7818</v>
      </c>
      <c r="C2158" s="3">
        <v>32080</v>
      </c>
      <c r="D2158" s="1" t="s">
        <v>7819</v>
      </c>
      <c r="E2158" s="1" t="s">
        <v>7820</v>
      </c>
      <c r="F2158" s="2" t="s">
        <v>4698</v>
      </c>
      <c r="G2158" s="2" t="s">
        <v>933</v>
      </c>
      <c r="H2158" s="2" t="s">
        <v>7821</v>
      </c>
      <c r="I2158" s="2" t="s">
        <v>4604</v>
      </c>
      <c r="J2158" s="2" t="s">
        <v>5417</v>
      </c>
      <c r="K2158" s="13" t="s">
        <v>13177</v>
      </c>
      <c r="L2158" s="7"/>
    </row>
    <row r="2159" spans="1:12" ht="55.2" hidden="1" x14ac:dyDescent="0.3">
      <c r="A2159" s="2" t="s">
        <v>4604</v>
      </c>
      <c r="B2159" s="2" t="s">
        <v>7822</v>
      </c>
      <c r="C2159" s="3">
        <v>37566</v>
      </c>
      <c r="D2159" s="1" t="s">
        <v>7823</v>
      </c>
      <c r="E2159" s="1" t="s">
        <v>7824</v>
      </c>
      <c r="F2159" s="2" t="s">
        <v>4698</v>
      </c>
      <c r="G2159" s="2" t="s">
        <v>1135</v>
      </c>
      <c r="H2159" s="2" t="s">
        <v>7825</v>
      </c>
      <c r="I2159" s="2" t="s">
        <v>4604</v>
      </c>
      <c r="J2159" s="2" t="s">
        <v>5408</v>
      </c>
      <c r="K2159" s="13" t="s">
        <v>13177</v>
      </c>
      <c r="L2159" s="7"/>
    </row>
    <row r="2160" spans="1:12" ht="55.2" hidden="1" x14ac:dyDescent="0.3">
      <c r="A2160" s="2" t="s">
        <v>4604</v>
      </c>
      <c r="B2160" s="2" t="s">
        <v>7826</v>
      </c>
      <c r="C2160" s="3">
        <v>30592</v>
      </c>
      <c r="D2160" s="1" t="s">
        <v>7827</v>
      </c>
      <c r="E2160" s="1" t="s">
        <v>7828</v>
      </c>
      <c r="F2160" s="2" t="s">
        <v>4698</v>
      </c>
      <c r="G2160" s="2" t="s">
        <v>1294</v>
      </c>
      <c r="H2160" s="2" t="s">
        <v>7829</v>
      </c>
      <c r="I2160" s="2" t="s">
        <v>4604</v>
      </c>
      <c r="J2160" s="2" t="s">
        <v>5758</v>
      </c>
      <c r="K2160" s="13" t="s">
        <v>13177</v>
      </c>
      <c r="L2160" s="7"/>
    </row>
    <row r="2161" spans="1:12" ht="55.2" hidden="1" x14ac:dyDescent="0.3">
      <c r="A2161" s="2" t="s">
        <v>4604</v>
      </c>
      <c r="B2161" s="2" t="s">
        <v>7830</v>
      </c>
      <c r="C2161" s="3">
        <v>25172</v>
      </c>
      <c r="D2161" s="1" t="s">
        <v>5715</v>
      </c>
      <c r="E2161" s="1" t="s">
        <v>7831</v>
      </c>
      <c r="F2161" s="2" t="s">
        <v>5969</v>
      </c>
      <c r="G2161" s="2" t="s">
        <v>511</v>
      </c>
      <c r="H2161" s="2" t="s">
        <v>7832</v>
      </c>
      <c r="I2161" s="2" t="s">
        <v>4604</v>
      </c>
      <c r="J2161" s="2" t="s">
        <v>5782</v>
      </c>
      <c r="K2161" s="13" t="s">
        <v>13177</v>
      </c>
      <c r="L2161" s="7"/>
    </row>
    <row r="2162" spans="1:12" ht="55.2" hidden="1" x14ac:dyDescent="0.3">
      <c r="A2162" s="2" t="s">
        <v>4604</v>
      </c>
      <c r="B2162" s="2" t="s">
        <v>7833</v>
      </c>
      <c r="C2162" s="3">
        <v>27512</v>
      </c>
      <c r="D2162" s="1" t="s">
        <v>7834</v>
      </c>
      <c r="E2162" s="1" t="s">
        <v>7835</v>
      </c>
      <c r="F2162" s="2" t="s">
        <v>4608</v>
      </c>
      <c r="G2162" s="2" t="s">
        <v>25</v>
      </c>
      <c r="H2162" s="2" t="s">
        <v>7836</v>
      </c>
      <c r="I2162" s="2" t="s">
        <v>4604</v>
      </c>
      <c r="J2162" s="2" t="s">
        <v>117</v>
      </c>
      <c r="K2162" s="13" t="s">
        <v>13177</v>
      </c>
      <c r="L2162" s="7"/>
    </row>
    <row r="2163" spans="1:12" ht="55.2" hidden="1" x14ac:dyDescent="0.3">
      <c r="A2163" s="2" t="s">
        <v>4604</v>
      </c>
      <c r="B2163" s="2" t="s">
        <v>7837</v>
      </c>
      <c r="C2163" s="3">
        <v>18380</v>
      </c>
      <c r="D2163" s="1" t="s">
        <v>7838</v>
      </c>
      <c r="E2163" s="1" t="s">
        <v>7839</v>
      </c>
      <c r="F2163" s="2" t="s">
        <v>4608</v>
      </c>
      <c r="G2163" s="2" t="s">
        <v>222</v>
      </c>
      <c r="H2163" s="2" t="s">
        <v>7840</v>
      </c>
      <c r="I2163" s="2" t="s">
        <v>4604</v>
      </c>
      <c r="J2163" s="2" t="s">
        <v>5183</v>
      </c>
      <c r="K2163" s="13" t="s">
        <v>13177</v>
      </c>
      <c r="L2163" s="7"/>
    </row>
    <row r="2164" spans="1:12" ht="55.2" hidden="1" x14ac:dyDescent="0.3">
      <c r="A2164" s="2" t="s">
        <v>4604</v>
      </c>
      <c r="B2164" s="2" t="s">
        <v>7841</v>
      </c>
      <c r="C2164" s="3">
        <v>29632</v>
      </c>
      <c r="D2164" s="1" t="s">
        <v>7842</v>
      </c>
      <c r="E2164" s="1" t="s">
        <v>7843</v>
      </c>
      <c r="F2164" s="2" t="s">
        <v>4608</v>
      </c>
      <c r="G2164" s="2" t="s">
        <v>230</v>
      </c>
      <c r="H2164" s="2" t="s">
        <v>7844</v>
      </c>
      <c r="I2164" s="2" t="s">
        <v>4604</v>
      </c>
      <c r="J2164" s="2" t="s">
        <v>5187</v>
      </c>
      <c r="K2164" s="13" t="s">
        <v>13177</v>
      </c>
      <c r="L2164" s="7"/>
    </row>
    <row r="2165" spans="1:12" ht="55.2" hidden="1" x14ac:dyDescent="0.3">
      <c r="A2165" s="2" t="s">
        <v>4604</v>
      </c>
      <c r="B2165" s="2" t="s">
        <v>7845</v>
      </c>
      <c r="C2165" s="3">
        <v>35849</v>
      </c>
      <c r="D2165" s="1" t="s">
        <v>7846</v>
      </c>
      <c r="E2165" s="1" t="s">
        <v>7847</v>
      </c>
      <c r="F2165" s="2" t="s">
        <v>4608</v>
      </c>
      <c r="G2165" s="2" t="s">
        <v>206</v>
      </c>
      <c r="H2165" s="2" t="s">
        <v>7848</v>
      </c>
      <c r="I2165" s="2" t="s">
        <v>4604</v>
      </c>
      <c r="J2165" s="2" t="s">
        <v>4666</v>
      </c>
      <c r="K2165" s="16" t="s">
        <v>13177</v>
      </c>
      <c r="L2165" s="17"/>
    </row>
    <row r="2166" spans="1:12" hidden="1" x14ac:dyDescent="0.3">
      <c r="A2166" s="2" t="s">
        <v>4139</v>
      </c>
      <c r="B2166" s="2" t="s">
        <v>7849</v>
      </c>
      <c r="C2166" s="3">
        <v>21909</v>
      </c>
      <c r="D2166" s="1" t="s">
        <v>4907</v>
      </c>
      <c r="E2166" s="1" t="s">
        <v>7850</v>
      </c>
      <c r="F2166" s="2" t="s">
        <v>4143</v>
      </c>
      <c r="G2166" s="2" t="s">
        <v>6780</v>
      </c>
      <c r="H2166" s="2" t="s">
        <v>4409</v>
      </c>
      <c r="I2166" s="2" t="s">
        <v>4139</v>
      </c>
      <c r="J2166" s="2" t="s">
        <v>6781</v>
      </c>
      <c r="K2166" s="14"/>
      <c r="L2166" s="6"/>
    </row>
    <row r="2167" spans="1:12" ht="27.6" hidden="1" x14ac:dyDescent="0.3">
      <c r="A2167" s="2" t="s">
        <v>4139</v>
      </c>
      <c r="B2167" s="2" t="s">
        <v>7851</v>
      </c>
      <c r="C2167" s="3">
        <v>38694</v>
      </c>
      <c r="D2167" s="1" t="s">
        <v>7852</v>
      </c>
      <c r="E2167" s="1" t="s">
        <v>7853</v>
      </c>
      <c r="F2167" s="2" t="s">
        <v>4143</v>
      </c>
      <c r="G2167" s="2" t="s">
        <v>7520</v>
      </c>
      <c r="H2167" s="2" t="s">
        <v>7854</v>
      </c>
      <c r="I2167" s="2" t="s">
        <v>4139</v>
      </c>
      <c r="J2167" s="2" t="s">
        <v>7522</v>
      </c>
      <c r="K2167" s="14"/>
      <c r="L2167" s="6"/>
    </row>
    <row r="2168" spans="1:12" hidden="1" x14ac:dyDescent="0.3">
      <c r="A2168" s="2" t="s">
        <v>4139</v>
      </c>
      <c r="B2168" s="2" t="s">
        <v>7855</v>
      </c>
      <c r="C2168" s="3">
        <v>29771</v>
      </c>
      <c r="D2168" s="1" t="s">
        <v>7856</v>
      </c>
      <c r="E2168" s="1" t="s">
        <v>7857</v>
      </c>
      <c r="F2168" s="2" t="s">
        <v>4143</v>
      </c>
      <c r="G2168" s="2" t="s">
        <v>4165</v>
      </c>
      <c r="H2168" s="2" t="s">
        <v>4409</v>
      </c>
      <c r="I2168" s="2" t="s">
        <v>4139</v>
      </c>
      <c r="J2168" s="2" t="s">
        <v>7858</v>
      </c>
      <c r="K2168" s="14"/>
      <c r="L2168" s="6"/>
    </row>
    <row r="2169" spans="1:12" hidden="1" x14ac:dyDescent="0.3">
      <c r="A2169" s="2" t="s">
        <v>4139</v>
      </c>
      <c r="B2169" s="2" t="s">
        <v>7859</v>
      </c>
      <c r="C2169" s="3">
        <v>22023</v>
      </c>
      <c r="D2169" s="1" t="s">
        <v>7860</v>
      </c>
      <c r="E2169" s="1" t="s">
        <v>7861</v>
      </c>
      <c r="F2169" s="2" t="s">
        <v>4143</v>
      </c>
      <c r="G2169" s="2" t="s">
        <v>7862</v>
      </c>
      <c r="H2169" s="2" t="s">
        <v>7863</v>
      </c>
      <c r="I2169" s="2" t="s">
        <v>4139</v>
      </c>
      <c r="J2169" s="2" t="s">
        <v>7864</v>
      </c>
      <c r="K2169" s="14"/>
      <c r="L2169" s="6"/>
    </row>
    <row r="2170" spans="1:12" ht="27.6" hidden="1" x14ac:dyDescent="0.3">
      <c r="A2170" s="2" t="s">
        <v>4139</v>
      </c>
      <c r="B2170" s="2" t="s">
        <v>7865</v>
      </c>
      <c r="C2170" s="3">
        <v>24404</v>
      </c>
      <c r="D2170" s="1" t="s">
        <v>7866</v>
      </c>
      <c r="E2170" s="1" t="s">
        <v>7867</v>
      </c>
      <c r="F2170" s="2" t="s">
        <v>4143</v>
      </c>
      <c r="G2170" s="2" t="s">
        <v>7868</v>
      </c>
      <c r="H2170" s="2" t="s">
        <v>4409</v>
      </c>
      <c r="I2170" s="2" t="s">
        <v>4139</v>
      </c>
      <c r="J2170" s="2" t="s">
        <v>7869</v>
      </c>
      <c r="K2170" s="14"/>
      <c r="L2170" s="6"/>
    </row>
    <row r="2171" spans="1:12" ht="55.2" hidden="1" x14ac:dyDescent="0.3">
      <c r="A2171" s="2" t="s">
        <v>4604</v>
      </c>
      <c r="B2171" s="2" t="s">
        <v>7870</v>
      </c>
      <c r="C2171" s="3">
        <v>27161</v>
      </c>
      <c r="D2171" s="1" t="s">
        <v>7871</v>
      </c>
      <c r="E2171" s="1" t="s">
        <v>7872</v>
      </c>
      <c r="F2171" s="2" t="s">
        <v>4608</v>
      </c>
      <c r="G2171" s="2" t="s">
        <v>112</v>
      </c>
      <c r="H2171" s="2" t="s">
        <v>7873</v>
      </c>
      <c r="I2171" s="2" t="s">
        <v>4604</v>
      </c>
      <c r="J2171" s="2" t="s">
        <v>113</v>
      </c>
      <c r="K2171" s="20" t="s">
        <v>13177</v>
      </c>
      <c r="L2171" s="12"/>
    </row>
    <row r="2172" spans="1:12" ht="55.2" hidden="1" x14ac:dyDescent="0.3">
      <c r="A2172" s="2" t="s">
        <v>4604</v>
      </c>
      <c r="B2172" s="2" t="s">
        <v>7874</v>
      </c>
      <c r="C2172" s="3">
        <v>29609</v>
      </c>
      <c r="D2172" s="1" t="s">
        <v>7875</v>
      </c>
      <c r="E2172" s="1" t="s">
        <v>7876</v>
      </c>
      <c r="F2172" s="2" t="s">
        <v>7576</v>
      </c>
      <c r="G2172" s="2" t="s">
        <v>190</v>
      </c>
      <c r="H2172" s="2" t="s">
        <v>7877</v>
      </c>
      <c r="I2172" s="2" t="s">
        <v>4604</v>
      </c>
      <c r="J2172" s="2" t="s">
        <v>768</v>
      </c>
      <c r="K2172" s="13" t="s">
        <v>13177</v>
      </c>
      <c r="L2172" s="7"/>
    </row>
    <row r="2173" spans="1:12" ht="55.2" hidden="1" x14ac:dyDescent="0.3">
      <c r="A2173" s="2" t="s">
        <v>4604</v>
      </c>
      <c r="B2173" s="2" t="s">
        <v>7878</v>
      </c>
      <c r="C2173" s="3">
        <v>22480</v>
      </c>
      <c r="D2173" s="1" t="s">
        <v>7879</v>
      </c>
      <c r="E2173" s="1" t="s">
        <v>7880</v>
      </c>
      <c r="F2173" s="2" t="s">
        <v>7576</v>
      </c>
      <c r="G2173" s="2" t="s">
        <v>143</v>
      </c>
      <c r="H2173" s="2" t="s">
        <v>7881</v>
      </c>
      <c r="I2173" s="2" t="s">
        <v>4604</v>
      </c>
      <c r="J2173" s="2" t="s">
        <v>324</v>
      </c>
      <c r="K2173" s="13" t="s">
        <v>13177</v>
      </c>
      <c r="L2173" s="7"/>
    </row>
    <row r="2174" spans="1:12" ht="55.2" hidden="1" x14ac:dyDescent="0.3">
      <c r="A2174" s="2" t="s">
        <v>4604</v>
      </c>
      <c r="B2174" s="2" t="s">
        <v>7882</v>
      </c>
      <c r="C2174" s="3">
        <v>25442</v>
      </c>
      <c r="D2174" s="1" t="s">
        <v>7883</v>
      </c>
      <c r="E2174" s="1" t="s">
        <v>7884</v>
      </c>
      <c r="F2174" s="2" t="s">
        <v>4608</v>
      </c>
      <c r="G2174" s="2" t="s">
        <v>196</v>
      </c>
      <c r="H2174" s="2" t="s">
        <v>7885</v>
      </c>
      <c r="I2174" s="2" t="s">
        <v>4604</v>
      </c>
      <c r="J2174" s="2" t="s">
        <v>367</v>
      </c>
      <c r="K2174" s="13" t="s">
        <v>13177</v>
      </c>
      <c r="L2174" s="7"/>
    </row>
    <row r="2175" spans="1:12" ht="55.2" hidden="1" x14ac:dyDescent="0.3">
      <c r="A2175" s="2" t="s">
        <v>4604</v>
      </c>
      <c r="B2175" s="2" t="s">
        <v>7886</v>
      </c>
      <c r="C2175" s="3">
        <v>31568</v>
      </c>
      <c r="D2175" s="1" t="s">
        <v>7887</v>
      </c>
      <c r="E2175" s="1" t="s">
        <v>7888</v>
      </c>
      <c r="F2175" s="2" t="s">
        <v>4698</v>
      </c>
      <c r="G2175" s="2" t="s">
        <v>643</v>
      </c>
      <c r="H2175" s="2" t="s">
        <v>7889</v>
      </c>
      <c r="I2175" s="2" t="s">
        <v>4604</v>
      </c>
      <c r="J2175" s="2" t="s">
        <v>5823</v>
      </c>
      <c r="K2175" s="13" t="s">
        <v>13177</v>
      </c>
      <c r="L2175" s="7"/>
    </row>
    <row r="2176" spans="1:12" ht="55.2" hidden="1" x14ac:dyDescent="0.3">
      <c r="A2176" s="2" t="s">
        <v>4604</v>
      </c>
      <c r="B2176" s="2" t="s">
        <v>7890</v>
      </c>
      <c r="C2176" s="3">
        <v>31403</v>
      </c>
      <c r="D2176" s="1" t="s">
        <v>7891</v>
      </c>
      <c r="E2176" s="1" t="s">
        <v>7892</v>
      </c>
      <c r="F2176" s="2" t="s">
        <v>4698</v>
      </c>
      <c r="G2176" s="2" t="s">
        <v>217</v>
      </c>
      <c r="H2176" s="2" t="s">
        <v>4989</v>
      </c>
      <c r="I2176" s="2" t="s">
        <v>4604</v>
      </c>
      <c r="J2176" s="2" t="s">
        <v>412</v>
      </c>
      <c r="K2176" s="13" t="s">
        <v>13177</v>
      </c>
      <c r="L2176" s="7"/>
    </row>
    <row r="2177" spans="1:12" ht="55.2" hidden="1" x14ac:dyDescent="0.3">
      <c r="A2177" s="2" t="s">
        <v>4604</v>
      </c>
      <c r="B2177" s="2" t="s">
        <v>7893</v>
      </c>
      <c r="C2177" s="3">
        <v>36367</v>
      </c>
      <c r="D2177" s="1" t="s">
        <v>7894</v>
      </c>
      <c r="E2177" s="1" t="s">
        <v>7895</v>
      </c>
      <c r="F2177" s="2" t="s">
        <v>7576</v>
      </c>
      <c r="G2177" s="2" t="s">
        <v>157</v>
      </c>
      <c r="H2177" s="2" t="s">
        <v>7896</v>
      </c>
      <c r="I2177" s="2" t="s">
        <v>4604</v>
      </c>
      <c r="J2177" s="2" t="s">
        <v>119</v>
      </c>
      <c r="K2177" s="13" t="s">
        <v>13177</v>
      </c>
      <c r="L2177" s="7"/>
    </row>
    <row r="2178" spans="1:12" ht="55.2" hidden="1" x14ac:dyDescent="0.3">
      <c r="A2178" s="2" t="s">
        <v>4604</v>
      </c>
      <c r="B2178" s="2" t="s">
        <v>7897</v>
      </c>
      <c r="C2178" s="3">
        <v>21990</v>
      </c>
      <c r="D2178" s="1" t="s">
        <v>7898</v>
      </c>
      <c r="E2178" s="1" t="s">
        <v>7899</v>
      </c>
      <c r="F2178" s="2" t="s">
        <v>7576</v>
      </c>
      <c r="G2178" s="2" t="s">
        <v>124</v>
      </c>
      <c r="H2178" s="2" t="s">
        <v>7900</v>
      </c>
      <c r="I2178" s="2" t="s">
        <v>4604</v>
      </c>
      <c r="J2178" s="2" t="s">
        <v>3270</v>
      </c>
      <c r="K2178" s="13" t="s">
        <v>13177</v>
      </c>
      <c r="L2178" s="7"/>
    </row>
    <row r="2179" spans="1:12" ht="55.2" hidden="1" x14ac:dyDescent="0.3">
      <c r="A2179" s="2" t="s">
        <v>4604</v>
      </c>
      <c r="B2179" s="2" t="s">
        <v>7901</v>
      </c>
      <c r="C2179" s="3">
        <v>23227</v>
      </c>
      <c r="D2179" s="1" t="s">
        <v>7902</v>
      </c>
      <c r="E2179" s="1" t="s">
        <v>7903</v>
      </c>
      <c r="F2179" s="2" t="s">
        <v>6430</v>
      </c>
      <c r="G2179" s="2" t="s">
        <v>319</v>
      </c>
      <c r="H2179" s="2" t="s">
        <v>7904</v>
      </c>
      <c r="I2179" s="2" t="s">
        <v>4604</v>
      </c>
      <c r="J2179" s="2" t="s">
        <v>2410</v>
      </c>
      <c r="K2179" s="13" t="s">
        <v>13177</v>
      </c>
      <c r="L2179" s="7"/>
    </row>
    <row r="2180" spans="1:12" ht="55.2" hidden="1" x14ac:dyDescent="0.3">
      <c r="A2180" s="2" t="s">
        <v>4604</v>
      </c>
      <c r="B2180" s="2" t="s">
        <v>7905</v>
      </c>
      <c r="C2180" s="3">
        <v>34805</v>
      </c>
      <c r="D2180" s="1" t="s">
        <v>7906</v>
      </c>
      <c r="E2180" s="1" t="s">
        <v>7907</v>
      </c>
      <c r="F2180" s="2" t="s">
        <v>6430</v>
      </c>
      <c r="G2180" s="2" t="s">
        <v>319</v>
      </c>
      <c r="H2180" s="2" t="s">
        <v>7908</v>
      </c>
      <c r="I2180" s="2" t="s">
        <v>4604</v>
      </c>
      <c r="J2180" s="2" t="s">
        <v>2410</v>
      </c>
      <c r="K2180" s="13" t="s">
        <v>13177</v>
      </c>
      <c r="L2180" s="7"/>
    </row>
    <row r="2181" spans="1:12" ht="55.2" hidden="1" x14ac:dyDescent="0.3">
      <c r="A2181" s="2" t="s">
        <v>4604</v>
      </c>
      <c r="B2181" s="2" t="s">
        <v>7909</v>
      </c>
      <c r="C2181" s="3">
        <v>27922</v>
      </c>
      <c r="D2181" s="1" t="s">
        <v>7910</v>
      </c>
      <c r="E2181" s="1" t="s">
        <v>7911</v>
      </c>
      <c r="F2181" s="2" t="s">
        <v>6430</v>
      </c>
      <c r="G2181" s="2" t="s">
        <v>86</v>
      </c>
      <c r="H2181" s="2" t="s">
        <v>7912</v>
      </c>
      <c r="I2181" s="2" t="s">
        <v>4604</v>
      </c>
      <c r="J2181" s="2" t="s">
        <v>3249</v>
      </c>
      <c r="K2181" s="13" t="s">
        <v>13177</v>
      </c>
      <c r="L2181" s="7"/>
    </row>
    <row r="2182" spans="1:12" ht="55.2" hidden="1" x14ac:dyDescent="0.3">
      <c r="A2182" s="2" t="s">
        <v>4604</v>
      </c>
      <c r="B2182" s="2" t="s">
        <v>7913</v>
      </c>
      <c r="C2182" s="3">
        <v>37939</v>
      </c>
      <c r="D2182" s="1" t="s">
        <v>7914</v>
      </c>
      <c r="E2182" s="1" t="s">
        <v>7915</v>
      </c>
      <c r="F2182" s="2" t="s">
        <v>6430</v>
      </c>
      <c r="G2182" s="2" t="s">
        <v>492</v>
      </c>
      <c r="H2182" s="2" t="s">
        <v>7916</v>
      </c>
      <c r="I2182" s="2" t="s">
        <v>4604</v>
      </c>
      <c r="J2182" s="2" t="s">
        <v>375</v>
      </c>
      <c r="K2182" s="13" t="s">
        <v>13177</v>
      </c>
      <c r="L2182" s="7"/>
    </row>
    <row r="2183" spans="1:12" ht="55.2" hidden="1" x14ac:dyDescent="0.3">
      <c r="A2183" s="2" t="s">
        <v>4604</v>
      </c>
      <c r="B2183" s="2" t="s">
        <v>7917</v>
      </c>
      <c r="C2183" s="3">
        <v>30123</v>
      </c>
      <c r="D2183" s="1" t="s">
        <v>7918</v>
      </c>
      <c r="E2183" s="1" t="s">
        <v>7919</v>
      </c>
      <c r="F2183" s="2" t="s">
        <v>6430</v>
      </c>
      <c r="G2183" s="2" t="s">
        <v>112</v>
      </c>
      <c r="H2183" s="2" t="s">
        <v>7920</v>
      </c>
      <c r="I2183" s="2" t="s">
        <v>4604</v>
      </c>
      <c r="J2183" s="2" t="s">
        <v>113</v>
      </c>
      <c r="K2183" s="13" t="s">
        <v>13177</v>
      </c>
      <c r="L2183" s="7"/>
    </row>
    <row r="2184" spans="1:12" ht="55.2" hidden="1" x14ac:dyDescent="0.3">
      <c r="A2184" s="2" t="s">
        <v>4604</v>
      </c>
      <c r="B2184" s="2" t="s">
        <v>7921</v>
      </c>
      <c r="C2184" s="3">
        <v>25009</v>
      </c>
      <c r="D2184" s="1" t="s">
        <v>5715</v>
      </c>
      <c r="E2184" s="1" t="s">
        <v>7922</v>
      </c>
      <c r="F2184" s="2" t="s">
        <v>6430</v>
      </c>
      <c r="G2184" s="2" t="s">
        <v>511</v>
      </c>
      <c r="H2184" s="2" t="s">
        <v>7923</v>
      </c>
      <c r="I2184" s="2" t="s">
        <v>4604</v>
      </c>
      <c r="J2184" s="2" t="s">
        <v>5782</v>
      </c>
      <c r="K2184" s="13" t="s">
        <v>13177</v>
      </c>
      <c r="L2184" s="7"/>
    </row>
    <row r="2185" spans="1:12" ht="55.2" hidden="1" x14ac:dyDescent="0.3">
      <c r="A2185" s="2" t="s">
        <v>4604</v>
      </c>
      <c r="B2185" s="2" t="s">
        <v>7924</v>
      </c>
      <c r="C2185" s="3">
        <v>20398</v>
      </c>
      <c r="D2185" s="1" t="s">
        <v>7925</v>
      </c>
      <c r="E2185" s="1" t="s">
        <v>7926</v>
      </c>
      <c r="F2185" s="2" t="s">
        <v>6430</v>
      </c>
      <c r="G2185" s="2" t="s">
        <v>288</v>
      </c>
      <c r="H2185" s="2" t="s">
        <v>7927</v>
      </c>
      <c r="I2185" s="2" t="s">
        <v>4604</v>
      </c>
      <c r="J2185" s="2" t="s">
        <v>4962</v>
      </c>
      <c r="K2185" s="16" t="s">
        <v>13177</v>
      </c>
      <c r="L2185" s="17"/>
    </row>
    <row r="2186" spans="1:12" hidden="1" x14ac:dyDescent="0.3">
      <c r="A2186" s="2" t="s">
        <v>4139</v>
      </c>
      <c r="B2186" s="2" t="s">
        <v>7928</v>
      </c>
      <c r="C2186" s="3">
        <v>18417</v>
      </c>
      <c r="D2186" s="1" t="s">
        <v>7929</v>
      </c>
      <c r="E2186" s="1" t="s">
        <v>7930</v>
      </c>
      <c r="F2186" s="2" t="s">
        <v>4143</v>
      </c>
      <c r="G2186" s="2" t="s">
        <v>7931</v>
      </c>
      <c r="H2186" s="2" t="s">
        <v>562</v>
      </c>
      <c r="I2186" s="2" t="s">
        <v>4139</v>
      </c>
      <c r="J2186" s="2" t="s">
        <v>7932</v>
      </c>
      <c r="K2186" s="14"/>
      <c r="L2186" s="6"/>
    </row>
    <row r="2187" spans="1:12" hidden="1" x14ac:dyDescent="0.3">
      <c r="A2187" s="2" t="s">
        <v>4139</v>
      </c>
      <c r="B2187" s="2" t="s">
        <v>7933</v>
      </c>
      <c r="C2187" s="3">
        <v>31226</v>
      </c>
      <c r="D2187" s="1" t="s">
        <v>7934</v>
      </c>
      <c r="E2187" s="1" t="s">
        <v>7935</v>
      </c>
      <c r="F2187" s="2" t="s">
        <v>4143</v>
      </c>
      <c r="G2187" s="2" t="s">
        <v>7936</v>
      </c>
      <c r="H2187" s="2" t="s">
        <v>10</v>
      </c>
      <c r="I2187" s="2" t="s">
        <v>4139</v>
      </c>
      <c r="J2187" s="2" t="s">
        <v>7937</v>
      </c>
      <c r="K2187" s="14"/>
      <c r="L2187" s="6"/>
    </row>
    <row r="2188" spans="1:12" hidden="1" x14ac:dyDescent="0.3">
      <c r="A2188" s="2" t="s">
        <v>4139</v>
      </c>
      <c r="B2188" s="2" t="s">
        <v>7938</v>
      </c>
      <c r="C2188" s="3">
        <v>23483</v>
      </c>
      <c r="D2188" s="1" t="s">
        <v>7939</v>
      </c>
      <c r="E2188" s="1" t="s">
        <v>7940</v>
      </c>
      <c r="F2188" s="2" t="s">
        <v>4143</v>
      </c>
      <c r="G2188" s="2" t="s">
        <v>7941</v>
      </c>
      <c r="H2188" s="2" t="s">
        <v>81</v>
      </c>
      <c r="I2188" s="2" t="s">
        <v>4139</v>
      </c>
      <c r="J2188" s="2" t="s">
        <v>7942</v>
      </c>
      <c r="K2188" s="14"/>
      <c r="L2188" s="6"/>
    </row>
    <row r="2189" spans="1:12" hidden="1" x14ac:dyDescent="0.3">
      <c r="A2189" s="2" t="s">
        <v>4139</v>
      </c>
      <c r="B2189" s="2" t="s">
        <v>7928</v>
      </c>
      <c r="C2189" s="3">
        <v>18417</v>
      </c>
      <c r="D2189" s="1" t="s">
        <v>7929</v>
      </c>
      <c r="E2189" s="1" t="s">
        <v>7943</v>
      </c>
      <c r="F2189" s="2" t="s">
        <v>4143</v>
      </c>
      <c r="G2189" s="2" t="s">
        <v>7931</v>
      </c>
      <c r="H2189" s="2" t="s">
        <v>103</v>
      </c>
      <c r="I2189" s="2" t="s">
        <v>4139</v>
      </c>
      <c r="J2189" s="2" t="s">
        <v>7932</v>
      </c>
      <c r="K2189" s="14"/>
      <c r="L2189" s="6"/>
    </row>
    <row r="2190" spans="1:12" hidden="1" x14ac:dyDescent="0.3">
      <c r="A2190" s="2" t="s">
        <v>4139</v>
      </c>
      <c r="B2190" s="2" t="s">
        <v>7928</v>
      </c>
      <c r="C2190" s="3">
        <v>18417</v>
      </c>
      <c r="D2190" s="1" t="s">
        <v>7929</v>
      </c>
      <c r="E2190" s="1" t="s">
        <v>7930</v>
      </c>
      <c r="F2190" s="2" t="s">
        <v>4143</v>
      </c>
      <c r="G2190" s="2" t="s">
        <v>7931</v>
      </c>
      <c r="H2190" s="2" t="s">
        <v>81</v>
      </c>
      <c r="I2190" s="2" t="s">
        <v>4139</v>
      </c>
      <c r="J2190" s="2" t="s">
        <v>7932</v>
      </c>
      <c r="K2190" s="14"/>
      <c r="L2190" s="6"/>
    </row>
    <row r="2191" spans="1:12" hidden="1" x14ac:dyDescent="0.3">
      <c r="A2191" s="2" t="s">
        <v>4139</v>
      </c>
      <c r="B2191" s="2" t="s">
        <v>7928</v>
      </c>
      <c r="C2191" s="3">
        <v>18417</v>
      </c>
      <c r="D2191" s="1" t="s">
        <v>7944</v>
      </c>
      <c r="E2191" s="1" t="s">
        <v>7945</v>
      </c>
      <c r="F2191" s="2" t="s">
        <v>4143</v>
      </c>
      <c r="G2191" s="2" t="s">
        <v>7931</v>
      </c>
      <c r="H2191" s="2" t="s">
        <v>822</v>
      </c>
      <c r="I2191" s="2" t="s">
        <v>4139</v>
      </c>
      <c r="J2191" s="2" t="s">
        <v>7932</v>
      </c>
      <c r="K2191" s="14"/>
      <c r="L2191" s="6"/>
    </row>
    <row r="2192" spans="1:12" hidden="1" x14ac:dyDescent="0.3">
      <c r="A2192" s="2" t="s">
        <v>4139</v>
      </c>
      <c r="B2192" s="2" t="s">
        <v>7946</v>
      </c>
      <c r="C2192" s="3">
        <v>28921</v>
      </c>
      <c r="D2192" s="1" t="s">
        <v>7947</v>
      </c>
      <c r="E2192" s="1" t="s">
        <v>7948</v>
      </c>
      <c r="F2192" s="2" t="s">
        <v>4143</v>
      </c>
      <c r="G2192" s="2" t="s">
        <v>7949</v>
      </c>
      <c r="H2192" s="2" t="s">
        <v>103</v>
      </c>
      <c r="I2192" s="2" t="s">
        <v>4139</v>
      </c>
      <c r="J2192" s="2" t="s">
        <v>7950</v>
      </c>
      <c r="K2192" s="14"/>
      <c r="L2192" s="6"/>
    </row>
    <row r="2193" spans="1:12" hidden="1" x14ac:dyDescent="0.3">
      <c r="A2193" s="2" t="s">
        <v>4139</v>
      </c>
      <c r="B2193" s="2" t="s">
        <v>7951</v>
      </c>
      <c r="C2193" s="3">
        <v>28921</v>
      </c>
      <c r="D2193" s="1" t="s">
        <v>7952</v>
      </c>
      <c r="E2193" s="1" t="s">
        <v>7948</v>
      </c>
      <c r="F2193" s="2" t="s">
        <v>4143</v>
      </c>
      <c r="G2193" s="2" t="s">
        <v>7949</v>
      </c>
      <c r="H2193" s="2" t="s">
        <v>10</v>
      </c>
      <c r="I2193" s="2" t="s">
        <v>4139</v>
      </c>
      <c r="J2193" s="2" t="s">
        <v>7950</v>
      </c>
      <c r="K2193" s="14"/>
      <c r="L2193" s="6"/>
    </row>
    <row r="2194" spans="1:12" hidden="1" x14ac:dyDescent="0.3">
      <c r="A2194" s="2" t="s">
        <v>4139</v>
      </c>
      <c r="B2194" s="2" t="s">
        <v>7953</v>
      </c>
      <c r="C2194" s="3">
        <v>25952</v>
      </c>
      <c r="D2194" s="1" t="s">
        <v>7954</v>
      </c>
      <c r="E2194" s="1" t="s">
        <v>7955</v>
      </c>
      <c r="F2194" s="2" t="s">
        <v>4143</v>
      </c>
      <c r="G2194" s="2" t="s">
        <v>7956</v>
      </c>
      <c r="H2194" s="2" t="s">
        <v>10</v>
      </c>
      <c r="I2194" s="2" t="s">
        <v>4139</v>
      </c>
      <c r="J2194" s="2" t="s">
        <v>7957</v>
      </c>
      <c r="K2194" s="23"/>
      <c r="L2194" s="24"/>
    </row>
    <row r="2195" spans="1:12" ht="27.6" hidden="1" x14ac:dyDescent="0.3">
      <c r="A2195" s="2" t="s">
        <v>4386</v>
      </c>
      <c r="B2195" s="2" t="s">
        <v>7958</v>
      </c>
      <c r="C2195" s="3">
        <v>30250</v>
      </c>
      <c r="D2195" s="1" t="s">
        <v>7959</v>
      </c>
      <c r="E2195" s="1" t="s">
        <v>7960</v>
      </c>
      <c r="F2195" s="2" t="s">
        <v>6950</v>
      </c>
      <c r="G2195" s="2" t="s">
        <v>385</v>
      </c>
      <c r="H2195" s="2" t="s">
        <v>10</v>
      </c>
      <c r="I2195" s="2" t="s">
        <v>4386</v>
      </c>
      <c r="J2195" s="2" t="s">
        <v>913</v>
      </c>
      <c r="K2195" s="30" t="s">
        <v>13193</v>
      </c>
      <c r="L2195" s="6" t="s">
        <v>13194</v>
      </c>
    </row>
    <row r="2196" spans="1:12" ht="27.6" hidden="1" x14ac:dyDescent="0.3">
      <c r="A2196" s="2" t="s">
        <v>4386</v>
      </c>
      <c r="B2196" s="2" t="s">
        <v>7961</v>
      </c>
      <c r="C2196" s="3">
        <v>28105</v>
      </c>
      <c r="D2196" s="1" t="s">
        <v>7962</v>
      </c>
      <c r="E2196" s="1" t="s">
        <v>7963</v>
      </c>
      <c r="F2196" s="2" t="s">
        <v>6950</v>
      </c>
      <c r="G2196" s="2" t="s">
        <v>48</v>
      </c>
      <c r="H2196" s="2" t="s">
        <v>10</v>
      </c>
      <c r="I2196" s="2" t="s">
        <v>4386</v>
      </c>
      <c r="J2196" s="2" t="s">
        <v>7964</v>
      </c>
      <c r="K2196" s="30" t="s">
        <v>13193</v>
      </c>
      <c r="L2196" s="6" t="s">
        <v>13194</v>
      </c>
    </row>
    <row r="2197" spans="1:12" ht="27.6" hidden="1" x14ac:dyDescent="0.3">
      <c r="A2197" s="2" t="s">
        <v>4386</v>
      </c>
      <c r="B2197" s="2" t="s">
        <v>7965</v>
      </c>
      <c r="C2197" s="3">
        <v>24753</v>
      </c>
      <c r="D2197" s="1" t="s">
        <v>7966</v>
      </c>
      <c r="E2197" s="1" t="s">
        <v>7967</v>
      </c>
      <c r="F2197" s="2" t="s">
        <v>6950</v>
      </c>
      <c r="G2197" s="2" t="s">
        <v>25</v>
      </c>
      <c r="H2197" s="2" t="s">
        <v>10</v>
      </c>
      <c r="I2197" s="2" t="s">
        <v>4386</v>
      </c>
      <c r="J2197" s="2" t="s">
        <v>305</v>
      </c>
      <c r="K2197" s="30" t="s">
        <v>13193</v>
      </c>
      <c r="L2197" s="6" t="s">
        <v>13194</v>
      </c>
    </row>
    <row r="2198" spans="1:12" ht="55.2" hidden="1" x14ac:dyDescent="0.3">
      <c r="A2198" s="2" t="s">
        <v>4604</v>
      </c>
      <c r="B2198" s="2" t="s">
        <v>7968</v>
      </c>
      <c r="C2198" s="3">
        <v>23812</v>
      </c>
      <c r="D2198" s="1" t="s">
        <v>7969</v>
      </c>
      <c r="E2198" s="1" t="s">
        <v>7970</v>
      </c>
      <c r="F2198" s="2" t="s">
        <v>5989</v>
      </c>
      <c r="G2198" s="2" t="s">
        <v>92</v>
      </c>
      <c r="H2198" s="2" t="s">
        <v>7604</v>
      </c>
      <c r="I2198" s="2" t="s">
        <v>4604</v>
      </c>
      <c r="J2198" s="2" t="s">
        <v>93</v>
      </c>
      <c r="K2198" s="13" t="s">
        <v>13177</v>
      </c>
      <c r="L2198" s="7"/>
    </row>
    <row r="2199" spans="1:12" ht="55.2" hidden="1" x14ac:dyDescent="0.3">
      <c r="A2199" s="2" t="s">
        <v>4604</v>
      </c>
      <c r="B2199" s="2" t="s">
        <v>7882</v>
      </c>
      <c r="C2199" s="3">
        <v>25442</v>
      </c>
      <c r="D2199" s="1" t="s">
        <v>7883</v>
      </c>
      <c r="E2199" s="1" t="s">
        <v>7884</v>
      </c>
      <c r="F2199" s="2" t="s">
        <v>6430</v>
      </c>
      <c r="G2199" s="2" t="s">
        <v>258</v>
      </c>
      <c r="H2199" s="2" t="s">
        <v>7971</v>
      </c>
      <c r="I2199" s="2" t="s">
        <v>4604</v>
      </c>
      <c r="J2199" s="2" t="s">
        <v>430</v>
      </c>
      <c r="K2199" s="13" t="s">
        <v>13177</v>
      </c>
      <c r="L2199" s="7"/>
    </row>
    <row r="2200" spans="1:12" ht="55.2" hidden="1" x14ac:dyDescent="0.3">
      <c r="A2200" s="2" t="s">
        <v>4604</v>
      </c>
      <c r="B2200" s="2" t="s">
        <v>7972</v>
      </c>
      <c r="C2200" s="3">
        <v>32929</v>
      </c>
      <c r="D2200" s="1" t="s">
        <v>7973</v>
      </c>
      <c r="E2200" s="1" t="s">
        <v>7974</v>
      </c>
      <c r="F2200" s="2" t="s">
        <v>6430</v>
      </c>
      <c r="G2200" s="2" t="s">
        <v>258</v>
      </c>
      <c r="H2200" s="2" t="s">
        <v>7975</v>
      </c>
      <c r="I2200" s="2" t="s">
        <v>4604</v>
      </c>
      <c r="J2200" s="2" t="s">
        <v>430</v>
      </c>
      <c r="K2200" s="13" t="s">
        <v>13177</v>
      </c>
      <c r="L2200" s="7"/>
    </row>
    <row r="2201" spans="1:12" ht="55.2" hidden="1" x14ac:dyDescent="0.3">
      <c r="A2201" s="2" t="s">
        <v>4604</v>
      </c>
      <c r="B2201" s="2" t="s">
        <v>7976</v>
      </c>
      <c r="C2201" s="3">
        <v>19793</v>
      </c>
      <c r="D2201" s="1" t="s">
        <v>7977</v>
      </c>
      <c r="E2201" s="1" t="s">
        <v>7978</v>
      </c>
      <c r="F2201" s="2" t="s">
        <v>6430</v>
      </c>
      <c r="G2201" s="2" t="s">
        <v>1403</v>
      </c>
      <c r="H2201" s="2" t="s">
        <v>7979</v>
      </c>
      <c r="I2201" s="2" t="s">
        <v>4604</v>
      </c>
      <c r="J2201" s="2" t="s">
        <v>4848</v>
      </c>
      <c r="K2201" s="13" t="s">
        <v>13177</v>
      </c>
      <c r="L2201" s="7"/>
    </row>
    <row r="2202" spans="1:12" ht="55.2" hidden="1" x14ac:dyDescent="0.3">
      <c r="A2202" s="2" t="s">
        <v>4604</v>
      </c>
      <c r="B2202" s="2" t="s">
        <v>7980</v>
      </c>
      <c r="C2202" s="3">
        <v>32117</v>
      </c>
      <c r="D2202" s="1" t="s">
        <v>7981</v>
      </c>
      <c r="E2202" s="1" t="s">
        <v>7982</v>
      </c>
      <c r="F2202" s="2" t="s">
        <v>6430</v>
      </c>
      <c r="G2202" s="2" t="s">
        <v>1403</v>
      </c>
      <c r="H2202" s="2" t="s">
        <v>10</v>
      </c>
      <c r="I2202" s="2" t="s">
        <v>4604</v>
      </c>
      <c r="J2202" s="2" t="s">
        <v>4848</v>
      </c>
      <c r="K2202" s="13" t="s">
        <v>13177</v>
      </c>
      <c r="L2202" s="7"/>
    </row>
    <row r="2203" spans="1:12" ht="55.2" hidden="1" x14ac:dyDescent="0.3">
      <c r="A2203" s="2" t="s">
        <v>4604</v>
      </c>
      <c r="B2203" s="2" t="s">
        <v>7983</v>
      </c>
      <c r="C2203" s="3">
        <v>24051</v>
      </c>
      <c r="D2203" s="1" t="s">
        <v>7984</v>
      </c>
      <c r="E2203" s="1" t="s">
        <v>7985</v>
      </c>
      <c r="F2203" s="2" t="s">
        <v>6430</v>
      </c>
      <c r="G2203" s="2" t="s">
        <v>283</v>
      </c>
      <c r="H2203" s="2" t="s">
        <v>7986</v>
      </c>
      <c r="I2203" s="2" t="s">
        <v>4604</v>
      </c>
      <c r="J2203" s="2" t="s">
        <v>4161</v>
      </c>
      <c r="K2203" s="13" t="s">
        <v>13177</v>
      </c>
      <c r="L2203" s="7"/>
    </row>
    <row r="2204" spans="1:12" ht="55.2" hidden="1" x14ac:dyDescent="0.3">
      <c r="A2204" s="2" t="s">
        <v>4604</v>
      </c>
      <c r="B2204" s="2" t="s">
        <v>7987</v>
      </c>
      <c r="C2204" s="3">
        <v>32628</v>
      </c>
      <c r="D2204" s="1" t="s">
        <v>7988</v>
      </c>
      <c r="E2204" s="1" t="s">
        <v>7989</v>
      </c>
      <c r="F2204" s="2" t="s">
        <v>6430</v>
      </c>
      <c r="G2204" s="2" t="s">
        <v>283</v>
      </c>
      <c r="H2204" s="2" t="s">
        <v>7990</v>
      </c>
      <c r="I2204" s="2" t="s">
        <v>4604</v>
      </c>
      <c r="J2204" s="2" t="s">
        <v>4161</v>
      </c>
      <c r="K2204" s="13" t="s">
        <v>13177</v>
      </c>
      <c r="L2204" s="7"/>
    </row>
    <row r="2205" spans="1:12" ht="55.2" hidden="1" x14ac:dyDescent="0.3">
      <c r="A2205" s="2" t="s">
        <v>4604</v>
      </c>
      <c r="B2205" s="2" t="s">
        <v>7991</v>
      </c>
      <c r="C2205" s="3">
        <v>33653</v>
      </c>
      <c r="D2205" s="1" t="s">
        <v>7992</v>
      </c>
      <c r="E2205" s="1" t="s">
        <v>7993</v>
      </c>
      <c r="F2205" s="2" t="s">
        <v>6430</v>
      </c>
      <c r="G2205" s="2" t="s">
        <v>492</v>
      </c>
      <c r="H2205" s="2" t="s">
        <v>7994</v>
      </c>
      <c r="I2205" s="2" t="s">
        <v>4604</v>
      </c>
      <c r="J2205" s="2" t="s">
        <v>375</v>
      </c>
      <c r="K2205" s="13" t="s">
        <v>13177</v>
      </c>
      <c r="L2205" s="7"/>
    </row>
    <row r="2206" spans="1:12" ht="55.2" hidden="1" x14ac:dyDescent="0.3">
      <c r="A2206" s="2" t="s">
        <v>4604</v>
      </c>
      <c r="B2206" s="2" t="s">
        <v>7995</v>
      </c>
      <c r="C2206" s="3">
        <v>18785</v>
      </c>
      <c r="D2206" s="1" t="s">
        <v>7996</v>
      </c>
      <c r="E2206" s="1" t="s">
        <v>7997</v>
      </c>
      <c r="F2206" s="2" t="s">
        <v>7998</v>
      </c>
      <c r="G2206" s="2" t="s">
        <v>350</v>
      </c>
      <c r="H2206" s="2" t="s">
        <v>7999</v>
      </c>
      <c r="I2206" s="2" t="s">
        <v>4604</v>
      </c>
      <c r="J2206" s="2" t="s">
        <v>351</v>
      </c>
      <c r="K2206" s="13" t="s">
        <v>13177</v>
      </c>
      <c r="L2206" s="7"/>
    </row>
    <row r="2207" spans="1:12" ht="55.2" hidden="1" x14ac:dyDescent="0.3">
      <c r="A2207" s="2" t="s">
        <v>4604</v>
      </c>
      <c r="B2207" s="2" t="s">
        <v>8000</v>
      </c>
      <c r="C2207" s="3">
        <v>20378</v>
      </c>
      <c r="D2207" s="1" t="s">
        <v>8001</v>
      </c>
      <c r="E2207" s="1" t="s">
        <v>8002</v>
      </c>
      <c r="F2207" s="2" t="s">
        <v>6430</v>
      </c>
      <c r="G2207" s="2" t="s">
        <v>37</v>
      </c>
      <c r="H2207" s="2" t="s">
        <v>8003</v>
      </c>
      <c r="I2207" s="2" t="s">
        <v>4604</v>
      </c>
      <c r="J2207" s="2" t="s">
        <v>38</v>
      </c>
      <c r="K2207" s="13" t="s">
        <v>13177</v>
      </c>
      <c r="L2207" s="7"/>
    </row>
    <row r="2208" spans="1:12" ht="55.2" hidden="1" x14ac:dyDescent="0.3">
      <c r="A2208" s="2" t="s">
        <v>4604</v>
      </c>
      <c r="B2208" s="2" t="s">
        <v>8004</v>
      </c>
      <c r="C2208" s="3">
        <v>19673</v>
      </c>
      <c r="D2208" s="1" t="s">
        <v>8005</v>
      </c>
      <c r="E2208" s="1" t="s">
        <v>8006</v>
      </c>
      <c r="F2208" s="2" t="s">
        <v>6430</v>
      </c>
      <c r="G2208" s="2" t="s">
        <v>258</v>
      </c>
      <c r="H2208" s="2" t="s">
        <v>8007</v>
      </c>
      <c r="I2208" s="2" t="s">
        <v>4604</v>
      </c>
      <c r="J2208" s="2" t="s">
        <v>417</v>
      </c>
      <c r="K2208" s="13" t="s">
        <v>13177</v>
      </c>
      <c r="L2208" s="7"/>
    </row>
    <row r="2209" spans="1:12" ht="55.2" hidden="1" x14ac:dyDescent="0.3">
      <c r="A2209" s="2" t="s">
        <v>4604</v>
      </c>
      <c r="B2209" s="2" t="s">
        <v>8008</v>
      </c>
      <c r="C2209" s="3">
        <v>29647</v>
      </c>
      <c r="D2209" s="1" t="s">
        <v>8009</v>
      </c>
      <c r="E2209" s="1" t="s">
        <v>8010</v>
      </c>
      <c r="F2209" s="2" t="s">
        <v>6430</v>
      </c>
      <c r="G2209" s="2" t="s">
        <v>258</v>
      </c>
      <c r="H2209" s="2" t="s">
        <v>8011</v>
      </c>
      <c r="I2209" s="2" t="s">
        <v>4604</v>
      </c>
      <c r="J2209" s="2" t="s">
        <v>430</v>
      </c>
      <c r="K2209" s="13" t="s">
        <v>13177</v>
      </c>
      <c r="L2209" s="7"/>
    </row>
    <row r="2210" spans="1:12" ht="55.2" hidden="1" x14ac:dyDescent="0.3">
      <c r="A2210" s="2" t="s">
        <v>4604</v>
      </c>
      <c r="B2210" s="2" t="s">
        <v>8012</v>
      </c>
      <c r="C2210" s="3">
        <v>27159</v>
      </c>
      <c r="D2210" s="1" t="s">
        <v>8013</v>
      </c>
      <c r="E2210" s="1" t="s">
        <v>8014</v>
      </c>
      <c r="F2210" s="2" t="s">
        <v>6430</v>
      </c>
      <c r="G2210" s="2" t="s">
        <v>333</v>
      </c>
      <c r="H2210" s="2" t="s">
        <v>8015</v>
      </c>
      <c r="I2210" s="2" t="s">
        <v>4604</v>
      </c>
      <c r="J2210" s="2" t="s">
        <v>335</v>
      </c>
      <c r="K2210" s="13" t="s">
        <v>13177</v>
      </c>
      <c r="L2210" s="7"/>
    </row>
    <row r="2211" spans="1:12" ht="55.2" hidden="1" x14ac:dyDescent="0.3">
      <c r="A2211" s="2" t="s">
        <v>4604</v>
      </c>
      <c r="B2211" s="2" t="s">
        <v>8016</v>
      </c>
      <c r="C2211" s="3">
        <v>17281</v>
      </c>
      <c r="D2211" s="1" t="s">
        <v>8017</v>
      </c>
      <c r="E2211" s="1" t="s">
        <v>8018</v>
      </c>
      <c r="F2211" s="2" t="s">
        <v>6430</v>
      </c>
      <c r="G2211" s="2" t="s">
        <v>397</v>
      </c>
      <c r="H2211" s="2" t="s">
        <v>8019</v>
      </c>
      <c r="I2211" s="2" t="s">
        <v>4604</v>
      </c>
      <c r="J2211" s="2" t="s">
        <v>553</v>
      </c>
      <c r="K2211" s="13" t="s">
        <v>13177</v>
      </c>
      <c r="L2211" s="7"/>
    </row>
    <row r="2212" spans="1:12" ht="55.2" hidden="1" x14ac:dyDescent="0.3">
      <c r="A2212" s="2" t="s">
        <v>4604</v>
      </c>
      <c r="B2212" s="2" t="s">
        <v>8020</v>
      </c>
      <c r="C2212" s="3">
        <v>34475</v>
      </c>
      <c r="D2212" s="1" t="s">
        <v>8021</v>
      </c>
      <c r="E2212" s="1" t="s">
        <v>8022</v>
      </c>
      <c r="F2212" s="2" t="s">
        <v>5668</v>
      </c>
      <c r="G2212" s="2" t="s">
        <v>1222</v>
      </c>
      <c r="H2212" s="2" t="s">
        <v>8023</v>
      </c>
      <c r="I2212" s="2" t="s">
        <v>4604</v>
      </c>
      <c r="J2212" s="2" t="s">
        <v>4315</v>
      </c>
      <c r="K2212" s="13" t="s">
        <v>13177</v>
      </c>
      <c r="L2212" s="7"/>
    </row>
    <row r="2213" spans="1:12" ht="55.2" hidden="1" x14ac:dyDescent="0.3">
      <c r="A2213" s="2" t="s">
        <v>4604</v>
      </c>
      <c r="B2213" s="2" t="s">
        <v>8024</v>
      </c>
      <c r="C2213" s="3">
        <v>26305</v>
      </c>
      <c r="D2213" s="1" t="s">
        <v>8025</v>
      </c>
      <c r="E2213" s="1" t="s">
        <v>8026</v>
      </c>
      <c r="F2213" s="2" t="s">
        <v>6430</v>
      </c>
      <c r="G2213" s="2" t="s">
        <v>278</v>
      </c>
      <c r="H2213" s="2" t="s">
        <v>8027</v>
      </c>
      <c r="I2213" s="2" t="s">
        <v>4604</v>
      </c>
      <c r="J2213" s="2" t="s">
        <v>113</v>
      </c>
      <c r="K2213" s="13" t="s">
        <v>13177</v>
      </c>
      <c r="L2213" s="7"/>
    </row>
    <row r="2214" spans="1:12" ht="55.2" hidden="1" x14ac:dyDescent="0.3">
      <c r="A2214" s="2" t="s">
        <v>4604</v>
      </c>
      <c r="B2214" s="2" t="s">
        <v>8028</v>
      </c>
      <c r="C2214" s="3">
        <v>29033</v>
      </c>
      <c r="D2214" s="1" t="s">
        <v>8029</v>
      </c>
      <c r="E2214" s="1" t="s">
        <v>8030</v>
      </c>
      <c r="F2214" s="2" t="s">
        <v>7998</v>
      </c>
      <c r="G2214" s="2" t="s">
        <v>643</v>
      </c>
      <c r="H2214" s="2" t="s">
        <v>8031</v>
      </c>
      <c r="I2214" s="2" t="s">
        <v>4604</v>
      </c>
      <c r="J2214" s="2" t="s">
        <v>5823</v>
      </c>
      <c r="K2214" s="13" t="s">
        <v>13177</v>
      </c>
      <c r="L2214" s="7"/>
    </row>
    <row r="2215" spans="1:12" ht="55.2" hidden="1" x14ac:dyDescent="0.3">
      <c r="A2215" s="2" t="s">
        <v>4604</v>
      </c>
      <c r="B2215" s="2" t="s">
        <v>8032</v>
      </c>
      <c r="C2215" s="3">
        <v>27039</v>
      </c>
      <c r="D2215" s="1" t="s">
        <v>8033</v>
      </c>
      <c r="E2215" s="1" t="s">
        <v>8034</v>
      </c>
      <c r="F2215" s="2" t="s">
        <v>7998</v>
      </c>
      <c r="G2215" s="2" t="s">
        <v>669</v>
      </c>
      <c r="H2215" s="2" t="s">
        <v>8035</v>
      </c>
      <c r="I2215" s="2" t="s">
        <v>4604</v>
      </c>
      <c r="J2215" s="2" t="s">
        <v>1888</v>
      </c>
      <c r="K2215" s="13" t="s">
        <v>13177</v>
      </c>
      <c r="L2215" s="7"/>
    </row>
    <row r="2216" spans="1:12" ht="27.6" hidden="1" x14ac:dyDescent="0.3">
      <c r="A2216" s="2" t="s">
        <v>4386</v>
      </c>
      <c r="B2216" s="2" t="s">
        <v>8036</v>
      </c>
      <c r="C2216" s="3">
        <v>24309</v>
      </c>
      <c r="D2216" s="1" t="s">
        <v>8037</v>
      </c>
      <c r="E2216" s="1" t="s">
        <v>8038</v>
      </c>
      <c r="F2216" s="2" t="s">
        <v>7088</v>
      </c>
      <c r="G2216" s="2" t="s">
        <v>124</v>
      </c>
      <c r="H2216" s="2" t="s">
        <v>10</v>
      </c>
      <c r="I2216" s="2" t="s">
        <v>4386</v>
      </c>
      <c r="J2216" s="2" t="s">
        <v>173</v>
      </c>
      <c r="K2216" s="13" t="s">
        <v>13177</v>
      </c>
      <c r="L2216" s="7"/>
    </row>
    <row r="2217" spans="1:12" ht="27.6" hidden="1" x14ac:dyDescent="0.3">
      <c r="A2217" s="2" t="s">
        <v>4386</v>
      </c>
      <c r="B2217" s="2" t="s">
        <v>8039</v>
      </c>
      <c r="C2217" s="3">
        <v>33991</v>
      </c>
      <c r="D2217" s="1" t="s">
        <v>8040</v>
      </c>
      <c r="E2217" s="1" t="s">
        <v>8041</v>
      </c>
      <c r="F2217" s="2" t="s">
        <v>7088</v>
      </c>
      <c r="G2217" s="2" t="s">
        <v>152</v>
      </c>
      <c r="H2217" s="2" t="s">
        <v>10</v>
      </c>
      <c r="I2217" s="2" t="s">
        <v>4386</v>
      </c>
      <c r="J2217" s="2" t="s">
        <v>153</v>
      </c>
      <c r="K2217" s="13" t="s">
        <v>13177</v>
      </c>
      <c r="L2217" s="7"/>
    </row>
    <row r="2218" spans="1:12" ht="27.6" hidden="1" x14ac:dyDescent="0.3">
      <c r="A2218" s="2" t="s">
        <v>4386</v>
      </c>
      <c r="B2218" s="2" t="s">
        <v>8042</v>
      </c>
      <c r="C2218" s="3">
        <v>34834</v>
      </c>
      <c r="D2218" s="1" t="s">
        <v>8043</v>
      </c>
      <c r="E2218" s="1" t="s">
        <v>8044</v>
      </c>
      <c r="F2218" s="2" t="s">
        <v>7088</v>
      </c>
      <c r="G2218" s="2" t="s">
        <v>511</v>
      </c>
      <c r="H2218" s="2" t="s">
        <v>10</v>
      </c>
      <c r="I2218" s="2" t="s">
        <v>4386</v>
      </c>
      <c r="J2218" s="2" t="s">
        <v>8045</v>
      </c>
      <c r="K2218" s="13" t="s">
        <v>13177</v>
      </c>
      <c r="L2218" s="7"/>
    </row>
    <row r="2219" spans="1:12" ht="27.6" hidden="1" x14ac:dyDescent="0.3">
      <c r="A2219" s="2" t="s">
        <v>4386</v>
      </c>
      <c r="B2219" s="2" t="s">
        <v>8046</v>
      </c>
      <c r="C2219" s="3">
        <v>37234</v>
      </c>
      <c r="D2219" s="1" t="s">
        <v>8047</v>
      </c>
      <c r="E2219" s="1" t="s">
        <v>8048</v>
      </c>
      <c r="F2219" s="2" t="s">
        <v>7088</v>
      </c>
      <c r="G2219" s="2" t="s">
        <v>196</v>
      </c>
      <c r="H2219" s="2" t="s">
        <v>10</v>
      </c>
      <c r="I2219" s="2" t="s">
        <v>4386</v>
      </c>
      <c r="J2219" s="2" t="s">
        <v>197</v>
      </c>
      <c r="K2219" s="13" t="s">
        <v>13177</v>
      </c>
      <c r="L2219" s="7"/>
    </row>
    <row r="2220" spans="1:12" ht="27.6" hidden="1" x14ac:dyDescent="0.3">
      <c r="A2220" s="2" t="s">
        <v>4386</v>
      </c>
      <c r="B2220" s="2" t="s">
        <v>1162</v>
      </c>
      <c r="C2220" s="3">
        <v>34032</v>
      </c>
      <c r="D2220" s="1" t="s">
        <v>1163</v>
      </c>
      <c r="E2220" s="1" t="s">
        <v>1164</v>
      </c>
      <c r="F2220" s="2" t="s">
        <v>7088</v>
      </c>
      <c r="G2220" s="2" t="s">
        <v>157</v>
      </c>
      <c r="H2220" s="2" t="s">
        <v>10</v>
      </c>
      <c r="I2220" s="2" t="s">
        <v>4386</v>
      </c>
      <c r="J2220" s="2" t="s">
        <v>158</v>
      </c>
      <c r="K2220" s="13" t="s">
        <v>13177</v>
      </c>
      <c r="L2220" s="7"/>
    </row>
    <row r="2221" spans="1:12" ht="27.6" hidden="1" x14ac:dyDescent="0.3">
      <c r="A2221" s="2" t="s">
        <v>60</v>
      </c>
      <c r="B2221" s="2" t="s">
        <v>8049</v>
      </c>
      <c r="C2221" s="3">
        <v>29980</v>
      </c>
      <c r="D2221" s="1" t="s">
        <v>8050</v>
      </c>
      <c r="E2221" s="1" t="s">
        <v>8051</v>
      </c>
      <c r="F2221" s="2" t="s">
        <v>60</v>
      </c>
      <c r="G2221" s="2" t="s">
        <v>2910</v>
      </c>
      <c r="H2221" s="2" t="s">
        <v>822</v>
      </c>
      <c r="I2221" s="2" t="s">
        <v>60</v>
      </c>
      <c r="J2221" s="2" t="s">
        <v>6416</v>
      </c>
      <c r="K2221" s="13" t="s">
        <v>13177</v>
      </c>
      <c r="L2221" s="7"/>
    </row>
    <row r="2222" spans="1:12" ht="27.6" hidden="1" x14ac:dyDescent="0.3">
      <c r="A2222" s="2" t="s">
        <v>60</v>
      </c>
      <c r="B2222" s="2" t="s">
        <v>8052</v>
      </c>
      <c r="C2222" s="3">
        <v>24380</v>
      </c>
      <c r="D2222" s="1" t="s">
        <v>8053</v>
      </c>
      <c r="E2222" s="1" t="s">
        <v>8054</v>
      </c>
      <c r="F2222" s="2" t="s">
        <v>257</v>
      </c>
      <c r="G2222" s="2" t="s">
        <v>604</v>
      </c>
      <c r="H2222" s="2" t="s">
        <v>10</v>
      </c>
      <c r="I2222" s="2" t="s">
        <v>60</v>
      </c>
      <c r="J2222" s="2" t="s">
        <v>605</v>
      </c>
      <c r="K2222" s="13" t="s">
        <v>13177</v>
      </c>
      <c r="L2222" s="7"/>
    </row>
    <row r="2223" spans="1:12" ht="27.6" hidden="1" x14ac:dyDescent="0.3">
      <c r="A2223" s="2" t="s">
        <v>60</v>
      </c>
      <c r="B2223" s="2" t="s">
        <v>8055</v>
      </c>
      <c r="C2223" s="3">
        <v>30799</v>
      </c>
      <c r="D2223" s="1" t="s">
        <v>8056</v>
      </c>
      <c r="E2223" s="1" t="s">
        <v>8057</v>
      </c>
      <c r="F2223" s="2" t="s">
        <v>60</v>
      </c>
      <c r="G2223" s="2" t="s">
        <v>64</v>
      </c>
      <c r="H2223" s="2" t="s">
        <v>8058</v>
      </c>
      <c r="I2223" s="2" t="s">
        <v>60</v>
      </c>
      <c r="J2223" s="2" t="s">
        <v>2854</v>
      </c>
      <c r="K2223" s="13" t="s">
        <v>13177</v>
      </c>
      <c r="L2223" s="7"/>
    </row>
    <row r="2224" spans="1:12" ht="27.6" hidden="1" x14ac:dyDescent="0.3">
      <c r="A2224" s="2" t="s">
        <v>60</v>
      </c>
      <c r="B2224" s="2" t="s">
        <v>8059</v>
      </c>
      <c r="C2224" s="3">
        <v>33310</v>
      </c>
      <c r="D2224" s="1" t="s">
        <v>8060</v>
      </c>
      <c r="E2224" s="1" t="s">
        <v>8061</v>
      </c>
      <c r="F2224" s="2" t="s">
        <v>2146</v>
      </c>
      <c r="G2224" s="2" t="s">
        <v>124</v>
      </c>
      <c r="H2224" s="2" t="s">
        <v>10</v>
      </c>
      <c r="I2224" s="2" t="s">
        <v>60</v>
      </c>
      <c r="J2224" s="2" t="s">
        <v>173</v>
      </c>
      <c r="K2224" s="13" t="s">
        <v>13177</v>
      </c>
      <c r="L2224" s="7"/>
    </row>
    <row r="2225" spans="1:12" ht="55.2" hidden="1" x14ac:dyDescent="0.3">
      <c r="A2225" s="2" t="s">
        <v>4604</v>
      </c>
      <c r="B2225" s="2" t="s">
        <v>8062</v>
      </c>
      <c r="C2225" s="3">
        <v>35173</v>
      </c>
      <c r="D2225" s="1" t="s">
        <v>8063</v>
      </c>
      <c r="E2225" s="1" t="s">
        <v>8064</v>
      </c>
      <c r="F2225" s="2" t="s">
        <v>4608</v>
      </c>
      <c r="G2225" s="2" t="s">
        <v>380</v>
      </c>
      <c r="H2225" s="2" t="s">
        <v>8065</v>
      </c>
      <c r="I2225" s="2" t="s">
        <v>4604</v>
      </c>
      <c r="J2225" s="2" t="s">
        <v>8066</v>
      </c>
      <c r="K2225" s="13" t="s">
        <v>13177</v>
      </c>
      <c r="L2225" s="7"/>
    </row>
    <row r="2226" spans="1:12" ht="55.2" hidden="1" x14ac:dyDescent="0.3">
      <c r="A2226" s="2" t="s">
        <v>4604</v>
      </c>
      <c r="B2226" s="2" t="s">
        <v>8067</v>
      </c>
      <c r="C2226" s="3">
        <v>36410</v>
      </c>
      <c r="D2226" s="1" t="s">
        <v>8068</v>
      </c>
      <c r="E2226" s="1" t="s">
        <v>8069</v>
      </c>
      <c r="F2226" s="2" t="s">
        <v>4608</v>
      </c>
      <c r="G2226" s="2" t="s">
        <v>366</v>
      </c>
      <c r="H2226" s="2" t="s">
        <v>8070</v>
      </c>
      <c r="I2226" s="2" t="s">
        <v>4604</v>
      </c>
      <c r="J2226" s="2" t="s">
        <v>5167</v>
      </c>
      <c r="K2226" s="13" t="s">
        <v>13177</v>
      </c>
      <c r="L2226" s="7"/>
    </row>
    <row r="2227" spans="1:12" ht="55.2" hidden="1" x14ac:dyDescent="0.3">
      <c r="A2227" s="2" t="s">
        <v>4604</v>
      </c>
      <c r="B2227" s="2" t="s">
        <v>8071</v>
      </c>
      <c r="C2227" s="3">
        <v>25224</v>
      </c>
      <c r="D2227" s="1" t="s">
        <v>8072</v>
      </c>
      <c r="E2227" s="1" t="s">
        <v>8073</v>
      </c>
      <c r="F2227" s="2" t="s">
        <v>5989</v>
      </c>
      <c r="G2227" s="2" t="s">
        <v>143</v>
      </c>
      <c r="H2227" s="2" t="s">
        <v>7552</v>
      </c>
      <c r="I2227" s="2" t="s">
        <v>4604</v>
      </c>
      <c r="J2227" s="2" t="s">
        <v>8074</v>
      </c>
      <c r="K2227" s="13" t="s">
        <v>13177</v>
      </c>
      <c r="L2227" s="7"/>
    </row>
    <row r="2228" spans="1:12" ht="55.2" hidden="1" x14ac:dyDescent="0.3">
      <c r="A2228" s="2" t="s">
        <v>4604</v>
      </c>
      <c r="B2228" s="2" t="s">
        <v>8075</v>
      </c>
      <c r="C2228" s="3">
        <v>32900</v>
      </c>
      <c r="D2228" s="1" t="s">
        <v>8076</v>
      </c>
      <c r="E2228" s="1" t="s">
        <v>8077</v>
      </c>
      <c r="F2228" s="2" t="s">
        <v>4608</v>
      </c>
      <c r="G2228" s="2" t="s">
        <v>217</v>
      </c>
      <c r="H2228" s="2" t="s">
        <v>8078</v>
      </c>
      <c r="I2228" s="2" t="s">
        <v>4604</v>
      </c>
      <c r="J2228" s="2" t="s">
        <v>5384</v>
      </c>
      <c r="K2228" s="13" t="s">
        <v>13177</v>
      </c>
      <c r="L2228" s="7"/>
    </row>
    <row r="2229" spans="1:12" ht="55.2" hidden="1" x14ac:dyDescent="0.3">
      <c r="A2229" s="2" t="s">
        <v>4604</v>
      </c>
      <c r="B2229" s="2" t="s">
        <v>8079</v>
      </c>
      <c r="C2229" s="3">
        <v>28986</v>
      </c>
      <c r="D2229" s="1" t="s">
        <v>8080</v>
      </c>
      <c r="E2229" s="1" t="s">
        <v>8081</v>
      </c>
      <c r="F2229" s="2" t="s">
        <v>4608</v>
      </c>
      <c r="G2229" s="2" t="s">
        <v>288</v>
      </c>
      <c r="H2229" s="2" t="s">
        <v>1324</v>
      </c>
      <c r="I2229" s="2" t="s">
        <v>4604</v>
      </c>
      <c r="J2229" s="2" t="s">
        <v>8082</v>
      </c>
      <c r="K2229" s="13" t="s">
        <v>13177</v>
      </c>
      <c r="L2229" s="7"/>
    </row>
    <row r="2230" spans="1:12" ht="55.2" hidden="1" x14ac:dyDescent="0.3">
      <c r="A2230" s="2" t="s">
        <v>4604</v>
      </c>
      <c r="B2230" s="2" t="s">
        <v>8083</v>
      </c>
      <c r="C2230" s="3">
        <v>27913</v>
      </c>
      <c r="D2230" s="1" t="s">
        <v>8084</v>
      </c>
      <c r="E2230" s="1" t="s">
        <v>8085</v>
      </c>
      <c r="F2230" s="2" t="s">
        <v>4608</v>
      </c>
      <c r="G2230" s="2" t="s">
        <v>511</v>
      </c>
      <c r="H2230" s="2" t="s">
        <v>8086</v>
      </c>
      <c r="I2230" s="2" t="s">
        <v>4604</v>
      </c>
      <c r="J2230" s="2" t="s">
        <v>5547</v>
      </c>
      <c r="K2230" s="13" t="s">
        <v>13177</v>
      </c>
      <c r="L2230" s="7"/>
    </row>
    <row r="2231" spans="1:12" ht="27.6" hidden="1" x14ac:dyDescent="0.3">
      <c r="A2231" s="2" t="s">
        <v>4386</v>
      </c>
      <c r="B2231" s="2" t="s">
        <v>8087</v>
      </c>
      <c r="C2231" s="3">
        <v>23629</v>
      </c>
      <c r="D2231" s="1" t="s">
        <v>8088</v>
      </c>
      <c r="E2231" s="1" t="s">
        <v>8089</v>
      </c>
      <c r="F2231" s="2" t="s">
        <v>4390</v>
      </c>
      <c r="G2231" s="2" t="s">
        <v>5832</v>
      </c>
      <c r="H2231" s="2" t="s">
        <v>10</v>
      </c>
      <c r="I2231" s="2" t="s">
        <v>4386</v>
      </c>
      <c r="J2231" s="2" t="s">
        <v>8090</v>
      </c>
      <c r="K2231" s="13" t="s">
        <v>13177</v>
      </c>
      <c r="L2231" s="7"/>
    </row>
    <row r="2232" spans="1:12" ht="27.6" hidden="1" x14ac:dyDescent="0.3">
      <c r="A2232" s="2" t="s">
        <v>4386</v>
      </c>
      <c r="B2232" s="2" t="s">
        <v>8091</v>
      </c>
      <c r="C2232" s="3">
        <v>36239</v>
      </c>
      <c r="D2232" s="1" t="s">
        <v>8092</v>
      </c>
      <c r="E2232" s="1" t="s">
        <v>8093</v>
      </c>
      <c r="F2232" s="2" t="s">
        <v>4396</v>
      </c>
      <c r="G2232" s="2" t="s">
        <v>7068</v>
      </c>
      <c r="H2232" s="2" t="s">
        <v>81</v>
      </c>
      <c r="I2232" s="2" t="s">
        <v>4386</v>
      </c>
      <c r="J2232" s="2" t="s">
        <v>8094</v>
      </c>
      <c r="K2232" s="13" t="s">
        <v>13177</v>
      </c>
      <c r="L2232" s="7"/>
    </row>
    <row r="2233" spans="1:12" ht="27.6" hidden="1" x14ac:dyDescent="0.3">
      <c r="A2233" s="2" t="s">
        <v>4386</v>
      </c>
      <c r="B2233" s="2" t="s">
        <v>8095</v>
      </c>
      <c r="C2233" s="3">
        <v>29487</v>
      </c>
      <c r="D2233" s="1" t="s">
        <v>8096</v>
      </c>
      <c r="E2233" s="1" t="s">
        <v>8097</v>
      </c>
      <c r="F2233" s="2" t="s">
        <v>5231</v>
      </c>
      <c r="G2233" s="2" t="s">
        <v>8098</v>
      </c>
      <c r="H2233" s="2" t="s">
        <v>10</v>
      </c>
      <c r="I2233" s="2" t="s">
        <v>4386</v>
      </c>
      <c r="J2233" s="2" t="s">
        <v>8099</v>
      </c>
      <c r="K2233" s="13" t="s">
        <v>13177</v>
      </c>
      <c r="L2233" s="7"/>
    </row>
    <row r="2234" spans="1:12" ht="27.6" hidden="1" x14ac:dyDescent="0.3">
      <c r="A2234" s="2" t="s">
        <v>4386</v>
      </c>
      <c r="B2234" s="2" t="s">
        <v>8100</v>
      </c>
      <c r="C2234" s="3">
        <v>37820</v>
      </c>
      <c r="D2234" s="1" t="s">
        <v>8101</v>
      </c>
      <c r="E2234" s="1" t="s">
        <v>8102</v>
      </c>
      <c r="F2234" s="2" t="s">
        <v>5053</v>
      </c>
      <c r="G2234" s="2" t="s">
        <v>283</v>
      </c>
      <c r="H2234" s="2" t="s">
        <v>10</v>
      </c>
      <c r="I2234" s="2" t="s">
        <v>4386</v>
      </c>
      <c r="J2234" s="2" t="s">
        <v>284</v>
      </c>
      <c r="K2234" s="13" t="s">
        <v>13177</v>
      </c>
      <c r="L2234" s="7"/>
    </row>
    <row r="2235" spans="1:12" ht="27.6" hidden="1" x14ac:dyDescent="0.3">
      <c r="A2235" s="2" t="s">
        <v>4386</v>
      </c>
      <c r="B2235" s="2" t="s">
        <v>8103</v>
      </c>
      <c r="C2235" s="3">
        <v>30441</v>
      </c>
      <c r="D2235" s="1" t="s">
        <v>8104</v>
      </c>
      <c r="E2235" s="1" t="s">
        <v>8105</v>
      </c>
      <c r="F2235" s="2" t="s">
        <v>7319</v>
      </c>
      <c r="G2235" s="2" t="s">
        <v>75</v>
      </c>
      <c r="H2235" s="2" t="s">
        <v>10</v>
      </c>
      <c r="I2235" s="2" t="s">
        <v>4386</v>
      </c>
      <c r="J2235" s="2" t="s">
        <v>8106</v>
      </c>
      <c r="K2235" s="23"/>
      <c r="L2235" s="24"/>
    </row>
    <row r="2236" spans="1:12" hidden="1" x14ac:dyDescent="0.3">
      <c r="A2236" s="2" t="s">
        <v>4139</v>
      </c>
      <c r="B2236" s="2" t="s">
        <v>8107</v>
      </c>
      <c r="C2236" s="3">
        <v>34381</v>
      </c>
      <c r="D2236" s="1" t="s">
        <v>8108</v>
      </c>
      <c r="E2236" s="1" t="s">
        <v>8109</v>
      </c>
      <c r="F2236" s="2" t="s">
        <v>4143</v>
      </c>
      <c r="G2236" s="2" t="s">
        <v>8110</v>
      </c>
      <c r="H2236" s="2" t="s">
        <v>103</v>
      </c>
      <c r="I2236" s="2" t="s">
        <v>4139</v>
      </c>
      <c r="J2236" s="2" t="s">
        <v>8111</v>
      </c>
      <c r="K2236" s="14"/>
      <c r="L2236" s="6"/>
    </row>
    <row r="2237" spans="1:12" ht="27.6" hidden="1" x14ac:dyDescent="0.3">
      <c r="A2237" s="2" t="s">
        <v>4139</v>
      </c>
      <c r="B2237" s="2" t="s">
        <v>8112</v>
      </c>
      <c r="C2237" s="3">
        <v>39445</v>
      </c>
      <c r="D2237" s="1" t="s">
        <v>907</v>
      </c>
      <c r="E2237" s="1" t="s">
        <v>8113</v>
      </c>
      <c r="F2237" s="2" t="s">
        <v>4143</v>
      </c>
      <c r="G2237" s="2" t="s">
        <v>8110</v>
      </c>
      <c r="H2237" s="2" t="s">
        <v>5143</v>
      </c>
      <c r="I2237" s="2" t="s">
        <v>4139</v>
      </c>
      <c r="J2237" s="2" t="s">
        <v>8111</v>
      </c>
      <c r="K2237" s="14"/>
      <c r="L2237" s="6"/>
    </row>
    <row r="2238" spans="1:12" hidden="1" x14ac:dyDescent="0.3">
      <c r="A2238" s="2" t="s">
        <v>4139</v>
      </c>
      <c r="B2238" s="2" t="s">
        <v>8114</v>
      </c>
      <c r="C2238" s="3">
        <v>23725</v>
      </c>
      <c r="D2238" s="1" t="s">
        <v>8115</v>
      </c>
      <c r="E2238" s="1" t="s">
        <v>8116</v>
      </c>
      <c r="F2238" s="2" t="s">
        <v>4143</v>
      </c>
      <c r="G2238" s="2" t="s">
        <v>8110</v>
      </c>
      <c r="H2238" s="2" t="s">
        <v>822</v>
      </c>
      <c r="I2238" s="2" t="s">
        <v>4139</v>
      </c>
      <c r="J2238" s="2" t="s">
        <v>8111</v>
      </c>
      <c r="K2238" s="14"/>
      <c r="L2238" s="6"/>
    </row>
    <row r="2239" spans="1:12" hidden="1" x14ac:dyDescent="0.3">
      <c r="A2239" s="2" t="s">
        <v>4139</v>
      </c>
      <c r="B2239" s="2" t="s">
        <v>8117</v>
      </c>
      <c r="C2239" s="3">
        <v>23725</v>
      </c>
      <c r="D2239" s="1" t="s">
        <v>8115</v>
      </c>
      <c r="E2239" s="1" t="s">
        <v>8116</v>
      </c>
      <c r="F2239" s="2" t="s">
        <v>4143</v>
      </c>
      <c r="G2239" s="2" t="s">
        <v>8110</v>
      </c>
      <c r="H2239" s="2" t="s">
        <v>3065</v>
      </c>
      <c r="I2239" s="2" t="s">
        <v>4139</v>
      </c>
      <c r="J2239" s="2" t="s">
        <v>8111</v>
      </c>
      <c r="K2239" s="14"/>
      <c r="L2239" s="6"/>
    </row>
    <row r="2240" spans="1:12" ht="27.6" hidden="1" x14ac:dyDescent="0.3">
      <c r="A2240" s="2" t="s">
        <v>4139</v>
      </c>
      <c r="B2240" s="2" t="s">
        <v>8118</v>
      </c>
      <c r="C2240" s="3">
        <v>23725</v>
      </c>
      <c r="D2240" s="1" t="s">
        <v>8115</v>
      </c>
      <c r="E2240" s="1" t="s">
        <v>8116</v>
      </c>
      <c r="F2240" s="2" t="s">
        <v>4143</v>
      </c>
      <c r="G2240" s="2" t="s">
        <v>8110</v>
      </c>
      <c r="H2240" s="2" t="s">
        <v>8119</v>
      </c>
      <c r="I2240" s="2" t="s">
        <v>4139</v>
      </c>
      <c r="J2240" s="2" t="s">
        <v>8111</v>
      </c>
      <c r="K2240" s="14"/>
      <c r="L2240" s="6"/>
    </row>
    <row r="2241" spans="1:12" ht="27.6" hidden="1" x14ac:dyDescent="0.3">
      <c r="A2241" s="2" t="s">
        <v>4386</v>
      </c>
      <c r="B2241" s="2" t="s">
        <v>8120</v>
      </c>
      <c r="C2241" s="3">
        <v>33317</v>
      </c>
      <c r="D2241" s="1" t="s">
        <v>8121</v>
      </c>
      <c r="E2241" s="1" t="s">
        <v>8122</v>
      </c>
      <c r="F2241" s="2" t="s">
        <v>4396</v>
      </c>
      <c r="G2241" s="2" t="s">
        <v>8123</v>
      </c>
      <c r="H2241" s="2" t="s">
        <v>81</v>
      </c>
      <c r="I2241" s="2" t="s">
        <v>4386</v>
      </c>
      <c r="J2241" s="2" t="s">
        <v>8124</v>
      </c>
      <c r="K2241" s="20" t="s">
        <v>13177</v>
      </c>
      <c r="L2241" s="12"/>
    </row>
    <row r="2242" spans="1:12" ht="27.6" hidden="1" x14ac:dyDescent="0.3">
      <c r="A2242" s="2" t="s">
        <v>4386</v>
      </c>
      <c r="B2242" s="2" t="s">
        <v>8125</v>
      </c>
      <c r="C2242" s="3">
        <v>29531</v>
      </c>
      <c r="D2242" s="1" t="s">
        <v>8126</v>
      </c>
      <c r="E2242" s="1" t="s">
        <v>8127</v>
      </c>
      <c r="F2242" s="2" t="s">
        <v>4396</v>
      </c>
      <c r="G2242" s="2" t="s">
        <v>8128</v>
      </c>
      <c r="H2242" s="2" t="s">
        <v>10</v>
      </c>
      <c r="I2242" s="2" t="s">
        <v>4386</v>
      </c>
      <c r="J2242" s="2" t="s">
        <v>8129</v>
      </c>
      <c r="K2242" s="13" t="s">
        <v>13177</v>
      </c>
      <c r="L2242" s="7"/>
    </row>
    <row r="2243" spans="1:12" ht="27.6" hidden="1" x14ac:dyDescent="0.3">
      <c r="A2243" s="2" t="s">
        <v>4386</v>
      </c>
      <c r="B2243" s="2" t="s">
        <v>8130</v>
      </c>
      <c r="C2243" s="3">
        <v>27550</v>
      </c>
      <c r="D2243" s="1" t="s">
        <v>8131</v>
      </c>
      <c r="E2243" s="1" t="s">
        <v>8132</v>
      </c>
      <c r="F2243" s="2" t="s">
        <v>4396</v>
      </c>
      <c r="G2243" s="2" t="s">
        <v>4526</v>
      </c>
      <c r="H2243" s="2" t="s">
        <v>8133</v>
      </c>
      <c r="I2243" s="2" t="s">
        <v>4386</v>
      </c>
      <c r="J2243" s="2" t="s">
        <v>6907</v>
      </c>
      <c r="K2243" s="13" t="s">
        <v>13177</v>
      </c>
      <c r="L2243" s="7"/>
    </row>
    <row r="2244" spans="1:12" ht="27.6" hidden="1" x14ac:dyDescent="0.3">
      <c r="A2244" s="2" t="s">
        <v>4386</v>
      </c>
      <c r="B2244" s="2" t="s">
        <v>8134</v>
      </c>
      <c r="C2244" s="3">
        <v>36599</v>
      </c>
      <c r="D2244" s="1" t="s">
        <v>8135</v>
      </c>
      <c r="E2244" s="1" t="s">
        <v>8136</v>
      </c>
      <c r="F2244" s="2" t="s">
        <v>5049</v>
      </c>
      <c r="G2244" s="2" t="s">
        <v>112</v>
      </c>
      <c r="H2244" s="2" t="s">
        <v>562</v>
      </c>
      <c r="I2244" s="2" t="s">
        <v>4386</v>
      </c>
      <c r="J2244" s="2" t="s">
        <v>315</v>
      </c>
      <c r="K2244" s="13" t="s">
        <v>13177</v>
      </c>
      <c r="L2244" s="7"/>
    </row>
    <row r="2245" spans="1:12" ht="27.6" hidden="1" x14ac:dyDescent="0.3">
      <c r="A2245" s="2" t="s">
        <v>4386</v>
      </c>
      <c r="B2245" s="2" t="s">
        <v>8137</v>
      </c>
      <c r="C2245" s="3">
        <v>32844</v>
      </c>
      <c r="D2245" s="1" t="s">
        <v>8138</v>
      </c>
      <c r="E2245" s="1" t="s">
        <v>8139</v>
      </c>
      <c r="F2245" s="2" t="s">
        <v>5049</v>
      </c>
      <c r="G2245" s="2" t="s">
        <v>604</v>
      </c>
      <c r="H2245" s="2" t="s">
        <v>10</v>
      </c>
      <c r="I2245" s="2" t="s">
        <v>4386</v>
      </c>
      <c r="J2245" s="2" t="s">
        <v>605</v>
      </c>
      <c r="K2245" s="13" t="s">
        <v>13177</v>
      </c>
      <c r="L2245" s="7"/>
    </row>
    <row r="2246" spans="1:12" ht="27.6" hidden="1" x14ac:dyDescent="0.3">
      <c r="A2246" s="2" t="s">
        <v>4386</v>
      </c>
      <c r="B2246" s="2" t="s">
        <v>8140</v>
      </c>
      <c r="C2246" s="3">
        <v>28769</v>
      </c>
      <c r="D2246" s="1" t="s">
        <v>8141</v>
      </c>
      <c r="E2246" s="1" t="s">
        <v>8142</v>
      </c>
      <c r="F2246" s="2" t="s">
        <v>5231</v>
      </c>
      <c r="G2246" s="2" t="s">
        <v>6785</v>
      </c>
      <c r="H2246" s="2" t="s">
        <v>81</v>
      </c>
      <c r="I2246" s="2" t="s">
        <v>4386</v>
      </c>
      <c r="J2246" s="2" t="s">
        <v>8143</v>
      </c>
      <c r="K2246" s="13" t="s">
        <v>13177</v>
      </c>
      <c r="L2246" s="7"/>
    </row>
    <row r="2247" spans="1:12" ht="27.6" hidden="1" x14ac:dyDescent="0.3">
      <c r="A2247" s="2" t="s">
        <v>4386</v>
      </c>
      <c r="B2247" s="2" t="s">
        <v>8144</v>
      </c>
      <c r="C2247" s="3">
        <v>32275</v>
      </c>
      <c r="D2247" s="1" t="s">
        <v>8145</v>
      </c>
      <c r="E2247" s="1" t="s">
        <v>8146</v>
      </c>
      <c r="F2247" s="2" t="s">
        <v>5049</v>
      </c>
      <c r="G2247" s="2" t="s">
        <v>112</v>
      </c>
      <c r="H2247" s="2" t="s">
        <v>81</v>
      </c>
      <c r="I2247" s="2" t="s">
        <v>4386</v>
      </c>
      <c r="J2247" s="2" t="s">
        <v>315</v>
      </c>
      <c r="K2247" s="13" t="s">
        <v>13177</v>
      </c>
      <c r="L2247" s="7"/>
    </row>
    <row r="2248" spans="1:12" ht="55.2" hidden="1" x14ac:dyDescent="0.3">
      <c r="A2248" s="2" t="s">
        <v>4604</v>
      </c>
      <c r="B2248" s="2" t="s">
        <v>8147</v>
      </c>
      <c r="C2248" s="3">
        <v>27005</v>
      </c>
      <c r="D2248" s="1" t="s">
        <v>5715</v>
      </c>
      <c r="E2248" s="1" t="s">
        <v>8148</v>
      </c>
      <c r="F2248" s="2" t="s">
        <v>6385</v>
      </c>
      <c r="G2248" s="2" t="s">
        <v>604</v>
      </c>
      <c r="H2248" s="2" t="s">
        <v>8149</v>
      </c>
      <c r="I2248" s="2" t="s">
        <v>4604</v>
      </c>
      <c r="J2248" s="2" t="s">
        <v>4903</v>
      </c>
      <c r="K2248" s="13" t="s">
        <v>13177</v>
      </c>
      <c r="L2248" s="7"/>
    </row>
    <row r="2249" spans="1:12" ht="55.2" hidden="1" x14ac:dyDescent="0.3">
      <c r="A2249" s="2" t="s">
        <v>4604</v>
      </c>
      <c r="B2249" s="2" t="s">
        <v>8150</v>
      </c>
      <c r="C2249" s="3">
        <v>30675</v>
      </c>
      <c r="D2249" s="1" t="s">
        <v>8151</v>
      </c>
      <c r="E2249" s="1" t="s">
        <v>8152</v>
      </c>
      <c r="F2249" s="2" t="s">
        <v>6385</v>
      </c>
      <c r="G2249" s="2" t="s">
        <v>1763</v>
      </c>
      <c r="H2249" s="2" t="s">
        <v>8153</v>
      </c>
      <c r="I2249" s="2" t="s">
        <v>4604</v>
      </c>
      <c r="J2249" s="2" t="s">
        <v>4972</v>
      </c>
      <c r="K2249" s="13" t="s">
        <v>13177</v>
      </c>
      <c r="L2249" s="7"/>
    </row>
    <row r="2250" spans="1:12" ht="27.6" hidden="1" x14ac:dyDescent="0.3">
      <c r="A2250" s="2" t="s">
        <v>4386</v>
      </c>
      <c r="B2250" s="2" t="s">
        <v>8154</v>
      </c>
      <c r="C2250" s="3">
        <v>26216</v>
      </c>
      <c r="D2250" s="1" t="s">
        <v>8155</v>
      </c>
      <c r="E2250" s="1" t="s">
        <v>8156</v>
      </c>
      <c r="F2250" s="2" t="s">
        <v>5053</v>
      </c>
      <c r="G2250" s="2" t="s">
        <v>852</v>
      </c>
      <c r="H2250" s="2" t="s">
        <v>10</v>
      </c>
      <c r="I2250" s="2" t="s">
        <v>4386</v>
      </c>
      <c r="J2250" s="2" t="s">
        <v>650</v>
      </c>
      <c r="K2250" s="13" t="s">
        <v>13177</v>
      </c>
      <c r="L2250" s="7"/>
    </row>
    <row r="2251" spans="1:12" ht="27.6" hidden="1" x14ac:dyDescent="0.3">
      <c r="A2251" s="2" t="s">
        <v>11</v>
      </c>
      <c r="B2251" s="2" t="s">
        <v>8157</v>
      </c>
      <c r="C2251" s="3">
        <v>30420</v>
      </c>
      <c r="D2251" s="1" t="s">
        <v>8158</v>
      </c>
      <c r="E2251" s="1" t="s">
        <v>8159</v>
      </c>
      <c r="F2251" s="2" t="s">
        <v>16</v>
      </c>
      <c r="G2251" s="2" t="s">
        <v>8160</v>
      </c>
      <c r="H2251" s="2" t="s">
        <v>10</v>
      </c>
      <c r="I2251" s="2" t="s">
        <v>11</v>
      </c>
      <c r="J2251" s="2" t="s">
        <v>8161</v>
      </c>
      <c r="K2251" s="13" t="s">
        <v>13177</v>
      </c>
      <c r="L2251" s="7"/>
    </row>
    <row r="2252" spans="1:12" ht="27.6" hidden="1" x14ac:dyDescent="0.3">
      <c r="A2252" s="2" t="s">
        <v>11</v>
      </c>
      <c r="B2252" s="2" t="s">
        <v>8162</v>
      </c>
      <c r="C2252" s="3">
        <v>30420</v>
      </c>
      <c r="D2252" s="1" t="s">
        <v>8158</v>
      </c>
      <c r="E2252" s="1" t="s">
        <v>8159</v>
      </c>
      <c r="F2252" s="2" t="s">
        <v>557</v>
      </c>
      <c r="G2252" s="2" t="s">
        <v>86</v>
      </c>
      <c r="H2252" s="2" t="s">
        <v>10</v>
      </c>
      <c r="I2252" s="2" t="s">
        <v>11</v>
      </c>
      <c r="J2252" s="2" t="s">
        <v>87</v>
      </c>
      <c r="K2252" s="13" t="s">
        <v>13177</v>
      </c>
      <c r="L2252" s="7"/>
    </row>
    <row r="2253" spans="1:12" ht="27.6" hidden="1" x14ac:dyDescent="0.3">
      <c r="A2253" s="2" t="s">
        <v>11</v>
      </c>
      <c r="B2253" s="2" t="s">
        <v>8162</v>
      </c>
      <c r="C2253" s="3">
        <v>30420</v>
      </c>
      <c r="D2253" s="1" t="s">
        <v>8158</v>
      </c>
      <c r="E2253" s="1" t="s">
        <v>8159</v>
      </c>
      <c r="F2253" s="2" t="s">
        <v>557</v>
      </c>
      <c r="G2253" s="2" t="s">
        <v>492</v>
      </c>
      <c r="H2253" s="2" t="s">
        <v>10</v>
      </c>
      <c r="I2253" s="2" t="s">
        <v>11</v>
      </c>
      <c r="J2253" s="2" t="s">
        <v>619</v>
      </c>
      <c r="K2253" s="13" t="s">
        <v>13177</v>
      </c>
      <c r="L2253" s="7"/>
    </row>
    <row r="2254" spans="1:12" ht="27.6" hidden="1" x14ac:dyDescent="0.3">
      <c r="A2254" s="2" t="s">
        <v>4386</v>
      </c>
      <c r="B2254" s="2" t="s">
        <v>8137</v>
      </c>
      <c r="C2254" s="3">
        <v>32844</v>
      </c>
      <c r="D2254" s="1" t="s">
        <v>8138</v>
      </c>
      <c r="E2254" s="1" t="s">
        <v>8139</v>
      </c>
      <c r="F2254" s="2" t="s">
        <v>5049</v>
      </c>
      <c r="G2254" s="2" t="s">
        <v>112</v>
      </c>
      <c r="H2254" s="2" t="s">
        <v>103</v>
      </c>
      <c r="I2254" s="2" t="s">
        <v>4386</v>
      </c>
      <c r="J2254" s="2" t="s">
        <v>315</v>
      </c>
      <c r="K2254" s="13" t="s">
        <v>13177</v>
      </c>
      <c r="L2254" s="7"/>
    </row>
    <row r="2255" spans="1:12" ht="27.6" hidden="1" x14ac:dyDescent="0.3">
      <c r="A2255" s="2" t="s">
        <v>4386</v>
      </c>
      <c r="B2255" s="2" t="s">
        <v>8163</v>
      </c>
      <c r="C2255" s="3">
        <v>36696</v>
      </c>
      <c r="D2255" s="1" t="s">
        <v>8164</v>
      </c>
      <c r="E2255" s="1" t="s">
        <v>8165</v>
      </c>
      <c r="F2255" s="2" t="s">
        <v>5049</v>
      </c>
      <c r="G2255" s="2" t="s">
        <v>206</v>
      </c>
      <c r="H2255" s="2" t="s">
        <v>4646</v>
      </c>
      <c r="I2255" s="2" t="s">
        <v>4386</v>
      </c>
      <c r="J2255" s="2" t="s">
        <v>207</v>
      </c>
      <c r="K2255" s="13" t="s">
        <v>13177</v>
      </c>
      <c r="L2255" s="7"/>
    </row>
    <row r="2256" spans="1:12" ht="27.6" hidden="1" x14ac:dyDescent="0.3">
      <c r="A2256" s="2" t="s">
        <v>4386</v>
      </c>
      <c r="B2256" s="2" t="s">
        <v>8166</v>
      </c>
      <c r="C2256" s="3">
        <v>37171</v>
      </c>
      <c r="D2256" s="1" t="s">
        <v>8167</v>
      </c>
      <c r="E2256" s="1" t="s">
        <v>8168</v>
      </c>
      <c r="F2256" s="2" t="s">
        <v>5049</v>
      </c>
      <c r="G2256" s="2" t="s">
        <v>288</v>
      </c>
      <c r="H2256" s="2" t="s">
        <v>10</v>
      </c>
      <c r="I2256" s="2" t="s">
        <v>4386</v>
      </c>
      <c r="J2256" s="2" t="s">
        <v>8169</v>
      </c>
      <c r="K2256" s="13" t="s">
        <v>13177</v>
      </c>
      <c r="L2256" s="7"/>
    </row>
    <row r="2257" spans="1:12" ht="27.6" hidden="1" x14ac:dyDescent="0.3">
      <c r="A2257" s="2" t="s">
        <v>4386</v>
      </c>
      <c r="B2257" s="2" t="s">
        <v>8170</v>
      </c>
      <c r="C2257" s="3">
        <v>29650</v>
      </c>
      <c r="D2257" s="1" t="s">
        <v>8171</v>
      </c>
      <c r="E2257" s="1" t="s">
        <v>8172</v>
      </c>
      <c r="F2257" s="2" t="s">
        <v>5231</v>
      </c>
      <c r="G2257" s="2" t="s">
        <v>8173</v>
      </c>
      <c r="H2257" s="2" t="s">
        <v>10</v>
      </c>
      <c r="I2257" s="2" t="s">
        <v>4386</v>
      </c>
      <c r="J2257" s="2" t="s">
        <v>8174</v>
      </c>
      <c r="K2257" s="13" t="s">
        <v>13177</v>
      </c>
      <c r="L2257" s="7"/>
    </row>
    <row r="2258" spans="1:12" ht="27.6" hidden="1" x14ac:dyDescent="0.3">
      <c r="A2258" s="2" t="s">
        <v>60</v>
      </c>
      <c r="B2258" s="2" t="s">
        <v>8175</v>
      </c>
      <c r="C2258" s="3">
        <v>38032</v>
      </c>
      <c r="D2258" s="1" t="s">
        <v>8176</v>
      </c>
      <c r="E2258" s="1" t="s">
        <v>8177</v>
      </c>
      <c r="F2258" s="2" t="s">
        <v>2103</v>
      </c>
      <c r="G2258" s="2" t="s">
        <v>196</v>
      </c>
      <c r="H2258" s="2" t="s">
        <v>10</v>
      </c>
      <c r="I2258" s="2" t="s">
        <v>60</v>
      </c>
      <c r="J2258" s="2" t="s">
        <v>197</v>
      </c>
      <c r="K2258" s="13" t="s">
        <v>13177</v>
      </c>
      <c r="L2258" s="7"/>
    </row>
    <row r="2259" spans="1:12" ht="27.6" hidden="1" x14ac:dyDescent="0.3">
      <c r="A2259" s="2" t="s">
        <v>4386</v>
      </c>
      <c r="B2259" s="2" t="s">
        <v>8178</v>
      </c>
      <c r="C2259" s="3">
        <v>26266</v>
      </c>
      <c r="D2259" s="1" t="s">
        <v>8179</v>
      </c>
      <c r="E2259" s="1" t="s">
        <v>8180</v>
      </c>
      <c r="F2259" s="2" t="s">
        <v>6950</v>
      </c>
      <c r="G2259" s="2" t="s">
        <v>75</v>
      </c>
      <c r="H2259" s="2" t="s">
        <v>10</v>
      </c>
      <c r="I2259" s="2" t="s">
        <v>4386</v>
      </c>
      <c r="J2259" s="2" t="s">
        <v>320</v>
      </c>
      <c r="K2259" s="30" t="s">
        <v>13193</v>
      </c>
      <c r="L2259" s="6" t="s">
        <v>13194</v>
      </c>
    </row>
    <row r="2260" spans="1:12" ht="27.6" hidden="1" x14ac:dyDescent="0.3">
      <c r="A2260" s="2" t="s">
        <v>4386</v>
      </c>
      <c r="B2260" s="2" t="s">
        <v>8181</v>
      </c>
      <c r="C2260" s="3">
        <v>25622</v>
      </c>
      <c r="D2260" s="1" t="s">
        <v>8182</v>
      </c>
      <c r="E2260" s="1" t="s">
        <v>8183</v>
      </c>
      <c r="F2260" s="2" t="s">
        <v>8184</v>
      </c>
      <c r="G2260" s="2" t="s">
        <v>492</v>
      </c>
      <c r="H2260" s="2" t="s">
        <v>7863</v>
      </c>
      <c r="I2260" s="2" t="s">
        <v>4386</v>
      </c>
      <c r="J2260" s="2" t="s">
        <v>619</v>
      </c>
      <c r="K2260" s="13" t="s">
        <v>13177</v>
      </c>
      <c r="L2260" s="7"/>
    </row>
    <row r="2261" spans="1:12" ht="27.6" hidden="1" x14ac:dyDescent="0.3">
      <c r="A2261" s="2" t="s">
        <v>4386</v>
      </c>
      <c r="B2261" s="2" t="s">
        <v>8185</v>
      </c>
      <c r="C2261" s="3">
        <v>36317</v>
      </c>
      <c r="D2261" s="1" t="s">
        <v>8186</v>
      </c>
      <c r="E2261" s="1" t="s">
        <v>8187</v>
      </c>
      <c r="F2261" s="2" t="s">
        <v>8184</v>
      </c>
      <c r="G2261" s="2" t="s">
        <v>492</v>
      </c>
      <c r="H2261" s="2" t="s">
        <v>7261</v>
      </c>
      <c r="I2261" s="2" t="s">
        <v>4386</v>
      </c>
      <c r="J2261" s="2" t="s">
        <v>619</v>
      </c>
      <c r="K2261" s="13" t="s">
        <v>13177</v>
      </c>
      <c r="L2261" s="7"/>
    </row>
    <row r="2262" spans="1:12" ht="27.6" hidden="1" x14ac:dyDescent="0.3">
      <c r="A2262" s="2" t="s">
        <v>4386</v>
      </c>
      <c r="B2262" s="2" t="s">
        <v>8188</v>
      </c>
      <c r="C2262" s="3">
        <v>33482</v>
      </c>
      <c r="D2262" s="1" t="s">
        <v>8189</v>
      </c>
      <c r="E2262" s="1" t="s">
        <v>8190</v>
      </c>
      <c r="F2262" s="2" t="s">
        <v>8184</v>
      </c>
      <c r="G2262" s="2" t="s">
        <v>196</v>
      </c>
      <c r="H2262" s="2" t="s">
        <v>10</v>
      </c>
      <c r="I2262" s="2" t="s">
        <v>4386</v>
      </c>
      <c r="J2262" s="2" t="s">
        <v>197</v>
      </c>
      <c r="K2262" s="13" t="s">
        <v>13177</v>
      </c>
      <c r="L2262" s="7"/>
    </row>
    <row r="2263" spans="1:12" ht="27.6" hidden="1" x14ac:dyDescent="0.3">
      <c r="A2263" s="2" t="s">
        <v>4386</v>
      </c>
      <c r="B2263" s="2" t="s">
        <v>8191</v>
      </c>
      <c r="C2263" s="3">
        <v>32566</v>
      </c>
      <c r="D2263" s="1" t="s">
        <v>8192</v>
      </c>
      <c r="E2263" s="1" t="s">
        <v>8193</v>
      </c>
      <c r="F2263" s="2" t="s">
        <v>7088</v>
      </c>
      <c r="G2263" s="2" t="s">
        <v>157</v>
      </c>
      <c r="H2263" s="2" t="s">
        <v>81</v>
      </c>
      <c r="I2263" s="2" t="s">
        <v>4386</v>
      </c>
      <c r="J2263" s="2" t="s">
        <v>158</v>
      </c>
      <c r="K2263" s="13" t="s">
        <v>13177</v>
      </c>
      <c r="L2263" s="7"/>
    </row>
    <row r="2264" spans="1:12" ht="27.6" hidden="1" x14ac:dyDescent="0.3">
      <c r="A2264" s="2" t="s">
        <v>4386</v>
      </c>
      <c r="B2264" s="2" t="s">
        <v>8194</v>
      </c>
      <c r="C2264" s="3">
        <v>33472</v>
      </c>
      <c r="D2264" s="1" t="s">
        <v>8195</v>
      </c>
      <c r="E2264" s="1" t="s">
        <v>8196</v>
      </c>
      <c r="F2264" s="2" t="s">
        <v>8184</v>
      </c>
      <c r="G2264" s="2" t="s">
        <v>25</v>
      </c>
      <c r="H2264" s="2" t="s">
        <v>10</v>
      </c>
      <c r="I2264" s="2" t="s">
        <v>4386</v>
      </c>
      <c r="J2264" s="2" t="s">
        <v>8197</v>
      </c>
      <c r="K2264" s="13" t="s">
        <v>13177</v>
      </c>
      <c r="L2264" s="7"/>
    </row>
    <row r="2265" spans="1:12" ht="27.6" hidden="1" x14ac:dyDescent="0.3">
      <c r="A2265" s="2" t="s">
        <v>4386</v>
      </c>
      <c r="B2265" s="2" t="s">
        <v>7755</v>
      </c>
      <c r="C2265" s="3">
        <v>32047</v>
      </c>
      <c r="D2265" s="1" t="s">
        <v>8198</v>
      </c>
      <c r="E2265" s="1" t="s">
        <v>7757</v>
      </c>
      <c r="F2265" s="2" t="s">
        <v>8184</v>
      </c>
      <c r="G2265" s="2" t="s">
        <v>152</v>
      </c>
      <c r="H2265" s="2" t="s">
        <v>10</v>
      </c>
      <c r="I2265" s="2" t="s">
        <v>4386</v>
      </c>
      <c r="J2265" s="2" t="s">
        <v>153</v>
      </c>
      <c r="K2265" s="13" t="s">
        <v>13177</v>
      </c>
      <c r="L2265" s="7"/>
    </row>
    <row r="2266" spans="1:12" ht="27.6" hidden="1" x14ac:dyDescent="0.3">
      <c r="A2266" s="2" t="s">
        <v>4386</v>
      </c>
      <c r="B2266" s="2" t="s">
        <v>8199</v>
      </c>
      <c r="C2266" s="3">
        <v>36766</v>
      </c>
      <c r="D2266" s="1" t="s">
        <v>8200</v>
      </c>
      <c r="E2266" s="1" t="s">
        <v>8201</v>
      </c>
      <c r="F2266" s="2" t="s">
        <v>5053</v>
      </c>
      <c r="G2266" s="2" t="s">
        <v>3668</v>
      </c>
      <c r="H2266" s="2" t="s">
        <v>81</v>
      </c>
      <c r="I2266" s="2" t="s">
        <v>4386</v>
      </c>
      <c r="J2266" s="2" t="s">
        <v>8202</v>
      </c>
      <c r="K2266" s="13" t="s">
        <v>13177</v>
      </c>
      <c r="L2266" s="7"/>
    </row>
    <row r="2267" spans="1:12" ht="27.6" hidden="1" x14ac:dyDescent="0.3">
      <c r="A2267" s="2" t="s">
        <v>4386</v>
      </c>
      <c r="B2267" s="2" t="s">
        <v>8203</v>
      </c>
      <c r="C2267" s="3">
        <v>32073</v>
      </c>
      <c r="D2267" s="1" t="s">
        <v>8204</v>
      </c>
      <c r="E2267" s="1" t="s">
        <v>8205</v>
      </c>
      <c r="F2267" s="2" t="s">
        <v>7095</v>
      </c>
      <c r="G2267" s="2" t="s">
        <v>8206</v>
      </c>
      <c r="H2267" s="2" t="s">
        <v>10</v>
      </c>
      <c r="I2267" s="2" t="s">
        <v>4386</v>
      </c>
      <c r="J2267" s="2" t="s">
        <v>8207</v>
      </c>
      <c r="K2267" s="13" t="s">
        <v>13177</v>
      </c>
      <c r="L2267" s="7"/>
    </row>
    <row r="2268" spans="1:12" ht="27.6" hidden="1" x14ac:dyDescent="0.3">
      <c r="A2268" s="2" t="s">
        <v>4386</v>
      </c>
      <c r="B2268" s="2" t="s">
        <v>8208</v>
      </c>
      <c r="C2268" s="3">
        <v>33358</v>
      </c>
      <c r="D2268" s="1" t="s">
        <v>8209</v>
      </c>
      <c r="E2268" s="1" t="s">
        <v>8210</v>
      </c>
      <c r="F2268" s="2" t="s">
        <v>7088</v>
      </c>
      <c r="G2268" s="2" t="s">
        <v>37</v>
      </c>
      <c r="H2268" s="2" t="s">
        <v>8058</v>
      </c>
      <c r="I2268" s="2" t="s">
        <v>4386</v>
      </c>
      <c r="J2268" s="2" t="s">
        <v>8211</v>
      </c>
      <c r="K2268" s="13" t="s">
        <v>13177</v>
      </c>
      <c r="L2268" s="7"/>
    </row>
    <row r="2269" spans="1:12" ht="27.6" hidden="1" x14ac:dyDescent="0.3">
      <c r="A2269" s="2" t="s">
        <v>4386</v>
      </c>
      <c r="B2269" s="2" t="s">
        <v>8212</v>
      </c>
      <c r="C2269" s="3">
        <v>27394</v>
      </c>
      <c r="D2269" s="1" t="s">
        <v>8213</v>
      </c>
      <c r="E2269" s="1" t="s">
        <v>8214</v>
      </c>
      <c r="F2269" s="2" t="s">
        <v>7088</v>
      </c>
      <c r="G2269" s="2" t="s">
        <v>37</v>
      </c>
      <c r="H2269" s="2" t="s">
        <v>5034</v>
      </c>
      <c r="I2269" s="2" t="s">
        <v>4386</v>
      </c>
      <c r="J2269" s="2" t="s">
        <v>8211</v>
      </c>
      <c r="K2269" s="13" t="s">
        <v>13177</v>
      </c>
      <c r="L2269" s="7"/>
    </row>
    <row r="2270" spans="1:12" ht="27.6" hidden="1" x14ac:dyDescent="0.3">
      <c r="A2270" s="2" t="s">
        <v>4386</v>
      </c>
      <c r="B2270" s="2" t="s">
        <v>8215</v>
      </c>
      <c r="C2270" s="3">
        <v>29012</v>
      </c>
      <c r="D2270" s="1" t="s">
        <v>8216</v>
      </c>
      <c r="E2270" s="1" t="s">
        <v>8217</v>
      </c>
      <c r="F2270" s="2" t="s">
        <v>5053</v>
      </c>
      <c r="G2270" s="2" t="s">
        <v>3668</v>
      </c>
      <c r="H2270" s="2" t="s">
        <v>103</v>
      </c>
      <c r="I2270" s="2" t="s">
        <v>4386</v>
      </c>
      <c r="J2270" s="2" t="s">
        <v>8202</v>
      </c>
      <c r="K2270" s="16" t="s">
        <v>13177</v>
      </c>
      <c r="L2270" s="17"/>
    </row>
    <row r="2271" spans="1:12" hidden="1" x14ac:dyDescent="0.3">
      <c r="A2271" s="2" t="s">
        <v>4139</v>
      </c>
      <c r="B2271" s="2" t="s">
        <v>8218</v>
      </c>
      <c r="C2271" s="3">
        <v>34475</v>
      </c>
      <c r="D2271" s="1" t="s">
        <v>8219</v>
      </c>
      <c r="E2271" s="1" t="s">
        <v>8220</v>
      </c>
      <c r="F2271" s="2" t="s">
        <v>4143</v>
      </c>
      <c r="G2271" s="2" t="s">
        <v>7690</v>
      </c>
      <c r="H2271" s="2" t="s">
        <v>81</v>
      </c>
      <c r="I2271" s="2" t="s">
        <v>4139</v>
      </c>
      <c r="J2271" s="2" t="s">
        <v>7691</v>
      </c>
      <c r="K2271" s="14"/>
      <c r="L2271" s="6"/>
    </row>
    <row r="2272" spans="1:12" hidden="1" x14ac:dyDescent="0.3">
      <c r="A2272" s="2" t="s">
        <v>4139</v>
      </c>
      <c r="B2272" s="2" t="s">
        <v>8221</v>
      </c>
      <c r="C2272" s="3">
        <v>40493</v>
      </c>
      <c r="D2272" s="1" t="s">
        <v>8222</v>
      </c>
      <c r="E2272" s="1" t="s">
        <v>8223</v>
      </c>
      <c r="F2272" s="2" t="s">
        <v>4143</v>
      </c>
      <c r="G2272" s="2" t="s">
        <v>8224</v>
      </c>
      <c r="H2272" s="2" t="s">
        <v>10</v>
      </c>
      <c r="I2272" s="2" t="s">
        <v>4139</v>
      </c>
      <c r="J2272" s="2" t="s">
        <v>8225</v>
      </c>
      <c r="K2272" s="14"/>
      <c r="L2272" s="6"/>
    </row>
    <row r="2273" spans="1:12" hidden="1" x14ac:dyDescent="0.3">
      <c r="A2273" s="2" t="s">
        <v>4139</v>
      </c>
      <c r="B2273" s="2" t="s">
        <v>8117</v>
      </c>
      <c r="C2273" s="3">
        <v>23725</v>
      </c>
      <c r="D2273" s="1" t="s">
        <v>8115</v>
      </c>
      <c r="E2273" s="1" t="s">
        <v>8116</v>
      </c>
      <c r="F2273" s="2" t="s">
        <v>4143</v>
      </c>
      <c r="G2273" s="2" t="s">
        <v>8110</v>
      </c>
      <c r="H2273" s="2" t="s">
        <v>4650</v>
      </c>
      <c r="I2273" s="2" t="s">
        <v>4139</v>
      </c>
      <c r="J2273" s="2" t="s">
        <v>8111</v>
      </c>
      <c r="K2273" s="14"/>
      <c r="L2273" s="6"/>
    </row>
    <row r="2274" spans="1:12" hidden="1" x14ac:dyDescent="0.3">
      <c r="A2274" s="2" t="s">
        <v>4139</v>
      </c>
      <c r="B2274" s="2" t="s">
        <v>8117</v>
      </c>
      <c r="C2274" s="3">
        <v>23725</v>
      </c>
      <c r="D2274" s="1" t="s">
        <v>8115</v>
      </c>
      <c r="E2274" s="1" t="s">
        <v>8116</v>
      </c>
      <c r="F2274" s="2" t="s">
        <v>4143</v>
      </c>
      <c r="G2274" s="2" t="s">
        <v>8110</v>
      </c>
      <c r="H2274" s="2" t="s">
        <v>5845</v>
      </c>
      <c r="I2274" s="2" t="s">
        <v>4139</v>
      </c>
      <c r="J2274" s="2" t="s">
        <v>8111</v>
      </c>
      <c r="K2274" s="14"/>
      <c r="L2274" s="6"/>
    </row>
    <row r="2275" spans="1:12" hidden="1" x14ac:dyDescent="0.3">
      <c r="A2275" s="2" t="s">
        <v>4139</v>
      </c>
      <c r="B2275" s="2" t="s">
        <v>8226</v>
      </c>
      <c r="C2275" s="3">
        <v>21938</v>
      </c>
      <c r="D2275" s="1" t="s">
        <v>4907</v>
      </c>
      <c r="E2275" s="1" t="s">
        <v>8227</v>
      </c>
      <c r="F2275" s="2" t="s">
        <v>4143</v>
      </c>
      <c r="G2275" s="2" t="s">
        <v>8228</v>
      </c>
      <c r="H2275" s="2" t="s">
        <v>10</v>
      </c>
      <c r="I2275" s="2" t="s">
        <v>4139</v>
      </c>
      <c r="J2275" s="2" t="s">
        <v>8229</v>
      </c>
      <c r="K2275" s="14"/>
      <c r="L2275" s="6"/>
    </row>
    <row r="2276" spans="1:12" hidden="1" x14ac:dyDescent="0.3">
      <c r="A2276" s="2" t="s">
        <v>4139</v>
      </c>
      <c r="B2276" s="2" t="s">
        <v>8230</v>
      </c>
      <c r="C2276" s="3">
        <v>23163</v>
      </c>
      <c r="D2276" s="1" t="s">
        <v>8231</v>
      </c>
      <c r="E2276" s="1" t="s">
        <v>8232</v>
      </c>
      <c r="F2276" s="2" t="s">
        <v>4143</v>
      </c>
      <c r="G2276" s="2" t="s">
        <v>8233</v>
      </c>
      <c r="H2276" s="2" t="s">
        <v>103</v>
      </c>
      <c r="I2276" s="2" t="s">
        <v>4139</v>
      </c>
      <c r="J2276" s="2" t="s">
        <v>8234</v>
      </c>
      <c r="K2276" s="14"/>
      <c r="L2276" s="6"/>
    </row>
    <row r="2277" spans="1:12" hidden="1" x14ac:dyDescent="0.3">
      <c r="A2277" s="2" t="s">
        <v>4139</v>
      </c>
      <c r="B2277" s="2" t="s">
        <v>8235</v>
      </c>
      <c r="C2277" s="3">
        <v>26976</v>
      </c>
      <c r="D2277" s="1" t="s">
        <v>8236</v>
      </c>
      <c r="E2277" s="1" t="s">
        <v>8237</v>
      </c>
      <c r="F2277" s="2" t="s">
        <v>4143</v>
      </c>
      <c r="G2277" s="2" t="s">
        <v>7403</v>
      </c>
      <c r="H2277" s="2" t="s">
        <v>103</v>
      </c>
      <c r="I2277" s="2" t="s">
        <v>4139</v>
      </c>
      <c r="J2277" s="2" t="s">
        <v>8238</v>
      </c>
      <c r="K2277" s="14"/>
      <c r="L2277" s="6"/>
    </row>
    <row r="2278" spans="1:12" ht="27.6" hidden="1" x14ac:dyDescent="0.3">
      <c r="A2278" s="2" t="s">
        <v>60</v>
      </c>
      <c r="B2278" s="2" t="s">
        <v>8239</v>
      </c>
      <c r="C2278" s="3">
        <v>28727</v>
      </c>
      <c r="D2278" s="1" t="s">
        <v>8240</v>
      </c>
      <c r="E2278" s="1" t="s">
        <v>8241</v>
      </c>
      <c r="F2278" s="2" t="s">
        <v>60</v>
      </c>
      <c r="G2278" s="2" t="s">
        <v>102</v>
      </c>
      <c r="H2278" s="2" t="s">
        <v>10</v>
      </c>
      <c r="I2278" s="2" t="s">
        <v>60</v>
      </c>
      <c r="J2278" s="2" t="s">
        <v>104</v>
      </c>
      <c r="K2278" s="21" t="s">
        <v>13177</v>
      </c>
      <c r="L2278" s="22"/>
    </row>
    <row r="2279" spans="1:12" hidden="1" x14ac:dyDescent="0.3">
      <c r="A2279" s="2" t="s">
        <v>4139</v>
      </c>
      <c r="B2279" s="2" t="s">
        <v>8242</v>
      </c>
      <c r="C2279" s="3">
        <v>20464</v>
      </c>
      <c r="D2279" s="1" t="s">
        <v>8243</v>
      </c>
      <c r="E2279" s="1" t="s">
        <v>8244</v>
      </c>
      <c r="F2279" s="2" t="s">
        <v>4143</v>
      </c>
      <c r="G2279" s="2" t="s">
        <v>8245</v>
      </c>
      <c r="H2279" s="2" t="s">
        <v>4409</v>
      </c>
      <c r="I2279" s="2" t="s">
        <v>4139</v>
      </c>
      <c r="J2279" s="2" t="s">
        <v>8246</v>
      </c>
      <c r="K2279" s="14"/>
      <c r="L2279" s="6"/>
    </row>
    <row r="2280" spans="1:12" hidden="1" x14ac:dyDescent="0.3">
      <c r="A2280" s="2" t="s">
        <v>4139</v>
      </c>
      <c r="B2280" s="2" t="s">
        <v>8247</v>
      </c>
      <c r="C2280" s="3">
        <v>38183</v>
      </c>
      <c r="D2280" s="1" t="s">
        <v>8248</v>
      </c>
      <c r="E2280" s="1" t="s">
        <v>8249</v>
      </c>
      <c r="F2280" s="2" t="s">
        <v>4143</v>
      </c>
      <c r="G2280" s="2" t="s">
        <v>8250</v>
      </c>
      <c r="H2280" s="2" t="s">
        <v>562</v>
      </c>
      <c r="I2280" s="2" t="s">
        <v>4139</v>
      </c>
      <c r="J2280" s="2" t="s">
        <v>8251</v>
      </c>
      <c r="K2280" s="14"/>
      <c r="L2280" s="6"/>
    </row>
    <row r="2281" spans="1:12" hidden="1" x14ac:dyDescent="0.3">
      <c r="A2281" s="2" t="s">
        <v>4139</v>
      </c>
      <c r="B2281" s="2" t="s">
        <v>8252</v>
      </c>
      <c r="C2281" s="3">
        <v>21338</v>
      </c>
      <c r="D2281" s="1" t="s">
        <v>8253</v>
      </c>
      <c r="E2281" s="1" t="s">
        <v>8254</v>
      </c>
      <c r="F2281" s="2" t="s">
        <v>4143</v>
      </c>
      <c r="G2281" s="2" t="s">
        <v>8250</v>
      </c>
      <c r="H2281" s="2" t="s">
        <v>103</v>
      </c>
      <c r="I2281" s="2" t="s">
        <v>4139</v>
      </c>
      <c r="J2281" s="2" t="s">
        <v>8251</v>
      </c>
      <c r="K2281" s="14"/>
      <c r="L2281" s="6"/>
    </row>
    <row r="2282" spans="1:12" ht="27.6" hidden="1" x14ac:dyDescent="0.3">
      <c r="A2282" s="2" t="s">
        <v>4386</v>
      </c>
      <c r="B2282" s="2" t="s">
        <v>8255</v>
      </c>
      <c r="C2282" s="3">
        <v>24901</v>
      </c>
      <c r="D2282" s="1" t="s">
        <v>8256</v>
      </c>
      <c r="E2282" s="1" t="s">
        <v>8257</v>
      </c>
      <c r="F2282" s="2" t="s">
        <v>5049</v>
      </c>
      <c r="G2282" s="2" t="s">
        <v>258</v>
      </c>
      <c r="H2282" s="2" t="s">
        <v>10</v>
      </c>
      <c r="I2282" s="2" t="s">
        <v>4386</v>
      </c>
      <c r="J2282" s="2" t="s">
        <v>259</v>
      </c>
      <c r="K2282" s="20" t="s">
        <v>13177</v>
      </c>
      <c r="L2282" s="12"/>
    </row>
    <row r="2283" spans="1:12" ht="55.2" hidden="1" x14ac:dyDescent="0.3">
      <c r="A2283" s="2" t="s">
        <v>4604</v>
      </c>
      <c r="B2283" s="2" t="s">
        <v>8258</v>
      </c>
      <c r="C2283" s="3">
        <v>32347</v>
      </c>
      <c r="D2283" s="1" t="s">
        <v>8259</v>
      </c>
      <c r="E2283" s="1" t="s">
        <v>8260</v>
      </c>
      <c r="F2283" s="2" t="s">
        <v>7998</v>
      </c>
      <c r="G2283" s="2" t="s">
        <v>25</v>
      </c>
      <c r="H2283" s="2" t="s">
        <v>8261</v>
      </c>
      <c r="I2283" s="2" t="s">
        <v>4604</v>
      </c>
      <c r="J2283" s="2" t="s">
        <v>27</v>
      </c>
      <c r="K2283" s="13" t="s">
        <v>13177</v>
      </c>
      <c r="L2283" s="7"/>
    </row>
    <row r="2284" spans="1:12" ht="55.2" hidden="1" x14ac:dyDescent="0.3">
      <c r="A2284" s="2" t="s">
        <v>4604</v>
      </c>
      <c r="B2284" s="2" t="s">
        <v>8262</v>
      </c>
      <c r="C2284" s="3">
        <v>21975</v>
      </c>
      <c r="D2284" s="1" t="s">
        <v>8263</v>
      </c>
      <c r="E2284" s="1" t="s">
        <v>8264</v>
      </c>
      <c r="F2284" s="2" t="s">
        <v>7998</v>
      </c>
      <c r="G2284" s="2" t="s">
        <v>245</v>
      </c>
      <c r="H2284" s="2" t="s">
        <v>8265</v>
      </c>
      <c r="I2284" s="2" t="s">
        <v>4604</v>
      </c>
      <c r="J2284" s="2" t="s">
        <v>5494</v>
      </c>
      <c r="K2284" s="13" t="s">
        <v>13177</v>
      </c>
      <c r="L2284" s="7"/>
    </row>
    <row r="2285" spans="1:12" ht="55.2" hidden="1" x14ac:dyDescent="0.3">
      <c r="A2285" s="2" t="s">
        <v>4604</v>
      </c>
      <c r="B2285" s="2" t="s">
        <v>8266</v>
      </c>
      <c r="C2285" s="3">
        <v>20681</v>
      </c>
      <c r="D2285" s="1" t="s">
        <v>8267</v>
      </c>
      <c r="E2285" s="1" t="s">
        <v>8268</v>
      </c>
      <c r="F2285" s="2" t="s">
        <v>5668</v>
      </c>
      <c r="G2285" s="2" t="s">
        <v>350</v>
      </c>
      <c r="H2285" s="2" t="s">
        <v>8269</v>
      </c>
      <c r="I2285" s="2" t="s">
        <v>4604</v>
      </c>
      <c r="J2285" s="2" t="s">
        <v>351</v>
      </c>
      <c r="K2285" s="13" t="s">
        <v>13177</v>
      </c>
      <c r="L2285" s="7"/>
    </row>
    <row r="2286" spans="1:12" ht="55.2" hidden="1" x14ac:dyDescent="0.3">
      <c r="A2286" s="2" t="s">
        <v>4604</v>
      </c>
      <c r="B2286" s="2" t="s">
        <v>8270</v>
      </c>
      <c r="C2286" s="3">
        <v>30695</v>
      </c>
      <c r="D2286" s="1" t="s">
        <v>8271</v>
      </c>
      <c r="E2286" s="1" t="s">
        <v>8272</v>
      </c>
      <c r="F2286" s="2" t="s">
        <v>5698</v>
      </c>
      <c r="G2286" s="2" t="s">
        <v>380</v>
      </c>
      <c r="H2286" s="2" t="s">
        <v>8273</v>
      </c>
      <c r="I2286" s="2" t="s">
        <v>4604</v>
      </c>
      <c r="J2286" s="2" t="s">
        <v>8274</v>
      </c>
      <c r="K2286" s="13" t="s">
        <v>13177</v>
      </c>
      <c r="L2286" s="7"/>
    </row>
    <row r="2287" spans="1:12" ht="55.2" hidden="1" x14ac:dyDescent="0.3">
      <c r="A2287" s="2" t="s">
        <v>4604</v>
      </c>
      <c r="B2287" s="2" t="s">
        <v>8275</v>
      </c>
      <c r="C2287" s="3">
        <v>38213</v>
      </c>
      <c r="D2287" s="1" t="s">
        <v>8276</v>
      </c>
      <c r="E2287" s="1" t="s">
        <v>8277</v>
      </c>
      <c r="F2287" s="2" t="s">
        <v>5698</v>
      </c>
      <c r="G2287" s="2" t="s">
        <v>31</v>
      </c>
      <c r="H2287" s="2" t="s">
        <v>8278</v>
      </c>
      <c r="I2287" s="2" t="s">
        <v>4604</v>
      </c>
      <c r="J2287" s="2" t="s">
        <v>558</v>
      </c>
      <c r="K2287" s="13" t="s">
        <v>13177</v>
      </c>
      <c r="L2287" s="7"/>
    </row>
    <row r="2288" spans="1:12" ht="55.2" hidden="1" x14ac:dyDescent="0.3">
      <c r="A2288" s="2" t="s">
        <v>4604</v>
      </c>
      <c r="B2288" s="2" t="s">
        <v>8279</v>
      </c>
      <c r="C2288" s="3">
        <v>23625</v>
      </c>
      <c r="D2288" s="1" t="s">
        <v>8280</v>
      </c>
      <c r="E2288" s="1" t="s">
        <v>8281</v>
      </c>
      <c r="F2288" s="2" t="s">
        <v>5698</v>
      </c>
      <c r="G2288" s="2" t="s">
        <v>385</v>
      </c>
      <c r="H2288" s="2" t="s">
        <v>8282</v>
      </c>
      <c r="I2288" s="2" t="s">
        <v>4604</v>
      </c>
      <c r="J2288" s="2" t="s">
        <v>975</v>
      </c>
      <c r="K2288" s="13" t="s">
        <v>13177</v>
      </c>
      <c r="L2288" s="7"/>
    </row>
    <row r="2289" spans="1:12" ht="55.2" hidden="1" x14ac:dyDescent="0.3">
      <c r="A2289" s="2" t="s">
        <v>4604</v>
      </c>
      <c r="B2289" s="2" t="s">
        <v>8283</v>
      </c>
      <c r="C2289" s="3">
        <v>36998</v>
      </c>
      <c r="D2289" s="1" t="s">
        <v>8284</v>
      </c>
      <c r="E2289" s="1" t="s">
        <v>8285</v>
      </c>
      <c r="F2289" s="2" t="s">
        <v>4698</v>
      </c>
      <c r="G2289" s="2" t="s">
        <v>288</v>
      </c>
      <c r="H2289" s="2" t="s">
        <v>10</v>
      </c>
      <c r="I2289" s="2" t="s">
        <v>4604</v>
      </c>
      <c r="J2289" s="2" t="s">
        <v>4962</v>
      </c>
      <c r="K2289" s="13" t="s">
        <v>13177</v>
      </c>
      <c r="L2289" s="7"/>
    </row>
    <row r="2290" spans="1:12" ht="55.2" hidden="1" x14ac:dyDescent="0.3">
      <c r="A2290" s="2" t="s">
        <v>4604</v>
      </c>
      <c r="B2290" s="2" t="s">
        <v>8286</v>
      </c>
      <c r="C2290" s="3">
        <v>30420</v>
      </c>
      <c r="D2290" s="1" t="s">
        <v>8158</v>
      </c>
      <c r="E2290" s="1" t="s">
        <v>8159</v>
      </c>
      <c r="F2290" s="2" t="s">
        <v>4698</v>
      </c>
      <c r="G2290" s="2" t="s">
        <v>1266</v>
      </c>
      <c r="H2290" s="2" t="s">
        <v>8287</v>
      </c>
      <c r="I2290" s="2" t="s">
        <v>4604</v>
      </c>
      <c r="J2290" s="2" t="s">
        <v>4871</v>
      </c>
      <c r="K2290" s="13" t="s">
        <v>13177</v>
      </c>
      <c r="L2290" s="7"/>
    </row>
    <row r="2291" spans="1:12" ht="55.2" hidden="1" x14ac:dyDescent="0.3">
      <c r="A2291" s="2" t="s">
        <v>4604</v>
      </c>
      <c r="B2291" s="2" t="s">
        <v>8288</v>
      </c>
      <c r="C2291" s="3">
        <v>33801</v>
      </c>
      <c r="D2291" s="1" t="s">
        <v>8289</v>
      </c>
      <c r="E2291" s="1" t="s">
        <v>8290</v>
      </c>
      <c r="F2291" s="2" t="s">
        <v>4698</v>
      </c>
      <c r="G2291" s="2" t="s">
        <v>1316</v>
      </c>
      <c r="H2291" s="2" t="s">
        <v>8291</v>
      </c>
      <c r="I2291" s="2" t="s">
        <v>4604</v>
      </c>
      <c r="J2291" s="2" t="s">
        <v>8292</v>
      </c>
      <c r="K2291" s="13" t="s">
        <v>13177</v>
      </c>
      <c r="L2291" s="7"/>
    </row>
    <row r="2292" spans="1:12" ht="55.2" hidden="1" x14ac:dyDescent="0.3">
      <c r="A2292" s="2" t="s">
        <v>4604</v>
      </c>
      <c r="B2292" s="2" t="s">
        <v>8293</v>
      </c>
      <c r="C2292" s="3">
        <v>22862</v>
      </c>
      <c r="D2292" s="1" t="s">
        <v>8294</v>
      </c>
      <c r="E2292" s="1" t="s">
        <v>8295</v>
      </c>
      <c r="F2292" s="2" t="s">
        <v>8296</v>
      </c>
      <c r="G2292" s="2" t="s">
        <v>319</v>
      </c>
      <c r="H2292" s="2" t="s">
        <v>8297</v>
      </c>
      <c r="I2292" s="2" t="s">
        <v>4604</v>
      </c>
      <c r="J2292" s="2" t="s">
        <v>2410</v>
      </c>
      <c r="K2292" s="13" t="s">
        <v>13177</v>
      </c>
      <c r="L2292" s="7"/>
    </row>
    <row r="2293" spans="1:12" ht="55.2" hidden="1" x14ac:dyDescent="0.3">
      <c r="A2293" s="2" t="s">
        <v>4604</v>
      </c>
      <c r="B2293" s="2" t="s">
        <v>8298</v>
      </c>
      <c r="C2293" s="3">
        <v>37653</v>
      </c>
      <c r="D2293" s="1" t="s">
        <v>8299</v>
      </c>
      <c r="E2293" s="1" t="s">
        <v>8300</v>
      </c>
      <c r="F2293" s="2" t="s">
        <v>8296</v>
      </c>
      <c r="G2293" s="2" t="s">
        <v>492</v>
      </c>
      <c r="H2293" s="2" t="s">
        <v>8301</v>
      </c>
      <c r="I2293" s="2" t="s">
        <v>4604</v>
      </c>
      <c r="J2293" s="2" t="s">
        <v>375</v>
      </c>
      <c r="K2293" s="13" t="s">
        <v>13177</v>
      </c>
      <c r="L2293" s="7"/>
    </row>
    <row r="2294" spans="1:12" ht="55.2" hidden="1" x14ac:dyDescent="0.3">
      <c r="A2294" s="2" t="s">
        <v>4604</v>
      </c>
      <c r="B2294" s="2" t="s">
        <v>8302</v>
      </c>
      <c r="C2294" s="3">
        <v>34030</v>
      </c>
      <c r="D2294" s="1" t="s">
        <v>8303</v>
      </c>
      <c r="E2294" s="1" t="s">
        <v>8304</v>
      </c>
      <c r="F2294" s="2" t="s">
        <v>8296</v>
      </c>
      <c r="G2294" s="2" t="s">
        <v>80</v>
      </c>
      <c r="H2294" s="2" t="s">
        <v>8305</v>
      </c>
      <c r="I2294" s="2" t="s">
        <v>4604</v>
      </c>
      <c r="J2294" s="2" t="s">
        <v>3265</v>
      </c>
      <c r="K2294" s="13" t="s">
        <v>13177</v>
      </c>
      <c r="L2294" s="7"/>
    </row>
    <row r="2295" spans="1:12" ht="55.2" hidden="1" x14ac:dyDescent="0.3">
      <c r="A2295" s="2" t="s">
        <v>4604</v>
      </c>
      <c r="B2295" s="2" t="s">
        <v>8306</v>
      </c>
      <c r="C2295" s="3">
        <v>28338</v>
      </c>
      <c r="D2295" s="1" t="s">
        <v>8307</v>
      </c>
      <c r="E2295" s="1" t="s">
        <v>8308</v>
      </c>
      <c r="F2295" s="2" t="s">
        <v>5698</v>
      </c>
      <c r="G2295" s="2" t="s">
        <v>206</v>
      </c>
      <c r="H2295" s="2" t="s">
        <v>8309</v>
      </c>
      <c r="I2295" s="2" t="s">
        <v>4604</v>
      </c>
      <c r="J2295" s="2" t="s">
        <v>434</v>
      </c>
      <c r="K2295" s="13" t="s">
        <v>13177</v>
      </c>
      <c r="L2295" s="7"/>
    </row>
    <row r="2296" spans="1:12" ht="55.2" hidden="1" x14ac:dyDescent="0.3">
      <c r="A2296" s="2" t="s">
        <v>4604</v>
      </c>
      <c r="B2296" s="2" t="s">
        <v>8302</v>
      </c>
      <c r="C2296" s="3">
        <v>34030</v>
      </c>
      <c r="D2296" s="1" t="s">
        <v>8303</v>
      </c>
      <c r="E2296" s="1" t="s">
        <v>8304</v>
      </c>
      <c r="F2296" s="2" t="s">
        <v>5698</v>
      </c>
      <c r="G2296" s="2" t="s">
        <v>206</v>
      </c>
      <c r="H2296" s="2" t="s">
        <v>8310</v>
      </c>
      <c r="I2296" s="2" t="s">
        <v>4604</v>
      </c>
      <c r="J2296" s="2" t="s">
        <v>434</v>
      </c>
      <c r="K2296" s="13" t="s">
        <v>13177</v>
      </c>
      <c r="L2296" s="7"/>
    </row>
    <row r="2297" spans="1:12" ht="55.2" hidden="1" x14ac:dyDescent="0.3">
      <c r="A2297" s="2" t="s">
        <v>4604</v>
      </c>
      <c r="B2297" s="2" t="s">
        <v>8311</v>
      </c>
      <c r="C2297" s="3">
        <v>25886</v>
      </c>
      <c r="D2297" s="1" t="s">
        <v>8312</v>
      </c>
      <c r="E2297" s="1" t="s">
        <v>8313</v>
      </c>
      <c r="F2297" s="2" t="s">
        <v>5698</v>
      </c>
      <c r="G2297" s="2" t="s">
        <v>157</v>
      </c>
      <c r="H2297" s="2" t="s">
        <v>8314</v>
      </c>
      <c r="I2297" s="2" t="s">
        <v>4604</v>
      </c>
      <c r="J2297" s="2" t="s">
        <v>119</v>
      </c>
      <c r="K2297" s="13" t="s">
        <v>13177</v>
      </c>
      <c r="L2297" s="7"/>
    </row>
    <row r="2298" spans="1:12" ht="55.2" hidden="1" x14ac:dyDescent="0.3">
      <c r="A2298" s="2" t="s">
        <v>4604</v>
      </c>
      <c r="B2298" s="2" t="s">
        <v>8315</v>
      </c>
      <c r="C2298" s="3">
        <v>29319</v>
      </c>
      <c r="D2298" s="1" t="s">
        <v>8316</v>
      </c>
      <c r="E2298" s="1" t="s">
        <v>8317</v>
      </c>
      <c r="F2298" s="2" t="s">
        <v>5698</v>
      </c>
      <c r="G2298" s="2" t="s">
        <v>124</v>
      </c>
      <c r="H2298" s="2" t="s">
        <v>8318</v>
      </c>
      <c r="I2298" s="2" t="s">
        <v>4604</v>
      </c>
      <c r="J2298" s="2" t="s">
        <v>3270</v>
      </c>
      <c r="K2298" s="13" t="s">
        <v>13177</v>
      </c>
      <c r="L2298" s="7"/>
    </row>
    <row r="2299" spans="1:12" ht="55.2" hidden="1" x14ac:dyDescent="0.3">
      <c r="A2299" s="2" t="s">
        <v>4604</v>
      </c>
      <c r="B2299" s="2" t="s">
        <v>8319</v>
      </c>
      <c r="C2299" s="3">
        <v>28932</v>
      </c>
      <c r="D2299" s="1" t="s">
        <v>8320</v>
      </c>
      <c r="E2299" s="1" t="s">
        <v>8321</v>
      </c>
      <c r="F2299" s="2" t="s">
        <v>4698</v>
      </c>
      <c r="G2299" s="2" t="s">
        <v>425</v>
      </c>
      <c r="H2299" s="2" t="s">
        <v>8322</v>
      </c>
      <c r="I2299" s="2" t="s">
        <v>4604</v>
      </c>
      <c r="J2299" s="2" t="s">
        <v>841</v>
      </c>
      <c r="K2299" s="13" t="s">
        <v>13177</v>
      </c>
      <c r="L2299" s="7"/>
    </row>
    <row r="2300" spans="1:12" ht="55.2" hidden="1" x14ac:dyDescent="0.3">
      <c r="A2300" s="2" t="s">
        <v>4604</v>
      </c>
      <c r="B2300" s="2" t="s">
        <v>8323</v>
      </c>
      <c r="C2300" s="3">
        <v>31412</v>
      </c>
      <c r="D2300" s="1" t="s">
        <v>8324</v>
      </c>
      <c r="E2300" s="1" t="s">
        <v>8325</v>
      </c>
      <c r="F2300" s="2" t="s">
        <v>6430</v>
      </c>
      <c r="G2300" s="2" t="s">
        <v>425</v>
      </c>
      <c r="H2300" s="2" t="s">
        <v>8326</v>
      </c>
      <c r="I2300" s="2" t="s">
        <v>4604</v>
      </c>
      <c r="J2300" s="2" t="s">
        <v>841</v>
      </c>
      <c r="K2300" s="13" t="s">
        <v>13177</v>
      </c>
      <c r="L2300" s="7"/>
    </row>
    <row r="2301" spans="1:12" ht="55.2" hidden="1" x14ac:dyDescent="0.3">
      <c r="A2301" s="2" t="s">
        <v>4604</v>
      </c>
      <c r="B2301" s="2" t="s">
        <v>8162</v>
      </c>
      <c r="C2301" s="3">
        <v>30420</v>
      </c>
      <c r="D2301" s="1" t="s">
        <v>8158</v>
      </c>
      <c r="E2301" s="1" t="s">
        <v>8159</v>
      </c>
      <c r="F2301" s="2" t="s">
        <v>4698</v>
      </c>
      <c r="G2301" s="2" t="s">
        <v>2079</v>
      </c>
      <c r="H2301" s="2" t="s">
        <v>8327</v>
      </c>
      <c r="I2301" s="2" t="s">
        <v>4604</v>
      </c>
      <c r="J2301" s="2" t="s">
        <v>2366</v>
      </c>
      <c r="K2301" s="13" t="s">
        <v>13177</v>
      </c>
      <c r="L2301" s="7"/>
    </row>
    <row r="2302" spans="1:12" ht="55.2" hidden="1" x14ac:dyDescent="0.3">
      <c r="A2302" s="2" t="s">
        <v>4604</v>
      </c>
      <c r="B2302" s="2" t="s">
        <v>8328</v>
      </c>
      <c r="C2302" s="3">
        <v>32710</v>
      </c>
      <c r="D2302" s="1" t="s">
        <v>8329</v>
      </c>
      <c r="E2302" s="1" t="s">
        <v>8330</v>
      </c>
      <c r="F2302" s="2" t="s">
        <v>4698</v>
      </c>
      <c r="G2302" s="2" t="s">
        <v>627</v>
      </c>
      <c r="H2302" s="2" t="s">
        <v>8331</v>
      </c>
      <c r="I2302" s="2" t="s">
        <v>4604</v>
      </c>
      <c r="J2302" s="2" t="s">
        <v>8332</v>
      </c>
      <c r="K2302" s="16" t="s">
        <v>13177</v>
      </c>
      <c r="L2302" s="17"/>
    </row>
    <row r="2303" spans="1:12" hidden="1" x14ac:dyDescent="0.3">
      <c r="A2303" s="2" t="s">
        <v>4139</v>
      </c>
      <c r="B2303" s="2" t="s">
        <v>8333</v>
      </c>
      <c r="C2303" s="3">
        <v>33791</v>
      </c>
      <c r="D2303" s="1" t="s">
        <v>8334</v>
      </c>
      <c r="E2303" s="1" t="s">
        <v>8335</v>
      </c>
      <c r="F2303" s="2" t="s">
        <v>4143</v>
      </c>
      <c r="G2303" s="2" t="s">
        <v>5565</v>
      </c>
      <c r="H2303" s="2" t="s">
        <v>10</v>
      </c>
      <c r="I2303" s="2" t="s">
        <v>4139</v>
      </c>
      <c r="J2303" s="2" t="s">
        <v>8336</v>
      </c>
      <c r="K2303" s="14"/>
      <c r="L2303" s="6"/>
    </row>
    <row r="2304" spans="1:12" hidden="1" x14ac:dyDescent="0.3">
      <c r="A2304" s="2" t="s">
        <v>4139</v>
      </c>
      <c r="B2304" s="2" t="s">
        <v>8337</v>
      </c>
      <c r="C2304" s="3">
        <v>35331</v>
      </c>
      <c r="D2304" s="1" t="s">
        <v>8338</v>
      </c>
      <c r="E2304" s="1" t="s">
        <v>8339</v>
      </c>
      <c r="F2304" s="2" t="s">
        <v>4143</v>
      </c>
      <c r="G2304" s="2" t="s">
        <v>8340</v>
      </c>
      <c r="H2304" s="2" t="s">
        <v>10</v>
      </c>
      <c r="I2304" s="2" t="s">
        <v>4139</v>
      </c>
      <c r="J2304" s="2" t="s">
        <v>8341</v>
      </c>
      <c r="K2304" s="14"/>
      <c r="L2304" s="6"/>
    </row>
    <row r="2305" spans="1:12" hidden="1" x14ac:dyDescent="0.3">
      <c r="A2305" s="2" t="s">
        <v>4139</v>
      </c>
      <c r="B2305" s="2" t="s">
        <v>8342</v>
      </c>
      <c r="C2305" s="3">
        <v>18910</v>
      </c>
      <c r="D2305" s="1" t="s">
        <v>8343</v>
      </c>
      <c r="E2305" s="1" t="s">
        <v>8344</v>
      </c>
      <c r="F2305" s="2" t="s">
        <v>4143</v>
      </c>
      <c r="G2305" s="2" t="s">
        <v>8345</v>
      </c>
      <c r="H2305" s="2" t="s">
        <v>10</v>
      </c>
      <c r="I2305" s="2" t="s">
        <v>4139</v>
      </c>
      <c r="J2305" s="2" t="s">
        <v>8346</v>
      </c>
      <c r="K2305" s="14"/>
      <c r="L2305" s="6"/>
    </row>
    <row r="2306" spans="1:12" hidden="1" x14ac:dyDescent="0.3">
      <c r="A2306" s="2" t="s">
        <v>4139</v>
      </c>
      <c r="B2306" s="2" t="s">
        <v>8347</v>
      </c>
      <c r="C2306" s="3">
        <v>33768</v>
      </c>
      <c r="D2306" s="1" t="s">
        <v>4907</v>
      </c>
      <c r="E2306" s="1" t="s">
        <v>8348</v>
      </c>
      <c r="F2306" s="2" t="s">
        <v>4143</v>
      </c>
      <c r="G2306" s="2" t="s">
        <v>8349</v>
      </c>
      <c r="H2306" s="2" t="s">
        <v>103</v>
      </c>
      <c r="I2306" s="2" t="s">
        <v>4139</v>
      </c>
      <c r="J2306" s="2" t="s">
        <v>8350</v>
      </c>
      <c r="K2306" s="14"/>
      <c r="L2306" s="6"/>
    </row>
    <row r="2307" spans="1:12" hidden="1" x14ac:dyDescent="0.3">
      <c r="A2307" s="2" t="s">
        <v>4139</v>
      </c>
      <c r="B2307" s="2" t="s">
        <v>8351</v>
      </c>
      <c r="C2307" s="3">
        <v>21741</v>
      </c>
      <c r="D2307" s="1" t="s">
        <v>8352</v>
      </c>
      <c r="E2307" s="1" t="s">
        <v>8353</v>
      </c>
      <c r="F2307" s="2" t="s">
        <v>4143</v>
      </c>
      <c r="G2307" s="2" t="s">
        <v>8354</v>
      </c>
      <c r="H2307" s="2" t="s">
        <v>10</v>
      </c>
      <c r="I2307" s="2" t="s">
        <v>4139</v>
      </c>
      <c r="J2307" s="2" t="s">
        <v>8355</v>
      </c>
      <c r="K2307" s="14"/>
      <c r="L2307" s="6"/>
    </row>
    <row r="2308" spans="1:12" hidden="1" x14ac:dyDescent="0.3">
      <c r="A2308" s="2" t="s">
        <v>4139</v>
      </c>
      <c r="B2308" s="2" t="s">
        <v>8356</v>
      </c>
      <c r="C2308" s="3">
        <v>33810</v>
      </c>
      <c r="D2308" s="1" t="s">
        <v>8357</v>
      </c>
      <c r="E2308" s="1" t="s">
        <v>8358</v>
      </c>
      <c r="F2308" s="2" t="s">
        <v>4143</v>
      </c>
      <c r="G2308" s="2" t="s">
        <v>8359</v>
      </c>
      <c r="H2308" s="2" t="s">
        <v>10</v>
      </c>
      <c r="I2308" s="2" t="s">
        <v>4139</v>
      </c>
      <c r="J2308" s="2" t="s">
        <v>8360</v>
      </c>
      <c r="K2308" s="14"/>
      <c r="L2308" s="6"/>
    </row>
    <row r="2309" spans="1:12" hidden="1" x14ac:dyDescent="0.3">
      <c r="A2309" s="2" t="s">
        <v>4139</v>
      </c>
      <c r="B2309" s="2" t="s">
        <v>8361</v>
      </c>
      <c r="C2309" s="3">
        <v>27732</v>
      </c>
      <c r="D2309" s="1" t="s">
        <v>8362</v>
      </c>
      <c r="E2309" s="1" t="s">
        <v>8363</v>
      </c>
      <c r="F2309" s="2" t="s">
        <v>4143</v>
      </c>
      <c r="G2309" s="2" t="s">
        <v>8364</v>
      </c>
      <c r="H2309" s="2" t="s">
        <v>81</v>
      </c>
      <c r="I2309" s="2" t="s">
        <v>4139</v>
      </c>
      <c r="J2309" s="2" t="s">
        <v>8365</v>
      </c>
      <c r="K2309" s="14"/>
      <c r="L2309" s="6"/>
    </row>
    <row r="2310" spans="1:12" hidden="1" x14ac:dyDescent="0.3">
      <c r="A2310" s="2" t="s">
        <v>4139</v>
      </c>
      <c r="B2310" s="2" t="s">
        <v>8366</v>
      </c>
      <c r="C2310" s="3">
        <v>27174</v>
      </c>
      <c r="D2310" s="1" t="s">
        <v>8367</v>
      </c>
      <c r="E2310" s="1" t="s">
        <v>8368</v>
      </c>
      <c r="F2310" s="2" t="s">
        <v>4143</v>
      </c>
      <c r="G2310" s="2" t="s">
        <v>8364</v>
      </c>
      <c r="H2310" s="2" t="s">
        <v>103</v>
      </c>
      <c r="I2310" s="2" t="s">
        <v>4139</v>
      </c>
      <c r="J2310" s="2" t="s">
        <v>8365</v>
      </c>
      <c r="K2310" s="14"/>
      <c r="L2310" s="6"/>
    </row>
    <row r="2311" spans="1:12" hidden="1" x14ac:dyDescent="0.3">
      <c r="A2311" s="2" t="s">
        <v>4139</v>
      </c>
      <c r="B2311" s="2" t="s">
        <v>8369</v>
      </c>
      <c r="C2311" s="3">
        <v>24285</v>
      </c>
      <c r="D2311" s="1" t="s">
        <v>8370</v>
      </c>
      <c r="E2311" s="1" t="s">
        <v>8371</v>
      </c>
      <c r="F2311" s="2" t="s">
        <v>4143</v>
      </c>
      <c r="G2311" s="2" t="s">
        <v>8372</v>
      </c>
      <c r="H2311" s="2" t="s">
        <v>10</v>
      </c>
      <c r="I2311" s="2" t="s">
        <v>4139</v>
      </c>
      <c r="J2311" s="2" t="s">
        <v>8373</v>
      </c>
      <c r="K2311" s="14"/>
      <c r="L2311" s="6"/>
    </row>
    <row r="2312" spans="1:12" hidden="1" x14ac:dyDescent="0.3">
      <c r="A2312" s="2" t="s">
        <v>4139</v>
      </c>
      <c r="B2312" s="2" t="s">
        <v>8230</v>
      </c>
      <c r="C2312" s="3">
        <v>23163</v>
      </c>
      <c r="D2312" s="1" t="s">
        <v>8231</v>
      </c>
      <c r="E2312" s="1" t="s">
        <v>8374</v>
      </c>
      <c r="F2312" s="2" t="s">
        <v>4143</v>
      </c>
      <c r="G2312" s="2" t="s">
        <v>8233</v>
      </c>
      <c r="H2312" s="2" t="s">
        <v>81</v>
      </c>
      <c r="I2312" s="2" t="s">
        <v>4139</v>
      </c>
      <c r="J2312" s="2" t="s">
        <v>8375</v>
      </c>
      <c r="K2312" s="14"/>
      <c r="L2312" s="6"/>
    </row>
    <row r="2313" spans="1:12" hidden="1" x14ac:dyDescent="0.3">
      <c r="A2313" s="2" t="s">
        <v>4139</v>
      </c>
      <c r="B2313" s="2" t="s">
        <v>8376</v>
      </c>
      <c r="C2313" s="3">
        <v>24396</v>
      </c>
      <c r="D2313" s="1" t="s">
        <v>8377</v>
      </c>
      <c r="E2313" s="1" t="s">
        <v>8378</v>
      </c>
      <c r="F2313" s="2" t="s">
        <v>4143</v>
      </c>
      <c r="G2313" s="2" t="s">
        <v>8379</v>
      </c>
      <c r="H2313" s="2" t="s">
        <v>10</v>
      </c>
      <c r="I2313" s="2" t="s">
        <v>4139</v>
      </c>
      <c r="J2313" s="2" t="s">
        <v>8380</v>
      </c>
      <c r="K2313" s="14"/>
      <c r="L2313" s="6"/>
    </row>
    <row r="2314" spans="1:12" hidden="1" x14ac:dyDescent="0.3">
      <c r="A2314" s="2" t="s">
        <v>4139</v>
      </c>
      <c r="B2314" s="2" t="s">
        <v>8230</v>
      </c>
      <c r="C2314" s="3">
        <v>23163</v>
      </c>
      <c r="D2314" s="1" t="s">
        <v>8231</v>
      </c>
      <c r="E2314" s="1" t="s">
        <v>8374</v>
      </c>
      <c r="F2314" s="2" t="s">
        <v>4143</v>
      </c>
      <c r="G2314" s="2" t="s">
        <v>8233</v>
      </c>
      <c r="H2314" s="2" t="s">
        <v>562</v>
      </c>
      <c r="I2314" s="2" t="s">
        <v>4139</v>
      </c>
      <c r="J2314" s="2" t="s">
        <v>8381</v>
      </c>
      <c r="K2314" s="14"/>
      <c r="L2314" s="6"/>
    </row>
    <row r="2315" spans="1:12" ht="27.6" hidden="1" x14ac:dyDescent="0.3">
      <c r="A2315" s="2" t="s">
        <v>4386</v>
      </c>
      <c r="B2315" s="2" t="s">
        <v>8382</v>
      </c>
      <c r="C2315" s="3">
        <v>29008</v>
      </c>
      <c r="D2315" s="1" t="s">
        <v>8383</v>
      </c>
      <c r="E2315" s="1" t="s">
        <v>8384</v>
      </c>
      <c r="F2315" s="2" t="s">
        <v>4555</v>
      </c>
      <c r="G2315" s="2" t="s">
        <v>5560</v>
      </c>
      <c r="H2315" s="2" t="s">
        <v>81</v>
      </c>
      <c r="I2315" s="2" t="s">
        <v>4386</v>
      </c>
      <c r="J2315" s="2" t="s">
        <v>8385</v>
      </c>
      <c r="K2315" s="20" t="s">
        <v>13177</v>
      </c>
      <c r="L2315" s="12"/>
    </row>
    <row r="2316" spans="1:12" ht="55.2" hidden="1" x14ac:dyDescent="0.3">
      <c r="A2316" s="2" t="s">
        <v>4604</v>
      </c>
      <c r="B2316" s="2" t="s">
        <v>8386</v>
      </c>
      <c r="C2316" s="3">
        <v>31535</v>
      </c>
      <c r="D2316" s="1" t="s">
        <v>8387</v>
      </c>
      <c r="E2316" s="1" t="s">
        <v>8388</v>
      </c>
      <c r="F2316" s="2" t="s">
        <v>4608</v>
      </c>
      <c r="G2316" s="2" t="s">
        <v>37</v>
      </c>
      <c r="H2316" s="2" t="s">
        <v>4071</v>
      </c>
      <c r="I2316" s="2" t="s">
        <v>4604</v>
      </c>
      <c r="J2316" s="2" t="s">
        <v>5175</v>
      </c>
      <c r="K2316" s="13" t="s">
        <v>13177</v>
      </c>
      <c r="L2316" s="7"/>
    </row>
    <row r="2317" spans="1:12" ht="55.2" hidden="1" x14ac:dyDescent="0.3">
      <c r="A2317" s="2" t="s">
        <v>4604</v>
      </c>
      <c r="B2317" s="2" t="s">
        <v>8389</v>
      </c>
      <c r="C2317" s="3">
        <v>22367</v>
      </c>
      <c r="D2317" s="1" t="s">
        <v>8390</v>
      </c>
      <c r="E2317" s="1" t="s">
        <v>8391</v>
      </c>
      <c r="F2317" s="2" t="s">
        <v>4608</v>
      </c>
      <c r="G2317" s="2" t="s">
        <v>328</v>
      </c>
      <c r="H2317" s="2" t="s">
        <v>10</v>
      </c>
      <c r="I2317" s="2" t="s">
        <v>4604</v>
      </c>
      <c r="J2317" s="2" t="s">
        <v>5171</v>
      </c>
      <c r="K2317" s="13" t="s">
        <v>13177</v>
      </c>
      <c r="L2317" s="7"/>
    </row>
    <row r="2318" spans="1:12" ht="55.2" hidden="1" x14ac:dyDescent="0.3">
      <c r="A2318" s="2" t="s">
        <v>4604</v>
      </c>
      <c r="B2318" s="2" t="s">
        <v>8392</v>
      </c>
      <c r="C2318" s="3">
        <v>28509</v>
      </c>
      <c r="D2318" s="1" t="s">
        <v>8393</v>
      </c>
      <c r="E2318" s="1" t="s">
        <v>8394</v>
      </c>
      <c r="F2318" s="2" t="s">
        <v>4608</v>
      </c>
      <c r="G2318" s="2" t="s">
        <v>511</v>
      </c>
      <c r="H2318" s="2" t="s">
        <v>1324</v>
      </c>
      <c r="I2318" s="2" t="s">
        <v>4604</v>
      </c>
      <c r="J2318" s="2" t="s">
        <v>5547</v>
      </c>
      <c r="K2318" s="13" t="s">
        <v>13177</v>
      </c>
      <c r="L2318" s="7"/>
    </row>
    <row r="2319" spans="1:12" ht="55.2" hidden="1" x14ac:dyDescent="0.3">
      <c r="A2319" s="2" t="s">
        <v>4604</v>
      </c>
      <c r="B2319" s="2" t="s">
        <v>8395</v>
      </c>
      <c r="C2319" s="3">
        <v>27812</v>
      </c>
      <c r="D2319" s="1" t="s">
        <v>8396</v>
      </c>
      <c r="E2319" s="1" t="s">
        <v>8397</v>
      </c>
      <c r="F2319" s="2" t="s">
        <v>4698</v>
      </c>
      <c r="G2319" s="2" t="s">
        <v>288</v>
      </c>
      <c r="H2319" s="2" t="s">
        <v>4071</v>
      </c>
      <c r="I2319" s="2" t="s">
        <v>4604</v>
      </c>
      <c r="J2319" s="2" t="s">
        <v>8082</v>
      </c>
      <c r="K2319" s="13" t="s">
        <v>13177</v>
      </c>
      <c r="L2319" s="7"/>
    </row>
    <row r="2320" spans="1:12" ht="55.2" hidden="1" x14ac:dyDescent="0.3">
      <c r="A2320" s="2" t="s">
        <v>4604</v>
      </c>
      <c r="B2320" s="2" t="s">
        <v>8398</v>
      </c>
      <c r="C2320" s="3">
        <v>23023</v>
      </c>
      <c r="D2320" s="1" t="s">
        <v>8399</v>
      </c>
      <c r="E2320" s="1" t="s">
        <v>8400</v>
      </c>
      <c r="F2320" s="2" t="s">
        <v>4698</v>
      </c>
      <c r="G2320" s="2" t="s">
        <v>366</v>
      </c>
      <c r="H2320" s="2" t="s">
        <v>8401</v>
      </c>
      <c r="I2320" s="2" t="s">
        <v>4604</v>
      </c>
      <c r="J2320" s="2" t="s">
        <v>5167</v>
      </c>
      <c r="K2320" s="13" t="s">
        <v>13177</v>
      </c>
      <c r="L2320" s="7"/>
    </row>
    <row r="2321" spans="1:12" ht="55.2" hidden="1" x14ac:dyDescent="0.3">
      <c r="A2321" s="2" t="s">
        <v>4604</v>
      </c>
      <c r="B2321" s="2" t="s">
        <v>8402</v>
      </c>
      <c r="C2321" s="3">
        <v>25066</v>
      </c>
      <c r="D2321" s="1" t="s">
        <v>8403</v>
      </c>
      <c r="E2321" s="1" t="s">
        <v>8404</v>
      </c>
      <c r="F2321" s="2" t="s">
        <v>4608</v>
      </c>
      <c r="G2321" s="2" t="s">
        <v>230</v>
      </c>
      <c r="H2321" s="2" t="s">
        <v>8405</v>
      </c>
      <c r="I2321" s="2" t="s">
        <v>4604</v>
      </c>
      <c r="J2321" s="2" t="s">
        <v>5187</v>
      </c>
      <c r="K2321" s="13" t="s">
        <v>13177</v>
      </c>
      <c r="L2321" s="7"/>
    </row>
    <row r="2322" spans="1:12" ht="55.2" hidden="1" x14ac:dyDescent="0.3">
      <c r="A2322" s="2" t="s">
        <v>4604</v>
      </c>
      <c r="B2322" s="2" t="s">
        <v>8406</v>
      </c>
      <c r="C2322" s="3">
        <v>40089</v>
      </c>
      <c r="D2322" s="1" t="s">
        <v>10</v>
      </c>
      <c r="E2322" s="1" t="s">
        <v>8407</v>
      </c>
      <c r="F2322" s="2" t="s">
        <v>4608</v>
      </c>
      <c r="G2322" s="2" t="s">
        <v>860</v>
      </c>
      <c r="H2322" s="2" t="s">
        <v>334</v>
      </c>
      <c r="I2322" s="2" t="s">
        <v>4604</v>
      </c>
      <c r="J2322" s="2" t="s">
        <v>8408</v>
      </c>
      <c r="K2322" s="13" t="s">
        <v>13177</v>
      </c>
      <c r="L2322" s="7"/>
    </row>
    <row r="2323" spans="1:12" ht="55.2" hidden="1" x14ac:dyDescent="0.3">
      <c r="A2323" s="2" t="s">
        <v>4604</v>
      </c>
      <c r="B2323" s="2" t="s">
        <v>8409</v>
      </c>
      <c r="C2323" s="3">
        <v>30521</v>
      </c>
      <c r="D2323" s="1" t="s">
        <v>5225</v>
      </c>
      <c r="E2323" s="1" t="s">
        <v>5226</v>
      </c>
      <c r="F2323" s="2" t="s">
        <v>4608</v>
      </c>
      <c r="G2323" s="2" t="s">
        <v>1504</v>
      </c>
      <c r="H2323" s="2" t="s">
        <v>334</v>
      </c>
      <c r="I2323" s="2" t="s">
        <v>4604</v>
      </c>
      <c r="J2323" s="2" t="s">
        <v>6724</v>
      </c>
      <c r="K2323" s="13" t="s">
        <v>13177</v>
      </c>
      <c r="L2323" s="7"/>
    </row>
    <row r="2324" spans="1:12" ht="55.2" hidden="1" x14ac:dyDescent="0.3">
      <c r="A2324" s="2" t="s">
        <v>4604</v>
      </c>
      <c r="B2324" s="2" t="s">
        <v>8410</v>
      </c>
      <c r="C2324" s="3">
        <v>32531</v>
      </c>
      <c r="D2324" s="1" t="s">
        <v>8411</v>
      </c>
      <c r="E2324" s="1" t="s">
        <v>8412</v>
      </c>
      <c r="F2324" s="2" t="s">
        <v>4608</v>
      </c>
      <c r="G2324" s="2" t="s">
        <v>1222</v>
      </c>
      <c r="H2324" s="2" t="s">
        <v>1324</v>
      </c>
      <c r="I2324" s="2" t="s">
        <v>4604</v>
      </c>
      <c r="J2324" s="2" t="s">
        <v>8413</v>
      </c>
      <c r="K2324" s="13" t="s">
        <v>13177</v>
      </c>
      <c r="L2324" s="7"/>
    </row>
    <row r="2325" spans="1:12" ht="55.2" hidden="1" x14ac:dyDescent="0.3">
      <c r="A2325" s="2" t="s">
        <v>4604</v>
      </c>
      <c r="B2325" s="2" t="s">
        <v>8414</v>
      </c>
      <c r="C2325" s="3">
        <v>34214</v>
      </c>
      <c r="D2325" s="1" t="s">
        <v>8415</v>
      </c>
      <c r="E2325" s="1" t="s">
        <v>8416</v>
      </c>
      <c r="F2325" s="2" t="s">
        <v>4704</v>
      </c>
      <c r="G2325" s="2" t="s">
        <v>860</v>
      </c>
      <c r="H2325" s="2" t="s">
        <v>10</v>
      </c>
      <c r="I2325" s="2" t="s">
        <v>4604</v>
      </c>
      <c r="J2325" s="2" t="s">
        <v>8408</v>
      </c>
      <c r="K2325" s="13" t="s">
        <v>13177</v>
      </c>
      <c r="L2325" s="7"/>
    </row>
    <row r="2326" spans="1:12" ht="55.2" hidden="1" x14ac:dyDescent="0.3">
      <c r="A2326" s="2" t="s">
        <v>4604</v>
      </c>
      <c r="B2326" s="2" t="s">
        <v>8417</v>
      </c>
      <c r="C2326" s="3">
        <v>28053</v>
      </c>
      <c r="D2326" s="1" t="s">
        <v>8418</v>
      </c>
      <c r="E2326" s="1" t="s">
        <v>8419</v>
      </c>
      <c r="F2326" s="2" t="s">
        <v>5668</v>
      </c>
      <c r="G2326" s="2" t="s">
        <v>2594</v>
      </c>
      <c r="H2326" s="2" t="s">
        <v>10</v>
      </c>
      <c r="I2326" s="2" t="s">
        <v>4604</v>
      </c>
      <c r="J2326" s="2" t="s">
        <v>7447</v>
      </c>
      <c r="K2326" s="16" t="s">
        <v>13177</v>
      </c>
      <c r="L2326" s="17"/>
    </row>
    <row r="2327" spans="1:12" hidden="1" x14ac:dyDescent="0.3">
      <c r="A2327" s="2" t="s">
        <v>4139</v>
      </c>
      <c r="B2327" s="2" t="s">
        <v>8420</v>
      </c>
      <c r="C2327" s="3">
        <v>27677</v>
      </c>
      <c r="D2327" s="1" t="s">
        <v>8421</v>
      </c>
      <c r="E2327" s="1" t="s">
        <v>8422</v>
      </c>
      <c r="F2327" s="2" t="s">
        <v>4143</v>
      </c>
      <c r="G2327" s="2" t="s">
        <v>8423</v>
      </c>
      <c r="H2327" s="2" t="s">
        <v>4409</v>
      </c>
      <c r="I2327" s="2" t="s">
        <v>4139</v>
      </c>
      <c r="J2327" s="2" t="s">
        <v>8424</v>
      </c>
      <c r="K2327" s="14"/>
      <c r="L2327" s="6"/>
    </row>
    <row r="2328" spans="1:12" hidden="1" x14ac:dyDescent="0.3">
      <c r="A2328" s="2" t="s">
        <v>4139</v>
      </c>
      <c r="B2328" s="2" t="s">
        <v>8425</v>
      </c>
      <c r="C2328" s="3">
        <v>26769</v>
      </c>
      <c r="D2328" s="1" t="s">
        <v>8426</v>
      </c>
      <c r="E2328" s="1" t="s">
        <v>8427</v>
      </c>
      <c r="F2328" s="2" t="s">
        <v>4143</v>
      </c>
      <c r="G2328" s="2" t="s">
        <v>8428</v>
      </c>
      <c r="H2328" s="2" t="s">
        <v>81</v>
      </c>
      <c r="I2328" s="2" t="s">
        <v>4139</v>
      </c>
      <c r="J2328" s="2" t="s">
        <v>8429</v>
      </c>
      <c r="K2328" s="14"/>
      <c r="L2328" s="6"/>
    </row>
    <row r="2329" spans="1:12" ht="27.6" hidden="1" x14ac:dyDescent="0.3">
      <c r="A2329" s="2" t="s">
        <v>4139</v>
      </c>
      <c r="B2329" s="2" t="s">
        <v>8430</v>
      </c>
      <c r="C2329" s="3">
        <v>25936</v>
      </c>
      <c r="D2329" s="1" t="s">
        <v>8431</v>
      </c>
      <c r="E2329" s="1" t="s">
        <v>8432</v>
      </c>
      <c r="F2329" s="2" t="s">
        <v>4143</v>
      </c>
      <c r="G2329" s="2" t="s">
        <v>8433</v>
      </c>
      <c r="H2329" s="2" t="s">
        <v>822</v>
      </c>
      <c r="I2329" s="2" t="s">
        <v>4139</v>
      </c>
      <c r="J2329" s="2" t="s">
        <v>8434</v>
      </c>
      <c r="K2329" s="14"/>
      <c r="L2329" s="6"/>
    </row>
    <row r="2330" spans="1:12" hidden="1" x14ac:dyDescent="0.3">
      <c r="A2330" s="2" t="s">
        <v>4139</v>
      </c>
      <c r="B2330" s="2" t="s">
        <v>8435</v>
      </c>
      <c r="C2330" s="3">
        <v>28253</v>
      </c>
      <c r="D2330" s="1" t="s">
        <v>8436</v>
      </c>
      <c r="E2330" s="1" t="s">
        <v>8437</v>
      </c>
      <c r="F2330" s="2" t="s">
        <v>4143</v>
      </c>
      <c r="G2330" s="2" t="s">
        <v>8438</v>
      </c>
      <c r="H2330" s="2" t="s">
        <v>81</v>
      </c>
      <c r="I2330" s="2" t="s">
        <v>4139</v>
      </c>
      <c r="J2330" s="2" t="s">
        <v>8439</v>
      </c>
      <c r="K2330" s="14"/>
      <c r="L2330" s="6"/>
    </row>
    <row r="2331" spans="1:12" hidden="1" x14ac:dyDescent="0.3">
      <c r="A2331" s="2" t="s">
        <v>4139</v>
      </c>
      <c r="B2331" s="2" t="s">
        <v>8440</v>
      </c>
      <c r="C2331" s="3">
        <v>28648</v>
      </c>
      <c r="D2331" s="1" t="s">
        <v>8441</v>
      </c>
      <c r="E2331" s="1" t="s">
        <v>8442</v>
      </c>
      <c r="F2331" s="2" t="s">
        <v>4143</v>
      </c>
      <c r="G2331" s="2" t="s">
        <v>8443</v>
      </c>
      <c r="H2331" s="2" t="s">
        <v>10</v>
      </c>
      <c r="I2331" s="2" t="s">
        <v>4139</v>
      </c>
      <c r="J2331" s="2" t="s">
        <v>8444</v>
      </c>
      <c r="K2331" s="14"/>
      <c r="L2331" s="6"/>
    </row>
    <row r="2332" spans="1:12" hidden="1" x14ac:dyDescent="0.3">
      <c r="A2332" s="2" t="s">
        <v>4139</v>
      </c>
      <c r="B2332" s="2" t="s">
        <v>8445</v>
      </c>
      <c r="C2332" s="3">
        <v>28648</v>
      </c>
      <c r="D2332" s="1" t="s">
        <v>8441</v>
      </c>
      <c r="E2332" s="1" t="s">
        <v>8442</v>
      </c>
      <c r="F2332" s="2" t="s">
        <v>4143</v>
      </c>
      <c r="G2332" s="2" t="s">
        <v>8110</v>
      </c>
      <c r="H2332" s="2" t="s">
        <v>81</v>
      </c>
      <c r="I2332" s="2" t="s">
        <v>4139</v>
      </c>
      <c r="J2332" s="2" t="s">
        <v>8446</v>
      </c>
      <c r="K2332" s="14"/>
      <c r="L2332" s="6"/>
    </row>
    <row r="2333" spans="1:12" hidden="1" x14ac:dyDescent="0.3">
      <c r="A2333" s="2" t="s">
        <v>4139</v>
      </c>
      <c r="B2333" s="2" t="s">
        <v>8447</v>
      </c>
      <c r="C2333" s="3">
        <v>28016</v>
      </c>
      <c r="D2333" s="1" t="s">
        <v>8448</v>
      </c>
      <c r="E2333" s="1" t="s">
        <v>8449</v>
      </c>
      <c r="F2333" s="2" t="s">
        <v>4143</v>
      </c>
      <c r="G2333" s="2" t="s">
        <v>8450</v>
      </c>
      <c r="H2333" s="2" t="s">
        <v>10</v>
      </c>
      <c r="I2333" s="2" t="s">
        <v>4139</v>
      </c>
      <c r="J2333" s="2" t="s">
        <v>8451</v>
      </c>
      <c r="K2333" s="14"/>
      <c r="L2333" s="6"/>
    </row>
    <row r="2334" spans="1:12" hidden="1" x14ac:dyDescent="0.3">
      <c r="A2334" s="2" t="s">
        <v>4139</v>
      </c>
      <c r="B2334" s="2" t="s">
        <v>8452</v>
      </c>
      <c r="C2334" s="3">
        <v>22563</v>
      </c>
      <c r="D2334" s="1" t="s">
        <v>8453</v>
      </c>
      <c r="E2334" s="1" t="s">
        <v>8454</v>
      </c>
      <c r="F2334" s="2" t="s">
        <v>4143</v>
      </c>
      <c r="G2334" s="2" t="s">
        <v>8455</v>
      </c>
      <c r="H2334" s="2" t="s">
        <v>103</v>
      </c>
      <c r="I2334" s="2" t="s">
        <v>4139</v>
      </c>
      <c r="J2334" s="2" t="s">
        <v>8456</v>
      </c>
      <c r="K2334" s="14"/>
      <c r="L2334" s="6"/>
    </row>
    <row r="2335" spans="1:12" hidden="1" x14ac:dyDescent="0.3">
      <c r="A2335" s="2" t="s">
        <v>4139</v>
      </c>
      <c r="B2335" s="2" t="s">
        <v>8457</v>
      </c>
      <c r="C2335" s="3">
        <v>26717</v>
      </c>
      <c r="D2335" s="1" t="s">
        <v>8458</v>
      </c>
      <c r="E2335" s="1" t="s">
        <v>8459</v>
      </c>
      <c r="F2335" s="2" t="s">
        <v>4143</v>
      </c>
      <c r="G2335" s="2" t="s">
        <v>8460</v>
      </c>
      <c r="H2335" s="2" t="s">
        <v>103</v>
      </c>
      <c r="I2335" s="2" t="s">
        <v>4139</v>
      </c>
      <c r="J2335" s="2" t="s">
        <v>8461</v>
      </c>
      <c r="K2335" s="14"/>
      <c r="L2335" s="6"/>
    </row>
    <row r="2336" spans="1:12" hidden="1" x14ac:dyDescent="0.3">
      <c r="A2336" s="2" t="s">
        <v>4139</v>
      </c>
      <c r="B2336" s="2" t="s">
        <v>8462</v>
      </c>
      <c r="C2336" s="3">
        <v>30100</v>
      </c>
      <c r="D2336" s="1" t="s">
        <v>8463</v>
      </c>
      <c r="E2336" s="1" t="s">
        <v>8464</v>
      </c>
      <c r="F2336" s="2" t="s">
        <v>4143</v>
      </c>
      <c r="G2336" s="2" t="s">
        <v>8455</v>
      </c>
      <c r="H2336" s="2" t="s">
        <v>81</v>
      </c>
      <c r="I2336" s="2" t="s">
        <v>4139</v>
      </c>
      <c r="J2336" s="2" t="s">
        <v>8456</v>
      </c>
      <c r="K2336" s="14"/>
      <c r="L2336" s="6"/>
    </row>
    <row r="2337" spans="1:12" hidden="1" x14ac:dyDescent="0.3">
      <c r="A2337" s="2" t="s">
        <v>4139</v>
      </c>
      <c r="B2337" s="2" t="s">
        <v>8465</v>
      </c>
      <c r="C2337" s="3">
        <v>26325</v>
      </c>
      <c r="D2337" s="1" t="s">
        <v>8466</v>
      </c>
      <c r="E2337" s="1" t="s">
        <v>8467</v>
      </c>
      <c r="F2337" s="2" t="s">
        <v>4143</v>
      </c>
      <c r="G2337" s="2" t="s">
        <v>8468</v>
      </c>
      <c r="H2337" s="2" t="s">
        <v>81</v>
      </c>
      <c r="I2337" s="2" t="s">
        <v>4139</v>
      </c>
      <c r="J2337" s="2" t="s">
        <v>8469</v>
      </c>
      <c r="K2337" s="14"/>
      <c r="L2337" s="6"/>
    </row>
    <row r="2338" spans="1:12" hidden="1" x14ac:dyDescent="0.3">
      <c r="A2338" s="2" t="s">
        <v>4139</v>
      </c>
      <c r="B2338" s="2" t="s">
        <v>8470</v>
      </c>
      <c r="C2338" s="3">
        <v>32906</v>
      </c>
      <c r="D2338" s="1" t="s">
        <v>8471</v>
      </c>
      <c r="E2338" s="1" t="s">
        <v>8472</v>
      </c>
      <c r="F2338" s="2" t="s">
        <v>4143</v>
      </c>
      <c r="G2338" s="2" t="s">
        <v>8473</v>
      </c>
      <c r="H2338" s="2" t="s">
        <v>822</v>
      </c>
      <c r="I2338" s="2" t="s">
        <v>4139</v>
      </c>
      <c r="J2338" s="2" t="s">
        <v>8474</v>
      </c>
      <c r="K2338" s="14"/>
      <c r="L2338" s="6"/>
    </row>
    <row r="2339" spans="1:12" hidden="1" x14ac:dyDescent="0.3">
      <c r="A2339" s="2" t="s">
        <v>4139</v>
      </c>
      <c r="B2339" s="2" t="s">
        <v>8475</v>
      </c>
      <c r="C2339" s="3">
        <v>22947</v>
      </c>
      <c r="D2339" s="1" t="s">
        <v>8476</v>
      </c>
      <c r="E2339" s="1" t="s">
        <v>8477</v>
      </c>
      <c r="F2339" s="2" t="s">
        <v>4143</v>
      </c>
      <c r="G2339" s="2" t="s">
        <v>8473</v>
      </c>
      <c r="H2339" s="2" t="s">
        <v>81</v>
      </c>
      <c r="I2339" s="2" t="s">
        <v>4139</v>
      </c>
      <c r="J2339" s="2" t="s">
        <v>8474</v>
      </c>
      <c r="K2339" s="14"/>
      <c r="L2339" s="6"/>
    </row>
    <row r="2340" spans="1:12" hidden="1" x14ac:dyDescent="0.3">
      <c r="A2340" s="2" t="s">
        <v>4139</v>
      </c>
      <c r="B2340" s="2" t="s">
        <v>8475</v>
      </c>
      <c r="C2340" s="3">
        <v>22947</v>
      </c>
      <c r="D2340" s="1" t="s">
        <v>8476</v>
      </c>
      <c r="E2340" s="1" t="s">
        <v>8477</v>
      </c>
      <c r="F2340" s="2" t="s">
        <v>4143</v>
      </c>
      <c r="G2340" s="2" t="s">
        <v>8473</v>
      </c>
      <c r="H2340" s="2" t="s">
        <v>562</v>
      </c>
      <c r="I2340" s="2" t="s">
        <v>4139</v>
      </c>
      <c r="J2340" s="2" t="s">
        <v>8478</v>
      </c>
      <c r="K2340" s="14"/>
      <c r="L2340" s="6"/>
    </row>
    <row r="2341" spans="1:12" hidden="1" x14ac:dyDescent="0.3">
      <c r="A2341" s="2" t="s">
        <v>4139</v>
      </c>
      <c r="B2341" s="2" t="s">
        <v>8479</v>
      </c>
      <c r="C2341" s="3">
        <v>35099</v>
      </c>
      <c r="D2341" s="1" t="s">
        <v>8480</v>
      </c>
      <c r="E2341" s="1" t="s">
        <v>8481</v>
      </c>
      <c r="F2341" s="2" t="s">
        <v>4143</v>
      </c>
      <c r="G2341" s="2" t="s">
        <v>8473</v>
      </c>
      <c r="H2341" s="2" t="s">
        <v>103</v>
      </c>
      <c r="I2341" s="2" t="s">
        <v>4139</v>
      </c>
      <c r="J2341" s="2" t="s">
        <v>8474</v>
      </c>
      <c r="K2341" s="14"/>
      <c r="L2341" s="6"/>
    </row>
    <row r="2342" spans="1:12" hidden="1" x14ac:dyDescent="0.3">
      <c r="A2342" s="2" t="s">
        <v>4139</v>
      </c>
      <c r="B2342" s="2" t="s">
        <v>8482</v>
      </c>
      <c r="C2342" s="3">
        <v>24473</v>
      </c>
      <c r="D2342" s="1" t="s">
        <v>8483</v>
      </c>
      <c r="E2342" s="1" t="s">
        <v>8484</v>
      </c>
      <c r="F2342" s="2" t="s">
        <v>4143</v>
      </c>
      <c r="G2342" s="2" t="s">
        <v>8460</v>
      </c>
      <c r="H2342" s="2" t="s">
        <v>81</v>
      </c>
      <c r="I2342" s="2" t="s">
        <v>4139</v>
      </c>
      <c r="J2342" s="2" t="s">
        <v>8461</v>
      </c>
      <c r="K2342" s="14"/>
      <c r="L2342" s="6"/>
    </row>
    <row r="2343" spans="1:12" ht="55.2" hidden="1" x14ac:dyDescent="0.3">
      <c r="A2343" s="2" t="s">
        <v>4604</v>
      </c>
      <c r="B2343" s="2" t="s">
        <v>8485</v>
      </c>
      <c r="C2343" s="3">
        <v>23791</v>
      </c>
      <c r="D2343" s="1" t="s">
        <v>8486</v>
      </c>
      <c r="E2343" s="1" t="s">
        <v>8487</v>
      </c>
      <c r="F2343" s="2" t="s">
        <v>4608</v>
      </c>
      <c r="G2343" s="2" t="s">
        <v>152</v>
      </c>
      <c r="H2343" s="2" t="s">
        <v>8488</v>
      </c>
      <c r="I2343" s="2" t="s">
        <v>4604</v>
      </c>
      <c r="J2343" s="2" t="s">
        <v>108</v>
      </c>
      <c r="K2343" s="20" t="s">
        <v>13177</v>
      </c>
      <c r="L2343" s="12"/>
    </row>
    <row r="2344" spans="1:12" ht="55.2" hidden="1" x14ac:dyDescent="0.3">
      <c r="A2344" s="2" t="s">
        <v>4604</v>
      </c>
      <c r="B2344" s="2" t="s">
        <v>8489</v>
      </c>
      <c r="C2344" s="3">
        <v>31294</v>
      </c>
      <c r="D2344" s="1" t="s">
        <v>8490</v>
      </c>
      <c r="E2344" s="1" t="s">
        <v>8491</v>
      </c>
      <c r="F2344" s="2" t="s">
        <v>4608</v>
      </c>
      <c r="G2344" s="2" t="s">
        <v>152</v>
      </c>
      <c r="H2344" s="2" t="s">
        <v>8492</v>
      </c>
      <c r="I2344" s="2" t="s">
        <v>4604</v>
      </c>
      <c r="J2344" s="2" t="s">
        <v>108</v>
      </c>
      <c r="K2344" s="13" t="s">
        <v>13177</v>
      </c>
      <c r="L2344" s="7"/>
    </row>
    <row r="2345" spans="1:12" ht="55.2" hidden="1" x14ac:dyDescent="0.3">
      <c r="A2345" s="2" t="s">
        <v>4604</v>
      </c>
      <c r="B2345" s="2" t="s">
        <v>8493</v>
      </c>
      <c r="C2345" s="3">
        <v>26420</v>
      </c>
      <c r="D2345" s="1" t="s">
        <v>8494</v>
      </c>
      <c r="E2345" s="1" t="s">
        <v>8495</v>
      </c>
      <c r="F2345" s="2" t="s">
        <v>5668</v>
      </c>
      <c r="G2345" s="2" t="s">
        <v>112</v>
      </c>
      <c r="H2345" s="2" t="s">
        <v>8496</v>
      </c>
      <c r="I2345" s="2" t="s">
        <v>4604</v>
      </c>
      <c r="J2345" s="2" t="s">
        <v>113</v>
      </c>
      <c r="K2345" s="13" t="s">
        <v>13177</v>
      </c>
      <c r="L2345" s="7"/>
    </row>
    <row r="2346" spans="1:12" ht="55.2" hidden="1" x14ac:dyDescent="0.3">
      <c r="A2346" s="2" t="s">
        <v>4604</v>
      </c>
      <c r="B2346" s="2" t="s">
        <v>8497</v>
      </c>
      <c r="C2346" s="3">
        <v>33787</v>
      </c>
      <c r="D2346" s="1" t="s">
        <v>8498</v>
      </c>
      <c r="E2346" s="1" t="s">
        <v>8499</v>
      </c>
      <c r="F2346" s="2" t="s">
        <v>5668</v>
      </c>
      <c r="G2346" s="2" t="s">
        <v>86</v>
      </c>
      <c r="H2346" s="2" t="s">
        <v>8500</v>
      </c>
      <c r="I2346" s="2" t="s">
        <v>4604</v>
      </c>
      <c r="J2346" s="2" t="s">
        <v>3249</v>
      </c>
      <c r="K2346" s="13" t="s">
        <v>13177</v>
      </c>
      <c r="L2346" s="7"/>
    </row>
    <row r="2347" spans="1:12" ht="55.2" hidden="1" x14ac:dyDescent="0.3">
      <c r="A2347" s="2" t="s">
        <v>4604</v>
      </c>
      <c r="B2347" s="2" t="s">
        <v>8501</v>
      </c>
      <c r="C2347" s="3">
        <v>19057</v>
      </c>
      <c r="D2347" s="1" t="s">
        <v>8502</v>
      </c>
      <c r="E2347" s="1" t="s">
        <v>8503</v>
      </c>
      <c r="F2347" s="2" t="s">
        <v>5668</v>
      </c>
      <c r="G2347" s="2" t="s">
        <v>222</v>
      </c>
      <c r="H2347" s="2" t="s">
        <v>8504</v>
      </c>
      <c r="I2347" s="2" t="s">
        <v>4604</v>
      </c>
      <c r="J2347" s="2" t="s">
        <v>417</v>
      </c>
      <c r="K2347" s="13" t="s">
        <v>13177</v>
      </c>
      <c r="L2347" s="7"/>
    </row>
    <row r="2348" spans="1:12" ht="55.2" hidden="1" x14ac:dyDescent="0.3">
      <c r="A2348" s="2" t="s">
        <v>4604</v>
      </c>
      <c r="B2348" s="2" t="s">
        <v>8505</v>
      </c>
      <c r="C2348" s="3">
        <v>25126</v>
      </c>
      <c r="D2348" s="1" t="s">
        <v>8506</v>
      </c>
      <c r="E2348" s="1" t="s">
        <v>8507</v>
      </c>
      <c r="F2348" s="2" t="s">
        <v>4698</v>
      </c>
      <c r="G2348" s="2" t="s">
        <v>2977</v>
      </c>
      <c r="H2348" s="2" t="s">
        <v>8508</v>
      </c>
      <c r="I2348" s="2" t="s">
        <v>4604</v>
      </c>
      <c r="J2348" s="2" t="s">
        <v>8509</v>
      </c>
      <c r="K2348" s="13" t="s">
        <v>13177</v>
      </c>
      <c r="L2348" s="7"/>
    </row>
    <row r="2349" spans="1:12" ht="27.6" hidden="1" x14ac:dyDescent="0.3">
      <c r="A2349" s="2" t="s">
        <v>4386</v>
      </c>
      <c r="B2349" s="2" t="s">
        <v>8510</v>
      </c>
      <c r="C2349" s="3">
        <v>38476</v>
      </c>
      <c r="D2349" s="1" t="s">
        <v>8511</v>
      </c>
      <c r="E2349" s="1" t="s">
        <v>8512</v>
      </c>
      <c r="F2349" s="2" t="s">
        <v>4555</v>
      </c>
      <c r="G2349" s="2" t="s">
        <v>6887</v>
      </c>
      <c r="H2349" s="2" t="s">
        <v>334</v>
      </c>
      <c r="I2349" s="2" t="s">
        <v>4386</v>
      </c>
      <c r="J2349" s="2" t="s">
        <v>8513</v>
      </c>
      <c r="K2349" s="13" t="s">
        <v>13177</v>
      </c>
      <c r="L2349" s="7"/>
    </row>
    <row r="2350" spans="1:12" ht="27.6" hidden="1" x14ac:dyDescent="0.3">
      <c r="A2350" s="2" t="s">
        <v>4386</v>
      </c>
      <c r="B2350" s="2" t="s">
        <v>8514</v>
      </c>
      <c r="C2350" s="3">
        <v>35457</v>
      </c>
      <c r="D2350" s="1" t="s">
        <v>8515</v>
      </c>
      <c r="E2350" s="1" t="s">
        <v>8516</v>
      </c>
      <c r="F2350" s="2" t="s">
        <v>4555</v>
      </c>
      <c r="G2350" s="2" t="s">
        <v>8517</v>
      </c>
      <c r="H2350" s="2" t="s">
        <v>103</v>
      </c>
      <c r="I2350" s="2" t="s">
        <v>4386</v>
      </c>
      <c r="J2350" s="2" t="s">
        <v>8518</v>
      </c>
      <c r="K2350" s="13" t="s">
        <v>13177</v>
      </c>
      <c r="L2350" s="7"/>
    </row>
    <row r="2351" spans="1:12" ht="27.6" hidden="1" x14ac:dyDescent="0.3">
      <c r="A2351" s="2" t="s">
        <v>4386</v>
      </c>
      <c r="B2351" s="2" t="s">
        <v>8519</v>
      </c>
      <c r="C2351" s="3">
        <v>34973</v>
      </c>
      <c r="D2351" s="1" t="s">
        <v>8520</v>
      </c>
      <c r="E2351" s="1" t="s">
        <v>8521</v>
      </c>
      <c r="F2351" s="2" t="s">
        <v>4555</v>
      </c>
      <c r="G2351" s="2" t="s">
        <v>8517</v>
      </c>
      <c r="H2351" s="2" t="s">
        <v>81</v>
      </c>
      <c r="I2351" s="2" t="s">
        <v>4386</v>
      </c>
      <c r="J2351" s="2" t="s">
        <v>8522</v>
      </c>
      <c r="K2351" s="13" t="s">
        <v>13177</v>
      </c>
      <c r="L2351" s="7"/>
    </row>
    <row r="2352" spans="1:12" ht="27.6" hidden="1" x14ac:dyDescent="0.3">
      <c r="A2352" s="2" t="s">
        <v>4386</v>
      </c>
      <c r="B2352" s="2" t="s">
        <v>8523</v>
      </c>
      <c r="C2352" s="3">
        <v>35214</v>
      </c>
      <c r="D2352" s="1" t="s">
        <v>8524</v>
      </c>
      <c r="E2352" s="1" t="s">
        <v>8525</v>
      </c>
      <c r="F2352" s="2" t="s">
        <v>4555</v>
      </c>
      <c r="G2352" s="2" t="s">
        <v>8517</v>
      </c>
      <c r="H2352" s="2" t="s">
        <v>562</v>
      </c>
      <c r="I2352" s="2" t="s">
        <v>4386</v>
      </c>
      <c r="J2352" s="2" t="s">
        <v>8522</v>
      </c>
      <c r="K2352" s="13" t="s">
        <v>13177</v>
      </c>
      <c r="L2352" s="7"/>
    </row>
    <row r="2353" spans="1:12" ht="27.6" hidden="1" x14ac:dyDescent="0.3">
      <c r="A2353" s="2" t="s">
        <v>60</v>
      </c>
      <c r="B2353" s="2" t="s">
        <v>8526</v>
      </c>
      <c r="C2353" s="3">
        <v>23355</v>
      </c>
      <c r="D2353" s="1" t="s">
        <v>8527</v>
      </c>
      <c r="E2353" s="1" t="s">
        <v>8528</v>
      </c>
      <c r="F2353" s="2" t="s">
        <v>618</v>
      </c>
      <c r="G2353" s="2" t="s">
        <v>206</v>
      </c>
      <c r="H2353" s="2" t="s">
        <v>10</v>
      </c>
      <c r="I2353" s="2" t="s">
        <v>60</v>
      </c>
      <c r="J2353" s="2" t="s">
        <v>1552</v>
      </c>
      <c r="K2353" s="13" t="s">
        <v>13177</v>
      </c>
      <c r="L2353" s="7"/>
    </row>
    <row r="2354" spans="1:12" ht="27.6" hidden="1" x14ac:dyDescent="0.3">
      <c r="A2354" s="2" t="s">
        <v>4386</v>
      </c>
      <c r="B2354" s="2" t="s">
        <v>8529</v>
      </c>
      <c r="C2354" s="3">
        <v>26605</v>
      </c>
      <c r="D2354" s="1" t="s">
        <v>8530</v>
      </c>
      <c r="E2354" s="1" t="s">
        <v>8531</v>
      </c>
      <c r="F2354" s="2" t="s">
        <v>5053</v>
      </c>
      <c r="G2354" s="2" t="s">
        <v>627</v>
      </c>
      <c r="H2354" s="2" t="s">
        <v>10</v>
      </c>
      <c r="I2354" s="2" t="s">
        <v>4386</v>
      </c>
      <c r="J2354" s="2" t="s">
        <v>8532</v>
      </c>
      <c r="K2354" s="13" t="s">
        <v>13177</v>
      </c>
      <c r="L2354" s="7"/>
    </row>
    <row r="2355" spans="1:12" ht="27.6" hidden="1" x14ac:dyDescent="0.3">
      <c r="A2355" s="2" t="s">
        <v>4386</v>
      </c>
      <c r="B2355" s="2" t="s">
        <v>8533</v>
      </c>
      <c r="C2355" s="3">
        <v>22001</v>
      </c>
      <c r="D2355" s="1" t="s">
        <v>8534</v>
      </c>
      <c r="E2355" s="1" t="s">
        <v>8535</v>
      </c>
      <c r="F2355" s="2" t="s">
        <v>8536</v>
      </c>
      <c r="G2355" s="2" t="s">
        <v>8537</v>
      </c>
      <c r="H2355" s="2" t="s">
        <v>81</v>
      </c>
      <c r="I2355" s="2" t="s">
        <v>4386</v>
      </c>
      <c r="J2355" s="2" t="s">
        <v>8538</v>
      </c>
      <c r="K2355" s="13" t="s">
        <v>13177</v>
      </c>
      <c r="L2355" s="7"/>
    </row>
    <row r="2356" spans="1:12" ht="27.6" hidden="1" x14ac:dyDescent="0.3">
      <c r="A2356" s="2" t="s">
        <v>4386</v>
      </c>
      <c r="B2356" s="2" t="s">
        <v>8539</v>
      </c>
      <c r="C2356" s="3">
        <v>28352</v>
      </c>
      <c r="D2356" s="1" t="s">
        <v>8540</v>
      </c>
      <c r="E2356" s="1" t="s">
        <v>8541</v>
      </c>
      <c r="F2356" s="2" t="s">
        <v>8536</v>
      </c>
      <c r="G2356" s="2" t="s">
        <v>8537</v>
      </c>
      <c r="H2356" s="2" t="s">
        <v>103</v>
      </c>
      <c r="I2356" s="2" t="s">
        <v>4386</v>
      </c>
      <c r="J2356" s="2" t="s">
        <v>8538</v>
      </c>
      <c r="K2356" s="13" t="s">
        <v>13177</v>
      </c>
      <c r="L2356" s="7"/>
    </row>
    <row r="2357" spans="1:12" ht="27.6" hidden="1" x14ac:dyDescent="0.3">
      <c r="A2357" s="2" t="s">
        <v>4386</v>
      </c>
      <c r="B2357" s="2" t="s">
        <v>8542</v>
      </c>
      <c r="C2357" s="3">
        <v>29266</v>
      </c>
      <c r="D2357" s="1" t="s">
        <v>8543</v>
      </c>
      <c r="E2357" s="1" t="s">
        <v>8544</v>
      </c>
      <c r="F2357" s="2" t="s">
        <v>8536</v>
      </c>
      <c r="G2357" s="2" t="s">
        <v>8545</v>
      </c>
      <c r="H2357" s="2" t="s">
        <v>10</v>
      </c>
      <c r="I2357" s="2" t="s">
        <v>4386</v>
      </c>
      <c r="J2357" s="2" t="s">
        <v>8546</v>
      </c>
      <c r="K2357" s="13" t="s">
        <v>13177</v>
      </c>
      <c r="L2357" s="7"/>
    </row>
    <row r="2358" spans="1:12" ht="27.6" hidden="1" x14ac:dyDescent="0.3">
      <c r="A2358" s="2" t="s">
        <v>4386</v>
      </c>
      <c r="B2358" s="2" t="s">
        <v>8547</v>
      </c>
      <c r="C2358" s="3">
        <v>29421</v>
      </c>
      <c r="D2358" s="1" t="s">
        <v>8548</v>
      </c>
      <c r="E2358" s="1" t="s">
        <v>8549</v>
      </c>
      <c r="F2358" s="2" t="s">
        <v>8536</v>
      </c>
      <c r="G2358" s="2" t="s">
        <v>8550</v>
      </c>
      <c r="H2358" s="2" t="s">
        <v>10</v>
      </c>
      <c r="I2358" s="2" t="s">
        <v>4386</v>
      </c>
      <c r="J2358" s="2" t="s">
        <v>8551</v>
      </c>
      <c r="K2358" s="13" t="s">
        <v>13177</v>
      </c>
      <c r="L2358" s="7"/>
    </row>
    <row r="2359" spans="1:12" ht="27.6" hidden="1" x14ac:dyDescent="0.3">
      <c r="A2359" s="2" t="s">
        <v>4386</v>
      </c>
      <c r="B2359" s="2" t="s">
        <v>8552</v>
      </c>
      <c r="C2359" s="3">
        <v>34916</v>
      </c>
      <c r="D2359" s="1" t="s">
        <v>8553</v>
      </c>
      <c r="E2359" s="1" t="s">
        <v>8554</v>
      </c>
      <c r="F2359" s="2" t="s">
        <v>8536</v>
      </c>
      <c r="G2359" s="2" t="s">
        <v>8555</v>
      </c>
      <c r="H2359" s="2" t="s">
        <v>10</v>
      </c>
      <c r="I2359" s="2" t="s">
        <v>4386</v>
      </c>
      <c r="J2359" s="2" t="s">
        <v>8556</v>
      </c>
      <c r="K2359" s="13" t="s">
        <v>13177</v>
      </c>
      <c r="L2359" s="7"/>
    </row>
    <row r="2360" spans="1:12" ht="55.2" hidden="1" x14ac:dyDescent="0.3">
      <c r="A2360" s="2" t="s">
        <v>4604</v>
      </c>
      <c r="B2360" s="2" t="s">
        <v>8557</v>
      </c>
      <c r="C2360" s="3">
        <v>28419</v>
      </c>
      <c r="D2360" s="1" t="s">
        <v>8558</v>
      </c>
      <c r="E2360" s="1" t="s">
        <v>8559</v>
      </c>
      <c r="F2360" s="2" t="s">
        <v>5668</v>
      </c>
      <c r="G2360" s="2" t="s">
        <v>12</v>
      </c>
      <c r="H2360" s="2" t="s">
        <v>8560</v>
      </c>
      <c r="I2360" s="2" t="s">
        <v>4604</v>
      </c>
      <c r="J2360" s="2" t="s">
        <v>54</v>
      </c>
      <c r="K2360" s="13" t="s">
        <v>13177</v>
      </c>
      <c r="L2360" s="7"/>
    </row>
    <row r="2361" spans="1:12" ht="55.2" hidden="1" x14ac:dyDescent="0.3">
      <c r="A2361" s="2" t="s">
        <v>4604</v>
      </c>
      <c r="B2361" s="2" t="s">
        <v>8561</v>
      </c>
      <c r="C2361" s="3">
        <v>36992</v>
      </c>
      <c r="D2361" s="1" t="s">
        <v>442</v>
      </c>
      <c r="E2361" s="1" t="s">
        <v>8562</v>
      </c>
      <c r="F2361" s="2" t="s">
        <v>5668</v>
      </c>
      <c r="G2361" s="2" t="s">
        <v>25</v>
      </c>
      <c r="H2361" s="2" t="s">
        <v>8563</v>
      </c>
      <c r="I2361" s="2" t="s">
        <v>4604</v>
      </c>
      <c r="J2361" s="2" t="s">
        <v>27</v>
      </c>
      <c r="K2361" s="13" t="s">
        <v>13177</v>
      </c>
      <c r="L2361" s="7"/>
    </row>
    <row r="2362" spans="1:12" ht="55.2" hidden="1" x14ac:dyDescent="0.3">
      <c r="A2362" s="2" t="s">
        <v>4604</v>
      </c>
      <c r="B2362" s="2" t="s">
        <v>8564</v>
      </c>
      <c r="C2362" s="3">
        <v>35826</v>
      </c>
      <c r="D2362" s="1" t="s">
        <v>8565</v>
      </c>
      <c r="E2362" s="1" t="s">
        <v>8566</v>
      </c>
      <c r="F2362" s="2" t="s">
        <v>5668</v>
      </c>
      <c r="G2362" s="2" t="s">
        <v>425</v>
      </c>
      <c r="H2362" s="2" t="s">
        <v>8567</v>
      </c>
      <c r="I2362" s="2" t="s">
        <v>4604</v>
      </c>
      <c r="J2362" s="2" t="s">
        <v>841</v>
      </c>
      <c r="K2362" s="13" t="s">
        <v>13177</v>
      </c>
      <c r="L2362" s="7"/>
    </row>
    <row r="2363" spans="1:12" ht="55.2" hidden="1" x14ac:dyDescent="0.3">
      <c r="A2363" s="2" t="s">
        <v>4604</v>
      </c>
      <c r="B2363" s="2" t="s">
        <v>8568</v>
      </c>
      <c r="C2363" s="3">
        <v>33802</v>
      </c>
      <c r="D2363" s="1" t="s">
        <v>8569</v>
      </c>
      <c r="E2363" s="1" t="s">
        <v>8570</v>
      </c>
      <c r="F2363" s="2" t="s">
        <v>5668</v>
      </c>
      <c r="G2363" s="2" t="s">
        <v>112</v>
      </c>
      <c r="H2363" s="2" t="s">
        <v>8571</v>
      </c>
      <c r="I2363" s="2" t="s">
        <v>4604</v>
      </c>
      <c r="J2363" s="2" t="s">
        <v>113</v>
      </c>
      <c r="K2363" s="13" t="s">
        <v>13177</v>
      </c>
      <c r="L2363" s="7"/>
    </row>
    <row r="2364" spans="1:12" ht="55.2" hidden="1" x14ac:dyDescent="0.3">
      <c r="A2364" s="2" t="s">
        <v>4604</v>
      </c>
      <c r="B2364" s="2" t="s">
        <v>8572</v>
      </c>
      <c r="C2364" s="3">
        <v>34549</v>
      </c>
      <c r="D2364" s="1" t="s">
        <v>8573</v>
      </c>
      <c r="E2364" s="1" t="s">
        <v>8574</v>
      </c>
      <c r="F2364" s="2" t="s">
        <v>5668</v>
      </c>
      <c r="G2364" s="2" t="s">
        <v>222</v>
      </c>
      <c r="H2364" s="2" t="s">
        <v>8575</v>
      </c>
      <c r="I2364" s="2" t="s">
        <v>4604</v>
      </c>
      <c r="J2364" s="2" t="s">
        <v>417</v>
      </c>
      <c r="K2364" s="13" t="s">
        <v>13177</v>
      </c>
      <c r="L2364" s="7"/>
    </row>
    <row r="2365" spans="1:12" ht="55.2" hidden="1" x14ac:dyDescent="0.3">
      <c r="A2365" s="2" t="s">
        <v>4604</v>
      </c>
      <c r="B2365" s="2" t="s">
        <v>8576</v>
      </c>
      <c r="C2365" s="3">
        <v>26025</v>
      </c>
      <c r="D2365" s="1" t="s">
        <v>8577</v>
      </c>
      <c r="E2365" s="1" t="s">
        <v>8578</v>
      </c>
      <c r="F2365" s="2" t="s">
        <v>5668</v>
      </c>
      <c r="G2365" s="2" t="s">
        <v>328</v>
      </c>
      <c r="H2365" s="2" t="s">
        <v>8579</v>
      </c>
      <c r="I2365" s="2" t="s">
        <v>4604</v>
      </c>
      <c r="J2365" s="2" t="s">
        <v>1839</v>
      </c>
      <c r="K2365" s="13" t="s">
        <v>13177</v>
      </c>
      <c r="L2365" s="7"/>
    </row>
    <row r="2366" spans="1:12" ht="55.2" hidden="1" x14ac:dyDescent="0.3">
      <c r="A2366" s="2" t="s">
        <v>4604</v>
      </c>
      <c r="B2366" s="2" t="s">
        <v>8580</v>
      </c>
      <c r="C2366" s="3">
        <v>32834</v>
      </c>
      <c r="D2366" s="1" t="s">
        <v>442</v>
      </c>
      <c r="E2366" s="1" t="s">
        <v>8581</v>
      </c>
      <c r="F2366" s="2" t="s">
        <v>5969</v>
      </c>
      <c r="G2366" s="2" t="s">
        <v>258</v>
      </c>
      <c r="H2366" s="2" t="s">
        <v>8582</v>
      </c>
      <c r="I2366" s="2" t="s">
        <v>4604</v>
      </c>
      <c r="J2366" s="2" t="s">
        <v>430</v>
      </c>
      <c r="K2366" s="13" t="s">
        <v>13177</v>
      </c>
      <c r="L2366" s="7"/>
    </row>
    <row r="2367" spans="1:12" ht="55.2" hidden="1" x14ac:dyDescent="0.3">
      <c r="A2367" s="2" t="s">
        <v>4604</v>
      </c>
      <c r="B2367" s="2" t="s">
        <v>8583</v>
      </c>
      <c r="C2367" s="3">
        <v>29391</v>
      </c>
      <c r="D2367" s="1" t="s">
        <v>8584</v>
      </c>
      <c r="E2367" s="1" t="s">
        <v>8585</v>
      </c>
      <c r="F2367" s="2" t="s">
        <v>5698</v>
      </c>
      <c r="G2367" s="2" t="s">
        <v>1403</v>
      </c>
      <c r="H2367" s="2" t="s">
        <v>8586</v>
      </c>
      <c r="I2367" s="2" t="s">
        <v>4604</v>
      </c>
      <c r="J2367" s="2" t="s">
        <v>4848</v>
      </c>
      <c r="K2367" s="13" t="s">
        <v>13177</v>
      </c>
      <c r="L2367" s="7"/>
    </row>
    <row r="2368" spans="1:12" ht="55.2" hidden="1" x14ac:dyDescent="0.3">
      <c r="A2368" s="2" t="s">
        <v>4604</v>
      </c>
      <c r="B2368" s="2" t="s">
        <v>8587</v>
      </c>
      <c r="C2368" s="3">
        <v>27241</v>
      </c>
      <c r="D2368" s="1" t="s">
        <v>8588</v>
      </c>
      <c r="E2368" s="1" t="s">
        <v>8589</v>
      </c>
      <c r="F2368" s="2" t="s">
        <v>5969</v>
      </c>
      <c r="G2368" s="2" t="s">
        <v>288</v>
      </c>
      <c r="H2368" s="2" t="s">
        <v>8590</v>
      </c>
      <c r="I2368" s="2" t="s">
        <v>4604</v>
      </c>
      <c r="J2368" s="2" t="s">
        <v>4962</v>
      </c>
      <c r="K2368" s="13" t="s">
        <v>13177</v>
      </c>
      <c r="L2368" s="7"/>
    </row>
    <row r="2369" spans="1:12" ht="55.2" hidden="1" x14ac:dyDescent="0.3">
      <c r="A2369" s="2" t="s">
        <v>4604</v>
      </c>
      <c r="B2369" s="2" t="s">
        <v>8591</v>
      </c>
      <c r="C2369" s="3">
        <v>35521</v>
      </c>
      <c r="D2369" s="1" t="s">
        <v>8592</v>
      </c>
      <c r="E2369" s="1" t="s">
        <v>8593</v>
      </c>
      <c r="F2369" s="2" t="s">
        <v>5969</v>
      </c>
      <c r="G2369" s="2" t="s">
        <v>152</v>
      </c>
      <c r="H2369" s="2" t="s">
        <v>8594</v>
      </c>
      <c r="I2369" s="2" t="s">
        <v>4604</v>
      </c>
      <c r="J2369" s="2" t="s">
        <v>4099</v>
      </c>
      <c r="K2369" s="13" t="s">
        <v>13177</v>
      </c>
      <c r="L2369" s="7"/>
    </row>
    <row r="2370" spans="1:12" hidden="1" x14ac:dyDescent="0.3">
      <c r="A2370" s="8" t="s">
        <v>4139</v>
      </c>
      <c r="B2370" s="8" t="s">
        <v>8595</v>
      </c>
      <c r="C2370" s="9">
        <v>31396</v>
      </c>
      <c r="D2370" s="10" t="s">
        <v>8596</v>
      </c>
      <c r="E2370" s="10" t="s">
        <v>8597</v>
      </c>
      <c r="F2370" s="8" t="s">
        <v>8598</v>
      </c>
      <c r="G2370" s="8" t="s">
        <v>8599</v>
      </c>
      <c r="H2370" s="8" t="s">
        <v>4409</v>
      </c>
      <c r="I2370" s="8" t="s">
        <v>4139</v>
      </c>
      <c r="J2370" s="8" t="s">
        <v>8600</v>
      </c>
      <c r="K2370" s="13" t="s">
        <v>13177</v>
      </c>
      <c r="L2370" s="7" t="s">
        <v>13199</v>
      </c>
    </row>
    <row r="2371" spans="1:12" hidden="1" x14ac:dyDescent="0.3">
      <c r="A2371" s="2" t="s">
        <v>4139</v>
      </c>
      <c r="B2371" s="2" t="s">
        <v>8601</v>
      </c>
      <c r="C2371" s="3">
        <v>32161</v>
      </c>
      <c r="D2371" s="1" t="s">
        <v>8602</v>
      </c>
      <c r="E2371" s="1" t="s">
        <v>8603</v>
      </c>
      <c r="F2371" s="2" t="s">
        <v>4143</v>
      </c>
      <c r="G2371" s="2" t="s">
        <v>8604</v>
      </c>
      <c r="H2371" s="2" t="s">
        <v>4409</v>
      </c>
      <c r="I2371" s="2" t="s">
        <v>4139</v>
      </c>
      <c r="J2371" s="2" t="s">
        <v>8605</v>
      </c>
      <c r="K2371" s="13" t="s">
        <v>13177</v>
      </c>
      <c r="L2371" s="7" t="s">
        <v>13199</v>
      </c>
    </row>
    <row r="2372" spans="1:12" x14ac:dyDescent="0.3">
      <c r="A2372" s="51" t="s">
        <v>4139</v>
      </c>
      <c r="B2372" s="51" t="s">
        <v>8606</v>
      </c>
      <c r="C2372" s="52">
        <v>39228</v>
      </c>
      <c r="D2372" s="53" t="s">
        <v>5616</v>
      </c>
      <c r="E2372" s="53" t="s">
        <v>8607</v>
      </c>
      <c r="F2372" s="51" t="s">
        <v>8598</v>
      </c>
      <c r="G2372" s="51" t="s">
        <v>8608</v>
      </c>
      <c r="H2372" s="51" t="s">
        <v>81</v>
      </c>
      <c r="I2372" s="51" t="s">
        <v>4139</v>
      </c>
      <c r="J2372" s="51" t="s">
        <v>8609</v>
      </c>
      <c r="K2372" s="54" t="s">
        <v>13177</v>
      </c>
      <c r="L2372" s="55" t="s">
        <v>13199</v>
      </c>
    </row>
    <row r="2373" spans="1:12" x14ac:dyDescent="0.3">
      <c r="A2373" s="8" t="s">
        <v>4139</v>
      </c>
      <c r="B2373" s="8" t="s">
        <v>8610</v>
      </c>
      <c r="C2373" s="9">
        <v>37857</v>
      </c>
      <c r="D2373" s="10" t="s">
        <v>8611</v>
      </c>
      <c r="E2373" s="10" t="s">
        <v>8612</v>
      </c>
      <c r="F2373" s="8" t="s">
        <v>8598</v>
      </c>
      <c r="G2373" s="8" t="s">
        <v>8608</v>
      </c>
      <c r="H2373" s="8" t="s">
        <v>103</v>
      </c>
      <c r="I2373" s="8" t="s">
        <v>4139</v>
      </c>
      <c r="J2373" s="8" t="s">
        <v>8609</v>
      </c>
      <c r="K2373" s="13" t="s">
        <v>13177</v>
      </c>
      <c r="L2373" s="7" t="s">
        <v>13199</v>
      </c>
    </row>
    <row r="2374" spans="1:12" hidden="1" x14ac:dyDescent="0.3">
      <c r="A2374" s="8" t="s">
        <v>4139</v>
      </c>
      <c r="B2374" s="8" t="s">
        <v>8613</v>
      </c>
      <c r="C2374" s="9">
        <v>29808</v>
      </c>
      <c r="D2374" s="10" t="s">
        <v>8614</v>
      </c>
      <c r="E2374" s="10" t="s">
        <v>8615</v>
      </c>
      <c r="F2374" s="8" t="s">
        <v>8598</v>
      </c>
      <c r="G2374" s="8" t="s">
        <v>8616</v>
      </c>
      <c r="H2374" s="8" t="s">
        <v>10</v>
      </c>
      <c r="I2374" s="8" t="s">
        <v>4139</v>
      </c>
      <c r="J2374" s="8" t="s">
        <v>8617</v>
      </c>
      <c r="K2374" s="13" t="s">
        <v>13177</v>
      </c>
      <c r="L2374" s="7" t="s">
        <v>13199</v>
      </c>
    </row>
    <row r="2375" spans="1:12" hidden="1" x14ac:dyDescent="0.3">
      <c r="A2375" s="8" t="s">
        <v>4139</v>
      </c>
      <c r="B2375" s="8" t="s">
        <v>8618</v>
      </c>
      <c r="C2375" s="9">
        <v>34430</v>
      </c>
      <c r="D2375" s="10" t="s">
        <v>8619</v>
      </c>
      <c r="E2375" s="10" t="s">
        <v>8620</v>
      </c>
      <c r="F2375" s="8" t="s">
        <v>8598</v>
      </c>
      <c r="G2375" s="8" t="s">
        <v>8621</v>
      </c>
      <c r="H2375" s="8" t="s">
        <v>10</v>
      </c>
      <c r="I2375" s="8" t="s">
        <v>4139</v>
      </c>
      <c r="J2375" s="8" t="s">
        <v>8622</v>
      </c>
      <c r="K2375" s="13" t="s">
        <v>13177</v>
      </c>
      <c r="L2375" s="7" t="s">
        <v>13199</v>
      </c>
    </row>
    <row r="2376" spans="1:12" hidden="1" x14ac:dyDescent="0.3">
      <c r="A2376" s="8" t="s">
        <v>4139</v>
      </c>
      <c r="B2376" s="8" t="s">
        <v>8623</v>
      </c>
      <c r="C2376" s="9">
        <v>28762</v>
      </c>
      <c r="D2376" s="10" t="s">
        <v>8624</v>
      </c>
      <c r="E2376" s="10" t="s">
        <v>8625</v>
      </c>
      <c r="F2376" s="8" t="s">
        <v>8598</v>
      </c>
      <c r="G2376" s="8" t="s">
        <v>8626</v>
      </c>
      <c r="H2376" s="8" t="s">
        <v>10</v>
      </c>
      <c r="I2376" s="8" t="s">
        <v>4139</v>
      </c>
      <c r="J2376" s="8" t="s">
        <v>8627</v>
      </c>
      <c r="K2376" s="13" t="s">
        <v>13177</v>
      </c>
      <c r="L2376" s="7" t="s">
        <v>13199</v>
      </c>
    </row>
    <row r="2377" spans="1:12" hidden="1" x14ac:dyDescent="0.3">
      <c r="A2377" s="8" t="s">
        <v>4139</v>
      </c>
      <c r="B2377" s="8" t="s">
        <v>8628</v>
      </c>
      <c r="C2377" s="9">
        <v>20380</v>
      </c>
      <c r="D2377" s="10" t="s">
        <v>8629</v>
      </c>
      <c r="E2377" s="10" t="s">
        <v>7662</v>
      </c>
      <c r="F2377" s="8" t="s">
        <v>8598</v>
      </c>
      <c r="G2377" s="8" t="s">
        <v>8630</v>
      </c>
      <c r="H2377" s="8" t="s">
        <v>10</v>
      </c>
      <c r="I2377" s="8" t="s">
        <v>4139</v>
      </c>
      <c r="J2377" s="8" t="s">
        <v>8631</v>
      </c>
      <c r="K2377" s="13" t="s">
        <v>13177</v>
      </c>
      <c r="L2377" s="7" t="s">
        <v>13199</v>
      </c>
    </row>
    <row r="2378" spans="1:12" hidden="1" x14ac:dyDescent="0.3">
      <c r="A2378" s="8" t="s">
        <v>4139</v>
      </c>
      <c r="B2378" s="8" t="s">
        <v>8632</v>
      </c>
      <c r="C2378" s="9">
        <v>31200</v>
      </c>
      <c r="D2378" s="10" t="s">
        <v>8633</v>
      </c>
      <c r="E2378" s="10" t="s">
        <v>8634</v>
      </c>
      <c r="F2378" s="8" t="s">
        <v>8598</v>
      </c>
      <c r="G2378" s="8" t="s">
        <v>8635</v>
      </c>
      <c r="H2378" s="8" t="s">
        <v>103</v>
      </c>
      <c r="I2378" s="8" t="s">
        <v>4139</v>
      </c>
      <c r="J2378" s="8" t="s">
        <v>8636</v>
      </c>
      <c r="K2378" s="13" t="s">
        <v>13177</v>
      </c>
      <c r="L2378" s="7" t="s">
        <v>13199</v>
      </c>
    </row>
    <row r="2379" spans="1:12" hidden="1" x14ac:dyDescent="0.3">
      <c r="A2379" s="8" t="s">
        <v>4139</v>
      </c>
      <c r="B2379" s="8" t="s">
        <v>8637</v>
      </c>
      <c r="C2379" s="9">
        <v>26559</v>
      </c>
      <c r="D2379" s="10" t="s">
        <v>8638</v>
      </c>
      <c r="E2379" s="10" t="s">
        <v>8639</v>
      </c>
      <c r="F2379" s="8" t="s">
        <v>8598</v>
      </c>
      <c r="G2379" s="8" t="s">
        <v>8640</v>
      </c>
      <c r="H2379" s="8" t="s">
        <v>10</v>
      </c>
      <c r="I2379" s="8" t="s">
        <v>4139</v>
      </c>
      <c r="J2379" s="8" t="s">
        <v>8641</v>
      </c>
      <c r="K2379" s="13" t="s">
        <v>13177</v>
      </c>
      <c r="L2379" s="7" t="s">
        <v>13199</v>
      </c>
    </row>
    <row r="2380" spans="1:12" x14ac:dyDescent="0.3">
      <c r="A2380" s="51" t="s">
        <v>4139</v>
      </c>
      <c r="B2380" s="51" t="s">
        <v>8642</v>
      </c>
      <c r="C2380" s="52">
        <v>23728</v>
      </c>
      <c r="D2380" s="53" t="s">
        <v>8643</v>
      </c>
      <c r="E2380" s="53" t="s">
        <v>8644</v>
      </c>
      <c r="F2380" s="51" t="s">
        <v>8598</v>
      </c>
      <c r="G2380" s="51" t="s">
        <v>8645</v>
      </c>
      <c r="H2380" s="51" t="s">
        <v>10</v>
      </c>
      <c r="I2380" s="51" t="s">
        <v>4139</v>
      </c>
      <c r="J2380" s="51" t="s">
        <v>8646</v>
      </c>
      <c r="K2380" s="54" t="s">
        <v>13177</v>
      </c>
      <c r="L2380" s="55" t="s">
        <v>13199</v>
      </c>
    </row>
    <row r="2381" spans="1:12" hidden="1" x14ac:dyDescent="0.3">
      <c r="A2381" s="8" t="s">
        <v>4139</v>
      </c>
      <c r="B2381" s="8" t="s">
        <v>8647</v>
      </c>
      <c r="C2381" s="9">
        <v>28039</v>
      </c>
      <c r="D2381" s="10" t="s">
        <v>8648</v>
      </c>
      <c r="E2381" s="10" t="s">
        <v>8649</v>
      </c>
      <c r="F2381" s="8" t="s">
        <v>8598</v>
      </c>
      <c r="G2381" s="8" t="s">
        <v>8650</v>
      </c>
      <c r="H2381" s="8" t="s">
        <v>10</v>
      </c>
      <c r="I2381" s="8" t="s">
        <v>4139</v>
      </c>
      <c r="J2381" s="8" t="s">
        <v>8651</v>
      </c>
      <c r="K2381" s="13" t="s">
        <v>13177</v>
      </c>
      <c r="L2381" s="7" t="s">
        <v>13199</v>
      </c>
    </row>
    <row r="2382" spans="1:12" ht="55.2" hidden="1" x14ac:dyDescent="0.3">
      <c r="A2382" s="2" t="s">
        <v>4604</v>
      </c>
      <c r="B2382" s="2" t="s">
        <v>8652</v>
      </c>
      <c r="C2382" s="3">
        <v>18985</v>
      </c>
      <c r="D2382" s="1" t="s">
        <v>5715</v>
      </c>
      <c r="E2382" s="1" t="s">
        <v>8653</v>
      </c>
      <c r="F2382" s="2" t="s">
        <v>4608</v>
      </c>
      <c r="G2382" s="2" t="s">
        <v>288</v>
      </c>
      <c r="H2382" s="2" t="s">
        <v>8654</v>
      </c>
      <c r="I2382" s="2" t="s">
        <v>4604</v>
      </c>
      <c r="J2382" s="2" t="s">
        <v>4962</v>
      </c>
      <c r="K2382" s="13" t="s">
        <v>13177</v>
      </c>
      <c r="L2382" s="7"/>
    </row>
    <row r="2383" spans="1:12" ht="55.2" hidden="1" x14ac:dyDescent="0.3">
      <c r="A2383" s="2" t="s">
        <v>4604</v>
      </c>
      <c r="B2383" s="2" t="s">
        <v>8655</v>
      </c>
      <c r="C2383" s="3">
        <v>36469</v>
      </c>
      <c r="D2383" s="1" t="s">
        <v>8656</v>
      </c>
      <c r="E2383" s="1" t="s">
        <v>8657</v>
      </c>
      <c r="F2383" s="2" t="s">
        <v>4698</v>
      </c>
      <c r="G2383" s="2" t="s">
        <v>511</v>
      </c>
      <c r="H2383" s="2" t="s">
        <v>8658</v>
      </c>
      <c r="I2383" s="2" t="s">
        <v>4604</v>
      </c>
      <c r="J2383" s="2" t="s">
        <v>5782</v>
      </c>
      <c r="K2383" s="13" t="s">
        <v>13177</v>
      </c>
      <c r="L2383" s="7"/>
    </row>
    <row r="2384" spans="1:12" ht="55.2" hidden="1" x14ac:dyDescent="0.3">
      <c r="A2384" s="2" t="s">
        <v>4604</v>
      </c>
      <c r="B2384" s="2" t="s">
        <v>8659</v>
      </c>
      <c r="C2384" s="3">
        <v>38158</v>
      </c>
      <c r="D2384" s="1" t="s">
        <v>8660</v>
      </c>
      <c r="E2384" s="1" t="s">
        <v>8661</v>
      </c>
      <c r="F2384" s="2" t="s">
        <v>4698</v>
      </c>
      <c r="G2384" s="2" t="s">
        <v>511</v>
      </c>
      <c r="H2384" s="2" t="s">
        <v>8662</v>
      </c>
      <c r="I2384" s="2" t="s">
        <v>4604</v>
      </c>
      <c r="J2384" s="2" t="s">
        <v>5782</v>
      </c>
      <c r="K2384" s="13" t="s">
        <v>13177</v>
      </c>
      <c r="L2384" s="7"/>
    </row>
    <row r="2385" spans="1:12" ht="55.2" hidden="1" x14ac:dyDescent="0.3">
      <c r="A2385" s="2" t="s">
        <v>4604</v>
      </c>
      <c r="B2385" s="2" t="s">
        <v>8663</v>
      </c>
      <c r="C2385" s="3">
        <v>30039</v>
      </c>
      <c r="D2385" s="1" t="s">
        <v>8664</v>
      </c>
      <c r="E2385" s="1" t="s">
        <v>8665</v>
      </c>
      <c r="F2385" s="2" t="s">
        <v>5668</v>
      </c>
      <c r="G2385" s="2" t="s">
        <v>152</v>
      </c>
      <c r="H2385" s="2" t="s">
        <v>8666</v>
      </c>
      <c r="I2385" s="2" t="s">
        <v>4604</v>
      </c>
      <c r="J2385" s="2" t="s">
        <v>108</v>
      </c>
      <c r="K2385" s="13" t="s">
        <v>13177</v>
      </c>
      <c r="L2385" s="7"/>
    </row>
    <row r="2386" spans="1:12" ht="55.2" hidden="1" x14ac:dyDescent="0.3">
      <c r="A2386" s="2" t="s">
        <v>4604</v>
      </c>
      <c r="B2386" s="2" t="s">
        <v>8667</v>
      </c>
      <c r="C2386" s="3">
        <v>19974</v>
      </c>
      <c r="D2386" s="1" t="s">
        <v>8668</v>
      </c>
      <c r="E2386" s="1" t="s">
        <v>8669</v>
      </c>
      <c r="F2386" s="2" t="s">
        <v>5668</v>
      </c>
      <c r="G2386" s="2" t="s">
        <v>37</v>
      </c>
      <c r="H2386" s="2" t="s">
        <v>8670</v>
      </c>
      <c r="I2386" s="2" t="s">
        <v>4604</v>
      </c>
      <c r="J2386" s="2" t="s">
        <v>38</v>
      </c>
      <c r="K2386" s="13" t="s">
        <v>13177</v>
      </c>
      <c r="L2386" s="7"/>
    </row>
    <row r="2387" spans="1:12" ht="55.2" hidden="1" x14ac:dyDescent="0.3">
      <c r="A2387" s="2" t="s">
        <v>4604</v>
      </c>
      <c r="B2387" s="2" t="s">
        <v>8671</v>
      </c>
      <c r="C2387" s="3">
        <v>15469</v>
      </c>
      <c r="D2387" s="1" t="s">
        <v>8672</v>
      </c>
      <c r="E2387" s="1" t="s">
        <v>8673</v>
      </c>
      <c r="F2387" s="2" t="s">
        <v>5668</v>
      </c>
      <c r="G2387" s="2" t="s">
        <v>511</v>
      </c>
      <c r="H2387" s="2" t="s">
        <v>8674</v>
      </c>
      <c r="I2387" s="2" t="s">
        <v>4604</v>
      </c>
      <c r="J2387" s="2" t="s">
        <v>5782</v>
      </c>
      <c r="K2387" s="13" t="s">
        <v>13177</v>
      </c>
      <c r="L2387" s="7"/>
    </row>
    <row r="2388" spans="1:12" ht="27.6" hidden="1" x14ac:dyDescent="0.3">
      <c r="A2388" s="2" t="s">
        <v>4386</v>
      </c>
      <c r="B2388" s="2" t="s">
        <v>8675</v>
      </c>
      <c r="C2388" s="3">
        <v>33402</v>
      </c>
      <c r="D2388" s="1" t="s">
        <v>8676</v>
      </c>
      <c r="E2388" s="1" t="s">
        <v>8677</v>
      </c>
      <c r="F2388" s="2" t="s">
        <v>8536</v>
      </c>
      <c r="G2388" s="2" t="s">
        <v>8678</v>
      </c>
      <c r="H2388" s="2" t="s">
        <v>10</v>
      </c>
      <c r="I2388" s="2" t="s">
        <v>4386</v>
      </c>
      <c r="J2388" s="2" t="s">
        <v>8679</v>
      </c>
      <c r="K2388" s="13" t="s">
        <v>13177</v>
      </c>
      <c r="L2388" s="7"/>
    </row>
    <row r="2389" spans="1:12" ht="27.6" hidden="1" x14ac:dyDescent="0.3">
      <c r="A2389" s="2" t="s">
        <v>4386</v>
      </c>
      <c r="B2389" s="2" t="s">
        <v>8680</v>
      </c>
      <c r="C2389" s="3">
        <v>21836</v>
      </c>
      <c r="D2389" s="1" t="s">
        <v>8681</v>
      </c>
      <c r="E2389" s="1" t="s">
        <v>8682</v>
      </c>
      <c r="F2389" s="2" t="s">
        <v>8536</v>
      </c>
      <c r="G2389" s="2" t="s">
        <v>8683</v>
      </c>
      <c r="H2389" s="2" t="s">
        <v>10</v>
      </c>
      <c r="I2389" s="2" t="s">
        <v>4386</v>
      </c>
      <c r="J2389" s="2" t="s">
        <v>8684</v>
      </c>
      <c r="K2389" s="13" t="s">
        <v>13177</v>
      </c>
      <c r="L2389" s="7"/>
    </row>
    <row r="2390" spans="1:12" ht="27.6" hidden="1" x14ac:dyDescent="0.3">
      <c r="A2390" s="2" t="s">
        <v>4386</v>
      </c>
      <c r="B2390" s="2" t="s">
        <v>8685</v>
      </c>
      <c r="C2390" s="3">
        <v>30632</v>
      </c>
      <c r="D2390" s="1" t="s">
        <v>8686</v>
      </c>
      <c r="E2390" s="1" t="s">
        <v>8687</v>
      </c>
      <c r="F2390" s="2" t="s">
        <v>8536</v>
      </c>
      <c r="G2390" s="2" t="s">
        <v>8688</v>
      </c>
      <c r="H2390" s="2" t="s">
        <v>10</v>
      </c>
      <c r="I2390" s="2" t="s">
        <v>4386</v>
      </c>
      <c r="J2390" s="2" t="s">
        <v>8689</v>
      </c>
      <c r="K2390" s="13" t="s">
        <v>13177</v>
      </c>
      <c r="L2390" s="7"/>
    </row>
    <row r="2391" spans="1:12" ht="27.6" hidden="1" x14ac:dyDescent="0.3">
      <c r="A2391" s="2" t="s">
        <v>4386</v>
      </c>
      <c r="B2391" s="2" t="s">
        <v>8690</v>
      </c>
      <c r="C2391" s="3">
        <v>27197</v>
      </c>
      <c r="D2391" s="1" t="s">
        <v>8691</v>
      </c>
      <c r="E2391" s="1" t="s">
        <v>8692</v>
      </c>
      <c r="F2391" s="2" t="s">
        <v>8536</v>
      </c>
      <c r="G2391" s="2" t="s">
        <v>8693</v>
      </c>
      <c r="H2391" s="2" t="s">
        <v>10</v>
      </c>
      <c r="I2391" s="2" t="s">
        <v>4386</v>
      </c>
      <c r="J2391" s="2" t="s">
        <v>8694</v>
      </c>
      <c r="K2391" s="13" t="s">
        <v>13177</v>
      </c>
      <c r="L2391" s="7"/>
    </row>
    <row r="2392" spans="1:12" ht="27.6" hidden="1" x14ac:dyDescent="0.3">
      <c r="A2392" s="2" t="s">
        <v>4386</v>
      </c>
      <c r="B2392" s="2" t="s">
        <v>8695</v>
      </c>
      <c r="C2392" s="3">
        <v>26582</v>
      </c>
      <c r="D2392" s="1" t="s">
        <v>8696</v>
      </c>
      <c r="E2392" s="1" t="s">
        <v>8697</v>
      </c>
      <c r="F2392" s="2" t="s">
        <v>8536</v>
      </c>
      <c r="G2392" s="2" t="s">
        <v>8693</v>
      </c>
      <c r="H2392" s="2" t="s">
        <v>334</v>
      </c>
      <c r="I2392" s="2" t="s">
        <v>4386</v>
      </c>
      <c r="J2392" s="2" t="s">
        <v>8698</v>
      </c>
      <c r="K2392" s="13" t="s">
        <v>13177</v>
      </c>
      <c r="L2392" s="7"/>
    </row>
    <row r="2393" spans="1:12" ht="27.6" hidden="1" x14ac:dyDescent="0.3">
      <c r="A2393" s="2" t="s">
        <v>4386</v>
      </c>
      <c r="B2393" s="2" t="s">
        <v>8699</v>
      </c>
      <c r="C2393" s="3">
        <v>31215</v>
      </c>
      <c r="D2393" s="1" t="s">
        <v>8700</v>
      </c>
      <c r="E2393" s="1" t="s">
        <v>8701</v>
      </c>
      <c r="F2393" s="2" t="s">
        <v>8536</v>
      </c>
      <c r="G2393" s="2" t="s">
        <v>8702</v>
      </c>
      <c r="H2393" s="2" t="s">
        <v>10</v>
      </c>
      <c r="I2393" s="2" t="s">
        <v>4386</v>
      </c>
      <c r="J2393" s="2" t="s">
        <v>8703</v>
      </c>
      <c r="K2393" s="13" t="s">
        <v>13177</v>
      </c>
      <c r="L2393" s="7"/>
    </row>
    <row r="2394" spans="1:12" ht="27.6" hidden="1" x14ac:dyDescent="0.3">
      <c r="A2394" s="2" t="s">
        <v>4386</v>
      </c>
      <c r="B2394" s="2" t="s">
        <v>8704</v>
      </c>
      <c r="C2394" s="3">
        <v>21218</v>
      </c>
      <c r="D2394" s="1" t="s">
        <v>8705</v>
      </c>
      <c r="E2394" s="1" t="s">
        <v>8706</v>
      </c>
      <c r="F2394" s="2" t="s">
        <v>8536</v>
      </c>
      <c r="G2394" s="2" t="s">
        <v>8707</v>
      </c>
      <c r="H2394" s="2" t="s">
        <v>103</v>
      </c>
      <c r="I2394" s="2" t="s">
        <v>4386</v>
      </c>
      <c r="J2394" s="2" t="s">
        <v>8708</v>
      </c>
      <c r="K2394" s="13" t="s">
        <v>13177</v>
      </c>
      <c r="L2394" s="7"/>
    </row>
    <row r="2395" spans="1:12" ht="27.6" hidden="1" x14ac:dyDescent="0.3">
      <c r="A2395" s="2" t="s">
        <v>4386</v>
      </c>
      <c r="B2395" s="2" t="s">
        <v>8709</v>
      </c>
      <c r="C2395" s="3">
        <v>29011</v>
      </c>
      <c r="D2395" s="1" t="s">
        <v>8710</v>
      </c>
      <c r="E2395" s="1" t="s">
        <v>8711</v>
      </c>
      <c r="F2395" s="2" t="s">
        <v>8536</v>
      </c>
      <c r="G2395" s="2" t="s">
        <v>8707</v>
      </c>
      <c r="H2395" s="2" t="s">
        <v>81</v>
      </c>
      <c r="I2395" s="2" t="s">
        <v>4386</v>
      </c>
      <c r="J2395" s="2" t="s">
        <v>8708</v>
      </c>
      <c r="K2395" s="13" t="s">
        <v>13177</v>
      </c>
      <c r="L2395" s="7"/>
    </row>
    <row r="2396" spans="1:12" ht="27.6" hidden="1" x14ac:dyDescent="0.3">
      <c r="A2396" s="2" t="s">
        <v>4386</v>
      </c>
      <c r="B2396" s="2" t="s">
        <v>8712</v>
      </c>
      <c r="C2396" s="3">
        <v>30087</v>
      </c>
      <c r="D2396" s="1" t="s">
        <v>8713</v>
      </c>
      <c r="E2396" s="1" t="s">
        <v>8714</v>
      </c>
      <c r="F2396" s="2" t="s">
        <v>4555</v>
      </c>
      <c r="G2396" s="2" t="s">
        <v>7031</v>
      </c>
      <c r="H2396" s="2" t="s">
        <v>103</v>
      </c>
      <c r="I2396" s="2" t="s">
        <v>4386</v>
      </c>
      <c r="J2396" s="2" t="s">
        <v>7032</v>
      </c>
      <c r="K2396" s="13" t="s">
        <v>13177</v>
      </c>
      <c r="L2396" s="7"/>
    </row>
    <row r="2397" spans="1:12" ht="55.2" hidden="1" x14ac:dyDescent="0.3">
      <c r="A2397" s="2" t="s">
        <v>4604</v>
      </c>
      <c r="B2397" s="2" t="s">
        <v>8715</v>
      </c>
      <c r="C2397" s="3">
        <v>35714</v>
      </c>
      <c r="D2397" s="1" t="s">
        <v>8716</v>
      </c>
      <c r="E2397" s="1" t="s">
        <v>8717</v>
      </c>
      <c r="F2397" s="2" t="s">
        <v>4608</v>
      </c>
      <c r="G2397" s="2" t="s">
        <v>86</v>
      </c>
      <c r="H2397" s="2" t="s">
        <v>10</v>
      </c>
      <c r="I2397" s="2" t="s">
        <v>4604</v>
      </c>
      <c r="J2397" s="2" t="s">
        <v>8718</v>
      </c>
      <c r="K2397" s="13" t="s">
        <v>13177</v>
      </c>
      <c r="L2397" s="7"/>
    </row>
    <row r="2398" spans="1:12" ht="55.2" hidden="1" x14ac:dyDescent="0.3">
      <c r="A2398" s="2" t="s">
        <v>4604</v>
      </c>
      <c r="B2398" s="2" t="s">
        <v>8719</v>
      </c>
      <c r="C2398" s="3">
        <v>30556</v>
      </c>
      <c r="D2398" s="1" t="s">
        <v>8720</v>
      </c>
      <c r="E2398" s="1" t="s">
        <v>8721</v>
      </c>
      <c r="F2398" s="2" t="s">
        <v>6385</v>
      </c>
      <c r="G2398" s="2" t="s">
        <v>211</v>
      </c>
      <c r="H2398" s="2" t="s">
        <v>10</v>
      </c>
      <c r="I2398" s="2" t="s">
        <v>4604</v>
      </c>
      <c r="J2398" s="2" t="s">
        <v>601</v>
      </c>
      <c r="K2398" s="13" t="s">
        <v>13177</v>
      </c>
      <c r="L2398" s="7"/>
    </row>
    <row r="2399" spans="1:12" hidden="1" x14ac:dyDescent="0.3">
      <c r="A2399" s="8" t="s">
        <v>4139</v>
      </c>
      <c r="B2399" s="8" t="s">
        <v>8722</v>
      </c>
      <c r="C2399" s="9">
        <v>29682</v>
      </c>
      <c r="D2399" s="10" t="s">
        <v>8723</v>
      </c>
      <c r="E2399" s="10" t="s">
        <v>8724</v>
      </c>
      <c r="F2399" s="8" t="s">
        <v>8598</v>
      </c>
      <c r="G2399" s="8" t="s">
        <v>8725</v>
      </c>
      <c r="H2399" s="8" t="s">
        <v>10</v>
      </c>
      <c r="I2399" s="8" t="s">
        <v>4139</v>
      </c>
      <c r="J2399" s="8" t="s">
        <v>8726</v>
      </c>
      <c r="K2399" s="13" t="s">
        <v>13177</v>
      </c>
      <c r="L2399" s="7" t="s">
        <v>13199</v>
      </c>
    </row>
    <row r="2400" spans="1:12" hidden="1" x14ac:dyDescent="0.3">
      <c r="A2400" s="8" t="s">
        <v>4139</v>
      </c>
      <c r="B2400" s="8" t="s">
        <v>8727</v>
      </c>
      <c r="C2400" s="9">
        <v>15648</v>
      </c>
      <c r="D2400" s="10" t="s">
        <v>8728</v>
      </c>
      <c r="E2400" s="10" t="s">
        <v>8729</v>
      </c>
      <c r="F2400" s="8" t="s">
        <v>8598</v>
      </c>
      <c r="G2400" s="8" t="s">
        <v>8730</v>
      </c>
      <c r="H2400" s="8" t="s">
        <v>10</v>
      </c>
      <c r="I2400" s="8" t="s">
        <v>4139</v>
      </c>
      <c r="J2400" s="8" t="s">
        <v>8731</v>
      </c>
      <c r="K2400" s="13" t="s">
        <v>13177</v>
      </c>
      <c r="L2400" s="7" t="s">
        <v>13199</v>
      </c>
    </row>
    <row r="2401" spans="1:12" hidden="1" x14ac:dyDescent="0.3">
      <c r="A2401" s="8" t="s">
        <v>4139</v>
      </c>
      <c r="B2401" s="8" t="s">
        <v>8732</v>
      </c>
      <c r="C2401" s="9">
        <v>13307</v>
      </c>
      <c r="D2401" s="10" t="s">
        <v>8733</v>
      </c>
      <c r="E2401" s="10" t="s">
        <v>8734</v>
      </c>
      <c r="F2401" s="8" t="s">
        <v>8598</v>
      </c>
      <c r="G2401" s="8" t="s">
        <v>8635</v>
      </c>
      <c r="H2401" s="8" t="s">
        <v>81</v>
      </c>
      <c r="I2401" s="8" t="s">
        <v>4139</v>
      </c>
      <c r="J2401" s="8" t="s">
        <v>8636</v>
      </c>
      <c r="K2401" s="13" t="s">
        <v>13177</v>
      </c>
      <c r="L2401" s="7" t="s">
        <v>13199</v>
      </c>
    </row>
    <row r="2402" spans="1:12" hidden="1" x14ac:dyDescent="0.3">
      <c r="A2402" s="2" t="s">
        <v>4139</v>
      </c>
      <c r="B2402" s="2" t="s">
        <v>8735</v>
      </c>
      <c r="C2402" s="3">
        <v>32599</v>
      </c>
      <c r="D2402" s="1" t="s">
        <v>8736</v>
      </c>
      <c r="E2402" s="1" t="s">
        <v>8737</v>
      </c>
      <c r="F2402" s="2" t="s">
        <v>8598</v>
      </c>
      <c r="G2402" s="2" t="s">
        <v>8738</v>
      </c>
      <c r="H2402" s="2" t="s">
        <v>10</v>
      </c>
      <c r="I2402" s="2" t="s">
        <v>4139</v>
      </c>
      <c r="J2402" s="2" t="s">
        <v>8739</v>
      </c>
      <c r="K2402" s="13" t="s">
        <v>13177</v>
      </c>
      <c r="L2402" s="7" t="s">
        <v>13199</v>
      </c>
    </row>
    <row r="2403" spans="1:12" x14ac:dyDescent="0.3">
      <c r="A2403" s="2" t="s">
        <v>4139</v>
      </c>
      <c r="B2403" s="2" t="s">
        <v>8740</v>
      </c>
      <c r="C2403" s="3">
        <v>20197</v>
      </c>
      <c r="D2403" s="1" t="s">
        <v>8741</v>
      </c>
      <c r="E2403" s="1" t="s">
        <v>8742</v>
      </c>
      <c r="F2403" s="2" t="s">
        <v>8598</v>
      </c>
      <c r="G2403" s="2" t="s">
        <v>8743</v>
      </c>
      <c r="H2403" s="2" t="s">
        <v>103</v>
      </c>
      <c r="I2403" s="2" t="s">
        <v>4139</v>
      </c>
      <c r="J2403" s="2" t="s">
        <v>8744</v>
      </c>
      <c r="K2403" s="13" t="s">
        <v>13177</v>
      </c>
      <c r="L2403" s="7" t="s">
        <v>13199</v>
      </c>
    </row>
    <row r="2404" spans="1:12" x14ac:dyDescent="0.3">
      <c r="A2404" s="2" t="s">
        <v>4139</v>
      </c>
      <c r="B2404" s="2" t="s">
        <v>1765</v>
      </c>
      <c r="C2404" s="3">
        <v>29502</v>
      </c>
      <c r="D2404" s="1" t="s">
        <v>8745</v>
      </c>
      <c r="E2404" s="1" t="s">
        <v>1767</v>
      </c>
      <c r="F2404" s="2" t="s">
        <v>8598</v>
      </c>
      <c r="G2404" s="2" t="s">
        <v>8608</v>
      </c>
      <c r="H2404" s="2" t="s">
        <v>562</v>
      </c>
      <c r="I2404" s="2" t="s">
        <v>4139</v>
      </c>
      <c r="J2404" s="2" t="s">
        <v>8746</v>
      </c>
      <c r="K2404" s="13" t="s">
        <v>13177</v>
      </c>
      <c r="L2404" s="7" t="s">
        <v>13199</v>
      </c>
    </row>
    <row r="2405" spans="1:12" x14ac:dyDescent="0.3">
      <c r="A2405" s="2" t="s">
        <v>4139</v>
      </c>
      <c r="B2405" s="2" t="s">
        <v>1765</v>
      </c>
      <c r="C2405" s="3">
        <v>29502</v>
      </c>
      <c r="D2405" s="1" t="s">
        <v>8745</v>
      </c>
      <c r="E2405" s="1" t="s">
        <v>1767</v>
      </c>
      <c r="F2405" s="2" t="s">
        <v>8598</v>
      </c>
      <c r="G2405" s="2" t="s">
        <v>8608</v>
      </c>
      <c r="H2405" s="2" t="s">
        <v>822</v>
      </c>
      <c r="I2405" s="2" t="s">
        <v>4139</v>
      </c>
      <c r="J2405" s="2" t="s">
        <v>8746</v>
      </c>
      <c r="K2405" s="13" t="s">
        <v>13177</v>
      </c>
      <c r="L2405" s="7" t="s">
        <v>13199</v>
      </c>
    </row>
    <row r="2406" spans="1:12" x14ac:dyDescent="0.3">
      <c r="A2406" s="2" t="s">
        <v>4139</v>
      </c>
      <c r="B2406" s="2" t="s">
        <v>8747</v>
      </c>
      <c r="C2406" s="3">
        <v>36178</v>
      </c>
      <c r="D2406" s="1" t="s">
        <v>8748</v>
      </c>
      <c r="E2406" s="1" t="s">
        <v>8749</v>
      </c>
      <c r="F2406" s="2" t="s">
        <v>8598</v>
      </c>
      <c r="G2406" s="2" t="s">
        <v>8750</v>
      </c>
      <c r="H2406" s="2" t="s">
        <v>103</v>
      </c>
      <c r="I2406" s="2" t="s">
        <v>4139</v>
      </c>
      <c r="J2406" s="2" t="s">
        <v>8751</v>
      </c>
      <c r="K2406" s="13" t="s">
        <v>13177</v>
      </c>
      <c r="L2406" s="7" t="s">
        <v>13199</v>
      </c>
    </row>
    <row r="2407" spans="1:12" x14ac:dyDescent="0.3">
      <c r="A2407" s="2" t="s">
        <v>4139</v>
      </c>
      <c r="B2407" s="2" t="s">
        <v>8752</v>
      </c>
      <c r="C2407" s="3">
        <v>36178</v>
      </c>
      <c r="D2407" s="1" t="s">
        <v>8753</v>
      </c>
      <c r="E2407" s="1" t="s">
        <v>8749</v>
      </c>
      <c r="F2407" s="2" t="s">
        <v>8598</v>
      </c>
      <c r="G2407" s="2" t="s">
        <v>8750</v>
      </c>
      <c r="H2407" s="2" t="s">
        <v>81</v>
      </c>
      <c r="I2407" s="2" t="s">
        <v>4139</v>
      </c>
      <c r="J2407" s="2" t="s">
        <v>8751</v>
      </c>
      <c r="K2407" s="13" t="s">
        <v>13177</v>
      </c>
      <c r="L2407" s="7" t="s">
        <v>13199</v>
      </c>
    </row>
    <row r="2408" spans="1:12" ht="27.6" hidden="1" x14ac:dyDescent="0.3">
      <c r="A2408" s="2" t="s">
        <v>4386</v>
      </c>
      <c r="B2408" s="2" t="s">
        <v>8754</v>
      </c>
      <c r="C2408" s="3">
        <v>28992</v>
      </c>
      <c r="D2408" s="1" t="s">
        <v>8755</v>
      </c>
      <c r="E2408" s="1" t="s">
        <v>8756</v>
      </c>
      <c r="F2408" s="2" t="s">
        <v>6841</v>
      </c>
      <c r="G2408" s="2" t="s">
        <v>25</v>
      </c>
      <c r="H2408" s="2" t="s">
        <v>10</v>
      </c>
      <c r="I2408" s="2" t="s">
        <v>4386</v>
      </c>
      <c r="J2408" s="2" t="s">
        <v>305</v>
      </c>
      <c r="K2408" s="13" t="s">
        <v>13177</v>
      </c>
      <c r="L2408" s="7"/>
    </row>
    <row r="2409" spans="1:12" ht="27.6" hidden="1" x14ac:dyDescent="0.3">
      <c r="A2409" s="2" t="s">
        <v>4386</v>
      </c>
      <c r="B2409" s="2" t="s">
        <v>8757</v>
      </c>
      <c r="C2409" s="3">
        <v>37721</v>
      </c>
      <c r="D2409" s="1" t="s">
        <v>8758</v>
      </c>
      <c r="E2409" s="1" t="s">
        <v>8759</v>
      </c>
      <c r="F2409" s="2" t="s">
        <v>6841</v>
      </c>
      <c r="G2409" s="2" t="s">
        <v>92</v>
      </c>
      <c r="H2409" s="2" t="s">
        <v>10</v>
      </c>
      <c r="I2409" s="2" t="s">
        <v>4386</v>
      </c>
      <c r="J2409" s="2" t="s">
        <v>826</v>
      </c>
      <c r="K2409" s="13" t="s">
        <v>13177</v>
      </c>
      <c r="L2409" s="7"/>
    </row>
    <row r="2410" spans="1:12" ht="27.6" hidden="1" x14ac:dyDescent="0.3">
      <c r="A2410" s="2" t="s">
        <v>4386</v>
      </c>
      <c r="B2410" s="2" t="s">
        <v>8760</v>
      </c>
      <c r="C2410" s="3">
        <v>24334</v>
      </c>
      <c r="D2410" s="1" t="s">
        <v>8761</v>
      </c>
      <c r="E2410" s="1" t="s">
        <v>8762</v>
      </c>
      <c r="F2410" s="2" t="s">
        <v>8536</v>
      </c>
      <c r="G2410" s="2" t="s">
        <v>8443</v>
      </c>
      <c r="H2410" s="2" t="s">
        <v>10</v>
      </c>
      <c r="I2410" s="2" t="s">
        <v>4386</v>
      </c>
      <c r="J2410" s="2" t="s">
        <v>8444</v>
      </c>
      <c r="K2410" s="13" t="s">
        <v>13177</v>
      </c>
      <c r="L2410" s="7"/>
    </row>
    <row r="2411" spans="1:12" ht="27.6" hidden="1" x14ac:dyDescent="0.3">
      <c r="A2411" s="2" t="s">
        <v>4386</v>
      </c>
      <c r="B2411" s="2" t="s">
        <v>8763</v>
      </c>
      <c r="C2411" s="3">
        <v>32165</v>
      </c>
      <c r="D2411" s="1" t="s">
        <v>8764</v>
      </c>
      <c r="E2411" s="1" t="s">
        <v>8765</v>
      </c>
      <c r="F2411" s="2" t="s">
        <v>8536</v>
      </c>
      <c r="G2411" s="2" t="s">
        <v>8766</v>
      </c>
      <c r="H2411" s="2" t="s">
        <v>10</v>
      </c>
      <c r="I2411" s="2" t="s">
        <v>4386</v>
      </c>
      <c r="J2411" s="2" t="s">
        <v>8767</v>
      </c>
      <c r="K2411" s="13" t="s">
        <v>13177</v>
      </c>
      <c r="L2411" s="7"/>
    </row>
    <row r="2412" spans="1:12" ht="27.6" hidden="1" x14ac:dyDescent="0.3">
      <c r="A2412" s="2" t="s">
        <v>4386</v>
      </c>
      <c r="B2412" s="2" t="s">
        <v>8768</v>
      </c>
      <c r="C2412" s="3">
        <v>28458</v>
      </c>
      <c r="D2412" s="1" t="s">
        <v>8769</v>
      </c>
      <c r="E2412" s="1" t="s">
        <v>8770</v>
      </c>
      <c r="F2412" s="2" t="s">
        <v>8536</v>
      </c>
      <c r="G2412" s="2" t="s">
        <v>8771</v>
      </c>
      <c r="H2412" s="2" t="s">
        <v>10</v>
      </c>
      <c r="I2412" s="2" t="s">
        <v>4386</v>
      </c>
      <c r="J2412" s="2" t="s">
        <v>8772</v>
      </c>
      <c r="K2412" s="13" t="s">
        <v>13177</v>
      </c>
      <c r="L2412" s="7"/>
    </row>
    <row r="2413" spans="1:12" ht="27.6" hidden="1" x14ac:dyDescent="0.3">
      <c r="A2413" s="2" t="s">
        <v>4386</v>
      </c>
      <c r="B2413" s="2" t="s">
        <v>8773</v>
      </c>
      <c r="C2413" s="3">
        <v>36702</v>
      </c>
      <c r="D2413" s="1" t="s">
        <v>8774</v>
      </c>
      <c r="E2413" s="1" t="s">
        <v>8775</v>
      </c>
      <c r="F2413" s="2" t="s">
        <v>8536</v>
      </c>
      <c r="G2413" s="2" t="s">
        <v>8776</v>
      </c>
      <c r="H2413" s="2" t="s">
        <v>10</v>
      </c>
      <c r="I2413" s="2" t="s">
        <v>4386</v>
      </c>
      <c r="J2413" s="2" t="s">
        <v>8777</v>
      </c>
      <c r="K2413" s="13" t="s">
        <v>13177</v>
      </c>
      <c r="L2413" s="7"/>
    </row>
    <row r="2414" spans="1:12" ht="27.6" hidden="1" x14ac:dyDescent="0.3">
      <c r="A2414" s="2" t="s">
        <v>4386</v>
      </c>
      <c r="B2414" s="2" t="s">
        <v>8778</v>
      </c>
      <c r="C2414" s="3">
        <v>31340</v>
      </c>
      <c r="D2414" s="1" t="s">
        <v>8779</v>
      </c>
      <c r="E2414" s="1" t="s">
        <v>8780</v>
      </c>
      <c r="F2414" s="2" t="s">
        <v>8536</v>
      </c>
      <c r="G2414" s="2" t="s">
        <v>8781</v>
      </c>
      <c r="H2414" s="2" t="s">
        <v>103</v>
      </c>
      <c r="I2414" s="2" t="s">
        <v>4386</v>
      </c>
      <c r="J2414" s="2" t="s">
        <v>8782</v>
      </c>
      <c r="K2414" s="13" t="s">
        <v>13177</v>
      </c>
      <c r="L2414" s="7"/>
    </row>
    <row r="2415" spans="1:12" ht="27.6" hidden="1" x14ac:dyDescent="0.3">
      <c r="A2415" s="2" t="s">
        <v>4386</v>
      </c>
      <c r="B2415" s="2" t="s">
        <v>8783</v>
      </c>
      <c r="C2415" s="3">
        <v>29182</v>
      </c>
      <c r="D2415" s="1" t="s">
        <v>8784</v>
      </c>
      <c r="E2415" s="1" t="s">
        <v>8785</v>
      </c>
      <c r="F2415" s="2" t="s">
        <v>8536</v>
      </c>
      <c r="G2415" s="2" t="s">
        <v>8786</v>
      </c>
      <c r="H2415" s="2" t="s">
        <v>81</v>
      </c>
      <c r="I2415" s="2" t="s">
        <v>4386</v>
      </c>
      <c r="J2415" s="2" t="s">
        <v>8787</v>
      </c>
      <c r="K2415" s="13" t="s">
        <v>13177</v>
      </c>
      <c r="L2415" s="7"/>
    </row>
    <row r="2416" spans="1:12" ht="55.2" hidden="1" x14ac:dyDescent="0.3">
      <c r="A2416" s="2" t="s">
        <v>4604</v>
      </c>
      <c r="B2416" s="2" t="s">
        <v>8788</v>
      </c>
      <c r="C2416" s="3">
        <v>32688</v>
      </c>
      <c r="D2416" s="1" t="s">
        <v>8789</v>
      </c>
      <c r="E2416" s="1" t="s">
        <v>8790</v>
      </c>
      <c r="F2416" s="2" t="s">
        <v>4608</v>
      </c>
      <c r="G2416" s="2" t="s">
        <v>258</v>
      </c>
      <c r="H2416" s="2" t="s">
        <v>334</v>
      </c>
      <c r="I2416" s="2" t="s">
        <v>4604</v>
      </c>
      <c r="J2416" s="2" t="s">
        <v>8791</v>
      </c>
      <c r="K2416" s="13" t="s">
        <v>13177</v>
      </c>
      <c r="L2416" s="7"/>
    </row>
    <row r="2417" spans="1:12" ht="55.2" hidden="1" x14ac:dyDescent="0.3">
      <c r="A2417" s="2" t="s">
        <v>4604</v>
      </c>
      <c r="B2417" s="2" t="s">
        <v>8792</v>
      </c>
      <c r="C2417" s="3">
        <v>38734</v>
      </c>
      <c r="D2417" s="1" t="s">
        <v>8793</v>
      </c>
      <c r="E2417" s="1" t="s">
        <v>8794</v>
      </c>
      <c r="F2417" s="2" t="s">
        <v>4698</v>
      </c>
      <c r="G2417" s="2" t="s">
        <v>319</v>
      </c>
      <c r="H2417" s="2" t="s">
        <v>8795</v>
      </c>
      <c r="I2417" s="2" t="s">
        <v>4604</v>
      </c>
      <c r="J2417" s="2" t="s">
        <v>8796</v>
      </c>
      <c r="K2417" s="13" t="s">
        <v>13177</v>
      </c>
      <c r="L2417" s="7"/>
    </row>
    <row r="2418" spans="1:12" ht="27.6" hidden="1" x14ac:dyDescent="0.3">
      <c r="A2418" s="2" t="s">
        <v>60</v>
      </c>
      <c r="B2418" s="2" t="s">
        <v>8797</v>
      </c>
      <c r="C2418" s="3">
        <v>31865</v>
      </c>
      <c r="D2418" s="1" t="s">
        <v>8798</v>
      </c>
      <c r="E2418" s="1" t="s">
        <v>8799</v>
      </c>
      <c r="F2418" s="2" t="s">
        <v>1914</v>
      </c>
      <c r="G2418" s="2" t="s">
        <v>492</v>
      </c>
      <c r="H2418" s="2" t="s">
        <v>10</v>
      </c>
      <c r="I2418" s="2" t="s">
        <v>60</v>
      </c>
      <c r="J2418" s="2" t="s">
        <v>619</v>
      </c>
      <c r="K2418" s="13" t="s">
        <v>13177</v>
      </c>
      <c r="L2418" s="7"/>
    </row>
    <row r="2419" spans="1:12" ht="27.6" hidden="1" x14ac:dyDescent="0.3">
      <c r="A2419" s="2" t="s">
        <v>60</v>
      </c>
      <c r="B2419" s="2" t="s">
        <v>1159</v>
      </c>
      <c r="C2419" s="3">
        <v>35039</v>
      </c>
      <c r="D2419" s="1" t="s">
        <v>8800</v>
      </c>
      <c r="E2419" s="1" t="s">
        <v>8801</v>
      </c>
      <c r="F2419" s="2" t="s">
        <v>444</v>
      </c>
      <c r="G2419" s="2" t="s">
        <v>152</v>
      </c>
      <c r="H2419" s="2" t="s">
        <v>43</v>
      </c>
      <c r="I2419" s="2" t="s">
        <v>60</v>
      </c>
      <c r="J2419" s="2" t="s">
        <v>153</v>
      </c>
      <c r="K2419" s="13" t="s">
        <v>13177</v>
      </c>
      <c r="L2419" s="7"/>
    </row>
    <row r="2420" spans="1:12" ht="27.6" hidden="1" x14ac:dyDescent="0.3">
      <c r="A2420" s="2" t="s">
        <v>4386</v>
      </c>
      <c r="B2420" s="2" t="s">
        <v>8802</v>
      </c>
      <c r="C2420" s="3">
        <v>33145</v>
      </c>
      <c r="D2420" s="1" t="s">
        <v>8803</v>
      </c>
      <c r="E2420" s="1" t="s">
        <v>8804</v>
      </c>
      <c r="F2420" s="2" t="s">
        <v>8536</v>
      </c>
      <c r="G2420" s="2" t="s">
        <v>8805</v>
      </c>
      <c r="H2420" s="2" t="s">
        <v>10</v>
      </c>
      <c r="I2420" s="2" t="s">
        <v>4386</v>
      </c>
      <c r="J2420" s="2" t="s">
        <v>8806</v>
      </c>
      <c r="K2420" s="13" t="s">
        <v>13177</v>
      </c>
      <c r="L2420" s="7"/>
    </row>
    <row r="2421" spans="1:12" ht="27.6" hidden="1" x14ac:dyDescent="0.3">
      <c r="A2421" s="2" t="s">
        <v>4386</v>
      </c>
      <c r="B2421" s="2" t="s">
        <v>8807</v>
      </c>
      <c r="C2421" s="3">
        <v>16630</v>
      </c>
      <c r="D2421" s="1" t="s">
        <v>8808</v>
      </c>
      <c r="E2421" s="1" t="s">
        <v>8809</v>
      </c>
      <c r="F2421" s="2" t="s">
        <v>8536</v>
      </c>
      <c r="G2421" s="2" t="s">
        <v>8781</v>
      </c>
      <c r="H2421" s="2" t="s">
        <v>81</v>
      </c>
      <c r="I2421" s="2" t="s">
        <v>4386</v>
      </c>
      <c r="J2421" s="2" t="s">
        <v>8782</v>
      </c>
      <c r="K2421" s="13" t="s">
        <v>13177</v>
      </c>
      <c r="L2421" s="7"/>
    </row>
    <row r="2422" spans="1:12" ht="27.6" hidden="1" x14ac:dyDescent="0.3">
      <c r="A2422" s="2" t="s">
        <v>4386</v>
      </c>
      <c r="B2422" s="2" t="s">
        <v>8810</v>
      </c>
      <c r="C2422" s="3">
        <v>36595</v>
      </c>
      <c r="D2422" s="1" t="s">
        <v>8811</v>
      </c>
      <c r="E2422" s="1" t="s">
        <v>8812</v>
      </c>
      <c r="F2422" s="2" t="s">
        <v>8536</v>
      </c>
      <c r="G2422" s="2" t="s">
        <v>8813</v>
      </c>
      <c r="H2422" s="2" t="s">
        <v>10</v>
      </c>
      <c r="I2422" s="2" t="s">
        <v>4386</v>
      </c>
      <c r="J2422" s="2" t="s">
        <v>8814</v>
      </c>
      <c r="K2422" s="13" t="s">
        <v>13177</v>
      </c>
      <c r="L2422" s="7"/>
    </row>
    <row r="2423" spans="1:12" ht="27.6" hidden="1" x14ac:dyDescent="0.3">
      <c r="A2423" s="2" t="s">
        <v>4386</v>
      </c>
      <c r="B2423" s="2" t="s">
        <v>8815</v>
      </c>
      <c r="C2423" s="3">
        <v>26738</v>
      </c>
      <c r="D2423" s="1" t="s">
        <v>8816</v>
      </c>
      <c r="E2423" s="1" t="s">
        <v>8817</v>
      </c>
      <c r="F2423" s="2" t="s">
        <v>5053</v>
      </c>
      <c r="G2423" s="2" t="s">
        <v>1354</v>
      </c>
      <c r="H2423" s="2" t="s">
        <v>10</v>
      </c>
      <c r="I2423" s="2" t="s">
        <v>4386</v>
      </c>
      <c r="J2423" s="2" t="s">
        <v>1355</v>
      </c>
      <c r="K2423" s="13" t="s">
        <v>13177</v>
      </c>
      <c r="L2423" s="7"/>
    </row>
    <row r="2424" spans="1:12" ht="27.6" hidden="1" x14ac:dyDescent="0.3">
      <c r="A2424" s="2" t="s">
        <v>4386</v>
      </c>
      <c r="B2424" s="2" t="s">
        <v>8818</v>
      </c>
      <c r="C2424" s="3">
        <v>37791</v>
      </c>
      <c r="D2424" s="1" t="s">
        <v>8819</v>
      </c>
      <c r="E2424" s="1" t="s">
        <v>8820</v>
      </c>
      <c r="F2424" s="2" t="s">
        <v>7095</v>
      </c>
      <c r="G2424" s="2" t="s">
        <v>8821</v>
      </c>
      <c r="H2424" s="2" t="s">
        <v>10</v>
      </c>
      <c r="I2424" s="2" t="s">
        <v>4386</v>
      </c>
      <c r="J2424" s="2" t="s">
        <v>8822</v>
      </c>
      <c r="K2424" s="16" t="s">
        <v>13177</v>
      </c>
      <c r="L2424" s="17"/>
    </row>
    <row r="2425" spans="1:12" ht="27.6" hidden="1" x14ac:dyDescent="0.3">
      <c r="A2425" s="2" t="s">
        <v>4386</v>
      </c>
      <c r="B2425" s="2" t="s">
        <v>8823</v>
      </c>
      <c r="C2425" s="3">
        <v>33972</v>
      </c>
      <c r="D2425" s="1" t="s">
        <v>8824</v>
      </c>
      <c r="E2425" s="1" t="s">
        <v>8825</v>
      </c>
      <c r="F2425" s="2" t="s">
        <v>7030</v>
      </c>
      <c r="G2425" s="2" t="s">
        <v>6163</v>
      </c>
      <c r="H2425" s="2" t="s">
        <v>10</v>
      </c>
      <c r="I2425" s="2" t="s">
        <v>4386</v>
      </c>
      <c r="J2425" s="2" t="s">
        <v>6164</v>
      </c>
      <c r="K2425" s="41" t="s">
        <v>13193</v>
      </c>
      <c r="L2425" s="6" t="s">
        <v>13194</v>
      </c>
    </row>
    <row r="2426" spans="1:12" ht="27.6" hidden="1" x14ac:dyDescent="0.3">
      <c r="A2426" s="2" t="s">
        <v>4386</v>
      </c>
      <c r="B2426" s="2" t="s">
        <v>8826</v>
      </c>
      <c r="C2426" s="3">
        <v>25059</v>
      </c>
      <c r="D2426" s="1" t="s">
        <v>8827</v>
      </c>
      <c r="E2426" s="1" t="s">
        <v>8828</v>
      </c>
      <c r="F2426" s="2" t="s">
        <v>6950</v>
      </c>
      <c r="G2426" s="2" t="s">
        <v>328</v>
      </c>
      <c r="H2426" s="2" t="s">
        <v>10</v>
      </c>
      <c r="I2426" s="2" t="s">
        <v>4386</v>
      </c>
      <c r="J2426" s="2" t="s">
        <v>329</v>
      </c>
      <c r="K2426" s="30" t="s">
        <v>13193</v>
      </c>
      <c r="L2426" s="6" t="s">
        <v>13194</v>
      </c>
    </row>
    <row r="2427" spans="1:12" ht="27.6" hidden="1" x14ac:dyDescent="0.3">
      <c r="A2427" s="2" t="s">
        <v>60</v>
      </c>
      <c r="B2427" s="2" t="s">
        <v>8829</v>
      </c>
      <c r="C2427" s="3">
        <v>32036</v>
      </c>
      <c r="D2427" s="1" t="s">
        <v>8830</v>
      </c>
      <c r="E2427" s="1" t="s">
        <v>8831</v>
      </c>
      <c r="F2427" s="2" t="s">
        <v>865</v>
      </c>
      <c r="G2427" s="2" t="s">
        <v>25</v>
      </c>
      <c r="H2427" s="2" t="s">
        <v>10</v>
      </c>
      <c r="I2427" s="2" t="s">
        <v>60</v>
      </c>
      <c r="J2427" s="2" t="s">
        <v>305</v>
      </c>
      <c r="K2427" s="16" t="s">
        <v>13177</v>
      </c>
      <c r="L2427" s="17"/>
    </row>
    <row r="2428" spans="1:12" hidden="1" x14ac:dyDescent="0.3">
      <c r="A2428" s="2" t="s">
        <v>4139</v>
      </c>
      <c r="B2428" s="2" t="s">
        <v>8832</v>
      </c>
      <c r="C2428" s="3">
        <v>15280</v>
      </c>
      <c r="D2428" s="1" t="s">
        <v>8833</v>
      </c>
      <c r="E2428" s="1" t="s">
        <v>8834</v>
      </c>
      <c r="F2428" s="2" t="s">
        <v>4143</v>
      </c>
      <c r="G2428" s="2" t="s">
        <v>8835</v>
      </c>
      <c r="H2428" s="2" t="s">
        <v>103</v>
      </c>
      <c r="I2428" s="2" t="s">
        <v>4139</v>
      </c>
      <c r="J2428" s="2" t="s">
        <v>8836</v>
      </c>
      <c r="K2428" s="14"/>
      <c r="L2428" s="6"/>
    </row>
    <row r="2429" spans="1:12" ht="55.2" hidden="1" x14ac:dyDescent="0.3">
      <c r="A2429" s="2" t="s">
        <v>4604</v>
      </c>
      <c r="B2429" s="2" t="s">
        <v>8837</v>
      </c>
      <c r="C2429" s="3">
        <v>21113</v>
      </c>
      <c r="D2429" s="1" t="s">
        <v>8838</v>
      </c>
      <c r="E2429" s="1" t="s">
        <v>8839</v>
      </c>
      <c r="F2429" s="2" t="s">
        <v>5668</v>
      </c>
      <c r="G2429" s="2" t="s">
        <v>143</v>
      </c>
      <c r="H2429" s="2" t="s">
        <v>8840</v>
      </c>
      <c r="I2429" s="2" t="s">
        <v>4604</v>
      </c>
      <c r="J2429" s="2" t="s">
        <v>8074</v>
      </c>
      <c r="K2429" s="20" t="s">
        <v>13177</v>
      </c>
      <c r="L2429" s="12"/>
    </row>
    <row r="2430" spans="1:12" ht="55.2" hidden="1" x14ac:dyDescent="0.3">
      <c r="A2430" s="2" t="s">
        <v>4604</v>
      </c>
      <c r="B2430" s="2" t="s">
        <v>8841</v>
      </c>
      <c r="C2430" s="3">
        <v>35923</v>
      </c>
      <c r="D2430" s="1" t="s">
        <v>8842</v>
      </c>
      <c r="E2430" s="1" t="s">
        <v>8843</v>
      </c>
      <c r="F2430" s="2" t="s">
        <v>4698</v>
      </c>
      <c r="G2430" s="2" t="s">
        <v>283</v>
      </c>
      <c r="H2430" s="2" t="s">
        <v>8844</v>
      </c>
      <c r="I2430" s="2" t="s">
        <v>4604</v>
      </c>
      <c r="J2430" s="2" t="s">
        <v>8845</v>
      </c>
      <c r="K2430" s="13" t="s">
        <v>13177</v>
      </c>
      <c r="L2430" s="7"/>
    </row>
    <row r="2431" spans="1:12" ht="55.2" hidden="1" x14ac:dyDescent="0.3">
      <c r="A2431" s="2" t="s">
        <v>4604</v>
      </c>
      <c r="B2431" s="2" t="s">
        <v>8846</v>
      </c>
      <c r="C2431" s="3">
        <v>37641</v>
      </c>
      <c r="D2431" s="1" t="s">
        <v>8847</v>
      </c>
      <c r="E2431" s="1" t="s">
        <v>8848</v>
      </c>
      <c r="F2431" s="2" t="s">
        <v>4698</v>
      </c>
      <c r="G2431" s="2" t="s">
        <v>696</v>
      </c>
      <c r="H2431" s="2" t="s">
        <v>10</v>
      </c>
      <c r="I2431" s="2" t="s">
        <v>4604</v>
      </c>
      <c r="J2431" s="2" t="s">
        <v>7061</v>
      </c>
      <c r="K2431" s="13" t="s">
        <v>13177</v>
      </c>
      <c r="L2431" s="7"/>
    </row>
    <row r="2432" spans="1:12" ht="55.2" hidden="1" x14ac:dyDescent="0.3">
      <c r="A2432" s="2" t="s">
        <v>4604</v>
      </c>
      <c r="B2432" s="2" t="s">
        <v>8849</v>
      </c>
      <c r="C2432" s="3">
        <v>24050</v>
      </c>
      <c r="D2432" s="1" t="s">
        <v>8850</v>
      </c>
      <c r="E2432" s="1" t="s">
        <v>8851</v>
      </c>
      <c r="F2432" s="2" t="s">
        <v>4698</v>
      </c>
      <c r="G2432" s="2" t="s">
        <v>3940</v>
      </c>
      <c r="H2432" s="2" t="s">
        <v>8852</v>
      </c>
      <c r="I2432" s="2" t="s">
        <v>4604</v>
      </c>
      <c r="J2432" s="2" t="s">
        <v>5370</v>
      </c>
      <c r="K2432" s="13" t="s">
        <v>13177</v>
      </c>
      <c r="L2432" s="7"/>
    </row>
    <row r="2433" spans="1:12" ht="55.2" hidden="1" x14ac:dyDescent="0.3">
      <c r="A2433" s="2" t="s">
        <v>4604</v>
      </c>
      <c r="B2433" s="2" t="s">
        <v>8853</v>
      </c>
      <c r="C2433" s="3">
        <v>38825</v>
      </c>
      <c r="D2433" s="1" t="s">
        <v>8854</v>
      </c>
      <c r="E2433" s="1" t="s">
        <v>8855</v>
      </c>
      <c r="F2433" s="2" t="s">
        <v>4698</v>
      </c>
      <c r="G2433" s="2" t="s">
        <v>3134</v>
      </c>
      <c r="H2433" s="2" t="s">
        <v>8856</v>
      </c>
      <c r="I2433" s="2" t="s">
        <v>4604</v>
      </c>
      <c r="J2433" s="2" t="s">
        <v>8857</v>
      </c>
      <c r="K2433" s="13" t="s">
        <v>13177</v>
      </c>
      <c r="L2433" s="7"/>
    </row>
    <row r="2434" spans="1:12" ht="27.6" hidden="1" x14ac:dyDescent="0.3">
      <c r="A2434" s="2" t="s">
        <v>11</v>
      </c>
      <c r="B2434" s="2" t="s">
        <v>8858</v>
      </c>
      <c r="C2434" s="3">
        <v>32634</v>
      </c>
      <c r="D2434" s="1" t="s">
        <v>8859</v>
      </c>
      <c r="E2434" s="1" t="s">
        <v>8860</v>
      </c>
      <c r="F2434" s="2" t="s">
        <v>53</v>
      </c>
      <c r="G2434" s="2" t="s">
        <v>222</v>
      </c>
      <c r="H2434" s="2" t="s">
        <v>10</v>
      </c>
      <c r="I2434" s="2" t="s">
        <v>11</v>
      </c>
      <c r="J2434" s="2" t="s">
        <v>223</v>
      </c>
      <c r="K2434" s="13" t="s">
        <v>13177</v>
      </c>
      <c r="L2434" s="7"/>
    </row>
    <row r="2435" spans="1:12" ht="55.2" hidden="1" x14ac:dyDescent="0.3">
      <c r="A2435" s="2" t="s">
        <v>4604</v>
      </c>
      <c r="B2435" s="2" t="s">
        <v>8861</v>
      </c>
      <c r="C2435" s="3">
        <v>37019</v>
      </c>
      <c r="D2435" s="1" t="s">
        <v>442</v>
      </c>
      <c r="E2435" s="1" t="s">
        <v>8862</v>
      </c>
      <c r="F2435" s="2" t="s">
        <v>4698</v>
      </c>
      <c r="G2435" s="2" t="s">
        <v>392</v>
      </c>
      <c r="H2435" s="2" t="s">
        <v>8863</v>
      </c>
      <c r="I2435" s="2" t="s">
        <v>4604</v>
      </c>
      <c r="J2435" s="2" t="s">
        <v>8864</v>
      </c>
      <c r="K2435" s="13" t="s">
        <v>13177</v>
      </c>
      <c r="L2435" s="7"/>
    </row>
    <row r="2436" spans="1:12" ht="55.2" hidden="1" x14ac:dyDescent="0.3">
      <c r="A2436" s="2" t="s">
        <v>4604</v>
      </c>
      <c r="B2436" s="2" t="s">
        <v>8861</v>
      </c>
      <c r="C2436" s="3">
        <v>37019</v>
      </c>
      <c r="D2436" s="1" t="s">
        <v>442</v>
      </c>
      <c r="E2436" s="1" t="s">
        <v>8862</v>
      </c>
      <c r="F2436" s="2" t="s">
        <v>4698</v>
      </c>
      <c r="G2436" s="2" t="s">
        <v>3931</v>
      </c>
      <c r="H2436" s="2" t="s">
        <v>1324</v>
      </c>
      <c r="I2436" s="2" t="s">
        <v>4604</v>
      </c>
      <c r="J2436" s="2" t="s">
        <v>8865</v>
      </c>
      <c r="K2436" s="13" t="s">
        <v>13177</v>
      </c>
      <c r="L2436" s="7"/>
    </row>
    <row r="2437" spans="1:12" ht="27.6" hidden="1" x14ac:dyDescent="0.3">
      <c r="A2437" s="2" t="s">
        <v>4386</v>
      </c>
      <c r="B2437" s="2" t="s">
        <v>8866</v>
      </c>
      <c r="C2437" s="3">
        <v>24531</v>
      </c>
      <c r="D2437" s="1" t="s">
        <v>8867</v>
      </c>
      <c r="E2437" s="1" t="s">
        <v>8868</v>
      </c>
      <c r="F2437" s="2" t="s">
        <v>8536</v>
      </c>
      <c r="G2437" s="2" t="s">
        <v>8869</v>
      </c>
      <c r="H2437" s="2" t="s">
        <v>10</v>
      </c>
      <c r="I2437" s="2" t="s">
        <v>4386</v>
      </c>
      <c r="J2437" s="2" t="s">
        <v>8870</v>
      </c>
      <c r="K2437" s="13" t="s">
        <v>13177</v>
      </c>
      <c r="L2437" s="7"/>
    </row>
    <row r="2438" spans="1:12" ht="27.6" hidden="1" x14ac:dyDescent="0.3">
      <c r="A2438" s="2" t="s">
        <v>4386</v>
      </c>
      <c r="B2438" s="2" t="s">
        <v>8871</v>
      </c>
      <c r="C2438" s="3">
        <v>24404</v>
      </c>
      <c r="D2438" s="1" t="s">
        <v>8872</v>
      </c>
      <c r="E2438" s="1" t="s">
        <v>8873</v>
      </c>
      <c r="F2438" s="2" t="s">
        <v>7095</v>
      </c>
      <c r="G2438" s="2" t="s">
        <v>8874</v>
      </c>
      <c r="H2438" s="2" t="s">
        <v>10</v>
      </c>
      <c r="I2438" s="2" t="s">
        <v>4386</v>
      </c>
      <c r="J2438" s="2" t="s">
        <v>8875</v>
      </c>
      <c r="K2438" s="13" t="s">
        <v>13177</v>
      </c>
      <c r="L2438" s="7"/>
    </row>
    <row r="2439" spans="1:12" ht="55.2" hidden="1" x14ac:dyDescent="0.3">
      <c r="A2439" s="2" t="s">
        <v>4604</v>
      </c>
      <c r="B2439" s="2" t="s">
        <v>8876</v>
      </c>
      <c r="C2439" s="3">
        <v>26904</v>
      </c>
      <c r="D2439" s="1" t="s">
        <v>8877</v>
      </c>
      <c r="E2439" s="1" t="s">
        <v>8878</v>
      </c>
      <c r="F2439" s="2" t="s">
        <v>5668</v>
      </c>
      <c r="G2439" s="2" t="s">
        <v>143</v>
      </c>
      <c r="H2439" s="2" t="s">
        <v>8879</v>
      </c>
      <c r="I2439" s="2" t="s">
        <v>4604</v>
      </c>
      <c r="J2439" s="2" t="s">
        <v>324</v>
      </c>
      <c r="K2439" s="13" t="s">
        <v>13177</v>
      </c>
      <c r="L2439" s="7"/>
    </row>
    <row r="2440" spans="1:12" ht="55.2" hidden="1" x14ac:dyDescent="0.3">
      <c r="A2440" s="2" t="s">
        <v>4604</v>
      </c>
      <c r="B2440" s="2" t="s">
        <v>8880</v>
      </c>
      <c r="C2440" s="3">
        <v>29905</v>
      </c>
      <c r="D2440" s="1" t="s">
        <v>8881</v>
      </c>
      <c r="E2440" s="1" t="s">
        <v>8882</v>
      </c>
      <c r="F2440" s="2" t="s">
        <v>4698</v>
      </c>
      <c r="G2440" s="2" t="s">
        <v>880</v>
      </c>
      <c r="H2440" s="2" t="s">
        <v>8883</v>
      </c>
      <c r="I2440" s="2" t="s">
        <v>4604</v>
      </c>
      <c r="J2440" s="2" t="s">
        <v>8884</v>
      </c>
      <c r="K2440" s="13" t="s">
        <v>13177</v>
      </c>
      <c r="L2440" s="7"/>
    </row>
    <row r="2441" spans="1:12" ht="55.2" hidden="1" x14ac:dyDescent="0.3">
      <c r="A2441" s="2" t="s">
        <v>4604</v>
      </c>
      <c r="B2441" s="2" t="s">
        <v>8885</v>
      </c>
      <c r="C2441" s="3">
        <v>27646</v>
      </c>
      <c r="D2441" s="1" t="s">
        <v>8886</v>
      </c>
      <c r="E2441" s="1" t="s">
        <v>8887</v>
      </c>
      <c r="F2441" s="2" t="s">
        <v>4698</v>
      </c>
      <c r="G2441" s="2" t="s">
        <v>143</v>
      </c>
      <c r="H2441" s="2" t="s">
        <v>8888</v>
      </c>
      <c r="I2441" s="2" t="s">
        <v>4604</v>
      </c>
      <c r="J2441" s="2" t="s">
        <v>324</v>
      </c>
      <c r="K2441" s="13" t="s">
        <v>13177</v>
      </c>
      <c r="L2441" s="7"/>
    </row>
    <row r="2442" spans="1:12" ht="55.2" hidden="1" x14ac:dyDescent="0.3">
      <c r="A2442" s="2" t="s">
        <v>4604</v>
      </c>
      <c r="B2442" s="2" t="s">
        <v>8889</v>
      </c>
      <c r="C2442" s="3">
        <v>23839</v>
      </c>
      <c r="D2442" s="1" t="s">
        <v>8890</v>
      </c>
      <c r="E2442" s="1" t="s">
        <v>8891</v>
      </c>
      <c r="F2442" s="2" t="s">
        <v>5698</v>
      </c>
      <c r="G2442" s="2" t="s">
        <v>292</v>
      </c>
      <c r="H2442" s="2" t="s">
        <v>8892</v>
      </c>
      <c r="I2442" s="2" t="s">
        <v>4604</v>
      </c>
      <c r="J2442" s="2" t="s">
        <v>3419</v>
      </c>
      <c r="K2442" s="16" t="s">
        <v>13177</v>
      </c>
      <c r="L2442" s="17"/>
    </row>
    <row r="2443" spans="1:12" hidden="1" x14ac:dyDescent="0.3">
      <c r="A2443" s="2" t="s">
        <v>4139</v>
      </c>
      <c r="B2443" s="2" t="s">
        <v>8893</v>
      </c>
      <c r="C2443" s="3">
        <v>24749</v>
      </c>
      <c r="D2443" s="1" t="s">
        <v>8894</v>
      </c>
      <c r="E2443" s="1" t="s">
        <v>8895</v>
      </c>
      <c r="F2443" s="2" t="s">
        <v>4143</v>
      </c>
      <c r="G2443" s="2" t="s">
        <v>8896</v>
      </c>
      <c r="H2443" s="2" t="s">
        <v>10</v>
      </c>
      <c r="I2443" s="2" t="s">
        <v>4139</v>
      </c>
      <c r="J2443" s="2" t="s">
        <v>8897</v>
      </c>
      <c r="K2443" s="14"/>
      <c r="L2443" s="6"/>
    </row>
    <row r="2444" spans="1:12" ht="27.6" hidden="1" x14ac:dyDescent="0.3">
      <c r="A2444" s="2" t="s">
        <v>4139</v>
      </c>
      <c r="B2444" s="2" t="s">
        <v>8898</v>
      </c>
      <c r="C2444" s="3">
        <v>31631</v>
      </c>
      <c r="D2444" s="1" t="s">
        <v>8899</v>
      </c>
      <c r="E2444" s="1" t="s">
        <v>8900</v>
      </c>
      <c r="F2444" s="2" t="s">
        <v>4143</v>
      </c>
      <c r="G2444" s="2" t="s">
        <v>8901</v>
      </c>
      <c r="H2444" s="2" t="s">
        <v>10</v>
      </c>
      <c r="I2444" s="2" t="s">
        <v>4139</v>
      </c>
      <c r="J2444" s="2" t="s">
        <v>8902</v>
      </c>
      <c r="K2444" s="14"/>
      <c r="L2444" s="6"/>
    </row>
    <row r="2445" spans="1:12" hidden="1" x14ac:dyDescent="0.3">
      <c r="A2445" s="2" t="s">
        <v>4139</v>
      </c>
      <c r="B2445" s="2" t="s">
        <v>8903</v>
      </c>
      <c r="C2445" s="3">
        <v>27566</v>
      </c>
      <c r="D2445" s="1" t="s">
        <v>8904</v>
      </c>
      <c r="E2445" s="1" t="s">
        <v>8905</v>
      </c>
      <c r="F2445" s="2" t="s">
        <v>8906</v>
      </c>
      <c r="G2445" s="2" t="s">
        <v>80</v>
      </c>
      <c r="H2445" s="2" t="s">
        <v>10</v>
      </c>
      <c r="I2445" s="2" t="s">
        <v>4139</v>
      </c>
      <c r="J2445" s="2" t="s">
        <v>6676</v>
      </c>
      <c r="K2445" s="20" t="s">
        <v>13177</v>
      </c>
      <c r="L2445" s="12"/>
    </row>
    <row r="2446" spans="1:12" hidden="1" x14ac:dyDescent="0.3">
      <c r="A2446" s="2" t="s">
        <v>4139</v>
      </c>
      <c r="B2446" s="2" t="s">
        <v>8907</v>
      </c>
      <c r="C2446" s="3">
        <v>33735</v>
      </c>
      <c r="D2446" s="1" t="s">
        <v>8908</v>
      </c>
      <c r="E2446" s="1" t="s">
        <v>8909</v>
      </c>
      <c r="F2446" s="2" t="s">
        <v>8906</v>
      </c>
      <c r="G2446" s="2" t="s">
        <v>80</v>
      </c>
      <c r="H2446" s="2" t="s">
        <v>8910</v>
      </c>
      <c r="I2446" s="2" t="s">
        <v>4139</v>
      </c>
      <c r="J2446" s="2" t="s">
        <v>6676</v>
      </c>
      <c r="K2446" s="13" t="s">
        <v>13177</v>
      </c>
      <c r="L2446" s="7"/>
    </row>
    <row r="2447" spans="1:12" hidden="1" x14ac:dyDescent="0.3">
      <c r="A2447" s="2" t="s">
        <v>4139</v>
      </c>
      <c r="B2447" s="2" t="s">
        <v>8911</v>
      </c>
      <c r="C2447" s="3">
        <v>36872</v>
      </c>
      <c r="D2447" s="1" t="s">
        <v>8912</v>
      </c>
      <c r="E2447" s="1" t="s">
        <v>8913</v>
      </c>
      <c r="F2447" s="2" t="s">
        <v>8906</v>
      </c>
      <c r="G2447" s="2" t="s">
        <v>48</v>
      </c>
      <c r="H2447" s="2" t="s">
        <v>10</v>
      </c>
      <c r="I2447" s="2" t="s">
        <v>4139</v>
      </c>
      <c r="J2447" s="2" t="s">
        <v>49</v>
      </c>
      <c r="K2447" s="13" t="s">
        <v>13177</v>
      </c>
      <c r="L2447" s="7"/>
    </row>
    <row r="2448" spans="1:12" hidden="1" x14ac:dyDescent="0.3">
      <c r="A2448" s="2" t="s">
        <v>4139</v>
      </c>
      <c r="B2448" s="2" t="s">
        <v>8914</v>
      </c>
      <c r="C2448" s="3">
        <v>24992</v>
      </c>
      <c r="D2448" s="1" t="s">
        <v>4907</v>
      </c>
      <c r="E2448" s="1" t="s">
        <v>8915</v>
      </c>
      <c r="F2448" s="2" t="s">
        <v>8906</v>
      </c>
      <c r="G2448" s="2" t="s">
        <v>511</v>
      </c>
      <c r="H2448" s="2" t="s">
        <v>10</v>
      </c>
      <c r="I2448" s="2" t="s">
        <v>4139</v>
      </c>
      <c r="J2448" s="2" t="s">
        <v>6184</v>
      </c>
      <c r="K2448" s="13" t="s">
        <v>13177</v>
      </c>
      <c r="L2448" s="7"/>
    </row>
    <row r="2449" spans="1:12" ht="27.6" hidden="1" x14ac:dyDescent="0.3">
      <c r="A2449" s="2" t="s">
        <v>4139</v>
      </c>
      <c r="B2449" s="2" t="s">
        <v>8916</v>
      </c>
      <c r="C2449" s="3">
        <v>37992</v>
      </c>
      <c r="D2449" s="1" t="s">
        <v>8917</v>
      </c>
      <c r="E2449" s="1" t="s">
        <v>8918</v>
      </c>
      <c r="F2449" s="2" t="s">
        <v>8906</v>
      </c>
      <c r="G2449" s="2" t="s">
        <v>328</v>
      </c>
      <c r="H2449" s="2" t="s">
        <v>10</v>
      </c>
      <c r="I2449" s="2" t="s">
        <v>4139</v>
      </c>
      <c r="J2449" s="2" t="s">
        <v>7754</v>
      </c>
      <c r="K2449" s="13" t="s">
        <v>13177</v>
      </c>
      <c r="L2449" s="7"/>
    </row>
    <row r="2450" spans="1:12" hidden="1" x14ac:dyDescent="0.3">
      <c r="A2450" s="2" t="s">
        <v>4139</v>
      </c>
      <c r="B2450" s="2" t="s">
        <v>8919</v>
      </c>
      <c r="C2450" s="3">
        <v>25481</v>
      </c>
      <c r="D2450" s="1" t="s">
        <v>8920</v>
      </c>
      <c r="E2450" s="1" t="s">
        <v>8921</v>
      </c>
      <c r="F2450" s="2" t="s">
        <v>8906</v>
      </c>
      <c r="G2450" s="2" t="s">
        <v>206</v>
      </c>
      <c r="H2450" s="2" t="s">
        <v>10</v>
      </c>
      <c r="I2450" s="2" t="s">
        <v>4139</v>
      </c>
      <c r="J2450" s="2" t="s">
        <v>8922</v>
      </c>
      <c r="K2450" s="13" t="s">
        <v>13177</v>
      </c>
      <c r="L2450" s="7"/>
    </row>
    <row r="2451" spans="1:12" ht="27.6" hidden="1" x14ac:dyDescent="0.3">
      <c r="A2451" s="2" t="s">
        <v>4386</v>
      </c>
      <c r="B2451" s="2" t="s">
        <v>8923</v>
      </c>
      <c r="C2451" s="3">
        <v>31551</v>
      </c>
      <c r="D2451" s="1" t="s">
        <v>8924</v>
      </c>
      <c r="E2451" s="1" t="s">
        <v>8925</v>
      </c>
      <c r="F2451" s="2" t="s">
        <v>4555</v>
      </c>
      <c r="G2451" s="2" t="s">
        <v>3134</v>
      </c>
      <c r="H2451" s="2" t="s">
        <v>10</v>
      </c>
      <c r="I2451" s="2" t="s">
        <v>4386</v>
      </c>
      <c r="J2451" s="2" t="s">
        <v>3135</v>
      </c>
      <c r="K2451" s="13" t="s">
        <v>13177</v>
      </c>
      <c r="L2451" s="7"/>
    </row>
    <row r="2452" spans="1:12" ht="27.6" hidden="1" x14ac:dyDescent="0.3">
      <c r="A2452" s="2" t="s">
        <v>60</v>
      </c>
      <c r="B2452" s="2" t="s">
        <v>8926</v>
      </c>
      <c r="C2452" s="3">
        <v>30274</v>
      </c>
      <c r="D2452" s="1" t="s">
        <v>8927</v>
      </c>
      <c r="E2452" s="1" t="s">
        <v>8928</v>
      </c>
      <c r="F2452" s="2" t="s">
        <v>2146</v>
      </c>
      <c r="G2452" s="2" t="s">
        <v>143</v>
      </c>
      <c r="H2452" s="2" t="s">
        <v>10</v>
      </c>
      <c r="I2452" s="2" t="s">
        <v>60</v>
      </c>
      <c r="J2452" s="2" t="s">
        <v>8929</v>
      </c>
      <c r="K2452" s="13" t="s">
        <v>13177</v>
      </c>
      <c r="L2452" s="7"/>
    </row>
    <row r="2453" spans="1:12" hidden="1" x14ac:dyDescent="0.3">
      <c r="A2453" s="2" t="s">
        <v>4139</v>
      </c>
      <c r="B2453" s="2" t="s">
        <v>8930</v>
      </c>
      <c r="C2453" s="3">
        <v>20765</v>
      </c>
      <c r="D2453" s="1" t="s">
        <v>8931</v>
      </c>
      <c r="E2453" s="1" t="s">
        <v>8932</v>
      </c>
      <c r="F2453" s="2" t="s">
        <v>8598</v>
      </c>
      <c r="G2453" s="2" t="s">
        <v>8738</v>
      </c>
      <c r="H2453" s="2" t="s">
        <v>81</v>
      </c>
      <c r="I2453" s="2" t="s">
        <v>4139</v>
      </c>
      <c r="J2453" s="2" t="s">
        <v>8739</v>
      </c>
      <c r="K2453" s="13" t="s">
        <v>13177</v>
      </c>
      <c r="L2453" s="7" t="s">
        <v>13199</v>
      </c>
    </row>
    <row r="2454" spans="1:12" hidden="1" x14ac:dyDescent="0.3">
      <c r="A2454" s="2" t="s">
        <v>4139</v>
      </c>
      <c r="B2454" s="2" t="s">
        <v>8933</v>
      </c>
      <c r="C2454" s="3">
        <v>27346</v>
      </c>
      <c r="D2454" s="1" t="s">
        <v>8934</v>
      </c>
      <c r="E2454" s="1" t="s">
        <v>8935</v>
      </c>
      <c r="F2454" s="2" t="s">
        <v>8598</v>
      </c>
      <c r="G2454" s="2" t="s">
        <v>8936</v>
      </c>
      <c r="H2454" s="2" t="s">
        <v>81</v>
      </c>
      <c r="I2454" s="2" t="s">
        <v>4139</v>
      </c>
      <c r="J2454" s="2" t="s">
        <v>8937</v>
      </c>
      <c r="K2454" s="13" t="s">
        <v>13177</v>
      </c>
      <c r="L2454" s="7" t="s">
        <v>13199</v>
      </c>
    </row>
    <row r="2455" spans="1:12" hidden="1" x14ac:dyDescent="0.3">
      <c r="A2455" s="2" t="s">
        <v>4139</v>
      </c>
      <c r="B2455" s="2" t="s">
        <v>8933</v>
      </c>
      <c r="C2455" s="3">
        <v>27346</v>
      </c>
      <c r="D2455" s="1" t="s">
        <v>8934</v>
      </c>
      <c r="E2455" s="1" t="s">
        <v>8935</v>
      </c>
      <c r="F2455" s="2" t="s">
        <v>8598</v>
      </c>
      <c r="G2455" s="2" t="s">
        <v>8936</v>
      </c>
      <c r="H2455" s="2" t="s">
        <v>103</v>
      </c>
      <c r="I2455" s="2" t="s">
        <v>4139</v>
      </c>
      <c r="J2455" s="2" t="s">
        <v>8937</v>
      </c>
      <c r="K2455" s="13" t="s">
        <v>13177</v>
      </c>
      <c r="L2455" s="7" t="s">
        <v>13199</v>
      </c>
    </row>
    <row r="2456" spans="1:12" hidden="1" x14ac:dyDescent="0.3">
      <c r="A2456" s="2" t="s">
        <v>4139</v>
      </c>
      <c r="B2456" s="2" t="s">
        <v>8938</v>
      </c>
      <c r="C2456" s="3">
        <v>21918</v>
      </c>
      <c r="D2456" s="1" t="s">
        <v>8939</v>
      </c>
      <c r="E2456" s="1" t="s">
        <v>8940</v>
      </c>
      <c r="F2456" s="2" t="s">
        <v>8598</v>
      </c>
      <c r="G2456" s="2" t="s">
        <v>8941</v>
      </c>
      <c r="H2456" s="2" t="s">
        <v>81</v>
      </c>
      <c r="I2456" s="2" t="s">
        <v>4139</v>
      </c>
      <c r="J2456" s="2" t="s">
        <v>8942</v>
      </c>
      <c r="K2456" s="13" t="s">
        <v>13177</v>
      </c>
      <c r="L2456" s="7" t="s">
        <v>13199</v>
      </c>
    </row>
    <row r="2457" spans="1:12" hidden="1" x14ac:dyDescent="0.3">
      <c r="A2457" s="2" t="s">
        <v>4139</v>
      </c>
      <c r="B2457" s="2" t="s">
        <v>8938</v>
      </c>
      <c r="C2457" s="3">
        <v>21918</v>
      </c>
      <c r="D2457" s="1" t="s">
        <v>8939</v>
      </c>
      <c r="E2457" s="1" t="s">
        <v>8940</v>
      </c>
      <c r="F2457" s="2" t="s">
        <v>8598</v>
      </c>
      <c r="G2457" s="2" t="s">
        <v>8941</v>
      </c>
      <c r="H2457" s="2" t="s">
        <v>103</v>
      </c>
      <c r="I2457" s="2" t="s">
        <v>4139</v>
      </c>
      <c r="J2457" s="2" t="s">
        <v>8942</v>
      </c>
      <c r="K2457" s="13" t="s">
        <v>13177</v>
      </c>
      <c r="L2457" s="7" t="s">
        <v>13199</v>
      </c>
    </row>
    <row r="2458" spans="1:12" x14ac:dyDescent="0.3">
      <c r="A2458" s="2" t="s">
        <v>4139</v>
      </c>
      <c r="B2458" s="2" t="s">
        <v>8943</v>
      </c>
      <c r="C2458" s="3">
        <v>27357</v>
      </c>
      <c r="D2458" s="1" t="s">
        <v>8944</v>
      </c>
      <c r="E2458" s="1" t="s">
        <v>8945</v>
      </c>
      <c r="F2458" s="2" t="s">
        <v>8598</v>
      </c>
      <c r="G2458" s="2" t="s">
        <v>8743</v>
      </c>
      <c r="H2458" s="2" t="s">
        <v>81</v>
      </c>
      <c r="I2458" s="2" t="s">
        <v>4139</v>
      </c>
      <c r="J2458" s="2" t="s">
        <v>8946</v>
      </c>
      <c r="K2458" s="13" t="s">
        <v>13177</v>
      </c>
      <c r="L2458" s="7" t="s">
        <v>13199</v>
      </c>
    </row>
    <row r="2459" spans="1:12" hidden="1" x14ac:dyDescent="0.3">
      <c r="A2459" s="2" t="s">
        <v>4139</v>
      </c>
      <c r="B2459" s="2" t="s">
        <v>8947</v>
      </c>
      <c r="C2459" s="3">
        <v>25557</v>
      </c>
      <c r="D2459" s="1" t="s">
        <v>8948</v>
      </c>
      <c r="E2459" s="1" t="s">
        <v>8949</v>
      </c>
      <c r="F2459" s="2" t="s">
        <v>4143</v>
      </c>
      <c r="G2459" s="2" t="s">
        <v>8950</v>
      </c>
      <c r="H2459" s="2" t="s">
        <v>10</v>
      </c>
      <c r="I2459" s="2" t="s">
        <v>4139</v>
      </c>
      <c r="J2459" s="2" t="s">
        <v>8951</v>
      </c>
      <c r="K2459" s="14"/>
      <c r="L2459" s="6"/>
    </row>
    <row r="2460" spans="1:12" hidden="1" x14ac:dyDescent="0.3">
      <c r="A2460" s="2" t="s">
        <v>4139</v>
      </c>
      <c r="B2460" s="2" t="s">
        <v>8445</v>
      </c>
      <c r="C2460" s="3">
        <v>28648</v>
      </c>
      <c r="D2460" s="1" t="s">
        <v>8952</v>
      </c>
      <c r="E2460" s="1" t="s">
        <v>8953</v>
      </c>
      <c r="F2460" s="2" t="s">
        <v>4143</v>
      </c>
      <c r="G2460" s="2" t="s">
        <v>8954</v>
      </c>
      <c r="H2460" s="2" t="s">
        <v>103</v>
      </c>
      <c r="I2460" s="2" t="s">
        <v>4139</v>
      </c>
      <c r="J2460" s="2" t="s">
        <v>8955</v>
      </c>
      <c r="K2460" s="14"/>
      <c r="L2460" s="6"/>
    </row>
    <row r="2461" spans="1:12" hidden="1" x14ac:dyDescent="0.3">
      <c r="A2461" s="2" t="s">
        <v>4139</v>
      </c>
      <c r="B2461" s="2" t="s">
        <v>8445</v>
      </c>
      <c r="C2461" s="3">
        <v>28648</v>
      </c>
      <c r="D2461" s="1" t="s">
        <v>8441</v>
      </c>
      <c r="E2461" s="1" t="s">
        <v>8442</v>
      </c>
      <c r="F2461" s="2" t="s">
        <v>8906</v>
      </c>
      <c r="G2461" s="2" t="s">
        <v>31</v>
      </c>
      <c r="H2461" s="2" t="s">
        <v>10</v>
      </c>
      <c r="I2461" s="2" t="s">
        <v>4139</v>
      </c>
      <c r="J2461" s="2" t="s">
        <v>8956</v>
      </c>
      <c r="K2461" s="20" t="s">
        <v>13177</v>
      </c>
      <c r="L2461" s="12"/>
    </row>
    <row r="2462" spans="1:12" hidden="1" x14ac:dyDescent="0.3">
      <c r="A2462" s="2" t="s">
        <v>4139</v>
      </c>
      <c r="B2462" s="2" t="s">
        <v>8445</v>
      </c>
      <c r="C2462" s="3">
        <v>28648</v>
      </c>
      <c r="D2462" s="1" t="s">
        <v>8441</v>
      </c>
      <c r="E2462" s="1" t="s">
        <v>8442</v>
      </c>
      <c r="F2462" s="2" t="s">
        <v>8906</v>
      </c>
      <c r="G2462" s="2" t="s">
        <v>25</v>
      </c>
      <c r="H2462" s="2" t="s">
        <v>10</v>
      </c>
      <c r="I2462" s="2" t="s">
        <v>4139</v>
      </c>
      <c r="J2462" s="2" t="s">
        <v>6656</v>
      </c>
      <c r="K2462" s="16" t="s">
        <v>13177</v>
      </c>
      <c r="L2462" s="17"/>
    </row>
    <row r="2463" spans="1:12" hidden="1" x14ac:dyDescent="0.3">
      <c r="A2463" s="2" t="s">
        <v>4139</v>
      </c>
      <c r="B2463" s="2" t="s">
        <v>8957</v>
      </c>
      <c r="C2463" s="3">
        <v>25545</v>
      </c>
      <c r="D2463" s="1" t="s">
        <v>8958</v>
      </c>
      <c r="E2463" s="1" t="s">
        <v>8959</v>
      </c>
      <c r="F2463" s="2" t="s">
        <v>4143</v>
      </c>
      <c r="G2463" s="2" t="s">
        <v>6635</v>
      </c>
      <c r="H2463" s="2" t="s">
        <v>10</v>
      </c>
      <c r="I2463" s="2" t="s">
        <v>4139</v>
      </c>
      <c r="J2463" s="2" t="s">
        <v>8960</v>
      </c>
      <c r="K2463" s="14"/>
      <c r="L2463" s="6"/>
    </row>
    <row r="2464" spans="1:12" hidden="1" x14ac:dyDescent="0.3">
      <c r="A2464" s="2" t="s">
        <v>4139</v>
      </c>
      <c r="B2464" s="2" t="s">
        <v>8961</v>
      </c>
      <c r="C2464" s="3">
        <v>31872</v>
      </c>
      <c r="D2464" s="1" t="s">
        <v>8962</v>
      </c>
      <c r="E2464" s="1" t="s">
        <v>8963</v>
      </c>
      <c r="F2464" s="2" t="s">
        <v>4143</v>
      </c>
      <c r="G2464" s="2" t="s">
        <v>8964</v>
      </c>
      <c r="H2464" s="2" t="s">
        <v>10</v>
      </c>
      <c r="I2464" s="2" t="s">
        <v>4139</v>
      </c>
      <c r="J2464" s="2" t="s">
        <v>8965</v>
      </c>
      <c r="K2464" s="14"/>
      <c r="L2464" s="6"/>
    </row>
    <row r="2465" spans="1:12" hidden="1" x14ac:dyDescent="0.3">
      <c r="A2465" s="2" t="s">
        <v>4139</v>
      </c>
      <c r="B2465" s="2" t="s">
        <v>8966</v>
      </c>
      <c r="C2465" s="3">
        <v>28310</v>
      </c>
      <c r="D2465" s="1" t="s">
        <v>4907</v>
      </c>
      <c r="E2465" s="1" t="s">
        <v>8967</v>
      </c>
      <c r="F2465" s="2" t="s">
        <v>4143</v>
      </c>
      <c r="G2465" s="2" t="s">
        <v>8968</v>
      </c>
      <c r="H2465" s="2" t="s">
        <v>10</v>
      </c>
      <c r="I2465" s="2" t="s">
        <v>4139</v>
      </c>
      <c r="J2465" s="2" t="s">
        <v>8969</v>
      </c>
      <c r="K2465" s="14"/>
      <c r="L2465" s="6"/>
    </row>
    <row r="2466" spans="1:12" hidden="1" x14ac:dyDescent="0.3">
      <c r="A2466" s="2" t="s">
        <v>4139</v>
      </c>
      <c r="B2466" s="2" t="s">
        <v>8970</v>
      </c>
      <c r="C2466" s="3">
        <v>29059</v>
      </c>
      <c r="D2466" s="1" t="s">
        <v>8971</v>
      </c>
      <c r="E2466" s="1" t="s">
        <v>8972</v>
      </c>
      <c r="F2466" s="2" t="s">
        <v>8906</v>
      </c>
      <c r="G2466" s="2" t="s">
        <v>222</v>
      </c>
      <c r="H2466" s="2" t="s">
        <v>10</v>
      </c>
      <c r="I2466" s="2" t="s">
        <v>4139</v>
      </c>
      <c r="J2466" s="2" t="s">
        <v>1788</v>
      </c>
      <c r="K2466" s="21" t="s">
        <v>13177</v>
      </c>
      <c r="L2466" s="22"/>
    </row>
    <row r="2467" spans="1:12" hidden="1" x14ac:dyDescent="0.3">
      <c r="A2467" s="2" t="s">
        <v>4139</v>
      </c>
      <c r="B2467" s="2" t="s">
        <v>8973</v>
      </c>
      <c r="C2467" s="3">
        <v>25613</v>
      </c>
      <c r="D2467" s="1" t="s">
        <v>8974</v>
      </c>
      <c r="E2467" s="1" t="s">
        <v>8975</v>
      </c>
      <c r="F2467" s="2" t="s">
        <v>4143</v>
      </c>
      <c r="G2467" s="2" t="s">
        <v>8976</v>
      </c>
      <c r="H2467" s="2" t="s">
        <v>10</v>
      </c>
      <c r="I2467" s="2" t="s">
        <v>4139</v>
      </c>
      <c r="J2467" s="2" t="s">
        <v>8977</v>
      </c>
      <c r="K2467" s="14"/>
      <c r="L2467" s="6"/>
    </row>
    <row r="2468" spans="1:12" ht="27.6" hidden="1" x14ac:dyDescent="0.3">
      <c r="A2468" s="2" t="s">
        <v>60</v>
      </c>
      <c r="B2468" s="2" t="s">
        <v>8978</v>
      </c>
      <c r="C2468" s="3">
        <v>31991</v>
      </c>
      <c r="D2468" s="1" t="s">
        <v>8979</v>
      </c>
      <c r="E2468" s="1" t="s">
        <v>8980</v>
      </c>
      <c r="F2468" s="2" t="s">
        <v>1918</v>
      </c>
      <c r="G2468" s="2" t="s">
        <v>124</v>
      </c>
      <c r="H2468" s="2" t="s">
        <v>334</v>
      </c>
      <c r="I2468" s="2" t="s">
        <v>60</v>
      </c>
      <c r="J2468" s="2" t="s">
        <v>173</v>
      </c>
      <c r="K2468" s="20" t="s">
        <v>13177</v>
      </c>
      <c r="L2468" s="12"/>
    </row>
    <row r="2469" spans="1:12" ht="27.6" hidden="1" x14ac:dyDescent="0.3">
      <c r="A2469" s="2" t="s">
        <v>4386</v>
      </c>
      <c r="B2469" s="2" t="s">
        <v>8981</v>
      </c>
      <c r="C2469" s="3">
        <v>32164</v>
      </c>
      <c r="D2469" s="1" t="s">
        <v>8982</v>
      </c>
      <c r="E2469" s="1" t="s">
        <v>8983</v>
      </c>
      <c r="F2469" s="2" t="s">
        <v>8984</v>
      </c>
      <c r="G2469" s="2" t="s">
        <v>12</v>
      </c>
      <c r="H2469" s="2" t="s">
        <v>10</v>
      </c>
      <c r="I2469" s="2" t="s">
        <v>4386</v>
      </c>
      <c r="J2469" s="2" t="s">
        <v>540</v>
      </c>
      <c r="K2469" s="13" t="s">
        <v>13177</v>
      </c>
      <c r="L2469" s="7"/>
    </row>
    <row r="2470" spans="1:12" ht="27.6" hidden="1" x14ac:dyDescent="0.3">
      <c r="A2470" s="2" t="s">
        <v>4386</v>
      </c>
      <c r="B2470" s="2" t="s">
        <v>8985</v>
      </c>
      <c r="C2470" s="3">
        <v>22972</v>
      </c>
      <c r="D2470" s="1" t="s">
        <v>8986</v>
      </c>
      <c r="E2470" s="1" t="s">
        <v>8987</v>
      </c>
      <c r="F2470" s="2" t="s">
        <v>8984</v>
      </c>
      <c r="G2470" s="2" t="s">
        <v>92</v>
      </c>
      <c r="H2470" s="2" t="s">
        <v>10</v>
      </c>
      <c r="I2470" s="2" t="s">
        <v>4386</v>
      </c>
      <c r="J2470" s="2" t="s">
        <v>826</v>
      </c>
      <c r="K2470" s="13" t="s">
        <v>13177</v>
      </c>
      <c r="L2470" s="7"/>
    </row>
    <row r="2471" spans="1:12" ht="27.6" hidden="1" x14ac:dyDescent="0.3">
      <c r="A2471" s="2" t="s">
        <v>4386</v>
      </c>
      <c r="B2471" s="2" t="s">
        <v>8988</v>
      </c>
      <c r="C2471" s="3">
        <v>29326</v>
      </c>
      <c r="D2471" s="1" t="s">
        <v>8989</v>
      </c>
      <c r="E2471" s="1" t="s">
        <v>8990</v>
      </c>
      <c r="F2471" s="2" t="s">
        <v>8984</v>
      </c>
      <c r="G2471" s="2" t="s">
        <v>48</v>
      </c>
      <c r="H2471" s="2" t="s">
        <v>10</v>
      </c>
      <c r="I2471" s="2" t="s">
        <v>4386</v>
      </c>
      <c r="J2471" s="2" t="s">
        <v>8991</v>
      </c>
      <c r="K2471" s="13" t="s">
        <v>13177</v>
      </c>
      <c r="L2471" s="7"/>
    </row>
    <row r="2472" spans="1:12" ht="27.6" hidden="1" x14ac:dyDescent="0.3">
      <c r="A2472" s="2" t="s">
        <v>4386</v>
      </c>
      <c r="B2472" s="2" t="s">
        <v>8992</v>
      </c>
      <c r="C2472" s="3">
        <v>30699</v>
      </c>
      <c r="D2472" s="1" t="s">
        <v>8993</v>
      </c>
      <c r="E2472" s="1" t="s">
        <v>8994</v>
      </c>
      <c r="F2472" s="2" t="s">
        <v>8984</v>
      </c>
      <c r="G2472" s="2" t="s">
        <v>366</v>
      </c>
      <c r="H2472" s="2" t="s">
        <v>10</v>
      </c>
      <c r="I2472" s="2" t="s">
        <v>4386</v>
      </c>
      <c r="J2472" s="2" t="s">
        <v>437</v>
      </c>
      <c r="K2472" s="13" t="s">
        <v>13177</v>
      </c>
      <c r="L2472" s="7"/>
    </row>
    <row r="2473" spans="1:12" ht="27.6" hidden="1" x14ac:dyDescent="0.3">
      <c r="A2473" s="2" t="s">
        <v>4386</v>
      </c>
      <c r="B2473" s="2" t="s">
        <v>8995</v>
      </c>
      <c r="C2473" s="3">
        <v>38107</v>
      </c>
      <c r="D2473" s="1" t="s">
        <v>8996</v>
      </c>
      <c r="E2473" s="1" t="s">
        <v>8997</v>
      </c>
      <c r="F2473" s="2" t="s">
        <v>8984</v>
      </c>
      <c r="G2473" s="2" t="s">
        <v>380</v>
      </c>
      <c r="H2473" s="2" t="s">
        <v>10</v>
      </c>
      <c r="I2473" s="2" t="s">
        <v>4386</v>
      </c>
      <c r="J2473" s="2" t="s">
        <v>1083</v>
      </c>
      <c r="K2473" s="13" t="s">
        <v>13177</v>
      </c>
      <c r="L2473" s="7"/>
    </row>
    <row r="2474" spans="1:12" ht="27.6" hidden="1" x14ac:dyDescent="0.3">
      <c r="A2474" s="2" t="s">
        <v>4386</v>
      </c>
      <c r="B2474" s="2" t="s">
        <v>8998</v>
      </c>
      <c r="C2474" s="3">
        <v>35191</v>
      </c>
      <c r="D2474" s="1" t="s">
        <v>8999</v>
      </c>
      <c r="E2474" s="1" t="s">
        <v>9000</v>
      </c>
      <c r="F2474" s="2" t="s">
        <v>8984</v>
      </c>
      <c r="G2474" s="2" t="s">
        <v>385</v>
      </c>
      <c r="H2474" s="2" t="s">
        <v>10</v>
      </c>
      <c r="I2474" s="2" t="s">
        <v>4386</v>
      </c>
      <c r="J2474" s="2" t="s">
        <v>1074</v>
      </c>
      <c r="K2474" s="13" t="s">
        <v>13177</v>
      </c>
      <c r="L2474" s="7"/>
    </row>
    <row r="2475" spans="1:12" ht="27.6" hidden="1" x14ac:dyDescent="0.3">
      <c r="A2475" s="2" t="s">
        <v>4386</v>
      </c>
      <c r="B2475" s="2" t="s">
        <v>9001</v>
      </c>
      <c r="C2475" s="3">
        <v>22130</v>
      </c>
      <c r="D2475" s="1" t="s">
        <v>9002</v>
      </c>
      <c r="E2475" s="1" t="s">
        <v>9003</v>
      </c>
      <c r="F2475" s="2" t="s">
        <v>7088</v>
      </c>
      <c r="G2475" s="2" t="s">
        <v>112</v>
      </c>
      <c r="H2475" s="2" t="s">
        <v>10</v>
      </c>
      <c r="I2475" s="2" t="s">
        <v>4386</v>
      </c>
      <c r="J2475" s="2" t="s">
        <v>315</v>
      </c>
      <c r="K2475" s="13" t="s">
        <v>13177</v>
      </c>
      <c r="L2475" s="7"/>
    </row>
    <row r="2476" spans="1:12" ht="55.2" hidden="1" x14ac:dyDescent="0.3">
      <c r="A2476" s="2" t="s">
        <v>4604</v>
      </c>
      <c r="B2476" s="2" t="s">
        <v>9004</v>
      </c>
      <c r="C2476" s="3">
        <v>30491</v>
      </c>
      <c r="D2476" s="1" t="s">
        <v>5715</v>
      </c>
      <c r="E2476" s="1" t="s">
        <v>9005</v>
      </c>
      <c r="F2476" s="2" t="s">
        <v>6430</v>
      </c>
      <c r="G2476" s="2" t="s">
        <v>230</v>
      </c>
      <c r="H2476" s="2" t="s">
        <v>9006</v>
      </c>
      <c r="I2476" s="2" t="s">
        <v>4604</v>
      </c>
      <c r="J2476" s="2" t="s">
        <v>1922</v>
      </c>
      <c r="K2476" s="13" t="s">
        <v>13177</v>
      </c>
      <c r="L2476" s="7"/>
    </row>
    <row r="2477" spans="1:12" ht="27.6" hidden="1" x14ac:dyDescent="0.3">
      <c r="A2477" s="2" t="s">
        <v>60</v>
      </c>
      <c r="B2477" s="2" t="s">
        <v>9007</v>
      </c>
      <c r="C2477" s="3">
        <v>39304</v>
      </c>
      <c r="D2477" s="1" t="s">
        <v>9008</v>
      </c>
      <c r="E2477" s="1" t="s">
        <v>9009</v>
      </c>
      <c r="F2477" s="2" t="s">
        <v>614</v>
      </c>
      <c r="G2477" s="2" t="s">
        <v>230</v>
      </c>
      <c r="H2477" s="2" t="s">
        <v>10</v>
      </c>
      <c r="I2477" s="2" t="s">
        <v>60</v>
      </c>
      <c r="J2477" s="2" t="s">
        <v>270</v>
      </c>
      <c r="K2477" s="13" t="s">
        <v>13177</v>
      </c>
      <c r="L2477" s="7"/>
    </row>
    <row r="2478" spans="1:12" ht="27.6" hidden="1" x14ac:dyDescent="0.3">
      <c r="A2478" s="2" t="s">
        <v>4386</v>
      </c>
      <c r="B2478" s="2" t="s">
        <v>9010</v>
      </c>
      <c r="C2478" s="3">
        <v>38339</v>
      </c>
      <c r="D2478" s="1" t="s">
        <v>9011</v>
      </c>
      <c r="E2478" s="1" t="s">
        <v>9012</v>
      </c>
      <c r="F2478" s="2" t="s">
        <v>8536</v>
      </c>
      <c r="G2478" s="2" t="s">
        <v>9013</v>
      </c>
      <c r="H2478" s="2" t="s">
        <v>10</v>
      </c>
      <c r="I2478" s="2" t="s">
        <v>4386</v>
      </c>
      <c r="J2478" s="2" t="s">
        <v>9014</v>
      </c>
      <c r="K2478" s="13" t="s">
        <v>13177</v>
      </c>
      <c r="L2478" s="7"/>
    </row>
    <row r="2479" spans="1:12" ht="27.6" hidden="1" x14ac:dyDescent="0.3">
      <c r="A2479" s="2" t="s">
        <v>4386</v>
      </c>
      <c r="B2479" s="2" t="s">
        <v>9015</v>
      </c>
      <c r="C2479" s="3">
        <v>29107</v>
      </c>
      <c r="D2479" s="1" t="s">
        <v>9016</v>
      </c>
      <c r="E2479" s="1" t="s">
        <v>9017</v>
      </c>
      <c r="F2479" s="2" t="s">
        <v>4555</v>
      </c>
      <c r="G2479" s="2" t="s">
        <v>7373</v>
      </c>
      <c r="H2479" s="2" t="s">
        <v>10</v>
      </c>
      <c r="I2479" s="2" t="s">
        <v>4386</v>
      </c>
      <c r="J2479" s="2" t="s">
        <v>9018</v>
      </c>
      <c r="K2479" s="13" t="s">
        <v>13177</v>
      </c>
      <c r="L2479" s="7"/>
    </row>
    <row r="2480" spans="1:12" ht="27.6" hidden="1" x14ac:dyDescent="0.3">
      <c r="A2480" s="2" t="s">
        <v>4386</v>
      </c>
      <c r="B2480" s="2" t="s">
        <v>9010</v>
      </c>
      <c r="C2480" s="3">
        <v>38339</v>
      </c>
      <c r="D2480" s="1" t="s">
        <v>9011</v>
      </c>
      <c r="E2480" s="1" t="s">
        <v>9012</v>
      </c>
      <c r="F2480" s="2" t="s">
        <v>8536</v>
      </c>
      <c r="G2480" s="2" t="s">
        <v>9019</v>
      </c>
      <c r="H2480" s="2" t="s">
        <v>10</v>
      </c>
      <c r="I2480" s="2" t="s">
        <v>4386</v>
      </c>
      <c r="J2480" s="2" t="s">
        <v>9020</v>
      </c>
      <c r="K2480" s="13" t="s">
        <v>13177</v>
      </c>
      <c r="L2480" s="7"/>
    </row>
    <row r="2481" spans="1:12" ht="27.6" hidden="1" x14ac:dyDescent="0.3">
      <c r="A2481" s="2" t="s">
        <v>4386</v>
      </c>
      <c r="B2481" s="2" t="s">
        <v>9021</v>
      </c>
      <c r="C2481" s="3">
        <v>26677</v>
      </c>
      <c r="D2481" s="1" t="s">
        <v>9022</v>
      </c>
      <c r="E2481" s="1" t="s">
        <v>9023</v>
      </c>
      <c r="F2481" s="2" t="s">
        <v>8184</v>
      </c>
      <c r="G2481" s="2" t="s">
        <v>12</v>
      </c>
      <c r="H2481" s="2" t="s">
        <v>10</v>
      </c>
      <c r="I2481" s="2" t="s">
        <v>4386</v>
      </c>
      <c r="J2481" s="2" t="s">
        <v>540</v>
      </c>
      <c r="K2481" s="13" t="s">
        <v>13177</v>
      </c>
      <c r="L2481" s="7"/>
    </row>
    <row r="2482" spans="1:12" ht="27.6" hidden="1" x14ac:dyDescent="0.3">
      <c r="A2482" s="2" t="s">
        <v>4386</v>
      </c>
      <c r="B2482" s="2" t="s">
        <v>9024</v>
      </c>
      <c r="C2482" s="3">
        <v>26810</v>
      </c>
      <c r="D2482" s="1" t="s">
        <v>9025</v>
      </c>
      <c r="E2482" s="1" t="s">
        <v>9026</v>
      </c>
      <c r="F2482" s="2" t="s">
        <v>7095</v>
      </c>
      <c r="G2482" s="2" t="s">
        <v>9027</v>
      </c>
      <c r="H2482" s="2" t="s">
        <v>10</v>
      </c>
      <c r="I2482" s="2" t="s">
        <v>4386</v>
      </c>
      <c r="J2482" s="2" t="s">
        <v>9028</v>
      </c>
      <c r="K2482" s="13" t="s">
        <v>13177</v>
      </c>
      <c r="L2482" s="7"/>
    </row>
    <row r="2483" spans="1:12" ht="27.6" hidden="1" x14ac:dyDescent="0.3">
      <c r="A2483" s="2" t="s">
        <v>4386</v>
      </c>
      <c r="B2483" s="2" t="s">
        <v>9029</v>
      </c>
      <c r="C2483" s="3">
        <v>32032</v>
      </c>
      <c r="D2483" s="1" t="s">
        <v>9030</v>
      </c>
      <c r="E2483" s="1" t="s">
        <v>9031</v>
      </c>
      <c r="F2483" s="2" t="s">
        <v>7088</v>
      </c>
      <c r="G2483" s="2" t="s">
        <v>425</v>
      </c>
      <c r="H2483" s="2" t="s">
        <v>10</v>
      </c>
      <c r="I2483" s="2" t="s">
        <v>4386</v>
      </c>
      <c r="J2483" s="2" t="s">
        <v>1181</v>
      </c>
      <c r="K2483" s="13" t="s">
        <v>13177</v>
      </c>
      <c r="L2483" s="7"/>
    </row>
    <row r="2484" spans="1:12" ht="27.6" hidden="1" x14ac:dyDescent="0.3">
      <c r="A2484" s="2" t="s">
        <v>4386</v>
      </c>
      <c r="B2484" s="2" t="s">
        <v>9032</v>
      </c>
      <c r="C2484" s="3">
        <v>26361</v>
      </c>
      <c r="D2484" s="1" t="s">
        <v>9033</v>
      </c>
      <c r="E2484" s="1" t="s">
        <v>9034</v>
      </c>
      <c r="F2484" s="2" t="s">
        <v>7088</v>
      </c>
      <c r="G2484" s="2" t="s">
        <v>385</v>
      </c>
      <c r="H2484" s="2" t="s">
        <v>10</v>
      </c>
      <c r="I2484" s="2" t="s">
        <v>4386</v>
      </c>
      <c r="J2484" s="2" t="s">
        <v>913</v>
      </c>
      <c r="K2484" s="16" t="s">
        <v>13177</v>
      </c>
      <c r="L2484" s="17"/>
    </row>
    <row r="2485" spans="1:12" hidden="1" x14ac:dyDescent="0.3">
      <c r="A2485" s="2" t="s">
        <v>4139</v>
      </c>
      <c r="B2485" s="2" t="s">
        <v>9035</v>
      </c>
      <c r="C2485" s="3">
        <v>24095</v>
      </c>
      <c r="D2485" s="1" t="s">
        <v>9036</v>
      </c>
      <c r="E2485" s="1" t="s">
        <v>9037</v>
      </c>
      <c r="F2485" s="2" t="s">
        <v>4143</v>
      </c>
      <c r="G2485" s="2" t="s">
        <v>5570</v>
      </c>
      <c r="H2485" s="2" t="s">
        <v>103</v>
      </c>
      <c r="I2485" s="2" t="s">
        <v>4139</v>
      </c>
      <c r="J2485" s="2" t="s">
        <v>5571</v>
      </c>
      <c r="K2485" s="13" t="s">
        <v>13177</v>
      </c>
      <c r="L2485" s="7" t="s">
        <v>13199</v>
      </c>
    </row>
    <row r="2486" spans="1:12" ht="27.6" hidden="1" x14ac:dyDescent="0.3">
      <c r="A2486" s="2" t="s">
        <v>4386</v>
      </c>
      <c r="B2486" s="2" t="s">
        <v>9038</v>
      </c>
      <c r="C2486" s="3">
        <v>23718</v>
      </c>
      <c r="D2486" s="1" t="s">
        <v>9039</v>
      </c>
      <c r="E2486" s="1" t="s">
        <v>9040</v>
      </c>
      <c r="F2486" s="2" t="s">
        <v>9041</v>
      </c>
      <c r="G2486" s="2" t="s">
        <v>9042</v>
      </c>
      <c r="H2486" s="2" t="s">
        <v>10</v>
      </c>
      <c r="I2486" s="2" t="s">
        <v>4386</v>
      </c>
      <c r="J2486" s="2" t="s">
        <v>9043</v>
      </c>
      <c r="K2486" s="20" t="s">
        <v>13177</v>
      </c>
      <c r="L2486" s="12"/>
    </row>
    <row r="2487" spans="1:12" ht="27.6" hidden="1" x14ac:dyDescent="0.3">
      <c r="A2487" s="2" t="s">
        <v>4386</v>
      </c>
      <c r="B2487" s="2" t="s">
        <v>9044</v>
      </c>
      <c r="C2487" s="3">
        <v>31669</v>
      </c>
      <c r="D2487" s="1" t="s">
        <v>9045</v>
      </c>
      <c r="E2487" s="1" t="s">
        <v>9046</v>
      </c>
      <c r="F2487" s="2" t="s">
        <v>9047</v>
      </c>
      <c r="G2487" s="2" t="s">
        <v>9048</v>
      </c>
      <c r="H2487" s="2" t="s">
        <v>10</v>
      </c>
      <c r="I2487" s="2" t="s">
        <v>4386</v>
      </c>
      <c r="J2487" s="2" t="s">
        <v>9049</v>
      </c>
      <c r="K2487" s="13" t="s">
        <v>13177</v>
      </c>
      <c r="L2487" s="7"/>
    </row>
    <row r="2488" spans="1:12" ht="27.6" hidden="1" x14ac:dyDescent="0.3">
      <c r="A2488" s="2" t="s">
        <v>4386</v>
      </c>
      <c r="B2488" s="2" t="s">
        <v>9050</v>
      </c>
      <c r="C2488" s="3">
        <v>24388</v>
      </c>
      <c r="D2488" s="1" t="s">
        <v>9051</v>
      </c>
      <c r="E2488" s="1" t="s">
        <v>9052</v>
      </c>
      <c r="F2488" s="2" t="s">
        <v>9047</v>
      </c>
      <c r="G2488" s="2" t="s">
        <v>9053</v>
      </c>
      <c r="H2488" s="2" t="s">
        <v>103</v>
      </c>
      <c r="I2488" s="2" t="s">
        <v>4386</v>
      </c>
      <c r="J2488" s="2" t="s">
        <v>9054</v>
      </c>
      <c r="K2488" s="13" t="s">
        <v>13177</v>
      </c>
      <c r="L2488" s="7"/>
    </row>
    <row r="2489" spans="1:12" ht="27.6" hidden="1" x14ac:dyDescent="0.3">
      <c r="A2489" s="2" t="s">
        <v>4386</v>
      </c>
      <c r="B2489" s="2" t="s">
        <v>9055</v>
      </c>
      <c r="C2489" s="3">
        <v>34534</v>
      </c>
      <c r="D2489" s="1" t="s">
        <v>9056</v>
      </c>
      <c r="E2489" s="1" t="s">
        <v>9057</v>
      </c>
      <c r="F2489" s="2" t="s">
        <v>9047</v>
      </c>
      <c r="G2489" s="2" t="s">
        <v>9058</v>
      </c>
      <c r="H2489" s="2" t="s">
        <v>10</v>
      </c>
      <c r="I2489" s="2" t="s">
        <v>4386</v>
      </c>
      <c r="J2489" s="2" t="s">
        <v>9059</v>
      </c>
      <c r="K2489" s="13" t="s">
        <v>13177</v>
      </c>
      <c r="L2489" s="7"/>
    </row>
    <row r="2490" spans="1:12" ht="27.6" hidden="1" x14ac:dyDescent="0.3">
      <c r="A2490" s="2" t="s">
        <v>4386</v>
      </c>
      <c r="B2490" s="2" t="s">
        <v>9060</v>
      </c>
      <c r="C2490" s="3">
        <v>26294</v>
      </c>
      <c r="D2490" s="1" t="s">
        <v>9061</v>
      </c>
      <c r="E2490" s="1" t="s">
        <v>9062</v>
      </c>
      <c r="F2490" s="2" t="s">
        <v>9047</v>
      </c>
      <c r="G2490" s="2" t="s">
        <v>9063</v>
      </c>
      <c r="H2490" s="2" t="s">
        <v>103</v>
      </c>
      <c r="I2490" s="2" t="s">
        <v>4386</v>
      </c>
      <c r="J2490" s="2" t="s">
        <v>9064</v>
      </c>
      <c r="K2490" s="13" t="s">
        <v>13177</v>
      </c>
      <c r="L2490" s="7"/>
    </row>
    <row r="2491" spans="1:12" ht="27.6" hidden="1" x14ac:dyDescent="0.3">
      <c r="A2491" s="2" t="s">
        <v>4386</v>
      </c>
      <c r="B2491" s="2" t="s">
        <v>9060</v>
      </c>
      <c r="C2491" s="3">
        <v>26294</v>
      </c>
      <c r="D2491" s="1" t="s">
        <v>9061</v>
      </c>
      <c r="E2491" s="1" t="s">
        <v>9062</v>
      </c>
      <c r="F2491" s="2" t="s">
        <v>9047</v>
      </c>
      <c r="G2491" s="2" t="s">
        <v>9065</v>
      </c>
      <c r="H2491" s="2" t="s">
        <v>10</v>
      </c>
      <c r="I2491" s="2" t="s">
        <v>4386</v>
      </c>
      <c r="J2491" s="2" t="s">
        <v>9066</v>
      </c>
      <c r="K2491" s="13" t="s">
        <v>13177</v>
      </c>
      <c r="L2491" s="7"/>
    </row>
    <row r="2492" spans="1:12" ht="27.6" hidden="1" x14ac:dyDescent="0.3">
      <c r="A2492" s="2" t="s">
        <v>60</v>
      </c>
      <c r="B2492" s="2" t="s">
        <v>9067</v>
      </c>
      <c r="C2492" s="3">
        <v>31350</v>
      </c>
      <c r="D2492" s="1" t="s">
        <v>9068</v>
      </c>
      <c r="E2492" s="1" t="s">
        <v>9069</v>
      </c>
      <c r="F2492" s="2" t="s">
        <v>941</v>
      </c>
      <c r="G2492" s="2" t="s">
        <v>86</v>
      </c>
      <c r="H2492" s="2" t="s">
        <v>10</v>
      </c>
      <c r="I2492" s="2" t="s">
        <v>60</v>
      </c>
      <c r="J2492" s="2" t="s">
        <v>87</v>
      </c>
      <c r="K2492" s="13" t="s">
        <v>13177</v>
      </c>
      <c r="L2492" s="7"/>
    </row>
    <row r="2493" spans="1:12" ht="27.6" hidden="1" x14ac:dyDescent="0.3">
      <c r="A2493" s="2" t="s">
        <v>60</v>
      </c>
      <c r="B2493" s="2" t="s">
        <v>9070</v>
      </c>
      <c r="C2493" s="3">
        <v>22583</v>
      </c>
      <c r="D2493" s="1" t="s">
        <v>9071</v>
      </c>
      <c r="E2493" s="1" t="s">
        <v>9072</v>
      </c>
      <c r="F2493" s="2" t="s">
        <v>60</v>
      </c>
      <c r="G2493" s="2" t="s">
        <v>1903</v>
      </c>
      <c r="H2493" s="2" t="s">
        <v>10</v>
      </c>
      <c r="I2493" s="2" t="s">
        <v>60</v>
      </c>
      <c r="J2493" s="2" t="s">
        <v>9073</v>
      </c>
      <c r="K2493" s="13" t="s">
        <v>13177</v>
      </c>
      <c r="L2493" s="7"/>
    </row>
    <row r="2494" spans="1:12" ht="55.2" hidden="1" x14ac:dyDescent="0.3">
      <c r="A2494" s="2" t="s">
        <v>4604</v>
      </c>
      <c r="B2494" s="2" t="s">
        <v>9074</v>
      </c>
      <c r="C2494" s="3">
        <v>37942</v>
      </c>
      <c r="D2494" s="1" t="s">
        <v>9075</v>
      </c>
      <c r="E2494" s="1" t="s">
        <v>9076</v>
      </c>
      <c r="F2494" s="2" t="s">
        <v>4608</v>
      </c>
      <c r="G2494" s="2" t="s">
        <v>230</v>
      </c>
      <c r="H2494" s="2" t="s">
        <v>9077</v>
      </c>
      <c r="I2494" s="2" t="s">
        <v>4604</v>
      </c>
      <c r="J2494" s="2" t="s">
        <v>5187</v>
      </c>
      <c r="K2494" s="13" t="s">
        <v>13177</v>
      </c>
      <c r="L2494" s="7"/>
    </row>
    <row r="2495" spans="1:12" ht="55.2" hidden="1" x14ac:dyDescent="0.3">
      <c r="A2495" s="2" t="s">
        <v>4604</v>
      </c>
      <c r="B2495" s="2" t="s">
        <v>9078</v>
      </c>
      <c r="C2495" s="3">
        <v>28005</v>
      </c>
      <c r="D2495" s="1" t="s">
        <v>9079</v>
      </c>
      <c r="E2495" s="1" t="s">
        <v>9080</v>
      </c>
      <c r="F2495" s="2" t="s">
        <v>4608</v>
      </c>
      <c r="G2495" s="2" t="s">
        <v>397</v>
      </c>
      <c r="H2495" s="2" t="s">
        <v>9081</v>
      </c>
      <c r="I2495" s="2" t="s">
        <v>4604</v>
      </c>
      <c r="J2495" s="2" t="s">
        <v>7448</v>
      </c>
      <c r="K2495" s="13" t="s">
        <v>13177</v>
      </c>
      <c r="L2495" s="7"/>
    </row>
    <row r="2496" spans="1:12" ht="55.2" hidden="1" x14ac:dyDescent="0.3">
      <c r="A2496" s="2" t="s">
        <v>4604</v>
      </c>
      <c r="B2496" s="2" t="s">
        <v>9082</v>
      </c>
      <c r="C2496" s="3">
        <v>28377</v>
      </c>
      <c r="D2496" s="1" t="s">
        <v>9083</v>
      </c>
      <c r="E2496" s="1" t="s">
        <v>9084</v>
      </c>
      <c r="F2496" s="2" t="s">
        <v>4608</v>
      </c>
      <c r="G2496" s="2" t="s">
        <v>258</v>
      </c>
      <c r="H2496" s="2" t="s">
        <v>9085</v>
      </c>
      <c r="I2496" s="2" t="s">
        <v>4604</v>
      </c>
      <c r="J2496" s="2" t="s">
        <v>8791</v>
      </c>
      <c r="K2496" s="13" t="s">
        <v>13177</v>
      </c>
      <c r="L2496" s="7"/>
    </row>
    <row r="2497" spans="1:12" ht="55.2" hidden="1" x14ac:dyDescent="0.3">
      <c r="A2497" s="2" t="s">
        <v>4604</v>
      </c>
      <c r="B2497" s="2" t="s">
        <v>9086</v>
      </c>
      <c r="C2497" s="3">
        <v>23970</v>
      </c>
      <c r="D2497" s="1" t="s">
        <v>9087</v>
      </c>
      <c r="E2497" s="1" t="s">
        <v>9088</v>
      </c>
      <c r="F2497" s="2" t="s">
        <v>4608</v>
      </c>
      <c r="G2497" s="2" t="s">
        <v>143</v>
      </c>
      <c r="H2497" s="2" t="s">
        <v>9089</v>
      </c>
      <c r="I2497" s="2" t="s">
        <v>4604</v>
      </c>
      <c r="J2497" s="2" t="s">
        <v>9090</v>
      </c>
      <c r="K2497" s="13" t="s">
        <v>13177</v>
      </c>
      <c r="L2497" s="7"/>
    </row>
    <row r="2498" spans="1:12" ht="27.6" hidden="1" x14ac:dyDescent="0.3">
      <c r="A2498" s="2" t="s">
        <v>60</v>
      </c>
      <c r="B2498" s="2" t="s">
        <v>4478</v>
      </c>
      <c r="C2498" s="3">
        <v>22636</v>
      </c>
      <c r="D2498" s="1" t="s">
        <v>4479</v>
      </c>
      <c r="E2498" s="1" t="s">
        <v>4480</v>
      </c>
      <c r="F2498" s="2" t="s">
        <v>274</v>
      </c>
      <c r="G2498" s="2" t="s">
        <v>860</v>
      </c>
      <c r="H2498" s="2" t="s">
        <v>8058</v>
      </c>
      <c r="I2498" s="2" t="s">
        <v>60</v>
      </c>
      <c r="J2498" s="2" t="s">
        <v>861</v>
      </c>
      <c r="K2498" s="13" t="s">
        <v>13177</v>
      </c>
      <c r="L2498" s="7"/>
    </row>
    <row r="2499" spans="1:12" ht="27.6" hidden="1" x14ac:dyDescent="0.3">
      <c r="A2499" s="2" t="s">
        <v>60</v>
      </c>
      <c r="B2499" s="2" t="s">
        <v>9091</v>
      </c>
      <c r="C2499" s="3">
        <v>27456</v>
      </c>
      <c r="D2499" s="1" t="s">
        <v>9092</v>
      </c>
      <c r="E2499" s="1" t="s">
        <v>9093</v>
      </c>
      <c r="F2499" s="2" t="s">
        <v>60</v>
      </c>
      <c r="G2499" s="2" t="s">
        <v>58</v>
      </c>
      <c r="H2499" s="2" t="s">
        <v>9094</v>
      </c>
      <c r="I2499" s="2" t="s">
        <v>60</v>
      </c>
      <c r="J2499" s="2" t="s">
        <v>9095</v>
      </c>
      <c r="K2499" s="13" t="s">
        <v>13177</v>
      </c>
      <c r="L2499" s="7"/>
    </row>
    <row r="2500" spans="1:12" ht="27.6" hidden="1" x14ac:dyDescent="0.3">
      <c r="A2500" s="2" t="s">
        <v>60</v>
      </c>
      <c r="B2500" s="2" t="s">
        <v>9096</v>
      </c>
      <c r="C2500" s="3">
        <v>26401</v>
      </c>
      <c r="D2500" s="1" t="s">
        <v>9097</v>
      </c>
      <c r="E2500" s="1" t="s">
        <v>9098</v>
      </c>
      <c r="F2500" s="2" t="s">
        <v>60</v>
      </c>
      <c r="G2500" s="2" t="s">
        <v>2790</v>
      </c>
      <c r="H2500" s="2" t="s">
        <v>10</v>
      </c>
      <c r="I2500" s="2" t="s">
        <v>60</v>
      </c>
      <c r="J2500" s="2" t="s">
        <v>9099</v>
      </c>
      <c r="K2500" s="13" t="s">
        <v>13177</v>
      </c>
      <c r="L2500" s="7"/>
    </row>
    <row r="2501" spans="1:12" ht="27.6" hidden="1" x14ac:dyDescent="0.3">
      <c r="A2501" s="2" t="s">
        <v>4386</v>
      </c>
      <c r="B2501" s="2" t="s">
        <v>9100</v>
      </c>
      <c r="C2501" s="3">
        <v>25431</v>
      </c>
      <c r="D2501" s="1" t="s">
        <v>9101</v>
      </c>
      <c r="E2501" s="1" t="s">
        <v>9102</v>
      </c>
      <c r="F2501" s="2" t="s">
        <v>9047</v>
      </c>
      <c r="G2501" s="2" t="s">
        <v>9103</v>
      </c>
      <c r="H2501" s="2" t="s">
        <v>10</v>
      </c>
      <c r="I2501" s="2" t="s">
        <v>4386</v>
      </c>
      <c r="J2501" s="2" t="s">
        <v>9104</v>
      </c>
      <c r="K2501" s="13" t="s">
        <v>13177</v>
      </c>
      <c r="L2501" s="7"/>
    </row>
    <row r="2502" spans="1:12" ht="27.6" hidden="1" x14ac:dyDescent="0.3">
      <c r="A2502" s="2" t="s">
        <v>4386</v>
      </c>
      <c r="B2502" s="2" t="s">
        <v>9105</v>
      </c>
      <c r="C2502" s="3">
        <v>27257</v>
      </c>
      <c r="D2502" s="1" t="s">
        <v>9106</v>
      </c>
      <c r="E2502" s="1" t="s">
        <v>9107</v>
      </c>
      <c r="F2502" s="2" t="s">
        <v>9047</v>
      </c>
      <c r="G2502" s="2" t="s">
        <v>9108</v>
      </c>
      <c r="H2502" s="2" t="s">
        <v>10</v>
      </c>
      <c r="I2502" s="2" t="s">
        <v>4386</v>
      </c>
      <c r="J2502" s="2" t="s">
        <v>9109</v>
      </c>
      <c r="K2502" s="13" t="s">
        <v>13177</v>
      </c>
      <c r="L2502" s="7"/>
    </row>
    <row r="2503" spans="1:12" ht="27.6" hidden="1" x14ac:dyDescent="0.3">
      <c r="A2503" s="2" t="s">
        <v>4386</v>
      </c>
      <c r="B2503" s="2" t="s">
        <v>9110</v>
      </c>
      <c r="C2503" s="3">
        <v>23381</v>
      </c>
      <c r="D2503" s="1" t="s">
        <v>9111</v>
      </c>
      <c r="E2503" s="1" t="s">
        <v>9112</v>
      </c>
      <c r="F2503" s="2" t="s">
        <v>9047</v>
      </c>
      <c r="G2503" s="2" t="s">
        <v>9113</v>
      </c>
      <c r="H2503" s="2" t="s">
        <v>10</v>
      </c>
      <c r="I2503" s="2" t="s">
        <v>4386</v>
      </c>
      <c r="J2503" s="2" t="s">
        <v>9114</v>
      </c>
      <c r="K2503" s="16" t="s">
        <v>13177</v>
      </c>
      <c r="L2503" s="17"/>
    </row>
    <row r="2504" spans="1:12" ht="27.6" hidden="1" x14ac:dyDescent="0.3">
      <c r="A2504" s="2" t="s">
        <v>4386</v>
      </c>
      <c r="B2504" s="2" t="s">
        <v>9115</v>
      </c>
      <c r="C2504" s="3">
        <v>36041</v>
      </c>
      <c r="D2504" s="1" t="s">
        <v>9116</v>
      </c>
      <c r="E2504" s="1" t="s">
        <v>9117</v>
      </c>
      <c r="F2504" s="2" t="s">
        <v>6231</v>
      </c>
      <c r="G2504" s="2" t="s">
        <v>380</v>
      </c>
      <c r="H2504" s="2" t="s">
        <v>103</v>
      </c>
      <c r="I2504" s="2" t="s">
        <v>4386</v>
      </c>
      <c r="J2504" s="2" t="s">
        <v>1083</v>
      </c>
      <c r="K2504" s="41" t="s">
        <v>13193</v>
      </c>
      <c r="L2504" s="6" t="s">
        <v>13194</v>
      </c>
    </row>
    <row r="2505" spans="1:12" ht="27.6" hidden="1" x14ac:dyDescent="0.3">
      <c r="A2505" s="2" t="s">
        <v>4386</v>
      </c>
      <c r="B2505" s="2" t="s">
        <v>9118</v>
      </c>
      <c r="C2505" s="3">
        <v>29093</v>
      </c>
      <c r="D2505" s="1" t="s">
        <v>9119</v>
      </c>
      <c r="E2505" s="1" t="s">
        <v>9120</v>
      </c>
      <c r="F2505" s="2" t="s">
        <v>6231</v>
      </c>
      <c r="G2505" s="2" t="s">
        <v>7368</v>
      </c>
      <c r="H2505" s="2" t="s">
        <v>10</v>
      </c>
      <c r="I2505" s="2" t="s">
        <v>4386</v>
      </c>
      <c r="J2505" s="2" t="s">
        <v>7369</v>
      </c>
      <c r="K2505" s="25"/>
      <c r="L2505" s="26"/>
    </row>
    <row r="2506" spans="1:12" ht="27.6" hidden="1" x14ac:dyDescent="0.3">
      <c r="A2506" s="2" t="s">
        <v>4386</v>
      </c>
      <c r="B2506" s="2" t="s">
        <v>9121</v>
      </c>
      <c r="C2506" s="3">
        <v>34816</v>
      </c>
      <c r="D2506" s="1" t="s">
        <v>9122</v>
      </c>
      <c r="E2506" s="1" t="s">
        <v>9123</v>
      </c>
      <c r="F2506" s="2" t="s">
        <v>6231</v>
      </c>
      <c r="G2506" s="2" t="s">
        <v>380</v>
      </c>
      <c r="H2506" s="2" t="s">
        <v>81</v>
      </c>
      <c r="I2506" s="2" t="s">
        <v>4386</v>
      </c>
      <c r="J2506" s="2" t="s">
        <v>1083</v>
      </c>
      <c r="K2506" s="41" t="s">
        <v>13193</v>
      </c>
      <c r="L2506" s="6" t="s">
        <v>13194</v>
      </c>
    </row>
    <row r="2507" spans="1:12" ht="27.6" hidden="1" x14ac:dyDescent="0.3">
      <c r="A2507" s="2" t="s">
        <v>4386</v>
      </c>
      <c r="B2507" s="2" t="s">
        <v>9124</v>
      </c>
      <c r="C2507" s="3">
        <v>23666</v>
      </c>
      <c r="D2507" s="1" t="s">
        <v>9125</v>
      </c>
      <c r="E2507" s="1" t="s">
        <v>9126</v>
      </c>
      <c r="F2507" s="2" t="s">
        <v>4555</v>
      </c>
      <c r="G2507" s="2" t="s">
        <v>4599</v>
      </c>
      <c r="H2507" s="2" t="s">
        <v>5845</v>
      </c>
      <c r="I2507" s="2" t="s">
        <v>4386</v>
      </c>
      <c r="J2507" s="2" t="s">
        <v>4600</v>
      </c>
      <c r="K2507" s="13" t="s">
        <v>13177</v>
      </c>
      <c r="L2507" s="7"/>
    </row>
    <row r="2508" spans="1:12" ht="27.6" hidden="1" x14ac:dyDescent="0.3">
      <c r="A2508" s="2" t="s">
        <v>4386</v>
      </c>
      <c r="B2508" s="2" t="s">
        <v>9127</v>
      </c>
      <c r="C2508" s="3">
        <v>31687</v>
      </c>
      <c r="D2508" s="1" t="s">
        <v>9128</v>
      </c>
      <c r="E2508" s="1" t="s">
        <v>9129</v>
      </c>
      <c r="F2508" s="2" t="s">
        <v>5231</v>
      </c>
      <c r="G2508" s="2" t="s">
        <v>8604</v>
      </c>
      <c r="H2508" s="2" t="s">
        <v>10</v>
      </c>
      <c r="I2508" s="2" t="s">
        <v>4386</v>
      </c>
      <c r="J2508" s="2" t="s">
        <v>8605</v>
      </c>
      <c r="K2508" s="13" t="s">
        <v>13177</v>
      </c>
      <c r="L2508" s="7"/>
    </row>
    <row r="2509" spans="1:12" ht="27.6" hidden="1" x14ac:dyDescent="0.3">
      <c r="A2509" s="2" t="s">
        <v>4386</v>
      </c>
      <c r="B2509" s="2" t="s">
        <v>9130</v>
      </c>
      <c r="C2509" s="3">
        <v>35120</v>
      </c>
      <c r="D2509" s="1" t="s">
        <v>9131</v>
      </c>
      <c r="E2509" s="1" t="s">
        <v>9132</v>
      </c>
      <c r="F2509" s="2" t="s">
        <v>9047</v>
      </c>
      <c r="G2509" s="2" t="s">
        <v>9133</v>
      </c>
      <c r="H2509" s="2" t="s">
        <v>10</v>
      </c>
      <c r="I2509" s="2" t="s">
        <v>4386</v>
      </c>
      <c r="J2509" s="2" t="s">
        <v>9134</v>
      </c>
      <c r="K2509" s="13" t="s">
        <v>13177</v>
      </c>
      <c r="L2509" s="7"/>
    </row>
    <row r="2510" spans="1:12" ht="27.6" hidden="1" x14ac:dyDescent="0.3">
      <c r="A2510" s="2" t="s">
        <v>4386</v>
      </c>
      <c r="B2510" s="2" t="s">
        <v>9135</v>
      </c>
      <c r="C2510" s="3">
        <v>29718</v>
      </c>
      <c r="D2510" s="1" t="s">
        <v>9136</v>
      </c>
      <c r="E2510" s="1" t="s">
        <v>9137</v>
      </c>
      <c r="F2510" s="2" t="s">
        <v>9047</v>
      </c>
      <c r="G2510" s="2" t="s">
        <v>9138</v>
      </c>
      <c r="H2510" s="2" t="s">
        <v>10</v>
      </c>
      <c r="I2510" s="2" t="s">
        <v>4386</v>
      </c>
      <c r="J2510" s="2" t="s">
        <v>9139</v>
      </c>
      <c r="K2510" s="13" t="s">
        <v>13177</v>
      </c>
      <c r="L2510" s="7"/>
    </row>
    <row r="2511" spans="1:12" ht="27.6" hidden="1" x14ac:dyDescent="0.3">
      <c r="A2511" s="2" t="s">
        <v>4386</v>
      </c>
      <c r="B2511" s="2" t="s">
        <v>9140</v>
      </c>
      <c r="C2511" s="3">
        <v>29718</v>
      </c>
      <c r="D2511" s="1" t="s">
        <v>9136</v>
      </c>
      <c r="E2511" s="1" t="s">
        <v>9137</v>
      </c>
      <c r="F2511" s="2" t="s">
        <v>9047</v>
      </c>
      <c r="G2511" s="2" t="s">
        <v>9138</v>
      </c>
      <c r="H2511" s="2" t="s">
        <v>103</v>
      </c>
      <c r="I2511" s="2" t="s">
        <v>4386</v>
      </c>
      <c r="J2511" s="2" t="s">
        <v>9139</v>
      </c>
      <c r="K2511" s="13" t="s">
        <v>13177</v>
      </c>
      <c r="L2511" s="7"/>
    </row>
    <row r="2512" spans="1:12" hidden="1" x14ac:dyDescent="0.3">
      <c r="A2512" s="2" t="s">
        <v>4139</v>
      </c>
      <c r="B2512" s="2" t="s">
        <v>9141</v>
      </c>
      <c r="C2512" s="3">
        <v>28744</v>
      </c>
      <c r="D2512" s="1" t="s">
        <v>9142</v>
      </c>
      <c r="E2512" s="1" t="s">
        <v>9143</v>
      </c>
      <c r="F2512" s="2" t="s">
        <v>8906</v>
      </c>
      <c r="G2512" s="2" t="s">
        <v>112</v>
      </c>
      <c r="H2512" s="2" t="s">
        <v>10</v>
      </c>
      <c r="I2512" s="2" t="s">
        <v>4139</v>
      </c>
      <c r="J2512" s="2" t="s">
        <v>315</v>
      </c>
      <c r="K2512" s="16" t="s">
        <v>13177</v>
      </c>
      <c r="L2512" s="17"/>
    </row>
    <row r="2513" spans="1:12" hidden="1" x14ac:dyDescent="0.3">
      <c r="A2513" s="2" t="s">
        <v>4139</v>
      </c>
      <c r="B2513" s="2" t="s">
        <v>9144</v>
      </c>
      <c r="C2513" s="3">
        <v>37108</v>
      </c>
      <c r="D2513" s="1" t="s">
        <v>9145</v>
      </c>
      <c r="E2513" s="1" t="s">
        <v>9146</v>
      </c>
      <c r="F2513" s="2" t="s">
        <v>4143</v>
      </c>
      <c r="G2513" s="2" t="s">
        <v>9147</v>
      </c>
      <c r="H2513" s="2" t="s">
        <v>562</v>
      </c>
      <c r="I2513" s="2" t="s">
        <v>4139</v>
      </c>
      <c r="J2513" s="2" t="s">
        <v>9148</v>
      </c>
      <c r="K2513" s="14"/>
      <c r="L2513" s="6"/>
    </row>
    <row r="2514" spans="1:12" hidden="1" x14ac:dyDescent="0.3">
      <c r="A2514" s="2" t="s">
        <v>4139</v>
      </c>
      <c r="B2514" s="2" t="s">
        <v>9149</v>
      </c>
      <c r="C2514" s="3">
        <v>38235</v>
      </c>
      <c r="D2514" s="1" t="s">
        <v>9150</v>
      </c>
      <c r="E2514" s="1" t="s">
        <v>9151</v>
      </c>
      <c r="F2514" s="2" t="s">
        <v>8906</v>
      </c>
      <c r="G2514" s="2" t="s">
        <v>425</v>
      </c>
      <c r="H2514" s="2" t="s">
        <v>10</v>
      </c>
      <c r="I2514" s="2" t="s">
        <v>4139</v>
      </c>
      <c r="J2514" s="2" t="s">
        <v>1181</v>
      </c>
      <c r="K2514" s="20" t="s">
        <v>13177</v>
      </c>
      <c r="L2514" s="12"/>
    </row>
    <row r="2515" spans="1:12" hidden="1" x14ac:dyDescent="0.3">
      <c r="A2515" s="2" t="s">
        <v>4139</v>
      </c>
      <c r="B2515" s="2" t="s">
        <v>9152</v>
      </c>
      <c r="C2515" s="3">
        <v>30454</v>
      </c>
      <c r="D2515" s="1" t="s">
        <v>9153</v>
      </c>
      <c r="E2515" s="1" t="s">
        <v>9154</v>
      </c>
      <c r="F2515" s="2" t="s">
        <v>8906</v>
      </c>
      <c r="G2515" s="2" t="s">
        <v>37</v>
      </c>
      <c r="H2515" s="2" t="s">
        <v>10</v>
      </c>
      <c r="I2515" s="2" t="s">
        <v>4139</v>
      </c>
      <c r="J2515" s="2" t="s">
        <v>406</v>
      </c>
      <c r="K2515" s="13" t="s">
        <v>13177</v>
      </c>
      <c r="L2515" s="7"/>
    </row>
    <row r="2516" spans="1:12" hidden="1" x14ac:dyDescent="0.3">
      <c r="A2516" s="2" t="s">
        <v>4139</v>
      </c>
      <c r="B2516" s="2" t="s">
        <v>9155</v>
      </c>
      <c r="C2516" s="3">
        <v>29999</v>
      </c>
      <c r="D2516" s="1" t="s">
        <v>9156</v>
      </c>
      <c r="E2516" s="1" t="s">
        <v>9157</v>
      </c>
      <c r="F2516" s="2" t="s">
        <v>8906</v>
      </c>
      <c r="G2516" s="2" t="s">
        <v>333</v>
      </c>
      <c r="H2516" s="2" t="s">
        <v>10</v>
      </c>
      <c r="I2516" s="2" t="s">
        <v>4139</v>
      </c>
      <c r="J2516" s="2" t="s">
        <v>1059</v>
      </c>
      <c r="K2516" s="13" t="s">
        <v>13177</v>
      </c>
      <c r="L2516" s="7"/>
    </row>
    <row r="2517" spans="1:12" hidden="1" x14ac:dyDescent="0.3">
      <c r="A2517" s="2" t="s">
        <v>4139</v>
      </c>
      <c r="B2517" s="2" t="s">
        <v>9155</v>
      </c>
      <c r="C2517" s="3">
        <v>29999</v>
      </c>
      <c r="D2517" s="1" t="s">
        <v>9156</v>
      </c>
      <c r="E2517" s="1" t="s">
        <v>9157</v>
      </c>
      <c r="F2517" s="2" t="s">
        <v>8906</v>
      </c>
      <c r="G2517" s="2" t="s">
        <v>604</v>
      </c>
      <c r="H2517" s="2" t="s">
        <v>10</v>
      </c>
      <c r="I2517" s="2" t="s">
        <v>4139</v>
      </c>
      <c r="J2517" s="2" t="s">
        <v>605</v>
      </c>
      <c r="K2517" s="13" t="s">
        <v>13177</v>
      </c>
      <c r="L2517" s="7"/>
    </row>
    <row r="2518" spans="1:12" ht="27.6" hidden="1" x14ac:dyDescent="0.3">
      <c r="A2518" s="2" t="s">
        <v>4386</v>
      </c>
      <c r="B2518" s="2" t="s">
        <v>9158</v>
      </c>
      <c r="C2518" s="3">
        <v>29593</v>
      </c>
      <c r="D2518" s="1" t="s">
        <v>9159</v>
      </c>
      <c r="E2518" s="1" t="s">
        <v>9160</v>
      </c>
      <c r="F2518" s="2" t="s">
        <v>9041</v>
      </c>
      <c r="G2518" s="2" t="s">
        <v>167</v>
      </c>
      <c r="H2518" s="2" t="s">
        <v>10</v>
      </c>
      <c r="I2518" s="2" t="s">
        <v>4386</v>
      </c>
      <c r="J2518" s="2" t="s">
        <v>9161</v>
      </c>
      <c r="K2518" s="13" t="s">
        <v>13177</v>
      </c>
      <c r="L2518" s="7"/>
    </row>
    <row r="2519" spans="1:12" ht="27.6" hidden="1" x14ac:dyDescent="0.3">
      <c r="A2519" s="2" t="s">
        <v>4386</v>
      </c>
      <c r="B2519" s="2" t="s">
        <v>8046</v>
      </c>
      <c r="C2519" s="3">
        <v>37234</v>
      </c>
      <c r="D2519" s="1" t="s">
        <v>8047</v>
      </c>
      <c r="E2519" s="1" t="s">
        <v>8048</v>
      </c>
      <c r="F2519" s="2" t="s">
        <v>9041</v>
      </c>
      <c r="G2519" s="2" t="s">
        <v>9162</v>
      </c>
      <c r="H2519" s="2" t="s">
        <v>10</v>
      </c>
      <c r="I2519" s="2" t="s">
        <v>4386</v>
      </c>
      <c r="J2519" s="2" t="s">
        <v>9163</v>
      </c>
      <c r="K2519" s="13" t="s">
        <v>13177</v>
      </c>
      <c r="L2519" s="7"/>
    </row>
    <row r="2520" spans="1:12" ht="27.6" hidden="1" x14ac:dyDescent="0.3">
      <c r="A2520" s="2" t="s">
        <v>4386</v>
      </c>
      <c r="B2520" s="2" t="s">
        <v>9164</v>
      </c>
      <c r="C2520" s="3">
        <v>28334</v>
      </c>
      <c r="D2520" s="1" t="s">
        <v>9165</v>
      </c>
      <c r="E2520" s="1" t="s">
        <v>9166</v>
      </c>
      <c r="F2520" s="2" t="s">
        <v>9041</v>
      </c>
      <c r="G2520" s="2" t="s">
        <v>9167</v>
      </c>
      <c r="H2520" s="2" t="s">
        <v>103</v>
      </c>
      <c r="I2520" s="2" t="s">
        <v>4386</v>
      </c>
      <c r="J2520" s="2" t="s">
        <v>9168</v>
      </c>
      <c r="K2520" s="13" t="s">
        <v>13177</v>
      </c>
      <c r="L2520" s="7"/>
    </row>
    <row r="2521" spans="1:12" ht="27.6" hidden="1" x14ac:dyDescent="0.3">
      <c r="A2521" s="2" t="s">
        <v>4386</v>
      </c>
      <c r="B2521" s="2" t="s">
        <v>9169</v>
      </c>
      <c r="C2521" s="3">
        <v>36656</v>
      </c>
      <c r="D2521" s="1" t="s">
        <v>9170</v>
      </c>
      <c r="E2521" s="1" t="s">
        <v>9171</v>
      </c>
      <c r="F2521" s="2" t="s">
        <v>9041</v>
      </c>
      <c r="G2521" s="2" t="s">
        <v>9167</v>
      </c>
      <c r="H2521" s="2" t="s">
        <v>81</v>
      </c>
      <c r="I2521" s="2" t="s">
        <v>4386</v>
      </c>
      <c r="J2521" s="2" t="s">
        <v>9168</v>
      </c>
      <c r="K2521" s="13" t="s">
        <v>13177</v>
      </c>
      <c r="L2521" s="7"/>
    </row>
    <row r="2522" spans="1:12" ht="27.6" hidden="1" x14ac:dyDescent="0.3">
      <c r="A2522" s="2" t="s">
        <v>4386</v>
      </c>
      <c r="B2522" s="2" t="s">
        <v>9172</v>
      </c>
      <c r="C2522" s="3">
        <v>36364</v>
      </c>
      <c r="D2522" s="1" t="s">
        <v>9173</v>
      </c>
      <c r="E2522" s="1" t="s">
        <v>9174</v>
      </c>
      <c r="F2522" s="2" t="s">
        <v>9041</v>
      </c>
      <c r="G2522" s="2" t="s">
        <v>9175</v>
      </c>
      <c r="H2522" s="2" t="s">
        <v>103</v>
      </c>
      <c r="I2522" s="2" t="s">
        <v>4386</v>
      </c>
      <c r="J2522" s="2" t="s">
        <v>9176</v>
      </c>
      <c r="K2522" s="13" t="s">
        <v>13177</v>
      </c>
      <c r="L2522" s="7"/>
    </row>
    <row r="2523" spans="1:12" ht="27.6" hidden="1" x14ac:dyDescent="0.3">
      <c r="A2523" s="2" t="s">
        <v>4386</v>
      </c>
      <c r="B2523" s="2" t="s">
        <v>9177</v>
      </c>
      <c r="C2523" s="3">
        <v>31863</v>
      </c>
      <c r="D2523" s="1" t="s">
        <v>9178</v>
      </c>
      <c r="E2523" s="1" t="s">
        <v>9179</v>
      </c>
      <c r="F2523" s="2" t="s">
        <v>9041</v>
      </c>
      <c r="G2523" s="2" t="s">
        <v>9175</v>
      </c>
      <c r="H2523" s="2" t="s">
        <v>1295</v>
      </c>
      <c r="I2523" s="2" t="s">
        <v>4386</v>
      </c>
      <c r="J2523" s="2" t="s">
        <v>9180</v>
      </c>
      <c r="K2523" s="13" t="s">
        <v>13177</v>
      </c>
      <c r="L2523" s="7"/>
    </row>
    <row r="2524" spans="1:12" ht="27.6" hidden="1" x14ac:dyDescent="0.3">
      <c r="A2524" s="2" t="s">
        <v>4386</v>
      </c>
      <c r="B2524" s="2" t="s">
        <v>9181</v>
      </c>
      <c r="C2524" s="3">
        <v>28095</v>
      </c>
      <c r="D2524" s="1" t="s">
        <v>9182</v>
      </c>
      <c r="E2524" s="1" t="s">
        <v>9183</v>
      </c>
      <c r="F2524" s="2" t="s">
        <v>9041</v>
      </c>
      <c r="G2524" s="2" t="s">
        <v>9184</v>
      </c>
      <c r="H2524" s="2" t="s">
        <v>10</v>
      </c>
      <c r="I2524" s="2" t="s">
        <v>4386</v>
      </c>
      <c r="J2524" s="2" t="s">
        <v>9185</v>
      </c>
      <c r="K2524" s="13" t="s">
        <v>13177</v>
      </c>
      <c r="L2524" s="7"/>
    </row>
    <row r="2525" spans="1:12" ht="27.6" hidden="1" x14ac:dyDescent="0.3">
      <c r="A2525" s="2" t="s">
        <v>4386</v>
      </c>
      <c r="B2525" s="2" t="s">
        <v>9186</v>
      </c>
      <c r="C2525" s="3">
        <v>31146</v>
      </c>
      <c r="D2525" s="1" t="s">
        <v>9187</v>
      </c>
      <c r="E2525" s="1" t="s">
        <v>9188</v>
      </c>
      <c r="F2525" s="2" t="s">
        <v>9041</v>
      </c>
      <c r="G2525" s="2" t="s">
        <v>2764</v>
      </c>
      <c r="H2525" s="2" t="s">
        <v>10</v>
      </c>
      <c r="I2525" s="2" t="s">
        <v>4386</v>
      </c>
      <c r="J2525" s="2" t="s">
        <v>9189</v>
      </c>
      <c r="K2525" s="13" t="s">
        <v>13177</v>
      </c>
      <c r="L2525" s="7"/>
    </row>
    <row r="2526" spans="1:12" ht="27.6" hidden="1" x14ac:dyDescent="0.3">
      <c r="A2526" s="2" t="s">
        <v>4386</v>
      </c>
      <c r="B2526" s="2" t="s">
        <v>9190</v>
      </c>
      <c r="C2526" s="3">
        <v>32106</v>
      </c>
      <c r="D2526" s="1" t="s">
        <v>9191</v>
      </c>
      <c r="E2526" s="1" t="s">
        <v>9192</v>
      </c>
      <c r="F2526" s="2" t="s">
        <v>9041</v>
      </c>
      <c r="G2526" s="2" t="s">
        <v>9193</v>
      </c>
      <c r="H2526" s="2" t="s">
        <v>10</v>
      </c>
      <c r="I2526" s="2" t="s">
        <v>4386</v>
      </c>
      <c r="J2526" s="2" t="s">
        <v>9194</v>
      </c>
      <c r="K2526" s="13" t="s">
        <v>13177</v>
      </c>
      <c r="L2526" s="7"/>
    </row>
    <row r="2527" spans="1:12" ht="27.6" hidden="1" x14ac:dyDescent="0.3">
      <c r="A2527" s="2" t="s">
        <v>4386</v>
      </c>
      <c r="B2527" s="2" t="s">
        <v>9195</v>
      </c>
      <c r="C2527" s="3">
        <v>32167</v>
      </c>
      <c r="D2527" s="1" t="s">
        <v>9196</v>
      </c>
      <c r="E2527" s="1" t="s">
        <v>9197</v>
      </c>
      <c r="F2527" s="2" t="s">
        <v>9041</v>
      </c>
      <c r="G2527" s="2" t="s">
        <v>162</v>
      </c>
      <c r="H2527" s="2" t="s">
        <v>10</v>
      </c>
      <c r="I2527" s="2" t="s">
        <v>4386</v>
      </c>
      <c r="J2527" s="2" t="s">
        <v>9198</v>
      </c>
      <c r="K2527" s="13" t="s">
        <v>13177</v>
      </c>
      <c r="L2527" s="7"/>
    </row>
    <row r="2528" spans="1:12" ht="27.6" hidden="1" x14ac:dyDescent="0.3">
      <c r="A2528" s="2" t="s">
        <v>4386</v>
      </c>
      <c r="B2528" s="2" t="s">
        <v>9199</v>
      </c>
      <c r="C2528" s="3">
        <v>33847</v>
      </c>
      <c r="D2528" s="1" t="s">
        <v>9200</v>
      </c>
      <c r="E2528" s="1" t="s">
        <v>9201</v>
      </c>
      <c r="F2528" s="2" t="s">
        <v>9047</v>
      </c>
      <c r="G2528" s="2" t="s">
        <v>9202</v>
      </c>
      <c r="H2528" s="2" t="s">
        <v>10</v>
      </c>
      <c r="I2528" s="2" t="s">
        <v>4386</v>
      </c>
      <c r="J2528" s="2" t="s">
        <v>9203</v>
      </c>
      <c r="K2528" s="13" t="s">
        <v>13177</v>
      </c>
      <c r="L2528" s="7"/>
    </row>
    <row r="2529" spans="1:12" ht="27.6" hidden="1" x14ac:dyDescent="0.3">
      <c r="A2529" s="2" t="s">
        <v>4386</v>
      </c>
      <c r="B2529" s="2" t="s">
        <v>9204</v>
      </c>
      <c r="C2529" s="3">
        <v>22768</v>
      </c>
      <c r="D2529" s="1" t="s">
        <v>9205</v>
      </c>
      <c r="E2529" s="1" t="s">
        <v>9206</v>
      </c>
      <c r="F2529" s="2" t="s">
        <v>9041</v>
      </c>
      <c r="G2529" s="2" t="s">
        <v>9207</v>
      </c>
      <c r="H2529" s="2" t="s">
        <v>10</v>
      </c>
      <c r="I2529" s="2" t="s">
        <v>4386</v>
      </c>
      <c r="J2529" s="2" t="s">
        <v>9208</v>
      </c>
      <c r="K2529" s="13" t="s">
        <v>13177</v>
      </c>
      <c r="L2529" s="7"/>
    </row>
    <row r="2530" spans="1:12" ht="27.6" hidden="1" x14ac:dyDescent="0.3">
      <c r="A2530" s="2" t="s">
        <v>4386</v>
      </c>
      <c r="B2530" s="2" t="s">
        <v>9209</v>
      </c>
      <c r="C2530" s="3">
        <v>36611</v>
      </c>
      <c r="D2530" s="1" t="s">
        <v>9210</v>
      </c>
      <c r="E2530" s="1" t="s">
        <v>9211</v>
      </c>
      <c r="F2530" s="2" t="s">
        <v>9041</v>
      </c>
      <c r="G2530" s="2" t="s">
        <v>9212</v>
      </c>
      <c r="H2530" s="2" t="s">
        <v>10</v>
      </c>
      <c r="I2530" s="2" t="s">
        <v>4386</v>
      </c>
      <c r="J2530" s="2" t="s">
        <v>9213</v>
      </c>
      <c r="K2530" s="13" t="s">
        <v>13177</v>
      </c>
      <c r="L2530" s="7"/>
    </row>
    <row r="2531" spans="1:12" ht="27.6" hidden="1" x14ac:dyDescent="0.3">
      <c r="A2531" s="2" t="s">
        <v>4386</v>
      </c>
      <c r="B2531" s="2" t="s">
        <v>9214</v>
      </c>
      <c r="C2531" s="3">
        <v>27283</v>
      </c>
      <c r="D2531" s="1" t="s">
        <v>9215</v>
      </c>
      <c r="E2531" s="1" t="s">
        <v>9216</v>
      </c>
      <c r="F2531" s="2" t="s">
        <v>9041</v>
      </c>
      <c r="G2531" s="2" t="s">
        <v>9217</v>
      </c>
      <c r="H2531" s="2" t="s">
        <v>10</v>
      </c>
      <c r="I2531" s="2" t="s">
        <v>4386</v>
      </c>
      <c r="J2531" s="2" t="s">
        <v>9218</v>
      </c>
      <c r="K2531" s="13" t="s">
        <v>13177</v>
      </c>
      <c r="L2531" s="7"/>
    </row>
    <row r="2532" spans="1:12" ht="27.6" hidden="1" x14ac:dyDescent="0.3">
      <c r="A2532" s="2" t="s">
        <v>4386</v>
      </c>
      <c r="B2532" s="2" t="s">
        <v>9219</v>
      </c>
      <c r="C2532" s="3">
        <v>35912</v>
      </c>
      <c r="D2532" s="1" t="s">
        <v>9220</v>
      </c>
      <c r="E2532" s="1" t="s">
        <v>9221</v>
      </c>
      <c r="F2532" s="2" t="s">
        <v>9041</v>
      </c>
      <c r="G2532" s="2" t="s">
        <v>9222</v>
      </c>
      <c r="H2532" s="2" t="s">
        <v>10</v>
      </c>
      <c r="I2532" s="2" t="s">
        <v>4386</v>
      </c>
      <c r="J2532" s="2" t="s">
        <v>9223</v>
      </c>
      <c r="K2532" s="13" t="s">
        <v>13177</v>
      </c>
      <c r="L2532" s="7"/>
    </row>
    <row r="2533" spans="1:12" ht="27.6" hidden="1" x14ac:dyDescent="0.3">
      <c r="A2533" s="2" t="s">
        <v>4386</v>
      </c>
      <c r="B2533" s="2" t="s">
        <v>9224</v>
      </c>
      <c r="C2533" s="3">
        <v>35742</v>
      </c>
      <c r="D2533" s="1" t="s">
        <v>9225</v>
      </c>
      <c r="E2533" s="1" t="s">
        <v>9226</v>
      </c>
      <c r="F2533" s="2" t="s">
        <v>9047</v>
      </c>
      <c r="G2533" s="2" t="s">
        <v>9227</v>
      </c>
      <c r="H2533" s="2" t="s">
        <v>10</v>
      </c>
      <c r="I2533" s="2" t="s">
        <v>4386</v>
      </c>
      <c r="J2533" s="2" t="s">
        <v>9228</v>
      </c>
      <c r="K2533" s="13" t="s">
        <v>13177</v>
      </c>
      <c r="L2533" s="7"/>
    </row>
    <row r="2534" spans="1:12" ht="27.6" hidden="1" x14ac:dyDescent="0.3">
      <c r="A2534" s="2" t="s">
        <v>4386</v>
      </c>
      <c r="B2534" s="2" t="s">
        <v>9229</v>
      </c>
      <c r="C2534" s="3">
        <v>27266</v>
      </c>
      <c r="D2534" s="1" t="s">
        <v>9230</v>
      </c>
      <c r="E2534" s="1" t="s">
        <v>9231</v>
      </c>
      <c r="F2534" s="2" t="s">
        <v>9041</v>
      </c>
      <c r="G2534" s="2" t="s">
        <v>9232</v>
      </c>
      <c r="H2534" s="2" t="s">
        <v>10</v>
      </c>
      <c r="I2534" s="2" t="s">
        <v>4386</v>
      </c>
      <c r="J2534" s="2" t="s">
        <v>9233</v>
      </c>
      <c r="K2534" s="13" t="s">
        <v>13177</v>
      </c>
      <c r="L2534" s="7"/>
    </row>
    <row r="2535" spans="1:12" ht="27.6" hidden="1" x14ac:dyDescent="0.3">
      <c r="A2535" s="2" t="s">
        <v>4386</v>
      </c>
      <c r="B2535" s="2" t="s">
        <v>9234</v>
      </c>
      <c r="C2535" s="3">
        <v>33458</v>
      </c>
      <c r="D2535" s="1" t="s">
        <v>9235</v>
      </c>
      <c r="E2535" s="1" t="s">
        <v>9236</v>
      </c>
      <c r="F2535" s="2" t="s">
        <v>9047</v>
      </c>
      <c r="G2535" s="2" t="s">
        <v>9237</v>
      </c>
      <c r="H2535" s="2" t="s">
        <v>10</v>
      </c>
      <c r="I2535" s="2" t="s">
        <v>4386</v>
      </c>
      <c r="J2535" s="2" t="s">
        <v>9238</v>
      </c>
      <c r="K2535" s="13" t="s">
        <v>13177</v>
      </c>
      <c r="L2535" s="7"/>
    </row>
    <row r="2536" spans="1:12" ht="27.6" hidden="1" x14ac:dyDescent="0.3">
      <c r="A2536" s="2" t="s">
        <v>4386</v>
      </c>
      <c r="B2536" s="2" t="s">
        <v>9239</v>
      </c>
      <c r="C2536" s="3">
        <v>29451</v>
      </c>
      <c r="D2536" s="1" t="s">
        <v>9240</v>
      </c>
      <c r="E2536" s="1" t="s">
        <v>9241</v>
      </c>
      <c r="F2536" s="2" t="s">
        <v>9047</v>
      </c>
      <c r="G2536" s="2" t="s">
        <v>9242</v>
      </c>
      <c r="H2536" s="2" t="s">
        <v>10</v>
      </c>
      <c r="I2536" s="2" t="s">
        <v>4386</v>
      </c>
      <c r="J2536" s="2" t="s">
        <v>9243</v>
      </c>
      <c r="K2536" s="13" t="s">
        <v>13177</v>
      </c>
      <c r="L2536" s="7"/>
    </row>
    <row r="2537" spans="1:12" ht="27.6" hidden="1" x14ac:dyDescent="0.3">
      <c r="A2537" s="2" t="s">
        <v>4386</v>
      </c>
      <c r="B2537" s="2" t="s">
        <v>9244</v>
      </c>
      <c r="C2537" s="3">
        <v>29664</v>
      </c>
      <c r="D2537" s="1" t="s">
        <v>9245</v>
      </c>
      <c r="E2537" s="1" t="s">
        <v>9246</v>
      </c>
      <c r="F2537" s="2" t="s">
        <v>9047</v>
      </c>
      <c r="G2537" s="2" t="s">
        <v>9247</v>
      </c>
      <c r="H2537" s="2" t="s">
        <v>10</v>
      </c>
      <c r="I2537" s="2" t="s">
        <v>4386</v>
      </c>
      <c r="J2537" s="2" t="s">
        <v>9248</v>
      </c>
      <c r="K2537" s="13" t="s">
        <v>13177</v>
      </c>
      <c r="L2537" s="7"/>
    </row>
    <row r="2538" spans="1:12" ht="27.6" hidden="1" x14ac:dyDescent="0.3">
      <c r="A2538" s="2" t="s">
        <v>4386</v>
      </c>
      <c r="B2538" s="2" t="s">
        <v>9249</v>
      </c>
      <c r="C2538" s="3">
        <v>32156</v>
      </c>
      <c r="D2538" s="1" t="s">
        <v>9250</v>
      </c>
      <c r="E2538" s="1" t="s">
        <v>9251</v>
      </c>
      <c r="F2538" s="2" t="s">
        <v>9041</v>
      </c>
      <c r="G2538" s="2" t="s">
        <v>9252</v>
      </c>
      <c r="H2538" s="2" t="s">
        <v>10</v>
      </c>
      <c r="I2538" s="2" t="s">
        <v>4386</v>
      </c>
      <c r="J2538" s="2" t="s">
        <v>9253</v>
      </c>
      <c r="K2538" s="13" t="s">
        <v>13177</v>
      </c>
      <c r="L2538" s="7"/>
    </row>
    <row r="2539" spans="1:12" ht="27.6" hidden="1" x14ac:dyDescent="0.3">
      <c r="A2539" s="2" t="s">
        <v>4386</v>
      </c>
      <c r="B2539" s="2" t="s">
        <v>7012</v>
      </c>
      <c r="C2539" s="3">
        <v>27323</v>
      </c>
      <c r="D2539" s="1" t="s">
        <v>7013</v>
      </c>
      <c r="E2539" s="1" t="s">
        <v>7014</v>
      </c>
      <c r="F2539" s="2" t="s">
        <v>9041</v>
      </c>
      <c r="G2539" s="2" t="s">
        <v>9254</v>
      </c>
      <c r="H2539" s="2" t="s">
        <v>10</v>
      </c>
      <c r="I2539" s="2" t="s">
        <v>4386</v>
      </c>
      <c r="J2539" s="2" t="s">
        <v>9255</v>
      </c>
      <c r="K2539" s="13" t="s">
        <v>13177</v>
      </c>
      <c r="L2539" s="7"/>
    </row>
    <row r="2540" spans="1:12" ht="55.2" hidden="1" x14ac:dyDescent="0.3">
      <c r="A2540" s="2" t="s">
        <v>4604</v>
      </c>
      <c r="B2540" s="2" t="s">
        <v>9256</v>
      </c>
      <c r="C2540" s="3">
        <v>26785</v>
      </c>
      <c r="D2540" s="1" t="s">
        <v>9257</v>
      </c>
      <c r="E2540" s="1" t="s">
        <v>9258</v>
      </c>
      <c r="F2540" s="2" t="s">
        <v>4608</v>
      </c>
      <c r="G2540" s="2" t="s">
        <v>860</v>
      </c>
      <c r="H2540" s="2" t="s">
        <v>9259</v>
      </c>
      <c r="I2540" s="2" t="s">
        <v>4604</v>
      </c>
      <c r="J2540" s="2" t="s">
        <v>4908</v>
      </c>
      <c r="K2540" s="13" t="s">
        <v>13177</v>
      </c>
      <c r="L2540" s="7"/>
    </row>
    <row r="2541" spans="1:12" ht="55.2" hidden="1" x14ac:dyDescent="0.3">
      <c r="A2541" s="2" t="s">
        <v>4604</v>
      </c>
      <c r="B2541" s="2" t="s">
        <v>9260</v>
      </c>
      <c r="C2541" s="3">
        <v>22827</v>
      </c>
      <c r="D2541" s="1" t="s">
        <v>9261</v>
      </c>
      <c r="E2541" s="1" t="s">
        <v>9262</v>
      </c>
      <c r="F2541" s="2" t="s">
        <v>5668</v>
      </c>
      <c r="G2541" s="2" t="s">
        <v>230</v>
      </c>
      <c r="H2541" s="2" t="s">
        <v>9263</v>
      </c>
      <c r="I2541" s="2" t="s">
        <v>4604</v>
      </c>
      <c r="J2541" s="2" t="s">
        <v>1922</v>
      </c>
      <c r="K2541" s="13" t="s">
        <v>13177</v>
      </c>
      <c r="L2541" s="7"/>
    </row>
    <row r="2542" spans="1:12" ht="55.2" hidden="1" x14ac:dyDescent="0.3">
      <c r="A2542" s="2" t="s">
        <v>4604</v>
      </c>
      <c r="B2542" s="2" t="s">
        <v>9264</v>
      </c>
      <c r="C2542" s="3">
        <v>30825</v>
      </c>
      <c r="D2542" s="1" t="s">
        <v>9265</v>
      </c>
      <c r="E2542" s="1" t="s">
        <v>9266</v>
      </c>
      <c r="F2542" s="2" t="s">
        <v>6430</v>
      </c>
      <c r="G2542" s="2" t="s">
        <v>604</v>
      </c>
      <c r="H2542" s="2" t="s">
        <v>9267</v>
      </c>
      <c r="I2542" s="2" t="s">
        <v>4604</v>
      </c>
      <c r="J2542" s="2" t="s">
        <v>4903</v>
      </c>
      <c r="K2542" s="13" t="s">
        <v>13177</v>
      </c>
      <c r="L2542" s="7"/>
    </row>
    <row r="2543" spans="1:12" ht="55.2" hidden="1" x14ac:dyDescent="0.3">
      <c r="A2543" s="2" t="s">
        <v>4604</v>
      </c>
      <c r="B2543" s="2" t="s">
        <v>9268</v>
      </c>
      <c r="C2543" s="3">
        <v>32369</v>
      </c>
      <c r="D2543" s="1" t="s">
        <v>9269</v>
      </c>
      <c r="E2543" s="1" t="s">
        <v>9270</v>
      </c>
      <c r="F2543" s="2" t="s">
        <v>6430</v>
      </c>
      <c r="G2543" s="2" t="s">
        <v>217</v>
      </c>
      <c r="H2543" s="2" t="s">
        <v>9271</v>
      </c>
      <c r="I2543" s="2" t="s">
        <v>4604</v>
      </c>
      <c r="J2543" s="2" t="s">
        <v>412</v>
      </c>
      <c r="K2543" s="13" t="s">
        <v>13177</v>
      </c>
      <c r="L2543" s="7"/>
    </row>
    <row r="2544" spans="1:12" ht="55.2" hidden="1" x14ac:dyDescent="0.3">
      <c r="A2544" s="2" t="s">
        <v>4604</v>
      </c>
      <c r="B2544" s="2" t="s">
        <v>9272</v>
      </c>
      <c r="C2544" s="3">
        <v>20521</v>
      </c>
      <c r="D2544" s="1" t="s">
        <v>9273</v>
      </c>
      <c r="E2544" s="1" t="s">
        <v>9274</v>
      </c>
      <c r="F2544" s="2" t="s">
        <v>5989</v>
      </c>
      <c r="G2544" s="2" t="s">
        <v>328</v>
      </c>
      <c r="H2544" s="2" t="s">
        <v>9275</v>
      </c>
      <c r="I2544" s="2" t="s">
        <v>4604</v>
      </c>
      <c r="J2544" s="2" t="s">
        <v>1839</v>
      </c>
      <c r="K2544" s="13" t="s">
        <v>13177</v>
      </c>
      <c r="L2544" s="7"/>
    </row>
    <row r="2545" spans="1:12" ht="27.6" hidden="1" x14ac:dyDescent="0.3">
      <c r="A2545" s="2" t="s">
        <v>4386</v>
      </c>
      <c r="B2545" s="2" t="s">
        <v>9276</v>
      </c>
      <c r="C2545" s="3">
        <v>36546</v>
      </c>
      <c r="D2545" s="1" t="s">
        <v>9277</v>
      </c>
      <c r="E2545" s="1" t="s">
        <v>9278</v>
      </c>
      <c r="F2545" s="2" t="s">
        <v>6925</v>
      </c>
      <c r="G2545" s="2" t="s">
        <v>385</v>
      </c>
      <c r="H2545" s="2" t="s">
        <v>81</v>
      </c>
      <c r="I2545" s="2" t="s">
        <v>4386</v>
      </c>
      <c r="J2545" s="2" t="s">
        <v>913</v>
      </c>
      <c r="K2545" s="16" t="s">
        <v>13177</v>
      </c>
      <c r="L2545" s="17"/>
    </row>
    <row r="2546" spans="1:12" hidden="1" x14ac:dyDescent="0.3">
      <c r="A2546" s="2" t="s">
        <v>4139</v>
      </c>
      <c r="B2546" s="2" t="s">
        <v>9279</v>
      </c>
      <c r="C2546" s="3">
        <v>26308</v>
      </c>
      <c r="D2546" s="1" t="s">
        <v>9280</v>
      </c>
      <c r="E2546" s="1" t="s">
        <v>9281</v>
      </c>
      <c r="F2546" s="2" t="s">
        <v>4143</v>
      </c>
      <c r="G2546" s="2" t="s">
        <v>9282</v>
      </c>
      <c r="H2546" s="2" t="s">
        <v>81</v>
      </c>
      <c r="I2546" s="2" t="s">
        <v>4139</v>
      </c>
      <c r="J2546" s="2" t="s">
        <v>9283</v>
      </c>
      <c r="K2546" s="14"/>
      <c r="L2546" s="6"/>
    </row>
    <row r="2547" spans="1:12" hidden="1" x14ac:dyDescent="0.3">
      <c r="A2547" s="2" t="s">
        <v>4139</v>
      </c>
      <c r="B2547" s="2" t="s">
        <v>9284</v>
      </c>
      <c r="C2547" s="3">
        <v>31469</v>
      </c>
      <c r="D2547" s="1" t="s">
        <v>9285</v>
      </c>
      <c r="E2547" s="1" t="s">
        <v>9286</v>
      </c>
      <c r="F2547" s="2" t="s">
        <v>4143</v>
      </c>
      <c r="G2547" s="2" t="s">
        <v>8954</v>
      </c>
      <c r="H2547" s="2" t="s">
        <v>81</v>
      </c>
      <c r="I2547" s="2" t="s">
        <v>4139</v>
      </c>
      <c r="J2547" s="2" t="s">
        <v>8955</v>
      </c>
      <c r="K2547" s="14"/>
      <c r="L2547" s="6"/>
    </row>
    <row r="2548" spans="1:12" hidden="1" x14ac:dyDescent="0.3">
      <c r="A2548" s="2" t="s">
        <v>4139</v>
      </c>
      <c r="B2548" s="2" t="s">
        <v>9287</v>
      </c>
      <c r="C2548" s="3">
        <v>34882</v>
      </c>
      <c r="D2548" s="1" t="s">
        <v>9288</v>
      </c>
      <c r="E2548" s="1" t="s">
        <v>9289</v>
      </c>
      <c r="F2548" s="2" t="s">
        <v>4143</v>
      </c>
      <c r="G2548" s="2" t="s">
        <v>8359</v>
      </c>
      <c r="H2548" s="2" t="s">
        <v>81</v>
      </c>
      <c r="I2548" s="2" t="s">
        <v>4139</v>
      </c>
      <c r="J2548" s="2" t="s">
        <v>8360</v>
      </c>
      <c r="K2548" s="14"/>
      <c r="L2548" s="6"/>
    </row>
    <row r="2549" spans="1:12" ht="27.6" hidden="1" x14ac:dyDescent="0.3">
      <c r="A2549" s="2" t="s">
        <v>4139</v>
      </c>
      <c r="B2549" s="2" t="s">
        <v>9290</v>
      </c>
      <c r="C2549" s="3">
        <v>35842</v>
      </c>
      <c r="D2549" s="1" t="s">
        <v>9291</v>
      </c>
      <c r="E2549" s="1" t="s">
        <v>9292</v>
      </c>
      <c r="F2549" s="2" t="s">
        <v>4143</v>
      </c>
      <c r="G2549" s="2" t="s">
        <v>8438</v>
      </c>
      <c r="H2549" s="2" t="s">
        <v>1333</v>
      </c>
      <c r="I2549" s="2" t="s">
        <v>4139</v>
      </c>
      <c r="J2549" s="2" t="s">
        <v>8897</v>
      </c>
      <c r="K2549" s="14"/>
      <c r="L2549" s="6"/>
    </row>
    <row r="2550" spans="1:12" ht="27.6" hidden="1" x14ac:dyDescent="0.3">
      <c r="A2550" s="2" t="s">
        <v>4139</v>
      </c>
      <c r="B2550" s="2" t="s">
        <v>9293</v>
      </c>
      <c r="C2550" s="3">
        <v>28205</v>
      </c>
      <c r="D2550" s="1" t="s">
        <v>9294</v>
      </c>
      <c r="E2550" s="1" t="s">
        <v>9295</v>
      </c>
      <c r="F2550" s="2" t="s">
        <v>4143</v>
      </c>
      <c r="G2550" s="2" t="s">
        <v>9296</v>
      </c>
      <c r="H2550" s="2" t="s">
        <v>81</v>
      </c>
      <c r="I2550" s="2" t="s">
        <v>4139</v>
      </c>
      <c r="J2550" s="2" t="s">
        <v>9297</v>
      </c>
      <c r="K2550" s="14"/>
      <c r="L2550" s="6"/>
    </row>
    <row r="2551" spans="1:12" hidden="1" x14ac:dyDescent="0.3">
      <c r="A2551" s="2" t="s">
        <v>4139</v>
      </c>
      <c r="B2551" s="2" t="s">
        <v>9298</v>
      </c>
      <c r="C2551" s="3">
        <v>-1</v>
      </c>
      <c r="D2551" s="1" t="s">
        <v>9299</v>
      </c>
      <c r="E2551" s="1" t="s">
        <v>9300</v>
      </c>
      <c r="F2551" s="2" t="s">
        <v>4143</v>
      </c>
      <c r="G2551" s="2" t="s">
        <v>9301</v>
      </c>
      <c r="H2551" s="2" t="s">
        <v>10</v>
      </c>
      <c r="I2551" s="2" t="s">
        <v>4139</v>
      </c>
      <c r="J2551" s="2" t="s">
        <v>9302</v>
      </c>
      <c r="K2551" s="14"/>
      <c r="L2551" s="6"/>
    </row>
    <row r="2552" spans="1:12" hidden="1" x14ac:dyDescent="0.3">
      <c r="A2552" s="2" t="s">
        <v>4139</v>
      </c>
      <c r="B2552" s="2" t="s">
        <v>9303</v>
      </c>
      <c r="C2552" s="3">
        <v>26966</v>
      </c>
      <c r="D2552" s="1" t="s">
        <v>9304</v>
      </c>
      <c r="E2552" s="1" t="s">
        <v>9305</v>
      </c>
      <c r="F2552" s="2" t="s">
        <v>4143</v>
      </c>
      <c r="G2552" s="2" t="s">
        <v>9306</v>
      </c>
      <c r="H2552" s="2" t="s">
        <v>10</v>
      </c>
      <c r="I2552" s="2" t="s">
        <v>4139</v>
      </c>
      <c r="J2552" s="2" t="s">
        <v>9307</v>
      </c>
      <c r="K2552" s="14"/>
      <c r="L2552" s="6"/>
    </row>
    <row r="2553" spans="1:12" hidden="1" x14ac:dyDescent="0.3">
      <c r="A2553" s="2" t="s">
        <v>4139</v>
      </c>
      <c r="B2553" s="2" t="s">
        <v>9308</v>
      </c>
      <c r="C2553" s="3">
        <v>29344</v>
      </c>
      <c r="D2553" s="1" t="s">
        <v>9309</v>
      </c>
      <c r="E2553" s="1" t="s">
        <v>9310</v>
      </c>
      <c r="F2553" s="2" t="s">
        <v>4143</v>
      </c>
      <c r="G2553" s="2" t="s">
        <v>9147</v>
      </c>
      <c r="H2553" s="2" t="s">
        <v>81</v>
      </c>
      <c r="I2553" s="2" t="s">
        <v>4139</v>
      </c>
      <c r="J2553" s="2" t="s">
        <v>9148</v>
      </c>
      <c r="K2553" s="14"/>
      <c r="L2553" s="6"/>
    </row>
    <row r="2554" spans="1:12" hidden="1" x14ac:dyDescent="0.3">
      <c r="A2554" s="2" t="s">
        <v>4139</v>
      </c>
      <c r="B2554" s="2" t="s">
        <v>9308</v>
      </c>
      <c r="C2554" s="3">
        <v>29344</v>
      </c>
      <c r="D2554" s="1" t="s">
        <v>9309</v>
      </c>
      <c r="E2554" s="1" t="s">
        <v>9310</v>
      </c>
      <c r="F2554" s="2" t="s">
        <v>4143</v>
      </c>
      <c r="G2554" s="2" t="s">
        <v>9147</v>
      </c>
      <c r="H2554" s="2" t="s">
        <v>103</v>
      </c>
      <c r="I2554" s="2" t="s">
        <v>4139</v>
      </c>
      <c r="J2554" s="2" t="s">
        <v>9148</v>
      </c>
      <c r="K2554" s="14"/>
      <c r="L2554" s="6"/>
    </row>
    <row r="2555" spans="1:12" ht="27.6" hidden="1" x14ac:dyDescent="0.3">
      <c r="A2555" s="2" t="s">
        <v>60</v>
      </c>
      <c r="B2555" s="2" t="s">
        <v>9311</v>
      </c>
      <c r="C2555" s="3">
        <v>32681</v>
      </c>
      <c r="D2555" s="1" t="s">
        <v>9312</v>
      </c>
      <c r="E2555" s="1" t="s">
        <v>9313</v>
      </c>
      <c r="F2555" s="2" t="s">
        <v>865</v>
      </c>
      <c r="G2555" s="2" t="s">
        <v>143</v>
      </c>
      <c r="H2555" s="2" t="s">
        <v>10</v>
      </c>
      <c r="I2555" s="2" t="s">
        <v>60</v>
      </c>
      <c r="J2555" s="2" t="s">
        <v>144</v>
      </c>
      <c r="K2555" s="20" t="s">
        <v>13177</v>
      </c>
      <c r="L2555" s="12"/>
    </row>
    <row r="2556" spans="1:12" ht="27.6" hidden="1" x14ac:dyDescent="0.3">
      <c r="A2556" s="2" t="s">
        <v>60</v>
      </c>
      <c r="B2556" s="2" t="s">
        <v>9314</v>
      </c>
      <c r="C2556" s="3">
        <v>29509</v>
      </c>
      <c r="D2556" s="1" t="s">
        <v>9315</v>
      </c>
      <c r="E2556" s="1" t="s">
        <v>9316</v>
      </c>
      <c r="F2556" s="2" t="s">
        <v>926</v>
      </c>
      <c r="G2556" s="2" t="s">
        <v>258</v>
      </c>
      <c r="H2556" s="2" t="s">
        <v>10</v>
      </c>
      <c r="I2556" s="2" t="s">
        <v>60</v>
      </c>
      <c r="J2556" s="2" t="s">
        <v>259</v>
      </c>
      <c r="K2556" s="13" t="s">
        <v>13177</v>
      </c>
      <c r="L2556" s="7"/>
    </row>
    <row r="2557" spans="1:12" ht="27.6" hidden="1" x14ac:dyDescent="0.3">
      <c r="A2557" s="2" t="s">
        <v>60</v>
      </c>
      <c r="B2557" s="2" t="s">
        <v>9317</v>
      </c>
      <c r="C2557" s="3">
        <v>29613</v>
      </c>
      <c r="D2557" s="1" t="s">
        <v>9318</v>
      </c>
      <c r="E2557" s="1" t="s">
        <v>9319</v>
      </c>
      <c r="F2557" s="2" t="s">
        <v>2146</v>
      </c>
      <c r="G2557" s="2" t="s">
        <v>222</v>
      </c>
      <c r="H2557" s="2" t="s">
        <v>10</v>
      </c>
      <c r="I2557" s="2" t="s">
        <v>60</v>
      </c>
      <c r="J2557" s="2" t="s">
        <v>223</v>
      </c>
      <c r="K2557" s="13" t="s">
        <v>13177</v>
      </c>
      <c r="L2557" s="7"/>
    </row>
    <row r="2558" spans="1:12" ht="27.6" hidden="1" x14ac:dyDescent="0.3">
      <c r="A2558" s="2" t="s">
        <v>60</v>
      </c>
      <c r="B2558" s="2" t="s">
        <v>9320</v>
      </c>
      <c r="C2558" s="3">
        <v>31120</v>
      </c>
      <c r="D2558" s="1" t="s">
        <v>9321</v>
      </c>
      <c r="E2558" s="1" t="s">
        <v>9322</v>
      </c>
      <c r="F2558" s="2" t="s">
        <v>2146</v>
      </c>
      <c r="G2558" s="2" t="s">
        <v>80</v>
      </c>
      <c r="H2558" s="2" t="s">
        <v>10</v>
      </c>
      <c r="I2558" s="2" t="s">
        <v>60</v>
      </c>
      <c r="J2558" s="2" t="s">
        <v>82</v>
      </c>
      <c r="K2558" s="13" t="s">
        <v>13177</v>
      </c>
      <c r="L2558" s="7"/>
    </row>
    <row r="2559" spans="1:12" ht="27.6" hidden="1" x14ac:dyDescent="0.3">
      <c r="A2559" s="2" t="s">
        <v>4386</v>
      </c>
      <c r="B2559" s="2" t="s">
        <v>9323</v>
      </c>
      <c r="C2559" s="3">
        <v>20336</v>
      </c>
      <c r="D2559" s="1" t="s">
        <v>9324</v>
      </c>
      <c r="E2559" s="1" t="s">
        <v>9325</v>
      </c>
      <c r="F2559" s="2" t="s">
        <v>9041</v>
      </c>
      <c r="G2559" s="2" t="s">
        <v>9326</v>
      </c>
      <c r="H2559" s="2" t="s">
        <v>103</v>
      </c>
      <c r="I2559" s="2" t="s">
        <v>4386</v>
      </c>
      <c r="J2559" s="2" t="s">
        <v>393</v>
      </c>
      <c r="K2559" s="13" t="s">
        <v>13177</v>
      </c>
      <c r="L2559" s="7"/>
    </row>
    <row r="2560" spans="1:12" ht="27.6" hidden="1" x14ac:dyDescent="0.3">
      <c r="A2560" s="2" t="s">
        <v>4386</v>
      </c>
      <c r="B2560" s="2" t="s">
        <v>9327</v>
      </c>
      <c r="C2560" s="3">
        <v>28336</v>
      </c>
      <c r="D2560" s="1" t="s">
        <v>9328</v>
      </c>
      <c r="E2560" s="1" t="s">
        <v>9329</v>
      </c>
      <c r="F2560" s="2" t="s">
        <v>9041</v>
      </c>
      <c r="G2560" s="2" t="s">
        <v>9326</v>
      </c>
      <c r="H2560" s="2" t="s">
        <v>81</v>
      </c>
      <c r="I2560" s="2" t="s">
        <v>4386</v>
      </c>
      <c r="J2560" s="2" t="s">
        <v>393</v>
      </c>
      <c r="K2560" s="13" t="s">
        <v>13177</v>
      </c>
      <c r="L2560" s="7"/>
    </row>
    <row r="2561" spans="1:12" ht="27.6" hidden="1" x14ac:dyDescent="0.3">
      <c r="A2561" s="2" t="s">
        <v>4386</v>
      </c>
      <c r="B2561" s="2" t="s">
        <v>9330</v>
      </c>
      <c r="C2561" s="3">
        <v>38108</v>
      </c>
      <c r="D2561" s="1" t="s">
        <v>9331</v>
      </c>
      <c r="E2561" s="1" t="s">
        <v>8997</v>
      </c>
      <c r="F2561" s="2" t="s">
        <v>9041</v>
      </c>
      <c r="G2561" s="2" t="s">
        <v>9184</v>
      </c>
      <c r="H2561" s="2" t="s">
        <v>334</v>
      </c>
      <c r="I2561" s="2" t="s">
        <v>4386</v>
      </c>
      <c r="J2561" s="2" t="s">
        <v>9332</v>
      </c>
      <c r="K2561" s="16" t="s">
        <v>13177</v>
      </c>
      <c r="L2561" s="17"/>
    </row>
    <row r="2562" spans="1:12" ht="27.6" hidden="1" x14ac:dyDescent="0.3">
      <c r="A2562" s="2" t="s">
        <v>4386</v>
      </c>
      <c r="B2562" s="2" t="s">
        <v>9333</v>
      </c>
      <c r="C2562" s="3">
        <v>34197</v>
      </c>
      <c r="D2562" s="1" t="s">
        <v>9334</v>
      </c>
      <c r="E2562" s="1" t="s">
        <v>9335</v>
      </c>
      <c r="F2562" s="2" t="s">
        <v>6239</v>
      </c>
      <c r="G2562" s="2" t="s">
        <v>12</v>
      </c>
      <c r="H2562" s="2" t="s">
        <v>10</v>
      </c>
      <c r="I2562" s="2" t="s">
        <v>4386</v>
      </c>
      <c r="J2562" s="2" t="s">
        <v>540</v>
      </c>
      <c r="K2562" s="41" t="s">
        <v>13193</v>
      </c>
      <c r="L2562" s="6" t="s">
        <v>13194</v>
      </c>
    </row>
    <row r="2563" spans="1:12" ht="27.6" hidden="1" x14ac:dyDescent="0.3">
      <c r="A2563" s="2" t="s">
        <v>4386</v>
      </c>
      <c r="B2563" s="2" t="s">
        <v>9336</v>
      </c>
      <c r="C2563" s="3">
        <v>29721</v>
      </c>
      <c r="D2563" s="1" t="s">
        <v>9337</v>
      </c>
      <c r="E2563" s="1" t="s">
        <v>9338</v>
      </c>
      <c r="F2563" s="2" t="s">
        <v>4390</v>
      </c>
      <c r="G2563" s="2" t="s">
        <v>9339</v>
      </c>
      <c r="H2563" s="2" t="s">
        <v>10</v>
      </c>
      <c r="I2563" s="2" t="s">
        <v>4386</v>
      </c>
      <c r="J2563" s="2" t="s">
        <v>9340</v>
      </c>
      <c r="K2563" s="20" t="s">
        <v>13177</v>
      </c>
      <c r="L2563" s="12"/>
    </row>
    <row r="2564" spans="1:12" ht="27.6" hidden="1" x14ac:dyDescent="0.3">
      <c r="A2564" s="2" t="s">
        <v>4386</v>
      </c>
      <c r="B2564" s="2" t="s">
        <v>9341</v>
      </c>
      <c r="C2564" s="3">
        <v>30272</v>
      </c>
      <c r="D2564" s="1" t="s">
        <v>9342</v>
      </c>
      <c r="E2564" s="1" t="s">
        <v>9343</v>
      </c>
      <c r="F2564" s="2" t="s">
        <v>6950</v>
      </c>
      <c r="G2564" s="2" t="s">
        <v>80</v>
      </c>
      <c r="H2564" s="2" t="s">
        <v>10</v>
      </c>
      <c r="I2564" s="2" t="s">
        <v>4386</v>
      </c>
      <c r="J2564" s="2" t="s">
        <v>9344</v>
      </c>
      <c r="K2564" s="30" t="s">
        <v>13193</v>
      </c>
      <c r="L2564" s="6" t="s">
        <v>13194</v>
      </c>
    </row>
    <row r="2565" spans="1:12" ht="27.6" hidden="1" x14ac:dyDescent="0.3">
      <c r="A2565" s="2" t="s">
        <v>4386</v>
      </c>
      <c r="B2565" s="2" t="s">
        <v>9345</v>
      </c>
      <c r="C2565" s="3">
        <v>24017</v>
      </c>
      <c r="D2565" s="1" t="s">
        <v>9346</v>
      </c>
      <c r="E2565" s="1" t="s">
        <v>9347</v>
      </c>
      <c r="F2565" s="2" t="s">
        <v>9041</v>
      </c>
      <c r="G2565" s="2" t="s">
        <v>2447</v>
      </c>
      <c r="H2565" s="2" t="s">
        <v>10</v>
      </c>
      <c r="I2565" s="2" t="s">
        <v>4386</v>
      </c>
      <c r="J2565" s="2" t="s">
        <v>9348</v>
      </c>
      <c r="K2565" s="13" t="s">
        <v>13177</v>
      </c>
      <c r="L2565" s="7"/>
    </row>
    <row r="2566" spans="1:12" ht="27.6" hidden="1" x14ac:dyDescent="0.3">
      <c r="A2566" s="2" t="s">
        <v>4386</v>
      </c>
      <c r="B2566" s="2" t="s">
        <v>9349</v>
      </c>
      <c r="C2566" s="3">
        <v>31947</v>
      </c>
      <c r="D2566" s="1" t="s">
        <v>9350</v>
      </c>
      <c r="E2566" s="1" t="s">
        <v>9351</v>
      </c>
      <c r="F2566" s="2" t="s">
        <v>5091</v>
      </c>
      <c r="G2566" s="2" t="s">
        <v>9352</v>
      </c>
      <c r="H2566" s="2" t="s">
        <v>10</v>
      </c>
      <c r="I2566" s="2" t="s">
        <v>4386</v>
      </c>
      <c r="J2566" s="2" t="s">
        <v>9353</v>
      </c>
      <c r="K2566" s="13" t="s">
        <v>13177</v>
      </c>
      <c r="L2566" s="7"/>
    </row>
    <row r="2567" spans="1:12" ht="55.2" hidden="1" x14ac:dyDescent="0.3">
      <c r="A2567" s="2" t="s">
        <v>4604</v>
      </c>
      <c r="B2567" s="2" t="s">
        <v>9354</v>
      </c>
      <c r="C2567" s="3">
        <v>39097</v>
      </c>
      <c r="D2567" s="1" t="s">
        <v>9355</v>
      </c>
      <c r="E2567" s="1" t="s">
        <v>9356</v>
      </c>
      <c r="F2567" s="2" t="s">
        <v>4704</v>
      </c>
      <c r="G2567" s="2" t="s">
        <v>552</v>
      </c>
      <c r="H2567" s="2" t="s">
        <v>10</v>
      </c>
      <c r="I2567" s="2" t="s">
        <v>4604</v>
      </c>
      <c r="J2567" s="2" t="s">
        <v>5522</v>
      </c>
      <c r="K2567" s="13" t="s">
        <v>13177</v>
      </c>
      <c r="L2567" s="7"/>
    </row>
    <row r="2568" spans="1:12" ht="55.2" hidden="1" x14ac:dyDescent="0.3">
      <c r="A2568" s="2" t="s">
        <v>4604</v>
      </c>
      <c r="B2568" s="2" t="s">
        <v>9354</v>
      </c>
      <c r="C2568" s="3">
        <v>39097</v>
      </c>
      <c r="D2568" s="1" t="s">
        <v>8390</v>
      </c>
      <c r="E2568" s="1" t="s">
        <v>8391</v>
      </c>
      <c r="F2568" s="2" t="s">
        <v>4608</v>
      </c>
      <c r="G2568" s="2" t="s">
        <v>2594</v>
      </c>
      <c r="H2568" s="2" t="s">
        <v>10</v>
      </c>
      <c r="I2568" s="2" t="s">
        <v>4604</v>
      </c>
      <c r="J2568" s="2" t="s">
        <v>7447</v>
      </c>
      <c r="K2568" s="13" t="s">
        <v>13177</v>
      </c>
      <c r="L2568" s="7"/>
    </row>
    <row r="2569" spans="1:12" ht="55.2" hidden="1" x14ac:dyDescent="0.3">
      <c r="A2569" s="2" t="s">
        <v>4604</v>
      </c>
      <c r="B2569" s="2" t="s">
        <v>9357</v>
      </c>
      <c r="C2569" s="3">
        <v>29188</v>
      </c>
      <c r="D2569" s="1" t="s">
        <v>9358</v>
      </c>
      <c r="E2569" s="1" t="s">
        <v>9359</v>
      </c>
      <c r="F2569" s="2" t="s">
        <v>5698</v>
      </c>
      <c r="G2569" s="2" t="s">
        <v>25</v>
      </c>
      <c r="H2569" s="2" t="s">
        <v>10</v>
      </c>
      <c r="I2569" s="2" t="s">
        <v>4604</v>
      </c>
      <c r="J2569" s="2" t="s">
        <v>117</v>
      </c>
      <c r="K2569" s="13" t="s">
        <v>13177</v>
      </c>
      <c r="L2569" s="7"/>
    </row>
    <row r="2570" spans="1:12" ht="55.2" hidden="1" x14ac:dyDescent="0.3">
      <c r="A2570" s="2" t="s">
        <v>4604</v>
      </c>
      <c r="B2570" s="2" t="s">
        <v>9360</v>
      </c>
      <c r="C2570" s="3">
        <v>23281</v>
      </c>
      <c r="D2570" s="1" t="s">
        <v>9361</v>
      </c>
      <c r="E2570" s="1" t="s">
        <v>9362</v>
      </c>
      <c r="F2570" s="2" t="s">
        <v>7576</v>
      </c>
      <c r="G2570" s="2" t="s">
        <v>696</v>
      </c>
      <c r="H2570" s="2" t="s">
        <v>9363</v>
      </c>
      <c r="I2570" s="2" t="s">
        <v>4604</v>
      </c>
      <c r="J2570" s="2" t="s">
        <v>7061</v>
      </c>
      <c r="K2570" s="13" t="s">
        <v>13177</v>
      </c>
      <c r="L2570" s="7"/>
    </row>
    <row r="2571" spans="1:12" ht="55.2" hidden="1" x14ac:dyDescent="0.3">
      <c r="A2571" s="2" t="s">
        <v>4604</v>
      </c>
      <c r="B2571" s="2" t="s">
        <v>9364</v>
      </c>
      <c r="C2571" s="3">
        <v>36099</v>
      </c>
      <c r="D2571" s="1" t="s">
        <v>9365</v>
      </c>
      <c r="E2571" s="1" t="s">
        <v>9366</v>
      </c>
      <c r="F2571" s="2" t="s">
        <v>4608</v>
      </c>
      <c r="G2571" s="2" t="s">
        <v>880</v>
      </c>
      <c r="H2571" s="2" t="s">
        <v>10</v>
      </c>
      <c r="I2571" s="2" t="s">
        <v>4604</v>
      </c>
      <c r="J2571" s="2" t="s">
        <v>9367</v>
      </c>
      <c r="K2571" s="13" t="s">
        <v>13177</v>
      </c>
      <c r="L2571" s="7"/>
    </row>
    <row r="2572" spans="1:12" ht="55.2" hidden="1" x14ac:dyDescent="0.3">
      <c r="A2572" s="2" t="s">
        <v>4604</v>
      </c>
      <c r="B2572" s="2" t="s">
        <v>9368</v>
      </c>
      <c r="C2572" s="3">
        <v>34617</v>
      </c>
      <c r="D2572" s="1" t="s">
        <v>9369</v>
      </c>
      <c r="E2572" s="1" t="s">
        <v>9370</v>
      </c>
      <c r="F2572" s="2" t="s">
        <v>5668</v>
      </c>
      <c r="G2572" s="2" t="s">
        <v>12</v>
      </c>
      <c r="H2572" s="2" t="s">
        <v>9371</v>
      </c>
      <c r="I2572" s="2" t="s">
        <v>4604</v>
      </c>
      <c r="J2572" s="2" t="s">
        <v>54</v>
      </c>
      <c r="K2572" s="13" t="s">
        <v>13177</v>
      </c>
      <c r="L2572" s="7"/>
    </row>
    <row r="2573" spans="1:12" ht="55.2" hidden="1" x14ac:dyDescent="0.3">
      <c r="A2573" s="2" t="s">
        <v>4604</v>
      </c>
      <c r="B2573" s="2" t="s">
        <v>9372</v>
      </c>
      <c r="C2573" s="3">
        <v>33098</v>
      </c>
      <c r="D2573" s="1" t="s">
        <v>9373</v>
      </c>
      <c r="E2573" s="1" t="s">
        <v>9374</v>
      </c>
      <c r="F2573" s="2" t="s">
        <v>4698</v>
      </c>
      <c r="G2573" s="2" t="s">
        <v>1758</v>
      </c>
      <c r="H2573" s="2" t="s">
        <v>9375</v>
      </c>
      <c r="I2573" s="2" t="s">
        <v>4604</v>
      </c>
      <c r="J2573" s="2" t="s">
        <v>5375</v>
      </c>
      <c r="K2573" s="13" t="s">
        <v>13177</v>
      </c>
      <c r="L2573" s="7"/>
    </row>
    <row r="2574" spans="1:12" ht="55.2" hidden="1" x14ac:dyDescent="0.3">
      <c r="A2574" s="2" t="s">
        <v>4604</v>
      </c>
      <c r="B2574" s="2" t="s">
        <v>9376</v>
      </c>
      <c r="C2574" s="3">
        <v>35772</v>
      </c>
      <c r="D2574" s="1" t="s">
        <v>9377</v>
      </c>
      <c r="E2574" s="1" t="s">
        <v>9378</v>
      </c>
      <c r="F2574" s="2" t="s">
        <v>4698</v>
      </c>
      <c r="G2574" s="2" t="s">
        <v>734</v>
      </c>
      <c r="H2574" s="2" t="s">
        <v>9379</v>
      </c>
      <c r="I2574" s="2" t="s">
        <v>4604</v>
      </c>
      <c r="J2574" s="2" t="s">
        <v>9380</v>
      </c>
      <c r="K2574" s="13" t="s">
        <v>13177</v>
      </c>
      <c r="L2574" s="7"/>
    </row>
    <row r="2575" spans="1:12" ht="55.2" hidden="1" x14ac:dyDescent="0.3">
      <c r="A2575" s="2" t="s">
        <v>4604</v>
      </c>
      <c r="B2575" s="2" t="s">
        <v>9381</v>
      </c>
      <c r="C2575" s="3">
        <v>27368</v>
      </c>
      <c r="D2575" s="1" t="s">
        <v>9382</v>
      </c>
      <c r="E2575" s="1" t="s">
        <v>9383</v>
      </c>
      <c r="F2575" s="2" t="s">
        <v>4698</v>
      </c>
      <c r="G2575" s="2" t="s">
        <v>712</v>
      </c>
      <c r="H2575" s="2" t="s">
        <v>9384</v>
      </c>
      <c r="I2575" s="2" t="s">
        <v>4604</v>
      </c>
      <c r="J2575" s="2" t="s">
        <v>5803</v>
      </c>
      <c r="K2575" s="13" t="s">
        <v>13177</v>
      </c>
      <c r="L2575" s="7"/>
    </row>
    <row r="2576" spans="1:12" hidden="1" x14ac:dyDescent="0.3">
      <c r="A2576" s="2" t="s">
        <v>1957</v>
      </c>
      <c r="B2576" s="2" t="s">
        <v>9385</v>
      </c>
      <c r="C2576" s="3">
        <v>24033</v>
      </c>
      <c r="D2576" s="1" t="s">
        <v>9386</v>
      </c>
      <c r="E2576" s="1" t="s">
        <v>9387</v>
      </c>
      <c r="F2576" s="2" t="s">
        <v>1123</v>
      </c>
      <c r="G2576" s="2" t="s">
        <v>190</v>
      </c>
      <c r="H2576" s="2" t="s">
        <v>10</v>
      </c>
      <c r="I2576" s="2" t="s">
        <v>1957</v>
      </c>
      <c r="J2576" s="2" t="s">
        <v>191</v>
      </c>
      <c r="K2576" s="13" t="s">
        <v>13177</v>
      </c>
      <c r="L2576" s="7"/>
    </row>
    <row r="2577" spans="1:12" hidden="1" x14ac:dyDescent="0.3">
      <c r="A2577" s="2" t="s">
        <v>1957</v>
      </c>
      <c r="B2577" s="2" t="s">
        <v>9388</v>
      </c>
      <c r="C2577" s="3">
        <v>30592</v>
      </c>
      <c r="D2577" s="1" t="s">
        <v>9389</v>
      </c>
      <c r="E2577" s="1" t="s">
        <v>9390</v>
      </c>
      <c r="F2577" s="2" t="s">
        <v>9391</v>
      </c>
      <c r="G2577" s="2" t="s">
        <v>190</v>
      </c>
      <c r="H2577" s="2" t="s">
        <v>10</v>
      </c>
      <c r="I2577" s="2" t="s">
        <v>1957</v>
      </c>
      <c r="J2577" s="2" t="s">
        <v>191</v>
      </c>
      <c r="K2577" s="13" t="s">
        <v>13177</v>
      </c>
      <c r="L2577" s="7"/>
    </row>
    <row r="2578" spans="1:12" hidden="1" x14ac:dyDescent="0.3">
      <c r="A2578" s="2" t="s">
        <v>1957</v>
      </c>
      <c r="B2578" s="2" t="s">
        <v>9392</v>
      </c>
      <c r="C2578" s="3">
        <v>32340</v>
      </c>
      <c r="D2578" s="1" t="s">
        <v>9393</v>
      </c>
      <c r="E2578" s="1" t="s">
        <v>9394</v>
      </c>
      <c r="F2578" s="2" t="s">
        <v>9391</v>
      </c>
      <c r="G2578" s="2" t="s">
        <v>196</v>
      </c>
      <c r="H2578" s="2" t="s">
        <v>10</v>
      </c>
      <c r="I2578" s="2" t="s">
        <v>1957</v>
      </c>
      <c r="J2578" s="2" t="s">
        <v>197</v>
      </c>
      <c r="K2578" s="13" t="s">
        <v>13177</v>
      </c>
      <c r="L2578" s="7"/>
    </row>
    <row r="2579" spans="1:12" hidden="1" x14ac:dyDescent="0.3">
      <c r="A2579" s="2" t="s">
        <v>1957</v>
      </c>
      <c r="B2579" s="2" t="s">
        <v>9395</v>
      </c>
      <c r="C2579" s="3">
        <v>29323</v>
      </c>
      <c r="D2579" s="1" t="s">
        <v>9396</v>
      </c>
      <c r="E2579" s="1" t="s">
        <v>9397</v>
      </c>
      <c r="F2579" s="2" t="s">
        <v>9391</v>
      </c>
      <c r="G2579" s="2" t="s">
        <v>492</v>
      </c>
      <c r="H2579" s="2" t="s">
        <v>10</v>
      </c>
      <c r="I2579" s="2" t="s">
        <v>1957</v>
      </c>
      <c r="J2579" s="2" t="s">
        <v>1600</v>
      </c>
      <c r="K2579" s="13" t="s">
        <v>13177</v>
      </c>
      <c r="L2579" s="7"/>
    </row>
    <row r="2580" spans="1:12" hidden="1" x14ac:dyDescent="0.3">
      <c r="A2580" s="2" t="s">
        <v>1957</v>
      </c>
      <c r="B2580" s="2" t="s">
        <v>9398</v>
      </c>
      <c r="C2580" s="3">
        <v>35947</v>
      </c>
      <c r="D2580" s="1" t="s">
        <v>9399</v>
      </c>
      <c r="E2580" s="1" t="s">
        <v>9400</v>
      </c>
      <c r="F2580" s="2" t="s">
        <v>1123</v>
      </c>
      <c r="G2580" s="2" t="s">
        <v>196</v>
      </c>
      <c r="H2580" s="2" t="s">
        <v>10</v>
      </c>
      <c r="I2580" s="2" t="s">
        <v>1957</v>
      </c>
      <c r="J2580" s="2" t="s">
        <v>197</v>
      </c>
      <c r="K2580" s="13" t="s">
        <v>13177</v>
      </c>
      <c r="L2580" s="7"/>
    </row>
    <row r="2581" spans="1:12" ht="27.6" hidden="1" x14ac:dyDescent="0.3">
      <c r="A2581" s="2" t="s">
        <v>1957</v>
      </c>
      <c r="B2581" s="2" t="s">
        <v>1995</v>
      </c>
      <c r="C2581" s="3">
        <v>21319</v>
      </c>
      <c r="D2581" s="1" t="s">
        <v>1996</v>
      </c>
      <c r="E2581" s="1" t="s">
        <v>1997</v>
      </c>
      <c r="F2581" s="2" t="s">
        <v>1961</v>
      </c>
      <c r="G2581" s="2" t="s">
        <v>425</v>
      </c>
      <c r="H2581" s="2" t="s">
        <v>10</v>
      </c>
      <c r="I2581" s="2" t="s">
        <v>1957</v>
      </c>
      <c r="J2581" s="2" t="s">
        <v>1181</v>
      </c>
      <c r="K2581" s="13" t="s">
        <v>13177</v>
      </c>
      <c r="L2581" s="7"/>
    </row>
    <row r="2582" spans="1:12" ht="27.6" hidden="1" x14ac:dyDescent="0.3">
      <c r="A2582" s="2" t="s">
        <v>1957</v>
      </c>
      <c r="B2582" s="2" t="s">
        <v>1995</v>
      </c>
      <c r="C2582" s="3">
        <v>21319</v>
      </c>
      <c r="D2582" s="1" t="s">
        <v>1996</v>
      </c>
      <c r="E2582" s="1" t="s">
        <v>1997</v>
      </c>
      <c r="F2582" s="2" t="s">
        <v>2018</v>
      </c>
      <c r="G2582" s="2" t="s">
        <v>143</v>
      </c>
      <c r="H2582" s="2" t="s">
        <v>10</v>
      </c>
      <c r="I2582" s="2" t="s">
        <v>1957</v>
      </c>
      <c r="J2582" s="2" t="s">
        <v>144</v>
      </c>
      <c r="K2582" s="16" t="s">
        <v>13177</v>
      </c>
      <c r="L2582" s="17"/>
    </row>
    <row r="2583" spans="1:12" hidden="1" x14ac:dyDescent="0.3">
      <c r="A2583" s="2" t="s">
        <v>4139</v>
      </c>
      <c r="B2583" s="2" t="s">
        <v>9401</v>
      </c>
      <c r="C2583" s="3">
        <v>31993</v>
      </c>
      <c r="D2583" s="1" t="s">
        <v>4907</v>
      </c>
      <c r="E2583" s="1" t="s">
        <v>9402</v>
      </c>
      <c r="F2583" s="2" t="s">
        <v>4143</v>
      </c>
      <c r="G2583" s="2" t="s">
        <v>9403</v>
      </c>
      <c r="H2583" s="2" t="s">
        <v>10</v>
      </c>
      <c r="I2583" s="2" t="s">
        <v>4139</v>
      </c>
      <c r="J2583" s="2" t="s">
        <v>9404</v>
      </c>
      <c r="K2583" s="14"/>
      <c r="L2583" s="6"/>
    </row>
    <row r="2584" spans="1:12" hidden="1" x14ac:dyDescent="0.3">
      <c r="A2584" s="2" t="s">
        <v>4139</v>
      </c>
      <c r="B2584" s="2" t="s">
        <v>9405</v>
      </c>
      <c r="C2584" s="3">
        <v>30901</v>
      </c>
      <c r="D2584" s="1" t="s">
        <v>9406</v>
      </c>
      <c r="E2584" s="1" t="s">
        <v>9407</v>
      </c>
      <c r="F2584" s="2" t="s">
        <v>4143</v>
      </c>
      <c r="G2584" s="2" t="s">
        <v>9408</v>
      </c>
      <c r="H2584" s="2" t="s">
        <v>10</v>
      </c>
      <c r="I2584" s="2" t="s">
        <v>4139</v>
      </c>
      <c r="J2584" s="2" t="s">
        <v>9409</v>
      </c>
      <c r="K2584" s="14"/>
      <c r="L2584" s="6"/>
    </row>
    <row r="2585" spans="1:12" ht="27.6" hidden="1" x14ac:dyDescent="0.3">
      <c r="A2585" s="2" t="s">
        <v>4139</v>
      </c>
      <c r="B2585" s="2" t="s">
        <v>9410</v>
      </c>
      <c r="C2585" s="3">
        <v>37536</v>
      </c>
      <c r="D2585" s="1" t="s">
        <v>9411</v>
      </c>
      <c r="E2585" s="1" t="s">
        <v>9412</v>
      </c>
      <c r="F2585" s="2" t="s">
        <v>9413</v>
      </c>
      <c r="G2585" s="2" t="s">
        <v>604</v>
      </c>
      <c r="H2585" s="2" t="s">
        <v>103</v>
      </c>
      <c r="I2585" s="2" t="s">
        <v>4139</v>
      </c>
      <c r="J2585" s="2" t="s">
        <v>9414</v>
      </c>
      <c r="K2585" s="20" t="s">
        <v>13177</v>
      </c>
      <c r="L2585" s="12"/>
    </row>
    <row r="2586" spans="1:12" ht="27.6" hidden="1" x14ac:dyDescent="0.3">
      <c r="A2586" s="2" t="s">
        <v>4139</v>
      </c>
      <c r="B2586" s="2" t="s">
        <v>9410</v>
      </c>
      <c r="C2586" s="3">
        <v>37536</v>
      </c>
      <c r="D2586" s="1" t="s">
        <v>9411</v>
      </c>
      <c r="E2586" s="1" t="s">
        <v>9412</v>
      </c>
      <c r="F2586" s="2" t="s">
        <v>9413</v>
      </c>
      <c r="G2586" s="2" t="s">
        <v>604</v>
      </c>
      <c r="H2586" s="2" t="s">
        <v>81</v>
      </c>
      <c r="I2586" s="2" t="s">
        <v>4139</v>
      </c>
      <c r="J2586" s="2" t="s">
        <v>9414</v>
      </c>
      <c r="K2586" s="16" t="s">
        <v>13177</v>
      </c>
      <c r="L2586" s="17"/>
    </row>
    <row r="2587" spans="1:12" hidden="1" x14ac:dyDescent="0.3">
      <c r="A2587" s="2" t="s">
        <v>4139</v>
      </c>
      <c r="B2587" s="2" t="s">
        <v>9415</v>
      </c>
      <c r="C2587" s="3">
        <v>28369</v>
      </c>
      <c r="D2587" s="1" t="s">
        <v>9416</v>
      </c>
      <c r="E2587" s="1" t="s">
        <v>9417</v>
      </c>
      <c r="F2587" s="2" t="s">
        <v>4143</v>
      </c>
      <c r="G2587" s="2" t="s">
        <v>9418</v>
      </c>
      <c r="H2587" s="2" t="s">
        <v>10</v>
      </c>
      <c r="I2587" s="2" t="s">
        <v>4139</v>
      </c>
      <c r="J2587" s="2" t="s">
        <v>9419</v>
      </c>
      <c r="K2587" s="14"/>
      <c r="L2587" s="6"/>
    </row>
    <row r="2588" spans="1:12" ht="27.6" hidden="1" x14ac:dyDescent="0.3">
      <c r="A2588" s="2" t="s">
        <v>4386</v>
      </c>
      <c r="B2588" s="2" t="s">
        <v>9420</v>
      </c>
      <c r="C2588" s="3">
        <v>24516</v>
      </c>
      <c r="D2588" s="1" t="s">
        <v>9421</v>
      </c>
      <c r="E2588" s="1" t="s">
        <v>9422</v>
      </c>
      <c r="F2588" s="2" t="s">
        <v>7095</v>
      </c>
      <c r="G2588" s="2" t="s">
        <v>9423</v>
      </c>
      <c r="H2588" s="2" t="s">
        <v>10</v>
      </c>
      <c r="I2588" s="2" t="s">
        <v>4386</v>
      </c>
      <c r="J2588" s="2" t="s">
        <v>9424</v>
      </c>
      <c r="K2588" s="20" t="s">
        <v>13177</v>
      </c>
      <c r="L2588" s="12"/>
    </row>
    <row r="2589" spans="1:12" ht="27.6" hidden="1" x14ac:dyDescent="0.3">
      <c r="A2589" s="2" t="s">
        <v>4386</v>
      </c>
      <c r="B2589" s="2" t="s">
        <v>9425</v>
      </c>
      <c r="C2589" s="3">
        <v>26516</v>
      </c>
      <c r="D2589" s="1" t="s">
        <v>9426</v>
      </c>
      <c r="E2589" s="1" t="s">
        <v>9427</v>
      </c>
      <c r="F2589" s="2" t="s">
        <v>7088</v>
      </c>
      <c r="G2589" s="2" t="s">
        <v>37</v>
      </c>
      <c r="H2589" s="2" t="s">
        <v>103</v>
      </c>
      <c r="I2589" s="2" t="s">
        <v>4386</v>
      </c>
      <c r="J2589" s="2" t="s">
        <v>406</v>
      </c>
      <c r="K2589" s="13" t="s">
        <v>13177</v>
      </c>
      <c r="L2589" s="7"/>
    </row>
    <row r="2590" spans="1:12" ht="27.6" hidden="1" x14ac:dyDescent="0.3">
      <c r="A2590" s="2" t="s">
        <v>4386</v>
      </c>
      <c r="B2590" s="2" t="s">
        <v>9428</v>
      </c>
      <c r="C2590" s="3">
        <v>33309</v>
      </c>
      <c r="D2590" s="1" t="s">
        <v>9429</v>
      </c>
      <c r="E2590" s="1" t="s">
        <v>9430</v>
      </c>
      <c r="F2590" s="2" t="s">
        <v>7095</v>
      </c>
      <c r="G2590" s="2" t="s">
        <v>9431</v>
      </c>
      <c r="H2590" s="2" t="s">
        <v>10</v>
      </c>
      <c r="I2590" s="2" t="s">
        <v>4386</v>
      </c>
      <c r="J2590" s="2" t="s">
        <v>9432</v>
      </c>
      <c r="K2590" s="13" t="s">
        <v>13177</v>
      </c>
      <c r="L2590" s="7"/>
    </row>
    <row r="2591" spans="1:12" ht="27.6" hidden="1" x14ac:dyDescent="0.3">
      <c r="A2591" s="2" t="s">
        <v>4386</v>
      </c>
      <c r="B2591" s="2" t="s">
        <v>9433</v>
      </c>
      <c r="C2591" s="3">
        <v>28769</v>
      </c>
      <c r="D2591" s="1" t="s">
        <v>9434</v>
      </c>
      <c r="E2591" s="1" t="s">
        <v>9435</v>
      </c>
      <c r="F2591" s="2" t="s">
        <v>5053</v>
      </c>
      <c r="G2591" s="2" t="s">
        <v>982</v>
      </c>
      <c r="H2591" s="2" t="s">
        <v>10</v>
      </c>
      <c r="I2591" s="2" t="s">
        <v>4386</v>
      </c>
      <c r="J2591" s="2" t="s">
        <v>9436</v>
      </c>
      <c r="K2591" s="13" t="s">
        <v>13177</v>
      </c>
      <c r="L2591" s="7"/>
    </row>
    <row r="2592" spans="1:12" ht="27.6" hidden="1" x14ac:dyDescent="0.3">
      <c r="A2592" s="2" t="s">
        <v>4386</v>
      </c>
      <c r="B2592" s="2" t="s">
        <v>9437</v>
      </c>
      <c r="C2592" s="3">
        <v>33164</v>
      </c>
      <c r="D2592" s="1" t="s">
        <v>9438</v>
      </c>
      <c r="E2592" s="1" t="s">
        <v>9439</v>
      </c>
      <c r="F2592" s="2" t="s">
        <v>7088</v>
      </c>
      <c r="G2592" s="2" t="s">
        <v>230</v>
      </c>
      <c r="H2592" s="2" t="s">
        <v>10</v>
      </c>
      <c r="I2592" s="2" t="s">
        <v>4386</v>
      </c>
      <c r="J2592" s="2" t="s">
        <v>270</v>
      </c>
      <c r="K2592" s="13" t="s">
        <v>13177</v>
      </c>
      <c r="L2592" s="7"/>
    </row>
    <row r="2593" spans="1:12" ht="27.6" hidden="1" x14ac:dyDescent="0.3">
      <c r="A2593" s="2" t="s">
        <v>4386</v>
      </c>
      <c r="B2593" s="2" t="s">
        <v>9440</v>
      </c>
      <c r="C2593" s="3">
        <v>31219</v>
      </c>
      <c r="D2593" s="1" t="s">
        <v>9441</v>
      </c>
      <c r="E2593" s="1" t="s">
        <v>9442</v>
      </c>
      <c r="F2593" s="2" t="s">
        <v>7088</v>
      </c>
      <c r="G2593" s="2" t="s">
        <v>258</v>
      </c>
      <c r="H2593" s="2" t="s">
        <v>81</v>
      </c>
      <c r="I2593" s="2" t="s">
        <v>4386</v>
      </c>
      <c r="J2593" s="2" t="s">
        <v>259</v>
      </c>
      <c r="K2593" s="13" t="s">
        <v>13177</v>
      </c>
      <c r="L2593" s="7"/>
    </row>
    <row r="2594" spans="1:12" ht="27.6" hidden="1" x14ac:dyDescent="0.3">
      <c r="A2594" s="2" t="s">
        <v>4386</v>
      </c>
      <c r="B2594" s="2" t="s">
        <v>9443</v>
      </c>
      <c r="C2594" s="3">
        <v>28043</v>
      </c>
      <c r="D2594" s="1" t="s">
        <v>9444</v>
      </c>
      <c r="E2594" s="1" t="s">
        <v>9445</v>
      </c>
      <c r="F2594" s="2" t="s">
        <v>7088</v>
      </c>
      <c r="G2594" s="2" t="s">
        <v>258</v>
      </c>
      <c r="H2594" s="2" t="s">
        <v>103</v>
      </c>
      <c r="I2594" s="2" t="s">
        <v>4386</v>
      </c>
      <c r="J2594" s="2" t="s">
        <v>259</v>
      </c>
      <c r="K2594" s="13" t="s">
        <v>13177</v>
      </c>
      <c r="L2594" s="7"/>
    </row>
    <row r="2595" spans="1:12" ht="27.6" hidden="1" x14ac:dyDescent="0.3">
      <c r="A2595" s="2" t="s">
        <v>4386</v>
      </c>
      <c r="B2595" s="2" t="s">
        <v>9446</v>
      </c>
      <c r="C2595" s="3">
        <v>38186</v>
      </c>
      <c r="D2595" s="1" t="s">
        <v>9447</v>
      </c>
      <c r="E2595" s="1" t="s">
        <v>9448</v>
      </c>
      <c r="F2595" s="2" t="s">
        <v>6831</v>
      </c>
      <c r="G2595" s="2" t="s">
        <v>258</v>
      </c>
      <c r="H2595" s="2" t="s">
        <v>562</v>
      </c>
      <c r="I2595" s="2" t="s">
        <v>4386</v>
      </c>
      <c r="J2595" s="2" t="s">
        <v>259</v>
      </c>
      <c r="K2595" s="13" t="s">
        <v>13177</v>
      </c>
      <c r="L2595" s="7"/>
    </row>
    <row r="2596" spans="1:12" ht="27.6" hidden="1" x14ac:dyDescent="0.3">
      <c r="A2596" s="2" t="s">
        <v>4386</v>
      </c>
      <c r="B2596" s="2" t="s">
        <v>9449</v>
      </c>
      <c r="C2596" s="3">
        <v>28135</v>
      </c>
      <c r="D2596" s="1" t="s">
        <v>9450</v>
      </c>
      <c r="E2596" s="1" t="s">
        <v>9451</v>
      </c>
      <c r="F2596" s="2" t="s">
        <v>7088</v>
      </c>
      <c r="G2596" s="2" t="s">
        <v>283</v>
      </c>
      <c r="H2596" s="2" t="s">
        <v>10</v>
      </c>
      <c r="I2596" s="2" t="s">
        <v>4386</v>
      </c>
      <c r="J2596" s="2" t="s">
        <v>284</v>
      </c>
      <c r="K2596" s="13" t="s">
        <v>13177</v>
      </c>
      <c r="L2596" s="7"/>
    </row>
    <row r="2597" spans="1:12" ht="27.6" hidden="1" x14ac:dyDescent="0.3">
      <c r="A2597" s="2" t="s">
        <v>4386</v>
      </c>
      <c r="B2597" s="2" t="s">
        <v>9452</v>
      </c>
      <c r="C2597" s="3">
        <v>22031</v>
      </c>
      <c r="D2597" s="1" t="s">
        <v>9453</v>
      </c>
      <c r="E2597" s="1" t="s">
        <v>9454</v>
      </c>
      <c r="F2597" s="2" t="s">
        <v>7088</v>
      </c>
      <c r="G2597" s="2" t="s">
        <v>333</v>
      </c>
      <c r="H2597" s="2" t="s">
        <v>10</v>
      </c>
      <c r="I2597" s="2" t="s">
        <v>4386</v>
      </c>
      <c r="J2597" s="2" t="s">
        <v>1059</v>
      </c>
      <c r="K2597" s="13" t="s">
        <v>13177</v>
      </c>
      <c r="L2597" s="7"/>
    </row>
    <row r="2598" spans="1:12" ht="27.6" hidden="1" x14ac:dyDescent="0.3">
      <c r="A2598" s="2" t="s">
        <v>4386</v>
      </c>
      <c r="B2598" s="2" t="s">
        <v>9455</v>
      </c>
      <c r="C2598" s="3">
        <v>38161</v>
      </c>
      <c r="D2598" s="1" t="s">
        <v>9456</v>
      </c>
      <c r="E2598" s="1" t="s">
        <v>9457</v>
      </c>
      <c r="F2598" s="2" t="s">
        <v>7088</v>
      </c>
      <c r="G2598" s="2" t="s">
        <v>696</v>
      </c>
      <c r="H2598" s="2" t="s">
        <v>562</v>
      </c>
      <c r="I2598" s="2" t="s">
        <v>4386</v>
      </c>
      <c r="J2598" s="2" t="s">
        <v>697</v>
      </c>
      <c r="K2598" s="13" t="s">
        <v>13177</v>
      </c>
      <c r="L2598" s="7"/>
    </row>
    <row r="2599" spans="1:12" ht="27.6" hidden="1" x14ac:dyDescent="0.3">
      <c r="A2599" s="2" t="s">
        <v>4386</v>
      </c>
      <c r="B2599" s="2" t="s">
        <v>9458</v>
      </c>
      <c r="C2599" s="3">
        <v>34092</v>
      </c>
      <c r="D2599" s="1" t="s">
        <v>9459</v>
      </c>
      <c r="E2599" s="1" t="s">
        <v>9460</v>
      </c>
      <c r="F2599" s="2" t="s">
        <v>7088</v>
      </c>
      <c r="G2599" s="2" t="s">
        <v>696</v>
      </c>
      <c r="H2599" s="2" t="s">
        <v>10</v>
      </c>
      <c r="I2599" s="2" t="s">
        <v>4386</v>
      </c>
      <c r="J2599" s="2" t="s">
        <v>697</v>
      </c>
      <c r="K2599" s="13" t="s">
        <v>13177</v>
      </c>
      <c r="L2599" s="7"/>
    </row>
    <row r="2600" spans="1:12" ht="27.6" hidden="1" x14ac:dyDescent="0.3">
      <c r="A2600" s="2" t="s">
        <v>4386</v>
      </c>
      <c r="B2600" s="2" t="s">
        <v>9461</v>
      </c>
      <c r="C2600" s="3">
        <v>30069</v>
      </c>
      <c r="D2600" s="1" t="s">
        <v>9462</v>
      </c>
      <c r="E2600" s="1" t="s">
        <v>9463</v>
      </c>
      <c r="F2600" s="2" t="s">
        <v>7088</v>
      </c>
      <c r="G2600" s="2" t="s">
        <v>2594</v>
      </c>
      <c r="H2600" s="2" t="s">
        <v>10</v>
      </c>
      <c r="I2600" s="2" t="s">
        <v>4386</v>
      </c>
      <c r="J2600" s="2" t="s">
        <v>9464</v>
      </c>
      <c r="K2600" s="13" t="s">
        <v>13177</v>
      </c>
      <c r="L2600" s="7"/>
    </row>
    <row r="2601" spans="1:12" ht="27.6" hidden="1" x14ac:dyDescent="0.3">
      <c r="A2601" s="2" t="s">
        <v>4386</v>
      </c>
      <c r="B2601" s="2" t="s">
        <v>9465</v>
      </c>
      <c r="C2601" s="3">
        <v>24230</v>
      </c>
      <c r="D2601" s="1" t="s">
        <v>9466</v>
      </c>
      <c r="E2601" s="1" t="s">
        <v>9467</v>
      </c>
      <c r="F2601" s="2" t="s">
        <v>9468</v>
      </c>
      <c r="G2601" s="2" t="s">
        <v>2748</v>
      </c>
      <c r="H2601" s="2" t="s">
        <v>10</v>
      </c>
      <c r="I2601" s="2" t="s">
        <v>4386</v>
      </c>
      <c r="J2601" s="2" t="s">
        <v>3623</v>
      </c>
      <c r="K2601" s="13" t="s">
        <v>13177</v>
      </c>
      <c r="L2601" s="7"/>
    </row>
    <row r="2602" spans="1:12" ht="27.6" hidden="1" x14ac:dyDescent="0.3">
      <c r="A2602" s="2" t="s">
        <v>4386</v>
      </c>
      <c r="B2602" s="2" t="s">
        <v>9469</v>
      </c>
      <c r="C2602" s="3">
        <v>32634</v>
      </c>
      <c r="D2602" s="1" t="s">
        <v>9470</v>
      </c>
      <c r="E2602" s="1" t="s">
        <v>9471</v>
      </c>
      <c r="F2602" s="2" t="s">
        <v>9468</v>
      </c>
      <c r="G2602" s="2" t="s">
        <v>2336</v>
      </c>
      <c r="H2602" s="2" t="s">
        <v>103</v>
      </c>
      <c r="I2602" s="2" t="s">
        <v>4386</v>
      </c>
      <c r="J2602" s="2" t="s">
        <v>4296</v>
      </c>
      <c r="K2602" s="13" t="s">
        <v>13177</v>
      </c>
      <c r="L2602" s="7"/>
    </row>
    <row r="2603" spans="1:12" ht="27.6" hidden="1" x14ac:dyDescent="0.3">
      <c r="A2603" s="2" t="s">
        <v>4386</v>
      </c>
      <c r="B2603" s="2" t="s">
        <v>9472</v>
      </c>
      <c r="C2603" s="3">
        <v>32467</v>
      </c>
      <c r="D2603" s="1" t="s">
        <v>9473</v>
      </c>
      <c r="E2603" s="1" t="s">
        <v>9474</v>
      </c>
      <c r="F2603" s="2" t="s">
        <v>5626</v>
      </c>
      <c r="G2603" s="2" t="s">
        <v>2336</v>
      </c>
      <c r="H2603" s="2" t="s">
        <v>81</v>
      </c>
      <c r="I2603" s="2" t="s">
        <v>4386</v>
      </c>
      <c r="J2603" s="2" t="s">
        <v>4296</v>
      </c>
      <c r="K2603" s="13" t="s">
        <v>13177</v>
      </c>
      <c r="L2603" s="7"/>
    </row>
    <row r="2604" spans="1:12" ht="27.6" hidden="1" x14ac:dyDescent="0.3">
      <c r="A2604" s="2" t="s">
        <v>4386</v>
      </c>
      <c r="B2604" s="2" t="s">
        <v>9475</v>
      </c>
      <c r="C2604" s="3">
        <v>27409</v>
      </c>
      <c r="D2604" s="1" t="s">
        <v>9476</v>
      </c>
      <c r="E2604" s="1" t="s">
        <v>9477</v>
      </c>
      <c r="F2604" s="2" t="s">
        <v>9468</v>
      </c>
      <c r="G2604" s="2" t="s">
        <v>9478</v>
      </c>
      <c r="H2604" s="2" t="s">
        <v>10</v>
      </c>
      <c r="I2604" s="2" t="s">
        <v>4386</v>
      </c>
      <c r="J2604" s="2" t="s">
        <v>9479</v>
      </c>
      <c r="K2604" s="13" t="s">
        <v>13177</v>
      </c>
      <c r="L2604" s="7"/>
    </row>
    <row r="2605" spans="1:12" ht="27.6" hidden="1" x14ac:dyDescent="0.3">
      <c r="A2605" s="2" t="s">
        <v>4386</v>
      </c>
      <c r="B2605" s="2" t="s">
        <v>9480</v>
      </c>
      <c r="C2605" s="3">
        <v>31426</v>
      </c>
      <c r="D2605" s="1" t="s">
        <v>9481</v>
      </c>
      <c r="E2605" s="1" t="s">
        <v>9482</v>
      </c>
      <c r="F2605" s="2" t="s">
        <v>9468</v>
      </c>
      <c r="G2605" s="2" t="s">
        <v>1217</v>
      </c>
      <c r="H2605" s="2" t="s">
        <v>10</v>
      </c>
      <c r="I2605" s="2" t="s">
        <v>4386</v>
      </c>
      <c r="J2605" s="2" t="s">
        <v>9483</v>
      </c>
      <c r="K2605" s="13" t="s">
        <v>13177</v>
      </c>
      <c r="L2605" s="7"/>
    </row>
    <row r="2606" spans="1:12" ht="27.6" hidden="1" x14ac:dyDescent="0.3">
      <c r="A2606" s="2" t="s">
        <v>4386</v>
      </c>
      <c r="B2606" s="2" t="s">
        <v>9484</v>
      </c>
      <c r="C2606" s="3">
        <v>30100</v>
      </c>
      <c r="D2606" s="1" t="s">
        <v>9485</v>
      </c>
      <c r="E2606" s="1" t="s">
        <v>9486</v>
      </c>
      <c r="F2606" s="2" t="s">
        <v>9468</v>
      </c>
      <c r="G2606" s="2" t="s">
        <v>982</v>
      </c>
      <c r="H2606" s="2" t="s">
        <v>10</v>
      </c>
      <c r="I2606" s="2" t="s">
        <v>4386</v>
      </c>
      <c r="J2606" s="2" t="s">
        <v>9436</v>
      </c>
      <c r="K2606" s="13" t="s">
        <v>13177</v>
      </c>
      <c r="L2606" s="7"/>
    </row>
    <row r="2607" spans="1:12" ht="27.6" hidden="1" x14ac:dyDescent="0.3">
      <c r="A2607" s="2" t="s">
        <v>4386</v>
      </c>
      <c r="B2607" s="2" t="s">
        <v>9487</v>
      </c>
      <c r="C2607" s="3">
        <v>26694</v>
      </c>
      <c r="D2607" s="1" t="s">
        <v>9488</v>
      </c>
      <c r="E2607" s="1" t="s">
        <v>9489</v>
      </c>
      <c r="F2607" s="2" t="s">
        <v>9468</v>
      </c>
      <c r="G2607" s="2" t="s">
        <v>627</v>
      </c>
      <c r="H2607" s="2" t="s">
        <v>10</v>
      </c>
      <c r="I2607" s="2" t="s">
        <v>4386</v>
      </c>
      <c r="J2607" s="2" t="s">
        <v>628</v>
      </c>
      <c r="K2607" s="13" t="s">
        <v>13177</v>
      </c>
      <c r="L2607" s="7"/>
    </row>
    <row r="2608" spans="1:12" ht="27.6" hidden="1" x14ac:dyDescent="0.3">
      <c r="A2608" s="2" t="s">
        <v>4386</v>
      </c>
      <c r="B2608" s="2" t="s">
        <v>9490</v>
      </c>
      <c r="C2608" s="3">
        <v>26001</v>
      </c>
      <c r="D2608" s="1" t="s">
        <v>9491</v>
      </c>
      <c r="E2608" s="1" t="s">
        <v>9492</v>
      </c>
      <c r="F2608" s="2" t="s">
        <v>9468</v>
      </c>
      <c r="G2608" s="2" t="s">
        <v>739</v>
      </c>
      <c r="H2608" s="2" t="s">
        <v>10</v>
      </c>
      <c r="I2608" s="2" t="s">
        <v>4386</v>
      </c>
      <c r="J2608" s="2" t="s">
        <v>740</v>
      </c>
      <c r="K2608" s="13" t="s">
        <v>13177</v>
      </c>
      <c r="L2608" s="7"/>
    </row>
    <row r="2609" spans="1:12" ht="27.6" hidden="1" x14ac:dyDescent="0.3">
      <c r="A2609" s="2" t="s">
        <v>4386</v>
      </c>
      <c r="B2609" s="2" t="s">
        <v>9493</v>
      </c>
      <c r="C2609" s="3">
        <v>30229</v>
      </c>
      <c r="D2609" s="1" t="s">
        <v>9494</v>
      </c>
      <c r="E2609" s="1" t="s">
        <v>9495</v>
      </c>
      <c r="F2609" s="2" t="s">
        <v>9468</v>
      </c>
      <c r="G2609" s="2" t="s">
        <v>6588</v>
      </c>
      <c r="H2609" s="2" t="s">
        <v>10</v>
      </c>
      <c r="I2609" s="2" t="s">
        <v>4386</v>
      </c>
      <c r="J2609" s="2" t="s">
        <v>7239</v>
      </c>
      <c r="K2609" s="13" t="s">
        <v>13177</v>
      </c>
      <c r="L2609" s="7"/>
    </row>
    <row r="2610" spans="1:12" ht="27.6" hidden="1" x14ac:dyDescent="0.3">
      <c r="A2610" s="2" t="s">
        <v>4386</v>
      </c>
      <c r="B2610" s="2" t="s">
        <v>9496</v>
      </c>
      <c r="C2610" s="3">
        <v>30456</v>
      </c>
      <c r="D2610" s="1" t="s">
        <v>9497</v>
      </c>
      <c r="E2610" s="1" t="s">
        <v>9498</v>
      </c>
      <c r="F2610" s="2" t="s">
        <v>9468</v>
      </c>
      <c r="G2610" s="2" t="s">
        <v>2977</v>
      </c>
      <c r="H2610" s="2" t="s">
        <v>10</v>
      </c>
      <c r="I2610" s="2" t="s">
        <v>4386</v>
      </c>
      <c r="J2610" s="2" t="s">
        <v>9499</v>
      </c>
      <c r="K2610" s="13" t="s">
        <v>13177</v>
      </c>
      <c r="L2610" s="7"/>
    </row>
    <row r="2611" spans="1:12" ht="27.6" hidden="1" x14ac:dyDescent="0.3">
      <c r="A2611" s="2" t="s">
        <v>4386</v>
      </c>
      <c r="B2611" s="2" t="s">
        <v>9500</v>
      </c>
      <c r="C2611" s="3">
        <v>39049</v>
      </c>
      <c r="D2611" s="1" t="s">
        <v>9501</v>
      </c>
      <c r="E2611" s="1" t="s">
        <v>9502</v>
      </c>
      <c r="F2611" s="2" t="s">
        <v>9468</v>
      </c>
      <c r="G2611" s="2" t="s">
        <v>2283</v>
      </c>
      <c r="H2611" s="2" t="s">
        <v>10</v>
      </c>
      <c r="I2611" s="2" t="s">
        <v>4386</v>
      </c>
      <c r="J2611" s="2" t="s">
        <v>2284</v>
      </c>
      <c r="K2611" s="13" t="s">
        <v>13177</v>
      </c>
      <c r="L2611" s="7"/>
    </row>
    <row r="2612" spans="1:12" ht="27.6" hidden="1" x14ac:dyDescent="0.3">
      <c r="A2612" s="2" t="s">
        <v>4386</v>
      </c>
      <c r="B2612" s="2" t="s">
        <v>9503</v>
      </c>
      <c r="C2612" s="3">
        <v>31206</v>
      </c>
      <c r="D2612" s="1" t="s">
        <v>9504</v>
      </c>
      <c r="E2612" s="1" t="s">
        <v>9505</v>
      </c>
      <c r="F2612" s="2" t="s">
        <v>9506</v>
      </c>
      <c r="G2612" s="2" t="s">
        <v>9247</v>
      </c>
      <c r="H2612" s="2" t="s">
        <v>10</v>
      </c>
      <c r="I2612" s="2" t="s">
        <v>4386</v>
      </c>
      <c r="J2612" s="2" t="s">
        <v>9507</v>
      </c>
      <c r="K2612" s="13" t="s">
        <v>13177</v>
      </c>
      <c r="L2612" s="7"/>
    </row>
    <row r="2613" spans="1:12" ht="27.6" hidden="1" x14ac:dyDescent="0.3">
      <c r="A2613" s="2" t="s">
        <v>4386</v>
      </c>
      <c r="B2613" s="2" t="s">
        <v>9508</v>
      </c>
      <c r="C2613" s="3">
        <v>31038</v>
      </c>
      <c r="D2613" s="1" t="s">
        <v>9509</v>
      </c>
      <c r="E2613" s="1" t="s">
        <v>9510</v>
      </c>
      <c r="F2613" s="2" t="s">
        <v>9506</v>
      </c>
      <c r="G2613" s="2" t="s">
        <v>9133</v>
      </c>
      <c r="H2613" s="2" t="s">
        <v>10</v>
      </c>
      <c r="I2613" s="2" t="s">
        <v>4386</v>
      </c>
      <c r="J2613" s="2" t="s">
        <v>9511</v>
      </c>
      <c r="K2613" s="13" t="s">
        <v>13177</v>
      </c>
      <c r="L2613" s="7"/>
    </row>
    <row r="2614" spans="1:12" ht="27.6" hidden="1" x14ac:dyDescent="0.3">
      <c r="A2614" s="2" t="s">
        <v>4386</v>
      </c>
      <c r="B2614" s="2" t="s">
        <v>9512</v>
      </c>
      <c r="C2614" s="3">
        <v>37234</v>
      </c>
      <c r="D2614" s="1" t="s">
        <v>9513</v>
      </c>
      <c r="E2614" s="1" t="s">
        <v>9514</v>
      </c>
      <c r="F2614" s="2" t="s">
        <v>5626</v>
      </c>
      <c r="G2614" s="2" t="s">
        <v>2566</v>
      </c>
      <c r="H2614" s="2" t="s">
        <v>9094</v>
      </c>
      <c r="I2614" s="2" t="s">
        <v>4386</v>
      </c>
      <c r="J2614" s="2" t="s">
        <v>9515</v>
      </c>
      <c r="K2614" s="13" t="s">
        <v>13177</v>
      </c>
      <c r="L2614" s="7"/>
    </row>
    <row r="2615" spans="1:12" ht="27.6" hidden="1" x14ac:dyDescent="0.3">
      <c r="A2615" s="2" t="s">
        <v>4386</v>
      </c>
      <c r="B2615" s="2" t="s">
        <v>9516</v>
      </c>
      <c r="C2615" s="3">
        <v>33328</v>
      </c>
      <c r="D2615" s="1" t="s">
        <v>9517</v>
      </c>
      <c r="E2615" s="1" t="s">
        <v>9518</v>
      </c>
      <c r="F2615" s="2" t="s">
        <v>9468</v>
      </c>
      <c r="G2615" s="2" t="s">
        <v>1009</v>
      </c>
      <c r="H2615" s="2" t="s">
        <v>10</v>
      </c>
      <c r="I2615" s="2" t="s">
        <v>4386</v>
      </c>
      <c r="J2615" s="2" t="s">
        <v>2388</v>
      </c>
      <c r="K2615" s="13" t="s">
        <v>13177</v>
      </c>
      <c r="L2615" s="7"/>
    </row>
    <row r="2616" spans="1:12" ht="27.6" hidden="1" x14ac:dyDescent="0.3">
      <c r="A2616" s="2" t="s">
        <v>4386</v>
      </c>
      <c r="B2616" s="2" t="s">
        <v>9519</v>
      </c>
      <c r="C2616" s="3">
        <v>36076</v>
      </c>
      <c r="D2616" s="1" t="s">
        <v>9520</v>
      </c>
      <c r="E2616" s="1" t="s">
        <v>9521</v>
      </c>
      <c r="F2616" s="2" t="s">
        <v>9468</v>
      </c>
      <c r="G2616" s="2" t="s">
        <v>780</v>
      </c>
      <c r="H2616" s="2" t="s">
        <v>10</v>
      </c>
      <c r="I2616" s="2" t="s">
        <v>4386</v>
      </c>
      <c r="J2616" s="2" t="s">
        <v>9522</v>
      </c>
      <c r="K2616" s="13" t="s">
        <v>13177</v>
      </c>
      <c r="L2616" s="7"/>
    </row>
    <row r="2617" spans="1:12" ht="27.6" hidden="1" x14ac:dyDescent="0.3">
      <c r="A2617" s="2" t="s">
        <v>4386</v>
      </c>
      <c r="B2617" s="2" t="s">
        <v>9523</v>
      </c>
      <c r="C2617" s="3">
        <v>31689</v>
      </c>
      <c r="D2617" s="1" t="s">
        <v>7760</v>
      </c>
      <c r="E2617" s="1" t="s">
        <v>9524</v>
      </c>
      <c r="F2617" s="2" t="s">
        <v>7088</v>
      </c>
      <c r="G2617" s="2" t="s">
        <v>604</v>
      </c>
      <c r="H2617" s="2" t="s">
        <v>10</v>
      </c>
      <c r="I2617" s="2" t="s">
        <v>4386</v>
      </c>
      <c r="J2617" s="2" t="s">
        <v>9525</v>
      </c>
      <c r="K2617" s="13" t="s">
        <v>13177</v>
      </c>
      <c r="L2617" s="7"/>
    </row>
    <row r="2618" spans="1:12" ht="27.6" hidden="1" x14ac:dyDescent="0.3">
      <c r="A2618" s="2" t="s">
        <v>4386</v>
      </c>
      <c r="B2618" s="2" t="s">
        <v>9526</v>
      </c>
      <c r="C2618" s="3">
        <v>35883</v>
      </c>
      <c r="D2618" s="1" t="s">
        <v>9527</v>
      </c>
      <c r="E2618" s="1" t="s">
        <v>9528</v>
      </c>
      <c r="F2618" s="2" t="s">
        <v>7088</v>
      </c>
      <c r="G2618" s="2" t="s">
        <v>211</v>
      </c>
      <c r="H2618" s="2" t="s">
        <v>10</v>
      </c>
      <c r="I2618" s="2" t="s">
        <v>4386</v>
      </c>
      <c r="J2618" s="2" t="s">
        <v>9529</v>
      </c>
      <c r="K2618" s="13" t="s">
        <v>13177</v>
      </c>
      <c r="L2618" s="7"/>
    </row>
    <row r="2619" spans="1:12" ht="27.6" hidden="1" x14ac:dyDescent="0.3">
      <c r="A2619" s="2" t="s">
        <v>4386</v>
      </c>
      <c r="B2619" s="2" t="s">
        <v>9530</v>
      </c>
      <c r="C2619" s="3">
        <v>32105</v>
      </c>
      <c r="D2619" s="1" t="s">
        <v>9531</v>
      </c>
      <c r="E2619" s="1" t="s">
        <v>9532</v>
      </c>
      <c r="F2619" s="2" t="s">
        <v>9506</v>
      </c>
      <c r="G2619" s="2" t="s">
        <v>9533</v>
      </c>
      <c r="H2619" s="2" t="s">
        <v>10</v>
      </c>
      <c r="I2619" s="2" t="s">
        <v>4386</v>
      </c>
      <c r="J2619" s="2" t="s">
        <v>9534</v>
      </c>
      <c r="K2619" s="13" t="s">
        <v>13177</v>
      </c>
      <c r="L2619" s="7"/>
    </row>
    <row r="2620" spans="1:12" ht="27.6" hidden="1" x14ac:dyDescent="0.3">
      <c r="A2620" s="2" t="s">
        <v>4386</v>
      </c>
      <c r="B2620" s="2" t="s">
        <v>9535</v>
      </c>
      <c r="C2620" s="3">
        <v>17314</v>
      </c>
      <c r="D2620" s="1" t="s">
        <v>9536</v>
      </c>
      <c r="E2620" s="1" t="s">
        <v>9537</v>
      </c>
      <c r="F2620" s="2" t="s">
        <v>9506</v>
      </c>
      <c r="G2620" s="2" t="s">
        <v>9202</v>
      </c>
      <c r="H2620" s="2" t="s">
        <v>9094</v>
      </c>
      <c r="I2620" s="2" t="s">
        <v>4386</v>
      </c>
      <c r="J2620" s="2" t="s">
        <v>9538</v>
      </c>
      <c r="K2620" s="13" t="s">
        <v>13177</v>
      </c>
      <c r="L2620" s="7"/>
    </row>
    <row r="2621" spans="1:12" ht="27.6" hidden="1" x14ac:dyDescent="0.3">
      <c r="A2621" s="2" t="s">
        <v>4386</v>
      </c>
      <c r="B2621" s="2" t="s">
        <v>9539</v>
      </c>
      <c r="C2621" s="3">
        <v>34912</v>
      </c>
      <c r="D2621" s="1" t="s">
        <v>9540</v>
      </c>
      <c r="E2621" s="1" t="s">
        <v>9541</v>
      </c>
      <c r="F2621" s="2" t="s">
        <v>9506</v>
      </c>
      <c r="G2621" s="2" t="s">
        <v>9202</v>
      </c>
      <c r="H2621" s="2" t="s">
        <v>8058</v>
      </c>
      <c r="I2621" s="2" t="s">
        <v>4386</v>
      </c>
      <c r="J2621" s="2" t="s">
        <v>9538</v>
      </c>
      <c r="K2621" s="13" t="s">
        <v>13177</v>
      </c>
      <c r="L2621" s="7"/>
    </row>
    <row r="2622" spans="1:12" ht="27.6" hidden="1" x14ac:dyDescent="0.3">
      <c r="A2622" s="2" t="s">
        <v>4386</v>
      </c>
      <c r="B2622" s="2" t="s">
        <v>9542</v>
      </c>
      <c r="C2622" s="3">
        <v>36869</v>
      </c>
      <c r="D2622" s="1" t="s">
        <v>9543</v>
      </c>
      <c r="E2622" s="1" t="s">
        <v>9544</v>
      </c>
      <c r="F2622" s="2" t="s">
        <v>9506</v>
      </c>
      <c r="G2622" s="2" t="s">
        <v>9202</v>
      </c>
      <c r="H2622" s="2" t="s">
        <v>5034</v>
      </c>
      <c r="I2622" s="2" t="s">
        <v>4386</v>
      </c>
      <c r="J2622" s="2" t="s">
        <v>9538</v>
      </c>
      <c r="K2622" s="13" t="s">
        <v>13177</v>
      </c>
      <c r="L2622" s="7"/>
    </row>
    <row r="2623" spans="1:12" ht="27.6" hidden="1" x14ac:dyDescent="0.3">
      <c r="A2623" s="2" t="s">
        <v>4386</v>
      </c>
      <c r="B2623" s="2" t="s">
        <v>9545</v>
      </c>
      <c r="C2623" s="3">
        <v>26126</v>
      </c>
      <c r="D2623" s="1" t="s">
        <v>9546</v>
      </c>
      <c r="E2623" s="1" t="s">
        <v>9547</v>
      </c>
      <c r="F2623" s="2" t="s">
        <v>7088</v>
      </c>
      <c r="G2623" s="2" t="s">
        <v>292</v>
      </c>
      <c r="H2623" s="2" t="s">
        <v>103</v>
      </c>
      <c r="I2623" s="2" t="s">
        <v>4386</v>
      </c>
      <c r="J2623" s="2" t="s">
        <v>293</v>
      </c>
      <c r="K2623" s="13" t="s">
        <v>13177</v>
      </c>
      <c r="L2623" s="7"/>
    </row>
    <row r="2624" spans="1:12" ht="27.6" hidden="1" x14ac:dyDescent="0.3">
      <c r="A2624" s="2" t="s">
        <v>4386</v>
      </c>
      <c r="B2624" s="2" t="s">
        <v>9548</v>
      </c>
      <c r="C2624" s="3">
        <v>27000</v>
      </c>
      <c r="D2624" s="1" t="s">
        <v>9549</v>
      </c>
      <c r="E2624" s="1" t="s">
        <v>9550</v>
      </c>
      <c r="F2624" s="2" t="s">
        <v>4555</v>
      </c>
      <c r="G2624" s="2" t="s">
        <v>9551</v>
      </c>
      <c r="H2624" s="2" t="s">
        <v>103</v>
      </c>
      <c r="I2624" s="2" t="s">
        <v>4386</v>
      </c>
      <c r="J2624" s="2" t="s">
        <v>9552</v>
      </c>
      <c r="K2624" s="13" t="s">
        <v>13177</v>
      </c>
      <c r="L2624" s="7"/>
    </row>
    <row r="2625" spans="1:12" ht="27.6" hidden="1" x14ac:dyDescent="0.3">
      <c r="A2625" s="2" t="s">
        <v>4386</v>
      </c>
      <c r="B2625" s="2" t="s">
        <v>9553</v>
      </c>
      <c r="C2625" s="3">
        <v>28973</v>
      </c>
      <c r="D2625" s="1" t="s">
        <v>9554</v>
      </c>
      <c r="E2625" s="1" t="s">
        <v>9555</v>
      </c>
      <c r="F2625" s="2" t="s">
        <v>4555</v>
      </c>
      <c r="G2625" s="2" t="s">
        <v>9551</v>
      </c>
      <c r="H2625" s="2" t="s">
        <v>81</v>
      </c>
      <c r="I2625" s="2" t="s">
        <v>4386</v>
      </c>
      <c r="J2625" s="2" t="s">
        <v>9552</v>
      </c>
      <c r="K2625" s="13" t="s">
        <v>13177</v>
      </c>
      <c r="L2625" s="7"/>
    </row>
    <row r="2626" spans="1:12" ht="27.6" hidden="1" x14ac:dyDescent="0.3">
      <c r="A2626" s="2" t="s">
        <v>4386</v>
      </c>
      <c r="B2626" s="2" t="s">
        <v>9556</v>
      </c>
      <c r="C2626" s="3">
        <v>36565</v>
      </c>
      <c r="D2626" s="1" t="s">
        <v>9557</v>
      </c>
      <c r="E2626" s="1" t="s">
        <v>9558</v>
      </c>
      <c r="F2626" s="2" t="s">
        <v>5049</v>
      </c>
      <c r="G2626" s="2" t="s">
        <v>206</v>
      </c>
      <c r="H2626" s="2" t="s">
        <v>81</v>
      </c>
      <c r="I2626" s="2" t="s">
        <v>4386</v>
      </c>
      <c r="J2626" s="2" t="s">
        <v>207</v>
      </c>
      <c r="K2626" s="13" t="s">
        <v>13177</v>
      </c>
      <c r="L2626" s="7"/>
    </row>
    <row r="2627" spans="1:12" ht="27.6" hidden="1" x14ac:dyDescent="0.3">
      <c r="A2627" s="2" t="s">
        <v>4386</v>
      </c>
      <c r="B2627" s="2" t="s">
        <v>9559</v>
      </c>
      <c r="C2627" s="3">
        <v>30938</v>
      </c>
      <c r="D2627" s="1" t="s">
        <v>9560</v>
      </c>
      <c r="E2627" s="1" t="s">
        <v>9561</v>
      </c>
      <c r="F2627" s="2" t="s">
        <v>5053</v>
      </c>
      <c r="G2627" s="2" t="s">
        <v>1009</v>
      </c>
      <c r="H2627" s="2" t="s">
        <v>10</v>
      </c>
      <c r="I2627" s="2" t="s">
        <v>4386</v>
      </c>
      <c r="J2627" s="2" t="s">
        <v>2388</v>
      </c>
      <c r="K2627" s="13" t="s">
        <v>13177</v>
      </c>
      <c r="L2627" s="7"/>
    </row>
    <row r="2628" spans="1:12" ht="27.6" hidden="1" x14ac:dyDescent="0.3">
      <c r="A2628" s="2" t="s">
        <v>4386</v>
      </c>
      <c r="B2628" s="2" t="s">
        <v>9562</v>
      </c>
      <c r="C2628" s="3">
        <v>30393</v>
      </c>
      <c r="D2628" s="1" t="s">
        <v>9563</v>
      </c>
      <c r="E2628" s="1" t="s">
        <v>9564</v>
      </c>
      <c r="F2628" s="2" t="s">
        <v>7127</v>
      </c>
      <c r="G2628" s="2" t="s">
        <v>366</v>
      </c>
      <c r="H2628" s="2" t="s">
        <v>10</v>
      </c>
      <c r="I2628" s="2" t="s">
        <v>4386</v>
      </c>
      <c r="J2628" s="2" t="s">
        <v>437</v>
      </c>
      <c r="K2628" s="13" t="s">
        <v>13177</v>
      </c>
      <c r="L2628" s="7"/>
    </row>
    <row r="2629" spans="1:12" ht="55.2" hidden="1" x14ac:dyDescent="0.3">
      <c r="A2629" s="2" t="s">
        <v>4604</v>
      </c>
      <c r="B2629" s="2" t="s">
        <v>9565</v>
      </c>
      <c r="C2629" s="3">
        <v>38426</v>
      </c>
      <c r="D2629" s="1" t="s">
        <v>9566</v>
      </c>
      <c r="E2629" s="1" t="s">
        <v>9567</v>
      </c>
      <c r="F2629" s="2" t="s">
        <v>4608</v>
      </c>
      <c r="G2629" s="2" t="s">
        <v>75</v>
      </c>
      <c r="H2629" s="2" t="s">
        <v>892</v>
      </c>
      <c r="I2629" s="2" t="s">
        <v>4604</v>
      </c>
      <c r="J2629" s="2" t="s">
        <v>5183</v>
      </c>
      <c r="K2629" s="13" t="s">
        <v>13177</v>
      </c>
      <c r="L2629" s="7"/>
    </row>
    <row r="2630" spans="1:12" ht="55.2" hidden="1" x14ac:dyDescent="0.3">
      <c r="A2630" s="2" t="s">
        <v>4604</v>
      </c>
      <c r="B2630" s="2" t="s">
        <v>9568</v>
      </c>
      <c r="C2630" s="3">
        <v>32143</v>
      </c>
      <c r="D2630" s="1" t="s">
        <v>9569</v>
      </c>
      <c r="E2630" s="1" t="s">
        <v>9570</v>
      </c>
      <c r="F2630" s="2" t="s">
        <v>5698</v>
      </c>
      <c r="G2630" s="2" t="s">
        <v>1222</v>
      </c>
      <c r="H2630" s="2" t="s">
        <v>10</v>
      </c>
      <c r="I2630" s="2" t="s">
        <v>4604</v>
      </c>
      <c r="J2630" s="2" t="s">
        <v>8413</v>
      </c>
      <c r="K2630" s="13" t="s">
        <v>13177</v>
      </c>
      <c r="L2630" s="7"/>
    </row>
    <row r="2631" spans="1:12" ht="27.6" hidden="1" x14ac:dyDescent="0.3">
      <c r="A2631" s="2" t="s">
        <v>4386</v>
      </c>
      <c r="B2631" s="2" t="s">
        <v>9571</v>
      </c>
      <c r="C2631" s="3">
        <v>23906</v>
      </c>
      <c r="D2631" s="1" t="s">
        <v>9572</v>
      </c>
      <c r="E2631" s="1" t="s">
        <v>9573</v>
      </c>
      <c r="F2631" s="2" t="s">
        <v>9574</v>
      </c>
      <c r="G2631" s="2" t="s">
        <v>80</v>
      </c>
      <c r="H2631" s="2" t="s">
        <v>10</v>
      </c>
      <c r="I2631" s="2" t="s">
        <v>4386</v>
      </c>
      <c r="J2631" s="2" t="s">
        <v>845</v>
      </c>
      <c r="K2631" s="13" t="s">
        <v>13177</v>
      </c>
      <c r="L2631" s="7"/>
    </row>
    <row r="2632" spans="1:12" ht="27.6" hidden="1" x14ac:dyDescent="0.3">
      <c r="A2632" s="2" t="s">
        <v>4386</v>
      </c>
      <c r="B2632" s="2" t="s">
        <v>9575</v>
      </c>
      <c r="C2632" s="3">
        <v>32696</v>
      </c>
      <c r="D2632" s="1" t="s">
        <v>9576</v>
      </c>
      <c r="E2632" s="1" t="s">
        <v>9577</v>
      </c>
      <c r="F2632" s="2" t="s">
        <v>9574</v>
      </c>
      <c r="G2632" s="2" t="s">
        <v>12</v>
      </c>
      <c r="H2632" s="2" t="s">
        <v>10</v>
      </c>
      <c r="I2632" s="2" t="s">
        <v>4386</v>
      </c>
      <c r="J2632" s="2" t="s">
        <v>540</v>
      </c>
      <c r="K2632" s="13" t="s">
        <v>13177</v>
      </c>
      <c r="L2632" s="7"/>
    </row>
    <row r="2633" spans="1:12" ht="27.6" hidden="1" x14ac:dyDescent="0.3">
      <c r="A2633" s="2" t="s">
        <v>4386</v>
      </c>
      <c r="B2633" s="2" t="s">
        <v>9578</v>
      </c>
      <c r="C2633" s="3">
        <v>30554</v>
      </c>
      <c r="D2633" s="1" t="s">
        <v>9579</v>
      </c>
      <c r="E2633" s="1" t="s">
        <v>9580</v>
      </c>
      <c r="F2633" s="2" t="s">
        <v>9574</v>
      </c>
      <c r="G2633" s="2" t="s">
        <v>366</v>
      </c>
      <c r="H2633" s="2" t="s">
        <v>10</v>
      </c>
      <c r="I2633" s="2" t="s">
        <v>4386</v>
      </c>
      <c r="J2633" s="2" t="s">
        <v>437</v>
      </c>
      <c r="K2633" s="13" t="s">
        <v>13177</v>
      </c>
      <c r="L2633" s="7"/>
    </row>
    <row r="2634" spans="1:12" ht="27.6" hidden="1" x14ac:dyDescent="0.3">
      <c r="A2634" s="2" t="s">
        <v>4386</v>
      </c>
      <c r="B2634" s="2" t="s">
        <v>9581</v>
      </c>
      <c r="C2634" s="3">
        <v>32154</v>
      </c>
      <c r="D2634" s="1" t="s">
        <v>9582</v>
      </c>
      <c r="E2634" s="1" t="s">
        <v>9583</v>
      </c>
      <c r="F2634" s="2" t="s">
        <v>9584</v>
      </c>
      <c r="G2634" s="2" t="s">
        <v>1009</v>
      </c>
      <c r="H2634" s="2" t="s">
        <v>103</v>
      </c>
      <c r="I2634" s="2" t="s">
        <v>4386</v>
      </c>
      <c r="J2634" s="2" t="s">
        <v>2388</v>
      </c>
      <c r="K2634" s="13" t="s">
        <v>13177</v>
      </c>
      <c r="L2634" s="7"/>
    </row>
    <row r="2635" spans="1:12" ht="27.6" hidden="1" x14ac:dyDescent="0.3">
      <c r="A2635" s="2" t="s">
        <v>4386</v>
      </c>
      <c r="B2635" s="2" t="s">
        <v>9585</v>
      </c>
      <c r="C2635" s="3">
        <v>38514</v>
      </c>
      <c r="D2635" s="1" t="s">
        <v>442</v>
      </c>
      <c r="E2635" s="1" t="s">
        <v>9586</v>
      </c>
      <c r="F2635" s="2" t="s">
        <v>9584</v>
      </c>
      <c r="G2635" s="2" t="s">
        <v>1009</v>
      </c>
      <c r="H2635" s="2" t="s">
        <v>81</v>
      </c>
      <c r="I2635" s="2" t="s">
        <v>4386</v>
      </c>
      <c r="J2635" s="2" t="s">
        <v>2388</v>
      </c>
      <c r="K2635" s="16" t="s">
        <v>13177</v>
      </c>
      <c r="L2635" s="17"/>
    </row>
    <row r="2636" spans="1:12" hidden="1" x14ac:dyDescent="0.3">
      <c r="A2636" s="2" t="s">
        <v>4139</v>
      </c>
      <c r="B2636" s="2" t="s">
        <v>9587</v>
      </c>
      <c r="C2636" s="3">
        <v>37832</v>
      </c>
      <c r="D2636" s="1" t="s">
        <v>9588</v>
      </c>
      <c r="E2636" s="1" t="s">
        <v>9589</v>
      </c>
      <c r="F2636" s="2" t="s">
        <v>4143</v>
      </c>
      <c r="G2636" s="2" t="s">
        <v>9282</v>
      </c>
      <c r="H2636" s="2" t="s">
        <v>103</v>
      </c>
      <c r="I2636" s="2" t="s">
        <v>4139</v>
      </c>
      <c r="J2636" s="2" t="s">
        <v>9283</v>
      </c>
      <c r="K2636" s="14"/>
      <c r="L2636" s="6"/>
    </row>
    <row r="2637" spans="1:12" ht="27.6" hidden="1" x14ac:dyDescent="0.3">
      <c r="A2637" s="2" t="s">
        <v>4139</v>
      </c>
      <c r="B2637" s="2" t="s">
        <v>9590</v>
      </c>
      <c r="C2637" s="3">
        <v>38705</v>
      </c>
      <c r="D2637" s="1" t="s">
        <v>9591</v>
      </c>
      <c r="E2637" s="1" t="s">
        <v>9592</v>
      </c>
      <c r="F2637" s="2" t="s">
        <v>4143</v>
      </c>
      <c r="G2637" s="2" t="s">
        <v>9296</v>
      </c>
      <c r="H2637" s="2" t="s">
        <v>103</v>
      </c>
      <c r="I2637" s="2" t="s">
        <v>4139</v>
      </c>
      <c r="J2637" s="2" t="s">
        <v>9297</v>
      </c>
      <c r="K2637" s="14"/>
      <c r="L2637" s="6"/>
    </row>
    <row r="2638" spans="1:12" hidden="1" x14ac:dyDescent="0.3">
      <c r="A2638" s="8" t="s">
        <v>4139</v>
      </c>
      <c r="B2638" s="8" t="s">
        <v>9593</v>
      </c>
      <c r="C2638" s="9">
        <v>31459</v>
      </c>
      <c r="D2638" s="10" t="s">
        <v>9594</v>
      </c>
      <c r="E2638" s="10" t="s">
        <v>9595</v>
      </c>
      <c r="F2638" s="8" t="s">
        <v>8598</v>
      </c>
      <c r="G2638" s="8" t="s">
        <v>9596</v>
      </c>
      <c r="H2638" s="8" t="s">
        <v>10</v>
      </c>
      <c r="I2638" s="8" t="s">
        <v>4139</v>
      </c>
      <c r="J2638" s="2" t="s">
        <v>9597</v>
      </c>
      <c r="K2638" s="13" t="s">
        <v>13177</v>
      </c>
      <c r="L2638" s="7" t="s">
        <v>13199</v>
      </c>
    </row>
    <row r="2639" spans="1:12" hidden="1" x14ac:dyDescent="0.3">
      <c r="A2639" s="2" t="s">
        <v>4139</v>
      </c>
      <c r="B2639" s="2" t="s">
        <v>9598</v>
      </c>
      <c r="C2639" s="3">
        <v>33164</v>
      </c>
      <c r="D2639" s="1" t="s">
        <v>9599</v>
      </c>
      <c r="E2639" s="1" t="s">
        <v>9600</v>
      </c>
      <c r="F2639" s="2" t="s">
        <v>9601</v>
      </c>
      <c r="G2639" s="2" t="s">
        <v>292</v>
      </c>
      <c r="H2639" s="2" t="s">
        <v>10</v>
      </c>
      <c r="I2639" s="2" t="s">
        <v>4139</v>
      </c>
      <c r="J2639" s="2" t="s">
        <v>9602</v>
      </c>
      <c r="K2639" s="13" t="s">
        <v>13177</v>
      </c>
      <c r="L2639" s="7" t="s">
        <v>13199</v>
      </c>
    </row>
    <row r="2640" spans="1:12" hidden="1" x14ac:dyDescent="0.3">
      <c r="A2640" s="2" t="s">
        <v>4139</v>
      </c>
      <c r="B2640" s="2" t="s">
        <v>9603</v>
      </c>
      <c r="C2640" s="3">
        <v>23080</v>
      </c>
      <c r="D2640" s="1" t="s">
        <v>9604</v>
      </c>
      <c r="E2640" s="1" t="s">
        <v>9605</v>
      </c>
      <c r="F2640" s="2" t="s">
        <v>9601</v>
      </c>
      <c r="G2640" s="2" t="s">
        <v>258</v>
      </c>
      <c r="H2640" s="2" t="s">
        <v>10</v>
      </c>
      <c r="I2640" s="2" t="s">
        <v>4139</v>
      </c>
      <c r="J2640" s="2" t="s">
        <v>1794</v>
      </c>
      <c r="K2640" s="13" t="s">
        <v>13177</v>
      </c>
      <c r="L2640" s="7" t="s">
        <v>13199</v>
      </c>
    </row>
    <row r="2641" spans="1:12" hidden="1" x14ac:dyDescent="0.3">
      <c r="A2641" s="2" t="s">
        <v>4139</v>
      </c>
      <c r="B2641" s="2" t="s">
        <v>9606</v>
      </c>
      <c r="C2641" s="3">
        <v>29128</v>
      </c>
      <c r="D2641" s="1" t="s">
        <v>9607</v>
      </c>
      <c r="E2641" s="1" t="s">
        <v>9608</v>
      </c>
      <c r="F2641" s="2" t="s">
        <v>9601</v>
      </c>
      <c r="G2641" s="2" t="s">
        <v>283</v>
      </c>
      <c r="H2641" s="2" t="s">
        <v>10</v>
      </c>
      <c r="I2641" s="2" t="s">
        <v>4139</v>
      </c>
      <c r="J2641" s="2" t="s">
        <v>9609</v>
      </c>
      <c r="K2641" s="13" t="s">
        <v>13177</v>
      </c>
      <c r="L2641" s="7" t="s">
        <v>13199</v>
      </c>
    </row>
    <row r="2642" spans="1:12" hidden="1" x14ac:dyDescent="0.3">
      <c r="A2642" s="2" t="s">
        <v>4139</v>
      </c>
      <c r="B2642" s="2" t="s">
        <v>9610</v>
      </c>
      <c r="C2642" s="3">
        <v>30657</v>
      </c>
      <c r="D2642" s="1" t="s">
        <v>9611</v>
      </c>
      <c r="E2642" s="1" t="s">
        <v>9612</v>
      </c>
      <c r="F2642" s="2" t="s">
        <v>4143</v>
      </c>
      <c r="G2642" s="2" t="s">
        <v>4165</v>
      </c>
      <c r="H2642" s="2" t="s">
        <v>81</v>
      </c>
      <c r="I2642" s="2" t="s">
        <v>4139</v>
      </c>
      <c r="J2642" s="2" t="s">
        <v>9613</v>
      </c>
      <c r="K2642" s="14"/>
      <c r="L2642" s="6"/>
    </row>
    <row r="2643" spans="1:12" hidden="1" x14ac:dyDescent="0.3">
      <c r="A2643" s="2" t="s">
        <v>4139</v>
      </c>
      <c r="B2643" s="2" t="s">
        <v>9614</v>
      </c>
      <c r="C2643" s="3">
        <v>23550</v>
      </c>
      <c r="D2643" s="1" t="s">
        <v>9615</v>
      </c>
      <c r="E2643" s="1" t="s">
        <v>9616</v>
      </c>
      <c r="F2643" s="2" t="s">
        <v>4143</v>
      </c>
      <c r="G2643" s="2" t="s">
        <v>8364</v>
      </c>
      <c r="H2643" s="2" t="s">
        <v>10</v>
      </c>
      <c r="I2643" s="2" t="s">
        <v>4139</v>
      </c>
      <c r="J2643" s="2" t="s">
        <v>9617</v>
      </c>
      <c r="K2643" s="14"/>
      <c r="L2643" s="6"/>
    </row>
    <row r="2644" spans="1:12" hidden="1" x14ac:dyDescent="0.3">
      <c r="A2644" s="2" t="s">
        <v>4139</v>
      </c>
      <c r="B2644" s="2" t="s">
        <v>9618</v>
      </c>
      <c r="C2644" s="3">
        <v>32544</v>
      </c>
      <c r="D2644" s="1" t="s">
        <v>9619</v>
      </c>
      <c r="E2644" s="1" t="s">
        <v>9620</v>
      </c>
      <c r="F2644" s="2" t="s">
        <v>4143</v>
      </c>
      <c r="G2644" s="2" t="s">
        <v>8364</v>
      </c>
      <c r="H2644" s="2" t="s">
        <v>334</v>
      </c>
      <c r="I2644" s="2" t="s">
        <v>4139</v>
      </c>
      <c r="J2644" s="2" t="s">
        <v>9617</v>
      </c>
      <c r="K2644" s="14"/>
      <c r="L2644" s="6"/>
    </row>
    <row r="2645" spans="1:12" ht="27.6" hidden="1" x14ac:dyDescent="0.3">
      <c r="A2645" s="2" t="s">
        <v>4139</v>
      </c>
      <c r="B2645" s="2" t="s">
        <v>9621</v>
      </c>
      <c r="C2645" s="3">
        <v>26432</v>
      </c>
      <c r="D2645" s="1" t="s">
        <v>9622</v>
      </c>
      <c r="E2645" s="1" t="s">
        <v>9623</v>
      </c>
      <c r="F2645" s="2" t="s">
        <v>4143</v>
      </c>
      <c r="G2645" s="2" t="s">
        <v>9624</v>
      </c>
      <c r="H2645" s="2" t="s">
        <v>10</v>
      </c>
      <c r="I2645" s="2" t="s">
        <v>4139</v>
      </c>
      <c r="J2645" s="2" t="s">
        <v>9625</v>
      </c>
      <c r="K2645" s="14"/>
      <c r="L2645" s="6"/>
    </row>
    <row r="2646" spans="1:12" hidden="1" x14ac:dyDescent="0.3">
      <c r="A2646" s="2" t="s">
        <v>4139</v>
      </c>
      <c r="B2646" s="2" t="s">
        <v>9626</v>
      </c>
      <c r="C2646" s="3">
        <v>33777</v>
      </c>
      <c r="D2646" s="1" t="s">
        <v>9627</v>
      </c>
      <c r="E2646" s="1" t="s">
        <v>9628</v>
      </c>
      <c r="F2646" s="2" t="s">
        <v>4143</v>
      </c>
      <c r="G2646" s="2" t="s">
        <v>9629</v>
      </c>
      <c r="H2646" s="2" t="s">
        <v>10</v>
      </c>
      <c r="I2646" s="2" t="s">
        <v>4139</v>
      </c>
      <c r="J2646" s="2" t="s">
        <v>9630</v>
      </c>
      <c r="K2646" s="14"/>
      <c r="L2646" s="6"/>
    </row>
    <row r="2647" spans="1:12" hidden="1" x14ac:dyDescent="0.3">
      <c r="A2647" s="2" t="s">
        <v>4139</v>
      </c>
      <c r="B2647" s="2" t="s">
        <v>9631</v>
      </c>
      <c r="C2647" s="3">
        <v>26302</v>
      </c>
      <c r="D2647" s="1" t="s">
        <v>9632</v>
      </c>
      <c r="E2647" s="1" t="s">
        <v>9633</v>
      </c>
      <c r="F2647" s="2" t="s">
        <v>4143</v>
      </c>
      <c r="G2647" s="2" t="s">
        <v>9634</v>
      </c>
      <c r="H2647" s="2" t="s">
        <v>2001</v>
      </c>
      <c r="I2647" s="2" t="s">
        <v>4139</v>
      </c>
      <c r="J2647" s="2" t="s">
        <v>9635</v>
      </c>
      <c r="K2647" s="14"/>
      <c r="L2647" s="6"/>
    </row>
    <row r="2648" spans="1:12" hidden="1" x14ac:dyDescent="0.3">
      <c r="A2648" s="2" t="s">
        <v>4139</v>
      </c>
      <c r="B2648" s="2" t="s">
        <v>9636</v>
      </c>
      <c r="C2648" s="3">
        <v>33219</v>
      </c>
      <c r="D2648" s="1" t="s">
        <v>9637</v>
      </c>
      <c r="E2648" s="1" t="s">
        <v>9638</v>
      </c>
      <c r="F2648" s="2" t="s">
        <v>4143</v>
      </c>
      <c r="G2648" s="2" t="s">
        <v>9639</v>
      </c>
      <c r="H2648" s="2" t="s">
        <v>10</v>
      </c>
      <c r="I2648" s="2" t="s">
        <v>4139</v>
      </c>
      <c r="J2648" s="2" t="s">
        <v>9640</v>
      </c>
      <c r="K2648" s="14"/>
      <c r="L2648" s="6"/>
    </row>
    <row r="2649" spans="1:12" hidden="1" x14ac:dyDescent="0.3">
      <c r="A2649" s="8" t="s">
        <v>4139</v>
      </c>
      <c r="B2649" s="8" t="s">
        <v>9641</v>
      </c>
      <c r="C2649" s="9">
        <v>32802</v>
      </c>
      <c r="D2649" s="10" t="s">
        <v>9642</v>
      </c>
      <c r="E2649" s="10" t="s">
        <v>9643</v>
      </c>
      <c r="F2649" s="8" t="s">
        <v>8598</v>
      </c>
      <c r="G2649" s="8" t="s">
        <v>9644</v>
      </c>
      <c r="H2649" s="8" t="s">
        <v>10</v>
      </c>
      <c r="I2649" s="8" t="s">
        <v>4139</v>
      </c>
      <c r="J2649" s="2" t="s">
        <v>9645</v>
      </c>
      <c r="K2649" s="13" t="s">
        <v>13177</v>
      </c>
      <c r="L2649" s="7" t="s">
        <v>13199</v>
      </c>
    </row>
    <row r="2650" spans="1:12" hidden="1" x14ac:dyDescent="0.3">
      <c r="A2650" s="2" t="s">
        <v>4139</v>
      </c>
      <c r="B2650" s="2" t="s">
        <v>9646</v>
      </c>
      <c r="C2650" s="3">
        <v>28233</v>
      </c>
      <c r="D2650" s="1" t="s">
        <v>9647</v>
      </c>
      <c r="E2650" s="1" t="s">
        <v>9648</v>
      </c>
      <c r="F2650" s="2" t="s">
        <v>9601</v>
      </c>
      <c r="G2650" s="2" t="s">
        <v>12</v>
      </c>
      <c r="H2650" s="2" t="s">
        <v>10</v>
      </c>
      <c r="I2650" s="2" t="s">
        <v>4139</v>
      </c>
      <c r="J2650" s="2" t="s">
        <v>540</v>
      </c>
      <c r="K2650" s="14"/>
      <c r="L2650" s="6"/>
    </row>
    <row r="2651" spans="1:12" ht="27.6" hidden="1" x14ac:dyDescent="0.3">
      <c r="A2651" s="2" t="s">
        <v>4386</v>
      </c>
      <c r="B2651" s="2" t="s">
        <v>9649</v>
      </c>
      <c r="C2651" s="3">
        <v>34174</v>
      </c>
      <c r="D2651" s="1" t="s">
        <v>9650</v>
      </c>
      <c r="E2651" s="1" t="s">
        <v>9651</v>
      </c>
      <c r="F2651" s="2" t="s">
        <v>9468</v>
      </c>
      <c r="G2651" s="2" t="s">
        <v>1004</v>
      </c>
      <c r="H2651" s="2" t="s">
        <v>10</v>
      </c>
      <c r="I2651" s="2" t="s">
        <v>4386</v>
      </c>
      <c r="J2651" s="2" t="s">
        <v>9652</v>
      </c>
      <c r="K2651" s="13" t="s">
        <v>13177</v>
      </c>
      <c r="L2651" s="7"/>
    </row>
    <row r="2652" spans="1:12" ht="27.6" hidden="1" x14ac:dyDescent="0.3">
      <c r="A2652" s="2" t="s">
        <v>4386</v>
      </c>
      <c r="B2652" s="2" t="s">
        <v>9653</v>
      </c>
      <c r="C2652" s="3">
        <v>32042</v>
      </c>
      <c r="D2652" s="1" t="s">
        <v>9654</v>
      </c>
      <c r="E2652" s="1" t="s">
        <v>9655</v>
      </c>
      <c r="F2652" s="2" t="s">
        <v>9468</v>
      </c>
      <c r="G2652" s="2" t="s">
        <v>2916</v>
      </c>
      <c r="H2652" s="2" t="s">
        <v>10</v>
      </c>
      <c r="I2652" s="2" t="s">
        <v>4386</v>
      </c>
      <c r="J2652" s="2" t="s">
        <v>3332</v>
      </c>
      <c r="K2652" s="13" t="s">
        <v>13177</v>
      </c>
      <c r="L2652" s="7"/>
    </row>
    <row r="2653" spans="1:12" ht="27.6" hidden="1" x14ac:dyDescent="0.3">
      <c r="A2653" s="2" t="s">
        <v>4386</v>
      </c>
      <c r="B2653" s="2" t="s">
        <v>9656</v>
      </c>
      <c r="C2653" s="3">
        <v>31763</v>
      </c>
      <c r="D2653" s="1" t="s">
        <v>9657</v>
      </c>
      <c r="E2653" s="1" t="s">
        <v>9658</v>
      </c>
      <c r="F2653" s="2" t="s">
        <v>9468</v>
      </c>
      <c r="G2653" s="2" t="s">
        <v>1316</v>
      </c>
      <c r="H2653" s="2" t="s">
        <v>10</v>
      </c>
      <c r="I2653" s="2" t="s">
        <v>4386</v>
      </c>
      <c r="J2653" s="2" t="s">
        <v>1317</v>
      </c>
      <c r="K2653" s="13" t="s">
        <v>13177</v>
      </c>
      <c r="L2653" s="7"/>
    </row>
    <row r="2654" spans="1:12" ht="27.6" hidden="1" x14ac:dyDescent="0.3">
      <c r="A2654" s="2" t="s">
        <v>4386</v>
      </c>
      <c r="B2654" s="2" t="s">
        <v>9659</v>
      </c>
      <c r="C2654" s="3">
        <v>30639</v>
      </c>
      <c r="D2654" s="1" t="s">
        <v>9660</v>
      </c>
      <c r="E2654" s="1" t="s">
        <v>9661</v>
      </c>
      <c r="F2654" s="2" t="s">
        <v>9468</v>
      </c>
      <c r="G2654" s="2" t="s">
        <v>596</v>
      </c>
      <c r="H2654" s="2" t="s">
        <v>10</v>
      </c>
      <c r="I2654" s="2" t="s">
        <v>4386</v>
      </c>
      <c r="J2654" s="2" t="s">
        <v>9662</v>
      </c>
      <c r="K2654" s="13" t="s">
        <v>13177</v>
      </c>
      <c r="L2654" s="7"/>
    </row>
    <row r="2655" spans="1:12" ht="27.6" hidden="1" x14ac:dyDescent="0.3">
      <c r="A2655" s="2" t="s">
        <v>4386</v>
      </c>
      <c r="B2655" s="2" t="s">
        <v>9663</v>
      </c>
      <c r="C2655" s="3">
        <v>31728</v>
      </c>
      <c r="D2655" s="1" t="s">
        <v>9664</v>
      </c>
      <c r="E2655" s="1" t="s">
        <v>9665</v>
      </c>
      <c r="F2655" s="2" t="s">
        <v>9468</v>
      </c>
      <c r="G2655" s="2" t="s">
        <v>3957</v>
      </c>
      <c r="H2655" s="2" t="s">
        <v>10</v>
      </c>
      <c r="I2655" s="2" t="s">
        <v>4386</v>
      </c>
      <c r="J2655" s="2" t="s">
        <v>9666</v>
      </c>
      <c r="K2655" s="13" t="s">
        <v>13177</v>
      </c>
      <c r="L2655" s="7"/>
    </row>
    <row r="2656" spans="1:12" ht="27.6" hidden="1" x14ac:dyDescent="0.3">
      <c r="A2656" s="2" t="s">
        <v>4386</v>
      </c>
      <c r="B2656" s="2" t="s">
        <v>9667</v>
      </c>
      <c r="C2656" s="3">
        <v>33979</v>
      </c>
      <c r="D2656" s="1" t="s">
        <v>9668</v>
      </c>
      <c r="E2656" s="1" t="s">
        <v>9669</v>
      </c>
      <c r="F2656" s="2" t="s">
        <v>9574</v>
      </c>
      <c r="G2656" s="2" t="s">
        <v>385</v>
      </c>
      <c r="H2656" s="2" t="s">
        <v>10</v>
      </c>
      <c r="I2656" s="2" t="s">
        <v>4386</v>
      </c>
      <c r="J2656" s="2" t="s">
        <v>913</v>
      </c>
      <c r="K2656" s="13" t="s">
        <v>13177</v>
      </c>
      <c r="L2656" s="7"/>
    </row>
    <row r="2657" spans="1:12" ht="27.6" hidden="1" x14ac:dyDescent="0.3">
      <c r="A2657" s="2" t="s">
        <v>4386</v>
      </c>
      <c r="B2657" s="2" t="s">
        <v>9667</v>
      </c>
      <c r="C2657" s="3">
        <v>33979</v>
      </c>
      <c r="D2657" s="1" t="s">
        <v>9668</v>
      </c>
      <c r="E2657" s="1" t="s">
        <v>9669</v>
      </c>
      <c r="F2657" s="2" t="s">
        <v>9574</v>
      </c>
      <c r="G2657" s="2" t="s">
        <v>75</v>
      </c>
      <c r="H2657" s="2" t="s">
        <v>10</v>
      </c>
      <c r="I2657" s="2" t="s">
        <v>4386</v>
      </c>
      <c r="J2657" s="2" t="s">
        <v>76</v>
      </c>
      <c r="K2657" s="13" t="s">
        <v>13177</v>
      </c>
      <c r="L2657" s="7"/>
    </row>
    <row r="2658" spans="1:12" ht="27.6" hidden="1" x14ac:dyDescent="0.3">
      <c r="A2658" s="2" t="s">
        <v>4386</v>
      </c>
      <c r="B2658" s="2" t="s">
        <v>9670</v>
      </c>
      <c r="C2658" s="3">
        <v>30842</v>
      </c>
      <c r="D2658" s="1" t="s">
        <v>9671</v>
      </c>
      <c r="E2658" s="1" t="s">
        <v>9672</v>
      </c>
      <c r="F2658" s="2" t="s">
        <v>9574</v>
      </c>
      <c r="G2658" s="2" t="s">
        <v>328</v>
      </c>
      <c r="H2658" s="2" t="s">
        <v>10</v>
      </c>
      <c r="I2658" s="2" t="s">
        <v>4386</v>
      </c>
      <c r="J2658" s="2" t="s">
        <v>329</v>
      </c>
      <c r="K2658" s="13" t="s">
        <v>13177</v>
      </c>
      <c r="L2658" s="7"/>
    </row>
    <row r="2659" spans="1:12" ht="27.6" hidden="1" x14ac:dyDescent="0.3">
      <c r="A2659" s="2" t="s">
        <v>4386</v>
      </c>
      <c r="B2659" s="2" t="s">
        <v>9673</v>
      </c>
      <c r="C2659" s="3">
        <v>31774</v>
      </c>
      <c r="D2659" s="1" t="s">
        <v>9674</v>
      </c>
      <c r="E2659" s="1" t="s">
        <v>9675</v>
      </c>
      <c r="F2659" s="2" t="s">
        <v>9584</v>
      </c>
      <c r="G2659" s="2" t="s">
        <v>3176</v>
      </c>
      <c r="H2659" s="2" t="s">
        <v>10</v>
      </c>
      <c r="I2659" s="2" t="s">
        <v>4386</v>
      </c>
      <c r="J2659" s="2" t="s">
        <v>3177</v>
      </c>
      <c r="K2659" s="13" t="s">
        <v>13177</v>
      </c>
      <c r="L2659" s="7"/>
    </row>
    <row r="2660" spans="1:12" ht="27.6" hidden="1" x14ac:dyDescent="0.3">
      <c r="A2660" s="2" t="s">
        <v>4386</v>
      </c>
      <c r="B2660" s="2" t="s">
        <v>9676</v>
      </c>
      <c r="C2660" s="3">
        <v>35079</v>
      </c>
      <c r="D2660" s="1" t="s">
        <v>9677</v>
      </c>
      <c r="E2660" s="1" t="s">
        <v>9678</v>
      </c>
      <c r="F2660" s="2" t="s">
        <v>9584</v>
      </c>
      <c r="G2660" s="2" t="s">
        <v>3428</v>
      </c>
      <c r="H2660" s="2" t="s">
        <v>10</v>
      </c>
      <c r="I2660" s="2" t="s">
        <v>4386</v>
      </c>
      <c r="J2660" s="2" t="s">
        <v>3429</v>
      </c>
      <c r="K2660" s="13" t="s">
        <v>13177</v>
      </c>
      <c r="L2660" s="7"/>
    </row>
    <row r="2661" spans="1:12" ht="27.6" hidden="1" x14ac:dyDescent="0.3">
      <c r="A2661" s="2" t="s">
        <v>4386</v>
      </c>
      <c r="B2661" s="2" t="s">
        <v>9679</v>
      </c>
      <c r="C2661" s="3">
        <v>31660</v>
      </c>
      <c r="D2661" s="1" t="s">
        <v>9680</v>
      </c>
      <c r="E2661" s="1" t="s">
        <v>9681</v>
      </c>
      <c r="F2661" s="2" t="s">
        <v>9584</v>
      </c>
      <c r="G2661" s="2" t="s">
        <v>3668</v>
      </c>
      <c r="H2661" s="2" t="s">
        <v>10</v>
      </c>
      <c r="I2661" s="2" t="s">
        <v>4386</v>
      </c>
      <c r="J2661" s="2" t="s">
        <v>9682</v>
      </c>
      <c r="K2661" s="13" t="s">
        <v>13177</v>
      </c>
      <c r="L2661" s="7"/>
    </row>
    <row r="2662" spans="1:12" ht="27.6" hidden="1" x14ac:dyDescent="0.3">
      <c r="A2662" s="2" t="s">
        <v>4386</v>
      </c>
      <c r="B2662" s="2" t="s">
        <v>9683</v>
      </c>
      <c r="C2662" s="3">
        <v>21731</v>
      </c>
      <c r="D2662" s="1" t="s">
        <v>9684</v>
      </c>
      <c r="E2662" s="1" t="s">
        <v>9685</v>
      </c>
      <c r="F2662" s="2" t="s">
        <v>9584</v>
      </c>
      <c r="G2662" s="2" t="s">
        <v>780</v>
      </c>
      <c r="H2662" s="2" t="s">
        <v>10</v>
      </c>
      <c r="I2662" s="2" t="s">
        <v>4386</v>
      </c>
      <c r="J2662" s="2" t="s">
        <v>781</v>
      </c>
      <c r="K2662" s="13" t="s">
        <v>13177</v>
      </c>
      <c r="L2662" s="7"/>
    </row>
    <row r="2663" spans="1:12" ht="27.6" hidden="1" x14ac:dyDescent="0.3">
      <c r="A2663" s="2" t="s">
        <v>4386</v>
      </c>
      <c r="B2663" s="2" t="s">
        <v>9686</v>
      </c>
      <c r="C2663" s="3">
        <v>28272</v>
      </c>
      <c r="D2663" s="1" t="s">
        <v>9687</v>
      </c>
      <c r="E2663" s="1" t="s">
        <v>9688</v>
      </c>
      <c r="F2663" s="2" t="s">
        <v>9047</v>
      </c>
      <c r="G2663" s="2" t="s">
        <v>9689</v>
      </c>
      <c r="H2663" s="2" t="s">
        <v>10</v>
      </c>
      <c r="I2663" s="2" t="s">
        <v>4386</v>
      </c>
      <c r="J2663" s="2" t="s">
        <v>9690</v>
      </c>
      <c r="K2663" s="13" t="s">
        <v>13177</v>
      </c>
      <c r="L2663" s="7"/>
    </row>
    <row r="2664" spans="1:12" ht="27.6" hidden="1" x14ac:dyDescent="0.3">
      <c r="A2664" s="2" t="s">
        <v>4386</v>
      </c>
      <c r="B2664" s="2" t="s">
        <v>9691</v>
      </c>
      <c r="C2664" s="3">
        <v>36487</v>
      </c>
      <c r="D2664" s="1" t="s">
        <v>9692</v>
      </c>
      <c r="E2664" s="1" t="s">
        <v>9693</v>
      </c>
      <c r="F2664" s="2" t="s">
        <v>9047</v>
      </c>
      <c r="G2664" s="2" t="s">
        <v>9254</v>
      </c>
      <c r="H2664" s="2" t="s">
        <v>10</v>
      </c>
      <c r="I2664" s="2" t="s">
        <v>4386</v>
      </c>
      <c r="J2664" s="2" t="s">
        <v>9255</v>
      </c>
      <c r="K2664" s="13" t="s">
        <v>13177</v>
      </c>
      <c r="L2664" s="7"/>
    </row>
    <row r="2665" spans="1:12" ht="27.6" hidden="1" x14ac:dyDescent="0.3">
      <c r="A2665" s="2" t="s">
        <v>4386</v>
      </c>
      <c r="B2665" s="2" t="s">
        <v>9694</v>
      </c>
      <c r="C2665" s="3">
        <v>27425</v>
      </c>
      <c r="D2665" s="1" t="s">
        <v>9695</v>
      </c>
      <c r="E2665" s="1" t="s">
        <v>9696</v>
      </c>
      <c r="F2665" s="2" t="s">
        <v>5053</v>
      </c>
      <c r="G2665" s="2" t="s">
        <v>604</v>
      </c>
      <c r="H2665" s="2" t="s">
        <v>10</v>
      </c>
      <c r="I2665" s="2" t="s">
        <v>4386</v>
      </c>
      <c r="J2665" s="2" t="s">
        <v>605</v>
      </c>
      <c r="K2665" s="13" t="s">
        <v>13177</v>
      </c>
      <c r="L2665" s="7"/>
    </row>
    <row r="2666" spans="1:12" ht="55.2" hidden="1" x14ac:dyDescent="0.3">
      <c r="A2666" s="2" t="s">
        <v>4604</v>
      </c>
      <c r="B2666" s="2" t="s">
        <v>9697</v>
      </c>
      <c r="C2666" s="3">
        <v>32087</v>
      </c>
      <c r="D2666" s="1" t="s">
        <v>9698</v>
      </c>
      <c r="E2666" s="1" t="s">
        <v>9699</v>
      </c>
      <c r="F2666" s="2" t="s">
        <v>7474</v>
      </c>
      <c r="G2666" s="2" t="s">
        <v>92</v>
      </c>
      <c r="H2666" s="2" t="s">
        <v>9700</v>
      </c>
      <c r="I2666" s="2" t="s">
        <v>4604</v>
      </c>
      <c r="J2666" s="2" t="s">
        <v>5694</v>
      </c>
      <c r="K2666" s="13" t="s">
        <v>13177</v>
      </c>
      <c r="L2666" s="7" t="s">
        <v>13199</v>
      </c>
    </row>
    <row r="2667" spans="1:12" ht="55.2" hidden="1" x14ac:dyDescent="0.3">
      <c r="A2667" s="2" t="s">
        <v>4604</v>
      </c>
      <c r="B2667" s="2" t="s">
        <v>9701</v>
      </c>
      <c r="C2667" s="3">
        <v>28839</v>
      </c>
      <c r="D2667" s="1" t="s">
        <v>9702</v>
      </c>
      <c r="E2667" s="1" t="s">
        <v>9703</v>
      </c>
      <c r="F2667" s="2" t="s">
        <v>7474</v>
      </c>
      <c r="G2667" s="2" t="s">
        <v>492</v>
      </c>
      <c r="H2667" s="2" t="s">
        <v>9704</v>
      </c>
      <c r="I2667" s="2" t="s">
        <v>4604</v>
      </c>
      <c r="J2667" s="2" t="s">
        <v>9705</v>
      </c>
      <c r="K2667" s="13" t="s">
        <v>13177</v>
      </c>
      <c r="L2667" s="7" t="s">
        <v>13199</v>
      </c>
    </row>
    <row r="2668" spans="1:12" ht="55.2" hidden="1" x14ac:dyDescent="0.3">
      <c r="A2668" s="2" t="s">
        <v>4604</v>
      </c>
      <c r="B2668" s="2" t="s">
        <v>9706</v>
      </c>
      <c r="C2668" s="3">
        <v>20005</v>
      </c>
      <c r="D2668" s="1" t="s">
        <v>9707</v>
      </c>
      <c r="E2668" s="1" t="s">
        <v>9708</v>
      </c>
      <c r="F2668" s="2" t="s">
        <v>7474</v>
      </c>
      <c r="G2668" s="2" t="s">
        <v>425</v>
      </c>
      <c r="H2668" s="2" t="s">
        <v>9709</v>
      </c>
      <c r="I2668" s="2" t="s">
        <v>4604</v>
      </c>
      <c r="J2668" s="2" t="s">
        <v>9710</v>
      </c>
      <c r="K2668" s="13" t="s">
        <v>13177</v>
      </c>
      <c r="L2668" s="7" t="s">
        <v>13199</v>
      </c>
    </row>
    <row r="2669" spans="1:12" ht="27.6" hidden="1" x14ac:dyDescent="0.3">
      <c r="A2669" s="2" t="s">
        <v>4386</v>
      </c>
      <c r="B2669" s="2" t="s">
        <v>9711</v>
      </c>
      <c r="C2669" s="3">
        <v>26664</v>
      </c>
      <c r="D2669" s="1" t="s">
        <v>9712</v>
      </c>
      <c r="E2669" s="1" t="s">
        <v>9713</v>
      </c>
      <c r="F2669" s="2" t="s">
        <v>9047</v>
      </c>
      <c r="G2669" s="2" t="s">
        <v>9202</v>
      </c>
      <c r="H2669" s="2" t="s">
        <v>81</v>
      </c>
      <c r="I2669" s="2" t="s">
        <v>4386</v>
      </c>
      <c r="J2669" s="2" t="s">
        <v>9714</v>
      </c>
      <c r="K2669" s="13" t="s">
        <v>13177</v>
      </c>
      <c r="L2669" s="7" t="s">
        <v>13199</v>
      </c>
    </row>
    <row r="2670" spans="1:12" ht="55.2" hidden="1" x14ac:dyDescent="0.3">
      <c r="A2670" s="2" t="s">
        <v>4604</v>
      </c>
      <c r="B2670" s="2" t="s">
        <v>9715</v>
      </c>
      <c r="C2670" s="3">
        <v>33342</v>
      </c>
      <c r="D2670" s="1" t="s">
        <v>9716</v>
      </c>
      <c r="E2670" s="1" t="s">
        <v>9717</v>
      </c>
      <c r="F2670" s="2" t="s">
        <v>7474</v>
      </c>
      <c r="G2670" s="2" t="s">
        <v>112</v>
      </c>
      <c r="H2670" s="2" t="s">
        <v>10</v>
      </c>
      <c r="I2670" s="2" t="s">
        <v>4604</v>
      </c>
      <c r="J2670" s="2" t="s">
        <v>9718</v>
      </c>
      <c r="K2670" s="13" t="s">
        <v>13177</v>
      </c>
      <c r="L2670" s="7" t="s">
        <v>13199</v>
      </c>
    </row>
    <row r="2671" spans="1:12" ht="55.2" hidden="1" x14ac:dyDescent="0.3">
      <c r="A2671" s="2" t="s">
        <v>4604</v>
      </c>
      <c r="B2671" s="2" t="s">
        <v>9719</v>
      </c>
      <c r="C2671" s="3">
        <v>24172</v>
      </c>
      <c r="D2671" s="1" t="s">
        <v>7794</v>
      </c>
      <c r="E2671" s="1" t="s">
        <v>7795</v>
      </c>
      <c r="F2671" s="2" t="s">
        <v>7474</v>
      </c>
      <c r="G2671" s="2" t="s">
        <v>288</v>
      </c>
      <c r="H2671" s="2" t="s">
        <v>10</v>
      </c>
      <c r="I2671" s="2" t="s">
        <v>4604</v>
      </c>
      <c r="J2671" s="2" t="s">
        <v>8082</v>
      </c>
      <c r="K2671" s="13" t="s">
        <v>13177</v>
      </c>
      <c r="L2671" s="7" t="s">
        <v>13199</v>
      </c>
    </row>
    <row r="2672" spans="1:12" ht="55.2" hidden="1" x14ac:dyDescent="0.3">
      <c r="A2672" s="2" t="s">
        <v>4604</v>
      </c>
      <c r="B2672" s="2" t="s">
        <v>9720</v>
      </c>
      <c r="C2672" s="3">
        <v>25154</v>
      </c>
      <c r="D2672" s="1" t="s">
        <v>9721</v>
      </c>
      <c r="E2672" s="1" t="s">
        <v>9722</v>
      </c>
      <c r="F2672" s="2" t="s">
        <v>7474</v>
      </c>
      <c r="G2672" s="2" t="s">
        <v>37</v>
      </c>
      <c r="H2672" s="2" t="s">
        <v>9723</v>
      </c>
      <c r="I2672" s="2" t="s">
        <v>4604</v>
      </c>
      <c r="J2672" s="2" t="s">
        <v>5175</v>
      </c>
      <c r="K2672" s="13" t="s">
        <v>13177</v>
      </c>
      <c r="L2672" s="7" t="s">
        <v>13199</v>
      </c>
    </row>
    <row r="2673" spans="1:12" ht="55.2" hidden="1" x14ac:dyDescent="0.3">
      <c r="A2673" s="2" t="s">
        <v>4604</v>
      </c>
      <c r="B2673" s="2" t="s">
        <v>9724</v>
      </c>
      <c r="C2673" s="3">
        <v>24305</v>
      </c>
      <c r="D2673" s="1" t="s">
        <v>9725</v>
      </c>
      <c r="E2673" s="1" t="s">
        <v>9726</v>
      </c>
      <c r="F2673" s="2" t="s">
        <v>7474</v>
      </c>
      <c r="G2673" s="2" t="s">
        <v>217</v>
      </c>
      <c r="H2673" s="2" t="s">
        <v>2001</v>
      </c>
      <c r="I2673" s="2" t="s">
        <v>4604</v>
      </c>
      <c r="J2673" s="2" t="s">
        <v>5384</v>
      </c>
      <c r="K2673" s="13" t="s">
        <v>13177</v>
      </c>
      <c r="L2673" s="7" t="s">
        <v>13199</v>
      </c>
    </row>
    <row r="2674" spans="1:12" ht="55.2" hidden="1" x14ac:dyDescent="0.3">
      <c r="A2674" s="2" t="s">
        <v>4604</v>
      </c>
      <c r="B2674" s="2" t="s">
        <v>9727</v>
      </c>
      <c r="C2674" s="3">
        <v>32809</v>
      </c>
      <c r="D2674" s="1" t="s">
        <v>9728</v>
      </c>
      <c r="E2674" s="1" t="s">
        <v>9729</v>
      </c>
      <c r="F2674" s="2" t="s">
        <v>7474</v>
      </c>
      <c r="G2674" s="2" t="s">
        <v>217</v>
      </c>
      <c r="H2674" s="2" t="s">
        <v>892</v>
      </c>
      <c r="I2674" s="2" t="s">
        <v>4604</v>
      </c>
      <c r="J2674" s="2" t="s">
        <v>5384</v>
      </c>
      <c r="K2674" s="13" t="s">
        <v>13177</v>
      </c>
      <c r="L2674" s="7" t="s">
        <v>13199</v>
      </c>
    </row>
    <row r="2675" spans="1:12" ht="55.2" hidden="1" x14ac:dyDescent="0.3">
      <c r="A2675" s="2" t="s">
        <v>4604</v>
      </c>
      <c r="B2675" s="2" t="s">
        <v>9730</v>
      </c>
      <c r="C2675" s="3">
        <v>32695</v>
      </c>
      <c r="D2675" s="1" t="s">
        <v>9731</v>
      </c>
      <c r="E2675" s="1" t="s">
        <v>9732</v>
      </c>
      <c r="F2675" s="2" t="s">
        <v>7474</v>
      </c>
      <c r="G2675" s="2" t="s">
        <v>230</v>
      </c>
      <c r="H2675" s="2" t="s">
        <v>9733</v>
      </c>
      <c r="I2675" s="2" t="s">
        <v>4604</v>
      </c>
      <c r="J2675" s="2" t="s">
        <v>5187</v>
      </c>
      <c r="K2675" s="13" t="s">
        <v>13177</v>
      </c>
      <c r="L2675" s="7" t="s">
        <v>13199</v>
      </c>
    </row>
    <row r="2676" spans="1:12" ht="55.2" hidden="1" x14ac:dyDescent="0.3">
      <c r="A2676" s="2" t="s">
        <v>4604</v>
      </c>
      <c r="B2676" s="2" t="s">
        <v>9734</v>
      </c>
      <c r="C2676" s="3">
        <v>19494</v>
      </c>
      <c r="D2676" s="1" t="s">
        <v>9735</v>
      </c>
      <c r="E2676" s="1" t="s">
        <v>9736</v>
      </c>
      <c r="F2676" s="2" t="s">
        <v>7474</v>
      </c>
      <c r="G2676" s="2" t="s">
        <v>278</v>
      </c>
      <c r="H2676" s="2" t="s">
        <v>9737</v>
      </c>
      <c r="I2676" s="2" t="s">
        <v>4604</v>
      </c>
      <c r="J2676" s="2" t="s">
        <v>9738</v>
      </c>
      <c r="K2676" s="13" t="s">
        <v>13177</v>
      </c>
      <c r="L2676" s="7" t="s">
        <v>13199</v>
      </c>
    </row>
    <row r="2677" spans="1:12" ht="55.2" hidden="1" x14ac:dyDescent="0.3">
      <c r="A2677" s="2" t="s">
        <v>4604</v>
      </c>
      <c r="B2677" s="2" t="s">
        <v>9739</v>
      </c>
      <c r="C2677" s="3">
        <v>18490</v>
      </c>
      <c r="D2677" s="1" t="s">
        <v>9740</v>
      </c>
      <c r="E2677" s="1" t="s">
        <v>9741</v>
      </c>
      <c r="F2677" s="2" t="s">
        <v>7474</v>
      </c>
      <c r="G2677" s="2" t="s">
        <v>1222</v>
      </c>
      <c r="H2677" s="2" t="s">
        <v>10</v>
      </c>
      <c r="I2677" s="2" t="s">
        <v>4604</v>
      </c>
      <c r="J2677" s="2" t="s">
        <v>8413</v>
      </c>
      <c r="K2677" s="13" t="s">
        <v>13177</v>
      </c>
      <c r="L2677" s="7" t="s">
        <v>13199</v>
      </c>
    </row>
    <row r="2678" spans="1:12" ht="55.2" hidden="1" x14ac:dyDescent="0.3">
      <c r="A2678" s="2" t="s">
        <v>4604</v>
      </c>
      <c r="B2678" s="2" t="s">
        <v>9742</v>
      </c>
      <c r="C2678" s="3">
        <v>24380</v>
      </c>
      <c r="D2678" s="1" t="s">
        <v>9743</v>
      </c>
      <c r="E2678" s="1" t="s">
        <v>9744</v>
      </c>
      <c r="F2678" s="2" t="s">
        <v>7474</v>
      </c>
      <c r="G2678" s="2" t="s">
        <v>385</v>
      </c>
      <c r="H2678" s="2" t="s">
        <v>10</v>
      </c>
      <c r="I2678" s="2" t="s">
        <v>4604</v>
      </c>
      <c r="J2678" s="2" t="s">
        <v>2047</v>
      </c>
      <c r="K2678" s="13" t="s">
        <v>13177</v>
      </c>
      <c r="L2678" s="7" t="s">
        <v>13199</v>
      </c>
    </row>
    <row r="2679" spans="1:12" ht="27.6" hidden="1" x14ac:dyDescent="0.3">
      <c r="A2679" s="2" t="s">
        <v>4386</v>
      </c>
      <c r="B2679" s="2" t="s">
        <v>9745</v>
      </c>
      <c r="C2679" s="3">
        <v>21564</v>
      </c>
      <c r="D2679" s="1" t="s">
        <v>9746</v>
      </c>
      <c r="E2679" s="1" t="s">
        <v>9747</v>
      </c>
      <c r="F2679" s="2" t="s">
        <v>9468</v>
      </c>
      <c r="G2679" s="2" t="s">
        <v>2833</v>
      </c>
      <c r="H2679" s="2" t="s">
        <v>10</v>
      </c>
      <c r="I2679" s="2" t="s">
        <v>4386</v>
      </c>
      <c r="J2679" s="2" t="s">
        <v>9748</v>
      </c>
      <c r="K2679" s="13" t="s">
        <v>13177</v>
      </c>
      <c r="L2679" s="7" t="s">
        <v>13199</v>
      </c>
    </row>
    <row r="2680" spans="1:12" ht="27.6" hidden="1" x14ac:dyDescent="0.3">
      <c r="A2680" s="2" t="s">
        <v>4386</v>
      </c>
      <c r="B2680" s="2" t="s">
        <v>9749</v>
      </c>
      <c r="C2680" s="3">
        <v>20872</v>
      </c>
      <c r="D2680" s="1" t="s">
        <v>9750</v>
      </c>
      <c r="E2680" s="1" t="s">
        <v>9751</v>
      </c>
      <c r="F2680" s="2" t="s">
        <v>9468</v>
      </c>
      <c r="G2680" s="2" t="s">
        <v>3176</v>
      </c>
      <c r="H2680" s="2" t="s">
        <v>103</v>
      </c>
      <c r="I2680" s="2" t="s">
        <v>4386</v>
      </c>
      <c r="J2680" s="2" t="s">
        <v>3177</v>
      </c>
      <c r="K2680" s="13" t="s">
        <v>13177</v>
      </c>
      <c r="L2680" s="7" t="s">
        <v>13199</v>
      </c>
    </row>
    <row r="2681" spans="1:12" ht="27.6" hidden="1" x14ac:dyDescent="0.3">
      <c r="A2681" s="2" t="s">
        <v>4386</v>
      </c>
      <c r="B2681" s="2" t="s">
        <v>9752</v>
      </c>
      <c r="C2681" s="3">
        <v>31718</v>
      </c>
      <c r="D2681" s="1" t="s">
        <v>9753</v>
      </c>
      <c r="E2681" s="1" t="s">
        <v>9754</v>
      </c>
      <c r="F2681" s="2" t="s">
        <v>9468</v>
      </c>
      <c r="G2681" s="2" t="s">
        <v>3176</v>
      </c>
      <c r="H2681" s="2" t="s">
        <v>81</v>
      </c>
      <c r="I2681" s="2" t="s">
        <v>4386</v>
      </c>
      <c r="J2681" s="2" t="s">
        <v>3177</v>
      </c>
      <c r="K2681" s="13" t="s">
        <v>13177</v>
      </c>
      <c r="L2681" s="7" t="s">
        <v>13199</v>
      </c>
    </row>
    <row r="2682" spans="1:12" ht="27.6" hidden="1" x14ac:dyDescent="0.3">
      <c r="A2682" s="2" t="s">
        <v>4386</v>
      </c>
      <c r="B2682" s="2" t="s">
        <v>9755</v>
      </c>
      <c r="C2682" s="3">
        <v>33253</v>
      </c>
      <c r="D2682" s="1" t="s">
        <v>9756</v>
      </c>
      <c r="E2682" s="1" t="s">
        <v>9757</v>
      </c>
      <c r="F2682" s="2" t="s">
        <v>9468</v>
      </c>
      <c r="G2682" s="2" t="s">
        <v>2790</v>
      </c>
      <c r="H2682" s="2" t="s">
        <v>10</v>
      </c>
      <c r="I2682" s="2" t="s">
        <v>4386</v>
      </c>
      <c r="J2682" s="2" t="s">
        <v>9099</v>
      </c>
      <c r="K2682" s="13" t="s">
        <v>13177</v>
      </c>
      <c r="L2682" s="7" t="s">
        <v>13199</v>
      </c>
    </row>
    <row r="2683" spans="1:12" ht="27.6" hidden="1" x14ac:dyDescent="0.3">
      <c r="A2683" s="2" t="s">
        <v>4386</v>
      </c>
      <c r="B2683" s="2" t="s">
        <v>9758</v>
      </c>
      <c r="C2683" s="3">
        <v>31692</v>
      </c>
      <c r="D2683" s="1" t="s">
        <v>9759</v>
      </c>
      <c r="E2683" s="1" t="s">
        <v>9760</v>
      </c>
      <c r="F2683" s="2" t="s">
        <v>9468</v>
      </c>
      <c r="G2683" s="2" t="s">
        <v>2773</v>
      </c>
      <c r="H2683" s="2" t="s">
        <v>10</v>
      </c>
      <c r="I2683" s="2" t="s">
        <v>4386</v>
      </c>
      <c r="J2683" s="2" t="s">
        <v>5590</v>
      </c>
      <c r="K2683" s="13" t="s">
        <v>13177</v>
      </c>
      <c r="L2683" s="7" t="s">
        <v>13199</v>
      </c>
    </row>
    <row r="2684" spans="1:12" ht="27.6" hidden="1" x14ac:dyDescent="0.3">
      <c r="A2684" s="2" t="s">
        <v>4386</v>
      </c>
      <c r="B2684" s="2" t="s">
        <v>9761</v>
      </c>
      <c r="C2684" s="3">
        <v>38337</v>
      </c>
      <c r="D2684" s="1" t="s">
        <v>9762</v>
      </c>
      <c r="E2684" s="1" t="s">
        <v>9763</v>
      </c>
      <c r="F2684" s="2" t="s">
        <v>9574</v>
      </c>
      <c r="G2684" s="2" t="s">
        <v>25</v>
      </c>
      <c r="H2684" s="2" t="s">
        <v>10</v>
      </c>
      <c r="I2684" s="2" t="s">
        <v>4386</v>
      </c>
      <c r="J2684" s="2" t="s">
        <v>305</v>
      </c>
      <c r="K2684" s="13" t="s">
        <v>13177</v>
      </c>
      <c r="L2684" s="7" t="s">
        <v>13199</v>
      </c>
    </row>
    <row r="2685" spans="1:12" ht="27.6" hidden="1" x14ac:dyDescent="0.3">
      <c r="A2685" s="2" t="s">
        <v>4386</v>
      </c>
      <c r="B2685" s="2" t="s">
        <v>9764</v>
      </c>
      <c r="C2685" s="3">
        <v>33962</v>
      </c>
      <c r="D2685" s="1" t="s">
        <v>9765</v>
      </c>
      <c r="E2685" s="1" t="s">
        <v>9766</v>
      </c>
      <c r="F2685" s="2" t="s">
        <v>9574</v>
      </c>
      <c r="G2685" s="2" t="s">
        <v>92</v>
      </c>
      <c r="H2685" s="2" t="s">
        <v>10</v>
      </c>
      <c r="I2685" s="2" t="s">
        <v>4386</v>
      </c>
      <c r="J2685" s="2" t="s">
        <v>826</v>
      </c>
      <c r="K2685" s="13" t="s">
        <v>13177</v>
      </c>
      <c r="L2685" s="7" t="s">
        <v>13199</v>
      </c>
    </row>
    <row r="2686" spans="1:12" ht="27.6" hidden="1" x14ac:dyDescent="0.3">
      <c r="A2686" s="2" t="s">
        <v>4386</v>
      </c>
      <c r="B2686" s="2" t="s">
        <v>9767</v>
      </c>
      <c r="C2686" s="3">
        <v>27718</v>
      </c>
      <c r="D2686" s="1" t="s">
        <v>9768</v>
      </c>
      <c r="E2686" s="1" t="s">
        <v>9769</v>
      </c>
      <c r="F2686" s="2" t="s">
        <v>9047</v>
      </c>
      <c r="G2686" s="2" t="s">
        <v>9770</v>
      </c>
      <c r="H2686" s="2" t="s">
        <v>10</v>
      </c>
      <c r="I2686" s="2" t="s">
        <v>4386</v>
      </c>
      <c r="J2686" s="2" t="s">
        <v>9771</v>
      </c>
      <c r="K2686" s="13" t="s">
        <v>13177</v>
      </c>
      <c r="L2686" s="7" t="s">
        <v>13199</v>
      </c>
    </row>
    <row r="2687" spans="1:12" ht="27.6" hidden="1" x14ac:dyDescent="0.3">
      <c r="A2687" s="2" t="s">
        <v>4386</v>
      </c>
      <c r="B2687" s="2" t="s">
        <v>9772</v>
      </c>
      <c r="C2687" s="3">
        <v>24065</v>
      </c>
      <c r="D2687" s="1" t="s">
        <v>9773</v>
      </c>
      <c r="E2687" s="1" t="s">
        <v>9774</v>
      </c>
      <c r="F2687" s="2" t="s">
        <v>9047</v>
      </c>
      <c r="G2687" s="2" t="s">
        <v>9775</v>
      </c>
      <c r="H2687" s="2" t="s">
        <v>103</v>
      </c>
      <c r="I2687" s="2" t="s">
        <v>4386</v>
      </c>
      <c r="J2687" s="2" t="s">
        <v>9776</v>
      </c>
      <c r="K2687" s="13" t="s">
        <v>13177</v>
      </c>
      <c r="L2687" s="7" t="s">
        <v>13199</v>
      </c>
    </row>
    <row r="2688" spans="1:12" ht="27.6" hidden="1" x14ac:dyDescent="0.3">
      <c r="A2688" s="2" t="s">
        <v>4386</v>
      </c>
      <c r="B2688" s="2" t="s">
        <v>9777</v>
      </c>
      <c r="C2688" s="3">
        <v>37284</v>
      </c>
      <c r="D2688" s="1" t="s">
        <v>9778</v>
      </c>
      <c r="E2688" s="1" t="s">
        <v>9779</v>
      </c>
      <c r="F2688" s="2" t="s">
        <v>9047</v>
      </c>
      <c r="G2688" s="2" t="s">
        <v>9775</v>
      </c>
      <c r="H2688" s="2" t="s">
        <v>81</v>
      </c>
      <c r="I2688" s="2" t="s">
        <v>4386</v>
      </c>
      <c r="J2688" s="2" t="s">
        <v>9776</v>
      </c>
      <c r="K2688" s="13" t="s">
        <v>13177</v>
      </c>
      <c r="L2688" s="7" t="s">
        <v>13199</v>
      </c>
    </row>
    <row r="2689" spans="1:12" ht="27.6" hidden="1" x14ac:dyDescent="0.3">
      <c r="A2689" s="2" t="s">
        <v>4386</v>
      </c>
      <c r="B2689" s="2" t="s">
        <v>9780</v>
      </c>
      <c r="C2689" s="3">
        <v>38380</v>
      </c>
      <c r="D2689" s="1" t="s">
        <v>9781</v>
      </c>
      <c r="E2689" s="1" t="s">
        <v>9782</v>
      </c>
      <c r="F2689" s="2" t="s">
        <v>9468</v>
      </c>
      <c r="G2689" s="2" t="s">
        <v>734</v>
      </c>
      <c r="H2689" s="2" t="s">
        <v>10</v>
      </c>
      <c r="I2689" s="2" t="s">
        <v>4386</v>
      </c>
      <c r="J2689" s="2" t="s">
        <v>3274</v>
      </c>
      <c r="K2689" s="13" t="s">
        <v>13177</v>
      </c>
      <c r="L2689" s="7" t="s">
        <v>13199</v>
      </c>
    </row>
    <row r="2690" spans="1:12" ht="27.6" hidden="1" x14ac:dyDescent="0.3">
      <c r="A2690" s="2" t="s">
        <v>4386</v>
      </c>
      <c r="B2690" s="2" t="s">
        <v>9783</v>
      </c>
      <c r="C2690" s="3">
        <v>35808</v>
      </c>
      <c r="D2690" s="1" t="s">
        <v>9784</v>
      </c>
      <c r="E2690" s="1" t="s">
        <v>9785</v>
      </c>
      <c r="F2690" s="2" t="s">
        <v>9468</v>
      </c>
      <c r="G2690" s="2" t="s">
        <v>2383</v>
      </c>
      <c r="H2690" s="2" t="s">
        <v>10</v>
      </c>
      <c r="I2690" s="2" t="s">
        <v>4386</v>
      </c>
      <c r="J2690" s="2" t="s">
        <v>2384</v>
      </c>
      <c r="K2690" s="13" t="s">
        <v>13177</v>
      </c>
      <c r="L2690" s="7" t="s">
        <v>13199</v>
      </c>
    </row>
    <row r="2691" spans="1:12" ht="27.6" hidden="1" x14ac:dyDescent="0.3">
      <c r="A2691" s="2" t="s">
        <v>4386</v>
      </c>
      <c r="B2691" s="2" t="s">
        <v>9786</v>
      </c>
      <c r="C2691" s="3">
        <v>29353</v>
      </c>
      <c r="D2691" s="1" t="s">
        <v>9787</v>
      </c>
      <c r="E2691" s="1" t="s">
        <v>9788</v>
      </c>
      <c r="F2691" s="2" t="s">
        <v>9468</v>
      </c>
      <c r="G2691" s="2" t="s">
        <v>97</v>
      </c>
      <c r="H2691" s="2" t="s">
        <v>10</v>
      </c>
      <c r="I2691" s="2" t="s">
        <v>4386</v>
      </c>
      <c r="J2691" s="2" t="s">
        <v>2374</v>
      </c>
      <c r="K2691" s="16" t="s">
        <v>13177</v>
      </c>
      <c r="L2691" s="7" t="s">
        <v>13199</v>
      </c>
    </row>
    <row r="2692" spans="1:12" hidden="1" x14ac:dyDescent="0.3">
      <c r="A2692" s="2" t="s">
        <v>4139</v>
      </c>
      <c r="B2692" s="2" t="s">
        <v>9789</v>
      </c>
      <c r="C2692" s="3">
        <v>28282</v>
      </c>
      <c r="D2692" s="1" t="s">
        <v>9790</v>
      </c>
      <c r="E2692" s="1" t="s">
        <v>9791</v>
      </c>
      <c r="F2692" s="2" t="s">
        <v>4143</v>
      </c>
      <c r="G2692" s="2" t="s">
        <v>9418</v>
      </c>
      <c r="H2692" s="2" t="s">
        <v>562</v>
      </c>
      <c r="I2692" s="2" t="s">
        <v>4139</v>
      </c>
      <c r="J2692" s="2" t="s">
        <v>9419</v>
      </c>
      <c r="K2692" s="14"/>
      <c r="L2692" s="7" t="s">
        <v>13199</v>
      </c>
    </row>
    <row r="2693" spans="1:12" hidden="1" x14ac:dyDescent="0.3">
      <c r="A2693" s="2" t="s">
        <v>4139</v>
      </c>
      <c r="B2693" s="2" t="s">
        <v>9792</v>
      </c>
      <c r="C2693" s="3">
        <v>24429</v>
      </c>
      <c r="D2693" s="1" t="s">
        <v>9793</v>
      </c>
      <c r="E2693" s="1" t="s">
        <v>9794</v>
      </c>
      <c r="F2693" s="2" t="s">
        <v>4143</v>
      </c>
      <c r="G2693" s="2" t="s">
        <v>7413</v>
      </c>
      <c r="H2693" s="2" t="s">
        <v>9795</v>
      </c>
      <c r="I2693" s="2" t="s">
        <v>4139</v>
      </c>
      <c r="J2693" s="2" t="s">
        <v>7414</v>
      </c>
      <c r="K2693" s="14"/>
      <c r="L2693" s="7" t="s">
        <v>13199</v>
      </c>
    </row>
    <row r="2694" spans="1:12" hidden="1" x14ac:dyDescent="0.3">
      <c r="A2694" s="8" t="s">
        <v>4139</v>
      </c>
      <c r="B2694" s="8" t="s">
        <v>9796</v>
      </c>
      <c r="C2694" s="9">
        <v>33009</v>
      </c>
      <c r="D2694" s="10" t="s">
        <v>9797</v>
      </c>
      <c r="E2694" s="10" t="s">
        <v>9798</v>
      </c>
      <c r="F2694" s="8" t="s">
        <v>8598</v>
      </c>
      <c r="G2694" s="8" t="s">
        <v>9799</v>
      </c>
      <c r="H2694" s="8" t="s">
        <v>892</v>
      </c>
      <c r="I2694" s="8" t="s">
        <v>4139</v>
      </c>
      <c r="J2694" s="2" t="s">
        <v>9800</v>
      </c>
      <c r="K2694" s="13" t="s">
        <v>13177</v>
      </c>
      <c r="L2694" s="7" t="s">
        <v>13199</v>
      </c>
    </row>
    <row r="2695" spans="1:12" hidden="1" x14ac:dyDescent="0.3">
      <c r="A2695" s="2" t="s">
        <v>4139</v>
      </c>
      <c r="B2695" s="2" t="s">
        <v>9801</v>
      </c>
      <c r="C2695" s="3">
        <v>32706</v>
      </c>
      <c r="D2695" s="1" t="s">
        <v>9802</v>
      </c>
      <c r="E2695" s="1" t="s">
        <v>9803</v>
      </c>
      <c r="F2695" s="2" t="s">
        <v>9601</v>
      </c>
      <c r="G2695" s="2" t="s">
        <v>385</v>
      </c>
      <c r="H2695" s="2" t="s">
        <v>10</v>
      </c>
      <c r="I2695" s="2" t="s">
        <v>4139</v>
      </c>
      <c r="J2695" s="2" t="s">
        <v>9804</v>
      </c>
      <c r="K2695" s="14"/>
      <c r="L2695" s="7" t="s">
        <v>13199</v>
      </c>
    </row>
    <row r="2696" spans="1:12" hidden="1" x14ac:dyDescent="0.3">
      <c r="A2696" s="2" t="s">
        <v>4139</v>
      </c>
      <c r="B2696" s="2" t="s">
        <v>9805</v>
      </c>
      <c r="C2696" s="3">
        <v>25341</v>
      </c>
      <c r="D2696" s="1" t="s">
        <v>9806</v>
      </c>
      <c r="E2696" s="1" t="s">
        <v>9807</v>
      </c>
      <c r="F2696" s="2" t="s">
        <v>9601</v>
      </c>
      <c r="G2696" s="2" t="s">
        <v>206</v>
      </c>
      <c r="H2696" s="2" t="s">
        <v>10</v>
      </c>
      <c r="I2696" s="2" t="s">
        <v>4139</v>
      </c>
      <c r="J2696" s="2" t="s">
        <v>9808</v>
      </c>
      <c r="K2696" s="14"/>
      <c r="L2696" s="7" t="s">
        <v>13199</v>
      </c>
    </row>
    <row r="2697" spans="1:12" hidden="1" x14ac:dyDescent="0.3">
      <c r="A2697" s="2" t="s">
        <v>4139</v>
      </c>
      <c r="B2697" s="2" t="s">
        <v>9809</v>
      </c>
      <c r="C2697" s="3">
        <v>21822</v>
      </c>
      <c r="D2697" s="1" t="s">
        <v>4907</v>
      </c>
      <c r="E2697" s="1" t="s">
        <v>9810</v>
      </c>
      <c r="F2697" s="2" t="s">
        <v>9601</v>
      </c>
      <c r="G2697" s="2" t="s">
        <v>92</v>
      </c>
      <c r="H2697" s="2" t="s">
        <v>103</v>
      </c>
      <c r="I2697" s="2" t="s">
        <v>4139</v>
      </c>
      <c r="J2697" s="2" t="s">
        <v>9811</v>
      </c>
      <c r="K2697" s="14"/>
      <c r="L2697" s="7" t="s">
        <v>13199</v>
      </c>
    </row>
    <row r="2698" spans="1:12" hidden="1" x14ac:dyDescent="0.3">
      <c r="A2698" s="2" t="s">
        <v>4139</v>
      </c>
      <c r="B2698" s="2" t="s">
        <v>9809</v>
      </c>
      <c r="C2698" s="3">
        <v>21822</v>
      </c>
      <c r="D2698" s="1" t="s">
        <v>4907</v>
      </c>
      <c r="E2698" s="1" t="s">
        <v>9810</v>
      </c>
      <c r="F2698" s="2" t="s">
        <v>9601</v>
      </c>
      <c r="G2698" s="2" t="s">
        <v>222</v>
      </c>
      <c r="H2698" s="2" t="s">
        <v>10</v>
      </c>
      <c r="I2698" s="2" t="s">
        <v>4139</v>
      </c>
      <c r="J2698" s="2" t="s">
        <v>1788</v>
      </c>
      <c r="K2698" s="23"/>
      <c r="L2698" s="7" t="s">
        <v>13199</v>
      </c>
    </row>
    <row r="2699" spans="1:12" hidden="1" x14ac:dyDescent="0.3">
      <c r="A2699" s="2" t="s">
        <v>4139</v>
      </c>
      <c r="B2699" s="2" t="s">
        <v>9812</v>
      </c>
      <c r="C2699" s="3">
        <v>22860</v>
      </c>
      <c r="D2699" s="1" t="s">
        <v>9813</v>
      </c>
      <c r="E2699" s="1" t="s">
        <v>9814</v>
      </c>
      <c r="F2699" s="2" t="s">
        <v>4143</v>
      </c>
      <c r="G2699" s="2" t="s">
        <v>9815</v>
      </c>
      <c r="H2699" s="2" t="s">
        <v>103</v>
      </c>
      <c r="I2699" s="2" t="s">
        <v>4139</v>
      </c>
      <c r="J2699" s="2" t="s">
        <v>9816</v>
      </c>
      <c r="K2699" s="14"/>
      <c r="L2699" s="7" t="s">
        <v>13199</v>
      </c>
    </row>
    <row r="2700" spans="1:12" hidden="1" x14ac:dyDescent="0.3">
      <c r="A2700" s="2" t="s">
        <v>4139</v>
      </c>
      <c r="B2700" s="2" t="s">
        <v>9812</v>
      </c>
      <c r="C2700" s="3">
        <v>22860</v>
      </c>
      <c r="D2700" s="1" t="s">
        <v>9813</v>
      </c>
      <c r="E2700" s="1" t="s">
        <v>9814</v>
      </c>
      <c r="F2700" s="2" t="s">
        <v>4143</v>
      </c>
      <c r="G2700" s="2" t="s">
        <v>9815</v>
      </c>
      <c r="H2700" s="2" t="s">
        <v>81</v>
      </c>
      <c r="I2700" s="2" t="s">
        <v>4139</v>
      </c>
      <c r="J2700" s="2" t="s">
        <v>9816</v>
      </c>
      <c r="K2700" s="14"/>
      <c r="L2700" s="7" t="s">
        <v>13199</v>
      </c>
    </row>
    <row r="2701" spans="1:12" hidden="1" x14ac:dyDescent="0.3">
      <c r="A2701" s="2" t="s">
        <v>4139</v>
      </c>
      <c r="B2701" s="2" t="s">
        <v>9812</v>
      </c>
      <c r="C2701" s="3">
        <v>22860</v>
      </c>
      <c r="D2701" s="1" t="s">
        <v>9813</v>
      </c>
      <c r="E2701" s="1" t="s">
        <v>9817</v>
      </c>
      <c r="F2701" s="2" t="s">
        <v>4143</v>
      </c>
      <c r="G2701" s="2" t="s">
        <v>8468</v>
      </c>
      <c r="H2701" s="2" t="s">
        <v>10</v>
      </c>
      <c r="I2701" s="2" t="s">
        <v>4139</v>
      </c>
      <c r="J2701" s="2" t="s">
        <v>8469</v>
      </c>
      <c r="K2701" s="14"/>
      <c r="L2701" s="7" t="s">
        <v>13199</v>
      </c>
    </row>
    <row r="2702" spans="1:12" ht="27.6" hidden="1" x14ac:dyDescent="0.3">
      <c r="A2702" s="2" t="s">
        <v>4386</v>
      </c>
      <c r="B2702" s="2" t="s">
        <v>9818</v>
      </c>
      <c r="C2702" s="3">
        <v>36595</v>
      </c>
      <c r="D2702" s="1" t="s">
        <v>9819</v>
      </c>
      <c r="E2702" s="1" t="s">
        <v>9820</v>
      </c>
      <c r="F2702" s="2" t="s">
        <v>9821</v>
      </c>
      <c r="G2702" s="2" t="s">
        <v>292</v>
      </c>
      <c r="H2702" s="2" t="s">
        <v>10</v>
      </c>
      <c r="I2702" s="2" t="s">
        <v>4386</v>
      </c>
      <c r="J2702" s="2" t="s">
        <v>293</v>
      </c>
      <c r="K2702" s="20" t="s">
        <v>13177</v>
      </c>
      <c r="L2702" s="7" t="s">
        <v>13199</v>
      </c>
    </row>
    <row r="2703" spans="1:12" ht="27.6" hidden="1" x14ac:dyDescent="0.3">
      <c r="A2703" s="2" t="s">
        <v>4386</v>
      </c>
      <c r="B2703" s="2" t="s">
        <v>9822</v>
      </c>
      <c r="C2703" s="3">
        <v>19534</v>
      </c>
      <c r="D2703" s="1" t="s">
        <v>9823</v>
      </c>
      <c r="E2703" s="1" t="s">
        <v>9824</v>
      </c>
      <c r="F2703" s="2" t="s">
        <v>9821</v>
      </c>
      <c r="G2703" s="2" t="s">
        <v>1222</v>
      </c>
      <c r="H2703" s="2" t="s">
        <v>10</v>
      </c>
      <c r="I2703" s="2" t="s">
        <v>4386</v>
      </c>
      <c r="J2703" s="2" t="s">
        <v>1223</v>
      </c>
      <c r="K2703" s="13" t="s">
        <v>13177</v>
      </c>
      <c r="L2703" s="7" t="s">
        <v>13199</v>
      </c>
    </row>
    <row r="2704" spans="1:12" ht="27.6" hidden="1" x14ac:dyDescent="0.3">
      <c r="A2704" s="2" t="s">
        <v>4386</v>
      </c>
      <c r="B2704" s="2" t="s">
        <v>9825</v>
      </c>
      <c r="C2704" s="3">
        <v>23206</v>
      </c>
      <c r="D2704" s="1" t="s">
        <v>9826</v>
      </c>
      <c r="E2704" s="1" t="s">
        <v>9827</v>
      </c>
      <c r="F2704" s="2" t="s">
        <v>9821</v>
      </c>
      <c r="G2704" s="2" t="s">
        <v>2594</v>
      </c>
      <c r="H2704" s="2" t="s">
        <v>10</v>
      </c>
      <c r="I2704" s="2" t="s">
        <v>4386</v>
      </c>
      <c r="J2704" s="2" t="s">
        <v>9464</v>
      </c>
      <c r="K2704" s="13" t="s">
        <v>13177</v>
      </c>
      <c r="L2704" s="7" t="s">
        <v>13199</v>
      </c>
    </row>
    <row r="2705" spans="1:12" ht="27.6" hidden="1" x14ac:dyDescent="0.3">
      <c r="A2705" s="2" t="s">
        <v>4386</v>
      </c>
      <c r="B2705" s="2" t="s">
        <v>9828</v>
      </c>
      <c r="C2705" s="3">
        <v>32717</v>
      </c>
      <c r="D2705" s="1" t="s">
        <v>9829</v>
      </c>
      <c r="E2705" s="1" t="s">
        <v>9830</v>
      </c>
      <c r="F2705" s="2" t="s">
        <v>9821</v>
      </c>
      <c r="G2705" s="2" t="s">
        <v>288</v>
      </c>
      <c r="H2705" s="2" t="s">
        <v>10</v>
      </c>
      <c r="I2705" s="2" t="s">
        <v>4386</v>
      </c>
      <c r="J2705" s="2" t="s">
        <v>6541</v>
      </c>
      <c r="K2705" s="13" t="s">
        <v>13177</v>
      </c>
      <c r="L2705" s="7" t="s">
        <v>13199</v>
      </c>
    </row>
    <row r="2706" spans="1:12" ht="27.6" hidden="1" x14ac:dyDescent="0.3">
      <c r="A2706" s="2" t="s">
        <v>4386</v>
      </c>
      <c r="B2706" s="2" t="s">
        <v>9831</v>
      </c>
      <c r="C2706" s="3">
        <v>22674</v>
      </c>
      <c r="D2706" s="1" t="s">
        <v>9832</v>
      </c>
      <c r="E2706" s="1" t="s">
        <v>9833</v>
      </c>
      <c r="F2706" s="2" t="s">
        <v>9821</v>
      </c>
      <c r="G2706" s="2" t="s">
        <v>643</v>
      </c>
      <c r="H2706" s="2" t="s">
        <v>81</v>
      </c>
      <c r="I2706" s="2" t="s">
        <v>4386</v>
      </c>
      <c r="J2706" s="2" t="s">
        <v>9834</v>
      </c>
      <c r="K2706" s="13" t="s">
        <v>13177</v>
      </c>
      <c r="L2706" s="7" t="s">
        <v>13199</v>
      </c>
    </row>
    <row r="2707" spans="1:12" ht="27.6" hidden="1" x14ac:dyDescent="0.3">
      <c r="A2707" s="2" t="s">
        <v>4386</v>
      </c>
      <c r="B2707" s="2" t="s">
        <v>9835</v>
      </c>
      <c r="C2707" s="3">
        <v>28109</v>
      </c>
      <c r="D2707" s="1" t="s">
        <v>9836</v>
      </c>
      <c r="E2707" s="1" t="s">
        <v>9837</v>
      </c>
      <c r="F2707" s="2" t="s">
        <v>9821</v>
      </c>
      <c r="G2707" s="2" t="s">
        <v>604</v>
      </c>
      <c r="H2707" s="2" t="s">
        <v>10</v>
      </c>
      <c r="I2707" s="2" t="s">
        <v>4386</v>
      </c>
      <c r="J2707" s="2" t="s">
        <v>605</v>
      </c>
      <c r="K2707" s="13" t="s">
        <v>13177</v>
      </c>
      <c r="L2707" s="7" t="s">
        <v>13199</v>
      </c>
    </row>
    <row r="2708" spans="1:12" ht="27.6" hidden="1" x14ac:dyDescent="0.3">
      <c r="A2708" s="2" t="s">
        <v>4386</v>
      </c>
      <c r="B2708" s="2" t="s">
        <v>9838</v>
      </c>
      <c r="C2708" s="3">
        <v>31170</v>
      </c>
      <c r="D2708" s="1" t="s">
        <v>9839</v>
      </c>
      <c r="E2708" s="1" t="s">
        <v>9840</v>
      </c>
      <c r="F2708" s="2" t="s">
        <v>9821</v>
      </c>
      <c r="G2708" s="2" t="s">
        <v>1504</v>
      </c>
      <c r="H2708" s="2" t="s">
        <v>10</v>
      </c>
      <c r="I2708" s="2" t="s">
        <v>4386</v>
      </c>
      <c r="J2708" s="2" t="s">
        <v>1505</v>
      </c>
      <c r="K2708" s="13" t="s">
        <v>13177</v>
      </c>
      <c r="L2708" s="7" t="s">
        <v>13199</v>
      </c>
    </row>
    <row r="2709" spans="1:12" ht="27.6" hidden="1" x14ac:dyDescent="0.3">
      <c r="A2709" s="2" t="s">
        <v>4386</v>
      </c>
      <c r="B2709" s="2" t="s">
        <v>9841</v>
      </c>
      <c r="C2709" s="3">
        <v>34052</v>
      </c>
      <c r="D2709" s="1" t="s">
        <v>9842</v>
      </c>
      <c r="E2709" s="1" t="s">
        <v>9843</v>
      </c>
      <c r="F2709" s="2" t="s">
        <v>9047</v>
      </c>
      <c r="G2709" s="2" t="s">
        <v>9844</v>
      </c>
      <c r="H2709" s="2" t="s">
        <v>103</v>
      </c>
      <c r="I2709" s="2" t="s">
        <v>4386</v>
      </c>
      <c r="J2709" s="2" t="s">
        <v>9845</v>
      </c>
      <c r="K2709" s="13" t="s">
        <v>13177</v>
      </c>
      <c r="L2709" s="7" t="s">
        <v>13199</v>
      </c>
    </row>
    <row r="2710" spans="1:12" ht="27.6" hidden="1" x14ac:dyDescent="0.3">
      <c r="A2710" s="2" t="s">
        <v>4386</v>
      </c>
      <c r="B2710" s="2" t="s">
        <v>9846</v>
      </c>
      <c r="C2710" s="3">
        <v>20666</v>
      </c>
      <c r="D2710" s="1" t="s">
        <v>9847</v>
      </c>
      <c r="E2710" s="1" t="s">
        <v>9848</v>
      </c>
      <c r="F2710" s="2" t="s">
        <v>9047</v>
      </c>
      <c r="G2710" s="2" t="s">
        <v>9844</v>
      </c>
      <c r="H2710" s="2" t="s">
        <v>562</v>
      </c>
      <c r="I2710" s="2" t="s">
        <v>4386</v>
      </c>
      <c r="J2710" s="2" t="s">
        <v>9845</v>
      </c>
      <c r="K2710" s="13" t="s">
        <v>13177</v>
      </c>
      <c r="L2710" s="7" t="s">
        <v>13199</v>
      </c>
    </row>
    <row r="2711" spans="1:12" ht="27.6" hidden="1" x14ac:dyDescent="0.3">
      <c r="A2711" s="2" t="s">
        <v>4386</v>
      </c>
      <c r="B2711" s="2" t="s">
        <v>9849</v>
      </c>
      <c r="C2711" s="3">
        <v>36621</v>
      </c>
      <c r="D2711" s="1" t="s">
        <v>9850</v>
      </c>
      <c r="E2711" s="1" t="s">
        <v>9851</v>
      </c>
      <c r="F2711" s="2" t="s">
        <v>5049</v>
      </c>
      <c r="G2711" s="2" t="s">
        <v>80</v>
      </c>
      <c r="H2711" s="2" t="s">
        <v>10</v>
      </c>
      <c r="I2711" s="2" t="s">
        <v>4386</v>
      </c>
      <c r="J2711" s="2" t="s">
        <v>845</v>
      </c>
      <c r="K2711" s="13" t="s">
        <v>13177</v>
      </c>
      <c r="L2711" s="7" t="s">
        <v>13199</v>
      </c>
    </row>
    <row r="2712" spans="1:12" ht="27.6" hidden="1" x14ac:dyDescent="0.3">
      <c r="A2712" s="2" t="s">
        <v>4386</v>
      </c>
      <c r="B2712" s="2" t="s">
        <v>9852</v>
      </c>
      <c r="C2712" s="3">
        <v>34758</v>
      </c>
      <c r="D2712" s="1" t="s">
        <v>9853</v>
      </c>
      <c r="E2712" s="1" t="s">
        <v>9854</v>
      </c>
      <c r="F2712" s="2" t="s">
        <v>5049</v>
      </c>
      <c r="G2712" s="2" t="s">
        <v>206</v>
      </c>
      <c r="H2712" s="2" t="s">
        <v>9855</v>
      </c>
      <c r="I2712" s="2" t="s">
        <v>4386</v>
      </c>
      <c r="J2712" s="2" t="s">
        <v>9856</v>
      </c>
      <c r="K2712" s="13" t="s">
        <v>13177</v>
      </c>
      <c r="L2712" s="7" t="s">
        <v>13199</v>
      </c>
    </row>
    <row r="2713" spans="1:12" ht="27.6" hidden="1" x14ac:dyDescent="0.3">
      <c r="A2713" s="2" t="s">
        <v>4386</v>
      </c>
      <c r="B2713" s="2" t="s">
        <v>9857</v>
      </c>
      <c r="C2713" s="3">
        <v>24726</v>
      </c>
      <c r="D2713" s="1" t="s">
        <v>9858</v>
      </c>
      <c r="E2713" s="1" t="s">
        <v>9859</v>
      </c>
      <c r="F2713" s="2" t="s">
        <v>5053</v>
      </c>
      <c r="G2713" s="2" t="s">
        <v>292</v>
      </c>
      <c r="H2713" s="2" t="s">
        <v>103</v>
      </c>
      <c r="I2713" s="2" t="s">
        <v>4386</v>
      </c>
      <c r="J2713" s="2" t="s">
        <v>293</v>
      </c>
      <c r="K2713" s="13" t="s">
        <v>13177</v>
      </c>
      <c r="L2713" s="7" t="s">
        <v>13199</v>
      </c>
    </row>
    <row r="2714" spans="1:12" ht="27.6" hidden="1" x14ac:dyDescent="0.3">
      <c r="A2714" s="2" t="s">
        <v>4386</v>
      </c>
      <c r="B2714" s="2" t="s">
        <v>9860</v>
      </c>
      <c r="C2714" s="3">
        <v>28824</v>
      </c>
      <c r="D2714" s="1" t="s">
        <v>9861</v>
      </c>
      <c r="E2714" s="1" t="s">
        <v>9862</v>
      </c>
      <c r="F2714" s="2" t="s">
        <v>5053</v>
      </c>
      <c r="G2714" s="2" t="s">
        <v>292</v>
      </c>
      <c r="H2714" s="2" t="s">
        <v>81</v>
      </c>
      <c r="I2714" s="2" t="s">
        <v>4386</v>
      </c>
      <c r="J2714" s="2" t="s">
        <v>293</v>
      </c>
      <c r="K2714" s="13" t="s">
        <v>13177</v>
      </c>
      <c r="L2714" s="7" t="s">
        <v>13199</v>
      </c>
    </row>
    <row r="2715" spans="1:12" ht="27.6" hidden="1" x14ac:dyDescent="0.3">
      <c r="A2715" s="2" t="s">
        <v>4386</v>
      </c>
      <c r="B2715" s="2" t="s">
        <v>9849</v>
      </c>
      <c r="C2715" s="3">
        <v>36621</v>
      </c>
      <c r="D2715" s="1" t="s">
        <v>9850</v>
      </c>
      <c r="E2715" s="1" t="s">
        <v>9851</v>
      </c>
      <c r="F2715" s="2" t="s">
        <v>7088</v>
      </c>
      <c r="G2715" s="2" t="s">
        <v>696</v>
      </c>
      <c r="H2715" s="2" t="s">
        <v>81</v>
      </c>
      <c r="I2715" s="2" t="s">
        <v>4386</v>
      </c>
      <c r="J2715" s="2" t="s">
        <v>697</v>
      </c>
      <c r="K2715" s="13" t="s">
        <v>13177</v>
      </c>
      <c r="L2715" s="7" t="s">
        <v>13199</v>
      </c>
    </row>
    <row r="2716" spans="1:12" ht="27.6" hidden="1" x14ac:dyDescent="0.3">
      <c r="A2716" s="2" t="s">
        <v>4386</v>
      </c>
      <c r="B2716" s="2" t="s">
        <v>9863</v>
      </c>
      <c r="C2716" s="3">
        <v>29821</v>
      </c>
      <c r="D2716" s="1" t="s">
        <v>9864</v>
      </c>
      <c r="E2716" s="1" t="s">
        <v>9865</v>
      </c>
      <c r="F2716" s="2" t="s">
        <v>7088</v>
      </c>
      <c r="G2716" s="2" t="s">
        <v>222</v>
      </c>
      <c r="H2716" s="2" t="s">
        <v>10</v>
      </c>
      <c r="I2716" s="2" t="s">
        <v>4386</v>
      </c>
      <c r="J2716" s="2" t="s">
        <v>223</v>
      </c>
      <c r="K2716" s="13" t="s">
        <v>13177</v>
      </c>
      <c r="L2716" s="7" t="s">
        <v>13199</v>
      </c>
    </row>
    <row r="2717" spans="1:12" ht="27.6" hidden="1" x14ac:dyDescent="0.3">
      <c r="A2717" s="2" t="s">
        <v>4386</v>
      </c>
      <c r="B2717" s="2" t="s">
        <v>9866</v>
      </c>
      <c r="C2717" s="3">
        <v>22728</v>
      </c>
      <c r="D2717" s="1" t="s">
        <v>9867</v>
      </c>
      <c r="E2717" s="1" t="s">
        <v>9868</v>
      </c>
      <c r="F2717" s="2" t="s">
        <v>7088</v>
      </c>
      <c r="G2717" s="2" t="s">
        <v>206</v>
      </c>
      <c r="H2717" s="2" t="s">
        <v>10</v>
      </c>
      <c r="I2717" s="2" t="s">
        <v>4386</v>
      </c>
      <c r="J2717" s="2" t="s">
        <v>207</v>
      </c>
      <c r="K2717" s="13" t="s">
        <v>13177</v>
      </c>
      <c r="L2717" s="7" t="s">
        <v>13199</v>
      </c>
    </row>
    <row r="2718" spans="1:12" ht="27.6" hidden="1" x14ac:dyDescent="0.3">
      <c r="A2718" s="2" t="s">
        <v>4386</v>
      </c>
      <c r="B2718" s="2" t="s">
        <v>9869</v>
      </c>
      <c r="C2718" s="3">
        <v>34394</v>
      </c>
      <c r="D2718" s="1" t="s">
        <v>9870</v>
      </c>
      <c r="E2718" s="1" t="s">
        <v>9871</v>
      </c>
      <c r="F2718" s="2" t="s">
        <v>7088</v>
      </c>
      <c r="G2718" s="2" t="s">
        <v>1403</v>
      </c>
      <c r="H2718" s="2" t="s">
        <v>10</v>
      </c>
      <c r="I2718" s="2" t="s">
        <v>4386</v>
      </c>
      <c r="J2718" s="2" t="s">
        <v>9872</v>
      </c>
      <c r="K2718" s="13" t="s">
        <v>13177</v>
      </c>
      <c r="L2718" s="7" t="s">
        <v>13199</v>
      </c>
    </row>
    <row r="2719" spans="1:12" ht="27.6" hidden="1" x14ac:dyDescent="0.3">
      <c r="A2719" s="2" t="s">
        <v>4386</v>
      </c>
      <c r="B2719" s="2" t="s">
        <v>9873</v>
      </c>
      <c r="C2719" s="3">
        <v>24436</v>
      </c>
      <c r="D2719" s="1" t="s">
        <v>9874</v>
      </c>
      <c r="E2719" s="1" t="s">
        <v>9875</v>
      </c>
      <c r="F2719" s="2" t="s">
        <v>7088</v>
      </c>
      <c r="G2719" s="2" t="s">
        <v>288</v>
      </c>
      <c r="H2719" s="2" t="s">
        <v>10</v>
      </c>
      <c r="I2719" s="2" t="s">
        <v>4386</v>
      </c>
      <c r="J2719" s="2" t="s">
        <v>289</v>
      </c>
      <c r="K2719" s="13" t="s">
        <v>13177</v>
      </c>
      <c r="L2719" s="7" t="s">
        <v>13199</v>
      </c>
    </row>
    <row r="2720" spans="1:12" ht="27.6" hidden="1" x14ac:dyDescent="0.3">
      <c r="A2720" s="2" t="s">
        <v>4386</v>
      </c>
      <c r="B2720" s="2" t="s">
        <v>9876</v>
      </c>
      <c r="C2720" s="3">
        <v>32121</v>
      </c>
      <c r="D2720" s="1" t="s">
        <v>9877</v>
      </c>
      <c r="E2720" s="1" t="s">
        <v>9878</v>
      </c>
      <c r="F2720" s="2" t="s">
        <v>9468</v>
      </c>
      <c r="G2720" s="2" t="s">
        <v>3668</v>
      </c>
      <c r="H2720" s="2" t="s">
        <v>10</v>
      </c>
      <c r="I2720" s="2" t="s">
        <v>4386</v>
      </c>
      <c r="J2720" s="2" t="s">
        <v>8202</v>
      </c>
      <c r="K2720" s="13" t="s">
        <v>13177</v>
      </c>
      <c r="L2720" s="7" t="s">
        <v>13199</v>
      </c>
    </row>
    <row r="2721" spans="1:12" ht="27.6" hidden="1" x14ac:dyDescent="0.3">
      <c r="A2721" s="2" t="s">
        <v>4386</v>
      </c>
      <c r="B2721" s="2" t="s">
        <v>9345</v>
      </c>
      <c r="C2721" s="3">
        <v>23956</v>
      </c>
      <c r="D2721" s="1" t="s">
        <v>9346</v>
      </c>
      <c r="E2721" s="1" t="s">
        <v>9879</v>
      </c>
      <c r="F2721" s="2" t="s">
        <v>9468</v>
      </c>
      <c r="G2721" s="2" t="s">
        <v>129</v>
      </c>
      <c r="H2721" s="2" t="s">
        <v>10</v>
      </c>
      <c r="I2721" s="2" t="s">
        <v>4386</v>
      </c>
      <c r="J2721" s="2" t="s">
        <v>130</v>
      </c>
      <c r="K2721" s="13" t="s">
        <v>13177</v>
      </c>
      <c r="L2721" s="7" t="s">
        <v>13199</v>
      </c>
    </row>
    <row r="2722" spans="1:12" ht="27.6" hidden="1" x14ac:dyDescent="0.3">
      <c r="A2722" s="2" t="s">
        <v>4386</v>
      </c>
      <c r="B2722" s="2" t="s">
        <v>9880</v>
      </c>
      <c r="C2722" s="3">
        <v>31669</v>
      </c>
      <c r="D2722" s="1" t="s">
        <v>9881</v>
      </c>
      <c r="E2722" s="1" t="s">
        <v>9882</v>
      </c>
      <c r="F2722" s="2" t="s">
        <v>9468</v>
      </c>
      <c r="G2722" s="2" t="s">
        <v>3825</v>
      </c>
      <c r="H2722" s="2" t="s">
        <v>10</v>
      </c>
      <c r="I2722" s="2" t="s">
        <v>4386</v>
      </c>
      <c r="J2722" s="2" t="s">
        <v>9883</v>
      </c>
      <c r="K2722" s="13" t="s">
        <v>13177</v>
      </c>
      <c r="L2722" s="7" t="s">
        <v>13199</v>
      </c>
    </row>
    <row r="2723" spans="1:12" ht="27.6" hidden="1" x14ac:dyDescent="0.3">
      <c r="A2723" s="2" t="s">
        <v>4386</v>
      </c>
      <c r="B2723" s="2" t="s">
        <v>9884</v>
      </c>
      <c r="C2723" s="3">
        <v>24763</v>
      </c>
      <c r="D2723" s="1" t="s">
        <v>9885</v>
      </c>
      <c r="E2723" s="1" t="s">
        <v>9886</v>
      </c>
      <c r="F2723" s="2" t="s">
        <v>9468</v>
      </c>
      <c r="G2723" s="2" t="s">
        <v>64</v>
      </c>
      <c r="H2723" s="2" t="s">
        <v>10</v>
      </c>
      <c r="I2723" s="2" t="s">
        <v>4386</v>
      </c>
      <c r="J2723" s="2" t="s">
        <v>2854</v>
      </c>
      <c r="K2723" s="13" t="s">
        <v>13177</v>
      </c>
      <c r="L2723" s="7" t="s">
        <v>13199</v>
      </c>
    </row>
    <row r="2724" spans="1:12" ht="27.6" hidden="1" x14ac:dyDescent="0.3">
      <c r="A2724" s="2" t="s">
        <v>4386</v>
      </c>
      <c r="B2724" s="2" t="s">
        <v>9887</v>
      </c>
      <c r="C2724" s="3">
        <v>30828</v>
      </c>
      <c r="D2724" s="1" t="s">
        <v>9888</v>
      </c>
      <c r="E2724" s="1" t="s">
        <v>9889</v>
      </c>
      <c r="F2724" s="2" t="s">
        <v>9574</v>
      </c>
      <c r="G2724" s="2" t="s">
        <v>380</v>
      </c>
      <c r="H2724" s="2" t="s">
        <v>10</v>
      </c>
      <c r="I2724" s="2" t="s">
        <v>4386</v>
      </c>
      <c r="J2724" s="2" t="s">
        <v>1083</v>
      </c>
      <c r="K2724" s="13" t="s">
        <v>13177</v>
      </c>
      <c r="L2724" s="7" t="s">
        <v>13199</v>
      </c>
    </row>
    <row r="2725" spans="1:12" ht="27.6" hidden="1" x14ac:dyDescent="0.3">
      <c r="A2725" s="2" t="s">
        <v>4386</v>
      </c>
      <c r="B2725" s="2" t="s">
        <v>9890</v>
      </c>
      <c r="C2725" s="3">
        <v>33458</v>
      </c>
      <c r="D2725" s="1" t="s">
        <v>9235</v>
      </c>
      <c r="E2725" s="1" t="s">
        <v>9236</v>
      </c>
      <c r="F2725" s="2" t="s">
        <v>9584</v>
      </c>
      <c r="G2725" s="2" t="s">
        <v>6588</v>
      </c>
      <c r="H2725" s="2" t="s">
        <v>10</v>
      </c>
      <c r="I2725" s="2" t="s">
        <v>4386</v>
      </c>
      <c r="J2725" s="2" t="s">
        <v>7239</v>
      </c>
      <c r="K2725" s="13" t="s">
        <v>13177</v>
      </c>
      <c r="L2725" s="7" t="s">
        <v>13199</v>
      </c>
    </row>
    <row r="2726" spans="1:12" ht="27.6" hidden="1" x14ac:dyDescent="0.3">
      <c r="A2726" s="2" t="s">
        <v>4386</v>
      </c>
      <c r="B2726" s="2" t="s">
        <v>9891</v>
      </c>
      <c r="C2726" s="3">
        <v>37582</v>
      </c>
      <c r="D2726" s="1" t="s">
        <v>9892</v>
      </c>
      <c r="E2726" s="1" t="s">
        <v>9893</v>
      </c>
      <c r="F2726" s="2" t="s">
        <v>9584</v>
      </c>
      <c r="G2726" s="2" t="s">
        <v>309</v>
      </c>
      <c r="H2726" s="2" t="s">
        <v>10</v>
      </c>
      <c r="I2726" s="2" t="s">
        <v>4386</v>
      </c>
      <c r="J2726" s="2" t="s">
        <v>310</v>
      </c>
      <c r="K2726" s="13" t="s">
        <v>13177</v>
      </c>
      <c r="L2726" s="7" t="s">
        <v>13199</v>
      </c>
    </row>
    <row r="2727" spans="1:12" ht="27.6" hidden="1" x14ac:dyDescent="0.3">
      <c r="A2727" s="2" t="s">
        <v>4386</v>
      </c>
      <c r="B2727" s="2" t="s">
        <v>9894</v>
      </c>
      <c r="C2727" s="3">
        <v>36257</v>
      </c>
      <c r="D2727" s="1" t="s">
        <v>9895</v>
      </c>
      <c r="E2727" s="1" t="s">
        <v>9896</v>
      </c>
      <c r="F2727" s="2" t="s">
        <v>9574</v>
      </c>
      <c r="G2727" s="2" t="s">
        <v>425</v>
      </c>
      <c r="H2727" s="2" t="s">
        <v>10</v>
      </c>
      <c r="I2727" s="2" t="s">
        <v>4386</v>
      </c>
      <c r="J2727" s="2" t="s">
        <v>1181</v>
      </c>
      <c r="K2727" s="13" t="s">
        <v>13177</v>
      </c>
      <c r="L2727" s="7" t="s">
        <v>13199</v>
      </c>
    </row>
    <row r="2728" spans="1:12" ht="27.6" hidden="1" x14ac:dyDescent="0.3">
      <c r="A2728" s="2" t="s">
        <v>4386</v>
      </c>
      <c r="B2728" s="2" t="s">
        <v>9897</v>
      </c>
      <c r="C2728" s="3">
        <v>33008</v>
      </c>
      <c r="D2728" s="1" t="s">
        <v>9898</v>
      </c>
      <c r="E2728" s="1" t="s">
        <v>9899</v>
      </c>
      <c r="F2728" s="2" t="s">
        <v>9574</v>
      </c>
      <c r="G2728" s="2" t="s">
        <v>258</v>
      </c>
      <c r="H2728" s="2" t="s">
        <v>10</v>
      </c>
      <c r="I2728" s="2" t="s">
        <v>4386</v>
      </c>
      <c r="J2728" s="2" t="s">
        <v>259</v>
      </c>
      <c r="K2728" s="13" t="s">
        <v>13177</v>
      </c>
      <c r="L2728" s="7" t="s">
        <v>13199</v>
      </c>
    </row>
    <row r="2729" spans="1:12" ht="27.6" hidden="1" x14ac:dyDescent="0.3">
      <c r="A2729" s="2" t="s">
        <v>4386</v>
      </c>
      <c r="B2729" s="2" t="s">
        <v>9900</v>
      </c>
      <c r="C2729" s="3">
        <v>32047</v>
      </c>
      <c r="D2729" s="1" t="s">
        <v>9901</v>
      </c>
      <c r="E2729" s="1" t="s">
        <v>9902</v>
      </c>
      <c r="F2729" s="2" t="s">
        <v>9041</v>
      </c>
      <c r="G2729" s="2" t="s">
        <v>9903</v>
      </c>
      <c r="H2729" s="2" t="s">
        <v>10</v>
      </c>
      <c r="I2729" s="2" t="s">
        <v>4386</v>
      </c>
      <c r="J2729" s="2" t="s">
        <v>9904</v>
      </c>
      <c r="K2729" s="13" t="s">
        <v>13177</v>
      </c>
      <c r="L2729" s="7" t="s">
        <v>13199</v>
      </c>
    </row>
    <row r="2730" spans="1:12" ht="27.6" hidden="1" x14ac:dyDescent="0.3">
      <c r="A2730" s="2" t="s">
        <v>4386</v>
      </c>
      <c r="B2730" s="2" t="s">
        <v>9905</v>
      </c>
      <c r="C2730" s="3">
        <v>30180</v>
      </c>
      <c r="D2730" s="1" t="s">
        <v>9906</v>
      </c>
      <c r="E2730" s="1" t="s">
        <v>9907</v>
      </c>
      <c r="F2730" s="2" t="s">
        <v>4555</v>
      </c>
      <c r="G2730" s="2" t="s">
        <v>9908</v>
      </c>
      <c r="H2730" s="2" t="s">
        <v>334</v>
      </c>
      <c r="I2730" s="2" t="s">
        <v>4386</v>
      </c>
      <c r="J2730" s="2" t="s">
        <v>9909</v>
      </c>
      <c r="K2730" s="13" t="s">
        <v>13177</v>
      </c>
      <c r="L2730" s="7" t="s">
        <v>13199</v>
      </c>
    </row>
    <row r="2731" spans="1:12" ht="27.6" hidden="1" x14ac:dyDescent="0.3">
      <c r="A2731" s="2" t="s">
        <v>4139</v>
      </c>
      <c r="B2731" s="2" t="s">
        <v>9910</v>
      </c>
      <c r="C2731" s="3">
        <v>31513</v>
      </c>
      <c r="D2731" s="1" t="s">
        <v>9911</v>
      </c>
      <c r="E2731" s="1" t="s">
        <v>9912</v>
      </c>
      <c r="F2731" s="2" t="s">
        <v>9913</v>
      </c>
      <c r="G2731" s="2" t="s">
        <v>9914</v>
      </c>
      <c r="H2731" s="2" t="s">
        <v>103</v>
      </c>
      <c r="I2731" s="2" t="s">
        <v>4139</v>
      </c>
      <c r="J2731" s="2" t="s">
        <v>9915</v>
      </c>
      <c r="K2731" s="13" t="s">
        <v>13177</v>
      </c>
      <c r="L2731" s="7" t="s">
        <v>13199</v>
      </c>
    </row>
    <row r="2732" spans="1:12" hidden="1" x14ac:dyDescent="0.3">
      <c r="A2732" s="8" t="s">
        <v>4139</v>
      </c>
      <c r="B2732" s="8" t="s">
        <v>9916</v>
      </c>
      <c r="C2732" s="9">
        <v>24239</v>
      </c>
      <c r="D2732" s="10" t="s">
        <v>9917</v>
      </c>
      <c r="E2732" s="10" t="s">
        <v>9918</v>
      </c>
      <c r="F2732" s="8" t="s">
        <v>8598</v>
      </c>
      <c r="G2732" s="8" t="s">
        <v>9919</v>
      </c>
      <c r="H2732" s="8" t="s">
        <v>10</v>
      </c>
      <c r="I2732" s="8" t="s">
        <v>4139</v>
      </c>
      <c r="J2732" s="2" t="s">
        <v>9920</v>
      </c>
      <c r="K2732" s="13" t="s">
        <v>13177</v>
      </c>
      <c r="L2732" s="7" t="s">
        <v>13199</v>
      </c>
    </row>
    <row r="2733" spans="1:12" hidden="1" x14ac:dyDescent="0.3">
      <c r="A2733" s="8" t="s">
        <v>4139</v>
      </c>
      <c r="B2733" s="8" t="s">
        <v>9921</v>
      </c>
      <c r="C2733" s="9">
        <v>26823</v>
      </c>
      <c r="D2733" s="10" t="s">
        <v>9922</v>
      </c>
      <c r="E2733" s="10" t="s">
        <v>9923</v>
      </c>
      <c r="F2733" s="8" t="s">
        <v>8598</v>
      </c>
      <c r="G2733" s="8" t="s">
        <v>9924</v>
      </c>
      <c r="H2733" s="8" t="s">
        <v>10</v>
      </c>
      <c r="I2733" s="8" t="s">
        <v>4139</v>
      </c>
      <c r="J2733" s="2" t="s">
        <v>9925</v>
      </c>
      <c r="K2733" s="13" t="s">
        <v>13177</v>
      </c>
      <c r="L2733" s="7" t="s">
        <v>13199</v>
      </c>
    </row>
    <row r="2734" spans="1:12" ht="27.6" hidden="1" x14ac:dyDescent="0.3">
      <c r="A2734" s="2" t="s">
        <v>4139</v>
      </c>
      <c r="B2734" s="2" t="s">
        <v>9926</v>
      </c>
      <c r="C2734" s="3">
        <v>17314</v>
      </c>
      <c r="D2734" s="1" t="s">
        <v>9927</v>
      </c>
      <c r="E2734" s="1" t="s">
        <v>9928</v>
      </c>
      <c r="F2734" s="2" t="s">
        <v>9913</v>
      </c>
      <c r="G2734" s="2" t="s">
        <v>7276</v>
      </c>
      <c r="H2734" s="2" t="s">
        <v>10</v>
      </c>
      <c r="I2734" s="2" t="s">
        <v>4139</v>
      </c>
      <c r="J2734" s="2" t="s">
        <v>9929</v>
      </c>
      <c r="K2734" s="13" t="s">
        <v>13177</v>
      </c>
      <c r="L2734" s="7" t="s">
        <v>13199</v>
      </c>
    </row>
    <row r="2735" spans="1:12" ht="27.6" hidden="1" x14ac:dyDescent="0.3">
      <c r="A2735" s="2" t="s">
        <v>4139</v>
      </c>
      <c r="B2735" s="2" t="s">
        <v>9930</v>
      </c>
      <c r="C2735" s="3">
        <v>38084</v>
      </c>
      <c r="D2735" s="1" t="s">
        <v>261</v>
      </c>
      <c r="E2735" s="1" t="s">
        <v>9931</v>
      </c>
      <c r="F2735" s="2" t="s">
        <v>9913</v>
      </c>
      <c r="G2735" s="2" t="s">
        <v>9932</v>
      </c>
      <c r="H2735" s="2" t="s">
        <v>103</v>
      </c>
      <c r="I2735" s="2" t="s">
        <v>4139</v>
      </c>
      <c r="J2735" s="2" t="s">
        <v>9933</v>
      </c>
      <c r="K2735" s="13" t="s">
        <v>13177</v>
      </c>
      <c r="L2735" s="7" t="s">
        <v>13199</v>
      </c>
    </row>
    <row r="2736" spans="1:12" ht="27.6" hidden="1" x14ac:dyDescent="0.3">
      <c r="A2736" s="2" t="s">
        <v>4139</v>
      </c>
      <c r="B2736" s="2" t="s">
        <v>9934</v>
      </c>
      <c r="C2736" s="3">
        <v>24576</v>
      </c>
      <c r="D2736" s="1" t="s">
        <v>9935</v>
      </c>
      <c r="E2736" s="1" t="s">
        <v>9936</v>
      </c>
      <c r="F2736" s="2" t="s">
        <v>9913</v>
      </c>
      <c r="G2736" s="2" t="s">
        <v>9932</v>
      </c>
      <c r="H2736" s="2" t="s">
        <v>81</v>
      </c>
      <c r="I2736" s="2" t="s">
        <v>4139</v>
      </c>
      <c r="J2736" s="2" t="s">
        <v>9933</v>
      </c>
      <c r="K2736" s="13" t="s">
        <v>13177</v>
      </c>
      <c r="L2736" s="7" t="s">
        <v>13199</v>
      </c>
    </row>
    <row r="2737" spans="1:12" ht="27.6" hidden="1" x14ac:dyDescent="0.3">
      <c r="A2737" s="2" t="s">
        <v>4139</v>
      </c>
      <c r="B2737" s="2" t="s">
        <v>9937</v>
      </c>
      <c r="C2737" s="3">
        <v>34573</v>
      </c>
      <c r="D2737" s="1" t="s">
        <v>9938</v>
      </c>
      <c r="E2737" s="1" t="s">
        <v>9939</v>
      </c>
      <c r="F2737" s="2" t="s">
        <v>9913</v>
      </c>
      <c r="G2737" s="2" t="s">
        <v>6172</v>
      </c>
      <c r="H2737" s="2" t="s">
        <v>103</v>
      </c>
      <c r="I2737" s="2" t="s">
        <v>4139</v>
      </c>
      <c r="J2737" s="2" t="s">
        <v>9940</v>
      </c>
      <c r="K2737" s="13" t="s">
        <v>13177</v>
      </c>
      <c r="L2737" s="7" t="s">
        <v>13199</v>
      </c>
    </row>
    <row r="2738" spans="1:12" ht="27.6" hidden="1" x14ac:dyDescent="0.3">
      <c r="A2738" s="2" t="s">
        <v>4139</v>
      </c>
      <c r="B2738" s="2" t="s">
        <v>9941</v>
      </c>
      <c r="C2738" s="3">
        <v>29180</v>
      </c>
      <c r="D2738" s="1" t="s">
        <v>9942</v>
      </c>
      <c r="E2738" s="1" t="s">
        <v>9943</v>
      </c>
      <c r="F2738" s="2" t="s">
        <v>9913</v>
      </c>
      <c r="G2738" s="2" t="s">
        <v>9944</v>
      </c>
      <c r="H2738" s="2" t="s">
        <v>10</v>
      </c>
      <c r="I2738" s="2" t="s">
        <v>4139</v>
      </c>
      <c r="J2738" s="2" t="s">
        <v>9945</v>
      </c>
      <c r="K2738" s="13" t="s">
        <v>13177</v>
      </c>
      <c r="L2738" s="7" t="s">
        <v>13199</v>
      </c>
    </row>
    <row r="2739" spans="1:12" ht="27.6" hidden="1" x14ac:dyDescent="0.3">
      <c r="A2739" s="2" t="s">
        <v>4139</v>
      </c>
      <c r="B2739" s="2" t="s">
        <v>9946</v>
      </c>
      <c r="C2739" s="3">
        <v>32087</v>
      </c>
      <c r="D2739" s="1" t="s">
        <v>9947</v>
      </c>
      <c r="E2739" s="1" t="s">
        <v>9948</v>
      </c>
      <c r="F2739" s="2" t="s">
        <v>9913</v>
      </c>
      <c r="G2739" s="2" t="s">
        <v>9949</v>
      </c>
      <c r="H2739" s="2" t="s">
        <v>10</v>
      </c>
      <c r="I2739" s="2" t="s">
        <v>4139</v>
      </c>
      <c r="J2739" s="2" t="s">
        <v>9950</v>
      </c>
      <c r="K2739" s="13" t="s">
        <v>13177</v>
      </c>
      <c r="L2739" s="7" t="s">
        <v>13199</v>
      </c>
    </row>
    <row r="2740" spans="1:12" ht="27.6" hidden="1" x14ac:dyDescent="0.3">
      <c r="A2740" s="2" t="s">
        <v>4139</v>
      </c>
      <c r="B2740" s="2" t="s">
        <v>9951</v>
      </c>
      <c r="C2740" s="3">
        <v>29984</v>
      </c>
      <c r="D2740" s="1" t="s">
        <v>9952</v>
      </c>
      <c r="E2740" s="1" t="s">
        <v>9953</v>
      </c>
      <c r="F2740" s="2" t="s">
        <v>9913</v>
      </c>
      <c r="G2740" s="2" t="s">
        <v>9954</v>
      </c>
      <c r="H2740" s="2" t="s">
        <v>10</v>
      </c>
      <c r="I2740" s="2" t="s">
        <v>4139</v>
      </c>
      <c r="J2740" s="2" t="s">
        <v>9955</v>
      </c>
      <c r="K2740" s="13" t="s">
        <v>13177</v>
      </c>
      <c r="L2740" s="7" t="s">
        <v>13199</v>
      </c>
    </row>
    <row r="2741" spans="1:12" ht="27.6" hidden="1" x14ac:dyDescent="0.3">
      <c r="A2741" s="2" t="s">
        <v>4139</v>
      </c>
      <c r="B2741" s="2" t="s">
        <v>9956</v>
      </c>
      <c r="C2741" s="3">
        <v>21357</v>
      </c>
      <c r="D2741" s="1" t="s">
        <v>9957</v>
      </c>
      <c r="E2741" s="1" t="s">
        <v>9958</v>
      </c>
      <c r="F2741" s="2" t="s">
        <v>9913</v>
      </c>
      <c r="G2741" s="2" t="s">
        <v>9959</v>
      </c>
      <c r="H2741" s="2" t="s">
        <v>103</v>
      </c>
      <c r="I2741" s="2" t="s">
        <v>4139</v>
      </c>
      <c r="J2741" s="2" t="s">
        <v>9960</v>
      </c>
      <c r="K2741" s="13" t="s">
        <v>13177</v>
      </c>
      <c r="L2741" s="7" t="s">
        <v>13199</v>
      </c>
    </row>
    <row r="2742" spans="1:12" ht="27.6" hidden="1" x14ac:dyDescent="0.3">
      <c r="A2742" s="2" t="s">
        <v>4139</v>
      </c>
      <c r="B2742" s="2" t="s">
        <v>9961</v>
      </c>
      <c r="C2742" s="3">
        <v>25464</v>
      </c>
      <c r="D2742" s="1" t="s">
        <v>9962</v>
      </c>
      <c r="E2742" s="1" t="s">
        <v>9963</v>
      </c>
      <c r="F2742" s="2" t="s">
        <v>9913</v>
      </c>
      <c r="G2742" s="2" t="s">
        <v>9964</v>
      </c>
      <c r="H2742" s="2" t="s">
        <v>81</v>
      </c>
      <c r="I2742" s="2" t="s">
        <v>4139</v>
      </c>
      <c r="J2742" s="2" t="s">
        <v>9965</v>
      </c>
      <c r="K2742" s="13" t="s">
        <v>13177</v>
      </c>
      <c r="L2742" s="7" t="s">
        <v>13199</v>
      </c>
    </row>
    <row r="2743" spans="1:12" ht="27.6" hidden="1" x14ac:dyDescent="0.3">
      <c r="A2743" s="2" t="s">
        <v>4139</v>
      </c>
      <c r="B2743" s="2" t="s">
        <v>9966</v>
      </c>
      <c r="C2743" s="3">
        <v>29846</v>
      </c>
      <c r="D2743" s="1" t="s">
        <v>9967</v>
      </c>
      <c r="E2743" s="1" t="s">
        <v>9968</v>
      </c>
      <c r="F2743" s="2" t="s">
        <v>9913</v>
      </c>
      <c r="G2743" s="2" t="s">
        <v>9969</v>
      </c>
      <c r="H2743" s="2" t="s">
        <v>10</v>
      </c>
      <c r="I2743" s="2" t="s">
        <v>4139</v>
      </c>
      <c r="J2743" s="2" t="s">
        <v>9970</v>
      </c>
      <c r="K2743" s="13" t="s">
        <v>13177</v>
      </c>
      <c r="L2743" s="7" t="s">
        <v>13199</v>
      </c>
    </row>
    <row r="2744" spans="1:12" ht="27.6" hidden="1" x14ac:dyDescent="0.3">
      <c r="A2744" s="2" t="s">
        <v>4139</v>
      </c>
      <c r="B2744" s="2" t="s">
        <v>9971</v>
      </c>
      <c r="C2744" s="3">
        <v>29557</v>
      </c>
      <c r="D2744" s="1" t="s">
        <v>9972</v>
      </c>
      <c r="E2744" s="1" t="s">
        <v>9973</v>
      </c>
      <c r="F2744" s="2" t="s">
        <v>9913</v>
      </c>
      <c r="G2744" s="2" t="s">
        <v>9974</v>
      </c>
      <c r="H2744" s="2" t="s">
        <v>81</v>
      </c>
      <c r="I2744" s="2" t="s">
        <v>4139</v>
      </c>
      <c r="J2744" s="2" t="s">
        <v>9975</v>
      </c>
      <c r="K2744" s="13" t="s">
        <v>13177</v>
      </c>
      <c r="L2744" s="7" t="s">
        <v>13199</v>
      </c>
    </row>
    <row r="2745" spans="1:12" ht="27.6" hidden="1" x14ac:dyDescent="0.3">
      <c r="A2745" s="2" t="s">
        <v>4139</v>
      </c>
      <c r="B2745" s="2" t="s">
        <v>9976</v>
      </c>
      <c r="C2745" s="3">
        <v>36586</v>
      </c>
      <c r="D2745" s="1" t="s">
        <v>9977</v>
      </c>
      <c r="E2745" s="1" t="s">
        <v>9978</v>
      </c>
      <c r="F2745" s="2" t="s">
        <v>9913</v>
      </c>
      <c r="G2745" s="2" t="s">
        <v>9974</v>
      </c>
      <c r="H2745" s="2" t="s">
        <v>103</v>
      </c>
      <c r="I2745" s="2" t="s">
        <v>4139</v>
      </c>
      <c r="J2745" s="2" t="s">
        <v>9975</v>
      </c>
      <c r="K2745" s="13" t="s">
        <v>13177</v>
      </c>
      <c r="L2745" s="7" t="s">
        <v>13199</v>
      </c>
    </row>
    <row r="2746" spans="1:12" ht="27.6" hidden="1" x14ac:dyDescent="0.3">
      <c r="A2746" s="2" t="s">
        <v>4139</v>
      </c>
      <c r="B2746" s="2" t="s">
        <v>9979</v>
      </c>
      <c r="C2746" s="3">
        <v>29995</v>
      </c>
      <c r="D2746" s="1" t="s">
        <v>9980</v>
      </c>
      <c r="E2746" s="1" t="s">
        <v>9981</v>
      </c>
      <c r="F2746" s="2" t="s">
        <v>9913</v>
      </c>
      <c r="G2746" s="2" t="s">
        <v>9974</v>
      </c>
      <c r="H2746" s="2" t="s">
        <v>10</v>
      </c>
      <c r="I2746" s="2" t="s">
        <v>4139</v>
      </c>
      <c r="J2746" s="2" t="s">
        <v>9975</v>
      </c>
      <c r="K2746" s="13" t="s">
        <v>13177</v>
      </c>
      <c r="L2746" s="7" t="s">
        <v>13199</v>
      </c>
    </row>
    <row r="2747" spans="1:12" ht="27.6" hidden="1" x14ac:dyDescent="0.3">
      <c r="A2747" s="2" t="s">
        <v>4139</v>
      </c>
      <c r="B2747" s="2" t="s">
        <v>9982</v>
      </c>
      <c r="C2747" s="3">
        <v>29492</v>
      </c>
      <c r="D2747" s="1" t="s">
        <v>9983</v>
      </c>
      <c r="E2747" s="1" t="s">
        <v>9984</v>
      </c>
      <c r="F2747" s="2" t="s">
        <v>9913</v>
      </c>
      <c r="G2747" s="2" t="s">
        <v>5560</v>
      </c>
      <c r="H2747" s="2" t="s">
        <v>10</v>
      </c>
      <c r="I2747" s="2" t="s">
        <v>4139</v>
      </c>
      <c r="J2747" s="2" t="s">
        <v>9985</v>
      </c>
      <c r="K2747" s="13" t="s">
        <v>13177</v>
      </c>
      <c r="L2747" s="7" t="s">
        <v>13199</v>
      </c>
    </row>
    <row r="2748" spans="1:12" ht="27.6" hidden="1" x14ac:dyDescent="0.3">
      <c r="A2748" s="2" t="s">
        <v>4139</v>
      </c>
      <c r="B2748" s="2" t="s">
        <v>9986</v>
      </c>
      <c r="C2748" s="3">
        <v>28117</v>
      </c>
      <c r="D2748" s="1" t="s">
        <v>9987</v>
      </c>
      <c r="E2748" s="1" t="s">
        <v>9988</v>
      </c>
      <c r="F2748" s="2" t="s">
        <v>9913</v>
      </c>
      <c r="G2748" s="2" t="s">
        <v>9989</v>
      </c>
      <c r="H2748" s="2" t="s">
        <v>10</v>
      </c>
      <c r="I2748" s="2" t="s">
        <v>4139</v>
      </c>
      <c r="J2748" s="2" t="s">
        <v>9990</v>
      </c>
      <c r="K2748" s="13" t="s">
        <v>13177</v>
      </c>
      <c r="L2748" s="7" t="s">
        <v>13199</v>
      </c>
    </row>
    <row r="2749" spans="1:12" ht="27.6" hidden="1" x14ac:dyDescent="0.3">
      <c r="A2749" s="2" t="s">
        <v>4386</v>
      </c>
      <c r="B2749" s="2" t="s">
        <v>9991</v>
      </c>
      <c r="C2749" s="3">
        <v>36479</v>
      </c>
      <c r="D2749" s="1" t="s">
        <v>9992</v>
      </c>
      <c r="E2749" s="1" t="s">
        <v>9993</v>
      </c>
      <c r="F2749" s="2" t="s">
        <v>9821</v>
      </c>
      <c r="G2749" s="2" t="s">
        <v>258</v>
      </c>
      <c r="H2749" s="2" t="s">
        <v>10</v>
      </c>
      <c r="I2749" s="2" t="s">
        <v>4386</v>
      </c>
      <c r="J2749" s="2" t="s">
        <v>259</v>
      </c>
      <c r="K2749" s="13" t="s">
        <v>13177</v>
      </c>
      <c r="L2749" s="7" t="s">
        <v>13199</v>
      </c>
    </row>
    <row r="2750" spans="1:12" ht="27.6" hidden="1" x14ac:dyDescent="0.3">
      <c r="A2750" s="2" t="s">
        <v>4139</v>
      </c>
      <c r="B2750" s="2" t="s">
        <v>9994</v>
      </c>
      <c r="C2750" s="3">
        <v>23579</v>
      </c>
      <c r="D2750" s="1" t="s">
        <v>9995</v>
      </c>
      <c r="E2750" s="1" t="s">
        <v>9996</v>
      </c>
      <c r="F2750" s="2" t="s">
        <v>9913</v>
      </c>
      <c r="G2750" s="2" t="s">
        <v>9997</v>
      </c>
      <c r="H2750" s="2" t="s">
        <v>10</v>
      </c>
      <c r="I2750" s="2" t="s">
        <v>4139</v>
      </c>
      <c r="J2750" s="2" t="s">
        <v>9998</v>
      </c>
      <c r="K2750" s="13" t="s">
        <v>13177</v>
      </c>
      <c r="L2750" s="7" t="s">
        <v>13199</v>
      </c>
    </row>
    <row r="2751" spans="1:12" ht="27.6" hidden="1" x14ac:dyDescent="0.3">
      <c r="A2751" s="2" t="s">
        <v>4139</v>
      </c>
      <c r="B2751" s="2" t="s">
        <v>9999</v>
      </c>
      <c r="C2751" s="3">
        <v>34312</v>
      </c>
      <c r="D2751" s="1" t="s">
        <v>10000</v>
      </c>
      <c r="E2751" s="1" t="s">
        <v>10001</v>
      </c>
      <c r="F2751" s="2" t="s">
        <v>9913</v>
      </c>
      <c r="G2751" s="2" t="s">
        <v>10002</v>
      </c>
      <c r="H2751" s="2" t="s">
        <v>10</v>
      </c>
      <c r="I2751" s="2" t="s">
        <v>4139</v>
      </c>
      <c r="J2751" s="2" t="s">
        <v>10003</v>
      </c>
      <c r="K2751" s="13" t="s">
        <v>13177</v>
      </c>
      <c r="L2751" s="7" t="s">
        <v>13199</v>
      </c>
    </row>
    <row r="2752" spans="1:12" ht="27.6" hidden="1" x14ac:dyDescent="0.3">
      <c r="A2752" s="2" t="s">
        <v>4139</v>
      </c>
      <c r="B2752" s="2" t="s">
        <v>10004</v>
      </c>
      <c r="C2752" s="3">
        <v>16997</v>
      </c>
      <c r="D2752" s="1" t="s">
        <v>261</v>
      </c>
      <c r="E2752" s="1" t="s">
        <v>10005</v>
      </c>
      <c r="F2752" s="2" t="s">
        <v>9913</v>
      </c>
      <c r="G2752" s="2" t="s">
        <v>7355</v>
      </c>
      <c r="H2752" s="2" t="s">
        <v>10</v>
      </c>
      <c r="I2752" s="2" t="s">
        <v>4139</v>
      </c>
      <c r="J2752" s="2" t="s">
        <v>7356</v>
      </c>
      <c r="K2752" s="13" t="s">
        <v>13177</v>
      </c>
      <c r="L2752" s="7" t="s">
        <v>13199</v>
      </c>
    </row>
    <row r="2753" spans="1:12" ht="27.6" hidden="1" x14ac:dyDescent="0.3">
      <c r="A2753" s="2" t="s">
        <v>4139</v>
      </c>
      <c r="B2753" s="2" t="s">
        <v>10006</v>
      </c>
      <c r="C2753" s="3">
        <v>34828</v>
      </c>
      <c r="D2753" s="1" t="s">
        <v>10007</v>
      </c>
      <c r="E2753" s="1" t="s">
        <v>10008</v>
      </c>
      <c r="F2753" s="2" t="s">
        <v>9913</v>
      </c>
      <c r="G2753" s="2" t="s">
        <v>10009</v>
      </c>
      <c r="H2753" s="2" t="s">
        <v>10</v>
      </c>
      <c r="I2753" s="2" t="s">
        <v>4139</v>
      </c>
      <c r="J2753" s="2" t="s">
        <v>10010</v>
      </c>
      <c r="K2753" s="13" t="s">
        <v>13177</v>
      </c>
      <c r="L2753" s="7" t="s">
        <v>13199</v>
      </c>
    </row>
    <row r="2754" spans="1:12" ht="27.6" hidden="1" x14ac:dyDescent="0.3">
      <c r="A2754" s="2" t="s">
        <v>4139</v>
      </c>
      <c r="B2754" s="2" t="s">
        <v>10011</v>
      </c>
      <c r="C2754" s="3">
        <v>24026</v>
      </c>
      <c r="D2754" s="1" t="s">
        <v>10012</v>
      </c>
      <c r="E2754" s="1" t="s">
        <v>10013</v>
      </c>
      <c r="F2754" s="2" t="s">
        <v>9913</v>
      </c>
      <c r="G2754" s="2" t="s">
        <v>9908</v>
      </c>
      <c r="H2754" s="2" t="s">
        <v>10</v>
      </c>
      <c r="I2754" s="2" t="s">
        <v>4139</v>
      </c>
      <c r="J2754" s="2" t="s">
        <v>9909</v>
      </c>
      <c r="K2754" s="13" t="s">
        <v>13177</v>
      </c>
      <c r="L2754" s="7" t="s">
        <v>13199</v>
      </c>
    </row>
    <row r="2755" spans="1:12" ht="27.6" hidden="1" x14ac:dyDescent="0.3">
      <c r="A2755" s="2" t="s">
        <v>4139</v>
      </c>
      <c r="B2755" s="2" t="s">
        <v>10014</v>
      </c>
      <c r="C2755" s="3">
        <v>23259</v>
      </c>
      <c r="D2755" s="1" t="s">
        <v>10015</v>
      </c>
      <c r="E2755" s="1" t="s">
        <v>10016</v>
      </c>
      <c r="F2755" s="2" t="s">
        <v>9913</v>
      </c>
      <c r="G2755" s="2" t="s">
        <v>6172</v>
      </c>
      <c r="H2755" s="2" t="s">
        <v>8133</v>
      </c>
      <c r="I2755" s="2" t="s">
        <v>4139</v>
      </c>
      <c r="J2755" s="2" t="s">
        <v>9940</v>
      </c>
      <c r="K2755" s="13" t="s">
        <v>13177</v>
      </c>
      <c r="L2755" s="7" t="s">
        <v>13199</v>
      </c>
    </row>
    <row r="2756" spans="1:12" ht="27.6" hidden="1" x14ac:dyDescent="0.3">
      <c r="A2756" s="2" t="s">
        <v>4139</v>
      </c>
      <c r="B2756" s="2" t="s">
        <v>10017</v>
      </c>
      <c r="C2756" s="3">
        <v>20575</v>
      </c>
      <c r="D2756" s="1" t="s">
        <v>10018</v>
      </c>
      <c r="E2756" s="1" t="s">
        <v>10019</v>
      </c>
      <c r="F2756" s="2" t="s">
        <v>9913</v>
      </c>
      <c r="G2756" s="2" t="s">
        <v>10020</v>
      </c>
      <c r="H2756" s="2" t="s">
        <v>10</v>
      </c>
      <c r="I2756" s="2" t="s">
        <v>4139</v>
      </c>
      <c r="J2756" s="2" t="s">
        <v>10021</v>
      </c>
      <c r="K2756" s="13" t="s">
        <v>13177</v>
      </c>
      <c r="L2756" s="7" t="s">
        <v>13199</v>
      </c>
    </row>
    <row r="2757" spans="1:12" ht="27.6" hidden="1" x14ac:dyDescent="0.3">
      <c r="A2757" s="2" t="s">
        <v>4139</v>
      </c>
      <c r="B2757" s="2" t="s">
        <v>10022</v>
      </c>
      <c r="C2757" s="3">
        <v>26241</v>
      </c>
      <c r="D2757" s="1" t="s">
        <v>261</v>
      </c>
      <c r="E2757" s="1" t="s">
        <v>10023</v>
      </c>
      <c r="F2757" s="2" t="s">
        <v>9913</v>
      </c>
      <c r="G2757" s="2" t="s">
        <v>10024</v>
      </c>
      <c r="H2757" s="2" t="s">
        <v>10</v>
      </c>
      <c r="I2757" s="2" t="s">
        <v>4139</v>
      </c>
      <c r="J2757" s="2" t="s">
        <v>10025</v>
      </c>
      <c r="K2757" s="13" t="s">
        <v>13177</v>
      </c>
      <c r="L2757" s="7" t="s">
        <v>13199</v>
      </c>
    </row>
    <row r="2758" spans="1:12" ht="27.6" hidden="1" x14ac:dyDescent="0.3">
      <c r="A2758" s="2" t="s">
        <v>4139</v>
      </c>
      <c r="B2758" s="2" t="s">
        <v>10026</v>
      </c>
      <c r="C2758" s="3">
        <v>30222</v>
      </c>
      <c r="D2758" s="1" t="s">
        <v>10027</v>
      </c>
      <c r="E2758" s="1" t="s">
        <v>10028</v>
      </c>
      <c r="F2758" s="2" t="s">
        <v>9913</v>
      </c>
      <c r="G2758" s="2" t="s">
        <v>10029</v>
      </c>
      <c r="H2758" s="2" t="s">
        <v>10</v>
      </c>
      <c r="I2758" s="2" t="s">
        <v>4139</v>
      </c>
      <c r="J2758" s="2" t="s">
        <v>10030</v>
      </c>
      <c r="K2758" s="13" t="s">
        <v>13177</v>
      </c>
      <c r="L2758" s="7" t="s">
        <v>13199</v>
      </c>
    </row>
    <row r="2759" spans="1:12" ht="27.6" hidden="1" x14ac:dyDescent="0.3">
      <c r="A2759" s="2" t="s">
        <v>4139</v>
      </c>
      <c r="B2759" s="2" t="s">
        <v>10031</v>
      </c>
      <c r="C2759" s="3">
        <v>24793</v>
      </c>
      <c r="D2759" s="1" t="s">
        <v>10032</v>
      </c>
      <c r="E2759" s="1" t="s">
        <v>10033</v>
      </c>
      <c r="F2759" s="2" t="s">
        <v>9913</v>
      </c>
      <c r="G2759" s="2" t="s">
        <v>10034</v>
      </c>
      <c r="H2759" s="2" t="s">
        <v>10</v>
      </c>
      <c r="I2759" s="2" t="s">
        <v>4139</v>
      </c>
      <c r="J2759" s="2" t="s">
        <v>10035</v>
      </c>
      <c r="K2759" s="13" t="s">
        <v>13177</v>
      </c>
      <c r="L2759" s="7" t="s">
        <v>13199</v>
      </c>
    </row>
    <row r="2760" spans="1:12" ht="27.6" hidden="1" x14ac:dyDescent="0.3">
      <c r="A2760" s="2" t="s">
        <v>4139</v>
      </c>
      <c r="B2760" s="2" t="s">
        <v>10036</v>
      </c>
      <c r="C2760" s="3">
        <v>23713</v>
      </c>
      <c r="D2760" s="1" t="s">
        <v>10037</v>
      </c>
      <c r="E2760" s="1" t="s">
        <v>10038</v>
      </c>
      <c r="F2760" s="2" t="s">
        <v>9913</v>
      </c>
      <c r="G2760" s="2" t="s">
        <v>9914</v>
      </c>
      <c r="H2760" s="2" t="s">
        <v>10</v>
      </c>
      <c r="I2760" s="2" t="s">
        <v>4139</v>
      </c>
      <c r="J2760" s="2" t="s">
        <v>9915</v>
      </c>
      <c r="K2760" s="13" t="s">
        <v>13177</v>
      </c>
      <c r="L2760" s="7" t="s">
        <v>13199</v>
      </c>
    </row>
    <row r="2761" spans="1:12" ht="27.6" hidden="1" x14ac:dyDescent="0.3">
      <c r="A2761" s="2" t="s">
        <v>4139</v>
      </c>
      <c r="B2761" s="2" t="s">
        <v>10039</v>
      </c>
      <c r="C2761" s="3">
        <v>33045</v>
      </c>
      <c r="D2761" s="1" t="s">
        <v>10040</v>
      </c>
      <c r="E2761" s="1" t="s">
        <v>10041</v>
      </c>
      <c r="F2761" s="2" t="s">
        <v>9913</v>
      </c>
      <c r="G2761" s="2" t="s">
        <v>9959</v>
      </c>
      <c r="H2761" s="2" t="s">
        <v>562</v>
      </c>
      <c r="I2761" s="2" t="s">
        <v>4139</v>
      </c>
      <c r="J2761" s="2" t="s">
        <v>9960</v>
      </c>
      <c r="K2761" s="13" t="s">
        <v>13177</v>
      </c>
      <c r="L2761" s="7" t="s">
        <v>13199</v>
      </c>
    </row>
    <row r="2762" spans="1:12" ht="27.6" hidden="1" x14ac:dyDescent="0.3">
      <c r="A2762" s="2" t="s">
        <v>4139</v>
      </c>
      <c r="B2762" s="2" t="s">
        <v>10042</v>
      </c>
      <c r="C2762" s="3">
        <v>30681</v>
      </c>
      <c r="D2762" s="1" t="s">
        <v>261</v>
      </c>
      <c r="E2762" s="1" t="s">
        <v>10043</v>
      </c>
      <c r="F2762" s="2" t="s">
        <v>9913</v>
      </c>
      <c r="G2762" s="2" t="s">
        <v>9959</v>
      </c>
      <c r="H2762" s="2" t="s">
        <v>81</v>
      </c>
      <c r="I2762" s="2" t="s">
        <v>4139</v>
      </c>
      <c r="J2762" s="2" t="s">
        <v>9960</v>
      </c>
      <c r="K2762" s="13" t="s">
        <v>13177</v>
      </c>
      <c r="L2762" s="7" t="s">
        <v>13199</v>
      </c>
    </row>
    <row r="2763" spans="1:12" ht="27.6" hidden="1" x14ac:dyDescent="0.3">
      <c r="A2763" s="2" t="s">
        <v>4139</v>
      </c>
      <c r="B2763" s="2" t="s">
        <v>10044</v>
      </c>
      <c r="C2763" s="3">
        <v>23912</v>
      </c>
      <c r="D2763" s="1" t="s">
        <v>10045</v>
      </c>
      <c r="E2763" s="1" t="s">
        <v>10046</v>
      </c>
      <c r="F2763" s="2" t="s">
        <v>9913</v>
      </c>
      <c r="G2763" s="2" t="s">
        <v>10047</v>
      </c>
      <c r="H2763" s="2" t="s">
        <v>892</v>
      </c>
      <c r="I2763" s="2" t="s">
        <v>4139</v>
      </c>
      <c r="J2763" s="2" t="s">
        <v>10048</v>
      </c>
      <c r="K2763" s="13" t="s">
        <v>13177</v>
      </c>
      <c r="L2763" s="7" t="s">
        <v>13199</v>
      </c>
    </row>
    <row r="2764" spans="1:12" ht="27.6" hidden="1" x14ac:dyDescent="0.3">
      <c r="A2764" s="2" t="s">
        <v>4139</v>
      </c>
      <c r="B2764" s="2" t="s">
        <v>10049</v>
      </c>
      <c r="C2764" s="3">
        <v>26484</v>
      </c>
      <c r="D2764" s="1" t="s">
        <v>10050</v>
      </c>
      <c r="E2764" s="1" t="s">
        <v>10051</v>
      </c>
      <c r="F2764" s="2" t="s">
        <v>9913</v>
      </c>
      <c r="G2764" s="2" t="s">
        <v>10047</v>
      </c>
      <c r="H2764" s="2" t="s">
        <v>2001</v>
      </c>
      <c r="I2764" s="2" t="s">
        <v>4139</v>
      </c>
      <c r="J2764" s="2" t="s">
        <v>10052</v>
      </c>
      <c r="K2764" s="13" t="s">
        <v>13177</v>
      </c>
      <c r="L2764" s="7" t="s">
        <v>13199</v>
      </c>
    </row>
    <row r="2765" spans="1:12" ht="27.6" hidden="1" x14ac:dyDescent="0.3">
      <c r="A2765" s="2" t="s">
        <v>4139</v>
      </c>
      <c r="B2765" s="2" t="s">
        <v>10053</v>
      </c>
      <c r="C2765" s="3">
        <v>27891</v>
      </c>
      <c r="D2765" s="1" t="s">
        <v>10054</v>
      </c>
      <c r="E2765" s="1" t="s">
        <v>10055</v>
      </c>
      <c r="F2765" s="2" t="s">
        <v>9913</v>
      </c>
      <c r="G2765" s="2" t="s">
        <v>10056</v>
      </c>
      <c r="H2765" s="2" t="s">
        <v>10</v>
      </c>
      <c r="I2765" s="2" t="s">
        <v>4139</v>
      </c>
      <c r="J2765" s="2" t="s">
        <v>10057</v>
      </c>
      <c r="K2765" s="13" t="s">
        <v>13177</v>
      </c>
      <c r="L2765" s="7" t="s">
        <v>13199</v>
      </c>
    </row>
    <row r="2766" spans="1:12" ht="27.6" hidden="1" x14ac:dyDescent="0.3">
      <c r="A2766" s="2" t="s">
        <v>4139</v>
      </c>
      <c r="B2766" s="2" t="s">
        <v>10058</v>
      </c>
      <c r="C2766" s="3">
        <v>26046</v>
      </c>
      <c r="D2766" s="1" t="s">
        <v>10059</v>
      </c>
      <c r="E2766" s="1" t="s">
        <v>10060</v>
      </c>
      <c r="F2766" s="2" t="s">
        <v>9913</v>
      </c>
      <c r="G2766" s="2" t="s">
        <v>9964</v>
      </c>
      <c r="H2766" s="2" t="s">
        <v>103</v>
      </c>
      <c r="I2766" s="2" t="s">
        <v>4139</v>
      </c>
      <c r="J2766" s="2" t="s">
        <v>9965</v>
      </c>
      <c r="K2766" s="13" t="s">
        <v>13177</v>
      </c>
      <c r="L2766" s="7" t="s">
        <v>13199</v>
      </c>
    </row>
    <row r="2767" spans="1:12" ht="27.6" hidden="1" x14ac:dyDescent="0.3">
      <c r="A2767" s="2" t="s">
        <v>4139</v>
      </c>
      <c r="B2767" s="2" t="s">
        <v>10061</v>
      </c>
      <c r="C2767" s="3">
        <v>18603</v>
      </c>
      <c r="D2767" s="1" t="s">
        <v>10062</v>
      </c>
      <c r="E2767" s="1" t="s">
        <v>10063</v>
      </c>
      <c r="F2767" s="2" t="s">
        <v>9913</v>
      </c>
      <c r="G2767" s="2" t="s">
        <v>6309</v>
      </c>
      <c r="H2767" s="2" t="s">
        <v>10</v>
      </c>
      <c r="I2767" s="2" t="s">
        <v>4139</v>
      </c>
      <c r="J2767" s="2" t="s">
        <v>10064</v>
      </c>
      <c r="K2767" s="13" t="s">
        <v>13177</v>
      </c>
      <c r="L2767" s="7" t="s">
        <v>13199</v>
      </c>
    </row>
    <row r="2768" spans="1:12" ht="27.6" hidden="1" x14ac:dyDescent="0.3">
      <c r="A2768" s="2" t="s">
        <v>4139</v>
      </c>
      <c r="B2768" s="2" t="s">
        <v>10065</v>
      </c>
      <c r="C2768" s="3">
        <v>34393</v>
      </c>
      <c r="D2768" s="1" t="s">
        <v>10066</v>
      </c>
      <c r="E2768" s="1" t="s">
        <v>10067</v>
      </c>
      <c r="F2768" s="2" t="s">
        <v>9913</v>
      </c>
      <c r="G2768" s="2" t="s">
        <v>10068</v>
      </c>
      <c r="H2768" s="2" t="s">
        <v>10</v>
      </c>
      <c r="I2768" s="2" t="s">
        <v>4139</v>
      </c>
      <c r="J2768" s="2" t="s">
        <v>10069</v>
      </c>
      <c r="K2768" s="13" t="s">
        <v>13177</v>
      </c>
      <c r="L2768" s="7" t="s">
        <v>13199</v>
      </c>
    </row>
    <row r="2769" spans="1:12" ht="27.6" hidden="1" x14ac:dyDescent="0.3">
      <c r="A2769" s="2" t="s">
        <v>4139</v>
      </c>
      <c r="B2769" s="2" t="s">
        <v>10070</v>
      </c>
      <c r="C2769" s="3">
        <v>25549</v>
      </c>
      <c r="D2769" s="1" t="s">
        <v>10071</v>
      </c>
      <c r="E2769" s="1" t="s">
        <v>10072</v>
      </c>
      <c r="F2769" s="2" t="s">
        <v>9913</v>
      </c>
      <c r="G2769" s="2" t="s">
        <v>5560</v>
      </c>
      <c r="H2769" s="2" t="s">
        <v>334</v>
      </c>
      <c r="I2769" s="2" t="s">
        <v>4139</v>
      </c>
      <c r="J2769" s="2" t="s">
        <v>8385</v>
      </c>
      <c r="K2769" s="13" t="s">
        <v>13177</v>
      </c>
      <c r="L2769" s="7" t="s">
        <v>13199</v>
      </c>
    </row>
    <row r="2770" spans="1:12" ht="27.6" hidden="1" x14ac:dyDescent="0.3">
      <c r="A2770" s="2" t="s">
        <v>4139</v>
      </c>
      <c r="B2770" s="2" t="s">
        <v>10073</v>
      </c>
      <c r="C2770" s="3">
        <v>33689</v>
      </c>
      <c r="D2770" s="1" t="s">
        <v>10074</v>
      </c>
      <c r="E2770" s="1" t="s">
        <v>10075</v>
      </c>
      <c r="F2770" s="2" t="s">
        <v>9913</v>
      </c>
      <c r="G2770" s="2" t="s">
        <v>5560</v>
      </c>
      <c r="H2770" s="2" t="s">
        <v>10076</v>
      </c>
      <c r="I2770" s="2" t="s">
        <v>4139</v>
      </c>
      <c r="J2770" s="2" t="s">
        <v>8385</v>
      </c>
      <c r="K2770" s="13" t="s">
        <v>13177</v>
      </c>
      <c r="L2770" s="7" t="s">
        <v>13199</v>
      </c>
    </row>
    <row r="2771" spans="1:12" ht="27.6" hidden="1" x14ac:dyDescent="0.3">
      <c r="A2771" s="2" t="s">
        <v>4139</v>
      </c>
      <c r="B2771" s="2" t="s">
        <v>10077</v>
      </c>
      <c r="C2771" s="3">
        <v>34191</v>
      </c>
      <c r="D2771" s="1" t="s">
        <v>10078</v>
      </c>
      <c r="E2771" s="1" t="s">
        <v>10079</v>
      </c>
      <c r="F2771" s="2" t="s">
        <v>9913</v>
      </c>
      <c r="G2771" s="2" t="s">
        <v>5560</v>
      </c>
      <c r="H2771" s="2" t="s">
        <v>1324</v>
      </c>
      <c r="I2771" s="2" t="s">
        <v>4139</v>
      </c>
      <c r="J2771" s="2" t="s">
        <v>8385</v>
      </c>
      <c r="K2771" s="13" t="s">
        <v>13177</v>
      </c>
      <c r="L2771" s="7" t="s">
        <v>13199</v>
      </c>
    </row>
    <row r="2772" spans="1:12" ht="27.6" hidden="1" x14ac:dyDescent="0.3">
      <c r="A2772" s="2" t="s">
        <v>4139</v>
      </c>
      <c r="B2772" s="2" t="s">
        <v>10080</v>
      </c>
      <c r="C2772" s="3">
        <v>30195</v>
      </c>
      <c r="D2772" s="1" t="s">
        <v>10081</v>
      </c>
      <c r="E2772" s="1" t="s">
        <v>10082</v>
      </c>
      <c r="F2772" s="2" t="s">
        <v>9913</v>
      </c>
      <c r="G2772" s="2" t="s">
        <v>10083</v>
      </c>
      <c r="H2772" s="2" t="s">
        <v>103</v>
      </c>
      <c r="I2772" s="2" t="s">
        <v>4139</v>
      </c>
      <c r="J2772" s="2" t="s">
        <v>10084</v>
      </c>
      <c r="K2772" s="13" t="s">
        <v>13177</v>
      </c>
      <c r="L2772" s="7" t="s">
        <v>13199</v>
      </c>
    </row>
    <row r="2773" spans="1:12" ht="27.6" hidden="1" x14ac:dyDescent="0.3">
      <c r="A2773" s="2" t="s">
        <v>4139</v>
      </c>
      <c r="B2773" s="2" t="s">
        <v>10085</v>
      </c>
      <c r="C2773" s="3">
        <v>28409</v>
      </c>
      <c r="D2773" s="1" t="s">
        <v>10086</v>
      </c>
      <c r="E2773" s="1" t="s">
        <v>10087</v>
      </c>
      <c r="F2773" s="2" t="s">
        <v>9913</v>
      </c>
      <c r="G2773" s="2" t="s">
        <v>10088</v>
      </c>
      <c r="H2773" s="2" t="s">
        <v>10</v>
      </c>
      <c r="I2773" s="2" t="s">
        <v>4139</v>
      </c>
      <c r="J2773" s="2" t="s">
        <v>10089</v>
      </c>
      <c r="K2773" s="13" t="s">
        <v>13177</v>
      </c>
      <c r="L2773" s="7" t="s">
        <v>13199</v>
      </c>
    </row>
    <row r="2774" spans="1:12" ht="27.6" hidden="1" x14ac:dyDescent="0.3">
      <c r="A2774" s="2" t="s">
        <v>4139</v>
      </c>
      <c r="B2774" s="2" t="s">
        <v>10090</v>
      </c>
      <c r="C2774" s="3">
        <v>36180</v>
      </c>
      <c r="D2774" s="1" t="s">
        <v>10091</v>
      </c>
      <c r="E2774" s="1" t="s">
        <v>10092</v>
      </c>
      <c r="F2774" s="2" t="s">
        <v>9913</v>
      </c>
      <c r="G2774" s="2" t="s">
        <v>10002</v>
      </c>
      <c r="H2774" s="2" t="s">
        <v>4409</v>
      </c>
      <c r="I2774" s="2" t="s">
        <v>4139</v>
      </c>
      <c r="J2774" s="2" t="s">
        <v>10003</v>
      </c>
      <c r="K2774" s="16" t="s">
        <v>13177</v>
      </c>
      <c r="L2774" s="7" t="s">
        <v>13199</v>
      </c>
    </row>
    <row r="2775" spans="1:12" hidden="1" x14ac:dyDescent="0.3">
      <c r="A2775" s="2" t="s">
        <v>4139</v>
      </c>
      <c r="B2775" s="2" t="s">
        <v>10093</v>
      </c>
      <c r="C2775" s="3">
        <v>32537</v>
      </c>
      <c r="D2775" s="1" t="s">
        <v>10094</v>
      </c>
      <c r="E2775" s="1" t="s">
        <v>10095</v>
      </c>
      <c r="F2775" s="2" t="s">
        <v>4143</v>
      </c>
      <c r="G2775" s="2" t="s">
        <v>5256</v>
      </c>
      <c r="H2775" s="2" t="s">
        <v>10</v>
      </c>
      <c r="I2775" s="2" t="s">
        <v>4139</v>
      </c>
      <c r="J2775" s="2" t="s">
        <v>10096</v>
      </c>
      <c r="K2775" s="13" t="s">
        <v>13177</v>
      </c>
      <c r="L2775" s="7" t="s">
        <v>13199</v>
      </c>
    </row>
    <row r="2776" spans="1:12" ht="27.6" hidden="1" x14ac:dyDescent="0.3">
      <c r="A2776" s="2" t="s">
        <v>4386</v>
      </c>
      <c r="B2776" s="2" t="s">
        <v>10097</v>
      </c>
      <c r="C2776" s="3">
        <v>34940</v>
      </c>
      <c r="D2776" s="1" t="s">
        <v>10098</v>
      </c>
      <c r="E2776" s="1" t="s">
        <v>10099</v>
      </c>
      <c r="F2776" s="2" t="s">
        <v>8984</v>
      </c>
      <c r="G2776" s="2" t="s">
        <v>143</v>
      </c>
      <c r="H2776" s="2" t="s">
        <v>10</v>
      </c>
      <c r="I2776" s="2" t="s">
        <v>4386</v>
      </c>
      <c r="J2776" s="2" t="s">
        <v>144</v>
      </c>
      <c r="K2776" s="20" t="s">
        <v>13177</v>
      </c>
      <c r="L2776" s="7" t="s">
        <v>13199</v>
      </c>
    </row>
    <row r="2777" spans="1:12" ht="27.6" hidden="1" x14ac:dyDescent="0.3">
      <c r="A2777" s="2" t="s">
        <v>4386</v>
      </c>
      <c r="B2777" s="2" t="s">
        <v>10100</v>
      </c>
      <c r="C2777" s="3">
        <v>26142</v>
      </c>
      <c r="D2777" s="1" t="s">
        <v>10101</v>
      </c>
      <c r="E2777" s="1" t="s">
        <v>10102</v>
      </c>
      <c r="F2777" s="2" t="s">
        <v>5231</v>
      </c>
      <c r="G2777" s="2" t="s">
        <v>7219</v>
      </c>
      <c r="H2777" s="2" t="s">
        <v>10</v>
      </c>
      <c r="I2777" s="2" t="s">
        <v>4386</v>
      </c>
      <c r="J2777" s="2" t="s">
        <v>10103</v>
      </c>
      <c r="K2777" s="13" t="s">
        <v>13177</v>
      </c>
      <c r="L2777" s="7" t="s">
        <v>13199</v>
      </c>
    </row>
    <row r="2778" spans="1:12" ht="27.6" hidden="1" x14ac:dyDescent="0.3">
      <c r="A2778" s="2" t="s">
        <v>4386</v>
      </c>
      <c r="B2778" s="2" t="s">
        <v>10104</v>
      </c>
      <c r="C2778" s="3">
        <v>26142</v>
      </c>
      <c r="D2778" s="1" t="s">
        <v>10101</v>
      </c>
      <c r="E2778" s="1" t="s">
        <v>10102</v>
      </c>
      <c r="F2778" s="2" t="s">
        <v>5231</v>
      </c>
      <c r="G2778" s="2" t="s">
        <v>7246</v>
      </c>
      <c r="H2778" s="2" t="s">
        <v>103</v>
      </c>
      <c r="I2778" s="2" t="s">
        <v>4386</v>
      </c>
      <c r="J2778" s="2" t="s">
        <v>10105</v>
      </c>
      <c r="K2778" s="13" t="s">
        <v>13177</v>
      </c>
      <c r="L2778" s="7" t="s">
        <v>13199</v>
      </c>
    </row>
    <row r="2779" spans="1:12" ht="27.6" hidden="1" x14ac:dyDescent="0.3">
      <c r="A2779" s="2" t="s">
        <v>4386</v>
      </c>
      <c r="B2779" s="2" t="s">
        <v>10106</v>
      </c>
      <c r="C2779" s="3">
        <v>34519</v>
      </c>
      <c r="D2779" s="1" t="s">
        <v>10107</v>
      </c>
      <c r="E2779" s="1" t="s">
        <v>10108</v>
      </c>
      <c r="F2779" s="2" t="s">
        <v>10109</v>
      </c>
      <c r="G2779" s="2" t="s">
        <v>196</v>
      </c>
      <c r="H2779" s="2" t="s">
        <v>10</v>
      </c>
      <c r="I2779" s="2" t="s">
        <v>4386</v>
      </c>
      <c r="J2779" s="2" t="s">
        <v>10110</v>
      </c>
      <c r="K2779" s="13" t="s">
        <v>13177</v>
      </c>
      <c r="L2779" s="7" t="s">
        <v>13199</v>
      </c>
    </row>
    <row r="2780" spans="1:12" ht="27.6" hidden="1" x14ac:dyDescent="0.3">
      <c r="A2780" s="2" t="s">
        <v>4386</v>
      </c>
      <c r="B2780" s="2" t="s">
        <v>10111</v>
      </c>
      <c r="C2780" s="3">
        <v>32254</v>
      </c>
      <c r="D2780" s="1" t="s">
        <v>10112</v>
      </c>
      <c r="E2780" s="1" t="s">
        <v>10113</v>
      </c>
      <c r="F2780" s="2" t="s">
        <v>10109</v>
      </c>
      <c r="G2780" s="2" t="s">
        <v>124</v>
      </c>
      <c r="H2780" s="2" t="s">
        <v>10</v>
      </c>
      <c r="I2780" s="2" t="s">
        <v>4386</v>
      </c>
      <c r="J2780" s="2" t="s">
        <v>173</v>
      </c>
      <c r="K2780" s="13" t="s">
        <v>13177</v>
      </c>
      <c r="L2780" s="7" t="s">
        <v>13199</v>
      </c>
    </row>
    <row r="2781" spans="1:12" ht="27.6" hidden="1" x14ac:dyDescent="0.3">
      <c r="A2781" s="2" t="s">
        <v>4386</v>
      </c>
      <c r="B2781" s="2" t="s">
        <v>10114</v>
      </c>
      <c r="C2781" s="3">
        <v>35627</v>
      </c>
      <c r="D2781" s="1" t="s">
        <v>10115</v>
      </c>
      <c r="E2781" s="1" t="s">
        <v>10116</v>
      </c>
      <c r="F2781" s="2" t="s">
        <v>10109</v>
      </c>
      <c r="G2781" s="2" t="s">
        <v>190</v>
      </c>
      <c r="H2781" s="2" t="s">
        <v>10</v>
      </c>
      <c r="I2781" s="2" t="s">
        <v>4386</v>
      </c>
      <c r="J2781" s="2" t="s">
        <v>191</v>
      </c>
      <c r="K2781" s="13" t="s">
        <v>13177</v>
      </c>
      <c r="L2781" s="7" t="s">
        <v>13199</v>
      </c>
    </row>
    <row r="2782" spans="1:12" ht="27.6" hidden="1" x14ac:dyDescent="0.3">
      <c r="A2782" s="2" t="s">
        <v>4386</v>
      </c>
      <c r="B2782" s="2" t="s">
        <v>10117</v>
      </c>
      <c r="C2782" s="3">
        <v>36569</v>
      </c>
      <c r="D2782" s="1" t="s">
        <v>10118</v>
      </c>
      <c r="E2782" s="1" t="s">
        <v>10119</v>
      </c>
      <c r="F2782" s="2" t="s">
        <v>5559</v>
      </c>
      <c r="G2782" s="2" t="s">
        <v>5560</v>
      </c>
      <c r="H2782" s="2" t="s">
        <v>562</v>
      </c>
      <c r="I2782" s="2" t="s">
        <v>4386</v>
      </c>
      <c r="J2782" s="2" t="s">
        <v>8385</v>
      </c>
      <c r="K2782" s="14"/>
      <c r="L2782" s="7" t="s">
        <v>13199</v>
      </c>
    </row>
    <row r="2783" spans="1:12" ht="27.6" hidden="1" x14ac:dyDescent="0.3">
      <c r="A2783" s="2" t="s">
        <v>4386</v>
      </c>
      <c r="B2783" s="2" t="s">
        <v>10120</v>
      </c>
      <c r="C2783" s="3">
        <v>31285</v>
      </c>
      <c r="D2783" s="1" t="s">
        <v>10121</v>
      </c>
      <c r="E2783" s="1" t="s">
        <v>4804</v>
      </c>
      <c r="F2783" s="2" t="s">
        <v>4555</v>
      </c>
      <c r="G2783" s="2" t="s">
        <v>6325</v>
      </c>
      <c r="H2783" s="2" t="s">
        <v>81</v>
      </c>
      <c r="I2783" s="2" t="s">
        <v>4386</v>
      </c>
      <c r="J2783" s="2" t="s">
        <v>10122</v>
      </c>
      <c r="K2783" s="13" t="s">
        <v>13177</v>
      </c>
      <c r="L2783" s="7" t="s">
        <v>13199</v>
      </c>
    </row>
    <row r="2784" spans="1:12" ht="27.6" hidden="1" x14ac:dyDescent="0.3">
      <c r="A2784" s="2" t="s">
        <v>4386</v>
      </c>
      <c r="B2784" s="2" t="s">
        <v>10120</v>
      </c>
      <c r="C2784" s="3">
        <v>31285</v>
      </c>
      <c r="D2784" s="1" t="s">
        <v>10121</v>
      </c>
      <c r="E2784" s="1" t="s">
        <v>4804</v>
      </c>
      <c r="F2784" s="2" t="s">
        <v>4555</v>
      </c>
      <c r="G2784" s="2" t="s">
        <v>6325</v>
      </c>
      <c r="H2784" s="2" t="s">
        <v>562</v>
      </c>
      <c r="I2784" s="2" t="s">
        <v>4386</v>
      </c>
      <c r="J2784" s="2" t="s">
        <v>10122</v>
      </c>
      <c r="K2784" s="13" t="s">
        <v>13177</v>
      </c>
      <c r="L2784" s="7" t="s">
        <v>13199</v>
      </c>
    </row>
    <row r="2785" spans="1:12" ht="27.6" hidden="1" x14ac:dyDescent="0.3">
      <c r="A2785" s="2" t="s">
        <v>4139</v>
      </c>
      <c r="B2785" s="2" t="s">
        <v>10123</v>
      </c>
      <c r="C2785" s="3">
        <v>32496</v>
      </c>
      <c r="D2785" s="1" t="s">
        <v>10124</v>
      </c>
      <c r="E2785" s="1" t="s">
        <v>10125</v>
      </c>
      <c r="F2785" s="2" t="s">
        <v>9913</v>
      </c>
      <c r="G2785" s="2" t="s">
        <v>5560</v>
      </c>
      <c r="H2785" s="2" t="s">
        <v>10126</v>
      </c>
      <c r="I2785" s="2" t="s">
        <v>4139</v>
      </c>
      <c r="J2785" s="2" t="s">
        <v>8385</v>
      </c>
      <c r="K2785" s="13" t="s">
        <v>13177</v>
      </c>
      <c r="L2785" s="7" t="s">
        <v>13199</v>
      </c>
    </row>
    <row r="2786" spans="1:12" ht="27.6" hidden="1" x14ac:dyDescent="0.3">
      <c r="A2786" s="2" t="s">
        <v>4139</v>
      </c>
      <c r="B2786" s="2" t="s">
        <v>10127</v>
      </c>
      <c r="C2786" s="3">
        <v>29775</v>
      </c>
      <c r="D2786" s="1" t="s">
        <v>10128</v>
      </c>
      <c r="E2786" s="1" t="s">
        <v>10129</v>
      </c>
      <c r="F2786" s="2" t="s">
        <v>9913</v>
      </c>
      <c r="G2786" s="2" t="s">
        <v>5560</v>
      </c>
      <c r="H2786" s="2" t="s">
        <v>4071</v>
      </c>
      <c r="I2786" s="2" t="s">
        <v>4139</v>
      </c>
      <c r="J2786" s="2" t="s">
        <v>8385</v>
      </c>
      <c r="K2786" s="13" t="s">
        <v>13177</v>
      </c>
      <c r="L2786" s="7" t="s">
        <v>13199</v>
      </c>
    </row>
    <row r="2787" spans="1:12" ht="27.6" hidden="1" x14ac:dyDescent="0.3">
      <c r="A2787" s="2" t="s">
        <v>4139</v>
      </c>
      <c r="B2787" s="2" t="s">
        <v>10130</v>
      </c>
      <c r="C2787" s="3">
        <v>28698</v>
      </c>
      <c r="D2787" s="1" t="s">
        <v>10131</v>
      </c>
      <c r="E2787" s="1" t="s">
        <v>10132</v>
      </c>
      <c r="F2787" s="2" t="s">
        <v>9913</v>
      </c>
      <c r="G2787" s="2" t="s">
        <v>5560</v>
      </c>
      <c r="H2787" s="2" t="s">
        <v>10133</v>
      </c>
      <c r="I2787" s="2" t="s">
        <v>4139</v>
      </c>
      <c r="J2787" s="2" t="s">
        <v>8385</v>
      </c>
      <c r="K2787" s="13" t="s">
        <v>13177</v>
      </c>
      <c r="L2787" s="7" t="s">
        <v>13199</v>
      </c>
    </row>
    <row r="2788" spans="1:12" ht="27.6" hidden="1" x14ac:dyDescent="0.3">
      <c r="A2788" s="2" t="s">
        <v>4139</v>
      </c>
      <c r="B2788" s="2" t="s">
        <v>10134</v>
      </c>
      <c r="C2788" s="3">
        <v>29007</v>
      </c>
      <c r="D2788" s="1" t="s">
        <v>10135</v>
      </c>
      <c r="E2788" s="1" t="s">
        <v>10136</v>
      </c>
      <c r="F2788" s="2" t="s">
        <v>9913</v>
      </c>
      <c r="G2788" s="2" t="s">
        <v>10137</v>
      </c>
      <c r="H2788" s="2" t="s">
        <v>10</v>
      </c>
      <c r="I2788" s="2" t="s">
        <v>4139</v>
      </c>
      <c r="J2788" s="2" t="s">
        <v>10138</v>
      </c>
      <c r="K2788" s="13" t="s">
        <v>13177</v>
      </c>
      <c r="L2788" s="7" t="s">
        <v>13199</v>
      </c>
    </row>
    <row r="2789" spans="1:12" ht="27.6" hidden="1" x14ac:dyDescent="0.3">
      <c r="A2789" s="2" t="s">
        <v>4139</v>
      </c>
      <c r="B2789" s="2" t="s">
        <v>10139</v>
      </c>
      <c r="C2789" s="3">
        <v>18472</v>
      </c>
      <c r="D2789" s="1" t="s">
        <v>10140</v>
      </c>
      <c r="E2789" s="1" t="s">
        <v>10141</v>
      </c>
      <c r="F2789" s="2" t="s">
        <v>10142</v>
      </c>
      <c r="G2789" s="2" t="s">
        <v>10143</v>
      </c>
      <c r="H2789" s="2" t="s">
        <v>10</v>
      </c>
      <c r="I2789" s="2" t="s">
        <v>4139</v>
      </c>
      <c r="J2789" s="2" t="s">
        <v>10144</v>
      </c>
      <c r="K2789" s="13" t="s">
        <v>13177</v>
      </c>
      <c r="L2789" s="7" t="s">
        <v>13199</v>
      </c>
    </row>
    <row r="2790" spans="1:12" ht="27.6" hidden="1" x14ac:dyDescent="0.3">
      <c r="A2790" s="2" t="s">
        <v>4139</v>
      </c>
      <c r="B2790" s="2" t="s">
        <v>10145</v>
      </c>
      <c r="C2790" s="3">
        <v>26385</v>
      </c>
      <c r="D2790" s="1" t="s">
        <v>10146</v>
      </c>
      <c r="E2790" s="1" t="s">
        <v>10147</v>
      </c>
      <c r="F2790" s="2" t="s">
        <v>10142</v>
      </c>
      <c r="G2790" s="2" t="s">
        <v>7168</v>
      </c>
      <c r="H2790" s="2" t="s">
        <v>10</v>
      </c>
      <c r="I2790" s="2" t="s">
        <v>4139</v>
      </c>
      <c r="J2790" s="2" t="s">
        <v>7169</v>
      </c>
      <c r="K2790" s="13" t="s">
        <v>13177</v>
      </c>
      <c r="L2790" s="7" t="s">
        <v>13199</v>
      </c>
    </row>
    <row r="2791" spans="1:12" ht="27.6" hidden="1" x14ac:dyDescent="0.3">
      <c r="A2791" s="2" t="s">
        <v>4139</v>
      </c>
      <c r="B2791" s="2" t="s">
        <v>10148</v>
      </c>
      <c r="C2791" s="3">
        <v>25346</v>
      </c>
      <c r="D2791" s="1" t="s">
        <v>10149</v>
      </c>
      <c r="E2791" s="1" t="s">
        <v>10150</v>
      </c>
      <c r="F2791" s="2" t="s">
        <v>10142</v>
      </c>
      <c r="G2791" s="2" t="s">
        <v>10151</v>
      </c>
      <c r="H2791" s="2" t="s">
        <v>10</v>
      </c>
      <c r="I2791" s="2" t="s">
        <v>4139</v>
      </c>
      <c r="J2791" s="2" t="s">
        <v>10152</v>
      </c>
      <c r="K2791" s="13" t="s">
        <v>13177</v>
      </c>
      <c r="L2791" s="7" t="s">
        <v>13199</v>
      </c>
    </row>
    <row r="2792" spans="1:12" ht="27.6" hidden="1" x14ac:dyDescent="0.3">
      <c r="A2792" s="2" t="s">
        <v>4139</v>
      </c>
      <c r="B2792" s="2" t="s">
        <v>10153</v>
      </c>
      <c r="C2792" s="3">
        <v>25089</v>
      </c>
      <c r="D2792" s="1" t="s">
        <v>10154</v>
      </c>
      <c r="E2792" s="1" t="s">
        <v>10155</v>
      </c>
      <c r="F2792" s="2" t="s">
        <v>10142</v>
      </c>
      <c r="G2792" s="2" t="s">
        <v>10156</v>
      </c>
      <c r="H2792" s="2" t="s">
        <v>10157</v>
      </c>
      <c r="I2792" s="2" t="s">
        <v>4139</v>
      </c>
      <c r="J2792" s="2" t="s">
        <v>10158</v>
      </c>
      <c r="K2792" s="13" t="s">
        <v>13177</v>
      </c>
      <c r="L2792" s="7" t="s">
        <v>13199</v>
      </c>
    </row>
    <row r="2793" spans="1:12" ht="27.6" hidden="1" x14ac:dyDescent="0.3">
      <c r="A2793" s="2" t="s">
        <v>4139</v>
      </c>
      <c r="B2793" s="2" t="s">
        <v>10159</v>
      </c>
      <c r="C2793" s="3">
        <v>32887</v>
      </c>
      <c r="D2793" s="1" t="s">
        <v>10160</v>
      </c>
      <c r="E2793" s="1" t="s">
        <v>10161</v>
      </c>
      <c r="F2793" s="2" t="s">
        <v>10142</v>
      </c>
      <c r="G2793" s="2" t="s">
        <v>10162</v>
      </c>
      <c r="H2793" s="2" t="s">
        <v>10</v>
      </c>
      <c r="I2793" s="2" t="s">
        <v>4139</v>
      </c>
      <c r="J2793" s="2" t="s">
        <v>10163</v>
      </c>
      <c r="K2793" s="13" t="s">
        <v>13177</v>
      </c>
      <c r="L2793" s="7" t="s">
        <v>13199</v>
      </c>
    </row>
    <row r="2794" spans="1:12" ht="27.6" hidden="1" x14ac:dyDescent="0.3">
      <c r="A2794" s="2" t="s">
        <v>4139</v>
      </c>
      <c r="B2794" s="2" t="s">
        <v>10164</v>
      </c>
      <c r="C2794" s="3">
        <v>28374</v>
      </c>
      <c r="D2794" s="1" t="s">
        <v>261</v>
      </c>
      <c r="E2794" s="1" t="s">
        <v>10165</v>
      </c>
      <c r="F2794" s="2" t="s">
        <v>9913</v>
      </c>
      <c r="G2794" s="2" t="s">
        <v>10166</v>
      </c>
      <c r="H2794" s="2" t="s">
        <v>10</v>
      </c>
      <c r="I2794" s="2" t="s">
        <v>4139</v>
      </c>
      <c r="J2794" s="2" t="s">
        <v>10167</v>
      </c>
      <c r="K2794" s="13" t="s">
        <v>13177</v>
      </c>
      <c r="L2794" s="7" t="s">
        <v>13199</v>
      </c>
    </row>
    <row r="2795" spans="1:12" ht="27.6" hidden="1" x14ac:dyDescent="0.3">
      <c r="A2795" s="2" t="s">
        <v>4139</v>
      </c>
      <c r="B2795" s="2" t="s">
        <v>10168</v>
      </c>
      <c r="C2795" s="3">
        <v>19628</v>
      </c>
      <c r="D2795" s="1" t="s">
        <v>10169</v>
      </c>
      <c r="E2795" s="1" t="s">
        <v>10170</v>
      </c>
      <c r="F2795" s="2" t="s">
        <v>9913</v>
      </c>
      <c r="G2795" s="2" t="s">
        <v>7368</v>
      </c>
      <c r="H2795" s="2" t="s">
        <v>10</v>
      </c>
      <c r="I2795" s="2" t="s">
        <v>4139</v>
      </c>
      <c r="J2795" s="2" t="s">
        <v>7369</v>
      </c>
      <c r="K2795" s="13" t="s">
        <v>13177</v>
      </c>
      <c r="L2795" s="7" t="s">
        <v>13199</v>
      </c>
    </row>
    <row r="2796" spans="1:12" ht="27.6" hidden="1" x14ac:dyDescent="0.3">
      <c r="A2796" s="2" t="s">
        <v>4139</v>
      </c>
      <c r="B2796" s="2" t="s">
        <v>10171</v>
      </c>
      <c r="C2796" s="3">
        <v>30452</v>
      </c>
      <c r="D2796" s="1" t="s">
        <v>10172</v>
      </c>
      <c r="E2796" s="1" t="s">
        <v>10173</v>
      </c>
      <c r="F2796" s="2" t="s">
        <v>9913</v>
      </c>
      <c r="G2796" s="2" t="s">
        <v>7363</v>
      </c>
      <c r="H2796" s="2" t="s">
        <v>10</v>
      </c>
      <c r="I2796" s="2" t="s">
        <v>4139</v>
      </c>
      <c r="J2796" s="2" t="s">
        <v>7364</v>
      </c>
      <c r="K2796" s="13" t="s">
        <v>13177</v>
      </c>
      <c r="L2796" s="7" t="s">
        <v>13199</v>
      </c>
    </row>
    <row r="2797" spans="1:12" ht="55.2" hidden="1" x14ac:dyDescent="0.3">
      <c r="A2797" s="2" t="s">
        <v>4139</v>
      </c>
      <c r="B2797" s="2" t="s">
        <v>10174</v>
      </c>
      <c r="C2797" s="3">
        <v>11875</v>
      </c>
      <c r="D2797" s="1" t="s">
        <v>10175</v>
      </c>
      <c r="E2797" s="1" t="s">
        <v>10176</v>
      </c>
      <c r="F2797" s="2" t="s">
        <v>10177</v>
      </c>
      <c r="G2797" s="2" t="s">
        <v>10178</v>
      </c>
      <c r="H2797" s="2" t="s">
        <v>10</v>
      </c>
      <c r="I2797" s="2" t="s">
        <v>4139</v>
      </c>
      <c r="J2797" s="2" t="s">
        <v>10179</v>
      </c>
      <c r="K2797" s="13" t="s">
        <v>13177</v>
      </c>
      <c r="L2797" s="7" t="s">
        <v>13199</v>
      </c>
    </row>
    <row r="2798" spans="1:12" ht="55.2" hidden="1" x14ac:dyDescent="0.3">
      <c r="A2798" s="2" t="s">
        <v>4139</v>
      </c>
      <c r="B2798" s="2" t="s">
        <v>10180</v>
      </c>
      <c r="C2798" s="3">
        <v>32014</v>
      </c>
      <c r="D2798" s="1" t="s">
        <v>10181</v>
      </c>
      <c r="E2798" s="1" t="s">
        <v>10182</v>
      </c>
      <c r="F2798" s="2" t="s">
        <v>10177</v>
      </c>
      <c r="G2798" s="2" t="s">
        <v>10183</v>
      </c>
      <c r="H2798" s="2" t="s">
        <v>10</v>
      </c>
      <c r="I2798" s="2" t="s">
        <v>4139</v>
      </c>
      <c r="J2798" s="2" t="s">
        <v>10184</v>
      </c>
      <c r="K2798" s="13" t="s">
        <v>13177</v>
      </c>
      <c r="L2798" s="7" t="s">
        <v>13199</v>
      </c>
    </row>
    <row r="2799" spans="1:12" ht="27.6" hidden="1" x14ac:dyDescent="0.3">
      <c r="A2799" s="2" t="s">
        <v>4139</v>
      </c>
      <c r="B2799" s="2" t="s">
        <v>10185</v>
      </c>
      <c r="C2799" s="3">
        <v>24964</v>
      </c>
      <c r="D2799" s="1" t="s">
        <v>10186</v>
      </c>
      <c r="E2799" s="1" t="s">
        <v>10187</v>
      </c>
      <c r="F2799" s="2" t="s">
        <v>10142</v>
      </c>
      <c r="G2799" s="2" t="s">
        <v>10188</v>
      </c>
      <c r="H2799" s="2" t="s">
        <v>10</v>
      </c>
      <c r="I2799" s="2" t="s">
        <v>4139</v>
      </c>
      <c r="J2799" s="2" t="s">
        <v>10189</v>
      </c>
      <c r="K2799" s="13" t="s">
        <v>13177</v>
      </c>
      <c r="L2799" s="7" t="s">
        <v>13199</v>
      </c>
    </row>
    <row r="2800" spans="1:12" ht="27.6" hidden="1" x14ac:dyDescent="0.3">
      <c r="A2800" s="2" t="s">
        <v>4139</v>
      </c>
      <c r="B2800" s="2" t="s">
        <v>10190</v>
      </c>
      <c r="C2800" s="3">
        <v>18232</v>
      </c>
      <c r="D2800" s="1" t="s">
        <v>10191</v>
      </c>
      <c r="E2800" s="1" t="s">
        <v>10192</v>
      </c>
      <c r="F2800" s="2" t="s">
        <v>10142</v>
      </c>
      <c r="G2800" s="2" t="s">
        <v>10193</v>
      </c>
      <c r="H2800" s="2" t="s">
        <v>10</v>
      </c>
      <c r="I2800" s="2" t="s">
        <v>4139</v>
      </c>
      <c r="J2800" s="2" t="s">
        <v>10194</v>
      </c>
      <c r="K2800" s="13" t="s">
        <v>13177</v>
      </c>
      <c r="L2800" s="7" t="s">
        <v>13199</v>
      </c>
    </row>
    <row r="2801" spans="1:12" ht="27.6" hidden="1" x14ac:dyDescent="0.3">
      <c r="A2801" s="2" t="s">
        <v>4139</v>
      </c>
      <c r="B2801" s="2" t="s">
        <v>10195</v>
      </c>
      <c r="C2801" s="3">
        <v>30029</v>
      </c>
      <c r="D2801" s="1" t="s">
        <v>10196</v>
      </c>
      <c r="E2801" s="1" t="s">
        <v>10197</v>
      </c>
      <c r="F2801" s="2" t="s">
        <v>10142</v>
      </c>
      <c r="G2801" s="2" t="s">
        <v>10193</v>
      </c>
      <c r="H2801" s="2" t="s">
        <v>334</v>
      </c>
      <c r="I2801" s="2" t="s">
        <v>4139</v>
      </c>
      <c r="J2801" s="2" t="s">
        <v>10194</v>
      </c>
      <c r="K2801" s="13" t="s">
        <v>13177</v>
      </c>
      <c r="L2801" s="7" t="s">
        <v>13199</v>
      </c>
    </row>
    <row r="2802" spans="1:12" ht="27.6" hidden="1" x14ac:dyDescent="0.3">
      <c r="A2802" s="2" t="s">
        <v>4139</v>
      </c>
      <c r="B2802" s="2" t="s">
        <v>10198</v>
      </c>
      <c r="C2802" s="3">
        <v>26912</v>
      </c>
      <c r="D2802" s="1" t="s">
        <v>10199</v>
      </c>
      <c r="E2802" s="1" t="s">
        <v>10200</v>
      </c>
      <c r="F2802" s="2" t="s">
        <v>10142</v>
      </c>
      <c r="G2802" s="2" t="s">
        <v>10201</v>
      </c>
      <c r="H2802" s="2" t="s">
        <v>10</v>
      </c>
      <c r="I2802" s="2" t="s">
        <v>4139</v>
      </c>
      <c r="J2802" s="2" t="s">
        <v>10202</v>
      </c>
      <c r="K2802" s="13" t="s">
        <v>13177</v>
      </c>
      <c r="L2802" s="7" t="s">
        <v>13199</v>
      </c>
    </row>
    <row r="2803" spans="1:12" ht="27.6" hidden="1" x14ac:dyDescent="0.3">
      <c r="A2803" s="2" t="s">
        <v>4386</v>
      </c>
      <c r="B2803" s="2" t="s">
        <v>10203</v>
      </c>
      <c r="C2803" s="3">
        <v>25584</v>
      </c>
      <c r="D2803" s="1" t="s">
        <v>10204</v>
      </c>
      <c r="E2803" s="1" t="s">
        <v>10205</v>
      </c>
      <c r="F2803" s="2" t="s">
        <v>5053</v>
      </c>
      <c r="G2803" s="2" t="s">
        <v>2748</v>
      </c>
      <c r="H2803" s="2" t="s">
        <v>8058</v>
      </c>
      <c r="I2803" s="2" t="s">
        <v>4386</v>
      </c>
      <c r="J2803" s="2" t="s">
        <v>3623</v>
      </c>
      <c r="K2803" s="13" t="s">
        <v>13177</v>
      </c>
      <c r="L2803" s="7" t="s">
        <v>13199</v>
      </c>
    </row>
    <row r="2804" spans="1:12" ht="27.6" hidden="1" x14ac:dyDescent="0.3">
      <c r="A2804" s="2" t="s">
        <v>4386</v>
      </c>
      <c r="B2804" s="2" t="s">
        <v>10206</v>
      </c>
      <c r="C2804" s="3">
        <v>33660</v>
      </c>
      <c r="D2804" s="1" t="s">
        <v>10207</v>
      </c>
      <c r="E2804" s="1" t="s">
        <v>10208</v>
      </c>
      <c r="F2804" s="2" t="s">
        <v>5053</v>
      </c>
      <c r="G2804" s="2" t="s">
        <v>2748</v>
      </c>
      <c r="H2804" s="2" t="s">
        <v>9094</v>
      </c>
      <c r="I2804" s="2" t="s">
        <v>4386</v>
      </c>
      <c r="J2804" s="2" t="s">
        <v>3623</v>
      </c>
      <c r="K2804" s="13" t="s">
        <v>13177</v>
      </c>
      <c r="L2804" s="7" t="s">
        <v>13199</v>
      </c>
    </row>
    <row r="2805" spans="1:12" ht="27.6" hidden="1" x14ac:dyDescent="0.3">
      <c r="A2805" s="2" t="s">
        <v>4386</v>
      </c>
      <c r="B2805" s="2" t="s">
        <v>10209</v>
      </c>
      <c r="C2805" s="3">
        <v>21406</v>
      </c>
      <c r="D2805" s="1" t="s">
        <v>10210</v>
      </c>
      <c r="E2805" s="1" t="s">
        <v>10211</v>
      </c>
      <c r="F2805" s="2" t="s">
        <v>5053</v>
      </c>
      <c r="G2805" s="2" t="s">
        <v>309</v>
      </c>
      <c r="H2805" s="2" t="s">
        <v>10</v>
      </c>
      <c r="I2805" s="2" t="s">
        <v>4386</v>
      </c>
      <c r="J2805" s="2" t="s">
        <v>310</v>
      </c>
      <c r="K2805" s="13" t="s">
        <v>13177</v>
      </c>
      <c r="L2805" s="7" t="s">
        <v>13199</v>
      </c>
    </row>
    <row r="2806" spans="1:12" ht="27.6" hidden="1" x14ac:dyDescent="0.3">
      <c r="A2806" s="2" t="s">
        <v>4139</v>
      </c>
      <c r="B2806" s="2" t="s">
        <v>10212</v>
      </c>
      <c r="C2806" s="3">
        <v>26255</v>
      </c>
      <c r="D2806" s="1" t="s">
        <v>10213</v>
      </c>
      <c r="E2806" s="1" t="s">
        <v>10214</v>
      </c>
      <c r="F2806" s="2" t="s">
        <v>10215</v>
      </c>
      <c r="G2806" s="2" t="s">
        <v>8517</v>
      </c>
      <c r="H2806" s="2" t="s">
        <v>10</v>
      </c>
      <c r="I2806" s="2" t="s">
        <v>4139</v>
      </c>
      <c r="J2806" s="2" t="s">
        <v>8522</v>
      </c>
      <c r="K2806" s="13" t="s">
        <v>13177</v>
      </c>
      <c r="L2806" s="7" t="s">
        <v>13199</v>
      </c>
    </row>
    <row r="2807" spans="1:12" ht="27.6" hidden="1" x14ac:dyDescent="0.3">
      <c r="A2807" s="2" t="s">
        <v>4139</v>
      </c>
      <c r="B2807" s="2" t="s">
        <v>10216</v>
      </c>
      <c r="C2807" s="3">
        <v>31241</v>
      </c>
      <c r="D2807" s="1" t="s">
        <v>261</v>
      </c>
      <c r="E2807" s="1" t="s">
        <v>10217</v>
      </c>
      <c r="F2807" s="2" t="s">
        <v>10215</v>
      </c>
      <c r="G2807" s="2" t="s">
        <v>4741</v>
      </c>
      <c r="H2807" s="2" t="s">
        <v>10</v>
      </c>
      <c r="I2807" s="2" t="s">
        <v>4139</v>
      </c>
      <c r="J2807" s="2" t="s">
        <v>4742</v>
      </c>
      <c r="K2807" s="13" t="s">
        <v>13177</v>
      </c>
      <c r="L2807" s="7" t="s">
        <v>13199</v>
      </c>
    </row>
    <row r="2808" spans="1:12" ht="27.6" hidden="1" x14ac:dyDescent="0.3">
      <c r="A2808" s="2" t="s">
        <v>4139</v>
      </c>
      <c r="B2808" s="2" t="s">
        <v>10218</v>
      </c>
      <c r="C2808" s="3">
        <v>36579</v>
      </c>
      <c r="D2808" s="1" t="s">
        <v>10219</v>
      </c>
      <c r="E2808" s="1" t="s">
        <v>10220</v>
      </c>
      <c r="F2808" s="2" t="s">
        <v>10221</v>
      </c>
      <c r="G2808" s="2" t="s">
        <v>124</v>
      </c>
      <c r="H2808" s="2" t="s">
        <v>10</v>
      </c>
      <c r="I2808" s="2" t="s">
        <v>4139</v>
      </c>
      <c r="J2808" s="2" t="s">
        <v>173</v>
      </c>
      <c r="K2808" s="13" t="s">
        <v>13177</v>
      </c>
      <c r="L2808" s="7" t="s">
        <v>13199</v>
      </c>
    </row>
    <row r="2809" spans="1:12" ht="27.6" hidden="1" x14ac:dyDescent="0.3">
      <c r="A2809" s="2" t="s">
        <v>4139</v>
      </c>
      <c r="B2809" s="2" t="s">
        <v>10222</v>
      </c>
      <c r="C2809" s="3">
        <v>28790</v>
      </c>
      <c r="D2809" s="1" t="s">
        <v>10223</v>
      </c>
      <c r="E2809" s="1" t="s">
        <v>10224</v>
      </c>
      <c r="F2809" s="2" t="s">
        <v>10215</v>
      </c>
      <c r="G2809" s="2" t="s">
        <v>10225</v>
      </c>
      <c r="H2809" s="2" t="s">
        <v>10</v>
      </c>
      <c r="I2809" s="2" t="s">
        <v>4139</v>
      </c>
      <c r="J2809" s="2" t="s">
        <v>10226</v>
      </c>
      <c r="K2809" s="13" t="s">
        <v>13177</v>
      </c>
      <c r="L2809" s="7" t="s">
        <v>13199</v>
      </c>
    </row>
    <row r="2810" spans="1:12" ht="27.6" hidden="1" x14ac:dyDescent="0.3">
      <c r="A2810" s="2" t="s">
        <v>4139</v>
      </c>
      <c r="B2810" s="2" t="s">
        <v>10227</v>
      </c>
      <c r="C2810" s="3">
        <v>24538</v>
      </c>
      <c r="D2810" s="1" t="s">
        <v>10228</v>
      </c>
      <c r="E2810" s="1" t="s">
        <v>10229</v>
      </c>
      <c r="F2810" s="2" t="s">
        <v>10230</v>
      </c>
      <c r="G2810" s="2" t="s">
        <v>9551</v>
      </c>
      <c r="H2810" s="2" t="s">
        <v>10</v>
      </c>
      <c r="I2810" s="2" t="s">
        <v>4139</v>
      </c>
      <c r="J2810" s="2" t="s">
        <v>10231</v>
      </c>
      <c r="K2810" s="13" t="s">
        <v>13177</v>
      </c>
      <c r="L2810" s="7" t="s">
        <v>13199</v>
      </c>
    </row>
    <row r="2811" spans="1:12" ht="55.2" hidden="1" x14ac:dyDescent="0.3">
      <c r="A2811" s="2" t="s">
        <v>4139</v>
      </c>
      <c r="B2811" s="2" t="s">
        <v>10232</v>
      </c>
      <c r="C2811" s="3">
        <v>31145</v>
      </c>
      <c r="D2811" s="1" t="s">
        <v>10233</v>
      </c>
      <c r="E2811" s="1" t="s">
        <v>10234</v>
      </c>
      <c r="F2811" s="2" t="s">
        <v>10177</v>
      </c>
      <c r="G2811" s="2" t="s">
        <v>6920</v>
      </c>
      <c r="H2811" s="2" t="s">
        <v>10</v>
      </c>
      <c r="I2811" s="2" t="s">
        <v>4139</v>
      </c>
      <c r="J2811" s="2" t="s">
        <v>6921</v>
      </c>
      <c r="K2811" s="13" t="s">
        <v>13177</v>
      </c>
      <c r="L2811" s="7" t="s">
        <v>13199</v>
      </c>
    </row>
    <row r="2812" spans="1:12" ht="27.6" hidden="1" x14ac:dyDescent="0.3">
      <c r="A2812" s="2" t="s">
        <v>4139</v>
      </c>
      <c r="B2812" s="2" t="s">
        <v>10235</v>
      </c>
      <c r="C2812" s="3">
        <v>27982</v>
      </c>
      <c r="D2812" s="1" t="s">
        <v>10236</v>
      </c>
      <c r="E2812" s="1" t="s">
        <v>10237</v>
      </c>
      <c r="F2812" s="2" t="s">
        <v>10221</v>
      </c>
      <c r="G2812" s="2" t="s">
        <v>92</v>
      </c>
      <c r="H2812" s="2" t="s">
        <v>10</v>
      </c>
      <c r="I2812" s="2" t="s">
        <v>4139</v>
      </c>
      <c r="J2812" s="2" t="s">
        <v>826</v>
      </c>
      <c r="K2812" s="13" t="s">
        <v>13177</v>
      </c>
      <c r="L2812" s="7" t="s">
        <v>13199</v>
      </c>
    </row>
    <row r="2813" spans="1:12" ht="27.6" hidden="1" x14ac:dyDescent="0.3">
      <c r="A2813" s="2" t="s">
        <v>4139</v>
      </c>
      <c r="B2813" s="2" t="s">
        <v>10238</v>
      </c>
      <c r="C2813" s="3">
        <v>28941</v>
      </c>
      <c r="D2813" s="1" t="s">
        <v>10239</v>
      </c>
      <c r="E2813" s="1" t="s">
        <v>10240</v>
      </c>
      <c r="F2813" s="2" t="s">
        <v>10221</v>
      </c>
      <c r="G2813" s="2" t="s">
        <v>48</v>
      </c>
      <c r="H2813" s="2" t="s">
        <v>10</v>
      </c>
      <c r="I2813" s="2" t="s">
        <v>4139</v>
      </c>
      <c r="J2813" s="2" t="s">
        <v>49</v>
      </c>
      <c r="K2813" s="13" t="s">
        <v>13177</v>
      </c>
      <c r="L2813" s="7" t="s">
        <v>13199</v>
      </c>
    </row>
    <row r="2814" spans="1:12" ht="27.6" hidden="1" x14ac:dyDescent="0.3">
      <c r="A2814" s="2" t="s">
        <v>4139</v>
      </c>
      <c r="B2814" s="2" t="s">
        <v>10241</v>
      </c>
      <c r="C2814" s="3">
        <v>27758</v>
      </c>
      <c r="D2814" s="1" t="s">
        <v>10242</v>
      </c>
      <c r="E2814" s="1" t="s">
        <v>10243</v>
      </c>
      <c r="F2814" s="2" t="s">
        <v>10221</v>
      </c>
      <c r="G2814" s="2" t="s">
        <v>112</v>
      </c>
      <c r="H2814" s="2" t="s">
        <v>10</v>
      </c>
      <c r="I2814" s="2" t="s">
        <v>4139</v>
      </c>
      <c r="J2814" s="2" t="s">
        <v>315</v>
      </c>
      <c r="K2814" s="13" t="s">
        <v>13177</v>
      </c>
      <c r="L2814" s="7" t="s">
        <v>13199</v>
      </c>
    </row>
    <row r="2815" spans="1:12" ht="27.6" hidden="1" x14ac:dyDescent="0.3">
      <c r="A2815" s="2" t="s">
        <v>4386</v>
      </c>
      <c r="B2815" s="2" t="s">
        <v>10244</v>
      </c>
      <c r="C2815" s="3">
        <v>35388</v>
      </c>
      <c r="D2815" s="1" t="s">
        <v>10245</v>
      </c>
      <c r="E2815" s="1" t="s">
        <v>10246</v>
      </c>
      <c r="F2815" s="2" t="s">
        <v>9468</v>
      </c>
      <c r="G2815" s="2" t="s">
        <v>69</v>
      </c>
      <c r="H2815" s="2" t="s">
        <v>5849</v>
      </c>
      <c r="I2815" s="2" t="s">
        <v>4386</v>
      </c>
      <c r="J2815" s="2" t="s">
        <v>10247</v>
      </c>
      <c r="K2815" s="13" t="s">
        <v>13177</v>
      </c>
      <c r="L2815" s="7" t="s">
        <v>13199</v>
      </c>
    </row>
    <row r="2816" spans="1:12" ht="27.6" hidden="1" x14ac:dyDescent="0.3">
      <c r="A2816" s="2" t="s">
        <v>4386</v>
      </c>
      <c r="B2816" s="2" t="s">
        <v>10248</v>
      </c>
      <c r="C2816" s="3">
        <v>35799</v>
      </c>
      <c r="D2816" s="1" t="s">
        <v>10249</v>
      </c>
      <c r="E2816" s="1" t="s">
        <v>10250</v>
      </c>
      <c r="F2816" s="2" t="s">
        <v>9468</v>
      </c>
      <c r="G2816" s="2" t="s">
        <v>69</v>
      </c>
      <c r="H2816" s="2" t="s">
        <v>81</v>
      </c>
      <c r="I2816" s="2" t="s">
        <v>4386</v>
      </c>
      <c r="J2816" s="2" t="s">
        <v>10247</v>
      </c>
      <c r="K2816" s="13" t="s">
        <v>13177</v>
      </c>
      <c r="L2816" s="7" t="s">
        <v>13199</v>
      </c>
    </row>
    <row r="2817" spans="1:12" ht="27.6" hidden="1" x14ac:dyDescent="0.3">
      <c r="A2817" s="2" t="s">
        <v>4139</v>
      </c>
      <c r="B2817" s="2" t="s">
        <v>10251</v>
      </c>
      <c r="C2817" s="3">
        <v>23189</v>
      </c>
      <c r="D2817" s="1" t="s">
        <v>10252</v>
      </c>
      <c r="E2817" s="1" t="s">
        <v>10253</v>
      </c>
      <c r="F2817" s="2" t="s">
        <v>10142</v>
      </c>
      <c r="G2817" s="2" t="s">
        <v>10156</v>
      </c>
      <c r="H2817" s="2" t="s">
        <v>103</v>
      </c>
      <c r="I2817" s="2" t="s">
        <v>4139</v>
      </c>
      <c r="J2817" s="2" t="s">
        <v>10158</v>
      </c>
      <c r="K2817" s="13" t="s">
        <v>13177</v>
      </c>
      <c r="L2817" s="7" t="s">
        <v>13199</v>
      </c>
    </row>
    <row r="2818" spans="1:12" ht="27.6" hidden="1" x14ac:dyDescent="0.3">
      <c r="A2818" s="2" t="s">
        <v>4139</v>
      </c>
      <c r="B2818" s="2" t="s">
        <v>10254</v>
      </c>
      <c r="C2818" s="3">
        <v>26364</v>
      </c>
      <c r="D2818" s="1" t="s">
        <v>10255</v>
      </c>
      <c r="E2818" s="1" t="s">
        <v>10256</v>
      </c>
      <c r="F2818" s="2" t="s">
        <v>10221</v>
      </c>
      <c r="G2818" s="2" t="s">
        <v>31</v>
      </c>
      <c r="H2818" s="2" t="s">
        <v>10</v>
      </c>
      <c r="I2818" s="2" t="s">
        <v>4139</v>
      </c>
      <c r="J2818" s="2" t="s">
        <v>684</v>
      </c>
      <c r="K2818" s="13" t="s">
        <v>13177</v>
      </c>
      <c r="L2818" s="7" t="s">
        <v>13199</v>
      </c>
    </row>
    <row r="2819" spans="1:12" ht="27.6" hidden="1" x14ac:dyDescent="0.3">
      <c r="A2819" s="2" t="s">
        <v>4139</v>
      </c>
      <c r="B2819" s="2" t="s">
        <v>10257</v>
      </c>
      <c r="C2819" s="3">
        <v>25902</v>
      </c>
      <c r="D2819" s="1" t="s">
        <v>10258</v>
      </c>
      <c r="E2819" s="1" t="s">
        <v>10259</v>
      </c>
      <c r="F2819" s="2" t="s">
        <v>10215</v>
      </c>
      <c r="G2819" s="2" t="s">
        <v>10260</v>
      </c>
      <c r="H2819" s="2" t="s">
        <v>10</v>
      </c>
      <c r="I2819" s="2" t="s">
        <v>4139</v>
      </c>
      <c r="J2819" s="2" t="s">
        <v>10261</v>
      </c>
      <c r="K2819" s="13" t="s">
        <v>13177</v>
      </c>
      <c r="L2819" s="7" t="s">
        <v>13199</v>
      </c>
    </row>
    <row r="2820" spans="1:12" ht="27.6" hidden="1" x14ac:dyDescent="0.3">
      <c r="A2820" s="2" t="s">
        <v>4139</v>
      </c>
      <c r="B2820" s="2" t="s">
        <v>10262</v>
      </c>
      <c r="C2820" s="3">
        <v>21726</v>
      </c>
      <c r="D2820" s="1" t="s">
        <v>10263</v>
      </c>
      <c r="E2820" s="1" t="s">
        <v>10264</v>
      </c>
      <c r="F2820" s="2" t="s">
        <v>10142</v>
      </c>
      <c r="G2820" s="2" t="s">
        <v>10265</v>
      </c>
      <c r="H2820" s="2" t="s">
        <v>10</v>
      </c>
      <c r="I2820" s="2" t="s">
        <v>4139</v>
      </c>
      <c r="J2820" s="2" t="s">
        <v>10266</v>
      </c>
      <c r="K2820" s="13" t="s">
        <v>13177</v>
      </c>
      <c r="L2820" s="7" t="s">
        <v>13199</v>
      </c>
    </row>
    <row r="2821" spans="1:12" ht="27.6" hidden="1" x14ac:dyDescent="0.3">
      <c r="A2821" s="2" t="s">
        <v>4139</v>
      </c>
      <c r="B2821" s="2" t="s">
        <v>10267</v>
      </c>
      <c r="C2821" s="3">
        <v>19105</v>
      </c>
      <c r="D2821" s="1" t="s">
        <v>10268</v>
      </c>
      <c r="E2821" s="1" t="s">
        <v>10269</v>
      </c>
      <c r="F2821" s="2" t="s">
        <v>10221</v>
      </c>
      <c r="G2821" s="2" t="s">
        <v>4658</v>
      </c>
      <c r="H2821" s="2" t="s">
        <v>10</v>
      </c>
      <c r="I2821" s="2" t="s">
        <v>4139</v>
      </c>
      <c r="J2821" s="2" t="s">
        <v>4659</v>
      </c>
      <c r="K2821" s="13" t="s">
        <v>13177</v>
      </c>
      <c r="L2821" s="7" t="s">
        <v>13199</v>
      </c>
    </row>
    <row r="2822" spans="1:12" ht="27.6" hidden="1" x14ac:dyDescent="0.3">
      <c r="A2822" s="2" t="s">
        <v>4139</v>
      </c>
      <c r="B2822" s="2" t="s">
        <v>10270</v>
      </c>
      <c r="C2822" s="3">
        <v>28811</v>
      </c>
      <c r="D2822" s="1" t="s">
        <v>10271</v>
      </c>
      <c r="E2822" s="1" t="s">
        <v>10272</v>
      </c>
      <c r="F2822" s="2" t="s">
        <v>10215</v>
      </c>
      <c r="G2822" s="2" t="s">
        <v>10273</v>
      </c>
      <c r="H2822" s="2" t="s">
        <v>103</v>
      </c>
      <c r="I2822" s="2" t="s">
        <v>4139</v>
      </c>
      <c r="J2822" s="2" t="s">
        <v>10274</v>
      </c>
      <c r="K2822" s="13" t="s">
        <v>13177</v>
      </c>
      <c r="L2822" s="7" t="s">
        <v>13199</v>
      </c>
    </row>
    <row r="2823" spans="1:12" ht="27.6" hidden="1" x14ac:dyDescent="0.3">
      <c r="A2823" s="2" t="s">
        <v>4139</v>
      </c>
      <c r="B2823" s="2" t="s">
        <v>10275</v>
      </c>
      <c r="C2823" s="3">
        <v>34910</v>
      </c>
      <c r="D2823" s="1" t="s">
        <v>10276</v>
      </c>
      <c r="E2823" s="1" t="s">
        <v>10277</v>
      </c>
      <c r="F2823" s="2" t="s">
        <v>10215</v>
      </c>
      <c r="G2823" s="2" t="s">
        <v>10273</v>
      </c>
      <c r="H2823" s="2" t="s">
        <v>822</v>
      </c>
      <c r="I2823" s="2" t="s">
        <v>4139</v>
      </c>
      <c r="J2823" s="2" t="s">
        <v>10274</v>
      </c>
      <c r="K2823" s="13" t="s">
        <v>13177</v>
      </c>
      <c r="L2823" s="7" t="s">
        <v>13199</v>
      </c>
    </row>
    <row r="2824" spans="1:12" ht="27.6" hidden="1" x14ac:dyDescent="0.3">
      <c r="A2824" s="2" t="s">
        <v>4139</v>
      </c>
      <c r="B2824" s="2" t="s">
        <v>10278</v>
      </c>
      <c r="C2824" s="3">
        <v>38065</v>
      </c>
      <c r="D2824" s="1" t="s">
        <v>10279</v>
      </c>
      <c r="E2824" s="1" t="s">
        <v>10280</v>
      </c>
      <c r="F2824" s="2" t="s">
        <v>10215</v>
      </c>
      <c r="G2824" s="2" t="s">
        <v>10273</v>
      </c>
      <c r="H2824" s="2" t="s">
        <v>562</v>
      </c>
      <c r="I2824" s="2" t="s">
        <v>4139</v>
      </c>
      <c r="J2824" s="2" t="s">
        <v>10274</v>
      </c>
      <c r="K2824" s="13" t="s">
        <v>13177</v>
      </c>
      <c r="L2824" s="7" t="s">
        <v>13199</v>
      </c>
    </row>
    <row r="2825" spans="1:12" ht="27.6" hidden="1" x14ac:dyDescent="0.3">
      <c r="A2825" s="2" t="s">
        <v>4139</v>
      </c>
      <c r="B2825" s="2" t="s">
        <v>10281</v>
      </c>
      <c r="C2825" s="3">
        <v>27023</v>
      </c>
      <c r="D2825" s="1" t="s">
        <v>261</v>
      </c>
      <c r="E2825" s="1" t="s">
        <v>10282</v>
      </c>
      <c r="F2825" s="2" t="s">
        <v>10215</v>
      </c>
      <c r="G2825" s="2" t="s">
        <v>10283</v>
      </c>
      <c r="H2825" s="2" t="s">
        <v>10</v>
      </c>
      <c r="I2825" s="2" t="s">
        <v>4139</v>
      </c>
      <c r="J2825" s="2" t="s">
        <v>10284</v>
      </c>
      <c r="K2825" s="13" t="s">
        <v>13177</v>
      </c>
      <c r="L2825" s="7" t="s">
        <v>13199</v>
      </c>
    </row>
    <row r="2826" spans="1:12" ht="27.6" hidden="1" x14ac:dyDescent="0.3">
      <c r="A2826" s="2" t="s">
        <v>4139</v>
      </c>
      <c r="B2826" s="2" t="s">
        <v>10285</v>
      </c>
      <c r="C2826" s="3">
        <v>28780</v>
      </c>
      <c r="D2826" s="1" t="s">
        <v>10286</v>
      </c>
      <c r="E2826" s="1" t="s">
        <v>10287</v>
      </c>
      <c r="F2826" s="2" t="s">
        <v>9913</v>
      </c>
      <c r="G2826" s="2" t="s">
        <v>10288</v>
      </c>
      <c r="H2826" s="2" t="s">
        <v>10</v>
      </c>
      <c r="I2826" s="2" t="s">
        <v>4139</v>
      </c>
      <c r="J2826" s="2" t="s">
        <v>10289</v>
      </c>
      <c r="K2826" s="13" t="s">
        <v>13177</v>
      </c>
      <c r="L2826" s="7" t="s">
        <v>13199</v>
      </c>
    </row>
    <row r="2827" spans="1:12" ht="55.2" hidden="1" x14ac:dyDescent="0.3">
      <c r="A2827" s="2" t="s">
        <v>4139</v>
      </c>
      <c r="B2827" s="2" t="s">
        <v>10290</v>
      </c>
      <c r="C2827" s="3">
        <v>25625</v>
      </c>
      <c r="D2827" s="1" t="s">
        <v>10291</v>
      </c>
      <c r="E2827" s="1" t="s">
        <v>10292</v>
      </c>
      <c r="F2827" s="2" t="s">
        <v>10177</v>
      </c>
      <c r="G2827" s="2" t="s">
        <v>10293</v>
      </c>
      <c r="H2827" s="2" t="s">
        <v>10</v>
      </c>
      <c r="I2827" s="2" t="s">
        <v>4139</v>
      </c>
      <c r="J2827" s="2" t="s">
        <v>10294</v>
      </c>
      <c r="K2827" s="16" t="s">
        <v>13177</v>
      </c>
      <c r="L2827" s="7" t="s">
        <v>13199</v>
      </c>
    </row>
    <row r="2828" spans="1:12" hidden="1" x14ac:dyDescent="0.3">
      <c r="A2828" s="2" t="s">
        <v>4139</v>
      </c>
      <c r="B2828" s="2" t="s">
        <v>10295</v>
      </c>
      <c r="C2828" s="3">
        <v>26856</v>
      </c>
      <c r="D2828" s="1" t="s">
        <v>10296</v>
      </c>
      <c r="E2828" s="1" t="s">
        <v>10297</v>
      </c>
      <c r="F2828" s="2" t="s">
        <v>4143</v>
      </c>
      <c r="G2828" s="2" t="s">
        <v>10298</v>
      </c>
      <c r="H2828" s="2" t="s">
        <v>10</v>
      </c>
      <c r="I2828" s="2" t="s">
        <v>4139</v>
      </c>
      <c r="J2828" s="2" t="s">
        <v>10299</v>
      </c>
      <c r="K2828" s="14"/>
      <c r="L2828" s="7" t="s">
        <v>13199</v>
      </c>
    </row>
    <row r="2829" spans="1:12" hidden="1" x14ac:dyDescent="0.3">
      <c r="A2829" s="2" t="s">
        <v>4139</v>
      </c>
      <c r="B2829" s="2" t="s">
        <v>10300</v>
      </c>
      <c r="C2829" s="3">
        <v>36029</v>
      </c>
      <c r="D2829" s="1" t="s">
        <v>10301</v>
      </c>
      <c r="E2829" s="1" t="s">
        <v>10302</v>
      </c>
      <c r="F2829" s="2" t="s">
        <v>4143</v>
      </c>
      <c r="G2829" s="2" t="s">
        <v>8349</v>
      </c>
      <c r="H2829" s="2" t="s">
        <v>81</v>
      </c>
      <c r="I2829" s="2" t="s">
        <v>4139</v>
      </c>
      <c r="J2829" s="2" t="s">
        <v>8350</v>
      </c>
      <c r="K2829" s="14"/>
      <c r="L2829" s="7" t="s">
        <v>13199</v>
      </c>
    </row>
    <row r="2830" spans="1:12" hidden="1" x14ac:dyDescent="0.3">
      <c r="A2830" s="2" t="s">
        <v>4139</v>
      </c>
      <c r="B2830" s="2" t="s">
        <v>10303</v>
      </c>
      <c r="C2830" s="3">
        <v>20294</v>
      </c>
      <c r="D2830" s="1" t="s">
        <v>10304</v>
      </c>
      <c r="E2830" s="1" t="s">
        <v>10305</v>
      </c>
      <c r="F2830" s="2" t="s">
        <v>4143</v>
      </c>
      <c r="G2830" s="2" t="s">
        <v>10306</v>
      </c>
      <c r="H2830" s="2" t="s">
        <v>10</v>
      </c>
      <c r="I2830" s="2" t="s">
        <v>4139</v>
      </c>
      <c r="J2830" s="2" t="s">
        <v>10307</v>
      </c>
      <c r="K2830" s="14"/>
      <c r="L2830" s="7" t="s">
        <v>13199</v>
      </c>
    </row>
    <row r="2831" spans="1:12" hidden="1" x14ac:dyDescent="0.3">
      <c r="A2831" s="2" t="s">
        <v>4139</v>
      </c>
      <c r="B2831" s="2" t="s">
        <v>10308</v>
      </c>
      <c r="C2831" s="3">
        <v>28867</v>
      </c>
      <c r="D2831" s="1" t="s">
        <v>10309</v>
      </c>
      <c r="E2831" s="1" t="s">
        <v>10310</v>
      </c>
      <c r="F2831" s="2" t="s">
        <v>4143</v>
      </c>
      <c r="G2831" s="2" t="s">
        <v>6635</v>
      </c>
      <c r="H2831" s="2" t="s">
        <v>334</v>
      </c>
      <c r="I2831" s="2" t="s">
        <v>4139</v>
      </c>
      <c r="J2831" s="2" t="s">
        <v>8960</v>
      </c>
      <c r="K2831" s="14"/>
      <c r="L2831" s="7" t="s">
        <v>13199</v>
      </c>
    </row>
    <row r="2832" spans="1:12" ht="55.2" hidden="1" x14ac:dyDescent="0.3">
      <c r="A2832" s="2" t="s">
        <v>4139</v>
      </c>
      <c r="B2832" s="2" t="s">
        <v>10311</v>
      </c>
      <c r="C2832" s="3">
        <v>27037</v>
      </c>
      <c r="D2832" s="1" t="s">
        <v>10312</v>
      </c>
      <c r="E2832" s="1" t="s">
        <v>10313</v>
      </c>
      <c r="F2832" s="2" t="s">
        <v>10177</v>
      </c>
      <c r="G2832" s="2" t="s">
        <v>10293</v>
      </c>
      <c r="H2832" s="2" t="s">
        <v>81</v>
      </c>
      <c r="I2832" s="2" t="s">
        <v>4139</v>
      </c>
      <c r="J2832" s="2" t="s">
        <v>10294</v>
      </c>
      <c r="K2832" s="20" t="s">
        <v>13177</v>
      </c>
      <c r="L2832" s="7" t="s">
        <v>13199</v>
      </c>
    </row>
    <row r="2833" spans="1:12" ht="27.6" hidden="1" x14ac:dyDescent="0.3">
      <c r="A2833" s="2" t="s">
        <v>4139</v>
      </c>
      <c r="B2833" s="2" t="s">
        <v>10314</v>
      </c>
      <c r="C2833" s="3">
        <v>20607</v>
      </c>
      <c r="D2833" s="1" t="s">
        <v>10315</v>
      </c>
      <c r="E2833" s="1" t="s">
        <v>10316</v>
      </c>
      <c r="F2833" s="2" t="s">
        <v>10230</v>
      </c>
      <c r="G2833" s="2" t="s">
        <v>4566</v>
      </c>
      <c r="H2833" s="2" t="s">
        <v>10</v>
      </c>
      <c r="I2833" s="2" t="s">
        <v>4139</v>
      </c>
      <c r="J2833" s="2" t="s">
        <v>4567</v>
      </c>
      <c r="K2833" s="13" t="s">
        <v>13177</v>
      </c>
      <c r="L2833" s="7" t="s">
        <v>13199</v>
      </c>
    </row>
    <row r="2834" spans="1:12" ht="27.6" hidden="1" x14ac:dyDescent="0.3">
      <c r="A2834" s="2" t="s">
        <v>4139</v>
      </c>
      <c r="B2834" s="2" t="s">
        <v>10317</v>
      </c>
      <c r="C2834" s="3">
        <v>29523</v>
      </c>
      <c r="D2834" s="1" t="s">
        <v>10318</v>
      </c>
      <c r="E2834" s="1" t="s">
        <v>10319</v>
      </c>
      <c r="F2834" s="2" t="s">
        <v>10230</v>
      </c>
      <c r="G2834" s="2" t="s">
        <v>4584</v>
      </c>
      <c r="H2834" s="2" t="s">
        <v>10</v>
      </c>
      <c r="I2834" s="2" t="s">
        <v>4139</v>
      </c>
      <c r="J2834" s="2" t="s">
        <v>4585</v>
      </c>
      <c r="K2834" s="13" t="s">
        <v>13177</v>
      </c>
      <c r="L2834" s="7" t="s">
        <v>13199</v>
      </c>
    </row>
    <row r="2835" spans="1:12" ht="27.6" hidden="1" x14ac:dyDescent="0.3">
      <c r="A2835" s="2" t="s">
        <v>4139</v>
      </c>
      <c r="B2835" s="2" t="s">
        <v>10320</v>
      </c>
      <c r="C2835" s="3">
        <v>24271</v>
      </c>
      <c r="D2835" s="1" t="s">
        <v>10321</v>
      </c>
      <c r="E2835" s="1" t="s">
        <v>10322</v>
      </c>
      <c r="F2835" s="2" t="s">
        <v>10230</v>
      </c>
      <c r="G2835" s="2" t="s">
        <v>10323</v>
      </c>
      <c r="H2835" s="2" t="s">
        <v>10</v>
      </c>
      <c r="I2835" s="2" t="s">
        <v>4139</v>
      </c>
      <c r="J2835" s="2" t="s">
        <v>10324</v>
      </c>
      <c r="K2835" s="13" t="s">
        <v>13177</v>
      </c>
      <c r="L2835" s="7" t="s">
        <v>13199</v>
      </c>
    </row>
    <row r="2836" spans="1:12" ht="55.2" hidden="1" x14ac:dyDescent="0.3">
      <c r="A2836" s="2" t="s">
        <v>4139</v>
      </c>
      <c r="B2836" s="2" t="s">
        <v>10325</v>
      </c>
      <c r="C2836" s="3">
        <v>23065</v>
      </c>
      <c r="D2836" s="1" t="s">
        <v>10326</v>
      </c>
      <c r="E2836" s="1" t="s">
        <v>10327</v>
      </c>
      <c r="F2836" s="2" t="s">
        <v>10177</v>
      </c>
      <c r="G2836" s="2" t="s">
        <v>10328</v>
      </c>
      <c r="H2836" s="2" t="s">
        <v>10</v>
      </c>
      <c r="I2836" s="2" t="s">
        <v>4139</v>
      </c>
      <c r="J2836" s="2" t="s">
        <v>10329</v>
      </c>
      <c r="K2836" s="13" t="s">
        <v>13177</v>
      </c>
      <c r="L2836" s="7" t="s">
        <v>13199</v>
      </c>
    </row>
    <row r="2837" spans="1:12" ht="27.6" hidden="1" x14ac:dyDescent="0.3">
      <c r="A2837" s="2" t="s">
        <v>4139</v>
      </c>
      <c r="B2837" s="2" t="s">
        <v>10330</v>
      </c>
      <c r="C2837" s="3">
        <v>34162</v>
      </c>
      <c r="D2837" s="1" t="s">
        <v>10331</v>
      </c>
      <c r="E2837" s="1" t="s">
        <v>10332</v>
      </c>
      <c r="F2837" s="2" t="s">
        <v>9913</v>
      </c>
      <c r="G2837" s="2" t="s">
        <v>6172</v>
      </c>
      <c r="H2837" s="2" t="s">
        <v>81</v>
      </c>
      <c r="I2837" s="2" t="s">
        <v>4139</v>
      </c>
      <c r="J2837" s="2" t="s">
        <v>9940</v>
      </c>
      <c r="K2837" s="13" t="s">
        <v>13177</v>
      </c>
      <c r="L2837" s="7" t="s">
        <v>13199</v>
      </c>
    </row>
    <row r="2838" spans="1:12" ht="27.6" hidden="1" x14ac:dyDescent="0.3">
      <c r="A2838" s="2" t="s">
        <v>4139</v>
      </c>
      <c r="B2838" s="2" t="s">
        <v>10333</v>
      </c>
      <c r="C2838" s="3">
        <v>17213</v>
      </c>
      <c r="D2838" s="1" t="s">
        <v>10334</v>
      </c>
      <c r="E2838" s="1" t="s">
        <v>10335</v>
      </c>
      <c r="F2838" s="2" t="s">
        <v>10142</v>
      </c>
      <c r="G2838" s="2" t="s">
        <v>4589</v>
      </c>
      <c r="H2838" s="2" t="s">
        <v>10</v>
      </c>
      <c r="I2838" s="2" t="s">
        <v>4139</v>
      </c>
      <c r="J2838" s="2" t="s">
        <v>10336</v>
      </c>
      <c r="K2838" s="13" t="s">
        <v>13177</v>
      </c>
      <c r="L2838" s="7" t="s">
        <v>13199</v>
      </c>
    </row>
    <row r="2839" spans="1:12" ht="27.6" hidden="1" x14ac:dyDescent="0.3">
      <c r="A2839" s="2" t="s">
        <v>4139</v>
      </c>
      <c r="B2839" s="2" t="s">
        <v>10337</v>
      </c>
      <c r="C2839" s="3">
        <v>30423</v>
      </c>
      <c r="D2839" s="1" t="s">
        <v>10338</v>
      </c>
      <c r="E2839" s="1" t="s">
        <v>10339</v>
      </c>
      <c r="F2839" s="2" t="s">
        <v>9913</v>
      </c>
      <c r="G2839" s="2" t="s">
        <v>6191</v>
      </c>
      <c r="H2839" s="2" t="s">
        <v>10</v>
      </c>
      <c r="I2839" s="2" t="s">
        <v>4139</v>
      </c>
      <c r="J2839" s="2" t="s">
        <v>7297</v>
      </c>
      <c r="K2839" s="13" t="s">
        <v>13177</v>
      </c>
      <c r="L2839" s="7" t="s">
        <v>13199</v>
      </c>
    </row>
    <row r="2840" spans="1:12" ht="27.6" hidden="1" x14ac:dyDescent="0.3">
      <c r="A2840" s="2" t="s">
        <v>4139</v>
      </c>
      <c r="B2840" s="2" t="s">
        <v>10340</v>
      </c>
      <c r="C2840" s="3">
        <v>28941</v>
      </c>
      <c r="D2840" s="1" t="s">
        <v>10341</v>
      </c>
      <c r="E2840" s="1" t="s">
        <v>10342</v>
      </c>
      <c r="F2840" s="2" t="s">
        <v>10230</v>
      </c>
      <c r="G2840" s="2" t="s">
        <v>4561</v>
      </c>
      <c r="H2840" s="2" t="s">
        <v>10</v>
      </c>
      <c r="I2840" s="2" t="s">
        <v>4139</v>
      </c>
      <c r="J2840" s="2" t="s">
        <v>4562</v>
      </c>
      <c r="K2840" s="13" t="s">
        <v>13177</v>
      </c>
      <c r="L2840" s="7" t="s">
        <v>13199</v>
      </c>
    </row>
    <row r="2841" spans="1:12" ht="27.6" hidden="1" x14ac:dyDescent="0.3">
      <c r="A2841" s="2" t="s">
        <v>4139</v>
      </c>
      <c r="B2841" s="2" t="s">
        <v>10343</v>
      </c>
      <c r="C2841" s="3">
        <v>28774</v>
      </c>
      <c r="D2841" s="1" t="s">
        <v>10344</v>
      </c>
      <c r="E2841" s="1" t="s">
        <v>10345</v>
      </c>
      <c r="F2841" s="2" t="s">
        <v>10221</v>
      </c>
      <c r="G2841" s="2" t="s">
        <v>385</v>
      </c>
      <c r="H2841" s="2" t="s">
        <v>10</v>
      </c>
      <c r="I2841" s="2" t="s">
        <v>4139</v>
      </c>
      <c r="J2841" s="2" t="s">
        <v>913</v>
      </c>
      <c r="K2841" s="13" t="s">
        <v>13177</v>
      </c>
      <c r="L2841" s="7" t="s">
        <v>13199</v>
      </c>
    </row>
    <row r="2842" spans="1:12" ht="27.6" hidden="1" x14ac:dyDescent="0.3">
      <c r="A2842" s="2" t="s">
        <v>4139</v>
      </c>
      <c r="B2842" s="2" t="s">
        <v>10346</v>
      </c>
      <c r="C2842" s="3">
        <v>30042</v>
      </c>
      <c r="D2842" s="1" t="s">
        <v>10347</v>
      </c>
      <c r="E2842" s="1" t="s">
        <v>10348</v>
      </c>
      <c r="F2842" s="2" t="s">
        <v>10215</v>
      </c>
      <c r="G2842" s="2" t="s">
        <v>319</v>
      </c>
      <c r="H2842" s="2" t="s">
        <v>10</v>
      </c>
      <c r="I2842" s="2" t="s">
        <v>4139</v>
      </c>
      <c r="J2842" s="2" t="s">
        <v>320</v>
      </c>
      <c r="K2842" s="13" t="s">
        <v>13177</v>
      </c>
      <c r="L2842" s="7" t="s">
        <v>13199</v>
      </c>
    </row>
    <row r="2843" spans="1:12" ht="27.6" hidden="1" x14ac:dyDescent="0.3">
      <c r="A2843" s="2" t="s">
        <v>4139</v>
      </c>
      <c r="B2843" s="2" t="s">
        <v>10349</v>
      </c>
      <c r="C2843" s="3">
        <v>22946</v>
      </c>
      <c r="D2843" s="1" t="s">
        <v>10350</v>
      </c>
      <c r="E2843" s="1" t="s">
        <v>10351</v>
      </c>
      <c r="F2843" s="2" t="s">
        <v>10142</v>
      </c>
      <c r="G2843" s="2" t="s">
        <v>10352</v>
      </c>
      <c r="H2843" s="2" t="s">
        <v>10</v>
      </c>
      <c r="I2843" s="2" t="s">
        <v>4139</v>
      </c>
      <c r="J2843" s="2" t="s">
        <v>10353</v>
      </c>
      <c r="K2843" s="13" t="s">
        <v>13177</v>
      </c>
      <c r="L2843" s="7" t="s">
        <v>13199</v>
      </c>
    </row>
    <row r="2844" spans="1:12" ht="55.2" hidden="1" x14ac:dyDescent="0.3">
      <c r="A2844" s="2" t="s">
        <v>4139</v>
      </c>
      <c r="B2844" s="2" t="s">
        <v>10354</v>
      </c>
      <c r="C2844" s="3">
        <v>31917</v>
      </c>
      <c r="D2844" s="1" t="s">
        <v>10355</v>
      </c>
      <c r="E2844" s="1" t="s">
        <v>10356</v>
      </c>
      <c r="F2844" s="2" t="s">
        <v>10177</v>
      </c>
      <c r="G2844" s="2" t="s">
        <v>10002</v>
      </c>
      <c r="H2844" s="2" t="s">
        <v>10</v>
      </c>
      <c r="I2844" s="2" t="s">
        <v>4139</v>
      </c>
      <c r="J2844" s="2" t="s">
        <v>10003</v>
      </c>
      <c r="K2844" s="13" t="s">
        <v>13177</v>
      </c>
      <c r="L2844" s="7" t="s">
        <v>13199</v>
      </c>
    </row>
    <row r="2845" spans="1:12" ht="27.6" hidden="1" x14ac:dyDescent="0.3">
      <c r="A2845" s="2" t="s">
        <v>60</v>
      </c>
      <c r="B2845" s="2" t="s">
        <v>10357</v>
      </c>
      <c r="C2845" s="3">
        <v>36155</v>
      </c>
      <c r="D2845" s="1" t="s">
        <v>10358</v>
      </c>
      <c r="E2845" s="1" t="s">
        <v>10359</v>
      </c>
      <c r="F2845" s="2" t="s">
        <v>60</v>
      </c>
      <c r="G2845" s="2" t="s">
        <v>2124</v>
      </c>
      <c r="H2845" s="2" t="s">
        <v>334</v>
      </c>
      <c r="I2845" s="2" t="s">
        <v>60</v>
      </c>
      <c r="J2845" s="2" t="s">
        <v>1877</v>
      </c>
      <c r="K2845" s="13" t="s">
        <v>13177</v>
      </c>
      <c r="L2845" s="7" t="s">
        <v>13199</v>
      </c>
    </row>
    <row r="2846" spans="1:12" ht="27.6" hidden="1" x14ac:dyDescent="0.3">
      <c r="A2846" s="2" t="s">
        <v>60</v>
      </c>
      <c r="B2846" s="2" t="s">
        <v>10360</v>
      </c>
      <c r="C2846" s="3">
        <v>37253</v>
      </c>
      <c r="D2846" s="1" t="s">
        <v>20</v>
      </c>
      <c r="E2846" s="1" t="s">
        <v>10361</v>
      </c>
      <c r="F2846" s="2" t="s">
        <v>1043</v>
      </c>
      <c r="G2846" s="2" t="s">
        <v>124</v>
      </c>
      <c r="H2846" s="2" t="s">
        <v>334</v>
      </c>
      <c r="I2846" s="2" t="s">
        <v>60</v>
      </c>
      <c r="J2846" s="2" t="s">
        <v>173</v>
      </c>
      <c r="K2846" s="13" t="s">
        <v>13177</v>
      </c>
      <c r="L2846" s="7" t="s">
        <v>13199</v>
      </c>
    </row>
    <row r="2847" spans="1:12" ht="27.6" hidden="1" x14ac:dyDescent="0.3">
      <c r="A2847" s="2" t="s">
        <v>60</v>
      </c>
      <c r="B2847" s="2" t="s">
        <v>10362</v>
      </c>
      <c r="C2847" s="3">
        <v>30646</v>
      </c>
      <c r="D2847" s="1" t="s">
        <v>10363</v>
      </c>
      <c r="E2847" s="1" t="s">
        <v>10364</v>
      </c>
      <c r="F2847" s="2" t="s">
        <v>151</v>
      </c>
      <c r="G2847" s="2" t="s">
        <v>190</v>
      </c>
      <c r="H2847" s="2" t="s">
        <v>334</v>
      </c>
      <c r="I2847" s="2" t="s">
        <v>60</v>
      </c>
      <c r="J2847" s="2" t="s">
        <v>191</v>
      </c>
      <c r="K2847" s="13" t="s">
        <v>13177</v>
      </c>
      <c r="L2847" s="7" t="s">
        <v>13199</v>
      </c>
    </row>
    <row r="2848" spans="1:12" ht="27.6" hidden="1" x14ac:dyDescent="0.3">
      <c r="A2848" s="2" t="s">
        <v>4139</v>
      </c>
      <c r="B2848" s="2" t="s">
        <v>10365</v>
      </c>
      <c r="C2848" s="3">
        <v>32744</v>
      </c>
      <c r="D2848" s="1" t="s">
        <v>10366</v>
      </c>
      <c r="E2848" s="1" t="s">
        <v>10367</v>
      </c>
      <c r="F2848" s="2" t="s">
        <v>10230</v>
      </c>
      <c r="G2848" s="2" t="s">
        <v>4556</v>
      </c>
      <c r="H2848" s="2" t="s">
        <v>10</v>
      </c>
      <c r="I2848" s="2" t="s">
        <v>4139</v>
      </c>
      <c r="J2848" s="2" t="s">
        <v>4557</v>
      </c>
      <c r="K2848" s="13" t="s">
        <v>13177</v>
      </c>
      <c r="L2848" s="7" t="s">
        <v>13199</v>
      </c>
    </row>
    <row r="2849" spans="1:12" ht="27.6" hidden="1" x14ac:dyDescent="0.3">
      <c r="A2849" s="2" t="s">
        <v>4139</v>
      </c>
      <c r="B2849" s="2" t="s">
        <v>10368</v>
      </c>
      <c r="C2849" s="3">
        <v>27899</v>
      </c>
      <c r="D2849" s="1" t="s">
        <v>261</v>
      </c>
      <c r="E2849" s="1" t="s">
        <v>10369</v>
      </c>
      <c r="F2849" s="2" t="s">
        <v>10230</v>
      </c>
      <c r="G2849" s="2" t="s">
        <v>5575</v>
      </c>
      <c r="H2849" s="2" t="s">
        <v>103</v>
      </c>
      <c r="I2849" s="2" t="s">
        <v>4139</v>
      </c>
      <c r="J2849" s="2" t="s">
        <v>10370</v>
      </c>
      <c r="K2849" s="13" t="s">
        <v>13177</v>
      </c>
      <c r="L2849" s="7" t="s">
        <v>13199</v>
      </c>
    </row>
    <row r="2850" spans="1:12" ht="27.6" hidden="1" x14ac:dyDescent="0.3">
      <c r="A2850" s="2" t="s">
        <v>4139</v>
      </c>
      <c r="B2850" s="2" t="s">
        <v>10368</v>
      </c>
      <c r="C2850" s="3">
        <v>27930</v>
      </c>
      <c r="D2850" s="1" t="s">
        <v>261</v>
      </c>
      <c r="E2850" s="1" t="s">
        <v>10369</v>
      </c>
      <c r="F2850" s="2" t="s">
        <v>10230</v>
      </c>
      <c r="G2850" s="2" t="s">
        <v>5575</v>
      </c>
      <c r="H2850" s="2" t="s">
        <v>81</v>
      </c>
      <c r="I2850" s="2" t="s">
        <v>4139</v>
      </c>
      <c r="J2850" s="2" t="s">
        <v>10370</v>
      </c>
      <c r="K2850" s="13" t="s">
        <v>13177</v>
      </c>
      <c r="L2850" s="7" t="s">
        <v>13199</v>
      </c>
    </row>
    <row r="2851" spans="1:12" ht="27.6" hidden="1" x14ac:dyDescent="0.3">
      <c r="A2851" s="2" t="s">
        <v>4139</v>
      </c>
      <c r="B2851" s="2" t="s">
        <v>10371</v>
      </c>
      <c r="C2851" s="3">
        <v>28820</v>
      </c>
      <c r="D2851" s="1" t="s">
        <v>10372</v>
      </c>
      <c r="E2851" s="1" t="s">
        <v>10373</v>
      </c>
      <c r="F2851" s="2" t="s">
        <v>10221</v>
      </c>
      <c r="G2851" s="2" t="s">
        <v>366</v>
      </c>
      <c r="H2851" s="2" t="s">
        <v>10</v>
      </c>
      <c r="I2851" s="2" t="s">
        <v>4139</v>
      </c>
      <c r="J2851" s="2" t="s">
        <v>437</v>
      </c>
      <c r="K2851" s="13" t="s">
        <v>13177</v>
      </c>
      <c r="L2851" s="7" t="s">
        <v>13199</v>
      </c>
    </row>
    <row r="2852" spans="1:12" ht="27.6" hidden="1" x14ac:dyDescent="0.3">
      <c r="A2852" s="2" t="s">
        <v>4139</v>
      </c>
      <c r="B2852" s="2" t="s">
        <v>10374</v>
      </c>
      <c r="C2852" s="3">
        <v>28382</v>
      </c>
      <c r="D2852" s="1" t="s">
        <v>10375</v>
      </c>
      <c r="E2852" s="1" t="s">
        <v>10376</v>
      </c>
      <c r="F2852" s="2" t="s">
        <v>10230</v>
      </c>
      <c r="G2852" s="2" t="s">
        <v>5218</v>
      </c>
      <c r="H2852" s="2" t="s">
        <v>10</v>
      </c>
      <c r="I2852" s="2" t="s">
        <v>4139</v>
      </c>
      <c r="J2852" s="2" t="s">
        <v>10377</v>
      </c>
      <c r="K2852" s="13" t="s">
        <v>13177</v>
      </c>
      <c r="L2852" s="7" t="s">
        <v>13199</v>
      </c>
    </row>
    <row r="2853" spans="1:12" ht="27.6" hidden="1" x14ac:dyDescent="0.3">
      <c r="A2853" s="2" t="s">
        <v>4139</v>
      </c>
      <c r="B2853" s="2" t="s">
        <v>10378</v>
      </c>
      <c r="C2853" s="3">
        <v>27899</v>
      </c>
      <c r="D2853" s="1" t="s">
        <v>261</v>
      </c>
      <c r="E2853" s="1" t="s">
        <v>10369</v>
      </c>
      <c r="F2853" s="2" t="s">
        <v>10230</v>
      </c>
      <c r="G2853" s="2" t="s">
        <v>5575</v>
      </c>
      <c r="H2853" s="2" t="s">
        <v>562</v>
      </c>
      <c r="I2853" s="2" t="s">
        <v>4139</v>
      </c>
      <c r="J2853" s="2" t="s">
        <v>10370</v>
      </c>
      <c r="K2853" s="13" t="s">
        <v>13177</v>
      </c>
      <c r="L2853" s="7" t="s">
        <v>13199</v>
      </c>
    </row>
    <row r="2854" spans="1:12" ht="55.2" hidden="1" x14ac:dyDescent="0.3">
      <c r="A2854" s="2" t="s">
        <v>4604</v>
      </c>
      <c r="B2854" s="2" t="s">
        <v>10379</v>
      </c>
      <c r="C2854" s="3">
        <v>28135</v>
      </c>
      <c r="D2854" s="1" t="s">
        <v>10380</v>
      </c>
      <c r="E2854" s="1" t="s">
        <v>10381</v>
      </c>
      <c r="F2854" s="2" t="s">
        <v>4698</v>
      </c>
      <c r="G2854" s="2" t="s">
        <v>112</v>
      </c>
      <c r="H2854" s="2" t="s">
        <v>10382</v>
      </c>
      <c r="I2854" s="2" t="s">
        <v>4604</v>
      </c>
      <c r="J2854" s="2" t="s">
        <v>113</v>
      </c>
      <c r="K2854" s="13" t="s">
        <v>13177</v>
      </c>
      <c r="L2854" s="7" t="s">
        <v>13199</v>
      </c>
    </row>
    <row r="2855" spans="1:12" ht="55.2" hidden="1" x14ac:dyDescent="0.3">
      <c r="A2855" s="2" t="s">
        <v>4604</v>
      </c>
      <c r="B2855" s="2" t="s">
        <v>10383</v>
      </c>
      <c r="C2855" s="3">
        <v>23120</v>
      </c>
      <c r="D2855" s="1" t="s">
        <v>10384</v>
      </c>
      <c r="E2855" s="1" t="s">
        <v>10385</v>
      </c>
      <c r="F2855" s="2" t="s">
        <v>8296</v>
      </c>
      <c r="G2855" s="2" t="s">
        <v>3931</v>
      </c>
      <c r="H2855" s="2" t="s">
        <v>10386</v>
      </c>
      <c r="I2855" s="2" t="s">
        <v>4604</v>
      </c>
      <c r="J2855" s="2" t="s">
        <v>8865</v>
      </c>
      <c r="K2855" s="13" t="s">
        <v>13177</v>
      </c>
      <c r="L2855" s="7" t="s">
        <v>13199</v>
      </c>
    </row>
    <row r="2856" spans="1:12" ht="27.6" hidden="1" x14ac:dyDescent="0.3">
      <c r="A2856" s="2" t="s">
        <v>4139</v>
      </c>
      <c r="B2856" s="2" t="s">
        <v>10387</v>
      </c>
      <c r="C2856" s="3">
        <v>25690</v>
      </c>
      <c r="D2856" s="1" t="s">
        <v>10388</v>
      </c>
      <c r="E2856" s="1" t="s">
        <v>10389</v>
      </c>
      <c r="F2856" s="2" t="s">
        <v>9913</v>
      </c>
      <c r="G2856" s="2" t="s">
        <v>10390</v>
      </c>
      <c r="H2856" s="2" t="s">
        <v>10</v>
      </c>
      <c r="I2856" s="2" t="s">
        <v>4139</v>
      </c>
      <c r="J2856" s="2" t="s">
        <v>10391</v>
      </c>
      <c r="K2856" s="13" t="s">
        <v>13177</v>
      </c>
      <c r="L2856" s="7" t="s">
        <v>13199</v>
      </c>
    </row>
    <row r="2857" spans="1:12" ht="55.2" hidden="1" x14ac:dyDescent="0.3">
      <c r="A2857" s="2" t="s">
        <v>4604</v>
      </c>
      <c r="B2857" s="2" t="s">
        <v>10392</v>
      </c>
      <c r="C2857" s="3">
        <v>28994</v>
      </c>
      <c r="D2857" s="1" t="s">
        <v>10393</v>
      </c>
      <c r="E2857" s="1" t="s">
        <v>10394</v>
      </c>
      <c r="F2857" s="2" t="s">
        <v>5698</v>
      </c>
      <c r="G2857" s="2" t="s">
        <v>669</v>
      </c>
      <c r="H2857" s="2" t="s">
        <v>10395</v>
      </c>
      <c r="I2857" s="2" t="s">
        <v>4604</v>
      </c>
      <c r="J2857" s="2" t="s">
        <v>1888</v>
      </c>
      <c r="K2857" s="13" t="s">
        <v>13177</v>
      </c>
      <c r="L2857" s="7" t="s">
        <v>13199</v>
      </c>
    </row>
    <row r="2858" spans="1:12" ht="27.6" hidden="1" x14ac:dyDescent="0.3">
      <c r="A2858" s="2" t="s">
        <v>4139</v>
      </c>
      <c r="B2858" s="2" t="s">
        <v>10396</v>
      </c>
      <c r="C2858" s="3">
        <v>27245</v>
      </c>
      <c r="D2858" s="1" t="s">
        <v>10397</v>
      </c>
      <c r="E2858" s="1" t="s">
        <v>10398</v>
      </c>
      <c r="F2858" s="2" t="s">
        <v>10230</v>
      </c>
      <c r="G2858" s="2" t="s">
        <v>4561</v>
      </c>
      <c r="H2858" s="2" t="s">
        <v>334</v>
      </c>
      <c r="I2858" s="2" t="s">
        <v>4139</v>
      </c>
      <c r="J2858" s="2" t="s">
        <v>4562</v>
      </c>
      <c r="K2858" s="13" t="s">
        <v>13177</v>
      </c>
      <c r="L2858" s="7" t="s">
        <v>13199</v>
      </c>
    </row>
    <row r="2859" spans="1:12" ht="27.6" hidden="1" x14ac:dyDescent="0.3">
      <c r="A2859" s="2" t="s">
        <v>4386</v>
      </c>
      <c r="B2859" s="2" t="s">
        <v>10399</v>
      </c>
      <c r="C2859" s="3">
        <v>33374</v>
      </c>
      <c r="D2859" s="1" t="s">
        <v>10400</v>
      </c>
      <c r="E2859" s="1" t="s">
        <v>10401</v>
      </c>
      <c r="F2859" s="2" t="s">
        <v>10109</v>
      </c>
      <c r="G2859" s="2" t="s">
        <v>92</v>
      </c>
      <c r="H2859" s="2" t="s">
        <v>10</v>
      </c>
      <c r="I2859" s="2" t="s">
        <v>4386</v>
      </c>
      <c r="J2859" s="2" t="s">
        <v>10402</v>
      </c>
      <c r="K2859" s="13" t="s">
        <v>13177</v>
      </c>
      <c r="L2859" s="7" t="s">
        <v>13199</v>
      </c>
    </row>
    <row r="2860" spans="1:12" ht="27.6" hidden="1" x14ac:dyDescent="0.3">
      <c r="A2860" s="2" t="s">
        <v>4386</v>
      </c>
      <c r="B2860" s="2" t="s">
        <v>10403</v>
      </c>
      <c r="C2860" s="3">
        <v>21478</v>
      </c>
      <c r="D2860" s="1" t="s">
        <v>10404</v>
      </c>
      <c r="E2860" s="1" t="s">
        <v>10405</v>
      </c>
      <c r="F2860" s="2" t="s">
        <v>9047</v>
      </c>
      <c r="G2860" s="2" t="s">
        <v>10406</v>
      </c>
      <c r="H2860" s="2" t="s">
        <v>10</v>
      </c>
      <c r="I2860" s="2" t="s">
        <v>4386</v>
      </c>
      <c r="J2860" s="2" t="s">
        <v>10407</v>
      </c>
      <c r="K2860" s="13" t="s">
        <v>13177</v>
      </c>
      <c r="L2860" s="7" t="s">
        <v>13199</v>
      </c>
    </row>
    <row r="2861" spans="1:12" ht="27.6" hidden="1" x14ac:dyDescent="0.3">
      <c r="A2861" s="2" t="s">
        <v>4386</v>
      </c>
      <c r="B2861" s="2" t="s">
        <v>10408</v>
      </c>
      <c r="C2861" s="3">
        <v>28222</v>
      </c>
      <c r="D2861" s="1" t="s">
        <v>10409</v>
      </c>
      <c r="E2861" s="1" t="s">
        <v>10410</v>
      </c>
      <c r="F2861" s="2" t="s">
        <v>7095</v>
      </c>
      <c r="G2861" s="2" t="s">
        <v>10411</v>
      </c>
      <c r="H2861" s="2" t="s">
        <v>10</v>
      </c>
      <c r="I2861" s="2" t="s">
        <v>4386</v>
      </c>
      <c r="J2861" s="2" t="s">
        <v>10412</v>
      </c>
      <c r="K2861" s="13" t="s">
        <v>13177</v>
      </c>
      <c r="L2861" s="7" t="s">
        <v>13199</v>
      </c>
    </row>
    <row r="2862" spans="1:12" ht="27.6" hidden="1" x14ac:dyDescent="0.3">
      <c r="A2862" s="2" t="s">
        <v>4386</v>
      </c>
      <c r="B2862" s="2" t="s">
        <v>10413</v>
      </c>
      <c r="C2862" s="3">
        <v>37160</v>
      </c>
      <c r="D2862" s="1" t="s">
        <v>10414</v>
      </c>
      <c r="E2862" s="1" t="s">
        <v>10415</v>
      </c>
      <c r="F2862" s="2" t="s">
        <v>4396</v>
      </c>
      <c r="G2862" s="2" t="s">
        <v>4455</v>
      </c>
      <c r="H2862" s="2" t="s">
        <v>562</v>
      </c>
      <c r="I2862" s="2" t="s">
        <v>4386</v>
      </c>
      <c r="J2862" s="2" t="s">
        <v>10416</v>
      </c>
      <c r="K2862" s="13" t="s">
        <v>13177</v>
      </c>
      <c r="L2862" s="7" t="s">
        <v>13199</v>
      </c>
    </row>
    <row r="2863" spans="1:12" ht="27.6" hidden="1" x14ac:dyDescent="0.3">
      <c r="A2863" s="2" t="s">
        <v>4386</v>
      </c>
      <c r="B2863" s="2" t="s">
        <v>10417</v>
      </c>
      <c r="C2863" s="3">
        <v>34570</v>
      </c>
      <c r="D2863" s="1" t="s">
        <v>10418</v>
      </c>
      <c r="E2863" s="1" t="s">
        <v>10419</v>
      </c>
      <c r="F2863" s="2" t="s">
        <v>7088</v>
      </c>
      <c r="G2863" s="2" t="s">
        <v>278</v>
      </c>
      <c r="H2863" s="2" t="s">
        <v>10</v>
      </c>
      <c r="I2863" s="2" t="s">
        <v>4386</v>
      </c>
      <c r="J2863" s="2" t="s">
        <v>279</v>
      </c>
      <c r="K2863" s="13" t="s">
        <v>13177</v>
      </c>
      <c r="L2863" s="7" t="s">
        <v>13199</v>
      </c>
    </row>
    <row r="2864" spans="1:12" ht="55.2" hidden="1" x14ac:dyDescent="0.3">
      <c r="A2864" s="2" t="s">
        <v>4604</v>
      </c>
      <c r="B2864" s="2" t="s">
        <v>10420</v>
      </c>
      <c r="C2864" s="3">
        <v>29367</v>
      </c>
      <c r="D2864" s="1" t="s">
        <v>10421</v>
      </c>
      <c r="E2864" s="1" t="s">
        <v>10422</v>
      </c>
      <c r="F2864" s="2" t="s">
        <v>4698</v>
      </c>
      <c r="G2864" s="2" t="s">
        <v>696</v>
      </c>
      <c r="H2864" s="2" t="s">
        <v>5493</v>
      </c>
      <c r="I2864" s="2" t="s">
        <v>4604</v>
      </c>
      <c r="J2864" s="2" t="s">
        <v>4099</v>
      </c>
      <c r="K2864" s="13" t="s">
        <v>13177</v>
      </c>
      <c r="L2864" s="7" t="s">
        <v>13199</v>
      </c>
    </row>
    <row r="2865" spans="1:12" ht="55.2" hidden="1" x14ac:dyDescent="0.3">
      <c r="A2865" s="2" t="s">
        <v>4604</v>
      </c>
      <c r="B2865" s="2" t="s">
        <v>10423</v>
      </c>
      <c r="C2865" s="3">
        <v>30245</v>
      </c>
      <c r="D2865" s="1" t="s">
        <v>10424</v>
      </c>
      <c r="E2865" s="1" t="s">
        <v>10425</v>
      </c>
      <c r="F2865" s="2" t="s">
        <v>8296</v>
      </c>
      <c r="G2865" s="2" t="s">
        <v>222</v>
      </c>
      <c r="H2865" s="2" t="s">
        <v>10426</v>
      </c>
      <c r="I2865" s="2" t="s">
        <v>4604</v>
      </c>
      <c r="J2865" s="2" t="s">
        <v>417</v>
      </c>
      <c r="K2865" s="13" t="s">
        <v>13177</v>
      </c>
      <c r="L2865" s="7" t="s">
        <v>13199</v>
      </c>
    </row>
    <row r="2866" spans="1:12" ht="55.2" hidden="1" x14ac:dyDescent="0.3">
      <c r="A2866" s="2" t="s">
        <v>4604</v>
      </c>
      <c r="B2866" s="2" t="s">
        <v>10427</v>
      </c>
      <c r="C2866" s="3">
        <v>20689</v>
      </c>
      <c r="D2866" s="1" t="s">
        <v>10428</v>
      </c>
      <c r="E2866" s="1" t="s">
        <v>10429</v>
      </c>
      <c r="F2866" s="2" t="s">
        <v>7998</v>
      </c>
      <c r="G2866" s="2" t="s">
        <v>190</v>
      </c>
      <c r="H2866" s="2" t="s">
        <v>10430</v>
      </c>
      <c r="I2866" s="2" t="s">
        <v>4604</v>
      </c>
      <c r="J2866" s="2" t="s">
        <v>768</v>
      </c>
      <c r="K2866" s="13" t="s">
        <v>13177</v>
      </c>
      <c r="L2866" s="7" t="s">
        <v>13199</v>
      </c>
    </row>
    <row r="2867" spans="1:12" ht="55.2" hidden="1" x14ac:dyDescent="0.3">
      <c r="A2867" s="2" t="s">
        <v>4604</v>
      </c>
      <c r="B2867" s="2" t="s">
        <v>10431</v>
      </c>
      <c r="C2867" s="3">
        <v>19851</v>
      </c>
      <c r="D2867" s="1" t="s">
        <v>10432</v>
      </c>
      <c r="E2867" s="1" t="s">
        <v>10433</v>
      </c>
      <c r="F2867" s="2" t="s">
        <v>5668</v>
      </c>
      <c r="G2867" s="2" t="s">
        <v>425</v>
      </c>
      <c r="H2867" s="2" t="s">
        <v>10434</v>
      </c>
      <c r="I2867" s="2" t="s">
        <v>4604</v>
      </c>
      <c r="J2867" s="2" t="s">
        <v>841</v>
      </c>
      <c r="K2867" s="13" t="s">
        <v>13177</v>
      </c>
      <c r="L2867" s="7" t="s">
        <v>13199</v>
      </c>
    </row>
    <row r="2868" spans="1:12" ht="55.2" hidden="1" x14ac:dyDescent="0.3">
      <c r="A2868" s="2" t="s">
        <v>4604</v>
      </c>
      <c r="B2868" s="2" t="s">
        <v>10435</v>
      </c>
      <c r="C2868" s="3">
        <v>35028</v>
      </c>
      <c r="D2868" s="1" t="s">
        <v>10436</v>
      </c>
      <c r="E2868" s="1" t="s">
        <v>10437</v>
      </c>
      <c r="F2868" s="2" t="s">
        <v>6430</v>
      </c>
      <c r="G2868" s="2" t="s">
        <v>696</v>
      </c>
      <c r="H2868" s="2" t="s">
        <v>10438</v>
      </c>
      <c r="I2868" s="2" t="s">
        <v>4604</v>
      </c>
      <c r="J2868" s="2" t="s">
        <v>4099</v>
      </c>
      <c r="K2868" s="13" t="s">
        <v>13177</v>
      </c>
      <c r="L2868" s="7" t="s">
        <v>13199</v>
      </c>
    </row>
    <row r="2869" spans="1:12" ht="55.2" hidden="1" x14ac:dyDescent="0.3">
      <c r="A2869" s="2" t="s">
        <v>4604</v>
      </c>
      <c r="B2869" s="2" t="s">
        <v>10439</v>
      </c>
      <c r="C2869" s="3">
        <v>37466</v>
      </c>
      <c r="D2869" s="1" t="s">
        <v>10440</v>
      </c>
      <c r="E2869" s="1" t="s">
        <v>10441</v>
      </c>
      <c r="F2869" s="2" t="s">
        <v>7576</v>
      </c>
      <c r="G2869" s="2" t="s">
        <v>288</v>
      </c>
      <c r="H2869" s="2" t="s">
        <v>10442</v>
      </c>
      <c r="I2869" s="2" t="s">
        <v>4604</v>
      </c>
      <c r="J2869" s="2" t="s">
        <v>4962</v>
      </c>
      <c r="K2869" s="13" t="s">
        <v>13177</v>
      </c>
      <c r="L2869" s="7" t="s">
        <v>13199</v>
      </c>
    </row>
    <row r="2870" spans="1:12" ht="55.2" hidden="1" x14ac:dyDescent="0.3">
      <c r="A2870" s="2" t="s">
        <v>4604</v>
      </c>
      <c r="B2870" s="2" t="s">
        <v>10443</v>
      </c>
      <c r="C2870" s="3">
        <v>28323</v>
      </c>
      <c r="D2870" s="1" t="s">
        <v>10444</v>
      </c>
      <c r="E2870" s="1" t="s">
        <v>10445</v>
      </c>
      <c r="F2870" s="2" t="s">
        <v>8296</v>
      </c>
      <c r="G2870" s="2" t="s">
        <v>92</v>
      </c>
      <c r="H2870" s="2" t="s">
        <v>10446</v>
      </c>
      <c r="I2870" s="2" t="s">
        <v>4604</v>
      </c>
      <c r="J2870" s="2" t="s">
        <v>10447</v>
      </c>
      <c r="K2870" s="13" t="s">
        <v>13177</v>
      </c>
      <c r="L2870" s="7" t="s">
        <v>13199</v>
      </c>
    </row>
    <row r="2871" spans="1:12" ht="55.2" hidden="1" x14ac:dyDescent="0.3">
      <c r="A2871" s="2" t="s">
        <v>4604</v>
      </c>
      <c r="B2871" s="2" t="s">
        <v>10448</v>
      </c>
      <c r="C2871" s="3">
        <v>31958</v>
      </c>
      <c r="D2871" s="1" t="s">
        <v>10449</v>
      </c>
      <c r="E2871" s="1" t="s">
        <v>10450</v>
      </c>
      <c r="F2871" s="2" t="s">
        <v>5668</v>
      </c>
      <c r="G2871" s="2" t="s">
        <v>1403</v>
      </c>
      <c r="H2871" s="2" t="s">
        <v>10451</v>
      </c>
      <c r="I2871" s="2" t="s">
        <v>4604</v>
      </c>
      <c r="J2871" s="2" t="s">
        <v>4848</v>
      </c>
      <c r="K2871" s="13" t="s">
        <v>13177</v>
      </c>
      <c r="L2871" s="7" t="s">
        <v>13199</v>
      </c>
    </row>
    <row r="2872" spans="1:12" ht="55.2" hidden="1" x14ac:dyDescent="0.3">
      <c r="A2872" s="2" t="s">
        <v>4604</v>
      </c>
      <c r="B2872" s="2" t="s">
        <v>10452</v>
      </c>
      <c r="C2872" s="3">
        <v>27450</v>
      </c>
      <c r="D2872" s="1" t="s">
        <v>10453</v>
      </c>
      <c r="E2872" s="1" t="s">
        <v>10454</v>
      </c>
      <c r="F2872" s="2" t="s">
        <v>7576</v>
      </c>
      <c r="G2872" s="2" t="s">
        <v>258</v>
      </c>
      <c r="H2872" s="2" t="s">
        <v>10455</v>
      </c>
      <c r="I2872" s="2" t="s">
        <v>4604</v>
      </c>
      <c r="J2872" s="2" t="s">
        <v>430</v>
      </c>
      <c r="K2872" s="13" t="s">
        <v>13177</v>
      </c>
      <c r="L2872" s="7" t="s">
        <v>13199</v>
      </c>
    </row>
    <row r="2873" spans="1:12" ht="55.2" hidden="1" x14ac:dyDescent="0.3">
      <c r="A2873" s="2" t="s">
        <v>4604</v>
      </c>
      <c r="B2873" s="2" t="s">
        <v>10456</v>
      </c>
      <c r="C2873" s="3">
        <v>36205</v>
      </c>
      <c r="D2873" s="1" t="s">
        <v>10457</v>
      </c>
      <c r="E2873" s="1" t="s">
        <v>10458</v>
      </c>
      <c r="F2873" s="2" t="s">
        <v>7576</v>
      </c>
      <c r="G2873" s="2" t="s">
        <v>1403</v>
      </c>
      <c r="H2873" s="2" t="s">
        <v>10459</v>
      </c>
      <c r="I2873" s="2" t="s">
        <v>4604</v>
      </c>
      <c r="J2873" s="2" t="s">
        <v>10460</v>
      </c>
      <c r="K2873" s="13" t="s">
        <v>13177</v>
      </c>
      <c r="L2873" s="7" t="s">
        <v>13199</v>
      </c>
    </row>
    <row r="2874" spans="1:12" ht="55.2" hidden="1" x14ac:dyDescent="0.3">
      <c r="A2874" s="2" t="s">
        <v>4604</v>
      </c>
      <c r="B2874" s="2" t="s">
        <v>10461</v>
      </c>
      <c r="C2874" s="3">
        <v>25059</v>
      </c>
      <c r="D2874" s="1" t="s">
        <v>10462</v>
      </c>
      <c r="E2874" s="1" t="s">
        <v>10463</v>
      </c>
      <c r="F2874" s="2" t="s">
        <v>4698</v>
      </c>
      <c r="G2874" s="2" t="s">
        <v>328</v>
      </c>
      <c r="H2874" s="2" t="s">
        <v>4945</v>
      </c>
      <c r="I2874" s="2" t="s">
        <v>4604</v>
      </c>
      <c r="J2874" s="2" t="s">
        <v>1839</v>
      </c>
      <c r="K2874" s="13" t="s">
        <v>13177</v>
      </c>
      <c r="L2874" s="7" t="s">
        <v>13199</v>
      </c>
    </row>
    <row r="2875" spans="1:12" ht="55.2" hidden="1" x14ac:dyDescent="0.3">
      <c r="A2875" s="2" t="s">
        <v>4604</v>
      </c>
      <c r="B2875" s="2" t="s">
        <v>10464</v>
      </c>
      <c r="C2875" s="3">
        <v>36752</v>
      </c>
      <c r="D2875" s="1" t="s">
        <v>10465</v>
      </c>
      <c r="E2875" s="1" t="s">
        <v>10466</v>
      </c>
      <c r="F2875" s="2" t="s">
        <v>4698</v>
      </c>
      <c r="G2875" s="2" t="s">
        <v>112</v>
      </c>
      <c r="H2875" s="2" t="s">
        <v>10467</v>
      </c>
      <c r="I2875" s="2" t="s">
        <v>4604</v>
      </c>
      <c r="J2875" s="2" t="s">
        <v>113</v>
      </c>
      <c r="K2875" s="13" t="s">
        <v>13177</v>
      </c>
      <c r="L2875" s="7" t="s">
        <v>13199</v>
      </c>
    </row>
    <row r="2876" spans="1:12" ht="55.2" hidden="1" x14ac:dyDescent="0.3">
      <c r="A2876" s="2" t="s">
        <v>4604</v>
      </c>
      <c r="B2876" s="2" t="s">
        <v>10468</v>
      </c>
      <c r="C2876" s="3">
        <v>31794</v>
      </c>
      <c r="D2876" s="1" t="s">
        <v>10469</v>
      </c>
      <c r="E2876" s="1" t="s">
        <v>10470</v>
      </c>
      <c r="F2876" s="2" t="s">
        <v>8296</v>
      </c>
      <c r="G2876" s="2" t="s">
        <v>1266</v>
      </c>
      <c r="H2876" s="2" t="s">
        <v>10471</v>
      </c>
      <c r="I2876" s="2" t="s">
        <v>4604</v>
      </c>
      <c r="J2876" s="2" t="s">
        <v>4871</v>
      </c>
      <c r="K2876" s="13" t="s">
        <v>13177</v>
      </c>
      <c r="L2876" s="7" t="s">
        <v>13199</v>
      </c>
    </row>
    <row r="2877" spans="1:12" ht="55.2" hidden="1" x14ac:dyDescent="0.3">
      <c r="A2877" s="2" t="s">
        <v>4604</v>
      </c>
      <c r="B2877" s="2" t="s">
        <v>10472</v>
      </c>
      <c r="C2877" s="3">
        <v>30444</v>
      </c>
      <c r="D2877" s="1" t="s">
        <v>5715</v>
      </c>
      <c r="E2877" s="1" t="s">
        <v>10473</v>
      </c>
      <c r="F2877" s="2" t="s">
        <v>5668</v>
      </c>
      <c r="G2877" s="2" t="s">
        <v>3957</v>
      </c>
      <c r="H2877" s="2" t="s">
        <v>10474</v>
      </c>
      <c r="I2877" s="2" t="s">
        <v>4604</v>
      </c>
      <c r="J2877" s="2" t="s">
        <v>4881</v>
      </c>
      <c r="K2877" s="13" t="s">
        <v>13177</v>
      </c>
      <c r="L2877" s="7" t="s">
        <v>13199</v>
      </c>
    </row>
    <row r="2878" spans="1:12" ht="55.2" hidden="1" x14ac:dyDescent="0.3">
      <c r="A2878" s="2" t="s">
        <v>4604</v>
      </c>
      <c r="B2878" s="2" t="s">
        <v>10475</v>
      </c>
      <c r="C2878" s="3">
        <v>29281</v>
      </c>
      <c r="D2878" s="1" t="s">
        <v>10476</v>
      </c>
      <c r="E2878" s="1" t="s">
        <v>10477</v>
      </c>
      <c r="F2878" s="2" t="s">
        <v>7998</v>
      </c>
      <c r="G2878" s="2" t="s">
        <v>31</v>
      </c>
      <c r="H2878" s="2" t="s">
        <v>10478</v>
      </c>
      <c r="I2878" s="2" t="s">
        <v>4604</v>
      </c>
      <c r="J2878" s="2" t="s">
        <v>558</v>
      </c>
      <c r="K2878" s="13" t="s">
        <v>13177</v>
      </c>
      <c r="L2878" s="7" t="s">
        <v>13199</v>
      </c>
    </row>
    <row r="2879" spans="1:12" ht="55.2" hidden="1" x14ac:dyDescent="0.3">
      <c r="A2879" s="2" t="s">
        <v>4604</v>
      </c>
      <c r="B2879" s="2" t="s">
        <v>10479</v>
      </c>
      <c r="C2879" s="3">
        <v>36584</v>
      </c>
      <c r="D2879" s="1" t="s">
        <v>10480</v>
      </c>
      <c r="E2879" s="1" t="s">
        <v>10481</v>
      </c>
      <c r="F2879" s="2" t="s">
        <v>5698</v>
      </c>
      <c r="G2879" s="2" t="s">
        <v>211</v>
      </c>
      <c r="H2879" s="2" t="s">
        <v>10482</v>
      </c>
      <c r="I2879" s="2" t="s">
        <v>4604</v>
      </c>
      <c r="J2879" s="2" t="s">
        <v>601</v>
      </c>
      <c r="K2879" s="13" t="s">
        <v>13177</v>
      </c>
      <c r="L2879" s="7" t="s">
        <v>13199</v>
      </c>
    </row>
    <row r="2880" spans="1:12" ht="55.2" hidden="1" x14ac:dyDescent="0.3">
      <c r="A2880" s="2" t="s">
        <v>4604</v>
      </c>
      <c r="B2880" s="2" t="s">
        <v>10483</v>
      </c>
      <c r="C2880" s="3">
        <v>20471</v>
      </c>
      <c r="D2880" s="1" t="s">
        <v>10484</v>
      </c>
      <c r="E2880" s="1" t="s">
        <v>10485</v>
      </c>
      <c r="F2880" s="2" t="s">
        <v>7576</v>
      </c>
      <c r="G2880" s="2" t="s">
        <v>217</v>
      </c>
      <c r="H2880" s="2" t="s">
        <v>10486</v>
      </c>
      <c r="I2880" s="2" t="s">
        <v>4604</v>
      </c>
      <c r="J2880" s="2" t="s">
        <v>412</v>
      </c>
      <c r="K2880" s="13" t="s">
        <v>13177</v>
      </c>
      <c r="L2880" s="7" t="s">
        <v>13199</v>
      </c>
    </row>
    <row r="2881" spans="1:12" ht="55.2" hidden="1" x14ac:dyDescent="0.3">
      <c r="A2881" s="2" t="s">
        <v>4604</v>
      </c>
      <c r="B2881" s="2" t="s">
        <v>10487</v>
      </c>
      <c r="C2881" s="3">
        <v>33202</v>
      </c>
      <c r="D2881" s="1" t="s">
        <v>10488</v>
      </c>
      <c r="E2881" s="1" t="s">
        <v>10489</v>
      </c>
      <c r="F2881" s="2" t="s">
        <v>4698</v>
      </c>
      <c r="G2881" s="2" t="s">
        <v>643</v>
      </c>
      <c r="H2881" s="2" t="s">
        <v>10490</v>
      </c>
      <c r="I2881" s="2" t="s">
        <v>4604</v>
      </c>
      <c r="J2881" s="2" t="s">
        <v>5823</v>
      </c>
      <c r="K2881" s="13" t="s">
        <v>13177</v>
      </c>
      <c r="L2881" s="7" t="s">
        <v>13199</v>
      </c>
    </row>
    <row r="2882" spans="1:12" ht="55.2" hidden="1" x14ac:dyDescent="0.3">
      <c r="A2882" s="2" t="s">
        <v>4604</v>
      </c>
      <c r="B2882" s="2" t="s">
        <v>10491</v>
      </c>
      <c r="C2882" s="3">
        <v>30232</v>
      </c>
      <c r="D2882" s="1" t="s">
        <v>10492</v>
      </c>
      <c r="E2882" s="1" t="s">
        <v>10493</v>
      </c>
      <c r="F2882" s="2" t="s">
        <v>5698</v>
      </c>
      <c r="G2882" s="2" t="s">
        <v>2594</v>
      </c>
      <c r="H2882" s="2" t="s">
        <v>10494</v>
      </c>
      <c r="I2882" s="2" t="s">
        <v>4604</v>
      </c>
      <c r="J2882" s="2" t="s">
        <v>4932</v>
      </c>
      <c r="K2882" s="13" t="s">
        <v>13177</v>
      </c>
      <c r="L2882" s="7" t="s">
        <v>13199</v>
      </c>
    </row>
    <row r="2883" spans="1:12" ht="55.2" hidden="1" x14ac:dyDescent="0.3">
      <c r="A2883" s="2" t="s">
        <v>4604</v>
      </c>
      <c r="B2883" s="2" t="s">
        <v>10495</v>
      </c>
      <c r="C2883" s="3">
        <v>34411</v>
      </c>
      <c r="D2883" s="1" t="s">
        <v>10496</v>
      </c>
      <c r="E2883" s="1" t="s">
        <v>10497</v>
      </c>
      <c r="F2883" s="2" t="s">
        <v>8296</v>
      </c>
      <c r="G2883" s="2" t="s">
        <v>1015</v>
      </c>
      <c r="H2883" s="2" t="s">
        <v>10498</v>
      </c>
      <c r="I2883" s="2" t="s">
        <v>4604</v>
      </c>
      <c r="J2883" s="2" t="s">
        <v>5429</v>
      </c>
      <c r="K2883" s="13" t="s">
        <v>13177</v>
      </c>
      <c r="L2883" s="7" t="s">
        <v>13199</v>
      </c>
    </row>
    <row r="2884" spans="1:12" ht="55.2" hidden="1" x14ac:dyDescent="0.3">
      <c r="A2884" s="2" t="s">
        <v>4604</v>
      </c>
      <c r="B2884" s="2" t="s">
        <v>10499</v>
      </c>
      <c r="C2884" s="3">
        <v>38109</v>
      </c>
      <c r="D2884" s="1" t="s">
        <v>10500</v>
      </c>
      <c r="E2884" s="1" t="s">
        <v>10501</v>
      </c>
      <c r="F2884" s="2" t="s">
        <v>5698</v>
      </c>
      <c r="G2884" s="2" t="s">
        <v>604</v>
      </c>
      <c r="H2884" s="2" t="s">
        <v>10502</v>
      </c>
      <c r="I2884" s="2" t="s">
        <v>4604</v>
      </c>
      <c r="J2884" s="2" t="s">
        <v>4903</v>
      </c>
      <c r="K2884" s="13" t="s">
        <v>13177</v>
      </c>
      <c r="L2884" s="7" t="s">
        <v>13199</v>
      </c>
    </row>
    <row r="2885" spans="1:12" ht="55.2" hidden="1" x14ac:dyDescent="0.3">
      <c r="A2885" s="2" t="s">
        <v>4604</v>
      </c>
      <c r="B2885" s="2" t="s">
        <v>10503</v>
      </c>
      <c r="C2885" s="3">
        <v>25669</v>
      </c>
      <c r="D2885" s="1" t="s">
        <v>10504</v>
      </c>
      <c r="E2885" s="1" t="s">
        <v>10505</v>
      </c>
      <c r="F2885" s="2" t="s">
        <v>7576</v>
      </c>
      <c r="G2885" s="2" t="s">
        <v>206</v>
      </c>
      <c r="H2885" s="2" t="s">
        <v>10506</v>
      </c>
      <c r="I2885" s="2" t="s">
        <v>4604</v>
      </c>
      <c r="J2885" s="2" t="s">
        <v>434</v>
      </c>
      <c r="K2885" s="13" t="s">
        <v>13177</v>
      </c>
      <c r="L2885" s="7" t="s">
        <v>13199</v>
      </c>
    </row>
    <row r="2886" spans="1:12" hidden="1" x14ac:dyDescent="0.3">
      <c r="A2886" s="2" t="s">
        <v>4139</v>
      </c>
      <c r="B2886" s="2" t="s">
        <v>10507</v>
      </c>
      <c r="C2886" s="3">
        <v>38108</v>
      </c>
      <c r="D2886" s="1" t="s">
        <v>10508</v>
      </c>
      <c r="E2886" s="1" t="s">
        <v>10509</v>
      </c>
      <c r="F2886" s="2" t="s">
        <v>9601</v>
      </c>
      <c r="G2886" s="2" t="s">
        <v>2594</v>
      </c>
      <c r="H2886" s="2" t="s">
        <v>10</v>
      </c>
      <c r="I2886" s="2" t="s">
        <v>4139</v>
      </c>
      <c r="J2886" s="2" t="s">
        <v>10510</v>
      </c>
      <c r="K2886" s="23"/>
      <c r="L2886" s="7" t="s">
        <v>13199</v>
      </c>
    </row>
    <row r="2887" spans="1:12" hidden="1" x14ac:dyDescent="0.3">
      <c r="A2887" s="2" t="s">
        <v>4139</v>
      </c>
      <c r="B2887" s="2" t="s">
        <v>10511</v>
      </c>
      <c r="C2887" s="3">
        <v>33950</v>
      </c>
      <c r="D2887" s="1" t="s">
        <v>10512</v>
      </c>
      <c r="E2887" s="1" t="s">
        <v>10513</v>
      </c>
      <c r="F2887" s="2" t="s">
        <v>4143</v>
      </c>
      <c r="G2887" s="2" t="s">
        <v>7941</v>
      </c>
      <c r="H2887" s="2" t="s">
        <v>103</v>
      </c>
      <c r="I2887" s="2" t="s">
        <v>4139</v>
      </c>
      <c r="J2887" s="2" t="s">
        <v>7942</v>
      </c>
      <c r="K2887" s="14"/>
      <c r="L2887" s="7" t="s">
        <v>13199</v>
      </c>
    </row>
    <row r="2888" spans="1:12" hidden="1" x14ac:dyDescent="0.3">
      <c r="A2888" s="2" t="s">
        <v>4139</v>
      </c>
      <c r="B2888" s="2" t="s">
        <v>10514</v>
      </c>
      <c r="C2888" s="3">
        <v>35402</v>
      </c>
      <c r="D2888" s="1" t="s">
        <v>10515</v>
      </c>
      <c r="E2888" s="1" t="s">
        <v>10516</v>
      </c>
      <c r="F2888" s="2" t="s">
        <v>4143</v>
      </c>
      <c r="G2888" s="2" t="s">
        <v>7408</v>
      </c>
      <c r="H2888" s="2" t="s">
        <v>81</v>
      </c>
      <c r="I2888" s="2" t="s">
        <v>4139</v>
      </c>
      <c r="J2888" s="2" t="s">
        <v>10517</v>
      </c>
      <c r="K2888" s="14"/>
      <c r="L2888" s="7" t="s">
        <v>13199</v>
      </c>
    </row>
    <row r="2889" spans="1:12" hidden="1" x14ac:dyDescent="0.3">
      <c r="A2889" s="2" t="s">
        <v>4139</v>
      </c>
      <c r="B2889" s="2" t="s">
        <v>10518</v>
      </c>
      <c r="C2889" s="3">
        <v>35155</v>
      </c>
      <c r="D2889" s="1" t="s">
        <v>10519</v>
      </c>
      <c r="E2889" s="1" t="s">
        <v>10520</v>
      </c>
      <c r="F2889" s="2" t="s">
        <v>4143</v>
      </c>
      <c r="G2889" s="2" t="s">
        <v>7408</v>
      </c>
      <c r="H2889" s="2" t="s">
        <v>562</v>
      </c>
      <c r="I2889" s="2" t="s">
        <v>4139</v>
      </c>
      <c r="J2889" s="2" t="s">
        <v>10517</v>
      </c>
      <c r="K2889" s="14"/>
      <c r="L2889" s="7" t="s">
        <v>13199</v>
      </c>
    </row>
    <row r="2890" spans="1:12" hidden="1" x14ac:dyDescent="0.3">
      <c r="A2890" s="2" t="s">
        <v>4139</v>
      </c>
      <c r="B2890" s="2" t="s">
        <v>10521</v>
      </c>
      <c r="C2890" s="3">
        <v>34437</v>
      </c>
      <c r="D2890" s="1" t="s">
        <v>10522</v>
      </c>
      <c r="E2890" s="1" t="s">
        <v>10523</v>
      </c>
      <c r="F2890" s="2" t="s">
        <v>4143</v>
      </c>
      <c r="G2890" s="2" t="s">
        <v>10524</v>
      </c>
      <c r="H2890" s="2" t="s">
        <v>103</v>
      </c>
      <c r="I2890" s="2" t="s">
        <v>4139</v>
      </c>
      <c r="J2890" s="2" t="s">
        <v>10525</v>
      </c>
      <c r="K2890" s="14"/>
      <c r="L2890" s="7" t="s">
        <v>13199</v>
      </c>
    </row>
    <row r="2891" spans="1:12" hidden="1" x14ac:dyDescent="0.3">
      <c r="A2891" s="8" t="s">
        <v>4139</v>
      </c>
      <c r="B2891" s="8" t="s">
        <v>10526</v>
      </c>
      <c r="C2891" s="9">
        <v>21328</v>
      </c>
      <c r="D2891" s="10" t="s">
        <v>10527</v>
      </c>
      <c r="E2891" s="10" t="s">
        <v>10528</v>
      </c>
      <c r="F2891" s="8" t="s">
        <v>8598</v>
      </c>
      <c r="G2891" s="8" t="s">
        <v>10529</v>
      </c>
      <c r="H2891" s="8" t="s">
        <v>10</v>
      </c>
      <c r="I2891" s="8" t="s">
        <v>4139</v>
      </c>
      <c r="J2891" s="2" t="s">
        <v>10530</v>
      </c>
      <c r="K2891" s="13" t="s">
        <v>13177</v>
      </c>
      <c r="L2891" s="7" t="s">
        <v>13199</v>
      </c>
    </row>
    <row r="2892" spans="1:12" ht="27.6" hidden="1" x14ac:dyDescent="0.3">
      <c r="A2892" s="2" t="s">
        <v>4139</v>
      </c>
      <c r="B2892" s="2" t="s">
        <v>10531</v>
      </c>
      <c r="C2892" s="3">
        <v>29971</v>
      </c>
      <c r="D2892" s="1" t="s">
        <v>10532</v>
      </c>
      <c r="E2892" s="1" t="s">
        <v>10533</v>
      </c>
      <c r="F2892" s="2" t="s">
        <v>9601</v>
      </c>
      <c r="G2892" s="2" t="s">
        <v>328</v>
      </c>
      <c r="H2892" s="2" t="s">
        <v>10</v>
      </c>
      <c r="I2892" s="2" t="s">
        <v>4139</v>
      </c>
      <c r="J2892" s="2" t="s">
        <v>7754</v>
      </c>
      <c r="K2892" s="23"/>
      <c r="L2892" s="7" t="s">
        <v>13199</v>
      </c>
    </row>
    <row r="2893" spans="1:12" hidden="1" x14ac:dyDescent="0.3">
      <c r="A2893" s="2" t="s">
        <v>4139</v>
      </c>
      <c r="B2893" s="2" t="s">
        <v>10534</v>
      </c>
      <c r="C2893" s="3">
        <v>23656</v>
      </c>
      <c r="D2893" s="1" t="s">
        <v>10535</v>
      </c>
      <c r="E2893" s="1" t="s">
        <v>10536</v>
      </c>
      <c r="F2893" s="2" t="s">
        <v>4143</v>
      </c>
      <c r="G2893" s="2" t="s">
        <v>10537</v>
      </c>
      <c r="H2893" s="2" t="s">
        <v>10</v>
      </c>
      <c r="I2893" s="2" t="s">
        <v>4139</v>
      </c>
      <c r="J2893" s="2" t="s">
        <v>10538</v>
      </c>
      <c r="K2893" s="14"/>
      <c r="L2893" s="7" t="s">
        <v>13199</v>
      </c>
    </row>
    <row r="2894" spans="1:12" hidden="1" x14ac:dyDescent="0.3">
      <c r="A2894" s="2" t="s">
        <v>4139</v>
      </c>
      <c r="B2894" s="2" t="s">
        <v>10539</v>
      </c>
      <c r="C2894" s="3">
        <v>37097</v>
      </c>
      <c r="D2894" s="1" t="s">
        <v>10540</v>
      </c>
      <c r="E2894" s="1" t="s">
        <v>10541</v>
      </c>
      <c r="F2894" s="2" t="s">
        <v>4143</v>
      </c>
      <c r="G2894" s="2" t="s">
        <v>10542</v>
      </c>
      <c r="H2894" s="2" t="s">
        <v>10</v>
      </c>
      <c r="I2894" s="2" t="s">
        <v>4139</v>
      </c>
      <c r="J2894" s="2" t="s">
        <v>10543</v>
      </c>
      <c r="K2894" s="14"/>
      <c r="L2894" s="7" t="s">
        <v>13199</v>
      </c>
    </row>
    <row r="2895" spans="1:12" hidden="1" x14ac:dyDescent="0.3">
      <c r="A2895" s="2" t="s">
        <v>4139</v>
      </c>
      <c r="B2895" s="2" t="s">
        <v>10544</v>
      </c>
      <c r="C2895" s="3">
        <v>36446</v>
      </c>
      <c r="D2895" s="1" t="s">
        <v>10545</v>
      </c>
      <c r="E2895" s="1" t="s">
        <v>10546</v>
      </c>
      <c r="F2895" s="2" t="s">
        <v>4143</v>
      </c>
      <c r="G2895" s="2" t="s">
        <v>9282</v>
      </c>
      <c r="H2895" s="2" t="s">
        <v>8133</v>
      </c>
      <c r="I2895" s="2" t="s">
        <v>4139</v>
      </c>
      <c r="J2895" s="2" t="s">
        <v>9283</v>
      </c>
      <c r="K2895" s="14"/>
      <c r="L2895" s="7" t="s">
        <v>13199</v>
      </c>
    </row>
    <row r="2896" spans="1:12" ht="55.2" hidden="1" x14ac:dyDescent="0.3">
      <c r="A2896" s="2" t="s">
        <v>4604</v>
      </c>
      <c r="B2896" s="2" t="s">
        <v>10547</v>
      </c>
      <c r="C2896" s="3">
        <v>28204</v>
      </c>
      <c r="D2896" s="1" t="s">
        <v>10548</v>
      </c>
      <c r="E2896" s="1" t="s">
        <v>10549</v>
      </c>
      <c r="F2896" s="2" t="s">
        <v>5969</v>
      </c>
      <c r="G2896" s="2" t="s">
        <v>48</v>
      </c>
      <c r="H2896" s="2" t="s">
        <v>10550</v>
      </c>
      <c r="I2896" s="2" t="s">
        <v>4604</v>
      </c>
      <c r="J2896" s="2" t="s">
        <v>701</v>
      </c>
      <c r="K2896" s="20" t="s">
        <v>13177</v>
      </c>
      <c r="L2896" s="7" t="s">
        <v>13199</v>
      </c>
    </row>
    <row r="2897" spans="1:12" ht="55.2" hidden="1" x14ac:dyDescent="0.3">
      <c r="A2897" s="2" t="s">
        <v>4604</v>
      </c>
      <c r="B2897" s="2" t="s">
        <v>10551</v>
      </c>
      <c r="C2897" s="3">
        <v>33712</v>
      </c>
      <c r="D2897" s="1" t="s">
        <v>10552</v>
      </c>
      <c r="E2897" s="1" t="s">
        <v>10553</v>
      </c>
      <c r="F2897" s="2" t="s">
        <v>5698</v>
      </c>
      <c r="G2897" s="2" t="s">
        <v>397</v>
      </c>
      <c r="H2897" s="2" t="s">
        <v>10554</v>
      </c>
      <c r="I2897" s="2" t="s">
        <v>4604</v>
      </c>
      <c r="J2897" s="2" t="s">
        <v>553</v>
      </c>
      <c r="K2897" s="13" t="s">
        <v>13177</v>
      </c>
      <c r="L2897" s="7" t="s">
        <v>13199</v>
      </c>
    </row>
    <row r="2898" spans="1:12" ht="55.2" hidden="1" x14ac:dyDescent="0.3">
      <c r="A2898" s="2" t="s">
        <v>4604</v>
      </c>
      <c r="B2898" s="2" t="s">
        <v>10555</v>
      </c>
      <c r="C2898" s="3">
        <v>22528</v>
      </c>
      <c r="D2898" s="1" t="s">
        <v>10556</v>
      </c>
      <c r="E2898" s="1" t="s">
        <v>10557</v>
      </c>
      <c r="F2898" s="2" t="s">
        <v>4608</v>
      </c>
      <c r="G2898" s="2" t="s">
        <v>3134</v>
      </c>
      <c r="H2898" s="2" t="s">
        <v>10558</v>
      </c>
      <c r="I2898" s="2" t="s">
        <v>4604</v>
      </c>
      <c r="J2898" s="2" t="s">
        <v>10559</v>
      </c>
      <c r="K2898" s="13" t="s">
        <v>13177</v>
      </c>
      <c r="L2898" s="7" t="s">
        <v>13199</v>
      </c>
    </row>
    <row r="2899" spans="1:12" ht="55.2" hidden="1" x14ac:dyDescent="0.3">
      <c r="A2899" s="2" t="s">
        <v>4604</v>
      </c>
      <c r="B2899" s="2" t="s">
        <v>10560</v>
      </c>
      <c r="C2899" s="3">
        <v>35099</v>
      </c>
      <c r="D2899" s="1" t="s">
        <v>442</v>
      </c>
      <c r="E2899" s="1" t="s">
        <v>10561</v>
      </c>
      <c r="F2899" s="2" t="s">
        <v>4698</v>
      </c>
      <c r="G2899" s="2" t="s">
        <v>1228</v>
      </c>
      <c r="H2899" s="2" t="s">
        <v>334</v>
      </c>
      <c r="I2899" s="2" t="s">
        <v>4604</v>
      </c>
      <c r="J2899" s="2" t="s">
        <v>5223</v>
      </c>
      <c r="K2899" s="13" t="s">
        <v>13177</v>
      </c>
      <c r="L2899" s="7" t="s">
        <v>13199</v>
      </c>
    </row>
    <row r="2900" spans="1:12" ht="55.2" hidden="1" x14ac:dyDescent="0.3">
      <c r="A2900" s="2" t="s">
        <v>4604</v>
      </c>
      <c r="B2900" s="2" t="s">
        <v>10562</v>
      </c>
      <c r="C2900" s="3">
        <v>21102</v>
      </c>
      <c r="D2900" s="1" t="s">
        <v>10563</v>
      </c>
      <c r="E2900" s="1" t="s">
        <v>10564</v>
      </c>
      <c r="F2900" s="2" t="s">
        <v>5698</v>
      </c>
      <c r="G2900" s="2" t="s">
        <v>350</v>
      </c>
      <c r="H2900" s="2" t="s">
        <v>334</v>
      </c>
      <c r="I2900" s="2" t="s">
        <v>4604</v>
      </c>
      <c r="J2900" s="2" t="s">
        <v>5227</v>
      </c>
      <c r="K2900" s="13" t="s">
        <v>13177</v>
      </c>
      <c r="L2900" s="7" t="s">
        <v>13199</v>
      </c>
    </row>
    <row r="2901" spans="1:12" ht="27.6" hidden="1" x14ac:dyDescent="0.3">
      <c r="A2901" s="2" t="s">
        <v>4139</v>
      </c>
      <c r="B2901" s="2" t="s">
        <v>10565</v>
      </c>
      <c r="C2901" s="3">
        <v>25709</v>
      </c>
      <c r="D2901" s="1" t="s">
        <v>10566</v>
      </c>
      <c r="E2901" s="1" t="s">
        <v>10567</v>
      </c>
      <c r="F2901" s="2" t="s">
        <v>10142</v>
      </c>
      <c r="G2901" s="2" t="s">
        <v>4556</v>
      </c>
      <c r="H2901" s="2" t="s">
        <v>10</v>
      </c>
      <c r="I2901" s="2" t="s">
        <v>4139</v>
      </c>
      <c r="J2901" s="2" t="s">
        <v>4557</v>
      </c>
      <c r="K2901" s="13" t="s">
        <v>13177</v>
      </c>
      <c r="L2901" s="7" t="s">
        <v>13199</v>
      </c>
    </row>
    <row r="2902" spans="1:12" ht="27.6" hidden="1" x14ac:dyDescent="0.3">
      <c r="A2902" s="2" t="s">
        <v>4139</v>
      </c>
      <c r="B2902" s="2" t="s">
        <v>10568</v>
      </c>
      <c r="C2902" s="3">
        <v>28382</v>
      </c>
      <c r="D2902" s="1" t="s">
        <v>10375</v>
      </c>
      <c r="E2902" s="1" t="s">
        <v>10376</v>
      </c>
      <c r="F2902" s="2" t="s">
        <v>10215</v>
      </c>
      <c r="G2902" s="2" t="s">
        <v>10273</v>
      </c>
      <c r="H2902" s="2" t="s">
        <v>751</v>
      </c>
      <c r="I2902" s="2" t="s">
        <v>4139</v>
      </c>
      <c r="J2902" s="2" t="s">
        <v>10274</v>
      </c>
      <c r="K2902" s="13" t="s">
        <v>13177</v>
      </c>
      <c r="L2902" s="7" t="s">
        <v>13199</v>
      </c>
    </row>
    <row r="2903" spans="1:12" ht="55.2" hidden="1" x14ac:dyDescent="0.3">
      <c r="A2903" s="2" t="s">
        <v>4604</v>
      </c>
      <c r="B2903" s="2" t="s">
        <v>10569</v>
      </c>
      <c r="C2903" s="3">
        <v>21961</v>
      </c>
      <c r="D2903" s="1" t="s">
        <v>10570</v>
      </c>
      <c r="E2903" s="1" t="s">
        <v>10571</v>
      </c>
      <c r="F2903" s="2" t="s">
        <v>7576</v>
      </c>
      <c r="G2903" s="2" t="s">
        <v>3957</v>
      </c>
      <c r="H2903" s="2" t="s">
        <v>10572</v>
      </c>
      <c r="I2903" s="2" t="s">
        <v>4604</v>
      </c>
      <c r="J2903" s="2" t="s">
        <v>4881</v>
      </c>
      <c r="K2903" s="13" t="s">
        <v>13177</v>
      </c>
      <c r="L2903" s="7" t="s">
        <v>13199</v>
      </c>
    </row>
    <row r="2904" spans="1:12" ht="55.2" hidden="1" x14ac:dyDescent="0.3">
      <c r="A2904" s="2" t="s">
        <v>4604</v>
      </c>
      <c r="B2904" s="2" t="s">
        <v>10573</v>
      </c>
      <c r="C2904" s="3">
        <v>32226</v>
      </c>
      <c r="D2904" s="1" t="s">
        <v>10574</v>
      </c>
      <c r="E2904" s="1" t="s">
        <v>10575</v>
      </c>
      <c r="F2904" s="2" t="s">
        <v>7576</v>
      </c>
      <c r="G2904" s="2" t="s">
        <v>734</v>
      </c>
      <c r="H2904" s="2" t="s">
        <v>10576</v>
      </c>
      <c r="I2904" s="2" t="s">
        <v>4604</v>
      </c>
      <c r="J2904" s="2" t="s">
        <v>10577</v>
      </c>
      <c r="K2904" s="13" t="s">
        <v>13177</v>
      </c>
      <c r="L2904" s="7" t="s">
        <v>13199</v>
      </c>
    </row>
    <row r="2905" spans="1:12" ht="55.2" hidden="1" x14ac:dyDescent="0.3">
      <c r="A2905" s="2" t="s">
        <v>4604</v>
      </c>
      <c r="B2905" s="2" t="s">
        <v>10578</v>
      </c>
      <c r="C2905" s="3">
        <v>27264</v>
      </c>
      <c r="D2905" s="1" t="s">
        <v>10579</v>
      </c>
      <c r="E2905" s="1" t="s">
        <v>10580</v>
      </c>
      <c r="F2905" s="2" t="s">
        <v>7998</v>
      </c>
      <c r="G2905" s="2" t="s">
        <v>48</v>
      </c>
      <c r="H2905" s="2" t="s">
        <v>10581</v>
      </c>
      <c r="I2905" s="2" t="s">
        <v>4604</v>
      </c>
      <c r="J2905" s="2" t="s">
        <v>700</v>
      </c>
      <c r="K2905" s="13" t="s">
        <v>13177</v>
      </c>
      <c r="L2905" s="7" t="s">
        <v>13199</v>
      </c>
    </row>
    <row r="2906" spans="1:12" ht="55.2" hidden="1" x14ac:dyDescent="0.3">
      <c r="A2906" s="2" t="s">
        <v>4604</v>
      </c>
      <c r="B2906" s="2" t="s">
        <v>10582</v>
      </c>
      <c r="C2906" s="3">
        <v>31101</v>
      </c>
      <c r="D2906" s="1" t="s">
        <v>10583</v>
      </c>
      <c r="E2906" s="1" t="s">
        <v>10584</v>
      </c>
      <c r="F2906" s="2" t="s">
        <v>7998</v>
      </c>
      <c r="G2906" s="2" t="s">
        <v>288</v>
      </c>
      <c r="H2906" s="2" t="s">
        <v>10585</v>
      </c>
      <c r="I2906" s="2" t="s">
        <v>4604</v>
      </c>
      <c r="J2906" s="2" t="s">
        <v>4962</v>
      </c>
      <c r="K2906" s="13" t="s">
        <v>13177</v>
      </c>
      <c r="L2906" s="7" t="s">
        <v>13199</v>
      </c>
    </row>
    <row r="2907" spans="1:12" ht="55.2" hidden="1" x14ac:dyDescent="0.3">
      <c r="A2907" s="2" t="s">
        <v>4604</v>
      </c>
      <c r="B2907" s="2" t="s">
        <v>10586</v>
      </c>
      <c r="C2907" s="3">
        <v>22539</v>
      </c>
      <c r="D2907" s="1" t="s">
        <v>10587</v>
      </c>
      <c r="E2907" s="1" t="s">
        <v>10588</v>
      </c>
      <c r="F2907" s="2" t="s">
        <v>7998</v>
      </c>
      <c r="G2907" s="2" t="s">
        <v>288</v>
      </c>
      <c r="H2907" s="2" t="s">
        <v>10589</v>
      </c>
      <c r="I2907" s="2" t="s">
        <v>4604</v>
      </c>
      <c r="J2907" s="2" t="s">
        <v>5811</v>
      </c>
      <c r="K2907" s="13" t="s">
        <v>13177</v>
      </c>
      <c r="L2907" s="7" t="s">
        <v>13199</v>
      </c>
    </row>
    <row r="2908" spans="1:12" ht="55.2" hidden="1" x14ac:dyDescent="0.3">
      <c r="A2908" s="2" t="s">
        <v>4604</v>
      </c>
      <c r="B2908" s="2" t="s">
        <v>10590</v>
      </c>
      <c r="C2908" s="3">
        <v>19733</v>
      </c>
      <c r="D2908" s="1" t="s">
        <v>10591</v>
      </c>
      <c r="E2908" s="1" t="s">
        <v>10592</v>
      </c>
      <c r="F2908" s="2" t="s">
        <v>7576</v>
      </c>
      <c r="G2908" s="2" t="s">
        <v>2079</v>
      </c>
      <c r="H2908" s="2" t="s">
        <v>10593</v>
      </c>
      <c r="I2908" s="2" t="s">
        <v>4604</v>
      </c>
      <c r="J2908" s="2" t="s">
        <v>2366</v>
      </c>
      <c r="K2908" s="13" t="s">
        <v>13177</v>
      </c>
      <c r="L2908" s="7" t="s">
        <v>13199</v>
      </c>
    </row>
    <row r="2909" spans="1:12" ht="55.2" hidden="1" x14ac:dyDescent="0.3">
      <c r="A2909" s="2" t="s">
        <v>4604</v>
      </c>
      <c r="B2909" s="2" t="s">
        <v>10594</v>
      </c>
      <c r="C2909" s="3">
        <v>22327</v>
      </c>
      <c r="D2909" s="1" t="s">
        <v>10595</v>
      </c>
      <c r="E2909" s="1" t="s">
        <v>10596</v>
      </c>
      <c r="F2909" s="2" t="s">
        <v>7576</v>
      </c>
      <c r="G2909" s="2" t="s">
        <v>1758</v>
      </c>
      <c r="H2909" s="2" t="s">
        <v>10597</v>
      </c>
      <c r="I2909" s="2" t="s">
        <v>4604</v>
      </c>
      <c r="J2909" s="2" t="s">
        <v>7595</v>
      </c>
      <c r="K2909" s="13" t="s">
        <v>13177</v>
      </c>
      <c r="L2909" s="7" t="s">
        <v>13199</v>
      </c>
    </row>
    <row r="2910" spans="1:12" ht="55.2" hidden="1" x14ac:dyDescent="0.3">
      <c r="A2910" s="2" t="s">
        <v>4604</v>
      </c>
      <c r="B2910" s="2" t="s">
        <v>10598</v>
      </c>
      <c r="C2910" s="3">
        <v>38731</v>
      </c>
      <c r="D2910" s="1" t="s">
        <v>10599</v>
      </c>
      <c r="E2910" s="1" t="s">
        <v>10600</v>
      </c>
      <c r="F2910" s="2" t="s">
        <v>7998</v>
      </c>
      <c r="G2910" s="2" t="s">
        <v>552</v>
      </c>
      <c r="H2910" s="2" t="s">
        <v>10601</v>
      </c>
      <c r="I2910" s="2" t="s">
        <v>4604</v>
      </c>
      <c r="J2910" s="2" t="s">
        <v>4981</v>
      </c>
      <c r="K2910" s="13" t="s">
        <v>13177</v>
      </c>
      <c r="L2910" s="7" t="s">
        <v>13199</v>
      </c>
    </row>
    <row r="2911" spans="1:12" ht="55.2" hidden="1" x14ac:dyDescent="0.3">
      <c r="A2911" s="2" t="s">
        <v>4604</v>
      </c>
      <c r="B2911" s="2" t="s">
        <v>10602</v>
      </c>
      <c r="C2911" s="3">
        <v>35993</v>
      </c>
      <c r="D2911" s="1" t="s">
        <v>10603</v>
      </c>
      <c r="E2911" s="1" t="s">
        <v>10604</v>
      </c>
      <c r="F2911" s="2" t="s">
        <v>7998</v>
      </c>
      <c r="G2911" s="2" t="s">
        <v>3940</v>
      </c>
      <c r="H2911" s="2" t="s">
        <v>10605</v>
      </c>
      <c r="I2911" s="2" t="s">
        <v>4604</v>
      </c>
      <c r="J2911" s="2" t="s">
        <v>5317</v>
      </c>
      <c r="K2911" s="13" t="s">
        <v>13177</v>
      </c>
      <c r="L2911" s="7" t="s">
        <v>13199</v>
      </c>
    </row>
    <row r="2912" spans="1:12" ht="55.2" hidden="1" x14ac:dyDescent="0.3">
      <c r="A2912" s="2" t="s">
        <v>4604</v>
      </c>
      <c r="B2912" s="2" t="s">
        <v>10606</v>
      </c>
      <c r="C2912" s="3">
        <v>27095</v>
      </c>
      <c r="D2912" s="1" t="s">
        <v>10607</v>
      </c>
      <c r="E2912" s="1" t="s">
        <v>10608</v>
      </c>
      <c r="F2912" s="2" t="s">
        <v>7576</v>
      </c>
      <c r="G2912" s="2" t="s">
        <v>1135</v>
      </c>
      <c r="H2912" s="2" t="s">
        <v>10609</v>
      </c>
      <c r="I2912" s="2" t="s">
        <v>4604</v>
      </c>
      <c r="J2912" s="2" t="s">
        <v>5408</v>
      </c>
      <c r="K2912" s="13" t="s">
        <v>13177</v>
      </c>
      <c r="L2912" s="7" t="s">
        <v>13199</v>
      </c>
    </row>
    <row r="2913" spans="1:12" ht="55.2" hidden="1" x14ac:dyDescent="0.3">
      <c r="A2913" s="2" t="s">
        <v>4604</v>
      </c>
      <c r="B2913" s="2" t="s">
        <v>10610</v>
      </c>
      <c r="C2913" s="3">
        <v>22755</v>
      </c>
      <c r="D2913" s="1" t="s">
        <v>10611</v>
      </c>
      <c r="E2913" s="1" t="s">
        <v>10612</v>
      </c>
      <c r="F2913" s="2" t="s">
        <v>7576</v>
      </c>
      <c r="G2913" s="2" t="s">
        <v>933</v>
      </c>
      <c r="H2913" s="2" t="s">
        <v>10613</v>
      </c>
      <c r="I2913" s="2" t="s">
        <v>4604</v>
      </c>
      <c r="J2913" s="2" t="s">
        <v>5417</v>
      </c>
      <c r="K2913" s="13" t="s">
        <v>13177</v>
      </c>
      <c r="L2913" s="7" t="s">
        <v>13199</v>
      </c>
    </row>
    <row r="2914" spans="1:12" ht="55.2" hidden="1" x14ac:dyDescent="0.3">
      <c r="A2914" s="2" t="s">
        <v>4604</v>
      </c>
      <c r="B2914" s="2" t="s">
        <v>10614</v>
      </c>
      <c r="C2914" s="3">
        <v>35631</v>
      </c>
      <c r="D2914" s="1" t="s">
        <v>10615</v>
      </c>
      <c r="E2914" s="1" t="s">
        <v>10616</v>
      </c>
      <c r="F2914" s="2" t="s">
        <v>7998</v>
      </c>
      <c r="G2914" s="2" t="s">
        <v>1403</v>
      </c>
      <c r="H2914" s="2" t="s">
        <v>10617</v>
      </c>
      <c r="I2914" s="2" t="s">
        <v>4604</v>
      </c>
      <c r="J2914" s="2" t="s">
        <v>4848</v>
      </c>
      <c r="K2914" s="13" t="s">
        <v>13177</v>
      </c>
      <c r="L2914" s="7" t="s">
        <v>13199</v>
      </c>
    </row>
    <row r="2915" spans="1:12" ht="55.2" hidden="1" x14ac:dyDescent="0.3">
      <c r="A2915" s="2" t="s">
        <v>4604</v>
      </c>
      <c r="B2915" s="2" t="s">
        <v>10618</v>
      </c>
      <c r="C2915" s="3">
        <v>34583</v>
      </c>
      <c r="D2915" s="1" t="s">
        <v>10619</v>
      </c>
      <c r="E2915" s="1" t="s">
        <v>10620</v>
      </c>
      <c r="F2915" s="2" t="s">
        <v>7998</v>
      </c>
      <c r="G2915" s="2" t="s">
        <v>1228</v>
      </c>
      <c r="H2915" s="2" t="s">
        <v>10</v>
      </c>
      <c r="I2915" s="2" t="s">
        <v>4604</v>
      </c>
      <c r="J2915" s="2" t="s">
        <v>4832</v>
      </c>
      <c r="K2915" s="13" t="s">
        <v>13177</v>
      </c>
      <c r="L2915" s="7" t="s">
        <v>13199</v>
      </c>
    </row>
    <row r="2916" spans="1:12" ht="55.2" hidden="1" x14ac:dyDescent="0.3">
      <c r="A2916" s="2" t="s">
        <v>4604</v>
      </c>
      <c r="B2916" s="2" t="s">
        <v>10621</v>
      </c>
      <c r="C2916" s="3">
        <v>30089</v>
      </c>
      <c r="D2916" s="1" t="s">
        <v>10622</v>
      </c>
      <c r="E2916" s="1" t="s">
        <v>10623</v>
      </c>
      <c r="F2916" s="2" t="s">
        <v>7576</v>
      </c>
      <c r="G2916" s="2" t="s">
        <v>1266</v>
      </c>
      <c r="H2916" s="2" t="s">
        <v>10624</v>
      </c>
      <c r="I2916" s="2" t="s">
        <v>4604</v>
      </c>
      <c r="J2916" s="2" t="s">
        <v>4871</v>
      </c>
      <c r="K2916" s="13" t="s">
        <v>13177</v>
      </c>
      <c r="L2916" s="7" t="s">
        <v>13199</v>
      </c>
    </row>
    <row r="2917" spans="1:12" ht="55.2" hidden="1" x14ac:dyDescent="0.3">
      <c r="A2917" s="2" t="s">
        <v>4604</v>
      </c>
      <c r="B2917" s="2" t="s">
        <v>10625</v>
      </c>
      <c r="C2917" s="3">
        <v>36677</v>
      </c>
      <c r="D2917" s="1" t="s">
        <v>10626</v>
      </c>
      <c r="E2917" s="1" t="s">
        <v>10627</v>
      </c>
      <c r="F2917" s="2" t="s">
        <v>7576</v>
      </c>
      <c r="G2917" s="2" t="s">
        <v>12</v>
      </c>
      <c r="H2917" s="2" t="s">
        <v>10628</v>
      </c>
      <c r="I2917" s="2" t="s">
        <v>4604</v>
      </c>
      <c r="J2917" s="2" t="s">
        <v>54</v>
      </c>
      <c r="K2917" s="13" t="s">
        <v>13177</v>
      </c>
      <c r="L2917" s="7" t="s">
        <v>13199</v>
      </c>
    </row>
    <row r="2918" spans="1:12" ht="55.2" hidden="1" x14ac:dyDescent="0.3">
      <c r="A2918" s="2" t="s">
        <v>4604</v>
      </c>
      <c r="B2918" s="2" t="s">
        <v>10629</v>
      </c>
      <c r="C2918" s="3">
        <v>35630</v>
      </c>
      <c r="D2918" s="1" t="s">
        <v>10630</v>
      </c>
      <c r="E2918" s="1" t="s">
        <v>10631</v>
      </c>
      <c r="F2918" s="2" t="s">
        <v>4608</v>
      </c>
      <c r="G2918" s="2" t="s">
        <v>278</v>
      </c>
      <c r="H2918" s="2" t="s">
        <v>10632</v>
      </c>
      <c r="I2918" s="2" t="s">
        <v>4604</v>
      </c>
      <c r="J2918" s="2" t="s">
        <v>10633</v>
      </c>
      <c r="K2918" s="13" t="s">
        <v>13177</v>
      </c>
      <c r="L2918" s="7" t="s">
        <v>13199</v>
      </c>
    </row>
    <row r="2919" spans="1:12" ht="55.2" hidden="1" x14ac:dyDescent="0.3">
      <c r="A2919" s="2" t="s">
        <v>4604</v>
      </c>
      <c r="B2919" s="2" t="s">
        <v>5714</v>
      </c>
      <c r="C2919" s="3">
        <v>35254</v>
      </c>
      <c r="D2919" s="1" t="s">
        <v>442</v>
      </c>
      <c r="E2919" s="1" t="s">
        <v>5716</v>
      </c>
      <c r="F2919" s="2" t="s">
        <v>5698</v>
      </c>
      <c r="G2919" s="2" t="s">
        <v>1955</v>
      </c>
      <c r="H2919" s="2" t="s">
        <v>10386</v>
      </c>
      <c r="I2919" s="2" t="s">
        <v>4604</v>
      </c>
      <c r="J2919" s="2" t="s">
        <v>4338</v>
      </c>
      <c r="K2919" s="13" t="s">
        <v>13177</v>
      </c>
      <c r="L2919" s="7" t="s">
        <v>13199</v>
      </c>
    </row>
    <row r="2920" spans="1:12" ht="55.2" hidden="1" x14ac:dyDescent="0.3">
      <c r="A2920" s="2" t="s">
        <v>4604</v>
      </c>
      <c r="B2920" s="2" t="s">
        <v>10634</v>
      </c>
      <c r="C2920" s="3">
        <v>32864</v>
      </c>
      <c r="D2920" s="1" t="s">
        <v>10635</v>
      </c>
      <c r="E2920" s="1" t="s">
        <v>10636</v>
      </c>
      <c r="F2920" s="2" t="s">
        <v>6430</v>
      </c>
      <c r="G2920" s="2" t="s">
        <v>425</v>
      </c>
      <c r="H2920" s="2" t="s">
        <v>10637</v>
      </c>
      <c r="I2920" s="2" t="s">
        <v>4604</v>
      </c>
      <c r="J2920" s="2" t="s">
        <v>841</v>
      </c>
      <c r="K2920" s="13" t="s">
        <v>13177</v>
      </c>
      <c r="L2920" s="7" t="s">
        <v>13199</v>
      </c>
    </row>
    <row r="2921" spans="1:12" ht="55.2" hidden="1" x14ac:dyDescent="0.3">
      <c r="A2921" s="2" t="s">
        <v>4604</v>
      </c>
      <c r="B2921" s="2" t="s">
        <v>10638</v>
      </c>
      <c r="C2921" s="3">
        <v>29070</v>
      </c>
      <c r="D2921" s="1" t="s">
        <v>10639</v>
      </c>
      <c r="E2921" s="1" t="s">
        <v>10640</v>
      </c>
      <c r="F2921" s="2" t="s">
        <v>6430</v>
      </c>
      <c r="G2921" s="2" t="s">
        <v>80</v>
      </c>
      <c r="H2921" s="2" t="s">
        <v>10641</v>
      </c>
      <c r="I2921" s="2" t="s">
        <v>4604</v>
      </c>
      <c r="J2921" s="2" t="s">
        <v>3265</v>
      </c>
      <c r="K2921" s="13" t="s">
        <v>13177</v>
      </c>
      <c r="L2921" s="7" t="s">
        <v>13199</v>
      </c>
    </row>
    <row r="2922" spans="1:12" ht="55.2" hidden="1" x14ac:dyDescent="0.3">
      <c r="A2922" s="2" t="s">
        <v>4604</v>
      </c>
      <c r="B2922" s="2" t="s">
        <v>10642</v>
      </c>
      <c r="C2922" s="3">
        <v>27300</v>
      </c>
      <c r="D2922" s="1" t="s">
        <v>10643</v>
      </c>
      <c r="E2922" s="1" t="s">
        <v>10644</v>
      </c>
      <c r="F2922" s="2" t="s">
        <v>7576</v>
      </c>
      <c r="G2922" s="2" t="s">
        <v>196</v>
      </c>
      <c r="H2922" s="2" t="s">
        <v>10645</v>
      </c>
      <c r="I2922" s="2" t="s">
        <v>4604</v>
      </c>
      <c r="J2922" s="2" t="s">
        <v>367</v>
      </c>
      <c r="K2922" s="13" t="s">
        <v>13177</v>
      </c>
      <c r="L2922" s="7" t="s">
        <v>13199</v>
      </c>
    </row>
    <row r="2923" spans="1:12" ht="55.2" hidden="1" x14ac:dyDescent="0.3">
      <c r="A2923" s="2" t="s">
        <v>4604</v>
      </c>
      <c r="B2923" s="2" t="s">
        <v>10646</v>
      </c>
      <c r="C2923" s="3">
        <v>21608</v>
      </c>
      <c r="D2923" s="1" t="s">
        <v>10647</v>
      </c>
      <c r="E2923" s="1" t="s">
        <v>10648</v>
      </c>
      <c r="F2923" s="2" t="s">
        <v>7998</v>
      </c>
      <c r="G2923" s="2" t="s">
        <v>152</v>
      </c>
      <c r="H2923" s="2" t="s">
        <v>10649</v>
      </c>
      <c r="I2923" s="2" t="s">
        <v>4604</v>
      </c>
      <c r="J2923" s="2" t="s">
        <v>108</v>
      </c>
      <c r="K2923" s="13" t="s">
        <v>13177</v>
      </c>
      <c r="L2923" s="7" t="s">
        <v>13199</v>
      </c>
    </row>
    <row r="2924" spans="1:12" ht="55.2" hidden="1" x14ac:dyDescent="0.3">
      <c r="A2924" s="2" t="s">
        <v>4604</v>
      </c>
      <c r="B2924" s="2" t="s">
        <v>10423</v>
      </c>
      <c r="C2924" s="3">
        <v>30245</v>
      </c>
      <c r="D2924" s="1" t="s">
        <v>10424</v>
      </c>
      <c r="E2924" s="1" t="s">
        <v>10425</v>
      </c>
      <c r="F2924" s="2" t="s">
        <v>7998</v>
      </c>
      <c r="G2924" s="2" t="s">
        <v>206</v>
      </c>
      <c r="H2924" s="2" t="s">
        <v>10650</v>
      </c>
      <c r="I2924" s="2" t="s">
        <v>4604</v>
      </c>
      <c r="J2924" s="2" t="s">
        <v>434</v>
      </c>
      <c r="K2924" s="13" t="s">
        <v>13177</v>
      </c>
      <c r="L2924" s="7" t="s">
        <v>13199</v>
      </c>
    </row>
    <row r="2925" spans="1:12" ht="55.2" hidden="1" x14ac:dyDescent="0.3">
      <c r="A2925" s="2" t="s">
        <v>4604</v>
      </c>
      <c r="B2925" s="2" t="s">
        <v>10651</v>
      </c>
      <c r="C2925" s="3">
        <v>30101</v>
      </c>
      <c r="D2925" s="1" t="s">
        <v>10652</v>
      </c>
      <c r="E2925" s="1" t="s">
        <v>10653</v>
      </c>
      <c r="F2925" s="2" t="s">
        <v>7998</v>
      </c>
      <c r="G2925" s="2" t="s">
        <v>217</v>
      </c>
      <c r="H2925" s="2" t="s">
        <v>10589</v>
      </c>
      <c r="I2925" s="2" t="s">
        <v>4604</v>
      </c>
      <c r="J2925" s="2" t="s">
        <v>412</v>
      </c>
      <c r="K2925" s="13" t="s">
        <v>13177</v>
      </c>
      <c r="L2925" s="7" t="s">
        <v>13199</v>
      </c>
    </row>
    <row r="2926" spans="1:12" ht="55.2" hidden="1" x14ac:dyDescent="0.3">
      <c r="A2926" s="2" t="s">
        <v>4604</v>
      </c>
      <c r="B2926" s="2" t="s">
        <v>10654</v>
      </c>
      <c r="C2926" s="3">
        <v>38793</v>
      </c>
      <c r="D2926" s="1" t="s">
        <v>10655</v>
      </c>
      <c r="E2926" s="1" t="s">
        <v>10656</v>
      </c>
      <c r="F2926" s="2" t="s">
        <v>5668</v>
      </c>
      <c r="G2926" s="2" t="s">
        <v>80</v>
      </c>
      <c r="H2926" s="2" t="s">
        <v>10657</v>
      </c>
      <c r="I2926" s="2" t="s">
        <v>4604</v>
      </c>
      <c r="J2926" s="2" t="s">
        <v>3265</v>
      </c>
      <c r="K2926" s="13" t="s">
        <v>13177</v>
      </c>
      <c r="L2926" s="7" t="s">
        <v>13199</v>
      </c>
    </row>
    <row r="2927" spans="1:12" ht="55.2" hidden="1" x14ac:dyDescent="0.3">
      <c r="A2927" s="2" t="s">
        <v>4604</v>
      </c>
      <c r="B2927" s="2" t="s">
        <v>10658</v>
      </c>
      <c r="C2927" s="3">
        <v>29130</v>
      </c>
      <c r="D2927" s="1" t="s">
        <v>10659</v>
      </c>
      <c r="E2927" s="1" t="s">
        <v>10660</v>
      </c>
      <c r="F2927" s="2" t="s">
        <v>7576</v>
      </c>
      <c r="G2927" s="2" t="s">
        <v>852</v>
      </c>
      <c r="H2927" s="2" t="s">
        <v>10661</v>
      </c>
      <c r="I2927" s="2" t="s">
        <v>4604</v>
      </c>
      <c r="J2927" s="2" t="s">
        <v>7817</v>
      </c>
      <c r="K2927" s="13" t="s">
        <v>13177</v>
      </c>
      <c r="L2927" s="7" t="s">
        <v>13199</v>
      </c>
    </row>
    <row r="2928" spans="1:12" ht="55.2" hidden="1" x14ac:dyDescent="0.3">
      <c r="A2928" s="2" t="s">
        <v>4604</v>
      </c>
      <c r="B2928" s="2" t="s">
        <v>10662</v>
      </c>
      <c r="C2928" s="3">
        <v>36525</v>
      </c>
      <c r="D2928" s="1" t="s">
        <v>10663</v>
      </c>
      <c r="E2928" s="1" t="s">
        <v>10664</v>
      </c>
      <c r="F2928" s="2" t="s">
        <v>7576</v>
      </c>
      <c r="G2928" s="2" t="s">
        <v>3957</v>
      </c>
      <c r="H2928" s="2" t="s">
        <v>10665</v>
      </c>
      <c r="I2928" s="2" t="s">
        <v>4604</v>
      </c>
      <c r="J2928" s="2" t="s">
        <v>4881</v>
      </c>
      <c r="K2928" s="13" t="s">
        <v>13177</v>
      </c>
      <c r="L2928" s="7" t="s">
        <v>13199</v>
      </c>
    </row>
    <row r="2929" spans="1:12" ht="55.2" hidden="1" x14ac:dyDescent="0.3">
      <c r="A2929" s="2" t="s">
        <v>4604</v>
      </c>
      <c r="B2929" s="2" t="s">
        <v>10662</v>
      </c>
      <c r="C2929" s="3">
        <v>36525</v>
      </c>
      <c r="D2929" s="1" t="s">
        <v>10663</v>
      </c>
      <c r="E2929" s="1" t="s">
        <v>10664</v>
      </c>
      <c r="F2929" s="2" t="s">
        <v>7576</v>
      </c>
      <c r="G2929" s="2" t="s">
        <v>86</v>
      </c>
      <c r="H2929" s="2" t="s">
        <v>10666</v>
      </c>
      <c r="I2929" s="2" t="s">
        <v>4604</v>
      </c>
      <c r="J2929" s="2" t="s">
        <v>3249</v>
      </c>
      <c r="K2929" s="13" t="s">
        <v>13177</v>
      </c>
      <c r="L2929" s="7" t="s">
        <v>13199</v>
      </c>
    </row>
    <row r="2930" spans="1:12" ht="55.2" hidden="1" x14ac:dyDescent="0.3">
      <c r="A2930" s="2" t="s">
        <v>4604</v>
      </c>
      <c r="B2930" s="2" t="s">
        <v>10667</v>
      </c>
      <c r="C2930" s="3">
        <v>35572</v>
      </c>
      <c r="D2930" s="1" t="s">
        <v>10668</v>
      </c>
      <c r="E2930" s="1" t="s">
        <v>10669</v>
      </c>
      <c r="F2930" s="2" t="s">
        <v>6430</v>
      </c>
      <c r="G2930" s="2" t="s">
        <v>222</v>
      </c>
      <c r="H2930" s="2" t="s">
        <v>10670</v>
      </c>
      <c r="I2930" s="2" t="s">
        <v>4604</v>
      </c>
      <c r="J2930" s="2" t="s">
        <v>417</v>
      </c>
      <c r="K2930" s="13" t="s">
        <v>13177</v>
      </c>
      <c r="L2930" s="7" t="s">
        <v>13199</v>
      </c>
    </row>
    <row r="2931" spans="1:12" ht="55.2" hidden="1" x14ac:dyDescent="0.3">
      <c r="A2931" s="2" t="s">
        <v>4604</v>
      </c>
      <c r="B2931" s="2" t="s">
        <v>10667</v>
      </c>
      <c r="C2931" s="3">
        <v>35572</v>
      </c>
      <c r="D2931" s="1" t="s">
        <v>10668</v>
      </c>
      <c r="E2931" s="1" t="s">
        <v>10669</v>
      </c>
      <c r="F2931" s="2" t="s">
        <v>6663</v>
      </c>
      <c r="G2931" s="2" t="s">
        <v>31</v>
      </c>
      <c r="H2931" s="2" t="s">
        <v>10671</v>
      </c>
      <c r="I2931" s="2" t="s">
        <v>4604</v>
      </c>
      <c r="J2931" s="2" t="s">
        <v>558</v>
      </c>
      <c r="K2931" s="13" t="s">
        <v>13177</v>
      </c>
      <c r="L2931" s="7" t="s">
        <v>13199</v>
      </c>
    </row>
    <row r="2932" spans="1:12" ht="55.2" hidden="1" x14ac:dyDescent="0.3">
      <c r="A2932" s="2" t="s">
        <v>4604</v>
      </c>
      <c r="B2932" s="2" t="s">
        <v>10672</v>
      </c>
      <c r="C2932" s="3">
        <v>34034</v>
      </c>
      <c r="D2932" s="1" t="s">
        <v>10673</v>
      </c>
      <c r="E2932" s="1" t="s">
        <v>10674</v>
      </c>
      <c r="F2932" s="2" t="s">
        <v>7576</v>
      </c>
      <c r="G2932" s="2" t="s">
        <v>196</v>
      </c>
      <c r="H2932" s="2" t="s">
        <v>10675</v>
      </c>
      <c r="I2932" s="2" t="s">
        <v>4604</v>
      </c>
      <c r="J2932" s="2" t="s">
        <v>367</v>
      </c>
      <c r="K2932" s="13" t="s">
        <v>13177</v>
      </c>
      <c r="L2932" s="7" t="s">
        <v>13199</v>
      </c>
    </row>
    <row r="2933" spans="1:12" ht="55.2" hidden="1" x14ac:dyDescent="0.3">
      <c r="A2933" s="2" t="s">
        <v>4604</v>
      </c>
      <c r="B2933" s="2" t="s">
        <v>10676</v>
      </c>
      <c r="C2933" s="3">
        <v>17394</v>
      </c>
      <c r="D2933" s="1" t="s">
        <v>10677</v>
      </c>
      <c r="E2933" s="1" t="s">
        <v>10678</v>
      </c>
      <c r="F2933" s="2" t="s">
        <v>7998</v>
      </c>
      <c r="G2933" s="2" t="s">
        <v>190</v>
      </c>
      <c r="H2933" s="2" t="s">
        <v>10679</v>
      </c>
      <c r="I2933" s="2" t="s">
        <v>4604</v>
      </c>
      <c r="J2933" s="2" t="s">
        <v>768</v>
      </c>
      <c r="K2933" s="13" t="s">
        <v>13177</v>
      </c>
      <c r="L2933" s="7" t="s">
        <v>13199</v>
      </c>
    </row>
    <row r="2934" spans="1:12" ht="55.2" hidden="1" x14ac:dyDescent="0.3">
      <c r="A2934" s="2" t="s">
        <v>4604</v>
      </c>
      <c r="B2934" s="2" t="s">
        <v>10680</v>
      </c>
      <c r="C2934" s="3">
        <v>31093</v>
      </c>
      <c r="D2934" s="1" t="s">
        <v>10681</v>
      </c>
      <c r="E2934" s="1" t="s">
        <v>10682</v>
      </c>
      <c r="F2934" s="2" t="s">
        <v>7998</v>
      </c>
      <c r="G2934" s="2" t="s">
        <v>511</v>
      </c>
      <c r="H2934" s="2" t="s">
        <v>10683</v>
      </c>
      <c r="I2934" s="2" t="s">
        <v>4604</v>
      </c>
      <c r="J2934" s="2" t="s">
        <v>5782</v>
      </c>
      <c r="K2934" s="13" t="s">
        <v>13177</v>
      </c>
      <c r="L2934" s="7" t="s">
        <v>13199</v>
      </c>
    </row>
    <row r="2935" spans="1:12" ht="55.2" hidden="1" x14ac:dyDescent="0.3">
      <c r="A2935" s="2" t="s">
        <v>4604</v>
      </c>
      <c r="B2935" s="2" t="s">
        <v>10684</v>
      </c>
      <c r="C2935" s="3">
        <v>20028</v>
      </c>
      <c r="D2935" s="1" t="s">
        <v>10685</v>
      </c>
      <c r="E2935" s="1" t="s">
        <v>10686</v>
      </c>
      <c r="F2935" s="2" t="s">
        <v>7998</v>
      </c>
      <c r="G2935" s="2" t="s">
        <v>333</v>
      </c>
      <c r="H2935" s="2" t="s">
        <v>10687</v>
      </c>
      <c r="I2935" s="2" t="s">
        <v>4604</v>
      </c>
      <c r="J2935" s="2" t="s">
        <v>335</v>
      </c>
      <c r="K2935" s="13" t="s">
        <v>13177</v>
      </c>
      <c r="L2935" s="7" t="s">
        <v>13199</v>
      </c>
    </row>
    <row r="2936" spans="1:12" ht="55.2" hidden="1" x14ac:dyDescent="0.3">
      <c r="A2936" s="2" t="s">
        <v>4604</v>
      </c>
      <c r="B2936" s="2" t="s">
        <v>10688</v>
      </c>
      <c r="C2936" s="3">
        <v>19733</v>
      </c>
      <c r="D2936" s="1" t="s">
        <v>10689</v>
      </c>
      <c r="E2936" s="1" t="s">
        <v>10592</v>
      </c>
      <c r="F2936" s="2" t="s">
        <v>7576</v>
      </c>
      <c r="G2936" s="2" t="s">
        <v>392</v>
      </c>
      <c r="H2936" s="2" t="s">
        <v>10690</v>
      </c>
      <c r="I2936" s="2" t="s">
        <v>4604</v>
      </c>
      <c r="J2936" s="2" t="s">
        <v>5658</v>
      </c>
      <c r="K2936" s="13" t="s">
        <v>13177</v>
      </c>
      <c r="L2936" s="7" t="s">
        <v>13199</v>
      </c>
    </row>
    <row r="2937" spans="1:12" ht="55.2" hidden="1" x14ac:dyDescent="0.3">
      <c r="A2937" s="2" t="s">
        <v>4604</v>
      </c>
      <c r="B2937" s="2" t="s">
        <v>10691</v>
      </c>
      <c r="C2937" s="3">
        <v>27776</v>
      </c>
      <c r="D2937" s="1" t="s">
        <v>442</v>
      </c>
      <c r="E2937" s="1" t="s">
        <v>10692</v>
      </c>
      <c r="F2937" s="2" t="s">
        <v>7576</v>
      </c>
      <c r="G2937" s="2" t="s">
        <v>492</v>
      </c>
      <c r="H2937" s="2" t="s">
        <v>10693</v>
      </c>
      <c r="I2937" s="2" t="s">
        <v>4604</v>
      </c>
      <c r="J2937" s="2" t="s">
        <v>375</v>
      </c>
      <c r="K2937" s="13" t="s">
        <v>13177</v>
      </c>
      <c r="L2937" s="7" t="s">
        <v>13199</v>
      </c>
    </row>
    <row r="2938" spans="1:12" ht="55.2" hidden="1" x14ac:dyDescent="0.3">
      <c r="A2938" s="2" t="s">
        <v>4604</v>
      </c>
      <c r="B2938" s="2" t="s">
        <v>10694</v>
      </c>
      <c r="C2938" s="3">
        <v>22009</v>
      </c>
      <c r="D2938" s="1" t="s">
        <v>10695</v>
      </c>
      <c r="E2938" s="1" t="s">
        <v>10696</v>
      </c>
      <c r="F2938" s="2" t="s">
        <v>7998</v>
      </c>
      <c r="G2938" s="2" t="s">
        <v>4916</v>
      </c>
      <c r="H2938" s="2" t="s">
        <v>10697</v>
      </c>
      <c r="I2938" s="2" t="s">
        <v>4604</v>
      </c>
      <c r="J2938" s="2" t="s">
        <v>4918</v>
      </c>
      <c r="K2938" s="13" t="s">
        <v>13177</v>
      </c>
      <c r="L2938" s="7" t="s">
        <v>13199</v>
      </c>
    </row>
    <row r="2939" spans="1:12" ht="55.2" hidden="1" x14ac:dyDescent="0.3">
      <c r="A2939" s="2" t="s">
        <v>4604</v>
      </c>
      <c r="B2939" s="2" t="s">
        <v>10698</v>
      </c>
      <c r="C2939" s="3">
        <v>17900</v>
      </c>
      <c r="D2939" s="1" t="s">
        <v>10699</v>
      </c>
      <c r="E2939" s="1" t="s">
        <v>10700</v>
      </c>
      <c r="F2939" s="2" t="s">
        <v>7998</v>
      </c>
      <c r="G2939" s="2" t="s">
        <v>385</v>
      </c>
      <c r="H2939" s="2" t="s">
        <v>10701</v>
      </c>
      <c r="I2939" s="2" t="s">
        <v>4604</v>
      </c>
      <c r="J2939" s="2" t="s">
        <v>975</v>
      </c>
      <c r="K2939" s="13" t="s">
        <v>13177</v>
      </c>
      <c r="L2939" s="7" t="s">
        <v>13199</v>
      </c>
    </row>
    <row r="2940" spans="1:12" ht="55.2" hidden="1" x14ac:dyDescent="0.3">
      <c r="A2940" s="2" t="s">
        <v>4604</v>
      </c>
      <c r="B2940" s="2" t="s">
        <v>10702</v>
      </c>
      <c r="C2940" s="3">
        <v>20566</v>
      </c>
      <c r="D2940" s="1" t="s">
        <v>442</v>
      </c>
      <c r="E2940" s="1" t="s">
        <v>10703</v>
      </c>
      <c r="F2940" s="2" t="s">
        <v>7998</v>
      </c>
      <c r="G2940" s="2" t="s">
        <v>230</v>
      </c>
      <c r="H2940" s="2" t="s">
        <v>10704</v>
      </c>
      <c r="I2940" s="2" t="s">
        <v>4604</v>
      </c>
      <c r="J2940" s="2" t="s">
        <v>1922</v>
      </c>
      <c r="K2940" s="13" t="s">
        <v>13177</v>
      </c>
      <c r="L2940" s="7" t="s">
        <v>13199</v>
      </c>
    </row>
    <row r="2941" spans="1:12" ht="55.2" hidden="1" x14ac:dyDescent="0.3">
      <c r="A2941" s="2" t="s">
        <v>4604</v>
      </c>
      <c r="B2941" s="2" t="s">
        <v>10705</v>
      </c>
      <c r="C2941" s="3">
        <v>34787</v>
      </c>
      <c r="D2941" s="1" t="s">
        <v>10706</v>
      </c>
      <c r="E2941" s="1" t="s">
        <v>10707</v>
      </c>
      <c r="F2941" s="2" t="s">
        <v>7998</v>
      </c>
      <c r="G2941" s="2" t="s">
        <v>2267</v>
      </c>
      <c r="H2941" s="2" t="s">
        <v>10708</v>
      </c>
      <c r="I2941" s="2" t="s">
        <v>4604</v>
      </c>
      <c r="J2941" s="2" t="s">
        <v>735</v>
      </c>
      <c r="K2941" s="13" t="s">
        <v>13177</v>
      </c>
      <c r="L2941" s="7" t="s">
        <v>13199</v>
      </c>
    </row>
    <row r="2942" spans="1:12" ht="55.2" hidden="1" x14ac:dyDescent="0.3">
      <c r="A2942" s="2" t="s">
        <v>4604</v>
      </c>
      <c r="B2942" s="2" t="s">
        <v>10709</v>
      </c>
      <c r="C2942" s="3">
        <v>29985</v>
      </c>
      <c r="D2942" s="1" t="s">
        <v>10710</v>
      </c>
      <c r="E2942" s="1" t="s">
        <v>10711</v>
      </c>
      <c r="F2942" s="2" t="s">
        <v>7576</v>
      </c>
      <c r="G2942" s="2" t="s">
        <v>3134</v>
      </c>
      <c r="H2942" s="2" t="s">
        <v>10712</v>
      </c>
      <c r="I2942" s="2" t="s">
        <v>4604</v>
      </c>
      <c r="J2942" s="2" t="s">
        <v>10559</v>
      </c>
      <c r="K2942" s="13" t="s">
        <v>13177</v>
      </c>
      <c r="L2942" s="7" t="s">
        <v>13199</v>
      </c>
    </row>
    <row r="2943" spans="1:12" ht="55.2" hidden="1" x14ac:dyDescent="0.3">
      <c r="A2943" s="2" t="s">
        <v>4604</v>
      </c>
      <c r="B2943" s="2" t="s">
        <v>10713</v>
      </c>
      <c r="C2943" s="3">
        <v>33626</v>
      </c>
      <c r="D2943" s="1" t="s">
        <v>10714</v>
      </c>
      <c r="E2943" s="1" t="s">
        <v>10715</v>
      </c>
      <c r="F2943" s="2" t="s">
        <v>7998</v>
      </c>
      <c r="G2943" s="2" t="s">
        <v>1294</v>
      </c>
      <c r="H2943" s="2" t="s">
        <v>10716</v>
      </c>
      <c r="I2943" s="2" t="s">
        <v>4604</v>
      </c>
      <c r="J2943" s="2" t="s">
        <v>5758</v>
      </c>
      <c r="K2943" s="13" t="s">
        <v>13177</v>
      </c>
      <c r="L2943" s="7" t="s">
        <v>13199</v>
      </c>
    </row>
    <row r="2944" spans="1:12" ht="55.2" hidden="1" x14ac:dyDescent="0.3">
      <c r="A2944" s="2" t="s">
        <v>4604</v>
      </c>
      <c r="B2944" s="2" t="s">
        <v>10717</v>
      </c>
      <c r="C2944" s="3">
        <v>34796</v>
      </c>
      <c r="D2944" s="1" t="s">
        <v>10718</v>
      </c>
      <c r="E2944" s="1" t="s">
        <v>10719</v>
      </c>
      <c r="F2944" s="2" t="s">
        <v>7576</v>
      </c>
      <c r="G2944" s="2" t="s">
        <v>75</v>
      </c>
      <c r="H2944" s="2" t="s">
        <v>10628</v>
      </c>
      <c r="I2944" s="2" t="s">
        <v>4604</v>
      </c>
      <c r="J2944" s="2" t="s">
        <v>5499</v>
      </c>
      <c r="K2944" s="13" t="s">
        <v>13177</v>
      </c>
      <c r="L2944" s="7" t="s">
        <v>13199</v>
      </c>
    </row>
    <row r="2945" spans="1:12" ht="55.2" hidden="1" x14ac:dyDescent="0.3">
      <c r="A2945" s="2" t="s">
        <v>4604</v>
      </c>
      <c r="B2945" s="2" t="s">
        <v>10720</v>
      </c>
      <c r="C2945" s="3">
        <v>24189</v>
      </c>
      <c r="D2945" s="1" t="s">
        <v>10721</v>
      </c>
      <c r="E2945" s="1" t="s">
        <v>10722</v>
      </c>
      <c r="F2945" s="2" t="s">
        <v>7998</v>
      </c>
      <c r="G2945" s="2" t="s">
        <v>2079</v>
      </c>
      <c r="H2945" s="2" t="s">
        <v>10</v>
      </c>
      <c r="I2945" s="2" t="s">
        <v>4604</v>
      </c>
      <c r="J2945" s="2" t="s">
        <v>2366</v>
      </c>
      <c r="K2945" s="13" t="s">
        <v>13177</v>
      </c>
      <c r="L2945" s="7" t="s">
        <v>13199</v>
      </c>
    </row>
    <row r="2946" spans="1:12" ht="55.2" hidden="1" x14ac:dyDescent="0.3">
      <c r="A2946" s="2" t="s">
        <v>4604</v>
      </c>
      <c r="B2946" s="2" t="s">
        <v>10723</v>
      </c>
      <c r="C2946" s="3">
        <v>19414</v>
      </c>
      <c r="D2946" s="1" t="s">
        <v>10724</v>
      </c>
      <c r="E2946" s="1" t="s">
        <v>10725</v>
      </c>
      <c r="F2946" s="2" t="s">
        <v>7576</v>
      </c>
      <c r="G2946" s="2" t="s">
        <v>1758</v>
      </c>
      <c r="H2946" s="2" t="s">
        <v>10726</v>
      </c>
      <c r="I2946" s="2" t="s">
        <v>4604</v>
      </c>
      <c r="J2946" s="2" t="s">
        <v>7595</v>
      </c>
      <c r="K2946" s="13" t="s">
        <v>13177</v>
      </c>
      <c r="L2946" s="7" t="s">
        <v>13199</v>
      </c>
    </row>
    <row r="2947" spans="1:12" ht="55.2" hidden="1" x14ac:dyDescent="0.3">
      <c r="A2947" s="2" t="s">
        <v>4604</v>
      </c>
      <c r="B2947" s="2" t="s">
        <v>10727</v>
      </c>
      <c r="C2947" s="3">
        <v>25849</v>
      </c>
      <c r="D2947" s="1" t="s">
        <v>10728</v>
      </c>
      <c r="E2947" s="1" t="s">
        <v>10729</v>
      </c>
      <c r="F2947" s="2" t="s">
        <v>7998</v>
      </c>
      <c r="G2947" s="2" t="s">
        <v>366</v>
      </c>
      <c r="H2947" s="2" t="s">
        <v>10730</v>
      </c>
      <c r="I2947" s="2" t="s">
        <v>4604</v>
      </c>
      <c r="J2947" s="2" t="s">
        <v>27</v>
      </c>
      <c r="K2947" s="13" t="s">
        <v>13177</v>
      </c>
      <c r="L2947" s="7" t="s">
        <v>13199</v>
      </c>
    </row>
    <row r="2948" spans="1:12" ht="55.2" hidden="1" x14ac:dyDescent="0.3">
      <c r="A2948" s="2" t="s">
        <v>4604</v>
      </c>
      <c r="B2948" s="2" t="s">
        <v>10731</v>
      </c>
      <c r="C2948" s="3">
        <v>30389</v>
      </c>
      <c r="D2948" s="1" t="s">
        <v>10732</v>
      </c>
      <c r="E2948" s="1" t="s">
        <v>10733</v>
      </c>
      <c r="F2948" s="2" t="s">
        <v>7998</v>
      </c>
      <c r="G2948" s="2" t="s">
        <v>696</v>
      </c>
      <c r="H2948" s="2" t="s">
        <v>10734</v>
      </c>
      <c r="I2948" s="2" t="s">
        <v>4604</v>
      </c>
      <c r="J2948" s="2" t="s">
        <v>4962</v>
      </c>
      <c r="K2948" s="13" t="s">
        <v>13177</v>
      </c>
      <c r="L2948" s="7" t="s">
        <v>13199</v>
      </c>
    </row>
    <row r="2949" spans="1:12" ht="55.2" hidden="1" x14ac:dyDescent="0.3">
      <c r="A2949" s="2" t="s">
        <v>4604</v>
      </c>
      <c r="B2949" s="2" t="s">
        <v>10735</v>
      </c>
      <c r="C2949" s="3">
        <v>30734</v>
      </c>
      <c r="D2949" s="1" t="s">
        <v>10736</v>
      </c>
      <c r="E2949" s="1" t="s">
        <v>10737</v>
      </c>
      <c r="F2949" s="2" t="s">
        <v>7576</v>
      </c>
      <c r="G2949" s="2" t="s">
        <v>92</v>
      </c>
      <c r="H2949" s="2" t="s">
        <v>10738</v>
      </c>
      <c r="I2949" s="2" t="s">
        <v>4604</v>
      </c>
      <c r="J2949" s="2" t="s">
        <v>93</v>
      </c>
      <c r="K2949" s="13" t="s">
        <v>13177</v>
      </c>
      <c r="L2949" s="7" t="s">
        <v>13199</v>
      </c>
    </row>
    <row r="2950" spans="1:12" ht="55.2" hidden="1" x14ac:dyDescent="0.3">
      <c r="A2950" s="2" t="s">
        <v>4604</v>
      </c>
      <c r="B2950" s="2" t="s">
        <v>10739</v>
      </c>
      <c r="C2950" s="3">
        <v>22670</v>
      </c>
      <c r="D2950" s="1" t="s">
        <v>10740</v>
      </c>
      <c r="E2950" s="1" t="s">
        <v>10741</v>
      </c>
      <c r="F2950" s="2" t="s">
        <v>7998</v>
      </c>
      <c r="G2950" s="2" t="s">
        <v>3940</v>
      </c>
      <c r="H2950" s="2" t="s">
        <v>10</v>
      </c>
      <c r="I2950" s="2" t="s">
        <v>4604</v>
      </c>
      <c r="J2950" s="2" t="s">
        <v>5317</v>
      </c>
      <c r="K2950" s="13" t="s">
        <v>13177</v>
      </c>
      <c r="L2950" s="7" t="s">
        <v>13199</v>
      </c>
    </row>
    <row r="2951" spans="1:12" ht="55.2" hidden="1" x14ac:dyDescent="0.3">
      <c r="A2951" s="2" t="s">
        <v>4604</v>
      </c>
      <c r="B2951" s="2" t="s">
        <v>10742</v>
      </c>
      <c r="C2951" s="3">
        <v>34188</v>
      </c>
      <c r="D2951" s="1" t="s">
        <v>10743</v>
      </c>
      <c r="E2951" s="1" t="s">
        <v>10744</v>
      </c>
      <c r="F2951" s="2" t="s">
        <v>5698</v>
      </c>
      <c r="G2951" s="2" t="s">
        <v>12</v>
      </c>
      <c r="H2951" s="2" t="s">
        <v>5769</v>
      </c>
      <c r="I2951" s="2" t="s">
        <v>4604</v>
      </c>
      <c r="J2951" s="2" t="s">
        <v>10745</v>
      </c>
      <c r="K2951" s="13" t="s">
        <v>13177</v>
      </c>
      <c r="L2951" s="7" t="s">
        <v>13199</v>
      </c>
    </row>
    <row r="2952" spans="1:12" ht="55.2" hidden="1" x14ac:dyDescent="0.3">
      <c r="A2952" s="2" t="s">
        <v>4604</v>
      </c>
      <c r="B2952" s="2" t="s">
        <v>10746</v>
      </c>
      <c r="C2952" s="3">
        <v>18698</v>
      </c>
      <c r="D2952" s="1" t="s">
        <v>10747</v>
      </c>
      <c r="E2952" s="1" t="s">
        <v>10748</v>
      </c>
      <c r="F2952" s="2" t="s">
        <v>7998</v>
      </c>
      <c r="G2952" s="2" t="s">
        <v>37</v>
      </c>
      <c r="H2952" s="2" t="s">
        <v>10749</v>
      </c>
      <c r="I2952" s="2" t="s">
        <v>4604</v>
      </c>
      <c r="J2952" s="2" t="s">
        <v>5175</v>
      </c>
      <c r="K2952" s="13" t="s">
        <v>13177</v>
      </c>
      <c r="L2952" s="7" t="s">
        <v>13199</v>
      </c>
    </row>
    <row r="2953" spans="1:12" ht="55.2" hidden="1" x14ac:dyDescent="0.3">
      <c r="A2953" s="2" t="s">
        <v>4604</v>
      </c>
      <c r="B2953" s="2" t="s">
        <v>10750</v>
      </c>
      <c r="C2953" s="3">
        <v>26539</v>
      </c>
      <c r="D2953" s="1" t="s">
        <v>10751</v>
      </c>
      <c r="E2953" s="1" t="s">
        <v>10752</v>
      </c>
      <c r="F2953" s="2" t="s">
        <v>7998</v>
      </c>
      <c r="G2953" s="2" t="s">
        <v>283</v>
      </c>
      <c r="H2953" s="2" t="s">
        <v>10753</v>
      </c>
      <c r="I2953" s="2" t="s">
        <v>4604</v>
      </c>
      <c r="J2953" s="2" t="s">
        <v>4161</v>
      </c>
      <c r="K2953" s="13" t="s">
        <v>13177</v>
      </c>
      <c r="L2953" s="7" t="s">
        <v>13199</v>
      </c>
    </row>
    <row r="2954" spans="1:12" ht="55.2" hidden="1" x14ac:dyDescent="0.3">
      <c r="A2954" s="2" t="s">
        <v>4604</v>
      </c>
      <c r="B2954" s="2" t="s">
        <v>10754</v>
      </c>
      <c r="C2954" s="3">
        <v>33777</v>
      </c>
      <c r="D2954" s="1" t="s">
        <v>10755</v>
      </c>
      <c r="E2954" s="1" t="s">
        <v>10756</v>
      </c>
      <c r="F2954" s="2" t="s">
        <v>7998</v>
      </c>
      <c r="G2954" s="2" t="s">
        <v>283</v>
      </c>
      <c r="H2954" s="2" t="s">
        <v>10757</v>
      </c>
      <c r="I2954" s="2" t="s">
        <v>4604</v>
      </c>
      <c r="J2954" s="2" t="s">
        <v>4161</v>
      </c>
      <c r="K2954" s="13" t="s">
        <v>13177</v>
      </c>
      <c r="L2954" s="7" t="s">
        <v>13199</v>
      </c>
    </row>
    <row r="2955" spans="1:12" hidden="1" x14ac:dyDescent="0.3">
      <c r="A2955" s="2" t="s">
        <v>4139</v>
      </c>
      <c r="B2955" s="2" t="s">
        <v>10758</v>
      </c>
      <c r="C2955" s="3">
        <v>38127</v>
      </c>
      <c r="D2955" s="1" t="s">
        <v>10759</v>
      </c>
      <c r="E2955" s="1" t="s">
        <v>10760</v>
      </c>
      <c r="F2955" s="2" t="s">
        <v>9413</v>
      </c>
      <c r="G2955" s="2" t="s">
        <v>80</v>
      </c>
      <c r="H2955" s="2" t="s">
        <v>10</v>
      </c>
      <c r="I2955" s="2" t="s">
        <v>4139</v>
      </c>
      <c r="J2955" s="2" t="s">
        <v>10761</v>
      </c>
      <c r="K2955" s="13" t="s">
        <v>13177</v>
      </c>
      <c r="L2955" s="7" t="s">
        <v>13199</v>
      </c>
    </row>
    <row r="2956" spans="1:12" hidden="1" x14ac:dyDescent="0.3">
      <c r="A2956" s="2" t="s">
        <v>4139</v>
      </c>
      <c r="B2956" s="2" t="s">
        <v>10762</v>
      </c>
      <c r="C2956" s="3">
        <v>28959</v>
      </c>
      <c r="D2956" s="1" t="s">
        <v>10763</v>
      </c>
      <c r="E2956" s="1" t="s">
        <v>10764</v>
      </c>
      <c r="F2956" s="2" t="s">
        <v>9413</v>
      </c>
      <c r="G2956" s="2" t="s">
        <v>86</v>
      </c>
      <c r="H2956" s="2" t="s">
        <v>103</v>
      </c>
      <c r="I2956" s="2" t="s">
        <v>4139</v>
      </c>
      <c r="J2956" s="2" t="s">
        <v>87</v>
      </c>
      <c r="K2956" s="13" t="s">
        <v>13177</v>
      </c>
      <c r="L2956" s="7" t="s">
        <v>13199</v>
      </c>
    </row>
    <row r="2957" spans="1:12" hidden="1" x14ac:dyDescent="0.3">
      <c r="A2957" s="2" t="s">
        <v>4139</v>
      </c>
      <c r="B2957" s="2" t="s">
        <v>10765</v>
      </c>
      <c r="C2957" s="3">
        <v>26901</v>
      </c>
      <c r="D2957" s="1" t="s">
        <v>261</v>
      </c>
      <c r="E2957" s="1" t="s">
        <v>10766</v>
      </c>
      <c r="F2957" s="2" t="s">
        <v>9413</v>
      </c>
      <c r="G2957" s="2" t="s">
        <v>385</v>
      </c>
      <c r="H2957" s="2" t="s">
        <v>81</v>
      </c>
      <c r="I2957" s="2" t="s">
        <v>4139</v>
      </c>
      <c r="J2957" s="2" t="s">
        <v>913</v>
      </c>
      <c r="K2957" s="13" t="s">
        <v>13177</v>
      </c>
      <c r="L2957" s="7" t="s">
        <v>13199</v>
      </c>
    </row>
    <row r="2958" spans="1:12" ht="27.6" hidden="1" x14ac:dyDescent="0.3">
      <c r="A2958" s="2" t="s">
        <v>4139</v>
      </c>
      <c r="B2958" s="2" t="s">
        <v>10767</v>
      </c>
      <c r="C2958" s="3">
        <v>23721</v>
      </c>
      <c r="D2958" s="1" t="s">
        <v>10768</v>
      </c>
      <c r="E2958" s="1" t="s">
        <v>10769</v>
      </c>
      <c r="F2958" s="2" t="s">
        <v>10142</v>
      </c>
      <c r="G2958" s="2" t="s">
        <v>10273</v>
      </c>
      <c r="H2958" s="2" t="s">
        <v>3065</v>
      </c>
      <c r="I2958" s="2" t="s">
        <v>4139</v>
      </c>
      <c r="J2958" s="2" t="s">
        <v>10274</v>
      </c>
      <c r="K2958" s="13" t="s">
        <v>13177</v>
      </c>
      <c r="L2958" s="7" t="s">
        <v>13199</v>
      </c>
    </row>
    <row r="2959" spans="1:12" ht="27.6" hidden="1" x14ac:dyDescent="0.3">
      <c r="A2959" s="2" t="s">
        <v>4139</v>
      </c>
      <c r="B2959" s="2" t="s">
        <v>10770</v>
      </c>
      <c r="C2959" s="3">
        <v>36568</v>
      </c>
      <c r="D2959" s="1" t="s">
        <v>261</v>
      </c>
      <c r="E2959" s="1" t="s">
        <v>10771</v>
      </c>
      <c r="F2959" s="2" t="s">
        <v>10142</v>
      </c>
      <c r="G2959" s="2" t="s">
        <v>10273</v>
      </c>
      <c r="H2959" s="2" t="s">
        <v>562</v>
      </c>
      <c r="I2959" s="2" t="s">
        <v>4139</v>
      </c>
      <c r="J2959" s="2" t="s">
        <v>10274</v>
      </c>
      <c r="K2959" s="13" t="s">
        <v>13177</v>
      </c>
      <c r="L2959" s="7" t="s">
        <v>13199</v>
      </c>
    </row>
    <row r="2960" spans="1:12" ht="27.6" hidden="1" x14ac:dyDescent="0.3">
      <c r="A2960" s="2" t="s">
        <v>4139</v>
      </c>
      <c r="B2960" s="2" t="s">
        <v>10772</v>
      </c>
      <c r="C2960" s="3">
        <v>29434</v>
      </c>
      <c r="D2960" s="1" t="s">
        <v>10773</v>
      </c>
      <c r="E2960" s="1" t="s">
        <v>10774</v>
      </c>
      <c r="F2960" s="2" t="s">
        <v>10142</v>
      </c>
      <c r="G2960" s="2" t="s">
        <v>10273</v>
      </c>
      <c r="H2960" s="2" t="s">
        <v>334</v>
      </c>
      <c r="I2960" s="2" t="s">
        <v>4139</v>
      </c>
      <c r="J2960" s="2" t="s">
        <v>10274</v>
      </c>
      <c r="K2960" s="13" t="s">
        <v>13177</v>
      </c>
      <c r="L2960" s="7" t="s">
        <v>13199</v>
      </c>
    </row>
    <row r="2961" spans="1:12" ht="55.2" hidden="1" x14ac:dyDescent="0.3">
      <c r="A2961" s="2" t="s">
        <v>4604</v>
      </c>
      <c r="B2961" s="2" t="s">
        <v>10775</v>
      </c>
      <c r="C2961" s="3">
        <v>27432</v>
      </c>
      <c r="D2961" s="1" t="s">
        <v>10776</v>
      </c>
      <c r="E2961" s="1" t="s">
        <v>10777</v>
      </c>
      <c r="F2961" s="2" t="s">
        <v>7998</v>
      </c>
      <c r="G2961" s="2" t="s">
        <v>1015</v>
      </c>
      <c r="H2961" s="2" t="s">
        <v>10778</v>
      </c>
      <c r="I2961" s="2" t="s">
        <v>4604</v>
      </c>
      <c r="J2961" s="2" t="s">
        <v>5429</v>
      </c>
      <c r="K2961" s="13" t="s">
        <v>13177</v>
      </c>
      <c r="L2961" s="7" t="s">
        <v>13199</v>
      </c>
    </row>
    <row r="2962" spans="1:12" ht="55.2" hidden="1" x14ac:dyDescent="0.3">
      <c r="A2962" s="2" t="s">
        <v>4604</v>
      </c>
      <c r="B2962" s="2" t="s">
        <v>10779</v>
      </c>
      <c r="C2962" s="3">
        <v>33811</v>
      </c>
      <c r="D2962" s="1" t="s">
        <v>10780</v>
      </c>
      <c r="E2962" s="1" t="s">
        <v>10781</v>
      </c>
      <c r="F2962" s="2" t="s">
        <v>7998</v>
      </c>
      <c r="G2962" s="2" t="s">
        <v>852</v>
      </c>
      <c r="H2962" s="2" t="s">
        <v>10782</v>
      </c>
      <c r="I2962" s="2" t="s">
        <v>4604</v>
      </c>
      <c r="J2962" s="2" t="s">
        <v>7817</v>
      </c>
      <c r="K2962" s="13" t="s">
        <v>13177</v>
      </c>
      <c r="L2962" s="7" t="s">
        <v>13199</v>
      </c>
    </row>
    <row r="2963" spans="1:12" ht="27.6" hidden="1" x14ac:dyDescent="0.3">
      <c r="A2963" s="2" t="s">
        <v>4139</v>
      </c>
      <c r="B2963" s="2" t="s">
        <v>10783</v>
      </c>
      <c r="C2963" s="3">
        <v>31324</v>
      </c>
      <c r="D2963" s="1" t="s">
        <v>10784</v>
      </c>
      <c r="E2963" s="1" t="s">
        <v>10785</v>
      </c>
      <c r="F2963" s="2" t="s">
        <v>10142</v>
      </c>
      <c r="G2963" s="2" t="s">
        <v>10273</v>
      </c>
      <c r="H2963" s="2" t="s">
        <v>81</v>
      </c>
      <c r="I2963" s="2" t="s">
        <v>4139</v>
      </c>
      <c r="J2963" s="2" t="s">
        <v>10274</v>
      </c>
      <c r="K2963" s="13" t="s">
        <v>13177</v>
      </c>
      <c r="L2963" s="7" t="s">
        <v>13199</v>
      </c>
    </row>
    <row r="2964" spans="1:12" ht="55.2" hidden="1" x14ac:dyDescent="0.3">
      <c r="A2964" s="2" t="s">
        <v>4604</v>
      </c>
      <c r="B2964" s="2" t="s">
        <v>10786</v>
      </c>
      <c r="C2964" s="3">
        <v>38268</v>
      </c>
      <c r="D2964" s="1" t="s">
        <v>10787</v>
      </c>
      <c r="E2964" s="1" t="s">
        <v>10788</v>
      </c>
      <c r="F2964" s="2" t="s">
        <v>7576</v>
      </c>
      <c r="G2964" s="2" t="s">
        <v>3957</v>
      </c>
      <c r="H2964" s="2" t="s">
        <v>10789</v>
      </c>
      <c r="I2964" s="2" t="s">
        <v>4604</v>
      </c>
      <c r="J2964" s="2" t="s">
        <v>4881</v>
      </c>
      <c r="K2964" s="13" t="s">
        <v>13177</v>
      </c>
      <c r="L2964" s="7" t="s">
        <v>13199</v>
      </c>
    </row>
    <row r="2965" spans="1:12" ht="55.2" hidden="1" x14ac:dyDescent="0.3">
      <c r="A2965" s="2" t="s">
        <v>4604</v>
      </c>
      <c r="B2965" s="2" t="s">
        <v>10790</v>
      </c>
      <c r="C2965" s="3">
        <v>33545</v>
      </c>
      <c r="D2965" s="1" t="s">
        <v>10791</v>
      </c>
      <c r="E2965" s="1" t="s">
        <v>10792</v>
      </c>
      <c r="F2965" s="2" t="s">
        <v>7576</v>
      </c>
      <c r="G2965" s="2" t="s">
        <v>739</v>
      </c>
      <c r="H2965" s="2" t="s">
        <v>10793</v>
      </c>
      <c r="I2965" s="2" t="s">
        <v>4604</v>
      </c>
      <c r="J2965" s="2" t="s">
        <v>10794</v>
      </c>
      <c r="K2965" s="13" t="s">
        <v>13177</v>
      </c>
      <c r="L2965" s="7" t="s">
        <v>13199</v>
      </c>
    </row>
    <row r="2966" spans="1:12" ht="55.2" hidden="1" x14ac:dyDescent="0.3">
      <c r="A2966" s="2" t="s">
        <v>4604</v>
      </c>
      <c r="B2966" s="2" t="s">
        <v>10795</v>
      </c>
      <c r="C2966" s="3">
        <v>22943</v>
      </c>
      <c r="D2966" s="1" t="s">
        <v>10796</v>
      </c>
      <c r="E2966" s="1" t="s">
        <v>10797</v>
      </c>
      <c r="F2966" s="2" t="s">
        <v>7576</v>
      </c>
      <c r="G2966" s="2" t="s">
        <v>1316</v>
      </c>
      <c r="H2966" s="2" t="s">
        <v>10798</v>
      </c>
      <c r="I2966" s="2" t="s">
        <v>4604</v>
      </c>
      <c r="J2966" s="2" t="s">
        <v>8292</v>
      </c>
      <c r="K2966" s="13" t="s">
        <v>13177</v>
      </c>
      <c r="L2966" s="7" t="s">
        <v>13199</v>
      </c>
    </row>
    <row r="2967" spans="1:12" ht="55.2" hidden="1" x14ac:dyDescent="0.3">
      <c r="A2967" s="2" t="s">
        <v>4604</v>
      </c>
      <c r="B2967" s="2" t="s">
        <v>10799</v>
      </c>
      <c r="C2967" s="3">
        <v>22864</v>
      </c>
      <c r="D2967" s="1" t="s">
        <v>10800</v>
      </c>
      <c r="E2967" s="1" t="s">
        <v>10801</v>
      </c>
      <c r="F2967" s="2" t="s">
        <v>7576</v>
      </c>
      <c r="G2967" s="2" t="s">
        <v>2336</v>
      </c>
      <c r="H2967" s="2" t="s">
        <v>10802</v>
      </c>
      <c r="I2967" s="2" t="s">
        <v>4604</v>
      </c>
      <c r="J2967" s="2" t="s">
        <v>4923</v>
      </c>
      <c r="K2967" s="13" t="s">
        <v>13177</v>
      </c>
      <c r="L2967" s="7" t="s">
        <v>13199</v>
      </c>
    </row>
    <row r="2968" spans="1:12" ht="55.2" hidden="1" x14ac:dyDescent="0.3">
      <c r="A2968" s="2" t="s">
        <v>4604</v>
      </c>
      <c r="B2968" s="2" t="s">
        <v>10803</v>
      </c>
      <c r="C2968" s="3">
        <v>26463</v>
      </c>
      <c r="D2968" s="1" t="s">
        <v>10804</v>
      </c>
      <c r="E2968" s="1" t="s">
        <v>10805</v>
      </c>
      <c r="F2968" s="2" t="s">
        <v>7576</v>
      </c>
      <c r="G2968" s="2" t="s">
        <v>739</v>
      </c>
      <c r="H2968" s="2" t="s">
        <v>10806</v>
      </c>
      <c r="I2968" s="2" t="s">
        <v>4604</v>
      </c>
      <c r="J2968" s="2" t="s">
        <v>10794</v>
      </c>
      <c r="K2968" s="13" t="s">
        <v>13177</v>
      </c>
      <c r="L2968" s="7" t="s">
        <v>13199</v>
      </c>
    </row>
    <row r="2969" spans="1:12" ht="55.2" hidden="1" x14ac:dyDescent="0.3">
      <c r="A2969" s="2" t="s">
        <v>4604</v>
      </c>
      <c r="B2969" s="2" t="s">
        <v>10807</v>
      </c>
      <c r="C2969" s="3">
        <v>38877</v>
      </c>
      <c r="D2969" s="1" t="s">
        <v>10808</v>
      </c>
      <c r="E2969" s="1" t="s">
        <v>10809</v>
      </c>
      <c r="F2969" s="2" t="s">
        <v>7576</v>
      </c>
      <c r="G2969" s="2" t="s">
        <v>2566</v>
      </c>
      <c r="H2969" s="2" t="s">
        <v>10810</v>
      </c>
      <c r="I2969" s="2" t="s">
        <v>4604</v>
      </c>
      <c r="J2969" s="2" t="s">
        <v>4999</v>
      </c>
      <c r="K2969" s="13" t="s">
        <v>13177</v>
      </c>
      <c r="L2969" s="7" t="s">
        <v>13199</v>
      </c>
    </row>
    <row r="2970" spans="1:12" ht="55.2" hidden="1" x14ac:dyDescent="0.3">
      <c r="A2970" s="2" t="s">
        <v>4604</v>
      </c>
      <c r="B2970" s="2" t="s">
        <v>10811</v>
      </c>
      <c r="C2970" s="3">
        <v>38422</v>
      </c>
      <c r="D2970" s="1" t="s">
        <v>10812</v>
      </c>
      <c r="E2970" s="1" t="s">
        <v>10813</v>
      </c>
      <c r="F2970" s="2" t="s">
        <v>6663</v>
      </c>
      <c r="G2970" s="2" t="s">
        <v>288</v>
      </c>
      <c r="H2970" s="2" t="s">
        <v>10814</v>
      </c>
      <c r="I2970" s="2" t="s">
        <v>4604</v>
      </c>
      <c r="J2970" s="2" t="s">
        <v>4962</v>
      </c>
      <c r="K2970" s="13" t="s">
        <v>13177</v>
      </c>
      <c r="L2970" s="7" t="s">
        <v>13199</v>
      </c>
    </row>
    <row r="2971" spans="1:12" ht="55.2" hidden="1" x14ac:dyDescent="0.3">
      <c r="A2971" s="2" t="s">
        <v>4604</v>
      </c>
      <c r="B2971" s="2" t="s">
        <v>10815</v>
      </c>
      <c r="C2971" s="3">
        <v>26380</v>
      </c>
      <c r="D2971" s="1" t="s">
        <v>10816</v>
      </c>
      <c r="E2971" s="1" t="s">
        <v>10817</v>
      </c>
      <c r="F2971" s="2" t="s">
        <v>6663</v>
      </c>
      <c r="G2971" s="2" t="s">
        <v>206</v>
      </c>
      <c r="H2971" s="2" t="s">
        <v>10818</v>
      </c>
      <c r="I2971" s="2" t="s">
        <v>4604</v>
      </c>
      <c r="J2971" s="2" t="s">
        <v>434</v>
      </c>
      <c r="K2971" s="13" t="s">
        <v>13177</v>
      </c>
      <c r="L2971" s="7" t="s">
        <v>13199</v>
      </c>
    </row>
    <row r="2972" spans="1:12" ht="55.2" hidden="1" x14ac:dyDescent="0.3">
      <c r="A2972" s="2" t="s">
        <v>4604</v>
      </c>
      <c r="B2972" s="2" t="s">
        <v>10819</v>
      </c>
      <c r="C2972" s="3">
        <v>30749</v>
      </c>
      <c r="D2972" s="1" t="s">
        <v>10820</v>
      </c>
      <c r="E2972" s="1" t="s">
        <v>10821</v>
      </c>
      <c r="F2972" s="2" t="s">
        <v>5698</v>
      </c>
      <c r="G2972" s="2" t="s">
        <v>492</v>
      </c>
      <c r="H2972" s="2" t="s">
        <v>10822</v>
      </c>
      <c r="I2972" s="2" t="s">
        <v>4604</v>
      </c>
      <c r="J2972" s="2" t="s">
        <v>375</v>
      </c>
      <c r="K2972" s="13" t="s">
        <v>13177</v>
      </c>
      <c r="L2972" s="7" t="s">
        <v>13199</v>
      </c>
    </row>
    <row r="2973" spans="1:12" ht="27.6" hidden="1" x14ac:dyDescent="0.3">
      <c r="A2973" s="2" t="s">
        <v>4139</v>
      </c>
      <c r="B2973" s="2" t="s">
        <v>10823</v>
      </c>
      <c r="C2973" s="3">
        <v>28353</v>
      </c>
      <c r="D2973" s="1" t="s">
        <v>10824</v>
      </c>
      <c r="E2973" s="1" t="s">
        <v>10825</v>
      </c>
      <c r="F2973" s="2" t="s">
        <v>10215</v>
      </c>
      <c r="G2973" s="2" t="s">
        <v>4741</v>
      </c>
      <c r="H2973" s="2" t="s">
        <v>81</v>
      </c>
      <c r="I2973" s="2" t="s">
        <v>4139</v>
      </c>
      <c r="J2973" s="2" t="s">
        <v>4742</v>
      </c>
      <c r="K2973" s="13" t="s">
        <v>13177</v>
      </c>
      <c r="L2973" s="7" t="s">
        <v>13199</v>
      </c>
    </row>
    <row r="2974" spans="1:12" ht="55.2" hidden="1" x14ac:dyDescent="0.3">
      <c r="A2974" s="2" t="s">
        <v>4604</v>
      </c>
      <c r="B2974" s="2" t="s">
        <v>10826</v>
      </c>
      <c r="C2974" s="3">
        <v>18358</v>
      </c>
      <c r="D2974" s="1" t="s">
        <v>10827</v>
      </c>
      <c r="E2974" s="1" t="s">
        <v>10828</v>
      </c>
      <c r="F2974" s="2" t="s">
        <v>6663</v>
      </c>
      <c r="G2974" s="2" t="s">
        <v>328</v>
      </c>
      <c r="H2974" s="2" t="s">
        <v>10829</v>
      </c>
      <c r="I2974" s="2" t="s">
        <v>4604</v>
      </c>
      <c r="J2974" s="2" t="s">
        <v>4891</v>
      </c>
      <c r="K2974" s="13" t="s">
        <v>13177</v>
      </c>
      <c r="L2974" s="7" t="s">
        <v>13199</v>
      </c>
    </row>
    <row r="2975" spans="1:12" ht="55.2" hidden="1" x14ac:dyDescent="0.3">
      <c r="A2975" s="2" t="s">
        <v>4604</v>
      </c>
      <c r="B2975" s="2" t="s">
        <v>10830</v>
      </c>
      <c r="C2975" s="3">
        <v>34624</v>
      </c>
      <c r="D2975" s="1" t="s">
        <v>10831</v>
      </c>
      <c r="E2975" s="1" t="s">
        <v>10832</v>
      </c>
      <c r="F2975" s="2" t="s">
        <v>7998</v>
      </c>
      <c r="G2975" s="2" t="s">
        <v>425</v>
      </c>
      <c r="H2975" s="2" t="s">
        <v>10833</v>
      </c>
      <c r="I2975" s="2" t="s">
        <v>4604</v>
      </c>
      <c r="J2975" s="2" t="s">
        <v>841</v>
      </c>
      <c r="K2975" s="13" t="s">
        <v>13177</v>
      </c>
      <c r="L2975" s="7" t="s">
        <v>13199</v>
      </c>
    </row>
    <row r="2976" spans="1:12" ht="55.2" hidden="1" x14ac:dyDescent="0.3">
      <c r="A2976" s="2" t="s">
        <v>4604</v>
      </c>
      <c r="B2976" s="2" t="s">
        <v>10834</v>
      </c>
      <c r="C2976" s="3">
        <v>30768</v>
      </c>
      <c r="D2976" s="1" t="s">
        <v>10835</v>
      </c>
      <c r="E2976" s="1" t="s">
        <v>10836</v>
      </c>
      <c r="F2976" s="2" t="s">
        <v>7998</v>
      </c>
      <c r="G2976" s="2" t="s">
        <v>425</v>
      </c>
      <c r="H2976" s="2" t="s">
        <v>10837</v>
      </c>
      <c r="I2976" s="2" t="s">
        <v>4604</v>
      </c>
      <c r="J2976" s="2" t="s">
        <v>841</v>
      </c>
      <c r="K2976" s="13" t="s">
        <v>13177</v>
      </c>
      <c r="L2976" s="7" t="s">
        <v>13199</v>
      </c>
    </row>
    <row r="2977" spans="1:12" ht="55.2" hidden="1" x14ac:dyDescent="0.3">
      <c r="A2977" s="2" t="s">
        <v>4604</v>
      </c>
      <c r="B2977" s="2" t="s">
        <v>10838</v>
      </c>
      <c r="C2977" s="3">
        <v>28472</v>
      </c>
      <c r="D2977" s="1" t="s">
        <v>10839</v>
      </c>
      <c r="E2977" s="1" t="s">
        <v>10840</v>
      </c>
      <c r="F2977" s="2" t="s">
        <v>7998</v>
      </c>
      <c r="G2977" s="2" t="s">
        <v>425</v>
      </c>
      <c r="H2977" s="2" t="s">
        <v>10841</v>
      </c>
      <c r="I2977" s="2" t="s">
        <v>4604</v>
      </c>
      <c r="J2977" s="2" t="s">
        <v>841</v>
      </c>
      <c r="K2977" s="13" t="s">
        <v>13177</v>
      </c>
      <c r="L2977" s="7" t="s">
        <v>13199</v>
      </c>
    </row>
    <row r="2978" spans="1:12" ht="55.2" hidden="1" x14ac:dyDescent="0.3">
      <c r="A2978" s="2" t="s">
        <v>4604</v>
      </c>
      <c r="B2978" s="2" t="s">
        <v>10842</v>
      </c>
      <c r="C2978" s="3">
        <v>27985</v>
      </c>
      <c r="D2978" s="1" t="s">
        <v>10843</v>
      </c>
      <c r="E2978" s="1" t="s">
        <v>10844</v>
      </c>
      <c r="F2978" s="2" t="s">
        <v>4698</v>
      </c>
      <c r="G2978" s="2" t="s">
        <v>69</v>
      </c>
      <c r="H2978" s="2" t="s">
        <v>10845</v>
      </c>
      <c r="I2978" s="2" t="s">
        <v>4604</v>
      </c>
      <c r="J2978" s="2" t="s">
        <v>5653</v>
      </c>
      <c r="K2978" s="13" t="s">
        <v>13177</v>
      </c>
      <c r="L2978" s="7" t="s">
        <v>13199</v>
      </c>
    </row>
    <row r="2979" spans="1:12" ht="55.2" hidden="1" x14ac:dyDescent="0.3">
      <c r="A2979" s="2" t="s">
        <v>4604</v>
      </c>
      <c r="B2979" s="2" t="s">
        <v>10846</v>
      </c>
      <c r="C2979" s="3">
        <v>34811</v>
      </c>
      <c r="D2979" s="1" t="s">
        <v>10847</v>
      </c>
      <c r="E2979" s="1" t="s">
        <v>10848</v>
      </c>
      <c r="F2979" s="2" t="s">
        <v>4698</v>
      </c>
      <c r="G2979" s="2" t="s">
        <v>627</v>
      </c>
      <c r="H2979" s="2" t="s">
        <v>10849</v>
      </c>
      <c r="I2979" s="2" t="s">
        <v>4604</v>
      </c>
      <c r="J2979" s="2" t="s">
        <v>10850</v>
      </c>
      <c r="K2979" s="13" t="s">
        <v>13177</v>
      </c>
      <c r="L2979" s="7" t="s">
        <v>13199</v>
      </c>
    </row>
    <row r="2980" spans="1:12" ht="55.2" hidden="1" x14ac:dyDescent="0.3">
      <c r="A2980" s="2" t="s">
        <v>4604</v>
      </c>
      <c r="B2980" s="2" t="s">
        <v>10851</v>
      </c>
      <c r="C2980" s="3">
        <v>35409</v>
      </c>
      <c r="D2980" s="1" t="s">
        <v>10852</v>
      </c>
      <c r="E2980" s="1" t="s">
        <v>10853</v>
      </c>
      <c r="F2980" s="2" t="s">
        <v>7998</v>
      </c>
      <c r="G2980" s="2" t="s">
        <v>604</v>
      </c>
      <c r="H2980" s="2" t="s">
        <v>10854</v>
      </c>
      <c r="I2980" s="2" t="s">
        <v>4604</v>
      </c>
      <c r="J2980" s="2" t="s">
        <v>4903</v>
      </c>
      <c r="K2980" s="13" t="s">
        <v>13177</v>
      </c>
      <c r="L2980" s="7" t="s">
        <v>13199</v>
      </c>
    </row>
    <row r="2981" spans="1:12" ht="55.2" hidden="1" x14ac:dyDescent="0.3">
      <c r="A2981" s="2" t="s">
        <v>4604</v>
      </c>
      <c r="B2981" s="2" t="s">
        <v>10855</v>
      </c>
      <c r="C2981" s="3">
        <v>23964</v>
      </c>
      <c r="D2981" s="1" t="s">
        <v>10856</v>
      </c>
      <c r="E2981" s="1" t="s">
        <v>10857</v>
      </c>
      <c r="F2981" s="2" t="s">
        <v>7998</v>
      </c>
      <c r="G2981" s="2" t="s">
        <v>222</v>
      </c>
      <c r="H2981" s="2" t="s">
        <v>10858</v>
      </c>
      <c r="I2981" s="2" t="s">
        <v>4604</v>
      </c>
      <c r="J2981" s="2" t="s">
        <v>417</v>
      </c>
      <c r="K2981" s="13" t="s">
        <v>13177</v>
      </c>
      <c r="L2981" s="7" t="s">
        <v>13199</v>
      </c>
    </row>
    <row r="2982" spans="1:12" ht="55.2" hidden="1" x14ac:dyDescent="0.3">
      <c r="A2982" s="2" t="s">
        <v>4604</v>
      </c>
      <c r="B2982" s="2" t="s">
        <v>10859</v>
      </c>
      <c r="C2982" s="3">
        <v>24746</v>
      </c>
      <c r="D2982" s="1" t="s">
        <v>442</v>
      </c>
      <c r="E2982" s="1" t="s">
        <v>10860</v>
      </c>
      <c r="F2982" s="2" t="s">
        <v>7998</v>
      </c>
      <c r="G2982" s="2" t="s">
        <v>425</v>
      </c>
      <c r="H2982" s="2" t="s">
        <v>10861</v>
      </c>
      <c r="I2982" s="2" t="s">
        <v>4604</v>
      </c>
      <c r="J2982" s="2" t="s">
        <v>10862</v>
      </c>
      <c r="K2982" s="13" t="s">
        <v>13177</v>
      </c>
      <c r="L2982" s="7" t="s">
        <v>13199</v>
      </c>
    </row>
    <row r="2983" spans="1:12" ht="55.2" hidden="1" x14ac:dyDescent="0.3">
      <c r="A2983" s="2" t="s">
        <v>4604</v>
      </c>
      <c r="B2983" s="2" t="s">
        <v>10863</v>
      </c>
      <c r="C2983" s="3">
        <v>30206</v>
      </c>
      <c r="D2983" s="1" t="s">
        <v>442</v>
      </c>
      <c r="E2983" s="1" t="s">
        <v>10864</v>
      </c>
      <c r="F2983" s="2" t="s">
        <v>7998</v>
      </c>
      <c r="G2983" s="2" t="s">
        <v>425</v>
      </c>
      <c r="H2983" s="2" t="s">
        <v>10865</v>
      </c>
      <c r="I2983" s="2" t="s">
        <v>4604</v>
      </c>
      <c r="J2983" s="2" t="s">
        <v>841</v>
      </c>
      <c r="K2983" s="13" t="s">
        <v>13177</v>
      </c>
      <c r="L2983" s="7" t="s">
        <v>13199</v>
      </c>
    </row>
    <row r="2984" spans="1:12" ht="55.2" hidden="1" x14ac:dyDescent="0.3">
      <c r="A2984" s="2" t="s">
        <v>4604</v>
      </c>
      <c r="B2984" s="2" t="s">
        <v>4867</v>
      </c>
      <c r="C2984" s="3">
        <v>34570</v>
      </c>
      <c r="D2984" s="1" t="s">
        <v>4151</v>
      </c>
      <c r="E2984" s="1" t="s">
        <v>4869</v>
      </c>
      <c r="F2984" s="2" t="s">
        <v>4698</v>
      </c>
      <c r="G2984" s="2" t="s">
        <v>69</v>
      </c>
      <c r="H2984" s="2" t="s">
        <v>10866</v>
      </c>
      <c r="I2984" s="2" t="s">
        <v>4604</v>
      </c>
      <c r="J2984" s="2" t="s">
        <v>5653</v>
      </c>
      <c r="K2984" s="13" t="s">
        <v>13177</v>
      </c>
      <c r="L2984" s="7" t="s">
        <v>13199</v>
      </c>
    </row>
    <row r="2985" spans="1:12" ht="55.2" hidden="1" x14ac:dyDescent="0.3">
      <c r="A2985" s="2" t="s">
        <v>4604</v>
      </c>
      <c r="B2985" s="2" t="s">
        <v>10867</v>
      </c>
      <c r="C2985" s="3">
        <v>33653</v>
      </c>
      <c r="D2985" s="1" t="s">
        <v>10868</v>
      </c>
      <c r="E2985" s="1" t="s">
        <v>10869</v>
      </c>
      <c r="F2985" s="2" t="s">
        <v>4698</v>
      </c>
      <c r="G2985" s="2" t="s">
        <v>2748</v>
      </c>
      <c r="H2985" s="2" t="s">
        <v>10870</v>
      </c>
      <c r="I2985" s="2" t="s">
        <v>4604</v>
      </c>
      <c r="J2985" s="2" t="s">
        <v>5455</v>
      </c>
      <c r="K2985" s="13" t="s">
        <v>13177</v>
      </c>
      <c r="L2985" s="7" t="s">
        <v>13199</v>
      </c>
    </row>
    <row r="2986" spans="1:12" ht="55.2" hidden="1" x14ac:dyDescent="0.3">
      <c r="A2986" s="2" t="s">
        <v>4604</v>
      </c>
      <c r="B2986" s="2" t="s">
        <v>10871</v>
      </c>
      <c r="C2986" s="3">
        <v>26434</v>
      </c>
      <c r="D2986" s="1" t="s">
        <v>10872</v>
      </c>
      <c r="E2986" s="1" t="s">
        <v>10873</v>
      </c>
      <c r="F2986" s="2" t="s">
        <v>4698</v>
      </c>
      <c r="G2986" s="2" t="s">
        <v>10874</v>
      </c>
      <c r="H2986" s="2" t="s">
        <v>10875</v>
      </c>
      <c r="I2986" s="2" t="s">
        <v>4604</v>
      </c>
      <c r="J2986" s="2" t="s">
        <v>10876</v>
      </c>
      <c r="K2986" s="13" t="s">
        <v>13177</v>
      </c>
      <c r="L2986" s="7" t="s">
        <v>13199</v>
      </c>
    </row>
    <row r="2987" spans="1:12" hidden="1" x14ac:dyDescent="0.3">
      <c r="A2987" s="2" t="s">
        <v>4139</v>
      </c>
      <c r="B2987" s="2" t="s">
        <v>10877</v>
      </c>
      <c r="C2987" s="3">
        <v>22518</v>
      </c>
      <c r="D2987" s="1" t="s">
        <v>10878</v>
      </c>
      <c r="E2987" s="1" t="s">
        <v>10879</v>
      </c>
      <c r="F2987" s="2" t="s">
        <v>9601</v>
      </c>
      <c r="G2987" s="2" t="s">
        <v>696</v>
      </c>
      <c r="H2987" s="2" t="s">
        <v>10</v>
      </c>
      <c r="I2987" s="2" t="s">
        <v>4139</v>
      </c>
      <c r="J2987" s="2" t="s">
        <v>697</v>
      </c>
      <c r="K2987" s="23"/>
      <c r="L2987" s="7" t="s">
        <v>13199</v>
      </c>
    </row>
    <row r="2988" spans="1:12" hidden="1" x14ac:dyDescent="0.3">
      <c r="A2988" s="2" t="s">
        <v>4139</v>
      </c>
      <c r="B2988" s="2" t="s">
        <v>10880</v>
      </c>
      <c r="C2988" s="3">
        <v>24019</v>
      </c>
      <c r="D2988" s="1" t="s">
        <v>10881</v>
      </c>
      <c r="E2988" s="1" t="s">
        <v>10882</v>
      </c>
      <c r="F2988" s="2" t="s">
        <v>4143</v>
      </c>
      <c r="G2988" s="2" t="s">
        <v>10883</v>
      </c>
      <c r="H2988" s="2" t="s">
        <v>10</v>
      </c>
      <c r="I2988" s="2" t="s">
        <v>4139</v>
      </c>
      <c r="J2988" s="2" t="s">
        <v>10884</v>
      </c>
      <c r="K2988" s="14"/>
      <c r="L2988" s="7" t="s">
        <v>13199</v>
      </c>
    </row>
    <row r="2989" spans="1:12" hidden="1" x14ac:dyDescent="0.3">
      <c r="A2989" s="2" t="s">
        <v>4139</v>
      </c>
      <c r="B2989" s="2" t="s">
        <v>10885</v>
      </c>
      <c r="C2989" s="3">
        <v>29669</v>
      </c>
      <c r="D2989" s="1" t="s">
        <v>10886</v>
      </c>
      <c r="E2989" s="1" t="s">
        <v>10887</v>
      </c>
      <c r="F2989" s="2" t="s">
        <v>9601</v>
      </c>
      <c r="G2989" s="2" t="s">
        <v>112</v>
      </c>
      <c r="H2989" s="2" t="s">
        <v>10</v>
      </c>
      <c r="I2989" s="2" t="s">
        <v>4139</v>
      </c>
      <c r="J2989" s="2" t="s">
        <v>315</v>
      </c>
      <c r="K2989" s="25"/>
      <c r="L2989" s="7" t="s">
        <v>13199</v>
      </c>
    </row>
    <row r="2990" spans="1:12" hidden="1" x14ac:dyDescent="0.3">
      <c r="A2990" s="2" t="s">
        <v>4139</v>
      </c>
      <c r="B2990" s="2" t="s">
        <v>10888</v>
      </c>
      <c r="C2990" s="3">
        <v>27494</v>
      </c>
      <c r="D2990" s="1" t="s">
        <v>442</v>
      </c>
      <c r="E2990" s="1" t="s">
        <v>10889</v>
      </c>
      <c r="F2990" s="2" t="s">
        <v>9601</v>
      </c>
      <c r="G2990" s="2" t="s">
        <v>31</v>
      </c>
      <c r="H2990" s="2" t="s">
        <v>10</v>
      </c>
      <c r="I2990" s="2" t="s">
        <v>4139</v>
      </c>
      <c r="J2990" s="2" t="s">
        <v>8956</v>
      </c>
      <c r="K2990" s="23"/>
      <c r="L2990" s="7" t="s">
        <v>13199</v>
      </c>
    </row>
    <row r="2991" spans="1:12" hidden="1" x14ac:dyDescent="0.3">
      <c r="A2991" s="2" t="s">
        <v>4139</v>
      </c>
      <c r="B2991" s="2" t="s">
        <v>10890</v>
      </c>
      <c r="C2991" s="3">
        <v>26846</v>
      </c>
      <c r="D2991" s="1" t="s">
        <v>10891</v>
      </c>
      <c r="E2991" s="1" t="s">
        <v>10892</v>
      </c>
      <c r="F2991" s="2" t="s">
        <v>4143</v>
      </c>
      <c r="G2991" s="2" t="s">
        <v>10893</v>
      </c>
      <c r="H2991" s="2" t="s">
        <v>10</v>
      </c>
      <c r="I2991" s="2" t="s">
        <v>4139</v>
      </c>
      <c r="J2991" s="2" t="s">
        <v>10894</v>
      </c>
      <c r="K2991" s="14"/>
      <c r="L2991" s="7" t="s">
        <v>13199</v>
      </c>
    </row>
    <row r="2992" spans="1:12" hidden="1" x14ac:dyDescent="0.3">
      <c r="A2992" s="2" t="s">
        <v>4139</v>
      </c>
      <c r="B2992" s="2" t="s">
        <v>8425</v>
      </c>
      <c r="C2992" s="3">
        <v>26769</v>
      </c>
      <c r="D2992" s="1" t="s">
        <v>8426</v>
      </c>
      <c r="E2992" s="1" t="s">
        <v>8427</v>
      </c>
      <c r="F2992" s="2" t="s">
        <v>4143</v>
      </c>
      <c r="G2992" s="2" t="s">
        <v>8428</v>
      </c>
      <c r="H2992" s="2" t="s">
        <v>562</v>
      </c>
      <c r="I2992" s="2" t="s">
        <v>4139</v>
      </c>
      <c r="J2992" s="2" t="s">
        <v>8429</v>
      </c>
      <c r="K2992" s="14"/>
      <c r="L2992" s="7" t="s">
        <v>13199</v>
      </c>
    </row>
    <row r="2993" spans="1:12" hidden="1" x14ac:dyDescent="0.3">
      <c r="A2993" s="2" t="s">
        <v>4139</v>
      </c>
      <c r="B2993" s="2" t="s">
        <v>8425</v>
      </c>
      <c r="C2993" s="3">
        <v>26769</v>
      </c>
      <c r="D2993" s="1" t="s">
        <v>8426</v>
      </c>
      <c r="E2993" s="1" t="s">
        <v>8427</v>
      </c>
      <c r="F2993" s="2" t="s">
        <v>4143</v>
      </c>
      <c r="G2993" s="2" t="s">
        <v>8428</v>
      </c>
      <c r="H2993" s="2" t="s">
        <v>1295</v>
      </c>
      <c r="I2993" s="2" t="s">
        <v>4139</v>
      </c>
      <c r="J2993" s="2" t="s">
        <v>10895</v>
      </c>
      <c r="K2993" s="14"/>
      <c r="L2993" s="7" t="s">
        <v>13199</v>
      </c>
    </row>
    <row r="2994" spans="1:12" ht="27.6" hidden="1" x14ac:dyDescent="0.3">
      <c r="A2994" s="2" t="s">
        <v>4139</v>
      </c>
      <c r="B2994" s="2" t="s">
        <v>10896</v>
      </c>
      <c r="C2994" s="3">
        <v>24040</v>
      </c>
      <c r="D2994" s="1" t="s">
        <v>10897</v>
      </c>
      <c r="E2994" s="1" t="s">
        <v>10898</v>
      </c>
      <c r="F2994" s="2" t="s">
        <v>10142</v>
      </c>
      <c r="G2994" s="2" t="s">
        <v>10273</v>
      </c>
      <c r="H2994" s="2" t="s">
        <v>43</v>
      </c>
      <c r="I2994" s="2" t="s">
        <v>4139</v>
      </c>
      <c r="J2994" s="2" t="s">
        <v>10274</v>
      </c>
      <c r="K2994" s="21" t="s">
        <v>13177</v>
      </c>
      <c r="L2994" s="7" t="s">
        <v>13199</v>
      </c>
    </row>
    <row r="2995" spans="1:12" hidden="1" x14ac:dyDescent="0.3">
      <c r="A2995" s="2" t="s">
        <v>4139</v>
      </c>
      <c r="B2995" s="2" t="s">
        <v>10899</v>
      </c>
      <c r="C2995" s="3">
        <v>45359</v>
      </c>
      <c r="D2995" s="1" t="s">
        <v>10900</v>
      </c>
      <c r="E2995" s="1" t="s">
        <v>10901</v>
      </c>
      <c r="F2995" s="2" t="s">
        <v>4143</v>
      </c>
      <c r="G2995" s="2" t="s">
        <v>3668</v>
      </c>
      <c r="H2995" s="2" t="s">
        <v>10</v>
      </c>
      <c r="I2995" s="2" t="s">
        <v>4139</v>
      </c>
      <c r="J2995" s="2" t="s">
        <v>8202</v>
      </c>
      <c r="K2995" s="14"/>
      <c r="L2995" s="7" t="s">
        <v>13199</v>
      </c>
    </row>
    <row r="2996" spans="1:12" ht="55.2" hidden="1" x14ac:dyDescent="0.3">
      <c r="A2996" s="2" t="s">
        <v>4604</v>
      </c>
      <c r="B2996" s="2" t="s">
        <v>10902</v>
      </c>
      <c r="C2996" s="3">
        <v>34288</v>
      </c>
      <c r="D2996" s="1" t="s">
        <v>10903</v>
      </c>
      <c r="E2996" s="1" t="s">
        <v>10904</v>
      </c>
      <c r="F2996" s="2" t="s">
        <v>4698</v>
      </c>
      <c r="G2996" s="2" t="s">
        <v>2267</v>
      </c>
      <c r="H2996" s="2" t="s">
        <v>5798</v>
      </c>
      <c r="I2996" s="2" t="s">
        <v>4604</v>
      </c>
      <c r="J2996" s="2" t="s">
        <v>735</v>
      </c>
      <c r="K2996" s="20" t="s">
        <v>13177</v>
      </c>
      <c r="L2996" s="7" t="s">
        <v>13199</v>
      </c>
    </row>
    <row r="2997" spans="1:12" ht="55.2" hidden="1" x14ac:dyDescent="0.3">
      <c r="A2997" s="2" t="s">
        <v>4604</v>
      </c>
      <c r="B2997" s="2" t="s">
        <v>10905</v>
      </c>
      <c r="C2997" s="3">
        <v>17724</v>
      </c>
      <c r="D2997" s="1" t="s">
        <v>10906</v>
      </c>
      <c r="E2997" s="1" t="s">
        <v>10907</v>
      </c>
      <c r="F2997" s="2" t="s">
        <v>4698</v>
      </c>
      <c r="G2997" s="2" t="s">
        <v>69</v>
      </c>
      <c r="H2997" s="2" t="s">
        <v>10908</v>
      </c>
      <c r="I2997" s="2" t="s">
        <v>4604</v>
      </c>
      <c r="J2997" s="2" t="s">
        <v>5653</v>
      </c>
      <c r="K2997" s="13" t="s">
        <v>13177</v>
      </c>
      <c r="L2997" s="7" t="s">
        <v>13199</v>
      </c>
    </row>
    <row r="2998" spans="1:12" ht="55.2" hidden="1" x14ac:dyDescent="0.3">
      <c r="A2998" s="2" t="s">
        <v>4604</v>
      </c>
      <c r="B2998" s="2" t="s">
        <v>10909</v>
      </c>
      <c r="C2998" s="3">
        <v>29240</v>
      </c>
      <c r="D2998" s="1" t="s">
        <v>10910</v>
      </c>
      <c r="E2998" s="1" t="s">
        <v>10911</v>
      </c>
      <c r="F2998" s="2" t="s">
        <v>7998</v>
      </c>
      <c r="G2998" s="2" t="s">
        <v>425</v>
      </c>
      <c r="H2998" s="2" t="s">
        <v>10912</v>
      </c>
      <c r="I2998" s="2" t="s">
        <v>4604</v>
      </c>
      <c r="J2998" s="2" t="s">
        <v>841</v>
      </c>
      <c r="K2998" s="13" t="s">
        <v>13177</v>
      </c>
      <c r="L2998" s="7" t="s">
        <v>13199</v>
      </c>
    </row>
    <row r="2999" spans="1:12" hidden="1" x14ac:dyDescent="0.3">
      <c r="A2999" s="2" t="s">
        <v>4139</v>
      </c>
      <c r="B2999" s="2" t="s">
        <v>10913</v>
      </c>
      <c r="C2999" s="3">
        <v>25263</v>
      </c>
      <c r="D2999" s="1" t="s">
        <v>10914</v>
      </c>
      <c r="E2999" s="1" t="s">
        <v>10915</v>
      </c>
      <c r="F2999" s="2" t="s">
        <v>9413</v>
      </c>
      <c r="G2999" s="2" t="s">
        <v>190</v>
      </c>
      <c r="H2999" s="2" t="s">
        <v>10</v>
      </c>
      <c r="I2999" s="2" t="s">
        <v>4139</v>
      </c>
      <c r="J2999" s="2" t="s">
        <v>191</v>
      </c>
      <c r="K2999" s="13" t="s">
        <v>13177</v>
      </c>
      <c r="L2999" s="7" t="s">
        <v>13199</v>
      </c>
    </row>
    <row r="3000" spans="1:12" hidden="1" x14ac:dyDescent="0.3">
      <c r="A3000" s="2" t="s">
        <v>4139</v>
      </c>
      <c r="B3000" s="2" t="s">
        <v>10916</v>
      </c>
      <c r="C3000" s="3">
        <v>34002</v>
      </c>
      <c r="D3000" s="1" t="s">
        <v>10917</v>
      </c>
      <c r="E3000" s="1" t="s">
        <v>10918</v>
      </c>
      <c r="F3000" s="2" t="s">
        <v>9413</v>
      </c>
      <c r="G3000" s="2" t="s">
        <v>492</v>
      </c>
      <c r="H3000" s="2" t="s">
        <v>10</v>
      </c>
      <c r="I3000" s="2" t="s">
        <v>4139</v>
      </c>
      <c r="J3000" s="2" t="s">
        <v>619</v>
      </c>
      <c r="K3000" s="13" t="s">
        <v>13177</v>
      </c>
      <c r="L3000" s="7" t="s">
        <v>13199</v>
      </c>
    </row>
    <row r="3001" spans="1:12" hidden="1" x14ac:dyDescent="0.3">
      <c r="A3001" s="2" t="s">
        <v>4139</v>
      </c>
      <c r="B3001" s="2" t="s">
        <v>10919</v>
      </c>
      <c r="C3001" s="3">
        <v>23456</v>
      </c>
      <c r="D3001" s="1" t="s">
        <v>10920</v>
      </c>
      <c r="E3001" s="1" t="s">
        <v>10921</v>
      </c>
      <c r="F3001" s="2" t="s">
        <v>9413</v>
      </c>
      <c r="G3001" s="2" t="s">
        <v>230</v>
      </c>
      <c r="H3001" s="2" t="s">
        <v>103</v>
      </c>
      <c r="I3001" s="2" t="s">
        <v>4139</v>
      </c>
      <c r="J3001" s="2" t="s">
        <v>270</v>
      </c>
      <c r="K3001" s="13" t="s">
        <v>13177</v>
      </c>
      <c r="L3001" s="7" t="s">
        <v>13199</v>
      </c>
    </row>
    <row r="3002" spans="1:12" ht="27.6" hidden="1" x14ac:dyDescent="0.3">
      <c r="A3002" s="2" t="s">
        <v>4139</v>
      </c>
      <c r="B3002" s="2" t="s">
        <v>10922</v>
      </c>
      <c r="C3002" s="3">
        <v>31025</v>
      </c>
      <c r="D3002" s="1" t="s">
        <v>10923</v>
      </c>
      <c r="E3002" s="1" t="s">
        <v>10924</v>
      </c>
      <c r="F3002" s="2" t="s">
        <v>9413</v>
      </c>
      <c r="G3002" s="2" t="s">
        <v>230</v>
      </c>
      <c r="H3002" s="2" t="s">
        <v>4531</v>
      </c>
      <c r="I3002" s="2" t="s">
        <v>4139</v>
      </c>
      <c r="J3002" s="2" t="s">
        <v>270</v>
      </c>
      <c r="K3002" s="13" t="s">
        <v>13177</v>
      </c>
      <c r="L3002" s="7" t="s">
        <v>13199</v>
      </c>
    </row>
    <row r="3003" spans="1:12" hidden="1" x14ac:dyDescent="0.3">
      <c r="A3003" s="2" t="s">
        <v>4139</v>
      </c>
      <c r="B3003" s="2" t="s">
        <v>10925</v>
      </c>
      <c r="C3003" s="3">
        <v>29940</v>
      </c>
      <c r="D3003" s="1" t="s">
        <v>10926</v>
      </c>
      <c r="E3003" s="1" t="s">
        <v>10927</v>
      </c>
      <c r="F3003" s="2" t="s">
        <v>9413</v>
      </c>
      <c r="G3003" s="2" t="s">
        <v>880</v>
      </c>
      <c r="H3003" s="2" t="s">
        <v>103</v>
      </c>
      <c r="I3003" s="2" t="s">
        <v>4139</v>
      </c>
      <c r="J3003" s="2" t="s">
        <v>881</v>
      </c>
      <c r="K3003" s="13" t="s">
        <v>13177</v>
      </c>
      <c r="L3003" s="7" t="s">
        <v>13199</v>
      </c>
    </row>
    <row r="3004" spans="1:12" hidden="1" x14ac:dyDescent="0.3">
      <c r="A3004" s="2" t="s">
        <v>4139</v>
      </c>
      <c r="B3004" s="2" t="s">
        <v>10928</v>
      </c>
      <c r="C3004" s="3">
        <v>21440</v>
      </c>
      <c r="D3004" s="1" t="s">
        <v>10929</v>
      </c>
      <c r="E3004" s="1" t="s">
        <v>10930</v>
      </c>
      <c r="F3004" s="2" t="s">
        <v>9413</v>
      </c>
      <c r="G3004" s="2" t="s">
        <v>1955</v>
      </c>
      <c r="H3004" s="2" t="s">
        <v>10</v>
      </c>
      <c r="I3004" s="2" t="s">
        <v>4139</v>
      </c>
      <c r="J3004" s="2" t="s">
        <v>1956</v>
      </c>
      <c r="K3004" s="13" t="s">
        <v>13177</v>
      </c>
      <c r="L3004" s="7" t="s">
        <v>13199</v>
      </c>
    </row>
    <row r="3005" spans="1:12" ht="27.6" hidden="1" x14ac:dyDescent="0.3">
      <c r="A3005" s="2" t="s">
        <v>1962</v>
      </c>
      <c r="B3005" s="2" t="s">
        <v>10931</v>
      </c>
      <c r="C3005" s="3">
        <v>24744</v>
      </c>
      <c r="D3005" s="1" t="s">
        <v>10932</v>
      </c>
      <c r="E3005" s="1" t="s">
        <v>10933</v>
      </c>
      <c r="F3005" s="2" t="s">
        <v>10934</v>
      </c>
      <c r="G3005" s="2" t="s">
        <v>80</v>
      </c>
      <c r="H3005" s="2" t="s">
        <v>10</v>
      </c>
      <c r="I3005" s="2" t="s">
        <v>1962</v>
      </c>
      <c r="J3005" s="2" t="s">
        <v>82</v>
      </c>
      <c r="K3005" s="13" t="s">
        <v>13177</v>
      </c>
      <c r="L3005" s="7" t="s">
        <v>13199</v>
      </c>
    </row>
    <row r="3006" spans="1:12" ht="27.6" hidden="1" x14ac:dyDescent="0.3">
      <c r="A3006" s="2" t="s">
        <v>4386</v>
      </c>
      <c r="B3006" s="2" t="s">
        <v>10935</v>
      </c>
      <c r="C3006" s="3">
        <v>35122</v>
      </c>
      <c r="D3006" s="1" t="s">
        <v>10936</v>
      </c>
      <c r="E3006" s="1" t="s">
        <v>10937</v>
      </c>
      <c r="F3006" s="2" t="s">
        <v>5091</v>
      </c>
      <c r="G3006" s="2" t="s">
        <v>10938</v>
      </c>
      <c r="H3006" s="2" t="s">
        <v>10</v>
      </c>
      <c r="I3006" s="2" t="s">
        <v>4386</v>
      </c>
      <c r="J3006" s="2" t="s">
        <v>10939</v>
      </c>
      <c r="K3006" s="13" t="s">
        <v>13177</v>
      </c>
      <c r="L3006" s="7" t="s">
        <v>13199</v>
      </c>
    </row>
    <row r="3007" spans="1:12" ht="27.6" hidden="1" x14ac:dyDescent="0.3">
      <c r="A3007" s="2" t="s">
        <v>4386</v>
      </c>
      <c r="B3007" s="2" t="s">
        <v>10940</v>
      </c>
      <c r="C3007" s="3">
        <v>35707</v>
      </c>
      <c r="D3007" s="1" t="s">
        <v>10941</v>
      </c>
      <c r="E3007" s="1" t="s">
        <v>10942</v>
      </c>
      <c r="F3007" s="2" t="s">
        <v>4396</v>
      </c>
      <c r="G3007" s="2" t="s">
        <v>4550</v>
      </c>
      <c r="H3007" s="2" t="s">
        <v>334</v>
      </c>
      <c r="I3007" s="2" t="s">
        <v>4386</v>
      </c>
      <c r="J3007" s="2" t="s">
        <v>10943</v>
      </c>
      <c r="K3007" s="13" t="s">
        <v>13177</v>
      </c>
      <c r="L3007" s="7" t="s">
        <v>13199</v>
      </c>
    </row>
    <row r="3008" spans="1:12" ht="27.6" hidden="1" x14ac:dyDescent="0.3">
      <c r="A3008" s="2" t="s">
        <v>1957</v>
      </c>
      <c r="B3008" s="2" t="s">
        <v>10944</v>
      </c>
      <c r="C3008" s="3">
        <v>36003</v>
      </c>
      <c r="D3008" s="1" t="s">
        <v>10945</v>
      </c>
      <c r="E3008" s="1" t="s">
        <v>10946</v>
      </c>
      <c r="F3008" s="2" t="s">
        <v>2018</v>
      </c>
      <c r="G3008" s="2" t="s">
        <v>25</v>
      </c>
      <c r="H3008" s="2" t="s">
        <v>10</v>
      </c>
      <c r="I3008" s="2" t="s">
        <v>1957</v>
      </c>
      <c r="J3008" s="2" t="s">
        <v>305</v>
      </c>
      <c r="K3008" s="13" t="s">
        <v>13177</v>
      </c>
      <c r="L3008" s="7" t="s">
        <v>13199</v>
      </c>
    </row>
    <row r="3009" spans="1:12" ht="55.2" hidden="1" x14ac:dyDescent="0.3">
      <c r="A3009" s="2" t="s">
        <v>4604</v>
      </c>
      <c r="B3009" s="2" t="s">
        <v>10947</v>
      </c>
      <c r="C3009" s="3">
        <v>37096</v>
      </c>
      <c r="D3009" s="1" t="s">
        <v>10948</v>
      </c>
      <c r="E3009" s="1" t="s">
        <v>10949</v>
      </c>
      <c r="F3009" s="2" t="s">
        <v>7998</v>
      </c>
      <c r="G3009" s="2" t="s">
        <v>3935</v>
      </c>
      <c r="H3009" s="2" t="s">
        <v>10950</v>
      </c>
      <c r="I3009" s="2" t="s">
        <v>4604</v>
      </c>
      <c r="J3009" s="2" t="s">
        <v>10951</v>
      </c>
      <c r="K3009" s="13" t="s">
        <v>13177</v>
      </c>
      <c r="L3009" s="7" t="s">
        <v>13199</v>
      </c>
    </row>
    <row r="3010" spans="1:12" ht="55.2" hidden="1" x14ac:dyDescent="0.3">
      <c r="A3010" s="2" t="s">
        <v>4604</v>
      </c>
      <c r="B3010" s="2" t="s">
        <v>10952</v>
      </c>
      <c r="C3010" s="3">
        <v>31641</v>
      </c>
      <c r="D3010" s="1" t="s">
        <v>10953</v>
      </c>
      <c r="E3010" s="1" t="s">
        <v>10954</v>
      </c>
      <c r="F3010" s="2" t="s">
        <v>5698</v>
      </c>
      <c r="G3010" s="2" t="s">
        <v>283</v>
      </c>
      <c r="H3010" s="2" t="s">
        <v>10955</v>
      </c>
      <c r="I3010" s="2" t="s">
        <v>4604</v>
      </c>
      <c r="J3010" s="2" t="s">
        <v>4161</v>
      </c>
      <c r="K3010" s="13" t="s">
        <v>13177</v>
      </c>
      <c r="L3010" s="7" t="s">
        <v>13199</v>
      </c>
    </row>
    <row r="3011" spans="1:12" ht="55.2" hidden="1" x14ac:dyDescent="0.3">
      <c r="A3011" s="2" t="s">
        <v>4604</v>
      </c>
      <c r="B3011" s="2" t="s">
        <v>10956</v>
      </c>
      <c r="C3011" s="3">
        <v>30363</v>
      </c>
      <c r="D3011" s="1" t="s">
        <v>10957</v>
      </c>
      <c r="E3011" s="1" t="s">
        <v>10958</v>
      </c>
      <c r="F3011" s="2" t="s">
        <v>8296</v>
      </c>
      <c r="G3011" s="2" t="s">
        <v>392</v>
      </c>
      <c r="H3011" s="2" t="s">
        <v>10959</v>
      </c>
      <c r="I3011" s="2" t="s">
        <v>4604</v>
      </c>
      <c r="J3011" s="2" t="s">
        <v>5658</v>
      </c>
      <c r="K3011" s="13" t="s">
        <v>13177</v>
      </c>
      <c r="L3011" s="7" t="s">
        <v>13199</v>
      </c>
    </row>
    <row r="3012" spans="1:12" ht="55.2" hidden="1" x14ac:dyDescent="0.3">
      <c r="A3012" s="2" t="s">
        <v>4604</v>
      </c>
      <c r="B3012" s="2" t="s">
        <v>10960</v>
      </c>
      <c r="C3012" s="3">
        <v>30760</v>
      </c>
      <c r="D3012" s="1" t="s">
        <v>10961</v>
      </c>
      <c r="E3012" s="1" t="s">
        <v>10962</v>
      </c>
      <c r="F3012" s="2" t="s">
        <v>8296</v>
      </c>
      <c r="G3012" s="2" t="s">
        <v>1228</v>
      </c>
      <c r="H3012" s="2" t="s">
        <v>10963</v>
      </c>
      <c r="I3012" s="2" t="s">
        <v>4604</v>
      </c>
      <c r="J3012" s="2" t="s">
        <v>4832</v>
      </c>
      <c r="K3012" s="13" t="s">
        <v>13177</v>
      </c>
      <c r="L3012" s="7" t="s">
        <v>13199</v>
      </c>
    </row>
    <row r="3013" spans="1:12" ht="27.6" hidden="1" x14ac:dyDescent="0.3">
      <c r="A3013" s="2" t="s">
        <v>4386</v>
      </c>
      <c r="B3013" s="2" t="s">
        <v>10964</v>
      </c>
      <c r="C3013" s="3">
        <v>36130</v>
      </c>
      <c r="D3013" s="1" t="s">
        <v>10965</v>
      </c>
      <c r="E3013" s="1" t="s">
        <v>10966</v>
      </c>
      <c r="F3013" s="2" t="s">
        <v>4390</v>
      </c>
      <c r="G3013" s="2" t="s">
        <v>10967</v>
      </c>
      <c r="H3013" s="2" t="s">
        <v>10</v>
      </c>
      <c r="I3013" s="2" t="s">
        <v>4386</v>
      </c>
      <c r="J3013" s="2" t="s">
        <v>10968</v>
      </c>
      <c r="K3013" s="13" t="s">
        <v>13177</v>
      </c>
      <c r="L3013" s="7" t="s">
        <v>13199</v>
      </c>
    </row>
    <row r="3014" spans="1:12" ht="27.6" hidden="1" x14ac:dyDescent="0.3">
      <c r="A3014" s="2" t="s">
        <v>4386</v>
      </c>
      <c r="B3014" s="2" t="s">
        <v>10969</v>
      </c>
      <c r="C3014" s="3">
        <v>33491</v>
      </c>
      <c r="D3014" s="1" t="s">
        <v>10970</v>
      </c>
      <c r="E3014" s="1" t="s">
        <v>10971</v>
      </c>
      <c r="F3014" s="2" t="s">
        <v>4390</v>
      </c>
      <c r="G3014" s="2" t="s">
        <v>10972</v>
      </c>
      <c r="H3014" s="2" t="s">
        <v>10</v>
      </c>
      <c r="I3014" s="2" t="s">
        <v>4386</v>
      </c>
      <c r="J3014" s="2" t="s">
        <v>10973</v>
      </c>
      <c r="K3014" s="13" t="s">
        <v>13177</v>
      </c>
      <c r="L3014" s="7" t="s">
        <v>13199</v>
      </c>
    </row>
    <row r="3015" spans="1:12" ht="27.6" hidden="1" x14ac:dyDescent="0.3">
      <c r="A3015" s="2" t="s">
        <v>4386</v>
      </c>
      <c r="B3015" s="2" t="s">
        <v>10974</v>
      </c>
      <c r="C3015" s="3">
        <v>33491</v>
      </c>
      <c r="D3015" s="1" t="s">
        <v>10970</v>
      </c>
      <c r="E3015" s="1" t="s">
        <v>10971</v>
      </c>
      <c r="F3015" s="2" t="s">
        <v>4390</v>
      </c>
      <c r="G3015" s="2" t="s">
        <v>10975</v>
      </c>
      <c r="H3015" s="2" t="s">
        <v>10</v>
      </c>
      <c r="I3015" s="2" t="s">
        <v>4386</v>
      </c>
      <c r="J3015" s="2" t="s">
        <v>10976</v>
      </c>
      <c r="K3015" s="13" t="s">
        <v>13177</v>
      </c>
      <c r="L3015" s="7" t="s">
        <v>13199</v>
      </c>
    </row>
    <row r="3016" spans="1:12" ht="27.6" hidden="1" x14ac:dyDescent="0.3">
      <c r="A3016" s="2" t="s">
        <v>4386</v>
      </c>
      <c r="B3016" s="2" t="s">
        <v>10977</v>
      </c>
      <c r="C3016" s="3">
        <v>31157</v>
      </c>
      <c r="D3016" s="1" t="s">
        <v>10978</v>
      </c>
      <c r="E3016" s="1" t="s">
        <v>10979</v>
      </c>
      <c r="F3016" s="2" t="s">
        <v>5053</v>
      </c>
      <c r="G3016" s="2" t="s">
        <v>1222</v>
      </c>
      <c r="H3016" s="2" t="s">
        <v>4531</v>
      </c>
      <c r="I3016" s="2" t="s">
        <v>4386</v>
      </c>
      <c r="J3016" s="2" t="s">
        <v>1223</v>
      </c>
      <c r="K3016" s="13" t="s">
        <v>13177</v>
      </c>
      <c r="L3016" s="7" t="s">
        <v>13199</v>
      </c>
    </row>
    <row r="3017" spans="1:12" ht="27.6" hidden="1" x14ac:dyDescent="0.3">
      <c r="A3017" s="2" t="s">
        <v>4386</v>
      </c>
      <c r="B3017" s="2" t="s">
        <v>10980</v>
      </c>
      <c r="C3017" s="3">
        <v>35541</v>
      </c>
      <c r="D3017" s="1" t="s">
        <v>10981</v>
      </c>
      <c r="E3017" s="1" t="s">
        <v>10982</v>
      </c>
      <c r="F3017" s="2" t="s">
        <v>9584</v>
      </c>
      <c r="G3017" s="2" t="s">
        <v>2800</v>
      </c>
      <c r="H3017" s="2" t="s">
        <v>10</v>
      </c>
      <c r="I3017" s="2" t="s">
        <v>4386</v>
      </c>
      <c r="J3017" s="2" t="s">
        <v>10983</v>
      </c>
      <c r="K3017" s="13" t="s">
        <v>13177</v>
      </c>
      <c r="L3017" s="7" t="s">
        <v>13199</v>
      </c>
    </row>
    <row r="3018" spans="1:12" hidden="1" x14ac:dyDescent="0.3">
      <c r="A3018" s="2" t="s">
        <v>4139</v>
      </c>
      <c r="B3018" s="2" t="s">
        <v>10984</v>
      </c>
      <c r="C3018" s="3">
        <v>29484</v>
      </c>
      <c r="D3018" s="1" t="s">
        <v>261</v>
      </c>
      <c r="E3018" s="1" t="s">
        <v>10985</v>
      </c>
      <c r="F3018" s="2" t="s">
        <v>10986</v>
      </c>
      <c r="G3018" s="2" t="s">
        <v>222</v>
      </c>
      <c r="H3018" s="2" t="s">
        <v>10</v>
      </c>
      <c r="I3018" s="2" t="s">
        <v>4139</v>
      </c>
      <c r="J3018" s="2" t="s">
        <v>223</v>
      </c>
      <c r="K3018" s="13" t="s">
        <v>13177</v>
      </c>
      <c r="L3018" s="7" t="s">
        <v>13199</v>
      </c>
    </row>
    <row r="3019" spans="1:12" hidden="1" x14ac:dyDescent="0.3">
      <c r="A3019" s="2" t="s">
        <v>4139</v>
      </c>
      <c r="B3019" s="2" t="s">
        <v>10987</v>
      </c>
      <c r="C3019" s="3">
        <v>27643</v>
      </c>
      <c r="D3019" s="1" t="s">
        <v>10988</v>
      </c>
      <c r="E3019" s="1" t="s">
        <v>10989</v>
      </c>
      <c r="F3019" s="2" t="s">
        <v>10986</v>
      </c>
      <c r="G3019" s="2" t="s">
        <v>25</v>
      </c>
      <c r="H3019" s="2" t="s">
        <v>81</v>
      </c>
      <c r="I3019" s="2" t="s">
        <v>4139</v>
      </c>
      <c r="J3019" s="2" t="s">
        <v>305</v>
      </c>
      <c r="K3019" s="13" t="s">
        <v>13177</v>
      </c>
      <c r="L3019" s="7" t="s">
        <v>13194</v>
      </c>
    </row>
    <row r="3020" spans="1:12" hidden="1" x14ac:dyDescent="0.3">
      <c r="A3020" s="2" t="s">
        <v>4139</v>
      </c>
      <c r="B3020" s="2" t="s">
        <v>10990</v>
      </c>
      <c r="C3020" s="3">
        <v>25166</v>
      </c>
      <c r="D3020" s="1" t="s">
        <v>10991</v>
      </c>
      <c r="E3020" s="1" t="s">
        <v>10992</v>
      </c>
      <c r="F3020" s="2" t="s">
        <v>9413</v>
      </c>
      <c r="G3020" s="2" t="s">
        <v>669</v>
      </c>
      <c r="H3020" s="2" t="s">
        <v>10</v>
      </c>
      <c r="I3020" s="2" t="s">
        <v>4139</v>
      </c>
      <c r="J3020" s="2" t="s">
        <v>670</v>
      </c>
      <c r="K3020" s="13" t="s">
        <v>13177</v>
      </c>
      <c r="L3020" s="7" t="s">
        <v>13199</v>
      </c>
    </row>
    <row r="3021" spans="1:12" hidden="1" x14ac:dyDescent="0.3">
      <c r="A3021" s="2" t="s">
        <v>4139</v>
      </c>
      <c r="B3021" s="2" t="s">
        <v>10993</v>
      </c>
      <c r="C3021" s="3">
        <v>34787</v>
      </c>
      <c r="D3021" s="1" t="s">
        <v>10994</v>
      </c>
      <c r="E3021" s="1" t="s">
        <v>10995</v>
      </c>
      <c r="F3021" s="2" t="s">
        <v>10986</v>
      </c>
      <c r="G3021" s="2" t="s">
        <v>152</v>
      </c>
      <c r="H3021" s="2" t="s">
        <v>10</v>
      </c>
      <c r="I3021" s="2" t="s">
        <v>4139</v>
      </c>
      <c r="J3021" s="2" t="s">
        <v>153</v>
      </c>
      <c r="K3021" s="13" t="s">
        <v>13177</v>
      </c>
      <c r="L3021" s="7" t="s">
        <v>13194</v>
      </c>
    </row>
    <row r="3022" spans="1:12" hidden="1" x14ac:dyDescent="0.3">
      <c r="A3022" s="2" t="s">
        <v>4139</v>
      </c>
      <c r="B3022" s="2" t="s">
        <v>10996</v>
      </c>
      <c r="C3022" s="3">
        <v>36579</v>
      </c>
      <c r="D3022" s="1" t="s">
        <v>10997</v>
      </c>
      <c r="E3022" s="1" t="s">
        <v>10998</v>
      </c>
      <c r="F3022" s="2" t="s">
        <v>9413</v>
      </c>
      <c r="G3022" s="2" t="s">
        <v>425</v>
      </c>
      <c r="H3022" s="2" t="s">
        <v>10</v>
      </c>
      <c r="I3022" s="2" t="s">
        <v>4139</v>
      </c>
      <c r="J3022" s="2" t="s">
        <v>426</v>
      </c>
      <c r="K3022" s="13" t="s">
        <v>13177</v>
      </c>
      <c r="L3022" s="7" t="s">
        <v>13199</v>
      </c>
    </row>
    <row r="3023" spans="1:12" ht="27.6" hidden="1" x14ac:dyDescent="0.3">
      <c r="A3023" s="2" t="s">
        <v>4386</v>
      </c>
      <c r="B3023" s="2" t="s">
        <v>10999</v>
      </c>
      <c r="C3023" s="3">
        <v>32854</v>
      </c>
      <c r="D3023" s="1" t="s">
        <v>11000</v>
      </c>
      <c r="E3023" s="1" t="s">
        <v>11001</v>
      </c>
      <c r="F3023" s="2" t="s">
        <v>9584</v>
      </c>
      <c r="G3023" s="2" t="s">
        <v>2748</v>
      </c>
      <c r="H3023" s="2" t="s">
        <v>10</v>
      </c>
      <c r="I3023" s="2" t="s">
        <v>4386</v>
      </c>
      <c r="J3023" s="2" t="s">
        <v>11002</v>
      </c>
      <c r="K3023" s="13" t="s">
        <v>13177</v>
      </c>
      <c r="L3023" s="7" t="s">
        <v>13199</v>
      </c>
    </row>
    <row r="3024" spans="1:12" ht="27.6" hidden="1" x14ac:dyDescent="0.3">
      <c r="A3024" s="2" t="s">
        <v>4386</v>
      </c>
      <c r="B3024" s="2" t="s">
        <v>11003</v>
      </c>
      <c r="C3024" s="3">
        <v>34732</v>
      </c>
      <c r="D3024" s="1" t="s">
        <v>11004</v>
      </c>
      <c r="E3024" s="1" t="s">
        <v>11005</v>
      </c>
      <c r="F3024" s="2" t="s">
        <v>9506</v>
      </c>
      <c r="G3024" s="2" t="s">
        <v>11006</v>
      </c>
      <c r="H3024" s="2" t="s">
        <v>10</v>
      </c>
      <c r="I3024" s="2" t="s">
        <v>4386</v>
      </c>
      <c r="J3024" s="2" t="s">
        <v>11007</v>
      </c>
      <c r="K3024" s="13" t="s">
        <v>13177</v>
      </c>
      <c r="L3024" s="7" t="s">
        <v>13199</v>
      </c>
    </row>
    <row r="3025" spans="1:12" hidden="1" x14ac:dyDescent="0.3">
      <c r="A3025" s="2" t="s">
        <v>4139</v>
      </c>
      <c r="B3025" s="2" t="s">
        <v>11008</v>
      </c>
      <c r="C3025" s="3">
        <v>28241</v>
      </c>
      <c r="D3025" s="1" t="s">
        <v>11009</v>
      </c>
      <c r="E3025" s="1" t="s">
        <v>11010</v>
      </c>
      <c r="F3025" s="2" t="s">
        <v>8906</v>
      </c>
      <c r="G3025" s="2" t="s">
        <v>258</v>
      </c>
      <c r="H3025" s="2" t="s">
        <v>10</v>
      </c>
      <c r="I3025" s="2" t="s">
        <v>4139</v>
      </c>
      <c r="J3025" s="2" t="s">
        <v>259</v>
      </c>
      <c r="K3025" s="13" t="s">
        <v>13177</v>
      </c>
      <c r="L3025" s="7" t="s">
        <v>13199</v>
      </c>
    </row>
    <row r="3026" spans="1:12" x14ac:dyDescent="0.3">
      <c r="A3026" s="51" t="s">
        <v>4139</v>
      </c>
      <c r="B3026" s="51" t="s">
        <v>11011</v>
      </c>
      <c r="C3026" s="52">
        <v>31595</v>
      </c>
      <c r="D3026" s="53" t="s">
        <v>11012</v>
      </c>
      <c r="E3026" s="53" t="s">
        <v>11013</v>
      </c>
      <c r="F3026" s="51" t="s">
        <v>8598</v>
      </c>
      <c r="G3026" s="51" t="s">
        <v>11014</v>
      </c>
      <c r="H3026" s="51" t="s">
        <v>10</v>
      </c>
      <c r="I3026" s="51" t="s">
        <v>4139</v>
      </c>
      <c r="J3026" s="51" t="s">
        <v>11015</v>
      </c>
      <c r="K3026" s="54" t="s">
        <v>13177</v>
      </c>
      <c r="L3026" s="55" t="s">
        <v>13199</v>
      </c>
    </row>
    <row r="3027" spans="1:12" hidden="1" x14ac:dyDescent="0.3">
      <c r="A3027" s="2" t="s">
        <v>4139</v>
      </c>
      <c r="B3027" s="2" t="s">
        <v>11016</v>
      </c>
      <c r="C3027" s="3">
        <v>32311</v>
      </c>
      <c r="D3027" s="1" t="s">
        <v>11017</v>
      </c>
      <c r="E3027" s="1" t="s">
        <v>11018</v>
      </c>
      <c r="F3027" s="2" t="s">
        <v>9601</v>
      </c>
      <c r="G3027" s="2" t="s">
        <v>696</v>
      </c>
      <c r="H3027" s="2" t="s">
        <v>81</v>
      </c>
      <c r="I3027" s="2" t="s">
        <v>4139</v>
      </c>
      <c r="J3027" s="2" t="s">
        <v>697</v>
      </c>
      <c r="K3027" s="14"/>
      <c r="L3027" s="7" t="s">
        <v>13199</v>
      </c>
    </row>
    <row r="3028" spans="1:12" ht="27.6" hidden="1" x14ac:dyDescent="0.3">
      <c r="A3028" s="2" t="s">
        <v>1957</v>
      </c>
      <c r="B3028" s="2" t="s">
        <v>11019</v>
      </c>
      <c r="C3028" s="3">
        <v>38068</v>
      </c>
      <c r="D3028" s="1" t="s">
        <v>11020</v>
      </c>
      <c r="E3028" s="1" t="s">
        <v>11021</v>
      </c>
      <c r="F3028" s="2" t="s">
        <v>2018</v>
      </c>
      <c r="G3028" s="2" t="s">
        <v>86</v>
      </c>
      <c r="H3028" s="2" t="s">
        <v>10</v>
      </c>
      <c r="I3028" s="2" t="s">
        <v>1957</v>
      </c>
      <c r="J3028" s="2" t="s">
        <v>87</v>
      </c>
      <c r="K3028" s="13" t="s">
        <v>13177</v>
      </c>
      <c r="L3028" s="7" t="s">
        <v>13199</v>
      </c>
    </row>
    <row r="3029" spans="1:12" ht="27.6" hidden="1" x14ac:dyDescent="0.3">
      <c r="A3029" s="2" t="s">
        <v>4386</v>
      </c>
      <c r="B3029" s="2" t="s">
        <v>11022</v>
      </c>
      <c r="C3029" s="3">
        <v>30872</v>
      </c>
      <c r="D3029" s="1" t="s">
        <v>11023</v>
      </c>
      <c r="E3029" s="1" t="s">
        <v>11024</v>
      </c>
      <c r="F3029" s="2" t="s">
        <v>7319</v>
      </c>
      <c r="G3029" s="2" t="s">
        <v>366</v>
      </c>
      <c r="H3029" s="2" t="s">
        <v>10</v>
      </c>
      <c r="I3029" s="2" t="s">
        <v>4386</v>
      </c>
      <c r="J3029" s="2" t="s">
        <v>437</v>
      </c>
      <c r="K3029" s="41" t="s">
        <v>13193</v>
      </c>
      <c r="L3029" s="7" t="s">
        <v>13199</v>
      </c>
    </row>
    <row r="3030" spans="1:12" ht="27.6" hidden="1" x14ac:dyDescent="0.3">
      <c r="A3030" s="2" t="s">
        <v>4386</v>
      </c>
      <c r="B3030" s="2" t="s">
        <v>11025</v>
      </c>
      <c r="C3030" s="3">
        <v>35899</v>
      </c>
      <c r="D3030" s="1" t="s">
        <v>10</v>
      </c>
      <c r="E3030" s="1" t="s">
        <v>11026</v>
      </c>
      <c r="F3030" s="2" t="s">
        <v>5049</v>
      </c>
      <c r="G3030" s="2" t="s">
        <v>425</v>
      </c>
      <c r="H3030" s="2" t="s">
        <v>10</v>
      </c>
      <c r="I3030" s="2" t="s">
        <v>4386</v>
      </c>
      <c r="J3030" s="2" t="s">
        <v>6168</v>
      </c>
      <c r="K3030" s="13" t="s">
        <v>13177</v>
      </c>
      <c r="L3030" s="7" t="s">
        <v>13199</v>
      </c>
    </row>
    <row r="3031" spans="1:12" ht="27.6" hidden="1" x14ac:dyDescent="0.3">
      <c r="A3031" s="2" t="s">
        <v>4386</v>
      </c>
      <c r="B3031" s="2" t="s">
        <v>11027</v>
      </c>
      <c r="C3031" s="3">
        <v>26275</v>
      </c>
      <c r="D3031" s="1" t="s">
        <v>11028</v>
      </c>
      <c r="E3031" s="1" t="s">
        <v>11029</v>
      </c>
      <c r="F3031" s="2" t="s">
        <v>6231</v>
      </c>
      <c r="G3031" s="2" t="s">
        <v>12</v>
      </c>
      <c r="H3031" s="2" t="s">
        <v>10</v>
      </c>
      <c r="I3031" s="2" t="s">
        <v>4386</v>
      </c>
      <c r="J3031" s="2" t="s">
        <v>540</v>
      </c>
      <c r="K3031" s="41" t="s">
        <v>13193</v>
      </c>
      <c r="L3031" s="7" t="s">
        <v>13199</v>
      </c>
    </row>
    <row r="3032" spans="1:12" ht="27.6" hidden="1" x14ac:dyDescent="0.3">
      <c r="A3032" s="2" t="s">
        <v>1962</v>
      </c>
      <c r="B3032" s="2" t="s">
        <v>11030</v>
      </c>
      <c r="C3032" s="3">
        <v>35163</v>
      </c>
      <c r="D3032" s="1" t="s">
        <v>11031</v>
      </c>
      <c r="E3032" s="1" t="s">
        <v>11032</v>
      </c>
      <c r="F3032" s="2" t="s">
        <v>10934</v>
      </c>
      <c r="G3032" s="2" t="s">
        <v>366</v>
      </c>
      <c r="H3032" s="2" t="s">
        <v>81</v>
      </c>
      <c r="I3032" s="2" t="s">
        <v>1962</v>
      </c>
      <c r="J3032" s="2" t="s">
        <v>437</v>
      </c>
      <c r="K3032" s="13" t="s">
        <v>13177</v>
      </c>
      <c r="L3032" s="7" t="s">
        <v>13199</v>
      </c>
    </row>
    <row r="3033" spans="1:12" ht="55.2" hidden="1" x14ac:dyDescent="0.3">
      <c r="A3033" s="2" t="s">
        <v>4604</v>
      </c>
      <c r="B3033" s="2" t="s">
        <v>5474</v>
      </c>
      <c r="C3033" s="3">
        <v>29573</v>
      </c>
      <c r="D3033" s="1" t="s">
        <v>442</v>
      </c>
      <c r="E3033" s="1" t="s">
        <v>5476</v>
      </c>
      <c r="F3033" s="2" t="s">
        <v>4698</v>
      </c>
      <c r="G3033" s="2" t="s">
        <v>552</v>
      </c>
      <c r="H3033" s="2" t="s">
        <v>11033</v>
      </c>
      <c r="I3033" s="2" t="s">
        <v>4604</v>
      </c>
      <c r="J3033" s="2" t="s">
        <v>4981</v>
      </c>
      <c r="K3033" s="13" t="s">
        <v>13177</v>
      </c>
      <c r="L3033" s="7" t="s">
        <v>13199</v>
      </c>
    </row>
    <row r="3034" spans="1:12" ht="55.2" hidden="1" x14ac:dyDescent="0.3">
      <c r="A3034" s="2" t="s">
        <v>4604</v>
      </c>
      <c r="B3034" s="2" t="s">
        <v>11034</v>
      </c>
      <c r="C3034" s="3">
        <v>27096</v>
      </c>
      <c r="D3034" s="1" t="s">
        <v>11035</v>
      </c>
      <c r="E3034" s="1" t="s">
        <v>11036</v>
      </c>
      <c r="F3034" s="2" t="s">
        <v>4698</v>
      </c>
      <c r="G3034" s="2" t="s">
        <v>627</v>
      </c>
      <c r="H3034" s="2" t="s">
        <v>11037</v>
      </c>
      <c r="I3034" s="2" t="s">
        <v>4604</v>
      </c>
      <c r="J3034" s="2" t="s">
        <v>8332</v>
      </c>
      <c r="K3034" s="13" t="s">
        <v>13177</v>
      </c>
      <c r="L3034" s="7" t="s">
        <v>13199</v>
      </c>
    </row>
    <row r="3035" spans="1:12" ht="55.2" hidden="1" x14ac:dyDescent="0.3">
      <c r="A3035" s="2" t="s">
        <v>4604</v>
      </c>
      <c r="B3035" s="2" t="s">
        <v>11038</v>
      </c>
      <c r="C3035" s="3">
        <v>28809</v>
      </c>
      <c r="D3035" s="1" t="s">
        <v>11039</v>
      </c>
      <c r="E3035" s="1" t="s">
        <v>11040</v>
      </c>
      <c r="F3035" s="2" t="s">
        <v>8296</v>
      </c>
      <c r="G3035" s="2" t="s">
        <v>852</v>
      </c>
      <c r="H3035" s="2" t="s">
        <v>11041</v>
      </c>
      <c r="I3035" s="2" t="s">
        <v>4604</v>
      </c>
      <c r="J3035" s="2" t="s">
        <v>7817</v>
      </c>
      <c r="K3035" s="13" t="s">
        <v>13177</v>
      </c>
      <c r="L3035" s="7" t="s">
        <v>13199</v>
      </c>
    </row>
    <row r="3036" spans="1:12" ht="55.2" hidden="1" x14ac:dyDescent="0.3">
      <c r="A3036" s="2" t="s">
        <v>4604</v>
      </c>
      <c r="B3036" s="2" t="s">
        <v>11042</v>
      </c>
      <c r="C3036" s="3">
        <v>33297</v>
      </c>
      <c r="D3036" s="1" t="s">
        <v>11043</v>
      </c>
      <c r="E3036" s="1" t="s">
        <v>11044</v>
      </c>
      <c r="F3036" s="2" t="s">
        <v>4698</v>
      </c>
      <c r="G3036" s="2" t="s">
        <v>627</v>
      </c>
      <c r="H3036" s="2" t="s">
        <v>11045</v>
      </c>
      <c r="I3036" s="2" t="s">
        <v>4604</v>
      </c>
      <c r="J3036" s="2" t="s">
        <v>8332</v>
      </c>
      <c r="K3036" s="13" t="s">
        <v>13177</v>
      </c>
      <c r="L3036" s="7" t="s">
        <v>13199</v>
      </c>
    </row>
    <row r="3037" spans="1:12" ht="27.6" hidden="1" x14ac:dyDescent="0.3">
      <c r="A3037" s="2" t="s">
        <v>4386</v>
      </c>
      <c r="B3037" s="2" t="s">
        <v>11046</v>
      </c>
      <c r="C3037" s="3">
        <v>32363</v>
      </c>
      <c r="D3037" s="1" t="s">
        <v>11047</v>
      </c>
      <c r="E3037" s="1" t="s">
        <v>6532</v>
      </c>
      <c r="F3037" s="2" t="s">
        <v>6120</v>
      </c>
      <c r="G3037" s="2" t="s">
        <v>12</v>
      </c>
      <c r="H3037" s="2" t="s">
        <v>10</v>
      </c>
      <c r="I3037" s="2" t="s">
        <v>4386</v>
      </c>
      <c r="J3037" s="2" t="s">
        <v>1103</v>
      </c>
      <c r="K3037" s="13" t="s">
        <v>13177</v>
      </c>
      <c r="L3037" s="7" t="s">
        <v>13199</v>
      </c>
    </row>
    <row r="3038" spans="1:12" ht="27.6" hidden="1" x14ac:dyDescent="0.3">
      <c r="A3038" s="2" t="s">
        <v>4386</v>
      </c>
      <c r="B3038" s="2" t="s">
        <v>11048</v>
      </c>
      <c r="C3038" s="3">
        <v>24725</v>
      </c>
      <c r="D3038" s="1" t="s">
        <v>11049</v>
      </c>
      <c r="E3038" s="1" t="s">
        <v>11050</v>
      </c>
      <c r="F3038" s="2" t="s">
        <v>6529</v>
      </c>
      <c r="G3038" s="2" t="s">
        <v>258</v>
      </c>
      <c r="H3038" s="2" t="s">
        <v>10</v>
      </c>
      <c r="I3038" s="2" t="s">
        <v>4386</v>
      </c>
      <c r="J3038" s="2" t="s">
        <v>259</v>
      </c>
      <c r="K3038" s="13" t="s">
        <v>13177</v>
      </c>
      <c r="L3038" s="7" t="s">
        <v>13199</v>
      </c>
    </row>
    <row r="3039" spans="1:12" ht="27.6" hidden="1" x14ac:dyDescent="0.3">
      <c r="A3039" s="2" t="s">
        <v>4386</v>
      </c>
      <c r="B3039" s="2" t="s">
        <v>11051</v>
      </c>
      <c r="C3039" s="3">
        <v>33092</v>
      </c>
      <c r="D3039" s="1" t="s">
        <v>6534</v>
      </c>
      <c r="E3039" s="1" t="s">
        <v>11052</v>
      </c>
      <c r="F3039" s="2" t="s">
        <v>4396</v>
      </c>
      <c r="G3039" s="2" t="s">
        <v>11053</v>
      </c>
      <c r="H3039" s="2" t="s">
        <v>10</v>
      </c>
      <c r="I3039" s="2" t="s">
        <v>4386</v>
      </c>
      <c r="J3039" s="2" t="s">
        <v>11054</v>
      </c>
      <c r="K3039" s="13" t="s">
        <v>13177</v>
      </c>
      <c r="L3039" s="7" t="s">
        <v>13199</v>
      </c>
    </row>
    <row r="3040" spans="1:12" ht="27.6" hidden="1" x14ac:dyDescent="0.3">
      <c r="A3040" s="2" t="s">
        <v>4386</v>
      </c>
      <c r="B3040" s="2" t="s">
        <v>11055</v>
      </c>
      <c r="C3040" s="3">
        <v>32500</v>
      </c>
      <c r="D3040" s="1" t="s">
        <v>11056</v>
      </c>
      <c r="E3040" s="1" t="s">
        <v>11057</v>
      </c>
      <c r="F3040" s="2" t="s">
        <v>6529</v>
      </c>
      <c r="G3040" s="2" t="s">
        <v>288</v>
      </c>
      <c r="H3040" s="2" t="s">
        <v>81</v>
      </c>
      <c r="I3040" s="2" t="s">
        <v>4386</v>
      </c>
      <c r="J3040" s="2" t="s">
        <v>6541</v>
      </c>
      <c r="K3040" s="13" t="s">
        <v>13177</v>
      </c>
      <c r="L3040" s="7" t="s">
        <v>13199</v>
      </c>
    </row>
    <row r="3041" spans="1:12" ht="27.6" hidden="1" x14ac:dyDescent="0.3">
      <c r="A3041" s="2" t="s">
        <v>4139</v>
      </c>
      <c r="B3041" s="2" t="s">
        <v>11058</v>
      </c>
      <c r="C3041" s="3">
        <v>38255</v>
      </c>
      <c r="D3041" s="1" t="s">
        <v>11059</v>
      </c>
      <c r="E3041" s="1" t="s">
        <v>11060</v>
      </c>
      <c r="F3041" s="2" t="s">
        <v>10142</v>
      </c>
      <c r="G3041" s="2" t="s">
        <v>10273</v>
      </c>
      <c r="H3041" s="2" t="s">
        <v>10</v>
      </c>
      <c r="I3041" s="2" t="s">
        <v>4139</v>
      </c>
      <c r="J3041" s="2" t="s">
        <v>10274</v>
      </c>
      <c r="K3041" s="13" t="s">
        <v>13177</v>
      </c>
      <c r="L3041" s="7" t="s">
        <v>13199</v>
      </c>
    </row>
    <row r="3042" spans="1:12" ht="55.2" hidden="1" x14ac:dyDescent="0.3">
      <c r="A3042" s="2" t="s">
        <v>4604</v>
      </c>
      <c r="B3042" s="2" t="s">
        <v>11061</v>
      </c>
      <c r="C3042" s="3">
        <v>36367</v>
      </c>
      <c r="D3042" s="1" t="s">
        <v>7894</v>
      </c>
      <c r="E3042" s="1" t="s">
        <v>7895</v>
      </c>
      <c r="F3042" s="2" t="s">
        <v>7576</v>
      </c>
      <c r="G3042" s="2" t="s">
        <v>1015</v>
      </c>
      <c r="H3042" s="2" t="s">
        <v>11062</v>
      </c>
      <c r="I3042" s="2" t="s">
        <v>4604</v>
      </c>
      <c r="J3042" s="2" t="s">
        <v>5429</v>
      </c>
      <c r="K3042" s="13" t="s">
        <v>13177</v>
      </c>
      <c r="L3042" s="7" t="s">
        <v>13199</v>
      </c>
    </row>
    <row r="3043" spans="1:12" ht="55.2" hidden="1" x14ac:dyDescent="0.3">
      <c r="A3043" s="2" t="s">
        <v>4604</v>
      </c>
      <c r="B3043" s="2" t="s">
        <v>11063</v>
      </c>
      <c r="C3043" s="3">
        <v>32717</v>
      </c>
      <c r="D3043" s="1" t="s">
        <v>11064</v>
      </c>
      <c r="E3043" s="1" t="s">
        <v>11065</v>
      </c>
      <c r="F3043" s="2" t="s">
        <v>4698</v>
      </c>
      <c r="G3043" s="2" t="s">
        <v>2283</v>
      </c>
      <c r="H3043" s="2" t="s">
        <v>11066</v>
      </c>
      <c r="I3043" s="2" t="s">
        <v>4604</v>
      </c>
      <c r="J3043" s="2" t="s">
        <v>11067</v>
      </c>
      <c r="K3043" s="13" t="s">
        <v>13177</v>
      </c>
      <c r="L3043" s="7" t="s">
        <v>13199</v>
      </c>
    </row>
    <row r="3044" spans="1:12" ht="55.2" hidden="1" x14ac:dyDescent="0.3">
      <c r="A3044" s="2" t="s">
        <v>4604</v>
      </c>
      <c r="B3044" s="2" t="s">
        <v>11068</v>
      </c>
      <c r="C3044" s="3">
        <v>29861</v>
      </c>
      <c r="D3044" s="1" t="s">
        <v>11069</v>
      </c>
      <c r="E3044" s="1" t="s">
        <v>11070</v>
      </c>
      <c r="F3044" s="2" t="s">
        <v>4698</v>
      </c>
      <c r="G3044" s="2" t="s">
        <v>2910</v>
      </c>
      <c r="H3044" s="2" t="s">
        <v>11071</v>
      </c>
      <c r="I3044" s="2" t="s">
        <v>4604</v>
      </c>
      <c r="J3044" s="2" t="s">
        <v>11072</v>
      </c>
      <c r="K3044" s="13" t="s">
        <v>13177</v>
      </c>
      <c r="L3044" s="7" t="s">
        <v>13199</v>
      </c>
    </row>
    <row r="3045" spans="1:12" ht="55.2" hidden="1" x14ac:dyDescent="0.3">
      <c r="A3045" s="2" t="s">
        <v>4604</v>
      </c>
      <c r="B3045" s="2" t="s">
        <v>7445</v>
      </c>
      <c r="C3045" s="3">
        <v>26737</v>
      </c>
      <c r="D3045" s="1" t="s">
        <v>5015</v>
      </c>
      <c r="E3045" s="1" t="s">
        <v>5016</v>
      </c>
      <c r="F3045" s="2" t="s">
        <v>4698</v>
      </c>
      <c r="G3045" s="2" t="s">
        <v>1763</v>
      </c>
      <c r="H3045" s="2" t="s">
        <v>11073</v>
      </c>
      <c r="I3045" s="2" t="s">
        <v>4604</v>
      </c>
      <c r="J3045" s="2" t="s">
        <v>6077</v>
      </c>
      <c r="K3045" s="13" t="s">
        <v>13177</v>
      </c>
      <c r="L3045" s="7" t="s">
        <v>13199</v>
      </c>
    </row>
    <row r="3046" spans="1:12" ht="55.2" hidden="1" x14ac:dyDescent="0.3">
      <c r="A3046" s="2" t="s">
        <v>4604</v>
      </c>
      <c r="B3046" s="2" t="s">
        <v>11074</v>
      </c>
      <c r="C3046" s="3">
        <v>32125</v>
      </c>
      <c r="D3046" s="1" t="s">
        <v>11075</v>
      </c>
      <c r="E3046" s="1" t="s">
        <v>11076</v>
      </c>
      <c r="F3046" s="2" t="s">
        <v>4698</v>
      </c>
      <c r="G3046" s="2" t="s">
        <v>1266</v>
      </c>
      <c r="H3046" s="2" t="s">
        <v>11077</v>
      </c>
      <c r="I3046" s="2" t="s">
        <v>4604</v>
      </c>
      <c r="J3046" s="2" t="s">
        <v>5300</v>
      </c>
      <c r="K3046" s="13" t="s">
        <v>13177</v>
      </c>
      <c r="L3046" s="7" t="s">
        <v>13199</v>
      </c>
    </row>
    <row r="3047" spans="1:12" ht="55.2" hidden="1" x14ac:dyDescent="0.3">
      <c r="A3047" s="2" t="s">
        <v>4604</v>
      </c>
      <c r="B3047" s="2" t="s">
        <v>11078</v>
      </c>
      <c r="C3047" s="3">
        <v>31856</v>
      </c>
      <c r="D3047" s="1" t="s">
        <v>11079</v>
      </c>
      <c r="E3047" s="1" t="s">
        <v>11080</v>
      </c>
      <c r="F3047" s="2" t="s">
        <v>4608</v>
      </c>
      <c r="G3047" s="2" t="s">
        <v>511</v>
      </c>
      <c r="H3047" s="2" t="s">
        <v>11081</v>
      </c>
      <c r="I3047" s="2" t="s">
        <v>4604</v>
      </c>
      <c r="J3047" s="2" t="s">
        <v>5782</v>
      </c>
      <c r="K3047" s="13" t="s">
        <v>13177</v>
      </c>
      <c r="L3047" s="7" t="s">
        <v>13199</v>
      </c>
    </row>
    <row r="3048" spans="1:12" ht="55.2" hidden="1" x14ac:dyDescent="0.3">
      <c r="A3048" s="2" t="s">
        <v>4604</v>
      </c>
      <c r="B3048" s="2" t="s">
        <v>11082</v>
      </c>
      <c r="C3048" s="3">
        <v>19542</v>
      </c>
      <c r="D3048" s="1" t="s">
        <v>11083</v>
      </c>
      <c r="E3048" s="1" t="s">
        <v>11084</v>
      </c>
      <c r="F3048" s="2" t="s">
        <v>7576</v>
      </c>
      <c r="G3048" s="2" t="s">
        <v>933</v>
      </c>
      <c r="H3048" s="2" t="s">
        <v>11085</v>
      </c>
      <c r="I3048" s="2" t="s">
        <v>4604</v>
      </c>
      <c r="J3048" s="2" t="s">
        <v>5417</v>
      </c>
      <c r="K3048" s="13" t="s">
        <v>13177</v>
      </c>
      <c r="L3048" s="7" t="s">
        <v>13199</v>
      </c>
    </row>
    <row r="3049" spans="1:12" ht="55.2" hidden="1" x14ac:dyDescent="0.3">
      <c r="A3049" s="2" t="s">
        <v>4604</v>
      </c>
      <c r="B3049" s="2" t="s">
        <v>11086</v>
      </c>
      <c r="C3049" s="3">
        <v>25815</v>
      </c>
      <c r="D3049" s="1" t="s">
        <v>11087</v>
      </c>
      <c r="E3049" s="1" t="s">
        <v>11088</v>
      </c>
      <c r="F3049" s="2" t="s">
        <v>7576</v>
      </c>
      <c r="G3049" s="2" t="s">
        <v>4916</v>
      </c>
      <c r="H3049" s="2" t="s">
        <v>11089</v>
      </c>
      <c r="I3049" s="2" t="s">
        <v>4604</v>
      </c>
      <c r="J3049" s="2" t="s">
        <v>4918</v>
      </c>
      <c r="K3049" s="13" t="s">
        <v>13177</v>
      </c>
      <c r="L3049" s="7" t="s">
        <v>13199</v>
      </c>
    </row>
    <row r="3050" spans="1:12" ht="55.2" hidden="1" x14ac:dyDescent="0.3">
      <c r="A3050" s="2" t="s">
        <v>4604</v>
      </c>
      <c r="B3050" s="2" t="s">
        <v>11090</v>
      </c>
      <c r="C3050" s="3">
        <v>35960</v>
      </c>
      <c r="D3050" s="1" t="s">
        <v>11091</v>
      </c>
      <c r="E3050" s="1" t="s">
        <v>11092</v>
      </c>
      <c r="F3050" s="2" t="s">
        <v>7576</v>
      </c>
      <c r="G3050" s="2" t="s">
        <v>3931</v>
      </c>
      <c r="H3050" s="2" t="s">
        <v>11093</v>
      </c>
      <c r="I3050" s="2" t="s">
        <v>4604</v>
      </c>
      <c r="J3050" s="2" t="s">
        <v>5004</v>
      </c>
      <c r="K3050" s="13" t="s">
        <v>13177</v>
      </c>
      <c r="L3050" s="7" t="s">
        <v>13199</v>
      </c>
    </row>
    <row r="3051" spans="1:12" ht="55.2" hidden="1" x14ac:dyDescent="0.3">
      <c r="A3051" s="2" t="s">
        <v>4604</v>
      </c>
      <c r="B3051" s="2" t="s">
        <v>11094</v>
      </c>
      <c r="C3051" s="3">
        <v>23489</v>
      </c>
      <c r="D3051" s="1" t="s">
        <v>11095</v>
      </c>
      <c r="E3051" s="1" t="s">
        <v>11096</v>
      </c>
      <c r="F3051" s="2" t="s">
        <v>7576</v>
      </c>
      <c r="G3051" s="2" t="s">
        <v>25</v>
      </c>
      <c r="H3051" s="2" t="s">
        <v>11097</v>
      </c>
      <c r="I3051" s="2" t="s">
        <v>4604</v>
      </c>
      <c r="J3051" s="2" t="s">
        <v>27</v>
      </c>
      <c r="K3051" s="13" t="s">
        <v>13177</v>
      </c>
      <c r="L3051" s="7" t="s">
        <v>13199</v>
      </c>
    </row>
    <row r="3052" spans="1:12" ht="55.2" hidden="1" x14ac:dyDescent="0.3">
      <c r="A3052" s="2" t="s">
        <v>4604</v>
      </c>
      <c r="B3052" s="2" t="s">
        <v>11098</v>
      </c>
      <c r="C3052" s="3">
        <v>26860</v>
      </c>
      <c r="D3052" s="1" t="s">
        <v>11099</v>
      </c>
      <c r="E3052" s="1" t="s">
        <v>11100</v>
      </c>
      <c r="F3052" s="2" t="s">
        <v>7576</v>
      </c>
      <c r="G3052" s="2" t="s">
        <v>3935</v>
      </c>
      <c r="H3052" s="2" t="s">
        <v>11101</v>
      </c>
      <c r="I3052" s="2" t="s">
        <v>4604</v>
      </c>
      <c r="J3052" s="2" t="s">
        <v>10951</v>
      </c>
      <c r="K3052" s="13" t="s">
        <v>13177</v>
      </c>
      <c r="L3052" s="7" t="s">
        <v>13199</v>
      </c>
    </row>
    <row r="3053" spans="1:12" ht="55.2" hidden="1" x14ac:dyDescent="0.3">
      <c r="A3053" s="2" t="s">
        <v>4604</v>
      </c>
      <c r="B3053" s="2" t="s">
        <v>11102</v>
      </c>
      <c r="C3053" s="3">
        <v>25243</v>
      </c>
      <c r="D3053" s="1" t="s">
        <v>11103</v>
      </c>
      <c r="E3053" s="1" t="s">
        <v>11104</v>
      </c>
      <c r="F3053" s="2" t="s">
        <v>7576</v>
      </c>
      <c r="G3053" s="2" t="s">
        <v>69</v>
      </c>
      <c r="H3053" s="2" t="s">
        <v>11105</v>
      </c>
      <c r="I3053" s="2" t="s">
        <v>4604</v>
      </c>
      <c r="J3053" s="2" t="s">
        <v>5653</v>
      </c>
      <c r="K3053" s="13" t="s">
        <v>13177</v>
      </c>
      <c r="L3053" s="7" t="s">
        <v>13199</v>
      </c>
    </row>
    <row r="3054" spans="1:12" ht="55.2" hidden="1" x14ac:dyDescent="0.3">
      <c r="A3054" s="2" t="s">
        <v>4604</v>
      </c>
      <c r="B3054" s="2" t="s">
        <v>11106</v>
      </c>
      <c r="C3054" s="3">
        <v>29469</v>
      </c>
      <c r="D3054" s="1" t="s">
        <v>11107</v>
      </c>
      <c r="E3054" s="1" t="s">
        <v>11108</v>
      </c>
      <c r="F3054" s="2" t="s">
        <v>6430</v>
      </c>
      <c r="G3054" s="2" t="s">
        <v>511</v>
      </c>
      <c r="H3054" s="2" t="s">
        <v>11109</v>
      </c>
      <c r="I3054" s="2" t="s">
        <v>4604</v>
      </c>
      <c r="J3054" s="2" t="s">
        <v>5782</v>
      </c>
      <c r="K3054" s="13" t="s">
        <v>13177</v>
      </c>
      <c r="L3054" s="7" t="s">
        <v>13199</v>
      </c>
    </row>
    <row r="3055" spans="1:12" ht="55.2" hidden="1" x14ac:dyDescent="0.3">
      <c r="A3055" s="2" t="s">
        <v>4604</v>
      </c>
      <c r="B3055" s="2" t="s">
        <v>11110</v>
      </c>
      <c r="C3055" s="3">
        <v>20107</v>
      </c>
      <c r="D3055" s="1" t="s">
        <v>11111</v>
      </c>
      <c r="E3055" s="1" t="s">
        <v>11112</v>
      </c>
      <c r="F3055" s="2" t="s">
        <v>7576</v>
      </c>
      <c r="G3055" s="2" t="s">
        <v>627</v>
      </c>
      <c r="H3055" s="2" t="s">
        <v>11113</v>
      </c>
      <c r="I3055" s="2" t="s">
        <v>4604</v>
      </c>
      <c r="J3055" s="2" t="s">
        <v>8332</v>
      </c>
      <c r="K3055" s="13" t="s">
        <v>13177</v>
      </c>
      <c r="L3055" s="7" t="s">
        <v>13199</v>
      </c>
    </row>
    <row r="3056" spans="1:12" ht="55.2" hidden="1" x14ac:dyDescent="0.3">
      <c r="A3056" s="2" t="s">
        <v>4604</v>
      </c>
      <c r="B3056" s="2" t="s">
        <v>11114</v>
      </c>
      <c r="C3056" s="3">
        <v>28566</v>
      </c>
      <c r="D3056" s="1" t="s">
        <v>11115</v>
      </c>
      <c r="E3056" s="1" t="s">
        <v>11116</v>
      </c>
      <c r="F3056" s="2" t="s">
        <v>7998</v>
      </c>
      <c r="G3056" s="2" t="s">
        <v>31</v>
      </c>
      <c r="H3056" s="2" t="s">
        <v>11117</v>
      </c>
      <c r="I3056" s="2" t="s">
        <v>4604</v>
      </c>
      <c r="J3056" s="2" t="s">
        <v>558</v>
      </c>
      <c r="K3056" s="13" t="s">
        <v>13177</v>
      </c>
      <c r="L3056" s="7" t="s">
        <v>13199</v>
      </c>
    </row>
    <row r="3057" spans="1:12" ht="55.2" hidden="1" x14ac:dyDescent="0.3">
      <c r="A3057" s="2" t="s">
        <v>4604</v>
      </c>
      <c r="B3057" s="2" t="s">
        <v>11118</v>
      </c>
      <c r="C3057" s="3">
        <v>37543</v>
      </c>
      <c r="D3057" s="1" t="s">
        <v>11119</v>
      </c>
      <c r="E3057" s="1" t="s">
        <v>11120</v>
      </c>
      <c r="F3057" s="2" t="s">
        <v>7576</v>
      </c>
      <c r="G3057" s="2" t="s">
        <v>1135</v>
      </c>
      <c r="H3057" s="2" t="s">
        <v>11121</v>
      </c>
      <c r="I3057" s="2" t="s">
        <v>4604</v>
      </c>
      <c r="J3057" s="2" t="s">
        <v>11122</v>
      </c>
      <c r="K3057" s="13" t="s">
        <v>13177</v>
      </c>
      <c r="L3057" s="7" t="s">
        <v>13199</v>
      </c>
    </row>
    <row r="3058" spans="1:12" ht="55.2" hidden="1" x14ac:dyDescent="0.3">
      <c r="A3058" s="2" t="s">
        <v>4604</v>
      </c>
      <c r="B3058" s="2" t="s">
        <v>11123</v>
      </c>
      <c r="C3058" s="3">
        <v>32368</v>
      </c>
      <c r="D3058" s="1" t="s">
        <v>11124</v>
      </c>
      <c r="E3058" s="1" t="s">
        <v>11125</v>
      </c>
      <c r="F3058" s="2" t="s">
        <v>4698</v>
      </c>
      <c r="G3058" s="2" t="s">
        <v>112</v>
      </c>
      <c r="H3058" s="2" t="s">
        <v>5498</v>
      </c>
      <c r="I3058" s="2" t="s">
        <v>4604</v>
      </c>
      <c r="J3058" s="2" t="s">
        <v>113</v>
      </c>
      <c r="K3058" s="13" t="s">
        <v>13177</v>
      </c>
      <c r="L3058" s="7" t="s">
        <v>13199</v>
      </c>
    </row>
    <row r="3059" spans="1:12" ht="55.2" hidden="1" x14ac:dyDescent="0.3">
      <c r="A3059" s="2" t="s">
        <v>4604</v>
      </c>
      <c r="B3059" s="2" t="s">
        <v>11126</v>
      </c>
      <c r="C3059" s="3">
        <v>29828</v>
      </c>
      <c r="D3059" s="1" t="s">
        <v>11127</v>
      </c>
      <c r="E3059" s="1" t="s">
        <v>11128</v>
      </c>
      <c r="F3059" s="2" t="s">
        <v>5698</v>
      </c>
      <c r="G3059" s="2" t="s">
        <v>245</v>
      </c>
      <c r="H3059" s="2" t="s">
        <v>11129</v>
      </c>
      <c r="I3059" s="2" t="s">
        <v>4604</v>
      </c>
      <c r="J3059" s="2" t="s">
        <v>5494</v>
      </c>
      <c r="K3059" s="13" t="s">
        <v>13177</v>
      </c>
      <c r="L3059" s="7" t="s">
        <v>13199</v>
      </c>
    </row>
    <row r="3060" spans="1:12" ht="55.2" hidden="1" x14ac:dyDescent="0.3">
      <c r="A3060" s="2" t="s">
        <v>4604</v>
      </c>
      <c r="B3060" s="2" t="s">
        <v>6198</v>
      </c>
      <c r="C3060" s="3">
        <v>27905</v>
      </c>
      <c r="D3060" s="1" t="s">
        <v>11130</v>
      </c>
      <c r="E3060" s="1" t="s">
        <v>11131</v>
      </c>
      <c r="F3060" s="2" t="s">
        <v>5698</v>
      </c>
      <c r="G3060" s="2" t="s">
        <v>2267</v>
      </c>
      <c r="H3060" s="2" t="s">
        <v>11132</v>
      </c>
      <c r="I3060" s="2" t="s">
        <v>4604</v>
      </c>
      <c r="J3060" s="2" t="s">
        <v>735</v>
      </c>
      <c r="K3060" s="13" t="s">
        <v>13177</v>
      </c>
      <c r="L3060" s="7" t="s">
        <v>13199</v>
      </c>
    </row>
    <row r="3061" spans="1:12" ht="55.2" hidden="1" x14ac:dyDescent="0.3">
      <c r="A3061" s="2" t="s">
        <v>4604</v>
      </c>
      <c r="B3061" s="2" t="s">
        <v>11133</v>
      </c>
      <c r="C3061" s="3">
        <v>31192</v>
      </c>
      <c r="D3061" s="1" t="s">
        <v>11134</v>
      </c>
      <c r="E3061" s="1" t="s">
        <v>11135</v>
      </c>
      <c r="F3061" s="2" t="s">
        <v>4698</v>
      </c>
      <c r="G3061" s="2" t="s">
        <v>1294</v>
      </c>
      <c r="H3061" s="2" t="s">
        <v>4852</v>
      </c>
      <c r="I3061" s="2" t="s">
        <v>4604</v>
      </c>
      <c r="J3061" s="2" t="s">
        <v>5758</v>
      </c>
      <c r="K3061" s="13" t="s">
        <v>13177</v>
      </c>
      <c r="L3061" s="7" t="s">
        <v>13199</v>
      </c>
    </row>
    <row r="3062" spans="1:12" ht="55.2" hidden="1" x14ac:dyDescent="0.3">
      <c r="A3062" s="2" t="s">
        <v>4604</v>
      </c>
      <c r="B3062" s="2" t="s">
        <v>11136</v>
      </c>
      <c r="C3062" s="3">
        <v>26741</v>
      </c>
      <c r="D3062" s="1" t="s">
        <v>11137</v>
      </c>
      <c r="E3062" s="1" t="s">
        <v>11138</v>
      </c>
      <c r="F3062" s="2" t="s">
        <v>4698</v>
      </c>
      <c r="G3062" s="2" t="s">
        <v>2079</v>
      </c>
      <c r="H3062" s="2" t="s">
        <v>11139</v>
      </c>
      <c r="I3062" s="2" t="s">
        <v>4604</v>
      </c>
      <c r="J3062" s="2" t="s">
        <v>2366</v>
      </c>
      <c r="K3062" s="13" t="s">
        <v>13177</v>
      </c>
      <c r="L3062" s="7" t="s">
        <v>13199</v>
      </c>
    </row>
    <row r="3063" spans="1:12" ht="55.2" hidden="1" x14ac:dyDescent="0.3">
      <c r="A3063" s="2" t="s">
        <v>4604</v>
      </c>
      <c r="B3063" s="2" t="s">
        <v>11140</v>
      </c>
      <c r="C3063" s="3">
        <v>23733</v>
      </c>
      <c r="D3063" s="1" t="s">
        <v>11141</v>
      </c>
      <c r="E3063" s="1" t="s">
        <v>11142</v>
      </c>
      <c r="F3063" s="2" t="s">
        <v>6430</v>
      </c>
      <c r="G3063" s="2" t="s">
        <v>1763</v>
      </c>
      <c r="H3063" s="2" t="s">
        <v>11143</v>
      </c>
      <c r="I3063" s="2" t="s">
        <v>4604</v>
      </c>
      <c r="J3063" s="2" t="s">
        <v>4972</v>
      </c>
      <c r="K3063" s="13" t="s">
        <v>13177</v>
      </c>
      <c r="L3063" s="7" t="s">
        <v>13199</v>
      </c>
    </row>
    <row r="3064" spans="1:12" ht="55.2" hidden="1" x14ac:dyDescent="0.3">
      <c r="A3064" s="2" t="s">
        <v>4604</v>
      </c>
      <c r="B3064" s="2" t="s">
        <v>11144</v>
      </c>
      <c r="C3064" s="3">
        <v>29104</v>
      </c>
      <c r="D3064" s="1" t="s">
        <v>11145</v>
      </c>
      <c r="E3064" s="1" t="s">
        <v>11146</v>
      </c>
      <c r="F3064" s="2" t="s">
        <v>7998</v>
      </c>
      <c r="G3064" s="2" t="s">
        <v>2594</v>
      </c>
      <c r="H3064" s="2" t="s">
        <v>11147</v>
      </c>
      <c r="I3064" s="2" t="s">
        <v>4604</v>
      </c>
      <c r="J3064" s="2" t="s">
        <v>11148</v>
      </c>
      <c r="K3064" s="13" t="s">
        <v>13177</v>
      </c>
      <c r="L3064" s="7" t="s">
        <v>13199</v>
      </c>
    </row>
    <row r="3065" spans="1:12" ht="55.2" hidden="1" x14ac:dyDescent="0.3">
      <c r="A3065" s="2" t="s">
        <v>4604</v>
      </c>
      <c r="B3065" s="2" t="s">
        <v>11149</v>
      </c>
      <c r="C3065" s="3">
        <v>19530</v>
      </c>
      <c r="D3065" s="1" t="s">
        <v>11150</v>
      </c>
      <c r="E3065" s="1" t="s">
        <v>11151</v>
      </c>
      <c r="F3065" s="2" t="s">
        <v>7998</v>
      </c>
      <c r="G3065" s="2" t="s">
        <v>278</v>
      </c>
      <c r="H3065" s="2" t="s">
        <v>11152</v>
      </c>
      <c r="I3065" s="2" t="s">
        <v>4604</v>
      </c>
      <c r="J3065" s="2" t="s">
        <v>4967</v>
      </c>
      <c r="K3065" s="13" t="s">
        <v>13177</v>
      </c>
      <c r="L3065" s="7" t="s">
        <v>13199</v>
      </c>
    </row>
    <row r="3066" spans="1:12" ht="55.2" hidden="1" x14ac:dyDescent="0.3">
      <c r="A3066" s="2" t="s">
        <v>4604</v>
      </c>
      <c r="B3066" s="2" t="s">
        <v>11153</v>
      </c>
      <c r="C3066" s="3">
        <v>26518</v>
      </c>
      <c r="D3066" s="1" t="s">
        <v>11154</v>
      </c>
      <c r="E3066" s="1" t="s">
        <v>11155</v>
      </c>
      <c r="F3066" s="2" t="s">
        <v>5969</v>
      </c>
      <c r="G3066" s="2" t="s">
        <v>196</v>
      </c>
      <c r="H3066" s="2" t="s">
        <v>11156</v>
      </c>
      <c r="I3066" s="2" t="s">
        <v>4604</v>
      </c>
      <c r="J3066" s="2" t="s">
        <v>367</v>
      </c>
      <c r="K3066" s="13" t="s">
        <v>13177</v>
      </c>
      <c r="L3066" s="7" t="s">
        <v>13199</v>
      </c>
    </row>
    <row r="3067" spans="1:12" ht="55.2" hidden="1" x14ac:dyDescent="0.3">
      <c r="A3067" s="2" t="s">
        <v>4604</v>
      </c>
      <c r="B3067" s="2" t="s">
        <v>11157</v>
      </c>
      <c r="C3067" s="3">
        <v>27670</v>
      </c>
      <c r="D3067" s="1" t="s">
        <v>11158</v>
      </c>
      <c r="E3067" s="1" t="s">
        <v>11159</v>
      </c>
      <c r="F3067" s="2" t="s">
        <v>4608</v>
      </c>
      <c r="G3067" s="2" t="s">
        <v>397</v>
      </c>
      <c r="H3067" s="2" t="s">
        <v>11160</v>
      </c>
      <c r="I3067" s="2" t="s">
        <v>4604</v>
      </c>
      <c r="J3067" s="2" t="s">
        <v>553</v>
      </c>
      <c r="K3067" s="13" t="s">
        <v>13177</v>
      </c>
      <c r="L3067" s="7" t="s">
        <v>13199</v>
      </c>
    </row>
    <row r="3068" spans="1:12" ht="55.2" hidden="1" x14ac:dyDescent="0.3">
      <c r="A3068" s="2" t="s">
        <v>4604</v>
      </c>
      <c r="B3068" s="2" t="s">
        <v>11161</v>
      </c>
      <c r="C3068" s="3">
        <v>29731</v>
      </c>
      <c r="D3068" s="1" t="s">
        <v>11162</v>
      </c>
      <c r="E3068" s="1" t="s">
        <v>11163</v>
      </c>
      <c r="F3068" s="2" t="s">
        <v>4698</v>
      </c>
      <c r="G3068" s="2" t="s">
        <v>1069</v>
      </c>
      <c r="H3068" s="2" t="s">
        <v>11164</v>
      </c>
      <c r="I3068" s="2" t="s">
        <v>4604</v>
      </c>
      <c r="J3068" s="2" t="s">
        <v>5009</v>
      </c>
      <c r="K3068" s="13" t="s">
        <v>13177</v>
      </c>
      <c r="L3068" s="7" t="s">
        <v>13199</v>
      </c>
    </row>
    <row r="3069" spans="1:12" ht="55.2" hidden="1" x14ac:dyDescent="0.3">
      <c r="A3069" s="2" t="s">
        <v>4604</v>
      </c>
      <c r="B3069" s="2" t="s">
        <v>4701</v>
      </c>
      <c r="C3069" s="3">
        <v>31860</v>
      </c>
      <c r="D3069" s="1" t="s">
        <v>11165</v>
      </c>
      <c r="E3069" s="1" t="s">
        <v>11166</v>
      </c>
      <c r="F3069" s="2" t="s">
        <v>4698</v>
      </c>
      <c r="G3069" s="2" t="s">
        <v>217</v>
      </c>
      <c r="H3069" s="2" t="s">
        <v>11167</v>
      </c>
      <c r="I3069" s="2" t="s">
        <v>4604</v>
      </c>
      <c r="J3069" s="2" t="s">
        <v>412</v>
      </c>
      <c r="K3069" s="13" t="s">
        <v>13177</v>
      </c>
      <c r="L3069" s="7" t="s">
        <v>13199</v>
      </c>
    </row>
    <row r="3070" spans="1:12" ht="55.2" hidden="1" x14ac:dyDescent="0.3">
      <c r="A3070" s="2" t="s">
        <v>4604</v>
      </c>
      <c r="B3070" s="2" t="s">
        <v>11168</v>
      </c>
      <c r="C3070" s="3">
        <v>28362</v>
      </c>
      <c r="D3070" s="1" t="s">
        <v>11169</v>
      </c>
      <c r="E3070" s="1" t="s">
        <v>11170</v>
      </c>
      <c r="F3070" s="2" t="s">
        <v>7998</v>
      </c>
      <c r="G3070" s="2" t="s">
        <v>292</v>
      </c>
      <c r="H3070" s="2" t="s">
        <v>11171</v>
      </c>
      <c r="I3070" s="2" t="s">
        <v>4604</v>
      </c>
      <c r="J3070" s="2" t="s">
        <v>3419</v>
      </c>
      <c r="K3070" s="13" t="s">
        <v>13177</v>
      </c>
      <c r="L3070" s="7" t="s">
        <v>13199</v>
      </c>
    </row>
    <row r="3071" spans="1:12" ht="55.2" hidden="1" x14ac:dyDescent="0.3">
      <c r="A3071" s="2" t="s">
        <v>4604</v>
      </c>
      <c r="B3071" s="2" t="s">
        <v>11172</v>
      </c>
      <c r="C3071" s="3">
        <v>32369</v>
      </c>
      <c r="D3071" s="1" t="s">
        <v>11173</v>
      </c>
      <c r="E3071" s="1" t="s">
        <v>11174</v>
      </c>
      <c r="F3071" s="2" t="s">
        <v>7998</v>
      </c>
      <c r="G3071" s="2" t="s">
        <v>397</v>
      </c>
      <c r="H3071" s="2" t="s">
        <v>11175</v>
      </c>
      <c r="I3071" s="2" t="s">
        <v>4604</v>
      </c>
      <c r="J3071" s="2" t="s">
        <v>553</v>
      </c>
      <c r="K3071" s="13" t="s">
        <v>13177</v>
      </c>
      <c r="L3071" s="7" t="s">
        <v>13199</v>
      </c>
    </row>
    <row r="3072" spans="1:12" ht="55.2" hidden="1" x14ac:dyDescent="0.3">
      <c r="A3072" s="2" t="s">
        <v>4604</v>
      </c>
      <c r="B3072" s="2" t="s">
        <v>11176</v>
      </c>
      <c r="C3072" s="3">
        <v>32657</v>
      </c>
      <c r="D3072" s="1" t="s">
        <v>11177</v>
      </c>
      <c r="E3072" s="1" t="s">
        <v>11178</v>
      </c>
      <c r="F3072" s="2" t="s">
        <v>7998</v>
      </c>
      <c r="G3072" s="2" t="s">
        <v>397</v>
      </c>
      <c r="H3072" s="2" t="s">
        <v>11179</v>
      </c>
      <c r="I3072" s="2" t="s">
        <v>4604</v>
      </c>
      <c r="J3072" s="2" t="s">
        <v>553</v>
      </c>
      <c r="K3072" s="13" t="s">
        <v>13177</v>
      </c>
      <c r="L3072" s="7" t="s">
        <v>13199</v>
      </c>
    </row>
    <row r="3073" spans="1:12" ht="55.2" hidden="1" x14ac:dyDescent="0.3">
      <c r="A3073" s="2" t="s">
        <v>4604</v>
      </c>
      <c r="B3073" s="2" t="s">
        <v>11180</v>
      </c>
      <c r="C3073" s="3">
        <v>23215</v>
      </c>
      <c r="D3073" s="1" t="s">
        <v>11181</v>
      </c>
      <c r="E3073" s="1" t="s">
        <v>11182</v>
      </c>
      <c r="F3073" s="2" t="s">
        <v>7576</v>
      </c>
      <c r="G3073" s="2" t="s">
        <v>366</v>
      </c>
      <c r="H3073" s="2" t="s">
        <v>11183</v>
      </c>
      <c r="I3073" s="2" t="s">
        <v>4604</v>
      </c>
      <c r="J3073" s="2" t="s">
        <v>701</v>
      </c>
      <c r="K3073" s="13" t="s">
        <v>13177</v>
      </c>
      <c r="L3073" s="7" t="s">
        <v>13199</v>
      </c>
    </row>
    <row r="3074" spans="1:12" ht="55.2" hidden="1" x14ac:dyDescent="0.3">
      <c r="A3074" s="2" t="s">
        <v>4604</v>
      </c>
      <c r="B3074" s="2" t="s">
        <v>11184</v>
      </c>
      <c r="C3074" s="3">
        <v>36582</v>
      </c>
      <c r="D3074" s="1" t="s">
        <v>11185</v>
      </c>
      <c r="E3074" s="1" t="s">
        <v>11186</v>
      </c>
      <c r="F3074" s="2" t="s">
        <v>4608</v>
      </c>
      <c r="G3074" s="2" t="s">
        <v>511</v>
      </c>
      <c r="H3074" s="2" t="s">
        <v>11187</v>
      </c>
      <c r="I3074" s="2" t="s">
        <v>4604</v>
      </c>
      <c r="J3074" s="2" t="s">
        <v>5782</v>
      </c>
      <c r="K3074" s="13" t="s">
        <v>13177</v>
      </c>
      <c r="L3074" s="7" t="s">
        <v>13199</v>
      </c>
    </row>
    <row r="3075" spans="1:12" ht="55.2" hidden="1" x14ac:dyDescent="0.3">
      <c r="A3075" s="2" t="s">
        <v>4604</v>
      </c>
      <c r="B3075" s="2" t="s">
        <v>11188</v>
      </c>
      <c r="C3075" s="3">
        <v>32616</v>
      </c>
      <c r="D3075" s="1" t="s">
        <v>11189</v>
      </c>
      <c r="E3075" s="1" t="s">
        <v>11190</v>
      </c>
      <c r="F3075" s="2" t="s">
        <v>4698</v>
      </c>
      <c r="G3075" s="2" t="s">
        <v>206</v>
      </c>
      <c r="H3075" s="2" t="s">
        <v>5381</v>
      </c>
      <c r="I3075" s="2" t="s">
        <v>4604</v>
      </c>
      <c r="J3075" s="2" t="s">
        <v>434</v>
      </c>
      <c r="K3075" s="13" t="s">
        <v>13177</v>
      </c>
      <c r="L3075" s="7" t="s">
        <v>13199</v>
      </c>
    </row>
    <row r="3076" spans="1:12" ht="55.2" hidden="1" x14ac:dyDescent="0.3">
      <c r="A3076" s="2" t="s">
        <v>4604</v>
      </c>
      <c r="B3076" s="2" t="s">
        <v>11191</v>
      </c>
      <c r="C3076" s="3">
        <v>26741</v>
      </c>
      <c r="D3076" s="1" t="s">
        <v>11137</v>
      </c>
      <c r="E3076" s="1" t="s">
        <v>11138</v>
      </c>
      <c r="F3076" s="2" t="s">
        <v>4698</v>
      </c>
      <c r="G3076" s="2" t="s">
        <v>2743</v>
      </c>
      <c r="H3076" s="2" t="s">
        <v>11139</v>
      </c>
      <c r="I3076" s="2" t="s">
        <v>4604</v>
      </c>
      <c r="J3076" s="2" t="s">
        <v>4994</v>
      </c>
      <c r="K3076" s="13" t="s">
        <v>13177</v>
      </c>
      <c r="L3076" s="7" t="s">
        <v>13199</v>
      </c>
    </row>
    <row r="3077" spans="1:12" ht="55.2" hidden="1" x14ac:dyDescent="0.3">
      <c r="A3077" s="2" t="s">
        <v>4604</v>
      </c>
      <c r="B3077" s="2" t="s">
        <v>11192</v>
      </c>
      <c r="C3077" s="3">
        <v>36948</v>
      </c>
      <c r="D3077" s="1" t="s">
        <v>11193</v>
      </c>
      <c r="E3077" s="1" t="s">
        <v>11194</v>
      </c>
      <c r="F3077" s="2" t="s">
        <v>4698</v>
      </c>
      <c r="G3077" s="2" t="s">
        <v>3134</v>
      </c>
      <c r="H3077" s="2" t="s">
        <v>11195</v>
      </c>
      <c r="I3077" s="2" t="s">
        <v>4604</v>
      </c>
      <c r="J3077" s="2" t="s">
        <v>4153</v>
      </c>
      <c r="K3077" s="13" t="s">
        <v>13177</v>
      </c>
      <c r="L3077" s="7" t="s">
        <v>13199</v>
      </c>
    </row>
    <row r="3078" spans="1:12" ht="55.2" hidden="1" x14ac:dyDescent="0.3">
      <c r="A3078" s="2" t="s">
        <v>4604</v>
      </c>
      <c r="B3078" s="2" t="s">
        <v>11196</v>
      </c>
      <c r="C3078" s="3">
        <v>34102</v>
      </c>
      <c r="D3078" s="1" t="s">
        <v>11197</v>
      </c>
      <c r="E3078" s="1" t="s">
        <v>11198</v>
      </c>
      <c r="F3078" s="2" t="s">
        <v>7576</v>
      </c>
      <c r="G3078" s="2" t="s">
        <v>1403</v>
      </c>
      <c r="H3078" s="2" t="s">
        <v>11199</v>
      </c>
      <c r="I3078" s="2" t="s">
        <v>4604</v>
      </c>
      <c r="J3078" s="2" t="s">
        <v>4848</v>
      </c>
      <c r="K3078" s="13" t="s">
        <v>13177</v>
      </c>
      <c r="L3078" s="7" t="s">
        <v>13199</v>
      </c>
    </row>
    <row r="3079" spans="1:12" ht="55.2" hidden="1" x14ac:dyDescent="0.3">
      <c r="A3079" s="2" t="s">
        <v>4604</v>
      </c>
      <c r="B3079" s="2" t="s">
        <v>11200</v>
      </c>
      <c r="C3079" s="3">
        <v>36411</v>
      </c>
      <c r="D3079" s="1" t="s">
        <v>11201</v>
      </c>
      <c r="E3079" s="1" t="s">
        <v>11202</v>
      </c>
      <c r="F3079" s="2" t="s">
        <v>7576</v>
      </c>
      <c r="G3079" s="2" t="s">
        <v>283</v>
      </c>
      <c r="H3079" s="2" t="s">
        <v>11203</v>
      </c>
      <c r="I3079" s="2" t="s">
        <v>4604</v>
      </c>
      <c r="J3079" s="2" t="s">
        <v>4161</v>
      </c>
      <c r="K3079" s="13" t="s">
        <v>13177</v>
      </c>
      <c r="L3079" s="7" t="s">
        <v>13199</v>
      </c>
    </row>
    <row r="3080" spans="1:12" ht="55.2" hidden="1" x14ac:dyDescent="0.3">
      <c r="A3080" s="2" t="s">
        <v>4604</v>
      </c>
      <c r="B3080" s="2" t="s">
        <v>11204</v>
      </c>
      <c r="C3080" s="3">
        <v>27482</v>
      </c>
      <c r="D3080" s="1" t="s">
        <v>11205</v>
      </c>
      <c r="E3080" s="1" t="s">
        <v>11206</v>
      </c>
      <c r="F3080" s="2" t="s">
        <v>4698</v>
      </c>
      <c r="G3080" s="2" t="s">
        <v>3134</v>
      </c>
      <c r="H3080" s="2" t="s">
        <v>11207</v>
      </c>
      <c r="I3080" s="2" t="s">
        <v>4604</v>
      </c>
      <c r="J3080" s="2" t="s">
        <v>4153</v>
      </c>
      <c r="K3080" s="13" t="s">
        <v>13177</v>
      </c>
      <c r="L3080" s="7" t="s">
        <v>13199</v>
      </c>
    </row>
    <row r="3081" spans="1:12" ht="55.2" hidden="1" x14ac:dyDescent="0.3">
      <c r="A3081" s="2" t="s">
        <v>4604</v>
      </c>
      <c r="B3081" s="2" t="s">
        <v>11208</v>
      </c>
      <c r="C3081" s="3">
        <v>38626</v>
      </c>
      <c r="D3081" s="1" t="s">
        <v>11209</v>
      </c>
      <c r="E3081" s="1" t="s">
        <v>11210</v>
      </c>
      <c r="F3081" s="2" t="s">
        <v>4698</v>
      </c>
      <c r="G3081" s="2" t="s">
        <v>880</v>
      </c>
      <c r="H3081" s="2" t="s">
        <v>11211</v>
      </c>
      <c r="I3081" s="2" t="s">
        <v>4604</v>
      </c>
      <c r="J3081" s="2" t="s">
        <v>11212</v>
      </c>
      <c r="K3081" s="13" t="s">
        <v>13177</v>
      </c>
      <c r="L3081" s="7" t="s">
        <v>13199</v>
      </c>
    </row>
    <row r="3082" spans="1:12" ht="55.2" hidden="1" x14ac:dyDescent="0.3">
      <c r="A3082" s="2" t="s">
        <v>4604</v>
      </c>
      <c r="B3082" s="2" t="s">
        <v>11213</v>
      </c>
      <c r="C3082" s="3">
        <v>22912</v>
      </c>
      <c r="D3082" s="1" t="s">
        <v>11214</v>
      </c>
      <c r="E3082" s="1" t="s">
        <v>11215</v>
      </c>
      <c r="F3082" s="2" t="s">
        <v>7998</v>
      </c>
      <c r="G3082" s="2" t="s">
        <v>1222</v>
      </c>
      <c r="H3082" s="2" t="s">
        <v>10782</v>
      </c>
      <c r="I3082" s="2" t="s">
        <v>4604</v>
      </c>
      <c r="J3082" s="2" t="s">
        <v>4315</v>
      </c>
      <c r="K3082" s="13" t="s">
        <v>13177</v>
      </c>
      <c r="L3082" s="7" t="s">
        <v>13199</v>
      </c>
    </row>
    <row r="3083" spans="1:12" ht="55.2" hidden="1" x14ac:dyDescent="0.3">
      <c r="A3083" s="2" t="s">
        <v>4604</v>
      </c>
      <c r="B3083" s="2" t="s">
        <v>11216</v>
      </c>
      <c r="C3083" s="3">
        <v>39018</v>
      </c>
      <c r="D3083" s="1" t="s">
        <v>11217</v>
      </c>
      <c r="E3083" s="1" t="s">
        <v>11218</v>
      </c>
      <c r="F3083" s="2" t="s">
        <v>7998</v>
      </c>
      <c r="G3083" s="2" t="s">
        <v>3935</v>
      </c>
      <c r="H3083" s="2" t="s">
        <v>11219</v>
      </c>
      <c r="I3083" s="2" t="s">
        <v>4604</v>
      </c>
      <c r="J3083" s="2" t="s">
        <v>5004</v>
      </c>
      <c r="K3083" s="13" t="s">
        <v>13177</v>
      </c>
      <c r="L3083" s="7" t="s">
        <v>13199</v>
      </c>
    </row>
    <row r="3084" spans="1:12" ht="55.2" hidden="1" x14ac:dyDescent="0.3">
      <c r="A3084" s="2" t="s">
        <v>4604</v>
      </c>
      <c r="B3084" s="2" t="s">
        <v>11220</v>
      </c>
      <c r="C3084" s="3">
        <v>31890</v>
      </c>
      <c r="D3084" s="1" t="s">
        <v>11221</v>
      </c>
      <c r="E3084" s="1" t="s">
        <v>11222</v>
      </c>
      <c r="F3084" s="2" t="s">
        <v>5698</v>
      </c>
      <c r="G3084" s="2" t="s">
        <v>333</v>
      </c>
      <c r="H3084" s="2" t="s">
        <v>8586</v>
      </c>
      <c r="I3084" s="2" t="s">
        <v>4604</v>
      </c>
      <c r="J3084" s="2" t="s">
        <v>335</v>
      </c>
      <c r="K3084" s="13" t="s">
        <v>13177</v>
      </c>
      <c r="L3084" s="7" t="s">
        <v>13199</v>
      </c>
    </row>
    <row r="3085" spans="1:12" ht="55.2" hidden="1" x14ac:dyDescent="0.3">
      <c r="A3085" s="2" t="s">
        <v>4604</v>
      </c>
      <c r="B3085" s="2" t="s">
        <v>11223</v>
      </c>
      <c r="C3085" s="3">
        <v>38132</v>
      </c>
      <c r="D3085" s="1" t="s">
        <v>11224</v>
      </c>
      <c r="E3085" s="1" t="s">
        <v>11225</v>
      </c>
      <c r="F3085" s="2" t="s">
        <v>7998</v>
      </c>
      <c r="G3085" s="2" t="s">
        <v>3931</v>
      </c>
      <c r="H3085" s="2" t="s">
        <v>11226</v>
      </c>
      <c r="I3085" s="2" t="s">
        <v>4604</v>
      </c>
      <c r="J3085" s="2" t="s">
        <v>5004</v>
      </c>
      <c r="K3085" s="13" t="s">
        <v>13177</v>
      </c>
      <c r="L3085" s="7" t="s">
        <v>13199</v>
      </c>
    </row>
    <row r="3086" spans="1:12" ht="55.2" hidden="1" x14ac:dyDescent="0.3">
      <c r="A3086" s="2" t="s">
        <v>4604</v>
      </c>
      <c r="B3086" s="2" t="s">
        <v>11227</v>
      </c>
      <c r="C3086" s="3">
        <v>30568</v>
      </c>
      <c r="D3086" s="1" t="s">
        <v>11228</v>
      </c>
      <c r="E3086" s="1" t="s">
        <v>11229</v>
      </c>
      <c r="F3086" s="2" t="s">
        <v>4698</v>
      </c>
      <c r="G3086" s="2" t="s">
        <v>2990</v>
      </c>
      <c r="H3086" s="2" t="s">
        <v>11230</v>
      </c>
      <c r="I3086" s="2" t="s">
        <v>4604</v>
      </c>
      <c r="J3086" s="2" t="s">
        <v>11231</v>
      </c>
      <c r="K3086" s="13" t="s">
        <v>13177</v>
      </c>
      <c r="L3086" s="7" t="s">
        <v>13199</v>
      </c>
    </row>
    <row r="3087" spans="1:12" ht="55.2" hidden="1" x14ac:dyDescent="0.3">
      <c r="A3087" s="2" t="s">
        <v>4604</v>
      </c>
      <c r="B3087" s="2" t="s">
        <v>11232</v>
      </c>
      <c r="C3087" s="3">
        <v>30313</v>
      </c>
      <c r="D3087" s="1" t="s">
        <v>11233</v>
      </c>
      <c r="E3087" s="1" t="s">
        <v>11234</v>
      </c>
      <c r="F3087" s="2" t="s">
        <v>4698</v>
      </c>
      <c r="G3087" s="2" t="s">
        <v>9478</v>
      </c>
      <c r="H3087" s="2" t="s">
        <v>11235</v>
      </c>
      <c r="I3087" s="2" t="s">
        <v>4604</v>
      </c>
      <c r="J3087" s="2" t="s">
        <v>11236</v>
      </c>
      <c r="K3087" s="13" t="s">
        <v>13177</v>
      </c>
      <c r="L3087" s="7" t="s">
        <v>13199</v>
      </c>
    </row>
    <row r="3088" spans="1:12" ht="55.2" hidden="1" x14ac:dyDescent="0.3">
      <c r="A3088" s="2" t="s">
        <v>4604</v>
      </c>
      <c r="B3088" s="2" t="s">
        <v>11237</v>
      </c>
      <c r="C3088" s="3">
        <v>35385</v>
      </c>
      <c r="D3088" s="1" t="s">
        <v>11238</v>
      </c>
      <c r="E3088" s="1" t="s">
        <v>11239</v>
      </c>
      <c r="F3088" s="2" t="s">
        <v>4698</v>
      </c>
      <c r="G3088" s="2" t="s">
        <v>1903</v>
      </c>
      <c r="H3088" s="2" t="s">
        <v>11240</v>
      </c>
      <c r="I3088" s="2" t="s">
        <v>4604</v>
      </c>
      <c r="J3088" s="2" t="s">
        <v>1904</v>
      </c>
      <c r="K3088" s="13" t="s">
        <v>13177</v>
      </c>
      <c r="L3088" s="7" t="s">
        <v>13199</v>
      </c>
    </row>
    <row r="3089" spans="1:12" ht="55.2" hidden="1" x14ac:dyDescent="0.3">
      <c r="A3089" s="2" t="s">
        <v>4604</v>
      </c>
      <c r="B3089" s="2" t="s">
        <v>11241</v>
      </c>
      <c r="C3089" s="3">
        <v>31579</v>
      </c>
      <c r="D3089" s="1" t="s">
        <v>11242</v>
      </c>
      <c r="E3089" s="1" t="s">
        <v>11243</v>
      </c>
      <c r="F3089" s="2" t="s">
        <v>7998</v>
      </c>
      <c r="G3089" s="2" t="s">
        <v>64</v>
      </c>
      <c r="H3089" s="2" t="s">
        <v>11244</v>
      </c>
      <c r="I3089" s="2" t="s">
        <v>4604</v>
      </c>
      <c r="J3089" s="2" t="s">
        <v>5389</v>
      </c>
      <c r="K3089" s="13" t="s">
        <v>13177</v>
      </c>
      <c r="L3089" s="7" t="s">
        <v>13199</v>
      </c>
    </row>
    <row r="3090" spans="1:12" ht="55.2" hidden="1" x14ac:dyDescent="0.3">
      <c r="A3090" s="2" t="s">
        <v>4604</v>
      </c>
      <c r="B3090" s="2" t="s">
        <v>11245</v>
      </c>
      <c r="C3090" s="3">
        <v>31802</v>
      </c>
      <c r="D3090" s="1" t="s">
        <v>11246</v>
      </c>
      <c r="E3090" s="1" t="s">
        <v>11247</v>
      </c>
      <c r="F3090" s="2" t="s">
        <v>8296</v>
      </c>
      <c r="G3090" s="2" t="s">
        <v>11248</v>
      </c>
      <c r="H3090" s="2" t="s">
        <v>11249</v>
      </c>
      <c r="I3090" s="2" t="s">
        <v>4604</v>
      </c>
      <c r="J3090" s="2" t="s">
        <v>11250</v>
      </c>
      <c r="K3090" s="13" t="s">
        <v>13177</v>
      </c>
      <c r="L3090" s="7" t="s">
        <v>13199</v>
      </c>
    </row>
    <row r="3091" spans="1:12" ht="27.6" hidden="1" x14ac:dyDescent="0.3">
      <c r="A3091" s="2" t="s">
        <v>4386</v>
      </c>
      <c r="B3091" s="2" t="s">
        <v>11251</v>
      </c>
      <c r="C3091" s="3">
        <v>38802</v>
      </c>
      <c r="D3091" s="1" t="s">
        <v>11252</v>
      </c>
      <c r="E3091" s="1" t="s">
        <v>11253</v>
      </c>
      <c r="F3091" s="2" t="s">
        <v>4396</v>
      </c>
      <c r="G3091" s="2" t="s">
        <v>11254</v>
      </c>
      <c r="H3091" s="2" t="s">
        <v>10</v>
      </c>
      <c r="I3091" s="2" t="s">
        <v>4386</v>
      </c>
      <c r="J3091" s="2" t="s">
        <v>11255</v>
      </c>
      <c r="K3091" s="13" t="s">
        <v>13177</v>
      </c>
      <c r="L3091" s="7" t="s">
        <v>13199</v>
      </c>
    </row>
    <row r="3092" spans="1:12" ht="27.6" hidden="1" x14ac:dyDescent="0.3">
      <c r="A3092" s="2" t="s">
        <v>4386</v>
      </c>
      <c r="B3092" s="2" t="s">
        <v>11256</v>
      </c>
      <c r="C3092" s="3">
        <v>33424</v>
      </c>
      <c r="D3092" s="1" t="s">
        <v>11257</v>
      </c>
      <c r="E3092" s="1" t="s">
        <v>11258</v>
      </c>
      <c r="F3092" s="2" t="s">
        <v>8184</v>
      </c>
      <c r="G3092" s="2" t="s">
        <v>380</v>
      </c>
      <c r="H3092" s="2" t="s">
        <v>10</v>
      </c>
      <c r="I3092" s="2" t="s">
        <v>4386</v>
      </c>
      <c r="J3092" s="2" t="s">
        <v>1083</v>
      </c>
      <c r="K3092" s="13" t="s">
        <v>13177</v>
      </c>
      <c r="L3092" s="7" t="s">
        <v>13199</v>
      </c>
    </row>
    <row r="3093" spans="1:12" ht="27.6" hidden="1" x14ac:dyDescent="0.3">
      <c r="A3093" s="2" t="s">
        <v>4386</v>
      </c>
      <c r="B3093" s="2" t="s">
        <v>11259</v>
      </c>
      <c r="C3093" s="3">
        <v>33027</v>
      </c>
      <c r="D3093" s="1" t="s">
        <v>11260</v>
      </c>
      <c r="E3093" s="1" t="s">
        <v>11261</v>
      </c>
      <c r="F3093" s="2" t="s">
        <v>4396</v>
      </c>
      <c r="G3093" s="2" t="s">
        <v>11262</v>
      </c>
      <c r="H3093" s="2" t="s">
        <v>10</v>
      </c>
      <c r="I3093" s="2" t="s">
        <v>4386</v>
      </c>
      <c r="J3093" s="2" t="s">
        <v>11263</v>
      </c>
      <c r="K3093" s="13" t="s">
        <v>13177</v>
      </c>
      <c r="L3093" s="7" t="s">
        <v>13199</v>
      </c>
    </row>
    <row r="3094" spans="1:12" ht="27.6" hidden="1" x14ac:dyDescent="0.3">
      <c r="A3094" s="2" t="s">
        <v>4386</v>
      </c>
      <c r="B3094" s="2" t="s">
        <v>11264</v>
      </c>
      <c r="C3094" s="3">
        <v>23764</v>
      </c>
      <c r="D3094" s="1" t="s">
        <v>11265</v>
      </c>
      <c r="E3094" s="1" t="s">
        <v>11266</v>
      </c>
      <c r="F3094" s="2" t="s">
        <v>10109</v>
      </c>
      <c r="G3094" s="2" t="s">
        <v>31</v>
      </c>
      <c r="H3094" s="2" t="s">
        <v>10</v>
      </c>
      <c r="I3094" s="2" t="s">
        <v>4386</v>
      </c>
      <c r="J3094" s="2" t="s">
        <v>684</v>
      </c>
      <c r="K3094" s="13" t="s">
        <v>13177</v>
      </c>
      <c r="L3094" s="7" t="s">
        <v>13199</v>
      </c>
    </row>
    <row r="3095" spans="1:12" ht="27.6" hidden="1" x14ac:dyDescent="0.3">
      <c r="A3095" s="2" t="s">
        <v>4386</v>
      </c>
      <c r="B3095" s="2" t="s">
        <v>11267</v>
      </c>
      <c r="C3095" s="3">
        <v>22598</v>
      </c>
      <c r="D3095" s="1" t="s">
        <v>11268</v>
      </c>
      <c r="E3095" s="1" t="s">
        <v>11269</v>
      </c>
      <c r="F3095" s="2" t="s">
        <v>5049</v>
      </c>
      <c r="G3095" s="2" t="s">
        <v>2594</v>
      </c>
      <c r="H3095" s="2" t="s">
        <v>10</v>
      </c>
      <c r="I3095" s="2" t="s">
        <v>4386</v>
      </c>
      <c r="J3095" s="2" t="s">
        <v>9464</v>
      </c>
      <c r="K3095" s="13" t="s">
        <v>13177</v>
      </c>
      <c r="L3095" s="7" t="s">
        <v>13199</v>
      </c>
    </row>
    <row r="3096" spans="1:12" ht="27.6" hidden="1" x14ac:dyDescent="0.3">
      <c r="A3096" s="2" t="s">
        <v>4386</v>
      </c>
      <c r="B3096" s="2" t="s">
        <v>11270</v>
      </c>
      <c r="C3096" s="3">
        <v>23443</v>
      </c>
      <c r="D3096" s="1" t="s">
        <v>11271</v>
      </c>
      <c r="E3096" s="1" t="s">
        <v>11272</v>
      </c>
      <c r="F3096" s="2" t="s">
        <v>9041</v>
      </c>
      <c r="G3096" s="2" t="s">
        <v>3211</v>
      </c>
      <c r="H3096" s="2" t="s">
        <v>10</v>
      </c>
      <c r="I3096" s="2" t="s">
        <v>4386</v>
      </c>
      <c r="J3096" s="2" t="s">
        <v>11273</v>
      </c>
      <c r="K3096" s="13" t="s">
        <v>13177</v>
      </c>
      <c r="L3096" s="7" t="s">
        <v>13199</v>
      </c>
    </row>
    <row r="3097" spans="1:12" ht="27.6" hidden="1" x14ac:dyDescent="0.3">
      <c r="A3097" s="2" t="s">
        <v>4386</v>
      </c>
      <c r="B3097" s="2" t="s">
        <v>11274</v>
      </c>
      <c r="C3097" s="3">
        <v>38571</v>
      </c>
      <c r="D3097" s="1" t="s">
        <v>11275</v>
      </c>
      <c r="E3097" s="1" t="s">
        <v>11276</v>
      </c>
      <c r="F3097" s="2" t="s">
        <v>9574</v>
      </c>
      <c r="G3097" s="2" t="s">
        <v>222</v>
      </c>
      <c r="H3097" s="2" t="s">
        <v>10</v>
      </c>
      <c r="I3097" s="2" t="s">
        <v>4386</v>
      </c>
      <c r="J3097" s="2" t="s">
        <v>223</v>
      </c>
      <c r="K3097" s="13" t="s">
        <v>13177</v>
      </c>
      <c r="L3097" s="7" t="s">
        <v>13199</v>
      </c>
    </row>
    <row r="3098" spans="1:12" ht="27.6" hidden="1" x14ac:dyDescent="0.3">
      <c r="A3098" s="2" t="s">
        <v>4386</v>
      </c>
      <c r="B3098" s="2" t="s">
        <v>11277</v>
      </c>
      <c r="C3098" s="3">
        <v>36896</v>
      </c>
      <c r="D3098" s="1" t="s">
        <v>11278</v>
      </c>
      <c r="E3098" s="1" t="s">
        <v>11279</v>
      </c>
      <c r="F3098" s="2" t="s">
        <v>9584</v>
      </c>
      <c r="G3098" s="2" t="s">
        <v>982</v>
      </c>
      <c r="H3098" s="2" t="s">
        <v>10</v>
      </c>
      <c r="I3098" s="2" t="s">
        <v>4386</v>
      </c>
      <c r="J3098" s="2" t="s">
        <v>9436</v>
      </c>
      <c r="K3098" s="13" t="s">
        <v>13177</v>
      </c>
      <c r="L3098" s="7" t="s">
        <v>13199</v>
      </c>
    </row>
    <row r="3099" spans="1:12" ht="27.6" hidden="1" x14ac:dyDescent="0.3">
      <c r="A3099" s="2" t="s">
        <v>4386</v>
      </c>
      <c r="B3099" s="2" t="s">
        <v>11280</v>
      </c>
      <c r="C3099" s="3">
        <v>33911</v>
      </c>
      <c r="D3099" s="1" t="s">
        <v>11281</v>
      </c>
      <c r="E3099" s="1" t="s">
        <v>11282</v>
      </c>
      <c r="F3099" s="2" t="s">
        <v>9584</v>
      </c>
      <c r="G3099" s="2" t="s">
        <v>2383</v>
      </c>
      <c r="H3099" s="2" t="s">
        <v>10</v>
      </c>
      <c r="I3099" s="2" t="s">
        <v>4386</v>
      </c>
      <c r="J3099" s="2" t="s">
        <v>11283</v>
      </c>
      <c r="K3099" s="13" t="s">
        <v>13177</v>
      </c>
      <c r="L3099" s="7" t="s">
        <v>13199</v>
      </c>
    </row>
    <row r="3100" spans="1:12" ht="27.6" hidden="1" x14ac:dyDescent="0.3">
      <c r="A3100" s="2" t="s">
        <v>4386</v>
      </c>
      <c r="B3100" s="2" t="s">
        <v>11284</v>
      </c>
      <c r="C3100" s="3">
        <v>35945</v>
      </c>
      <c r="D3100" s="1" t="s">
        <v>11285</v>
      </c>
      <c r="E3100" s="1" t="s">
        <v>11286</v>
      </c>
      <c r="F3100" s="2" t="s">
        <v>9584</v>
      </c>
      <c r="G3100" s="2" t="s">
        <v>2805</v>
      </c>
      <c r="H3100" s="2" t="s">
        <v>10</v>
      </c>
      <c r="I3100" s="2" t="s">
        <v>4386</v>
      </c>
      <c r="J3100" s="2" t="s">
        <v>11287</v>
      </c>
      <c r="K3100" s="13" t="s">
        <v>13177</v>
      </c>
      <c r="L3100" s="7" t="s">
        <v>13199</v>
      </c>
    </row>
    <row r="3101" spans="1:12" ht="27.6" hidden="1" x14ac:dyDescent="0.3">
      <c r="A3101" s="2" t="s">
        <v>4386</v>
      </c>
      <c r="B3101" s="2" t="s">
        <v>11288</v>
      </c>
      <c r="C3101" s="3">
        <v>36963</v>
      </c>
      <c r="D3101" s="1" t="s">
        <v>11289</v>
      </c>
      <c r="E3101" s="1" t="s">
        <v>11290</v>
      </c>
      <c r="F3101" s="2" t="s">
        <v>7088</v>
      </c>
      <c r="G3101" s="2" t="s">
        <v>1222</v>
      </c>
      <c r="H3101" s="2" t="s">
        <v>10</v>
      </c>
      <c r="I3101" s="2" t="s">
        <v>4386</v>
      </c>
      <c r="J3101" s="2" t="s">
        <v>1223</v>
      </c>
      <c r="K3101" s="13" t="s">
        <v>13177</v>
      </c>
      <c r="L3101" s="7" t="s">
        <v>13199</v>
      </c>
    </row>
    <row r="3102" spans="1:12" ht="27.6" hidden="1" x14ac:dyDescent="0.3">
      <c r="A3102" s="2" t="s">
        <v>4386</v>
      </c>
      <c r="B3102" s="2" t="s">
        <v>11291</v>
      </c>
      <c r="C3102" s="3">
        <v>29019</v>
      </c>
      <c r="D3102" s="1" t="s">
        <v>11292</v>
      </c>
      <c r="E3102" s="1" t="s">
        <v>11293</v>
      </c>
      <c r="F3102" s="2" t="s">
        <v>7088</v>
      </c>
      <c r="G3102" s="2" t="s">
        <v>397</v>
      </c>
      <c r="H3102" s="2" t="s">
        <v>10</v>
      </c>
      <c r="I3102" s="2" t="s">
        <v>4386</v>
      </c>
      <c r="J3102" s="2" t="s">
        <v>398</v>
      </c>
      <c r="K3102" s="13" t="s">
        <v>13177</v>
      </c>
      <c r="L3102" s="7" t="s">
        <v>13199</v>
      </c>
    </row>
    <row r="3103" spans="1:12" ht="27.6" hidden="1" x14ac:dyDescent="0.3">
      <c r="A3103" s="2" t="s">
        <v>4386</v>
      </c>
      <c r="B3103" s="2" t="s">
        <v>11294</v>
      </c>
      <c r="C3103" s="3">
        <v>28818</v>
      </c>
      <c r="D3103" s="1" t="s">
        <v>11295</v>
      </c>
      <c r="E3103" s="1" t="s">
        <v>11296</v>
      </c>
      <c r="F3103" s="2" t="s">
        <v>9041</v>
      </c>
      <c r="G3103" s="2" t="s">
        <v>9048</v>
      </c>
      <c r="H3103" s="2" t="s">
        <v>10</v>
      </c>
      <c r="I3103" s="2" t="s">
        <v>4386</v>
      </c>
      <c r="J3103" s="2" t="s">
        <v>9049</v>
      </c>
      <c r="K3103" s="13" t="s">
        <v>13177</v>
      </c>
      <c r="L3103" s="7" t="s">
        <v>13199</v>
      </c>
    </row>
    <row r="3104" spans="1:12" ht="27.6" hidden="1" x14ac:dyDescent="0.3">
      <c r="A3104" s="2" t="s">
        <v>4386</v>
      </c>
      <c r="B3104" s="2" t="s">
        <v>11297</v>
      </c>
      <c r="C3104" s="3">
        <v>33855</v>
      </c>
      <c r="D3104" s="1" t="s">
        <v>11298</v>
      </c>
      <c r="E3104" s="1" t="s">
        <v>11299</v>
      </c>
      <c r="F3104" s="2" t="s">
        <v>9468</v>
      </c>
      <c r="G3104" s="2" t="s">
        <v>2800</v>
      </c>
      <c r="H3104" s="2" t="s">
        <v>10</v>
      </c>
      <c r="I3104" s="2" t="s">
        <v>4386</v>
      </c>
      <c r="J3104" s="2" t="s">
        <v>11300</v>
      </c>
      <c r="K3104" s="13" t="s">
        <v>13177</v>
      </c>
      <c r="L3104" s="7" t="s">
        <v>13199</v>
      </c>
    </row>
    <row r="3105" spans="1:12" ht="27.6" hidden="1" x14ac:dyDescent="0.3">
      <c r="A3105" s="2" t="s">
        <v>4386</v>
      </c>
      <c r="B3105" s="2" t="s">
        <v>11291</v>
      </c>
      <c r="C3105" s="3">
        <v>29019</v>
      </c>
      <c r="D3105" s="1" t="s">
        <v>11292</v>
      </c>
      <c r="E3105" s="1" t="s">
        <v>11293</v>
      </c>
      <c r="F3105" s="2" t="s">
        <v>5053</v>
      </c>
      <c r="G3105" s="2" t="s">
        <v>392</v>
      </c>
      <c r="H3105" s="2" t="s">
        <v>10</v>
      </c>
      <c r="I3105" s="2" t="s">
        <v>4386</v>
      </c>
      <c r="J3105" s="2" t="s">
        <v>1213</v>
      </c>
      <c r="K3105" s="13" t="s">
        <v>13177</v>
      </c>
      <c r="L3105" s="7" t="s">
        <v>13199</v>
      </c>
    </row>
    <row r="3106" spans="1:12" ht="27.6" hidden="1" x14ac:dyDescent="0.3">
      <c r="A3106" s="2" t="s">
        <v>4386</v>
      </c>
      <c r="B3106" s="2" t="s">
        <v>11301</v>
      </c>
      <c r="C3106" s="3">
        <v>26965</v>
      </c>
      <c r="D3106" s="1" t="s">
        <v>11302</v>
      </c>
      <c r="E3106" s="1" t="s">
        <v>11303</v>
      </c>
      <c r="F3106" s="2" t="s">
        <v>9468</v>
      </c>
      <c r="G3106" s="2" t="s">
        <v>1146</v>
      </c>
      <c r="H3106" s="2" t="s">
        <v>10</v>
      </c>
      <c r="I3106" s="2" t="s">
        <v>4386</v>
      </c>
      <c r="J3106" s="2" t="s">
        <v>1147</v>
      </c>
      <c r="K3106" s="13" t="s">
        <v>13177</v>
      </c>
      <c r="L3106" s="7" t="s">
        <v>13199</v>
      </c>
    </row>
    <row r="3107" spans="1:12" ht="27.6" hidden="1" x14ac:dyDescent="0.3">
      <c r="A3107" s="2" t="s">
        <v>4386</v>
      </c>
      <c r="B3107" s="2" t="s">
        <v>11304</v>
      </c>
      <c r="C3107" s="3">
        <v>28253</v>
      </c>
      <c r="D3107" s="1" t="s">
        <v>11305</v>
      </c>
      <c r="E3107" s="1" t="s">
        <v>11306</v>
      </c>
      <c r="F3107" s="2" t="s">
        <v>7088</v>
      </c>
      <c r="G3107" s="2" t="s">
        <v>328</v>
      </c>
      <c r="H3107" s="2" t="s">
        <v>10</v>
      </c>
      <c r="I3107" s="2" t="s">
        <v>4386</v>
      </c>
      <c r="J3107" s="2" t="s">
        <v>329</v>
      </c>
      <c r="K3107" s="13" t="s">
        <v>13177</v>
      </c>
      <c r="L3107" s="7" t="s">
        <v>13199</v>
      </c>
    </row>
    <row r="3108" spans="1:12" ht="27.6" hidden="1" x14ac:dyDescent="0.3">
      <c r="A3108" s="2" t="s">
        <v>60</v>
      </c>
      <c r="B3108" s="2" t="s">
        <v>11307</v>
      </c>
      <c r="C3108" s="3">
        <v>34808</v>
      </c>
      <c r="D3108" s="1" t="s">
        <v>11308</v>
      </c>
      <c r="E3108" s="1" t="s">
        <v>11309</v>
      </c>
      <c r="F3108" s="2" t="s">
        <v>274</v>
      </c>
      <c r="G3108" s="2" t="s">
        <v>669</v>
      </c>
      <c r="H3108" s="2" t="s">
        <v>43</v>
      </c>
      <c r="I3108" s="2" t="s">
        <v>60</v>
      </c>
      <c r="J3108" s="2" t="s">
        <v>1888</v>
      </c>
      <c r="K3108" s="16" t="s">
        <v>13177</v>
      </c>
      <c r="L3108" s="7" t="s">
        <v>13199</v>
      </c>
    </row>
    <row r="3109" spans="1:12" hidden="1" x14ac:dyDescent="0.3">
      <c r="A3109" s="2" t="s">
        <v>4139</v>
      </c>
      <c r="B3109" s="2" t="s">
        <v>11310</v>
      </c>
      <c r="C3109" s="3">
        <v>23902</v>
      </c>
      <c r="D3109" s="1" t="s">
        <v>11311</v>
      </c>
      <c r="E3109" s="1" t="s">
        <v>11312</v>
      </c>
      <c r="F3109" s="2" t="s">
        <v>4143</v>
      </c>
      <c r="G3109" s="2" t="s">
        <v>11313</v>
      </c>
      <c r="H3109" s="2" t="s">
        <v>10</v>
      </c>
      <c r="I3109" s="2" t="s">
        <v>4139</v>
      </c>
      <c r="J3109" s="2" t="s">
        <v>11314</v>
      </c>
      <c r="K3109" s="14"/>
      <c r="L3109" s="7" t="s">
        <v>13199</v>
      </c>
    </row>
    <row r="3110" spans="1:12" hidden="1" x14ac:dyDescent="0.3">
      <c r="A3110" s="2" t="s">
        <v>4139</v>
      </c>
      <c r="B3110" s="2" t="s">
        <v>11315</v>
      </c>
      <c r="C3110" s="3">
        <v>30193</v>
      </c>
      <c r="D3110" s="1" t="s">
        <v>11316</v>
      </c>
      <c r="E3110" s="1" t="s">
        <v>11317</v>
      </c>
      <c r="F3110" s="2" t="s">
        <v>9413</v>
      </c>
      <c r="G3110" s="2" t="s">
        <v>37</v>
      </c>
      <c r="H3110" s="2" t="s">
        <v>10</v>
      </c>
      <c r="I3110" s="2" t="s">
        <v>4139</v>
      </c>
      <c r="J3110" s="2" t="s">
        <v>11318</v>
      </c>
      <c r="K3110" s="20" t="s">
        <v>13177</v>
      </c>
      <c r="L3110" s="7" t="s">
        <v>13199</v>
      </c>
    </row>
    <row r="3111" spans="1:12" hidden="1" x14ac:dyDescent="0.3">
      <c r="A3111" s="2" t="s">
        <v>4139</v>
      </c>
      <c r="B3111" s="2" t="s">
        <v>11319</v>
      </c>
      <c r="C3111" s="3">
        <v>26666</v>
      </c>
      <c r="D3111" s="1" t="s">
        <v>11320</v>
      </c>
      <c r="E3111" s="1" t="s">
        <v>11321</v>
      </c>
      <c r="F3111" s="2" t="s">
        <v>9413</v>
      </c>
      <c r="G3111" s="2" t="s">
        <v>696</v>
      </c>
      <c r="H3111" s="2" t="s">
        <v>10</v>
      </c>
      <c r="I3111" s="2" t="s">
        <v>4139</v>
      </c>
      <c r="J3111" s="2" t="s">
        <v>11322</v>
      </c>
      <c r="K3111" s="13" t="s">
        <v>13177</v>
      </c>
      <c r="L3111" s="7" t="s">
        <v>13199</v>
      </c>
    </row>
    <row r="3112" spans="1:12" hidden="1" x14ac:dyDescent="0.3">
      <c r="A3112" s="2" t="s">
        <v>4139</v>
      </c>
      <c r="B3112" s="2" t="s">
        <v>11323</v>
      </c>
      <c r="C3112" s="3">
        <v>31447</v>
      </c>
      <c r="D3112" s="1" t="s">
        <v>11324</v>
      </c>
      <c r="E3112" s="1" t="s">
        <v>11325</v>
      </c>
      <c r="F3112" s="2" t="s">
        <v>9413</v>
      </c>
      <c r="G3112" s="2" t="s">
        <v>1403</v>
      </c>
      <c r="H3112" s="2" t="s">
        <v>10</v>
      </c>
      <c r="I3112" s="2" t="s">
        <v>4139</v>
      </c>
      <c r="J3112" s="2" t="s">
        <v>7195</v>
      </c>
      <c r="K3112" s="13" t="s">
        <v>13177</v>
      </c>
      <c r="L3112" s="7" t="s">
        <v>13199</v>
      </c>
    </row>
    <row r="3113" spans="1:12" hidden="1" x14ac:dyDescent="0.3">
      <c r="A3113" s="2" t="s">
        <v>4139</v>
      </c>
      <c r="B3113" s="2" t="s">
        <v>11326</v>
      </c>
      <c r="C3113" s="3">
        <v>22364</v>
      </c>
      <c r="D3113" s="1" t="s">
        <v>11327</v>
      </c>
      <c r="E3113" s="1" t="s">
        <v>11328</v>
      </c>
      <c r="F3113" s="2" t="s">
        <v>9413</v>
      </c>
      <c r="G3113" s="2" t="s">
        <v>1504</v>
      </c>
      <c r="H3113" s="2" t="s">
        <v>10</v>
      </c>
      <c r="I3113" s="2" t="s">
        <v>4139</v>
      </c>
      <c r="J3113" s="2" t="s">
        <v>1505</v>
      </c>
      <c r="K3113" s="13" t="s">
        <v>13177</v>
      </c>
      <c r="L3113" s="7" t="s">
        <v>13199</v>
      </c>
    </row>
    <row r="3114" spans="1:12" ht="27.6" hidden="1" x14ac:dyDescent="0.3">
      <c r="A3114" s="2" t="s">
        <v>1957</v>
      </c>
      <c r="B3114" s="2" t="s">
        <v>11329</v>
      </c>
      <c r="C3114" s="3">
        <v>30456</v>
      </c>
      <c r="D3114" s="1" t="s">
        <v>11330</v>
      </c>
      <c r="E3114" s="1" t="s">
        <v>11331</v>
      </c>
      <c r="F3114" s="2" t="s">
        <v>2018</v>
      </c>
      <c r="G3114" s="2" t="s">
        <v>511</v>
      </c>
      <c r="H3114" s="2" t="s">
        <v>10</v>
      </c>
      <c r="I3114" s="2" t="s">
        <v>1957</v>
      </c>
      <c r="J3114" s="2" t="s">
        <v>6184</v>
      </c>
      <c r="K3114" s="13" t="s">
        <v>13177</v>
      </c>
      <c r="L3114" s="7" t="s">
        <v>13199</v>
      </c>
    </row>
    <row r="3115" spans="1:12" ht="27.6" hidden="1" x14ac:dyDescent="0.3">
      <c r="A3115" s="2" t="s">
        <v>1962</v>
      </c>
      <c r="B3115" s="2" t="s">
        <v>11332</v>
      </c>
      <c r="C3115" s="3">
        <v>36439</v>
      </c>
      <c r="D3115" s="1" t="s">
        <v>11333</v>
      </c>
      <c r="E3115" s="1" t="s">
        <v>11334</v>
      </c>
      <c r="F3115" s="2" t="s">
        <v>10934</v>
      </c>
      <c r="G3115" s="2" t="s">
        <v>31</v>
      </c>
      <c r="H3115" s="2" t="s">
        <v>10</v>
      </c>
      <c r="I3115" s="2" t="s">
        <v>1962</v>
      </c>
      <c r="J3115" s="2" t="s">
        <v>8956</v>
      </c>
      <c r="K3115" s="13" t="s">
        <v>13177</v>
      </c>
      <c r="L3115" s="7" t="s">
        <v>13199</v>
      </c>
    </row>
    <row r="3116" spans="1:12" hidden="1" x14ac:dyDescent="0.3">
      <c r="A3116" s="2" t="s">
        <v>4139</v>
      </c>
      <c r="B3116" s="2" t="s">
        <v>11335</v>
      </c>
      <c r="C3116" s="3">
        <v>18524</v>
      </c>
      <c r="D3116" s="1" t="s">
        <v>11336</v>
      </c>
      <c r="E3116" s="1" t="s">
        <v>11337</v>
      </c>
      <c r="F3116" s="2" t="s">
        <v>10986</v>
      </c>
      <c r="G3116" s="2" t="s">
        <v>25</v>
      </c>
      <c r="H3116" s="2" t="s">
        <v>103</v>
      </c>
      <c r="I3116" s="2" t="s">
        <v>4139</v>
      </c>
      <c r="J3116" s="2" t="s">
        <v>6656</v>
      </c>
      <c r="K3116" s="13" t="s">
        <v>13177</v>
      </c>
      <c r="L3116" s="7" t="s">
        <v>13202</v>
      </c>
    </row>
    <row r="3117" spans="1:12" ht="27.6" hidden="1" x14ac:dyDescent="0.3">
      <c r="A3117" s="2" t="s">
        <v>1962</v>
      </c>
      <c r="B3117" s="2" t="s">
        <v>11338</v>
      </c>
      <c r="C3117" s="3">
        <v>38066</v>
      </c>
      <c r="D3117" s="1" t="s">
        <v>11339</v>
      </c>
      <c r="E3117" s="1" t="s">
        <v>11340</v>
      </c>
      <c r="F3117" s="2" t="s">
        <v>10934</v>
      </c>
      <c r="G3117" s="2" t="s">
        <v>190</v>
      </c>
      <c r="H3117" s="2" t="s">
        <v>10</v>
      </c>
      <c r="I3117" s="2" t="s">
        <v>1962</v>
      </c>
      <c r="J3117" s="2" t="s">
        <v>11341</v>
      </c>
      <c r="K3117" s="13" t="s">
        <v>13177</v>
      </c>
      <c r="L3117" s="7" t="s">
        <v>13199</v>
      </c>
    </row>
    <row r="3118" spans="1:12" ht="55.2" hidden="1" x14ac:dyDescent="0.3">
      <c r="A3118" s="2" t="s">
        <v>4604</v>
      </c>
      <c r="B3118" s="2" t="s">
        <v>11342</v>
      </c>
      <c r="C3118" s="3">
        <v>35254</v>
      </c>
      <c r="D3118" s="1" t="s">
        <v>11343</v>
      </c>
      <c r="E3118" s="1" t="s">
        <v>11344</v>
      </c>
      <c r="F3118" s="2" t="s">
        <v>4698</v>
      </c>
      <c r="G3118" s="2" t="s">
        <v>1222</v>
      </c>
      <c r="H3118" s="2" t="s">
        <v>10</v>
      </c>
      <c r="I3118" s="2" t="s">
        <v>4604</v>
      </c>
      <c r="J3118" s="2" t="s">
        <v>4315</v>
      </c>
      <c r="K3118" s="13" t="s">
        <v>13177</v>
      </c>
      <c r="L3118" s="7" t="s">
        <v>13199</v>
      </c>
    </row>
    <row r="3119" spans="1:12" ht="55.2" hidden="1" x14ac:dyDescent="0.3">
      <c r="A3119" s="2" t="s">
        <v>4604</v>
      </c>
      <c r="B3119" s="2" t="s">
        <v>11345</v>
      </c>
      <c r="C3119" s="3">
        <v>23706</v>
      </c>
      <c r="D3119" s="1" t="s">
        <v>11346</v>
      </c>
      <c r="E3119" s="1" t="s">
        <v>11347</v>
      </c>
      <c r="F3119" s="2" t="s">
        <v>4608</v>
      </c>
      <c r="G3119" s="2" t="s">
        <v>1294</v>
      </c>
      <c r="H3119" s="2" t="s">
        <v>11348</v>
      </c>
      <c r="I3119" s="2" t="s">
        <v>4604</v>
      </c>
      <c r="J3119" s="2" t="s">
        <v>5758</v>
      </c>
      <c r="K3119" s="13" t="s">
        <v>13177</v>
      </c>
      <c r="L3119" s="7" t="s">
        <v>13199</v>
      </c>
    </row>
    <row r="3120" spans="1:12" ht="55.2" hidden="1" x14ac:dyDescent="0.3">
      <c r="A3120" s="2" t="s">
        <v>4604</v>
      </c>
      <c r="B3120" s="2" t="s">
        <v>11349</v>
      </c>
      <c r="C3120" s="3">
        <v>26640</v>
      </c>
      <c r="D3120" s="1" t="s">
        <v>11350</v>
      </c>
      <c r="E3120" s="1" t="s">
        <v>11351</v>
      </c>
      <c r="F3120" s="2" t="s">
        <v>7474</v>
      </c>
      <c r="G3120" s="2" t="s">
        <v>190</v>
      </c>
      <c r="H3120" s="2" t="s">
        <v>11352</v>
      </c>
      <c r="I3120" s="2" t="s">
        <v>4604</v>
      </c>
      <c r="J3120" s="2" t="s">
        <v>11353</v>
      </c>
      <c r="K3120" s="13" t="s">
        <v>13177</v>
      </c>
      <c r="L3120" s="7" t="s">
        <v>13199</v>
      </c>
    </row>
    <row r="3121" spans="1:12" ht="55.2" hidden="1" x14ac:dyDescent="0.3">
      <c r="A3121" s="2" t="s">
        <v>4604</v>
      </c>
      <c r="B3121" s="2" t="s">
        <v>11354</v>
      </c>
      <c r="C3121" s="3">
        <v>21892</v>
      </c>
      <c r="D3121" s="1" t="s">
        <v>11355</v>
      </c>
      <c r="E3121" s="1" t="s">
        <v>11356</v>
      </c>
      <c r="F3121" s="2" t="s">
        <v>6430</v>
      </c>
      <c r="G3121" s="2" t="s">
        <v>1955</v>
      </c>
      <c r="H3121" s="2" t="s">
        <v>11357</v>
      </c>
      <c r="I3121" s="2" t="s">
        <v>4604</v>
      </c>
      <c r="J3121" s="2" t="s">
        <v>4338</v>
      </c>
      <c r="K3121" s="13" t="s">
        <v>13177</v>
      </c>
      <c r="L3121" s="7" t="s">
        <v>13199</v>
      </c>
    </row>
    <row r="3122" spans="1:12" ht="55.2" hidden="1" x14ac:dyDescent="0.3">
      <c r="A3122" s="2" t="s">
        <v>4604</v>
      </c>
      <c r="B3122" s="2" t="s">
        <v>11358</v>
      </c>
      <c r="C3122" s="3">
        <v>30524</v>
      </c>
      <c r="D3122" s="1" t="s">
        <v>11359</v>
      </c>
      <c r="E3122" s="1" t="s">
        <v>11360</v>
      </c>
      <c r="F3122" s="2" t="s">
        <v>6430</v>
      </c>
      <c r="G3122" s="2" t="s">
        <v>2267</v>
      </c>
      <c r="H3122" s="2" t="s">
        <v>7896</v>
      </c>
      <c r="I3122" s="2" t="s">
        <v>4604</v>
      </c>
      <c r="J3122" s="2" t="s">
        <v>11361</v>
      </c>
      <c r="K3122" s="13" t="s">
        <v>13177</v>
      </c>
      <c r="L3122" s="7" t="s">
        <v>13199</v>
      </c>
    </row>
    <row r="3123" spans="1:12" ht="55.2" hidden="1" x14ac:dyDescent="0.3">
      <c r="A3123" s="2" t="s">
        <v>4604</v>
      </c>
      <c r="B3123" s="2" t="s">
        <v>11362</v>
      </c>
      <c r="C3123" s="3">
        <v>23706</v>
      </c>
      <c r="D3123" s="1" t="s">
        <v>11346</v>
      </c>
      <c r="E3123" s="1" t="s">
        <v>11347</v>
      </c>
      <c r="F3123" s="2" t="s">
        <v>4608</v>
      </c>
      <c r="G3123" s="2" t="s">
        <v>1069</v>
      </c>
      <c r="H3123" s="2" t="s">
        <v>11363</v>
      </c>
      <c r="I3123" s="2" t="s">
        <v>4604</v>
      </c>
      <c r="J3123" s="2" t="s">
        <v>5009</v>
      </c>
      <c r="K3123" s="13" t="s">
        <v>13177</v>
      </c>
      <c r="L3123" s="7" t="s">
        <v>13199</v>
      </c>
    </row>
    <row r="3124" spans="1:12" ht="55.2" hidden="1" x14ac:dyDescent="0.3">
      <c r="A3124" s="2" t="s">
        <v>4604</v>
      </c>
      <c r="B3124" s="2" t="s">
        <v>11364</v>
      </c>
      <c r="C3124" s="3">
        <v>34032</v>
      </c>
      <c r="D3124" s="1" t="s">
        <v>11365</v>
      </c>
      <c r="E3124" s="1" t="s">
        <v>11366</v>
      </c>
      <c r="F3124" s="2" t="s">
        <v>7474</v>
      </c>
      <c r="G3124" s="2" t="s">
        <v>1004</v>
      </c>
      <c r="H3124" s="2" t="s">
        <v>11367</v>
      </c>
      <c r="I3124" s="2" t="s">
        <v>4604</v>
      </c>
      <c r="J3124" s="2" t="s">
        <v>11368</v>
      </c>
      <c r="K3124" s="13" t="s">
        <v>13177</v>
      </c>
      <c r="L3124" s="7" t="s">
        <v>13199</v>
      </c>
    </row>
    <row r="3125" spans="1:12" ht="55.2" hidden="1" x14ac:dyDescent="0.3">
      <c r="A3125" s="2" t="s">
        <v>4604</v>
      </c>
      <c r="B3125" s="2" t="s">
        <v>11369</v>
      </c>
      <c r="C3125" s="3">
        <v>28120</v>
      </c>
      <c r="D3125" s="1" t="s">
        <v>11370</v>
      </c>
      <c r="E3125" s="1" t="s">
        <v>11371</v>
      </c>
      <c r="F3125" s="2" t="s">
        <v>7474</v>
      </c>
      <c r="G3125" s="2" t="s">
        <v>1009</v>
      </c>
      <c r="H3125" s="2" t="s">
        <v>11372</v>
      </c>
      <c r="I3125" s="2" t="s">
        <v>4604</v>
      </c>
      <c r="J3125" s="2" t="s">
        <v>11373</v>
      </c>
      <c r="K3125" s="13" t="s">
        <v>13177</v>
      </c>
      <c r="L3125" s="7" t="s">
        <v>13199</v>
      </c>
    </row>
    <row r="3126" spans="1:12" ht="55.2" hidden="1" x14ac:dyDescent="0.3">
      <c r="A3126" s="2" t="s">
        <v>4604</v>
      </c>
      <c r="B3126" s="2" t="s">
        <v>11374</v>
      </c>
      <c r="C3126" s="3">
        <v>29863</v>
      </c>
      <c r="D3126" s="1" t="s">
        <v>11375</v>
      </c>
      <c r="E3126" s="1" t="s">
        <v>11376</v>
      </c>
      <c r="F3126" s="2" t="s">
        <v>6663</v>
      </c>
      <c r="G3126" s="2" t="s">
        <v>217</v>
      </c>
      <c r="H3126" s="2" t="s">
        <v>11377</v>
      </c>
      <c r="I3126" s="2" t="s">
        <v>4604</v>
      </c>
      <c r="J3126" s="2" t="s">
        <v>412</v>
      </c>
      <c r="K3126" s="13" t="s">
        <v>13177</v>
      </c>
      <c r="L3126" s="7" t="s">
        <v>13199</v>
      </c>
    </row>
    <row r="3127" spans="1:12" ht="55.2" hidden="1" x14ac:dyDescent="0.3">
      <c r="A3127" s="2" t="s">
        <v>4604</v>
      </c>
      <c r="B3127" s="2" t="s">
        <v>11378</v>
      </c>
      <c r="C3127" s="3">
        <v>25578</v>
      </c>
      <c r="D3127" s="1" t="s">
        <v>11379</v>
      </c>
      <c r="E3127" s="1" t="s">
        <v>11380</v>
      </c>
      <c r="F3127" s="2" t="s">
        <v>7474</v>
      </c>
      <c r="G3127" s="2" t="s">
        <v>190</v>
      </c>
      <c r="H3127" s="2" t="s">
        <v>11381</v>
      </c>
      <c r="I3127" s="2" t="s">
        <v>4604</v>
      </c>
      <c r="J3127" s="2" t="s">
        <v>6395</v>
      </c>
      <c r="K3127" s="13" t="s">
        <v>13177</v>
      </c>
      <c r="L3127" s="7" t="s">
        <v>13199</v>
      </c>
    </row>
    <row r="3128" spans="1:12" ht="55.2" hidden="1" x14ac:dyDescent="0.3">
      <c r="A3128" s="2" t="s">
        <v>4604</v>
      </c>
      <c r="B3128" s="2" t="s">
        <v>11382</v>
      </c>
      <c r="C3128" s="3">
        <v>37690</v>
      </c>
      <c r="D3128" s="1" t="s">
        <v>11383</v>
      </c>
      <c r="E3128" s="1" t="s">
        <v>11384</v>
      </c>
      <c r="F3128" s="2" t="s">
        <v>7576</v>
      </c>
      <c r="G3128" s="2" t="s">
        <v>712</v>
      </c>
      <c r="H3128" s="2" t="s">
        <v>11385</v>
      </c>
      <c r="I3128" s="2" t="s">
        <v>4604</v>
      </c>
      <c r="J3128" s="2" t="s">
        <v>5438</v>
      </c>
      <c r="K3128" s="13" t="s">
        <v>13177</v>
      </c>
      <c r="L3128" s="7" t="s">
        <v>13199</v>
      </c>
    </row>
    <row r="3129" spans="1:12" ht="55.2" hidden="1" x14ac:dyDescent="0.3">
      <c r="A3129" s="2" t="s">
        <v>4604</v>
      </c>
      <c r="B3129" s="2" t="s">
        <v>11386</v>
      </c>
      <c r="C3129" s="3">
        <v>35282</v>
      </c>
      <c r="D3129" s="1" t="s">
        <v>11387</v>
      </c>
      <c r="E3129" s="1" t="s">
        <v>11388</v>
      </c>
      <c r="F3129" s="2" t="s">
        <v>5698</v>
      </c>
      <c r="G3129" s="2" t="s">
        <v>552</v>
      </c>
      <c r="H3129" s="2" t="s">
        <v>10955</v>
      </c>
      <c r="I3129" s="2" t="s">
        <v>4604</v>
      </c>
      <c r="J3129" s="2" t="s">
        <v>4981</v>
      </c>
      <c r="K3129" s="13" t="s">
        <v>13177</v>
      </c>
      <c r="L3129" s="7" t="s">
        <v>13199</v>
      </c>
    </row>
    <row r="3130" spans="1:12" ht="55.2" hidden="1" x14ac:dyDescent="0.3">
      <c r="A3130" s="2" t="s">
        <v>4604</v>
      </c>
      <c r="B3130" s="2" t="s">
        <v>11389</v>
      </c>
      <c r="C3130" s="3">
        <v>23438</v>
      </c>
      <c r="D3130" s="1" t="s">
        <v>11390</v>
      </c>
      <c r="E3130" s="1" t="s">
        <v>11391</v>
      </c>
      <c r="F3130" s="2" t="s">
        <v>4698</v>
      </c>
      <c r="G3130" s="2" t="s">
        <v>350</v>
      </c>
      <c r="H3130" s="2" t="s">
        <v>11392</v>
      </c>
      <c r="I3130" s="2" t="s">
        <v>4604</v>
      </c>
      <c r="J3130" s="2" t="s">
        <v>351</v>
      </c>
      <c r="K3130" s="13" t="s">
        <v>13177</v>
      </c>
      <c r="L3130" s="7" t="s">
        <v>13199</v>
      </c>
    </row>
    <row r="3131" spans="1:12" ht="55.2" hidden="1" x14ac:dyDescent="0.3">
      <c r="A3131" s="2" t="s">
        <v>4604</v>
      </c>
      <c r="B3131" s="2" t="s">
        <v>11393</v>
      </c>
      <c r="C3131" s="3">
        <v>29195</v>
      </c>
      <c r="D3131" s="1" t="s">
        <v>11394</v>
      </c>
      <c r="E3131" s="1" t="s">
        <v>11395</v>
      </c>
      <c r="F3131" s="2" t="s">
        <v>4698</v>
      </c>
      <c r="G3131" s="2" t="s">
        <v>1955</v>
      </c>
      <c r="H3131" s="2" t="s">
        <v>11396</v>
      </c>
      <c r="I3131" s="2" t="s">
        <v>4604</v>
      </c>
      <c r="J3131" s="2" t="s">
        <v>4338</v>
      </c>
      <c r="K3131" s="13" t="s">
        <v>13177</v>
      </c>
      <c r="L3131" s="7" t="s">
        <v>13199</v>
      </c>
    </row>
    <row r="3132" spans="1:12" ht="55.2" hidden="1" x14ac:dyDescent="0.3">
      <c r="A3132" s="2" t="s">
        <v>4604</v>
      </c>
      <c r="B3132" s="2" t="s">
        <v>11397</v>
      </c>
      <c r="C3132" s="3">
        <v>34077</v>
      </c>
      <c r="D3132" s="1" t="s">
        <v>11398</v>
      </c>
      <c r="E3132" s="1" t="s">
        <v>11399</v>
      </c>
      <c r="F3132" s="2" t="s">
        <v>4698</v>
      </c>
      <c r="G3132" s="2" t="s">
        <v>1504</v>
      </c>
      <c r="H3132" s="2" t="s">
        <v>4071</v>
      </c>
      <c r="I3132" s="2" t="s">
        <v>4604</v>
      </c>
      <c r="J3132" s="2" t="s">
        <v>2066</v>
      </c>
      <c r="K3132" s="13" t="s">
        <v>13177</v>
      </c>
      <c r="L3132" s="7" t="s">
        <v>13199</v>
      </c>
    </row>
    <row r="3133" spans="1:12" ht="55.2" hidden="1" x14ac:dyDescent="0.3">
      <c r="A3133" s="2" t="s">
        <v>4604</v>
      </c>
      <c r="B3133" s="2" t="s">
        <v>11400</v>
      </c>
      <c r="C3133" s="3">
        <v>27186</v>
      </c>
      <c r="D3133" s="1" t="s">
        <v>11401</v>
      </c>
      <c r="E3133" s="1" t="s">
        <v>11402</v>
      </c>
      <c r="F3133" s="2" t="s">
        <v>6663</v>
      </c>
      <c r="G3133" s="2" t="s">
        <v>112</v>
      </c>
      <c r="H3133" s="2" t="s">
        <v>11403</v>
      </c>
      <c r="I3133" s="2" t="s">
        <v>4604</v>
      </c>
      <c r="J3133" s="2" t="s">
        <v>113</v>
      </c>
      <c r="K3133" s="13" t="s">
        <v>13177</v>
      </c>
      <c r="L3133" s="7" t="s">
        <v>13199</v>
      </c>
    </row>
    <row r="3134" spans="1:12" ht="55.2" hidden="1" x14ac:dyDescent="0.3">
      <c r="A3134" s="2" t="s">
        <v>4604</v>
      </c>
      <c r="B3134" s="2" t="s">
        <v>11404</v>
      </c>
      <c r="C3134" s="3">
        <v>29378</v>
      </c>
      <c r="D3134" s="1" t="s">
        <v>11405</v>
      </c>
      <c r="E3134" s="1" t="s">
        <v>11406</v>
      </c>
      <c r="F3134" s="2" t="s">
        <v>6663</v>
      </c>
      <c r="G3134" s="2" t="s">
        <v>425</v>
      </c>
      <c r="H3134" s="2" t="s">
        <v>11407</v>
      </c>
      <c r="I3134" s="2" t="s">
        <v>4604</v>
      </c>
      <c r="J3134" s="2" t="s">
        <v>9710</v>
      </c>
      <c r="K3134" s="13" t="s">
        <v>13177</v>
      </c>
      <c r="L3134" s="7" t="s">
        <v>13199</v>
      </c>
    </row>
    <row r="3135" spans="1:12" ht="55.2" hidden="1" x14ac:dyDescent="0.3">
      <c r="A3135" s="2" t="s">
        <v>4604</v>
      </c>
      <c r="B3135" s="2" t="s">
        <v>11408</v>
      </c>
      <c r="C3135" s="3">
        <v>27288</v>
      </c>
      <c r="D3135" s="1" t="s">
        <v>11409</v>
      </c>
      <c r="E3135" s="1" t="s">
        <v>11410</v>
      </c>
      <c r="F3135" s="2" t="s">
        <v>4698</v>
      </c>
      <c r="G3135" s="2" t="s">
        <v>852</v>
      </c>
      <c r="H3135" s="2" t="s">
        <v>11411</v>
      </c>
      <c r="I3135" s="2" t="s">
        <v>4604</v>
      </c>
      <c r="J3135" s="2" t="s">
        <v>7817</v>
      </c>
      <c r="K3135" s="13" t="s">
        <v>13177</v>
      </c>
      <c r="L3135" s="7" t="s">
        <v>13199</v>
      </c>
    </row>
    <row r="3136" spans="1:12" ht="55.2" hidden="1" x14ac:dyDescent="0.3">
      <c r="A3136" s="2" t="s">
        <v>4604</v>
      </c>
      <c r="B3136" s="2" t="s">
        <v>11412</v>
      </c>
      <c r="C3136" s="3">
        <v>22026</v>
      </c>
      <c r="D3136" s="1" t="s">
        <v>4669</v>
      </c>
      <c r="E3136" s="1" t="s">
        <v>4670</v>
      </c>
      <c r="F3136" s="2" t="s">
        <v>4698</v>
      </c>
      <c r="G3136" s="2" t="s">
        <v>283</v>
      </c>
      <c r="H3136" s="2" t="s">
        <v>11413</v>
      </c>
      <c r="I3136" s="2" t="s">
        <v>4604</v>
      </c>
      <c r="J3136" s="2" t="s">
        <v>4161</v>
      </c>
      <c r="K3136" s="13" t="s">
        <v>13177</v>
      </c>
      <c r="L3136" s="7" t="s">
        <v>13199</v>
      </c>
    </row>
    <row r="3137" spans="1:12" hidden="1" x14ac:dyDescent="0.3">
      <c r="A3137" s="51" t="s">
        <v>4139</v>
      </c>
      <c r="B3137" s="51" t="s">
        <v>11414</v>
      </c>
      <c r="C3137" s="52">
        <v>21440</v>
      </c>
      <c r="D3137" s="53" t="s">
        <v>11415</v>
      </c>
      <c r="E3137" s="53" t="s">
        <v>11416</v>
      </c>
      <c r="F3137" s="51" t="s">
        <v>10986</v>
      </c>
      <c r="G3137" s="51" t="s">
        <v>328</v>
      </c>
      <c r="H3137" s="51" t="s">
        <v>10</v>
      </c>
      <c r="I3137" s="51" t="s">
        <v>4139</v>
      </c>
      <c r="J3137" s="51" t="s">
        <v>5106</v>
      </c>
      <c r="K3137" s="54" t="s">
        <v>13177</v>
      </c>
      <c r="L3137" s="55" t="s">
        <v>13199</v>
      </c>
    </row>
    <row r="3138" spans="1:12" hidden="1" x14ac:dyDescent="0.3">
      <c r="A3138" s="2" t="s">
        <v>4139</v>
      </c>
      <c r="B3138" s="2" t="s">
        <v>11417</v>
      </c>
      <c r="C3138" s="3">
        <v>35553</v>
      </c>
      <c r="D3138" s="1" t="s">
        <v>11418</v>
      </c>
      <c r="E3138" s="1" t="s">
        <v>11419</v>
      </c>
      <c r="F3138" s="2" t="s">
        <v>10986</v>
      </c>
      <c r="G3138" s="2" t="s">
        <v>157</v>
      </c>
      <c r="H3138" s="2" t="s">
        <v>10</v>
      </c>
      <c r="I3138" s="2" t="s">
        <v>4139</v>
      </c>
      <c r="J3138" s="2" t="s">
        <v>158</v>
      </c>
      <c r="K3138" s="13" t="s">
        <v>13177</v>
      </c>
      <c r="L3138" s="7" t="s">
        <v>13202</v>
      </c>
    </row>
    <row r="3139" spans="1:12" hidden="1" x14ac:dyDescent="0.3">
      <c r="A3139" s="2" t="s">
        <v>4139</v>
      </c>
      <c r="B3139" s="2" t="s">
        <v>11420</v>
      </c>
      <c r="C3139" s="3">
        <v>28975</v>
      </c>
      <c r="D3139" s="1" t="s">
        <v>11421</v>
      </c>
      <c r="E3139" s="1" t="s">
        <v>11422</v>
      </c>
      <c r="F3139" s="2" t="s">
        <v>9601</v>
      </c>
      <c r="G3139" s="2" t="s">
        <v>9423</v>
      </c>
      <c r="H3139" s="2" t="s">
        <v>10</v>
      </c>
      <c r="I3139" s="2" t="s">
        <v>4139</v>
      </c>
      <c r="J3139" s="2" t="s">
        <v>11423</v>
      </c>
      <c r="K3139" s="14"/>
      <c r="L3139" s="7" t="s">
        <v>13199</v>
      </c>
    </row>
    <row r="3140" spans="1:12" ht="27.6" hidden="1" x14ac:dyDescent="0.3">
      <c r="A3140" s="2" t="s">
        <v>4386</v>
      </c>
      <c r="B3140" s="2" t="s">
        <v>11424</v>
      </c>
      <c r="C3140" s="3">
        <v>36868</v>
      </c>
      <c r="D3140" s="1" t="s">
        <v>11425</v>
      </c>
      <c r="E3140" s="1" t="s">
        <v>11426</v>
      </c>
      <c r="F3140" s="2" t="s">
        <v>9468</v>
      </c>
      <c r="G3140" s="2" t="s">
        <v>3428</v>
      </c>
      <c r="H3140" s="2" t="s">
        <v>10</v>
      </c>
      <c r="I3140" s="2" t="s">
        <v>4386</v>
      </c>
      <c r="J3140" s="2" t="s">
        <v>11427</v>
      </c>
      <c r="K3140" s="13" t="s">
        <v>13177</v>
      </c>
      <c r="L3140" s="7" t="s">
        <v>13199</v>
      </c>
    </row>
    <row r="3141" spans="1:12" ht="27.6" hidden="1" x14ac:dyDescent="0.3">
      <c r="A3141" s="2" t="s">
        <v>4386</v>
      </c>
      <c r="B3141" s="2" t="s">
        <v>11428</v>
      </c>
      <c r="C3141" s="3">
        <v>34704</v>
      </c>
      <c r="D3141" s="1" t="s">
        <v>11429</v>
      </c>
      <c r="E3141" s="1" t="s">
        <v>11430</v>
      </c>
      <c r="F3141" s="2" t="s">
        <v>9468</v>
      </c>
      <c r="G3141" s="2" t="s">
        <v>1328</v>
      </c>
      <c r="H3141" s="2" t="s">
        <v>10</v>
      </c>
      <c r="I3141" s="2" t="s">
        <v>4386</v>
      </c>
      <c r="J3141" s="2" t="s">
        <v>11431</v>
      </c>
      <c r="K3141" s="13" t="s">
        <v>13177</v>
      </c>
      <c r="L3141" s="7" t="s">
        <v>13199</v>
      </c>
    </row>
    <row r="3142" spans="1:12" ht="27.6" hidden="1" x14ac:dyDescent="0.3">
      <c r="A3142" s="2" t="s">
        <v>4386</v>
      </c>
      <c r="B3142" s="2" t="s">
        <v>11428</v>
      </c>
      <c r="C3142" s="3">
        <v>35069</v>
      </c>
      <c r="D3142" s="1" t="s">
        <v>11429</v>
      </c>
      <c r="E3142" s="1" t="s">
        <v>11430</v>
      </c>
      <c r="F3142" s="2" t="s">
        <v>5053</v>
      </c>
      <c r="G3142" s="2" t="s">
        <v>31</v>
      </c>
      <c r="H3142" s="2" t="s">
        <v>10</v>
      </c>
      <c r="I3142" s="2" t="s">
        <v>4386</v>
      </c>
      <c r="J3142" s="2" t="s">
        <v>684</v>
      </c>
      <c r="K3142" s="13" t="s">
        <v>13177</v>
      </c>
      <c r="L3142" s="7" t="s">
        <v>13199</v>
      </c>
    </row>
    <row r="3143" spans="1:12" ht="27.6" hidden="1" x14ac:dyDescent="0.3">
      <c r="A3143" s="2" t="s">
        <v>4386</v>
      </c>
      <c r="B3143" s="2" t="s">
        <v>11432</v>
      </c>
      <c r="C3143" s="3">
        <v>36684</v>
      </c>
      <c r="D3143" s="1" t="s">
        <v>11433</v>
      </c>
      <c r="E3143" s="1" t="s">
        <v>11434</v>
      </c>
      <c r="F3143" s="2" t="s">
        <v>4396</v>
      </c>
      <c r="G3143" s="2" t="s">
        <v>8123</v>
      </c>
      <c r="H3143" s="2" t="s">
        <v>2571</v>
      </c>
      <c r="I3143" s="2" t="s">
        <v>4386</v>
      </c>
      <c r="J3143" s="2" t="s">
        <v>11435</v>
      </c>
      <c r="K3143" s="13" t="s">
        <v>13177</v>
      </c>
      <c r="L3143" s="7" t="s">
        <v>13199</v>
      </c>
    </row>
    <row r="3144" spans="1:12" ht="27.6" hidden="1" x14ac:dyDescent="0.3">
      <c r="A3144" s="2" t="s">
        <v>4386</v>
      </c>
      <c r="B3144" s="2" t="s">
        <v>11436</v>
      </c>
      <c r="C3144" s="3">
        <v>36855</v>
      </c>
      <c r="D3144" s="1" t="s">
        <v>11437</v>
      </c>
      <c r="E3144" s="1" t="s">
        <v>11438</v>
      </c>
      <c r="F3144" s="2" t="s">
        <v>4396</v>
      </c>
      <c r="G3144" s="2" t="s">
        <v>6869</v>
      </c>
      <c r="H3144" s="2" t="s">
        <v>10</v>
      </c>
      <c r="I3144" s="2" t="s">
        <v>4386</v>
      </c>
      <c r="J3144" s="2" t="s">
        <v>11439</v>
      </c>
      <c r="K3144" s="16" t="s">
        <v>13177</v>
      </c>
      <c r="L3144" s="7" t="s">
        <v>13199</v>
      </c>
    </row>
    <row r="3145" spans="1:12" hidden="1" x14ac:dyDescent="0.3">
      <c r="A3145" s="2" t="s">
        <v>4139</v>
      </c>
      <c r="B3145" s="2" t="s">
        <v>11440</v>
      </c>
      <c r="C3145" s="3">
        <v>24058</v>
      </c>
      <c r="D3145" s="1" t="s">
        <v>11441</v>
      </c>
      <c r="E3145" s="1" t="s">
        <v>11442</v>
      </c>
      <c r="F3145" s="2" t="s">
        <v>4143</v>
      </c>
      <c r="G3145" s="2" t="s">
        <v>64</v>
      </c>
      <c r="H3145" s="2" t="s">
        <v>10</v>
      </c>
      <c r="I3145" s="2" t="s">
        <v>4139</v>
      </c>
      <c r="J3145" s="2" t="s">
        <v>2854</v>
      </c>
      <c r="K3145" s="14"/>
      <c r="L3145" s="7" t="s">
        <v>13199</v>
      </c>
    </row>
    <row r="3146" spans="1:12" hidden="1" x14ac:dyDescent="0.3">
      <c r="A3146" s="2" t="s">
        <v>4139</v>
      </c>
      <c r="B3146" s="2" t="s">
        <v>11443</v>
      </c>
      <c r="C3146" s="3">
        <v>19902</v>
      </c>
      <c r="D3146" s="1" t="s">
        <v>11444</v>
      </c>
      <c r="E3146" s="1" t="s">
        <v>11445</v>
      </c>
      <c r="F3146" s="2" t="s">
        <v>9413</v>
      </c>
      <c r="G3146" s="2" t="s">
        <v>492</v>
      </c>
      <c r="H3146" s="2" t="s">
        <v>334</v>
      </c>
      <c r="I3146" s="2" t="s">
        <v>4139</v>
      </c>
      <c r="J3146" s="2" t="s">
        <v>619</v>
      </c>
      <c r="K3146" s="20" t="s">
        <v>13177</v>
      </c>
      <c r="L3146" s="7" t="s">
        <v>13199</v>
      </c>
    </row>
    <row r="3147" spans="1:12" hidden="1" x14ac:dyDescent="0.3">
      <c r="A3147" s="2" t="s">
        <v>4139</v>
      </c>
      <c r="B3147" s="2" t="s">
        <v>11446</v>
      </c>
      <c r="C3147" s="3">
        <v>22029</v>
      </c>
      <c r="D3147" s="1" t="s">
        <v>11447</v>
      </c>
      <c r="E3147" s="1" t="s">
        <v>11448</v>
      </c>
      <c r="F3147" s="2" t="s">
        <v>9413</v>
      </c>
      <c r="G3147" s="2" t="s">
        <v>397</v>
      </c>
      <c r="H3147" s="2" t="s">
        <v>10</v>
      </c>
      <c r="I3147" s="2" t="s">
        <v>4139</v>
      </c>
      <c r="J3147" s="2" t="s">
        <v>398</v>
      </c>
      <c r="K3147" s="13" t="s">
        <v>13177</v>
      </c>
      <c r="L3147" s="7" t="s">
        <v>13199</v>
      </c>
    </row>
    <row r="3148" spans="1:12" hidden="1" x14ac:dyDescent="0.3">
      <c r="A3148" s="2" t="s">
        <v>4139</v>
      </c>
      <c r="B3148" s="2" t="s">
        <v>11449</v>
      </c>
      <c r="C3148" s="3">
        <v>33276</v>
      </c>
      <c r="D3148" s="1" t="s">
        <v>11450</v>
      </c>
      <c r="E3148" s="1" t="s">
        <v>11451</v>
      </c>
      <c r="F3148" s="2" t="s">
        <v>9413</v>
      </c>
      <c r="G3148" s="2" t="s">
        <v>1763</v>
      </c>
      <c r="H3148" s="2" t="s">
        <v>10</v>
      </c>
      <c r="I3148" s="2" t="s">
        <v>4139</v>
      </c>
      <c r="J3148" s="2" t="s">
        <v>1764</v>
      </c>
      <c r="K3148" s="13" t="s">
        <v>13177</v>
      </c>
      <c r="L3148" s="7" t="s">
        <v>13199</v>
      </c>
    </row>
    <row r="3149" spans="1:12" ht="27.6" hidden="1" x14ac:dyDescent="0.3">
      <c r="A3149" s="2" t="s">
        <v>4139</v>
      </c>
      <c r="B3149" s="2" t="s">
        <v>11452</v>
      </c>
      <c r="C3149" s="3">
        <v>35228</v>
      </c>
      <c r="D3149" s="1" t="s">
        <v>11453</v>
      </c>
      <c r="E3149" s="1" t="s">
        <v>11454</v>
      </c>
      <c r="F3149" s="2" t="s">
        <v>9413</v>
      </c>
      <c r="G3149" s="2" t="s">
        <v>211</v>
      </c>
      <c r="H3149" s="2" t="s">
        <v>10</v>
      </c>
      <c r="I3149" s="2" t="s">
        <v>4139</v>
      </c>
      <c r="J3149" s="2" t="s">
        <v>212</v>
      </c>
      <c r="K3149" s="13" t="s">
        <v>13177</v>
      </c>
      <c r="L3149" s="7" t="s">
        <v>13199</v>
      </c>
    </row>
    <row r="3150" spans="1:12" ht="27.6" hidden="1" x14ac:dyDescent="0.3">
      <c r="A3150" s="2" t="s">
        <v>1962</v>
      </c>
      <c r="B3150" s="2" t="s">
        <v>11455</v>
      </c>
      <c r="C3150" s="3">
        <v>22486</v>
      </c>
      <c r="D3150" s="1" t="s">
        <v>11456</v>
      </c>
      <c r="E3150" s="1" t="s">
        <v>11457</v>
      </c>
      <c r="F3150" s="2" t="s">
        <v>10934</v>
      </c>
      <c r="G3150" s="2" t="s">
        <v>190</v>
      </c>
      <c r="H3150" s="2" t="s">
        <v>334</v>
      </c>
      <c r="I3150" s="2" t="s">
        <v>1962</v>
      </c>
      <c r="J3150" s="2" t="s">
        <v>1155</v>
      </c>
      <c r="K3150" s="13" t="s">
        <v>13177</v>
      </c>
      <c r="L3150" s="7" t="s">
        <v>13199</v>
      </c>
    </row>
    <row r="3151" spans="1:12" ht="27.6" hidden="1" x14ac:dyDescent="0.3">
      <c r="A3151" s="2" t="s">
        <v>1962</v>
      </c>
      <c r="B3151" s="2" t="s">
        <v>11458</v>
      </c>
      <c r="C3151" s="3">
        <v>32218</v>
      </c>
      <c r="D3151" s="1" t="s">
        <v>11459</v>
      </c>
      <c r="E3151" s="1" t="s">
        <v>11460</v>
      </c>
      <c r="F3151" s="2" t="s">
        <v>10934</v>
      </c>
      <c r="G3151" s="2" t="s">
        <v>157</v>
      </c>
      <c r="H3151" s="2" t="s">
        <v>10</v>
      </c>
      <c r="I3151" s="2" t="s">
        <v>1962</v>
      </c>
      <c r="J3151" s="2" t="s">
        <v>158</v>
      </c>
      <c r="K3151" s="16" t="s">
        <v>13177</v>
      </c>
      <c r="L3151" s="7" t="s">
        <v>13199</v>
      </c>
    </row>
    <row r="3152" spans="1:12" hidden="1" x14ac:dyDescent="0.3">
      <c r="A3152" s="2" t="s">
        <v>4139</v>
      </c>
      <c r="B3152" s="2" t="s">
        <v>11461</v>
      </c>
      <c r="C3152" s="3">
        <v>31087</v>
      </c>
      <c r="D3152" s="1" t="s">
        <v>11462</v>
      </c>
      <c r="E3152" s="1" t="s">
        <v>11463</v>
      </c>
      <c r="F3152" s="2" t="s">
        <v>4143</v>
      </c>
      <c r="G3152" s="2" t="s">
        <v>2833</v>
      </c>
      <c r="H3152" s="2" t="s">
        <v>10</v>
      </c>
      <c r="I3152" s="2" t="s">
        <v>4139</v>
      </c>
      <c r="J3152" s="2" t="s">
        <v>9748</v>
      </c>
      <c r="K3152" s="14"/>
      <c r="L3152" s="7" t="s">
        <v>13199</v>
      </c>
    </row>
    <row r="3153" spans="1:12" hidden="1" x14ac:dyDescent="0.3">
      <c r="A3153" s="2" t="s">
        <v>4139</v>
      </c>
      <c r="B3153" s="2" t="s">
        <v>10877</v>
      </c>
      <c r="C3153" s="3">
        <v>22518</v>
      </c>
      <c r="D3153" s="1" t="s">
        <v>11464</v>
      </c>
      <c r="E3153" s="1" t="s">
        <v>10879</v>
      </c>
      <c r="F3153" s="2" t="s">
        <v>9601</v>
      </c>
      <c r="G3153" s="2" t="s">
        <v>11465</v>
      </c>
      <c r="H3153" s="2" t="s">
        <v>10</v>
      </c>
      <c r="I3153" s="2" t="s">
        <v>4139</v>
      </c>
      <c r="J3153" s="2" t="s">
        <v>11466</v>
      </c>
      <c r="K3153" s="25"/>
      <c r="L3153" s="7" t="s">
        <v>13199</v>
      </c>
    </row>
    <row r="3154" spans="1:12" hidden="1" x14ac:dyDescent="0.3">
      <c r="A3154" s="2" t="s">
        <v>4139</v>
      </c>
      <c r="B3154" s="2" t="s">
        <v>11467</v>
      </c>
      <c r="C3154" s="3">
        <v>31333</v>
      </c>
      <c r="D3154" s="1" t="s">
        <v>261</v>
      </c>
      <c r="E3154" s="1" t="s">
        <v>11468</v>
      </c>
      <c r="F3154" s="2" t="s">
        <v>9413</v>
      </c>
      <c r="G3154" s="2" t="s">
        <v>880</v>
      </c>
      <c r="H3154" s="2" t="s">
        <v>4531</v>
      </c>
      <c r="I3154" s="2" t="s">
        <v>4139</v>
      </c>
      <c r="J3154" s="2" t="s">
        <v>881</v>
      </c>
      <c r="K3154" s="13" t="s">
        <v>13177</v>
      </c>
      <c r="L3154" s="7" t="s">
        <v>13199</v>
      </c>
    </row>
    <row r="3155" spans="1:12" ht="55.2" hidden="1" x14ac:dyDescent="0.3">
      <c r="A3155" s="2" t="s">
        <v>4604</v>
      </c>
      <c r="B3155" s="2" t="s">
        <v>11469</v>
      </c>
      <c r="C3155" s="3">
        <v>27992</v>
      </c>
      <c r="D3155" s="1" t="s">
        <v>11470</v>
      </c>
      <c r="E3155" s="1" t="s">
        <v>11471</v>
      </c>
      <c r="F3155" s="2" t="s">
        <v>7998</v>
      </c>
      <c r="G3155" s="2" t="s">
        <v>2594</v>
      </c>
      <c r="H3155" s="2" t="s">
        <v>11472</v>
      </c>
      <c r="I3155" s="2" t="s">
        <v>4604</v>
      </c>
      <c r="J3155" s="2" t="s">
        <v>7447</v>
      </c>
      <c r="K3155" s="13" t="s">
        <v>13177</v>
      </c>
      <c r="L3155" s="7" t="s">
        <v>13199</v>
      </c>
    </row>
    <row r="3156" spans="1:12" ht="55.2" hidden="1" x14ac:dyDescent="0.3">
      <c r="A3156" s="2" t="s">
        <v>4604</v>
      </c>
      <c r="B3156" s="2" t="s">
        <v>11473</v>
      </c>
      <c r="C3156" s="3">
        <v>36236</v>
      </c>
      <c r="D3156" s="1" t="s">
        <v>11474</v>
      </c>
      <c r="E3156" s="1" t="s">
        <v>11475</v>
      </c>
      <c r="F3156" s="2" t="s">
        <v>4698</v>
      </c>
      <c r="G3156" s="2" t="s">
        <v>392</v>
      </c>
      <c r="H3156" s="2" t="s">
        <v>1324</v>
      </c>
      <c r="I3156" s="2" t="s">
        <v>4604</v>
      </c>
      <c r="J3156" s="2" t="s">
        <v>5658</v>
      </c>
      <c r="K3156" s="13" t="s">
        <v>13177</v>
      </c>
      <c r="L3156" s="7" t="s">
        <v>13199</v>
      </c>
    </row>
    <row r="3157" spans="1:12" ht="55.2" hidden="1" x14ac:dyDescent="0.3">
      <c r="A3157" s="2" t="s">
        <v>4604</v>
      </c>
      <c r="B3157" s="2" t="s">
        <v>11476</v>
      </c>
      <c r="C3157" s="3">
        <v>23083</v>
      </c>
      <c r="D3157" s="1" t="s">
        <v>442</v>
      </c>
      <c r="E3157" s="1" t="s">
        <v>11477</v>
      </c>
      <c r="F3157" s="2" t="s">
        <v>4698</v>
      </c>
      <c r="G3157" s="2" t="s">
        <v>2456</v>
      </c>
      <c r="H3157" s="2" t="s">
        <v>11478</v>
      </c>
      <c r="I3157" s="2" t="s">
        <v>4604</v>
      </c>
      <c r="J3157" s="2" t="s">
        <v>11479</v>
      </c>
      <c r="K3157" s="13" t="s">
        <v>13177</v>
      </c>
      <c r="L3157" s="7" t="s">
        <v>13199</v>
      </c>
    </row>
    <row r="3158" spans="1:12" ht="55.2" hidden="1" x14ac:dyDescent="0.3">
      <c r="A3158" s="2" t="s">
        <v>4604</v>
      </c>
      <c r="B3158" s="2" t="s">
        <v>11480</v>
      </c>
      <c r="C3158" s="3">
        <v>33450</v>
      </c>
      <c r="D3158" s="1" t="s">
        <v>11481</v>
      </c>
      <c r="E3158" s="1" t="s">
        <v>11482</v>
      </c>
      <c r="F3158" s="2" t="s">
        <v>7787</v>
      </c>
      <c r="G3158" s="2" t="s">
        <v>288</v>
      </c>
      <c r="H3158" s="2" t="s">
        <v>11483</v>
      </c>
      <c r="I3158" s="2" t="s">
        <v>4604</v>
      </c>
      <c r="J3158" s="2" t="s">
        <v>4962</v>
      </c>
      <c r="K3158" s="13" t="s">
        <v>13177</v>
      </c>
      <c r="L3158" s="7" t="s">
        <v>13199</v>
      </c>
    </row>
    <row r="3159" spans="1:12" ht="55.2" hidden="1" x14ac:dyDescent="0.3">
      <c r="A3159" s="2" t="s">
        <v>4604</v>
      </c>
      <c r="B3159" s="2" t="s">
        <v>11484</v>
      </c>
      <c r="C3159" s="3">
        <v>26393</v>
      </c>
      <c r="D3159" s="1" t="s">
        <v>11485</v>
      </c>
      <c r="E3159" s="1" t="s">
        <v>11486</v>
      </c>
      <c r="F3159" s="2" t="s">
        <v>7787</v>
      </c>
      <c r="G3159" s="2" t="s">
        <v>1763</v>
      </c>
      <c r="H3159" s="2" t="s">
        <v>11487</v>
      </c>
      <c r="I3159" s="2" t="s">
        <v>4604</v>
      </c>
      <c r="J3159" s="2" t="s">
        <v>4972</v>
      </c>
      <c r="K3159" s="13" t="s">
        <v>13177</v>
      </c>
      <c r="L3159" s="7" t="s">
        <v>13199</v>
      </c>
    </row>
    <row r="3160" spans="1:12" ht="55.2" hidden="1" x14ac:dyDescent="0.3">
      <c r="A3160" s="2" t="s">
        <v>4604</v>
      </c>
      <c r="B3160" s="2" t="s">
        <v>11488</v>
      </c>
      <c r="C3160" s="3">
        <v>24187</v>
      </c>
      <c r="D3160" s="1" t="s">
        <v>11489</v>
      </c>
      <c r="E3160" s="1" t="s">
        <v>11490</v>
      </c>
      <c r="F3160" s="2" t="s">
        <v>7787</v>
      </c>
      <c r="G3160" s="2" t="s">
        <v>604</v>
      </c>
      <c r="H3160" s="2" t="s">
        <v>11491</v>
      </c>
      <c r="I3160" s="2" t="s">
        <v>4604</v>
      </c>
      <c r="J3160" s="2" t="s">
        <v>5551</v>
      </c>
      <c r="K3160" s="13" t="s">
        <v>13177</v>
      </c>
      <c r="L3160" s="7" t="s">
        <v>13199</v>
      </c>
    </row>
    <row r="3161" spans="1:12" ht="55.2" hidden="1" x14ac:dyDescent="0.3">
      <c r="A3161" s="2" t="s">
        <v>4604</v>
      </c>
      <c r="B3161" s="2" t="s">
        <v>11492</v>
      </c>
      <c r="C3161" s="3">
        <v>22942</v>
      </c>
      <c r="D3161" s="1" t="s">
        <v>11493</v>
      </c>
      <c r="E3161" s="1" t="s">
        <v>11494</v>
      </c>
      <c r="F3161" s="2" t="s">
        <v>7474</v>
      </c>
      <c r="G3161" s="2" t="s">
        <v>222</v>
      </c>
      <c r="H3161" s="2" t="s">
        <v>11495</v>
      </c>
      <c r="I3161" s="2" t="s">
        <v>4604</v>
      </c>
      <c r="J3161" s="2" t="s">
        <v>417</v>
      </c>
      <c r="K3161" s="13" t="s">
        <v>13177</v>
      </c>
      <c r="L3161" s="7" t="s">
        <v>13199</v>
      </c>
    </row>
    <row r="3162" spans="1:12" ht="55.2" hidden="1" x14ac:dyDescent="0.3">
      <c r="A3162" s="2" t="s">
        <v>4604</v>
      </c>
      <c r="B3162" s="2" t="s">
        <v>11496</v>
      </c>
      <c r="C3162" s="3">
        <v>22904</v>
      </c>
      <c r="D3162" s="1" t="s">
        <v>11497</v>
      </c>
      <c r="E3162" s="1" t="s">
        <v>11498</v>
      </c>
      <c r="F3162" s="2" t="s">
        <v>7474</v>
      </c>
      <c r="G3162" s="2" t="s">
        <v>3176</v>
      </c>
      <c r="H3162" s="2" t="s">
        <v>11499</v>
      </c>
      <c r="I3162" s="2" t="s">
        <v>4604</v>
      </c>
      <c r="J3162" s="2" t="s">
        <v>11500</v>
      </c>
      <c r="K3162" s="13" t="s">
        <v>13177</v>
      </c>
      <c r="L3162" s="7" t="s">
        <v>13199</v>
      </c>
    </row>
    <row r="3163" spans="1:12" ht="55.2" hidden="1" x14ac:dyDescent="0.3">
      <c r="A3163" s="2" t="s">
        <v>4604</v>
      </c>
      <c r="B3163" s="2" t="s">
        <v>11501</v>
      </c>
      <c r="C3163" s="3">
        <v>29997</v>
      </c>
      <c r="D3163" s="1" t="s">
        <v>11502</v>
      </c>
      <c r="E3163" s="1" t="s">
        <v>11503</v>
      </c>
      <c r="F3163" s="2" t="s">
        <v>7474</v>
      </c>
      <c r="G3163" s="2" t="s">
        <v>143</v>
      </c>
      <c r="H3163" s="2" t="s">
        <v>11504</v>
      </c>
      <c r="I3163" s="2" t="s">
        <v>4604</v>
      </c>
      <c r="J3163" s="2" t="s">
        <v>324</v>
      </c>
      <c r="K3163" s="13" t="s">
        <v>13177</v>
      </c>
      <c r="L3163" s="7" t="s">
        <v>13199</v>
      </c>
    </row>
    <row r="3164" spans="1:12" ht="55.2" hidden="1" x14ac:dyDescent="0.3">
      <c r="A3164" s="2" t="s">
        <v>4604</v>
      </c>
      <c r="B3164" s="2" t="s">
        <v>11501</v>
      </c>
      <c r="C3164" s="3">
        <v>29997</v>
      </c>
      <c r="D3164" s="1" t="s">
        <v>11502</v>
      </c>
      <c r="E3164" s="1" t="s">
        <v>11503</v>
      </c>
      <c r="F3164" s="2" t="s">
        <v>7474</v>
      </c>
      <c r="G3164" s="2" t="s">
        <v>1354</v>
      </c>
      <c r="H3164" s="2" t="s">
        <v>11505</v>
      </c>
      <c r="I3164" s="2" t="s">
        <v>4604</v>
      </c>
      <c r="J3164" s="2" t="s">
        <v>11506</v>
      </c>
      <c r="K3164" s="13" t="s">
        <v>13177</v>
      </c>
      <c r="L3164" s="7" t="s">
        <v>13199</v>
      </c>
    </row>
    <row r="3165" spans="1:12" ht="55.2" hidden="1" x14ac:dyDescent="0.3">
      <c r="A3165" s="2" t="s">
        <v>4604</v>
      </c>
      <c r="B3165" s="2" t="s">
        <v>11507</v>
      </c>
      <c r="C3165" s="3">
        <v>22685</v>
      </c>
      <c r="D3165" s="1" t="s">
        <v>11508</v>
      </c>
      <c r="E3165" s="1" t="s">
        <v>11509</v>
      </c>
      <c r="F3165" s="2" t="s">
        <v>7474</v>
      </c>
      <c r="G3165" s="2" t="s">
        <v>25</v>
      </c>
      <c r="H3165" s="2" t="s">
        <v>11510</v>
      </c>
      <c r="I3165" s="2" t="s">
        <v>4604</v>
      </c>
      <c r="J3165" s="2" t="s">
        <v>27</v>
      </c>
      <c r="K3165" s="13" t="s">
        <v>13177</v>
      </c>
      <c r="L3165" s="7" t="s">
        <v>13199</v>
      </c>
    </row>
    <row r="3166" spans="1:12" ht="55.2" hidden="1" x14ac:dyDescent="0.3">
      <c r="A3166" s="2" t="s">
        <v>4604</v>
      </c>
      <c r="B3166" s="2" t="s">
        <v>11511</v>
      </c>
      <c r="C3166" s="3">
        <v>32130</v>
      </c>
      <c r="D3166" s="1" t="s">
        <v>11512</v>
      </c>
      <c r="E3166" s="1" t="s">
        <v>11513</v>
      </c>
      <c r="F3166" s="2" t="s">
        <v>7474</v>
      </c>
      <c r="G3166" s="2" t="s">
        <v>366</v>
      </c>
      <c r="H3166" s="2" t="s">
        <v>11514</v>
      </c>
      <c r="I3166" s="2" t="s">
        <v>4604</v>
      </c>
      <c r="J3166" s="2" t="s">
        <v>701</v>
      </c>
      <c r="K3166" s="13" t="s">
        <v>13177</v>
      </c>
      <c r="L3166" s="7" t="s">
        <v>13199</v>
      </c>
    </row>
    <row r="3167" spans="1:12" ht="55.2" hidden="1" x14ac:dyDescent="0.3">
      <c r="A3167" s="2" t="s">
        <v>4604</v>
      </c>
      <c r="B3167" s="2" t="s">
        <v>11515</v>
      </c>
      <c r="C3167" s="3">
        <v>17629</v>
      </c>
      <c r="D3167" s="1" t="s">
        <v>11516</v>
      </c>
      <c r="E3167" s="1" t="s">
        <v>11517</v>
      </c>
      <c r="F3167" s="2" t="s">
        <v>7474</v>
      </c>
      <c r="G3167" s="2" t="s">
        <v>48</v>
      </c>
      <c r="H3167" s="2" t="s">
        <v>11518</v>
      </c>
      <c r="I3167" s="2" t="s">
        <v>4604</v>
      </c>
      <c r="J3167" s="2" t="s">
        <v>700</v>
      </c>
      <c r="K3167" s="13" t="s">
        <v>13177</v>
      </c>
      <c r="L3167" s="7" t="s">
        <v>13199</v>
      </c>
    </row>
    <row r="3168" spans="1:12" ht="55.2" hidden="1" x14ac:dyDescent="0.3">
      <c r="A3168" s="2" t="s">
        <v>4604</v>
      </c>
      <c r="B3168" s="2" t="s">
        <v>11519</v>
      </c>
      <c r="C3168" s="3">
        <v>35646</v>
      </c>
      <c r="D3168" s="1" t="s">
        <v>11520</v>
      </c>
      <c r="E3168" s="1" t="s">
        <v>11521</v>
      </c>
      <c r="F3168" s="2" t="s">
        <v>7787</v>
      </c>
      <c r="G3168" s="2" t="s">
        <v>217</v>
      </c>
      <c r="H3168" s="2" t="s">
        <v>11522</v>
      </c>
      <c r="I3168" s="2" t="s">
        <v>4604</v>
      </c>
      <c r="J3168" s="2" t="s">
        <v>412</v>
      </c>
      <c r="K3168" s="13" t="s">
        <v>13177</v>
      </c>
      <c r="L3168" s="7" t="s">
        <v>13199</v>
      </c>
    </row>
    <row r="3169" spans="1:12" ht="55.2" hidden="1" x14ac:dyDescent="0.3">
      <c r="A3169" s="2" t="s">
        <v>4604</v>
      </c>
      <c r="B3169" s="2" t="s">
        <v>11523</v>
      </c>
      <c r="C3169" s="3">
        <v>33154</v>
      </c>
      <c r="D3169" s="1" t="s">
        <v>11524</v>
      </c>
      <c r="E3169" s="1" t="s">
        <v>11525</v>
      </c>
      <c r="F3169" s="2" t="s">
        <v>6663</v>
      </c>
      <c r="G3169" s="2" t="s">
        <v>37</v>
      </c>
      <c r="H3169" s="2" t="s">
        <v>11526</v>
      </c>
      <c r="I3169" s="2" t="s">
        <v>4604</v>
      </c>
      <c r="J3169" s="2" t="s">
        <v>38</v>
      </c>
      <c r="K3169" s="13" t="s">
        <v>13177</v>
      </c>
      <c r="L3169" s="7" t="s">
        <v>13199</v>
      </c>
    </row>
    <row r="3170" spans="1:12" ht="55.2" hidden="1" x14ac:dyDescent="0.3">
      <c r="A3170" s="2" t="s">
        <v>4604</v>
      </c>
      <c r="B3170" s="2" t="s">
        <v>11527</v>
      </c>
      <c r="C3170" s="3">
        <v>34960</v>
      </c>
      <c r="D3170" s="1" t="s">
        <v>11528</v>
      </c>
      <c r="E3170" s="1" t="s">
        <v>11529</v>
      </c>
      <c r="F3170" s="2" t="s">
        <v>4608</v>
      </c>
      <c r="G3170" s="2" t="s">
        <v>328</v>
      </c>
      <c r="H3170" s="2" t="s">
        <v>11530</v>
      </c>
      <c r="I3170" s="2" t="s">
        <v>4604</v>
      </c>
      <c r="J3170" s="2" t="s">
        <v>1839</v>
      </c>
      <c r="K3170" s="13" t="s">
        <v>13177</v>
      </c>
      <c r="L3170" s="7" t="s">
        <v>13199</v>
      </c>
    </row>
    <row r="3171" spans="1:12" ht="55.2" hidden="1" x14ac:dyDescent="0.3">
      <c r="A3171" s="2" t="s">
        <v>4604</v>
      </c>
      <c r="B3171" s="2" t="s">
        <v>6378</v>
      </c>
      <c r="C3171" s="3">
        <v>29930</v>
      </c>
      <c r="D3171" s="1" t="s">
        <v>6379</v>
      </c>
      <c r="E3171" s="1" t="s">
        <v>6380</v>
      </c>
      <c r="F3171" s="2" t="s">
        <v>6663</v>
      </c>
      <c r="G3171" s="2" t="s">
        <v>696</v>
      </c>
      <c r="H3171" s="2" t="s">
        <v>11531</v>
      </c>
      <c r="I3171" s="2" t="s">
        <v>4604</v>
      </c>
      <c r="J3171" s="2" t="s">
        <v>4099</v>
      </c>
      <c r="K3171" s="13" t="s">
        <v>13177</v>
      </c>
      <c r="L3171" s="7" t="s">
        <v>13199</v>
      </c>
    </row>
    <row r="3172" spans="1:12" ht="55.2" hidden="1" x14ac:dyDescent="0.3">
      <c r="A3172" s="2" t="s">
        <v>4604</v>
      </c>
      <c r="B3172" s="2" t="s">
        <v>11532</v>
      </c>
      <c r="C3172" s="3">
        <v>25758</v>
      </c>
      <c r="D3172" s="1" t="s">
        <v>11533</v>
      </c>
      <c r="E3172" s="1" t="s">
        <v>11534</v>
      </c>
      <c r="F3172" s="2" t="s">
        <v>6663</v>
      </c>
      <c r="G3172" s="2" t="s">
        <v>92</v>
      </c>
      <c r="H3172" s="2" t="s">
        <v>11535</v>
      </c>
      <c r="I3172" s="2" t="s">
        <v>4604</v>
      </c>
      <c r="J3172" s="2" t="s">
        <v>93</v>
      </c>
      <c r="K3172" s="13" t="s">
        <v>13177</v>
      </c>
      <c r="L3172" s="7" t="s">
        <v>13199</v>
      </c>
    </row>
    <row r="3173" spans="1:12" ht="55.2" hidden="1" x14ac:dyDescent="0.3">
      <c r="A3173" s="2" t="s">
        <v>4604</v>
      </c>
      <c r="B3173" s="2" t="s">
        <v>11536</v>
      </c>
      <c r="C3173" s="3">
        <v>36368</v>
      </c>
      <c r="D3173" s="1" t="s">
        <v>11537</v>
      </c>
      <c r="E3173" s="1" t="s">
        <v>11538</v>
      </c>
      <c r="F3173" s="2" t="s">
        <v>7998</v>
      </c>
      <c r="G3173" s="2" t="s">
        <v>392</v>
      </c>
      <c r="H3173" s="2" t="s">
        <v>11539</v>
      </c>
      <c r="I3173" s="2" t="s">
        <v>4604</v>
      </c>
      <c r="J3173" s="2" t="s">
        <v>5658</v>
      </c>
      <c r="K3173" s="13" t="s">
        <v>13177</v>
      </c>
      <c r="L3173" s="7" t="s">
        <v>13199</v>
      </c>
    </row>
    <row r="3174" spans="1:12" ht="55.2" hidden="1" x14ac:dyDescent="0.3">
      <c r="A3174" s="2" t="s">
        <v>4604</v>
      </c>
      <c r="B3174" s="2" t="s">
        <v>11540</v>
      </c>
      <c r="C3174" s="3">
        <v>20107</v>
      </c>
      <c r="D3174" s="1" t="s">
        <v>11111</v>
      </c>
      <c r="E3174" s="1" t="s">
        <v>11112</v>
      </c>
      <c r="F3174" s="2" t="s">
        <v>7998</v>
      </c>
      <c r="G3174" s="2" t="s">
        <v>1955</v>
      </c>
      <c r="H3174" s="2" t="s">
        <v>10778</v>
      </c>
      <c r="I3174" s="2" t="s">
        <v>4604</v>
      </c>
      <c r="J3174" s="2" t="s">
        <v>4338</v>
      </c>
      <c r="K3174" s="13" t="s">
        <v>13177</v>
      </c>
      <c r="L3174" s="7" t="s">
        <v>13199</v>
      </c>
    </row>
    <row r="3175" spans="1:12" ht="55.2" hidden="1" x14ac:dyDescent="0.3">
      <c r="A3175" s="2" t="s">
        <v>4604</v>
      </c>
      <c r="B3175" s="2" t="s">
        <v>11541</v>
      </c>
      <c r="C3175" s="3">
        <v>23433</v>
      </c>
      <c r="D3175" s="1" t="s">
        <v>11542</v>
      </c>
      <c r="E3175" s="1" t="s">
        <v>11543</v>
      </c>
      <c r="F3175" s="2" t="s">
        <v>4698</v>
      </c>
      <c r="G3175" s="2" t="s">
        <v>2456</v>
      </c>
      <c r="H3175" s="2" t="s">
        <v>11544</v>
      </c>
      <c r="I3175" s="2" t="s">
        <v>4604</v>
      </c>
      <c r="J3175" s="2" t="s">
        <v>11479</v>
      </c>
      <c r="K3175" s="13" t="s">
        <v>13177</v>
      </c>
      <c r="L3175" s="7" t="s">
        <v>13199</v>
      </c>
    </row>
    <row r="3176" spans="1:12" ht="55.2" hidden="1" x14ac:dyDescent="0.3">
      <c r="A3176" s="2" t="s">
        <v>4604</v>
      </c>
      <c r="B3176" s="2" t="s">
        <v>11545</v>
      </c>
      <c r="C3176" s="3">
        <v>21245</v>
      </c>
      <c r="D3176" s="1" t="s">
        <v>11546</v>
      </c>
      <c r="E3176" s="1" t="s">
        <v>11547</v>
      </c>
      <c r="F3176" s="2" t="s">
        <v>7787</v>
      </c>
      <c r="G3176" s="2" t="s">
        <v>333</v>
      </c>
      <c r="H3176" s="2" t="s">
        <v>11548</v>
      </c>
      <c r="I3176" s="2" t="s">
        <v>4604</v>
      </c>
      <c r="J3176" s="2" t="s">
        <v>335</v>
      </c>
      <c r="K3176" s="13" t="s">
        <v>13177</v>
      </c>
      <c r="L3176" s="7" t="s">
        <v>13199</v>
      </c>
    </row>
    <row r="3177" spans="1:12" ht="55.2" hidden="1" x14ac:dyDescent="0.3">
      <c r="A3177" s="2" t="s">
        <v>4604</v>
      </c>
      <c r="B3177" s="2" t="s">
        <v>11549</v>
      </c>
      <c r="C3177" s="3">
        <v>38058</v>
      </c>
      <c r="D3177" s="1" t="s">
        <v>11550</v>
      </c>
      <c r="E3177" s="1" t="s">
        <v>11551</v>
      </c>
      <c r="F3177" s="2" t="s">
        <v>5668</v>
      </c>
      <c r="G3177" s="2" t="s">
        <v>157</v>
      </c>
      <c r="H3177" s="2" t="s">
        <v>334</v>
      </c>
      <c r="I3177" s="2" t="s">
        <v>4604</v>
      </c>
      <c r="J3177" s="2" t="s">
        <v>11552</v>
      </c>
      <c r="K3177" s="13" t="s">
        <v>13177</v>
      </c>
      <c r="L3177" s="7" t="s">
        <v>13199</v>
      </c>
    </row>
    <row r="3178" spans="1:12" ht="55.2" hidden="1" x14ac:dyDescent="0.3">
      <c r="A3178" s="2" t="s">
        <v>4604</v>
      </c>
      <c r="B3178" s="2" t="s">
        <v>11553</v>
      </c>
      <c r="C3178" s="3">
        <v>22502</v>
      </c>
      <c r="D3178" s="1" t="s">
        <v>11554</v>
      </c>
      <c r="E3178" s="1" t="s">
        <v>11555</v>
      </c>
      <c r="F3178" s="2" t="s">
        <v>4608</v>
      </c>
      <c r="G3178" s="2" t="s">
        <v>211</v>
      </c>
      <c r="H3178" s="2" t="s">
        <v>4409</v>
      </c>
      <c r="I3178" s="2" t="s">
        <v>4604</v>
      </c>
      <c r="J3178" s="2" t="s">
        <v>601</v>
      </c>
      <c r="K3178" s="13" t="s">
        <v>13177</v>
      </c>
      <c r="L3178" s="7" t="s">
        <v>13199</v>
      </c>
    </row>
    <row r="3179" spans="1:12" ht="55.2" hidden="1" x14ac:dyDescent="0.3">
      <c r="A3179" s="2" t="s">
        <v>4604</v>
      </c>
      <c r="B3179" s="2" t="s">
        <v>11556</v>
      </c>
      <c r="C3179" s="3">
        <v>29464</v>
      </c>
      <c r="D3179" s="1" t="s">
        <v>11557</v>
      </c>
      <c r="E3179" s="1" t="s">
        <v>11558</v>
      </c>
      <c r="F3179" s="2" t="s">
        <v>6663</v>
      </c>
      <c r="G3179" s="2" t="s">
        <v>222</v>
      </c>
      <c r="H3179" s="2" t="s">
        <v>4409</v>
      </c>
      <c r="I3179" s="2" t="s">
        <v>4604</v>
      </c>
      <c r="J3179" s="2" t="s">
        <v>417</v>
      </c>
      <c r="K3179" s="13" t="s">
        <v>13177</v>
      </c>
      <c r="L3179" s="7" t="s">
        <v>13199</v>
      </c>
    </row>
    <row r="3180" spans="1:12" ht="55.2" hidden="1" x14ac:dyDescent="0.3">
      <c r="A3180" s="2" t="s">
        <v>4604</v>
      </c>
      <c r="B3180" s="2" t="s">
        <v>11559</v>
      </c>
      <c r="C3180" s="3">
        <v>31282</v>
      </c>
      <c r="D3180" s="1" t="s">
        <v>11560</v>
      </c>
      <c r="E3180" s="1" t="s">
        <v>11561</v>
      </c>
      <c r="F3180" s="2" t="s">
        <v>4608</v>
      </c>
      <c r="G3180" s="2" t="s">
        <v>2823</v>
      </c>
      <c r="H3180" s="2" t="s">
        <v>11562</v>
      </c>
      <c r="I3180" s="2" t="s">
        <v>4604</v>
      </c>
      <c r="J3180" s="2" t="s">
        <v>11563</v>
      </c>
      <c r="K3180" s="13" t="s">
        <v>13177</v>
      </c>
      <c r="L3180" s="7" t="s">
        <v>13199</v>
      </c>
    </row>
    <row r="3181" spans="1:12" ht="55.2" hidden="1" x14ac:dyDescent="0.3">
      <c r="A3181" s="2" t="s">
        <v>4604</v>
      </c>
      <c r="B3181" s="2" t="s">
        <v>11564</v>
      </c>
      <c r="C3181" s="3">
        <v>32130</v>
      </c>
      <c r="D3181" s="1" t="s">
        <v>11512</v>
      </c>
      <c r="E3181" s="1" t="s">
        <v>11513</v>
      </c>
      <c r="F3181" s="2" t="s">
        <v>7474</v>
      </c>
      <c r="G3181" s="2" t="s">
        <v>366</v>
      </c>
      <c r="H3181" s="2" t="s">
        <v>11565</v>
      </c>
      <c r="I3181" s="2" t="s">
        <v>4604</v>
      </c>
      <c r="J3181" s="2" t="s">
        <v>701</v>
      </c>
      <c r="K3181" s="13" t="s">
        <v>13177</v>
      </c>
      <c r="L3181" s="7" t="s">
        <v>13199</v>
      </c>
    </row>
    <row r="3182" spans="1:12" ht="55.2" hidden="1" x14ac:dyDescent="0.3">
      <c r="A3182" s="2" t="s">
        <v>4604</v>
      </c>
      <c r="B3182" s="2" t="s">
        <v>11566</v>
      </c>
      <c r="C3182" s="3">
        <v>19695</v>
      </c>
      <c r="D3182" s="1" t="s">
        <v>11567</v>
      </c>
      <c r="E3182" s="1" t="s">
        <v>11568</v>
      </c>
      <c r="F3182" s="2" t="s">
        <v>7474</v>
      </c>
      <c r="G3182" s="2" t="s">
        <v>425</v>
      </c>
      <c r="H3182" s="2" t="s">
        <v>11569</v>
      </c>
      <c r="I3182" s="2" t="s">
        <v>4604</v>
      </c>
      <c r="J3182" s="2" t="s">
        <v>841</v>
      </c>
      <c r="K3182" s="13" t="s">
        <v>13177</v>
      </c>
      <c r="L3182" s="7" t="s">
        <v>13199</v>
      </c>
    </row>
    <row r="3183" spans="1:12" ht="55.2" hidden="1" x14ac:dyDescent="0.3">
      <c r="A3183" s="2" t="s">
        <v>4604</v>
      </c>
      <c r="B3183" s="2" t="s">
        <v>11570</v>
      </c>
      <c r="C3183" s="3">
        <v>21658</v>
      </c>
      <c r="D3183" s="1" t="s">
        <v>11571</v>
      </c>
      <c r="E3183" s="1" t="s">
        <v>11572</v>
      </c>
      <c r="F3183" s="2" t="s">
        <v>6663</v>
      </c>
      <c r="G3183" s="2" t="s">
        <v>292</v>
      </c>
      <c r="H3183" s="2" t="s">
        <v>10</v>
      </c>
      <c r="I3183" s="2" t="s">
        <v>4604</v>
      </c>
      <c r="J3183" s="2" t="s">
        <v>3419</v>
      </c>
      <c r="K3183" s="13" t="s">
        <v>13177</v>
      </c>
      <c r="L3183" s="7" t="s">
        <v>13199</v>
      </c>
    </row>
    <row r="3184" spans="1:12" ht="27.6" hidden="1" x14ac:dyDescent="0.3">
      <c r="A3184" s="8" t="s">
        <v>4139</v>
      </c>
      <c r="B3184" s="8" t="s">
        <v>11573</v>
      </c>
      <c r="C3184" s="9">
        <v>35825</v>
      </c>
      <c r="D3184" s="10" t="s">
        <v>11574</v>
      </c>
      <c r="E3184" s="10" t="s">
        <v>11575</v>
      </c>
      <c r="F3184" s="8" t="s">
        <v>8598</v>
      </c>
      <c r="G3184" s="8" t="s">
        <v>11576</v>
      </c>
      <c r="H3184" s="8" t="s">
        <v>81</v>
      </c>
      <c r="I3184" s="8" t="s">
        <v>4139</v>
      </c>
      <c r="J3184" s="2" t="s">
        <v>11577</v>
      </c>
      <c r="K3184" s="13" t="s">
        <v>13177</v>
      </c>
      <c r="L3184" s="7" t="s">
        <v>13199</v>
      </c>
    </row>
    <row r="3185" spans="1:12" hidden="1" x14ac:dyDescent="0.3">
      <c r="A3185" s="2" t="s">
        <v>4139</v>
      </c>
      <c r="B3185" s="2" t="s">
        <v>11578</v>
      </c>
      <c r="C3185" s="3">
        <v>32119</v>
      </c>
      <c r="D3185" s="1" t="s">
        <v>11579</v>
      </c>
      <c r="E3185" s="1" t="s">
        <v>11580</v>
      </c>
      <c r="F3185" s="2" t="s">
        <v>9413</v>
      </c>
      <c r="G3185" s="2" t="s">
        <v>12</v>
      </c>
      <c r="H3185" s="2" t="s">
        <v>10</v>
      </c>
      <c r="I3185" s="2" t="s">
        <v>4139</v>
      </c>
      <c r="J3185" s="2" t="s">
        <v>11581</v>
      </c>
      <c r="K3185" s="16" t="s">
        <v>13177</v>
      </c>
      <c r="L3185" s="7" t="s">
        <v>13199</v>
      </c>
    </row>
    <row r="3186" spans="1:12" ht="27.6" hidden="1" x14ac:dyDescent="0.3">
      <c r="A3186" s="2" t="s">
        <v>4139</v>
      </c>
      <c r="B3186" s="2" t="s">
        <v>11582</v>
      </c>
      <c r="C3186" s="3">
        <v>33452</v>
      </c>
      <c r="D3186" s="1" t="s">
        <v>11583</v>
      </c>
      <c r="E3186" s="1" t="s">
        <v>11584</v>
      </c>
      <c r="F3186" s="2" t="s">
        <v>4143</v>
      </c>
      <c r="G3186" s="2" t="s">
        <v>11585</v>
      </c>
      <c r="H3186" s="2" t="s">
        <v>81</v>
      </c>
      <c r="I3186" s="2" t="s">
        <v>4139</v>
      </c>
      <c r="J3186" s="2" t="s">
        <v>11586</v>
      </c>
      <c r="K3186" s="14"/>
      <c r="L3186" s="7" t="s">
        <v>13199</v>
      </c>
    </row>
    <row r="3187" spans="1:12" hidden="1" x14ac:dyDescent="0.3">
      <c r="A3187" s="2" t="s">
        <v>4139</v>
      </c>
      <c r="B3187" s="2" t="s">
        <v>11587</v>
      </c>
      <c r="C3187" s="3">
        <v>29040</v>
      </c>
      <c r="D3187" s="1" t="s">
        <v>11588</v>
      </c>
      <c r="E3187" s="1" t="s">
        <v>11589</v>
      </c>
      <c r="F3187" s="2" t="s">
        <v>10986</v>
      </c>
      <c r="G3187" s="2" t="s">
        <v>124</v>
      </c>
      <c r="H3187" s="2" t="s">
        <v>562</v>
      </c>
      <c r="I3187" s="2" t="s">
        <v>4139</v>
      </c>
      <c r="J3187" s="2" t="s">
        <v>6656</v>
      </c>
      <c r="K3187" s="20" t="s">
        <v>13177</v>
      </c>
      <c r="L3187" s="7" t="s">
        <v>13202</v>
      </c>
    </row>
    <row r="3188" spans="1:12" hidden="1" x14ac:dyDescent="0.3">
      <c r="A3188" s="2" t="s">
        <v>4139</v>
      </c>
      <c r="B3188" s="2" t="s">
        <v>11590</v>
      </c>
      <c r="C3188" s="3">
        <v>34285</v>
      </c>
      <c r="D3188" s="1" t="s">
        <v>11591</v>
      </c>
      <c r="E3188" s="1" t="s">
        <v>11592</v>
      </c>
      <c r="F3188" s="2" t="s">
        <v>9413</v>
      </c>
      <c r="G3188" s="2" t="s">
        <v>643</v>
      </c>
      <c r="H3188" s="2" t="s">
        <v>10</v>
      </c>
      <c r="I3188" s="2" t="s">
        <v>4139</v>
      </c>
      <c r="J3188" s="2" t="s">
        <v>11593</v>
      </c>
      <c r="K3188" s="13" t="s">
        <v>13177</v>
      </c>
      <c r="L3188" s="7" t="s">
        <v>13199</v>
      </c>
    </row>
    <row r="3189" spans="1:12" hidden="1" x14ac:dyDescent="0.3">
      <c r="A3189" s="2" t="s">
        <v>4139</v>
      </c>
      <c r="B3189" s="2" t="s">
        <v>11594</v>
      </c>
      <c r="C3189" s="3">
        <v>35127</v>
      </c>
      <c r="D3189" s="1" t="s">
        <v>11595</v>
      </c>
      <c r="E3189" s="1" t="s">
        <v>11596</v>
      </c>
      <c r="F3189" s="2" t="s">
        <v>9601</v>
      </c>
      <c r="G3189" s="2" t="s">
        <v>380</v>
      </c>
      <c r="H3189" s="2" t="s">
        <v>10</v>
      </c>
      <c r="I3189" s="2" t="s">
        <v>4139</v>
      </c>
      <c r="J3189" s="2" t="s">
        <v>1083</v>
      </c>
      <c r="K3189" s="14"/>
      <c r="L3189" s="7" t="s">
        <v>13199</v>
      </c>
    </row>
    <row r="3190" spans="1:12" ht="27.6" hidden="1" x14ac:dyDescent="0.3">
      <c r="A3190" s="2" t="s">
        <v>1957</v>
      </c>
      <c r="B3190" s="2" t="s">
        <v>11597</v>
      </c>
      <c r="C3190" s="3">
        <v>27394</v>
      </c>
      <c r="D3190" s="1" t="s">
        <v>11598</v>
      </c>
      <c r="E3190" s="1" t="s">
        <v>11599</v>
      </c>
      <c r="F3190" s="2" t="s">
        <v>2018</v>
      </c>
      <c r="G3190" s="2" t="s">
        <v>328</v>
      </c>
      <c r="H3190" s="2" t="s">
        <v>10</v>
      </c>
      <c r="I3190" s="2" t="s">
        <v>1957</v>
      </c>
      <c r="J3190" s="2" t="s">
        <v>7754</v>
      </c>
      <c r="K3190" s="13" t="s">
        <v>13177</v>
      </c>
      <c r="L3190" s="7" t="s">
        <v>13199</v>
      </c>
    </row>
    <row r="3191" spans="1:12" hidden="1" x14ac:dyDescent="0.3">
      <c r="A3191" s="8" t="s">
        <v>4139</v>
      </c>
      <c r="B3191" s="8" t="s">
        <v>11600</v>
      </c>
      <c r="C3191" s="9">
        <v>21966</v>
      </c>
      <c r="D3191" s="10" t="s">
        <v>11601</v>
      </c>
      <c r="E3191" s="10" t="s">
        <v>11602</v>
      </c>
      <c r="F3191" s="8" t="s">
        <v>8598</v>
      </c>
      <c r="G3191" s="8" t="s">
        <v>11603</v>
      </c>
      <c r="H3191" s="8" t="s">
        <v>10</v>
      </c>
      <c r="I3191" s="8" t="s">
        <v>4139</v>
      </c>
      <c r="J3191" s="2" t="s">
        <v>11604</v>
      </c>
      <c r="K3191" s="13" t="s">
        <v>13177</v>
      </c>
      <c r="L3191" s="7" t="s">
        <v>13199</v>
      </c>
    </row>
    <row r="3192" spans="1:12" hidden="1" x14ac:dyDescent="0.3">
      <c r="A3192" s="2" t="s">
        <v>4139</v>
      </c>
      <c r="B3192" s="2" t="s">
        <v>11605</v>
      </c>
      <c r="C3192" s="3">
        <v>25793</v>
      </c>
      <c r="D3192" s="1" t="s">
        <v>11606</v>
      </c>
      <c r="E3192" s="1" t="s">
        <v>11607</v>
      </c>
      <c r="F3192" s="2" t="s">
        <v>9601</v>
      </c>
      <c r="G3192" s="2" t="s">
        <v>425</v>
      </c>
      <c r="H3192" s="2" t="s">
        <v>10</v>
      </c>
      <c r="I3192" s="2" t="s">
        <v>4139</v>
      </c>
      <c r="J3192" s="2" t="s">
        <v>426</v>
      </c>
      <c r="K3192" s="14"/>
      <c r="L3192" s="7" t="s">
        <v>13199</v>
      </c>
    </row>
    <row r="3193" spans="1:12" hidden="1" x14ac:dyDescent="0.3">
      <c r="A3193" s="2" t="s">
        <v>4139</v>
      </c>
      <c r="B3193" s="2" t="s">
        <v>11608</v>
      </c>
      <c r="C3193" s="3">
        <v>32706</v>
      </c>
      <c r="D3193" s="1" t="s">
        <v>11609</v>
      </c>
      <c r="E3193" s="1" t="s">
        <v>11610</v>
      </c>
      <c r="F3193" s="2" t="s">
        <v>9601</v>
      </c>
      <c r="G3193" s="2" t="s">
        <v>230</v>
      </c>
      <c r="H3193" s="2" t="s">
        <v>10</v>
      </c>
      <c r="I3193" s="2" t="s">
        <v>4139</v>
      </c>
      <c r="J3193" s="2" t="s">
        <v>270</v>
      </c>
      <c r="K3193" s="14"/>
      <c r="L3193" s="7" t="s">
        <v>13199</v>
      </c>
    </row>
    <row r="3194" spans="1:12" ht="27.6" hidden="1" x14ac:dyDescent="0.3">
      <c r="A3194" s="2" t="s">
        <v>1957</v>
      </c>
      <c r="B3194" s="2" t="s">
        <v>11611</v>
      </c>
      <c r="C3194" s="3">
        <v>32992</v>
      </c>
      <c r="D3194" s="1" t="s">
        <v>11612</v>
      </c>
      <c r="E3194" s="1" t="s">
        <v>11613</v>
      </c>
      <c r="F3194" s="2" t="s">
        <v>2018</v>
      </c>
      <c r="G3194" s="2" t="s">
        <v>222</v>
      </c>
      <c r="H3194" s="2" t="s">
        <v>10</v>
      </c>
      <c r="I3194" s="2" t="s">
        <v>1957</v>
      </c>
      <c r="J3194" s="2" t="s">
        <v>1788</v>
      </c>
      <c r="K3194" s="13" t="s">
        <v>13177</v>
      </c>
      <c r="L3194" s="7" t="s">
        <v>13199</v>
      </c>
    </row>
    <row r="3195" spans="1:12" ht="27.6" hidden="1" x14ac:dyDescent="0.3">
      <c r="A3195" s="2" t="s">
        <v>1957</v>
      </c>
      <c r="B3195" s="2" t="s">
        <v>11614</v>
      </c>
      <c r="C3195" s="3">
        <v>29425</v>
      </c>
      <c r="D3195" s="1" t="s">
        <v>11615</v>
      </c>
      <c r="E3195" s="1" t="s">
        <v>11616</v>
      </c>
      <c r="F3195" s="2" t="s">
        <v>2018</v>
      </c>
      <c r="G3195" s="2" t="s">
        <v>190</v>
      </c>
      <c r="H3195" s="2" t="s">
        <v>10</v>
      </c>
      <c r="I3195" s="2" t="s">
        <v>1957</v>
      </c>
      <c r="J3195" s="2" t="s">
        <v>498</v>
      </c>
      <c r="K3195" s="13" t="s">
        <v>13177</v>
      </c>
      <c r="L3195" s="7" t="s">
        <v>13199</v>
      </c>
    </row>
    <row r="3196" spans="1:12" hidden="1" x14ac:dyDescent="0.3">
      <c r="A3196" s="2" t="s">
        <v>4139</v>
      </c>
      <c r="B3196" s="2" t="s">
        <v>11617</v>
      </c>
      <c r="C3196" s="3">
        <v>26506</v>
      </c>
      <c r="D3196" s="1" t="s">
        <v>4907</v>
      </c>
      <c r="E3196" s="1" t="s">
        <v>11618</v>
      </c>
      <c r="F3196" s="2" t="s">
        <v>9601</v>
      </c>
      <c r="G3196" s="2" t="s">
        <v>350</v>
      </c>
      <c r="H3196" s="2" t="s">
        <v>10</v>
      </c>
      <c r="I3196" s="2" t="s">
        <v>4139</v>
      </c>
      <c r="J3196" s="2" t="s">
        <v>5063</v>
      </c>
      <c r="K3196" s="14"/>
      <c r="L3196" s="7" t="s">
        <v>13199</v>
      </c>
    </row>
    <row r="3197" spans="1:12" hidden="1" x14ac:dyDescent="0.3">
      <c r="A3197" s="2" t="s">
        <v>4139</v>
      </c>
      <c r="B3197" s="2" t="s">
        <v>11619</v>
      </c>
      <c r="C3197" s="3">
        <v>31874</v>
      </c>
      <c r="D3197" s="1" t="s">
        <v>11620</v>
      </c>
      <c r="E3197" s="1" t="s">
        <v>11621</v>
      </c>
      <c r="F3197" s="2" t="s">
        <v>9413</v>
      </c>
      <c r="G3197" s="2" t="s">
        <v>92</v>
      </c>
      <c r="H3197" s="2" t="s">
        <v>10</v>
      </c>
      <c r="I3197" s="2" t="s">
        <v>4139</v>
      </c>
      <c r="J3197" s="2" t="s">
        <v>9811</v>
      </c>
      <c r="K3197" s="13" t="s">
        <v>13177</v>
      </c>
      <c r="L3197" s="7" t="s">
        <v>13199</v>
      </c>
    </row>
    <row r="3198" spans="1:12" hidden="1" x14ac:dyDescent="0.3">
      <c r="A3198" s="2" t="s">
        <v>4139</v>
      </c>
      <c r="B3198" s="2" t="s">
        <v>10877</v>
      </c>
      <c r="C3198" s="3">
        <v>22518</v>
      </c>
      <c r="D3198" s="1" t="s">
        <v>10878</v>
      </c>
      <c r="E3198" s="1" t="s">
        <v>10879</v>
      </c>
      <c r="F3198" s="2" t="s">
        <v>9601</v>
      </c>
      <c r="G3198" s="2" t="s">
        <v>1763</v>
      </c>
      <c r="H3198" s="2" t="s">
        <v>10</v>
      </c>
      <c r="I3198" s="2" t="s">
        <v>4139</v>
      </c>
      <c r="J3198" s="2" t="s">
        <v>1764</v>
      </c>
      <c r="K3198" s="14"/>
      <c r="L3198" s="7" t="s">
        <v>13199</v>
      </c>
    </row>
    <row r="3199" spans="1:12" ht="27.6" hidden="1" x14ac:dyDescent="0.3">
      <c r="A3199" s="2" t="s">
        <v>1962</v>
      </c>
      <c r="B3199" s="2" t="s">
        <v>11622</v>
      </c>
      <c r="C3199" s="3">
        <v>21210</v>
      </c>
      <c r="D3199" s="1" t="s">
        <v>11623</v>
      </c>
      <c r="E3199" s="1" t="s">
        <v>11624</v>
      </c>
      <c r="F3199" s="2" t="s">
        <v>11625</v>
      </c>
      <c r="G3199" s="2" t="s">
        <v>25</v>
      </c>
      <c r="H3199" s="2" t="s">
        <v>10</v>
      </c>
      <c r="I3199" s="2" t="s">
        <v>1962</v>
      </c>
      <c r="J3199" s="2" t="s">
        <v>6656</v>
      </c>
      <c r="K3199" s="13" t="s">
        <v>13177</v>
      </c>
      <c r="L3199" s="7" t="s">
        <v>13199</v>
      </c>
    </row>
    <row r="3200" spans="1:12" ht="27.6" hidden="1" x14ac:dyDescent="0.3">
      <c r="A3200" s="2" t="s">
        <v>1957</v>
      </c>
      <c r="B3200" s="2" t="s">
        <v>11622</v>
      </c>
      <c r="C3200" s="3">
        <v>21210</v>
      </c>
      <c r="D3200" s="1" t="s">
        <v>11623</v>
      </c>
      <c r="E3200" s="1" t="s">
        <v>11624</v>
      </c>
      <c r="F3200" s="2" t="s">
        <v>2018</v>
      </c>
      <c r="G3200" s="2" t="s">
        <v>366</v>
      </c>
      <c r="H3200" s="2" t="s">
        <v>10</v>
      </c>
      <c r="I3200" s="2" t="s">
        <v>1957</v>
      </c>
      <c r="J3200" s="2" t="s">
        <v>437</v>
      </c>
      <c r="K3200" s="13" t="s">
        <v>13177</v>
      </c>
      <c r="L3200" s="7" t="s">
        <v>13199</v>
      </c>
    </row>
    <row r="3201" spans="1:12" ht="27.6" hidden="1" x14ac:dyDescent="0.3">
      <c r="A3201" s="2" t="s">
        <v>1957</v>
      </c>
      <c r="B3201" s="2" t="s">
        <v>11622</v>
      </c>
      <c r="C3201" s="3">
        <v>21210</v>
      </c>
      <c r="D3201" s="1" t="s">
        <v>11623</v>
      </c>
      <c r="E3201" s="1" t="s">
        <v>11624</v>
      </c>
      <c r="F3201" s="2" t="s">
        <v>2018</v>
      </c>
      <c r="G3201" s="2" t="s">
        <v>48</v>
      </c>
      <c r="H3201" s="2" t="s">
        <v>10</v>
      </c>
      <c r="I3201" s="2" t="s">
        <v>1957</v>
      </c>
      <c r="J3201" s="2" t="s">
        <v>49</v>
      </c>
      <c r="K3201" s="13" t="s">
        <v>13177</v>
      </c>
      <c r="L3201" s="7" t="s">
        <v>13199</v>
      </c>
    </row>
    <row r="3202" spans="1:12" hidden="1" x14ac:dyDescent="0.3">
      <c r="A3202" s="2" t="s">
        <v>4139</v>
      </c>
      <c r="B3202" s="2" t="s">
        <v>11626</v>
      </c>
      <c r="C3202" s="3">
        <v>23024</v>
      </c>
      <c r="D3202" s="1" t="s">
        <v>11627</v>
      </c>
      <c r="E3202" s="1" t="s">
        <v>11628</v>
      </c>
      <c r="F3202" s="2" t="s">
        <v>9413</v>
      </c>
      <c r="G3202" s="2" t="s">
        <v>392</v>
      </c>
      <c r="H3202" s="2" t="s">
        <v>10</v>
      </c>
      <c r="I3202" s="2" t="s">
        <v>4139</v>
      </c>
      <c r="J3202" s="2" t="s">
        <v>1213</v>
      </c>
      <c r="K3202" s="13" t="s">
        <v>13177</v>
      </c>
      <c r="L3202" s="7" t="s">
        <v>13199</v>
      </c>
    </row>
    <row r="3203" spans="1:12" ht="27.6" hidden="1" x14ac:dyDescent="0.3">
      <c r="A3203" s="2" t="s">
        <v>1962</v>
      </c>
      <c r="B3203" s="2" t="s">
        <v>11629</v>
      </c>
      <c r="C3203" s="3">
        <v>33452</v>
      </c>
      <c r="D3203" s="1" t="s">
        <v>11630</v>
      </c>
      <c r="E3203" s="1" t="s">
        <v>11631</v>
      </c>
      <c r="F3203" s="2" t="s">
        <v>11625</v>
      </c>
      <c r="G3203" s="2" t="s">
        <v>152</v>
      </c>
      <c r="H3203" s="2" t="s">
        <v>10</v>
      </c>
      <c r="I3203" s="2" t="s">
        <v>1962</v>
      </c>
      <c r="J3203" s="2" t="s">
        <v>153</v>
      </c>
      <c r="K3203" s="13" t="s">
        <v>13177</v>
      </c>
      <c r="L3203" s="7" t="s">
        <v>13199</v>
      </c>
    </row>
    <row r="3204" spans="1:12" ht="27.6" hidden="1" x14ac:dyDescent="0.3">
      <c r="A3204" s="2" t="s">
        <v>1962</v>
      </c>
      <c r="B3204" s="2" t="s">
        <v>11632</v>
      </c>
      <c r="C3204" s="3">
        <v>33957</v>
      </c>
      <c r="D3204" s="1" t="s">
        <v>11633</v>
      </c>
      <c r="E3204" s="1" t="s">
        <v>11634</v>
      </c>
      <c r="F3204" s="2" t="s">
        <v>11625</v>
      </c>
      <c r="G3204" s="2" t="s">
        <v>152</v>
      </c>
      <c r="H3204" s="2" t="s">
        <v>334</v>
      </c>
      <c r="I3204" s="2" t="s">
        <v>1962</v>
      </c>
      <c r="J3204" s="2" t="s">
        <v>153</v>
      </c>
      <c r="K3204" s="13" t="s">
        <v>13177</v>
      </c>
      <c r="L3204" s="7" t="s">
        <v>13199</v>
      </c>
    </row>
    <row r="3205" spans="1:12" ht="41.4" hidden="1" x14ac:dyDescent="0.3">
      <c r="A3205" s="2" t="s">
        <v>4139</v>
      </c>
      <c r="B3205" s="2" t="s">
        <v>11635</v>
      </c>
      <c r="C3205" s="3">
        <v>28664</v>
      </c>
      <c r="D3205" s="1" t="s">
        <v>11636</v>
      </c>
      <c r="E3205" s="1" t="s">
        <v>11637</v>
      </c>
      <c r="F3205" s="2" t="s">
        <v>11638</v>
      </c>
      <c r="G3205" s="2" t="s">
        <v>11639</v>
      </c>
      <c r="H3205" s="2" t="s">
        <v>10</v>
      </c>
      <c r="I3205" s="2" t="s">
        <v>4139</v>
      </c>
      <c r="J3205" s="2" t="s">
        <v>11640</v>
      </c>
      <c r="K3205" s="13" t="s">
        <v>13177</v>
      </c>
      <c r="L3205" s="7" t="s">
        <v>13199</v>
      </c>
    </row>
    <row r="3206" spans="1:12" ht="41.4" hidden="1" x14ac:dyDescent="0.3">
      <c r="A3206" s="2" t="s">
        <v>4139</v>
      </c>
      <c r="B3206" s="2" t="s">
        <v>11641</v>
      </c>
      <c r="C3206" s="3">
        <v>26297</v>
      </c>
      <c r="D3206" s="1" t="s">
        <v>11642</v>
      </c>
      <c r="E3206" s="1" t="s">
        <v>11643</v>
      </c>
      <c r="F3206" s="2" t="s">
        <v>11638</v>
      </c>
      <c r="G3206" s="2" t="s">
        <v>11644</v>
      </c>
      <c r="H3206" s="2" t="s">
        <v>562</v>
      </c>
      <c r="I3206" s="2" t="s">
        <v>4139</v>
      </c>
      <c r="J3206" s="2" t="s">
        <v>11645</v>
      </c>
      <c r="K3206" s="13" t="s">
        <v>13177</v>
      </c>
      <c r="L3206" s="7" t="s">
        <v>13199</v>
      </c>
    </row>
    <row r="3207" spans="1:12" ht="27.6" hidden="1" x14ac:dyDescent="0.3">
      <c r="A3207" s="2" t="s">
        <v>60</v>
      </c>
      <c r="B3207" s="2" t="s">
        <v>11646</v>
      </c>
      <c r="C3207" s="3">
        <v>29378</v>
      </c>
      <c r="D3207" s="1" t="s">
        <v>11647</v>
      </c>
      <c r="E3207" s="1" t="s">
        <v>11648</v>
      </c>
      <c r="F3207" s="2" t="s">
        <v>257</v>
      </c>
      <c r="G3207" s="2" t="s">
        <v>211</v>
      </c>
      <c r="H3207" s="2" t="s">
        <v>334</v>
      </c>
      <c r="I3207" s="2" t="s">
        <v>60</v>
      </c>
      <c r="J3207" s="2" t="s">
        <v>212</v>
      </c>
      <c r="K3207" s="13" t="s">
        <v>13177</v>
      </c>
      <c r="L3207" s="7" t="s">
        <v>13199</v>
      </c>
    </row>
    <row r="3208" spans="1:12" ht="41.4" hidden="1" x14ac:dyDescent="0.3">
      <c r="A3208" s="2" t="s">
        <v>4139</v>
      </c>
      <c r="B3208" s="2" t="s">
        <v>11649</v>
      </c>
      <c r="C3208" s="3">
        <v>24741</v>
      </c>
      <c r="D3208" s="1" t="s">
        <v>11650</v>
      </c>
      <c r="E3208" s="1" t="s">
        <v>11651</v>
      </c>
      <c r="F3208" s="2" t="s">
        <v>11638</v>
      </c>
      <c r="G3208" s="2" t="s">
        <v>1217</v>
      </c>
      <c r="H3208" s="2" t="s">
        <v>10</v>
      </c>
      <c r="I3208" s="2" t="s">
        <v>4139</v>
      </c>
      <c r="J3208" s="2" t="s">
        <v>6628</v>
      </c>
      <c r="K3208" s="13" t="s">
        <v>13177</v>
      </c>
      <c r="L3208" s="7" t="s">
        <v>13199</v>
      </c>
    </row>
    <row r="3209" spans="1:12" ht="41.4" hidden="1" x14ac:dyDescent="0.3">
      <c r="A3209" s="2" t="s">
        <v>4139</v>
      </c>
      <c r="B3209" s="2" t="s">
        <v>11652</v>
      </c>
      <c r="C3209" s="3">
        <v>31454</v>
      </c>
      <c r="D3209" s="1" t="s">
        <v>11653</v>
      </c>
      <c r="E3209" s="1" t="s">
        <v>11654</v>
      </c>
      <c r="F3209" s="2" t="s">
        <v>11638</v>
      </c>
      <c r="G3209" s="2" t="s">
        <v>2283</v>
      </c>
      <c r="H3209" s="2" t="s">
        <v>10</v>
      </c>
      <c r="I3209" s="2" t="s">
        <v>4139</v>
      </c>
      <c r="J3209" s="2" t="s">
        <v>2284</v>
      </c>
      <c r="K3209" s="13" t="s">
        <v>13177</v>
      </c>
      <c r="L3209" s="7" t="s">
        <v>13199</v>
      </c>
    </row>
    <row r="3210" spans="1:12" ht="41.4" hidden="1" x14ac:dyDescent="0.3">
      <c r="A3210" s="2" t="s">
        <v>4139</v>
      </c>
      <c r="B3210" s="2" t="s">
        <v>11655</v>
      </c>
      <c r="C3210" s="3">
        <v>22062</v>
      </c>
      <c r="D3210" s="1" t="s">
        <v>11656</v>
      </c>
      <c r="E3210" s="1" t="s">
        <v>11657</v>
      </c>
      <c r="F3210" s="2" t="s">
        <v>11638</v>
      </c>
      <c r="G3210" s="2" t="s">
        <v>1362</v>
      </c>
      <c r="H3210" s="2" t="s">
        <v>10</v>
      </c>
      <c r="I3210" s="2" t="s">
        <v>4139</v>
      </c>
      <c r="J3210" s="2" t="s">
        <v>1363</v>
      </c>
      <c r="K3210" s="13" t="s">
        <v>13177</v>
      </c>
      <c r="L3210" s="7" t="s">
        <v>13199</v>
      </c>
    </row>
    <row r="3211" spans="1:12" ht="27.6" hidden="1" x14ac:dyDescent="0.3">
      <c r="A3211" s="2" t="s">
        <v>60</v>
      </c>
      <c r="B3211" s="2" t="s">
        <v>11658</v>
      </c>
      <c r="C3211" s="3">
        <v>31338</v>
      </c>
      <c r="D3211" s="1" t="s">
        <v>11659</v>
      </c>
      <c r="E3211" s="1" t="s">
        <v>11660</v>
      </c>
      <c r="F3211" s="2" t="s">
        <v>60</v>
      </c>
      <c r="G3211" s="2" t="s">
        <v>11661</v>
      </c>
      <c r="H3211" s="2" t="s">
        <v>10</v>
      </c>
      <c r="I3211" s="2" t="s">
        <v>60</v>
      </c>
      <c r="J3211" s="2" t="s">
        <v>11662</v>
      </c>
      <c r="K3211" s="13" t="s">
        <v>13177</v>
      </c>
      <c r="L3211" s="7" t="s">
        <v>13199</v>
      </c>
    </row>
    <row r="3212" spans="1:12" ht="27.6" hidden="1" x14ac:dyDescent="0.3">
      <c r="A3212" s="2" t="s">
        <v>60</v>
      </c>
      <c r="B3212" s="2" t="s">
        <v>11663</v>
      </c>
      <c r="C3212" s="3">
        <v>32073</v>
      </c>
      <c r="D3212" s="1" t="s">
        <v>11664</v>
      </c>
      <c r="E3212" s="1" t="s">
        <v>11665</v>
      </c>
      <c r="F3212" s="2" t="s">
        <v>60</v>
      </c>
      <c r="G3212" s="2" t="s">
        <v>2189</v>
      </c>
      <c r="H3212" s="2" t="s">
        <v>26</v>
      </c>
      <c r="I3212" s="2" t="s">
        <v>60</v>
      </c>
      <c r="J3212" s="2" t="s">
        <v>2190</v>
      </c>
      <c r="K3212" s="13" t="s">
        <v>13177</v>
      </c>
      <c r="L3212" s="7" t="s">
        <v>13199</v>
      </c>
    </row>
    <row r="3213" spans="1:12" ht="55.2" hidden="1" x14ac:dyDescent="0.3">
      <c r="A3213" s="2" t="s">
        <v>4139</v>
      </c>
      <c r="B3213" s="2" t="s">
        <v>11666</v>
      </c>
      <c r="C3213" s="3">
        <v>29358</v>
      </c>
      <c r="D3213" s="1" t="s">
        <v>11667</v>
      </c>
      <c r="E3213" s="1" t="s">
        <v>11668</v>
      </c>
      <c r="F3213" s="2" t="s">
        <v>10177</v>
      </c>
      <c r="G3213" s="2" t="s">
        <v>11669</v>
      </c>
      <c r="H3213" s="2" t="s">
        <v>10</v>
      </c>
      <c r="I3213" s="2" t="s">
        <v>4139</v>
      </c>
      <c r="J3213" s="2" t="s">
        <v>11670</v>
      </c>
      <c r="K3213" s="13" t="s">
        <v>13177</v>
      </c>
      <c r="L3213" s="7" t="s">
        <v>13199</v>
      </c>
    </row>
    <row r="3214" spans="1:12" ht="27.6" hidden="1" x14ac:dyDescent="0.3">
      <c r="A3214" s="2" t="s">
        <v>11</v>
      </c>
      <c r="B3214" s="2" t="s">
        <v>11671</v>
      </c>
      <c r="C3214" s="3">
        <v>31974</v>
      </c>
      <c r="D3214" s="1" t="s">
        <v>11672</v>
      </c>
      <c r="E3214" s="1" t="s">
        <v>11673</v>
      </c>
      <c r="F3214" s="2" t="s">
        <v>42</v>
      </c>
      <c r="G3214" s="2" t="s">
        <v>190</v>
      </c>
      <c r="H3214" s="2" t="s">
        <v>10</v>
      </c>
      <c r="I3214" s="2" t="s">
        <v>11</v>
      </c>
      <c r="J3214" s="2" t="s">
        <v>768</v>
      </c>
      <c r="K3214" s="13" t="s">
        <v>13177</v>
      </c>
      <c r="L3214" s="7" t="s">
        <v>13199</v>
      </c>
    </row>
    <row r="3215" spans="1:12" hidden="1" x14ac:dyDescent="0.3">
      <c r="A3215" s="2" t="s">
        <v>4139</v>
      </c>
      <c r="B3215" s="2" t="s">
        <v>11674</v>
      </c>
      <c r="C3215" s="3">
        <v>30914</v>
      </c>
      <c r="D3215" s="1" t="s">
        <v>261</v>
      </c>
      <c r="E3215" s="1" t="s">
        <v>11675</v>
      </c>
      <c r="F3215" s="2" t="s">
        <v>9413</v>
      </c>
      <c r="G3215" s="2" t="s">
        <v>217</v>
      </c>
      <c r="H3215" s="2" t="s">
        <v>10</v>
      </c>
      <c r="I3215" s="2" t="s">
        <v>4139</v>
      </c>
      <c r="J3215" s="2" t="s">
        <v>218</v>
      </c>
      <c r="K3215" s="13" t="s">
        <v>13177</v>
      </c>
      <c r="L3215" s="7" t="s">
        <v>13199</v>
      </c>
    </row>
    <row r="3216" spans="1:12" hidden="1" x14ac:dyDescent="0.3">
      <c r="A3216" s="8" t="s">
        <v>4139</v>
      </c>
      <c r="B3216" s="8" t="s">
        <v>11676</v>
      </c>
      <c r="C3216" s="9">
        <v>23069</v>
      </c>
      <c r="D3216" s="10" t="s">
        <v>11677</v>
      </c>
      <c r="E3216" s="10" t="s">
        <v>11678</v>
      </c>
      <c r="F3216" s="8" t="s">
        <v>8598</v>
      </c>
      <c r="G3216" s="8" t="s">
        <v>11679</v>
      </c>
      <c r="H3216" s="8" t="s">
        <v>10</v>
      </c>
      <c r="I3216" s="8" t="s">
        <v>4139</v>
      </c>
      <c r="J3216" s="2" t="s">
        <v>11680</v>
      </c>
      <c r="K3216" s="13" t="s">
        <v>13177</v>
      </c>
      <c r="L3216" s="7" t="s">
        <v>13199</v>
      </c>
    </row>
    <row r="3217" spans="1:12" hidden="1" x14ac:dyDescent="0.3">
      <c r="A3217" s="2" t="s">
        <v>4139</v>
      </c>
      <c r="B3217" s="2" t="s">
        <v>8114</v>
      </c>
      <c r="C3217" s="3">
        <v>23725</v>
      </c>
      <c r="D3217" s="1" t="s">
        <v>8115</v>
      </c>
      <c r="E3217" s="1" t="s">
        <v>8116</v>
      </c>
      <c r="F3217" s="2" t="s">
        <v>9601</v>
      </c>
      <c r="G3217" s="2" t="s">
        <v>350</v>
      </c>
      <c r="H3217" s="2" t="s">
        <v>81</v>
      </c>
      <c r="I3217" s="2" t="s">
        <v>4139</v>
      </c>
      <c r="J3217" s="2" t="s">
        <v>5063</v>
      </c>
      <c r="K3217" s="14"/>
      <c r="L3217" s="7" t="s">
        <v>13199</v>
      </c>
    </row>
    <row r="3218" spans="1:12" ht="41.4" hidden="1" x14ac:dyDescent="0.3">
      <c r="A3218" s="2" t="s">
        <v>4139</v>
      </c>
      <c r="B3218" s="2" t="s">
        <v>11681</v>
      </c>
      <c r="C3218" s="3">
        <v>22964</v>
      </c>
      <c r="D3218" s="1" t="s">
        <v>11682</v>
      </c>
      <c r="E3218" s="1" t="s">
        <v>11683</v>
      </c>
      <c r="F3218" s="2" t="s">
        <v>11638</v>
      </c>
      <c r="G3218" s="2" t="s">
        <v>3775</v>
      </c>
      <c r="H3218" s="2" t="s">
        <v>10</v>
      </c>
      <c r="I3218" s="2" t="s">
        <v>4139</v>
      </c>
      <c r="J3218" s="2" t="s">
        <v>6146</v>
      </c>
      <c r="K3218" s="13" t="s">
        <v>13177</v>
      </c>
      <c r="L3218" s="7" t="s">
        <v>13199</v>
      </c>
    </row>
    <row r="3219" spans="1:12" ht="41.4" hidden="1" x14ac:dyDescent="0.3">
      <c r="A3219" s="2" t="s">
        <v>4139</v>
      </c>
      <c r="B3219" s="2" t="s">
        <v>11684</v>
      </c>
      <c r="C3219" s="3">
        <v>31124</v>
      </c>
      <c r="D3219" s="1" t="s">
        <v>11685</v>
      </c>
      <c r="E3219" s="1" t="s">
        <v>11686</v>
      </c>
      <c r="F3219" s="2" t="s">
        <v>11638</v>
      </c>
      <c r="G3219" s="2" t="s">
        <v>3203</v>
      </c>
      <c r="H3219" s="2" t="s">
        <v>10</v>
      </c>
      <c r="I3219" s="2" t="s">
        <v>4139</v>
      </c>
      <c r="J3219" s="2" t="s">
        <v>3204</v>
      </c>
      <c r="K3219" s="13" t="s">
        <v>13177</v>
      </c>
      <c r="L3219" s="7" t="s">
        <v>13199</v>
      </c>
    </row>
    <row r="3220" spans="1:12" ht="41.4" hidden="1" x14ac:dyDescent="0.3">
      <c r="A3220" s="2" t="s">
        <v>4139</v>
      </c>
      <c r="B3220" s="2" t="s">
        <v>11687</v>
      </c>
      <c r="C3220" s="3">
        <v>30487</v>
      </c>
      <c r="D3220" s="1" t="s">
        <v>4907</v>
      </c>
      <c r="E3220" s="1" t="s">
        <v>11688</v>
      </c>
      <c r="F3220" s="2" t="s">
        <v>11638</v>
      </c>
      <c r="G3220" s="2" t="s">
        <v>2977</v>
      </c>
      <c r="H3220" s="2" t="s">
        <v>10</v>
      </c>
      <c r="I3220" s="2" t="s">
        <v>4139</v>
      </c>
      <c r="J3220" s="2" t="s">
        <v>11689</v>
      </c>
      <c r="K3220" s="13" t="s">
        <v>13177</v>
      </c>
      <c r="L3220" s="7" t="s">
        <v>13199</v>
      </c>
    </row>
    <row r="3221" spans="1:12" ht="41.4" hidden="1" x14ac:dyDescent="0.3">
      <c r="A3221" s="2" t="s">
        <v>4139</v>
      </c>
      <c r="B3221" s="2" t="s">
        <v>7652</v>
      </c>
      <c r="C3221" s="3">
        <v>26711</v>
      </c>
      <c r="D3221" s="1" t="s">
        <v>11690</v>
      </c>
      <c r="E3221" s="1" t="s">
        <v>7654</v>
      </c>
      <c r="F3221" s="2" t="s">
        <v>11638</v>
      </c>
      <c r="G3221" s="2" t="s">
        <v>177</v>
      </c>
      <c r="H3221" s="2" t="s">
        <v>10</v>
      </c>
      <c r="I3221" s="2" t="s">
        <v>4139</v>
      </c>
      <c r="J3221" s="2" t="s">
        <v>11691</v>
      </c>
      <c r="K3221" s="13" t="s">
        <v>13177</v>
      </c>
      <c r="L3221" s="7" t="s">
        <v>13199</v>
      </c>
    </row>
    <row r="3222" spans="1:12" ht="41.4" hidden="1" x14ac:dyDescent="0.3">
      <c r="A3222" s="2" t="s">
        <v>4139</v>
      </c>
      <c r="B3222" s="2" t="s">
        <v>11692</v>
      </c>
      <c r="C3222" s="3">
        <v>24774</v>
      </c>
      <c r="D3222" s="1" t="s">
        <v>11693</v>
      </c>
      <c r="E3222" s="1" t="s">
        <v>11694</v>
      </c>
      <c r="F3222" s="2" t="s">
        <v>11638</v>
      </c>
      <c r="G3222" s="2" t="s">
        <v>2931</v>
      </c>
      <c r="H3222" s="2" t="s">
        <v>10</v>
      </c>
      <c r="I3222" s="2" t="s">
        <v>4139</v>
      </c>
      <c r="J3222" s="2" t="s">
        <v>4303</v>
      </c>
      <c r="K3222" s="13" t="s">
        <v>13177</v>
      </c>
      <c r="L3222" s="7" t="s">
        <v>13199</v>
      </c>
    </row>
    <row r="3223" spans="1:12" hidden="1" x14ac:dyDescent="0.3">
      <c r="A3223" s="2" t="s">
        <v>4139</v>
      </c>
      <c r="B3223" s="2" t="s">
        <v>9809</v>
      </c>
      <c r="C3223" s="3">
        <v>21822</v>
      </c>
      <c r="D3223" s="1" t="s">
        <v>4907</v>
      </c>
      <c r="E3223" s="1" t="s">
        <v>9810</v>
      </c>
      <c r="F3223" s="2" t="s">
        <v>9601</v>
      </c>
      <c r="G3223" s="2" t="s">
        <v>397</v>
      </c>
      <c r="H3223" s="2" t="s">
        <v>10</v>
      </c>
      <c r="I3223" s="2" t="s">
        <v>4139</v>
      </c>
      <c r="J3223" s="2" t="s">
        <v>398</v>
      </c>
      <c r="K3223" s="14"/>
      <c r="L3223" s="7" t="s">
        <v>13199</v>
      </c>
    </row>
    <row r="3224" spans="1:12" ht="41.4" hidden="1" x14ac:dyDescent="0.3">
      <c r="A3224" s="2" t="s">
        <v>4139</v>
      </c>
      <c r="B3224" s="2" t="s">
        <v>7652</v>
      </c>
      <c r="C3224" s="3">
        <v>26739</v>
      </c>
      <c r="D3224" s="1" t="s">
        <v>11695</v>
      </c>
      <c r="E3224" s="1" t="s">
        <v>7654</v>
      </c>
      <c r="F3224" s="2" t="s">
        <v>11638</v>
      </c>
      <c r="G3224" s="2" t="s">
        <v>9478</v>
      </c>
      <c r="H3224" s="2" t="s">
        <v>10</v>
      </c>
      <c r="I3224" s="2" t="s">
        <v>4139</v>
      </c>
      <c r="J3224" s="2" t="s">
        <v>11696</v>
      </c>
      <c r="K3224" s="13" t="s">
        <v>13177</v>
      </c>
      <c r="L3224" s="7" t="s">
        <v>13199</v>
      </c>
    </row>
    <row r="3225" spans="1:12" ht="41.4" hidden="1" x14ac:dyDescent="0.3">
      <c r="A3225" s="2" t="s">
        <v>4139</v>
      </c>
      <c r="B3225" s="2" t="s">
        <v>11697</v>
      </c>
      <c r="C3225" s="3">
        <v>29151</v>
      </c>
      <c r="D3225" s="1" t="s">
        <v>11698</v>
      </c>
      <c r="E3225" s="1" t="s">
        <v>11699</v>
      </c>
      <c r="F3225" s="2" t="s">
        <v>11638</v>
      </c>
      <c r="G3225" s="2" t="s">
        <v>9478</v>
      </c>
      <c r="H3225" s="2" t="s">
        <v>2571</v>
      </c>
      <c r="I3225" s="2" t="s">
        <v>4139</v>
      </c>
      <c r="J3225" s="2" t="s">
        <v>11696</v>
      </c>
      <c r="K3225" s="13" t="s">
        <v>13177</v>
      </c>
      <c r="L3225" s="7" t="s">
        <v>13199</v>
      </c>
    </row>
    <row r="3226" spans="1:12" ht="41.4" hidden="1" x14ac:dyDescent="0.3">
      <c r="A3226" s="2" t="s">
        <v>4139</v>
      </c>
      <c r="B3226" s="2" t="s">
        <v>11700</v>
      </c>
      <c r="C3226" s="3">
        <v>31453</v>
      </c>
      <c r="D3226" s="1" t="s">
        <v>11701</v>
      </c>
      <c r="E3226" s="1" t="s">
        <v>11702</v>
      </c>
      <c r="F3226" s="2" t="s">
        <v>11638</v>
      </c>
      <c r="G3226" s="2" t="s">
        <v>9478</v>
      </c>
      <c r="H3226" s="2" t="s">
        <v>2567</v>
      </c>
      <c r="I3226" s="2" t="s">
        <v>4139</v>
      </c>
      <c r="J3226" s="2" t="s">
        <v>11696</v>
      </c>
      <c r="K3226" s="13" t="s">
        <v>13177</v>
      </c>
      <c r="L3226" s="7" t="s">
        <v>13199</v>
      </c>
    </row>
    <row r="3227" spans="1:12" ht="27.6" hidden="1" x14ac:dyDescent="0.3">
      <c r="A3227" s="2" t="s">
        <v>60</v>
      </c>
      <c r="B3227" s="2" t="s">
        <v>11703</v>
      </c>
      <c r="C3227" s="3">
        <v>34409</v>
      </c>
      <c r="D3227" s="1" t="s">
        <v>11704</v>
      </c>
      <c r="E3227" s="1" t="s">
        <v>11705</v>
      </c>
      <c r="F3227" s="2" t="s">
        <v>60</v>
      </c>
      <c r="G3227" s="2" t="s">
        <v>17</v>
      </c>
      <c r="H3227" s="2" t="s">
        <v>10</v>
      </c>
      <c r="I3227" s="2" t="s">
        <v>60</v>
      </c>
      <c r="J3227" s="2" t="s">
        <v>18</v>
      </c>
      <c r="K3227" s="13" t="s">
        <v>13177</v>
      </c>
      <c r="L3227" s="7" t="s">
        <v>13199</v>
      </c>
    </row>
    <row r="3228" spans="1:12" ht="55.2" hidden="1" x14ac:dyDescent="0.3">
      <c r="A3228" s="2" t="s">
        <v>4604</v>
      </c>
      <c r="B3228" s="2" t="s">
        <v>11706</v>
      </c>
      <c r="C3228" s="3">
        <v>24940</v>
      </c>
      <c r="D3228" s="1" t="s">
        <v>11707</v>
      </c>
      <c r="E3228" s="1" t="s">
        <v>11708</v>
      </c>
      <c r="F3228" s="2" t="s">
        <v>7576</v>
      </c>
      <c r="G3228" s="2" t="s">
        <v>92</v>
      </c>
      <c r="H3228" s="2" t="s">
        <v>11709</v>
      </c>
      <c r="I3228" s="2" t="s">
        <v>4604</v>
      </c>
      <c r="J3228" s="2" t="s">
        <v>93</v>
      </c>
      <c r="K3228" s="16" t="s">
        <v>13177</v>
      </c>
      <c r="L3228" s="7" t="s">
        <v>13199</v>
      </c>
    </row>
    <row r="3229" spans="1:12" ht="27.6" hidden="1" x14ac:dyDescent="0.3">
      <c r="A3229" s="2" t="s">
        <v>4386</v>
      </c>
      <c r="B3229" s="2" t="s">
        <v>11710</v>
      </c>
      <c r="C3229" s="3">
        <v>33848</v>
      </c>
      <c r="D3229" s="1" t="s">
        <v>11711</v>
      </c>
      <c r="E3229" s="1" t="s">
        <v>11712</v>
      </c>
      <c r="F3229" s="2" t="s">
        <v>6239</v>
      </c>
      <c r="G3229" s="2" t="s">
        <v>48</v>
      </c>
      <c r="H3229" s="2" t="s">
        <v>10</v>
      </c>
      <c r="I3229" s="2" t="s">
        <v>4386</v>
      </c>
      <c r="J3229" s="2" t="s">
        <v>49</v>
      </c>
      <c r="K3229" s="41" t="s">
        <v>13193</v>
      </c>
      <c r="L3229" s="7" t="s">
        <v>13199</v>
      </c>
    </row>
    <row r="3230" spans="1:12" ht="27.6" hidden="1" x14ac:dyDescent="0.3">
      <c r="A3230" s="2" t="s">
        <v>4386</v>
      </c>
      <c r="B3230" s="2" t="s">
        <v>11713</v>
      </c>
      <c r="C3230" s="3">
        <v>28611</v>
      </c>
      <c r="D3230" s="1" t="s">
        <v>11714</v>
      </c>
      <c r="E3230" s="1" t="s">
        <v>11715</v>
      </c>
      <c r="F3230" s="2" t="s">
        <v>8536</v>
      </c>
      <c r="G3230" s="2" t="s">
        <v>11716</v>
      </c>
      <c r="H3230" s="2" t="s">
        <v>10</v>
      </c>
      <c r="I3230" s="2" t="s">
        <v>4386</v>
      </c>
      <c r="J3230" s="2" t="s">
        <v>11717</v>
      </c>
      <c r="K3230" s="20" t="s">
        <v>13177</v>
      </c>
      <c r="L3230" s="7" t="s">
        <v>13199</v>
      </c>
    </row>
    <row r="3231" spans="1:12" hidden="1" x14ac:dyDescent="0.3">
      <c r="A3231" s="2" t="s">
        <v>4139</v>
      </c>
      <c r="B3231" s="2" t="s">
        <v>11718</v>
      </c>
      <c r="C3231" s="3">
        <v>21026</v>
      </c>
      <c r="D3231" s="1" t="s">
        <v>11719</v>
      </c>
      <c r="E3231" s="1" t="s">
        <v>11720</v>
      </c>
      <c r="F3231" s="2" t="s">
        <v>9413</v>
      </c>
      <c r="G3231" s="2" t="s">
        <v>112</v>
      </c>
      <c r="H3231" s="2" t="s">
        <v>10</v>
      </c>
      <c r="I3231" s="2" t="s">
        <v>4139</v>
      </c>
      <c r="J3231" s="2" t="s">
        <v>315</v>
      </c>
      <c r="K3231" s="13" t="s">
        <v>13177</v>
      </c>
      <c r="L3231" s="7" t="s">
        <v>13199</v>
      </c>
    </row>
    <row r="3232" spans="1:12" ht="27.6" hidden="1" x14ac:dyDescent="0.3">
      <c r="A3232" s="2" t="s">
        <v>4139</v>
      </c>
      <c r="B3232" s="2" t="s">
        <v>11721</v>
      </c>
      <c r="C3232" s="3">
        <v>20713</v>
      </c>
      <c r="D3232" s="1" t="s">
        <v>11722</v>
      </c>
      <c r="E3232" s="1" t="s">
        <v>11723</v>
      </c>
      <c r="F3232" s="2" t="s">
        <v>9913</v>
      </c>
      <c r="G3232" s="2" t="s">
        <v>11724</v>
      </c>
      <c r="H3232" s="2" t="s">
        <v>10</v>
      </c>
      <c r="I3232" s="2" t="s">
        <v>4139</v>
      </c>
      <c r="J3232" s="2" t="s">
        <v>11725</v>
      </c>
      <c r="K3232" s="13" t="s">
        <v>13177</v>
      </c>
      <c r="L3232" s="7" t="s">
        <v>13199</v>
      </c>
    </row>
    <row r="3233" spans="1:12" ht="41.4" hidden="1" x14ac:dyDescent="0.3">
      <c r="A3233" s="2" t="s">
        <v>4139</v>
      </c>
      <c r="B3233" s="2" t="s">
        <v>11726</v>
      </c>
      <c r="C3233" s="3">
        <v>24047</v>
      </c>
      <c r="D3233" s="1" t="s">
        <v>11727</v>
      </c>
      <c r="E3233" s="1" t="s">
        <v>11728</v>
      </c>
      <c r="F3233" s="2" t="s">
        <v>11638</v>
      </c>
      <c r="G3233" s="2" t="s">
        <v>2456</v>
      </c>
      <c r="H3233" s="2" t="s">
        <v>10</v>
      </c>
      <c r="I3233" s="2" t="s">
        <v>4139</v>
      </c>
      <c r="J3233" s="2" t="s">
        <v>2457</v>
      </c>
      <c r="K3233" s="13" t="s">
        <v>13177</v>
      </c>
      <c r="L3233" s="7" t="s">
        <v>13199</v>
      </c>
    </row>
    <row r="3234" spans="1:12" ht="27.6" hidden="1" x14ac:dyDescent="0.3">
      <c r="A3234" s="2" t="s">
        <v>60</v>
      </c>
      <c r="B3234" s="2" t="s">
        <v>11729</v>
      </c>
      <c r="C3234" s="3">
        <v>21860</v>
      </c>
      <c r="D3234" s="1" t="s">
        <v>11730</v>
      </c>
      <c r="E3234" s="1" t="s">
        <v>11731</v>
      </c>
      <c r="F3234" s="2" t="s">
        <v>1918</v>
      </c>
      <c r="G3234" s="2" t="s">
        <v>152</v>
      </c>
      <c r="H3234" s="2" t="s">
        <v>10</v>
      </c>
      <c r="I3234" s="2" t="s">
        <v>60</v>
      </c>
      <c r="J3234" s="2" t="s">
        <v>153</v>
      </c>
      <c r="K3234" s="13" t="s">
        <v>13177</v>
      </c>
      <c r="L3234" s="7" t="s">
        <v>13199</v>
      </c>
    </row>
    <row r="3235" spans="1:12" ht="41.4" hidden="1" x14ac:dyDescent="0.3">
      <c r="A3235" s="2" t="s">
        <v>4139</v>
      </c>
      <c r="B3235" s="2" t="s">
        <v>11732</v>
      </c>
      <c r="C3235" s="3">
        <v>14259</v>
      </c>
      <c r="D3235" s="1" t="s">
        <v>11733</v>
      </c>
      <c r="E3235" s="1" t="s">
        <v>11734</v>
      </c>
      <c r="F3235" s="2" t="s">
        <v>11638</v>
      </c>
      <c r="G3235" s="2" t="s">
        <v>1876</v>
      </c>
      <c r="H3235" s="2" t="s">
        <v>10</v>
      </c>
      <c r="I3235" s="2" t="s">
        <v>4139</v>
      </c>
      <c r="J3235" s="2" t="s">
        <v>4193</v>
      </c>
      <c r="K3235" s="13" t="s">
        <v>13177</v>
      </c>
      <c r="L3235" s="7" t="s">
        <v>13199</v>
      </c>
    </row>
    <row r="3236" spans="1:12" ht="27.6" hidden="1" x14ac:dyDescent="0.3">
      <c r="A3236" s="2" t="s">
        <v>1962</v>
      </c>
      <c r="B3236" s="2" t="s">
        <v>11735</v>
      </c>
      <c r="C3236" s="3">
        <v>33226</v>
      </c>
      <c r="D3236" s="1" t="s">
        <v>261</v>
      </c>
      <c r="E3236" s="1" t="s">
        <v>11736</v>
      </c>
      <c r="F3236" s="2" t="s">
        <v>10934</v>
      </c>
      <c r="G3236" s="2" t="s">
        <v>196</v>
      </c>
      <c r="H3236" s="2" t="s">
        <v>103</v>
      </c>
      <c r="I3236" s="2" t="s">
        <v>1962</v>
      </c>
      <c r="J3236" s="2" t="s">
        <v>197</v>
      </c>
      <c r="K3236" s="13" t="s">
        <v>13177</v>
      </c>
      <c r="L3236" s="7" t="s">
        <v>13199</v>
      </c>
    </row>
    <row r="3237" spans="1:12" ht="27.6" hidden="1" x14ac:dyDescent="0.3">
      <c r="A3237" s="2" t="s">
        <v>11</v>
      </c>
      <c r="B3237" s="2" t="s">
        <v>11737</v>
      </c>
      <c r="C3237" s="3">
        <v>30052</v>
      </c>
      <c r="D3237" s="1" t="s">
        <v>11738</v>
      </c>
      <c r="E3237" s="1" t="s">
        <v>11739</v>
      </c>
      <c r="F3237" s="2" t="s">
        <v>53</v>
      </c>
      <c r="G3237" s="2" t="s">
        <v>86</v>
      </c>
      <c r="H3237" s="2" t="s">
        <v>10</v>
      </c>
      <c r="I3237" s="2" t="s">
        <v>11</v>
      </c>
      <c r="J3237" s="2" t="s">
        <v>87</v>
      </c>
      <c r="K3237" s="13" t="s">
        <v>13177</v>
      </c>
      <c r="L3237" s="7" t="s">
        <v>13199</v>
      </c>
    </row>
    <row r="3238" spans="1:12" hidden="1" x14ac:dyDescent="0.3">
      <c r="A3238" s="2" t="s">
        <v>4139</v>
      </c>
      <c r="B3238" s="2" t="s">
        <v>11740</v>
      </c>
      <c r="C3238" s="3">
        <v>31828</v>
      </c>
      <c r="D3238" s="1" t="s">
        <v>11741</v>
      </c>
      <c r="E3238" s="1" t="s">
        <v>11742</v>
      </c>
      <c r="F3238" s="2" t="s">
        <v>9413</v>
      </c>
      <c r="G3238" s="2" t="s">
        <v>319</v>
      </c>
      <c r="H3238" s="2" t="s">
        <v>3932</v>
      </c>
      <c r="I3238" s="2" t="s">
        <v>4139</v>
      </c>
      <c r="J3238" s="2" t="s">
        <v>76</v>
      </c>
      <c r="K3238" s="13" t="s">
        <v>13177</v>
      </c>
      <c r="L3238" s="7" t="s">
        <v>13199</v>
      </c>
    </row>
    <row r="3239" spans="1:12" ht="41.4" hidden="1" x14ac:dyDescent="0.3">
      <c r="A3239" s="2" t="s">
        <v>4139</v>
      </c>
      <c r="B3239" s="2" t="s">
        <v>11743</v>
      </c>
      <c r="C3239" s="3">
        <v>32037</v>
      </c>
      <c r="D3239" s="1" t="s">
        <v>11744</v>
      </c>
      <c r="E3239" s="1" t="s">
        <v>11745</v>
      </c>
      <c r="F3239" s="2" t="s">
        <v>11638</v>
      </c>
      <c r="G3239" s="2" t="s">
        <v>11746</v>
      </c>
      <c r="H3239" s="2" t="s">
        <v>103</v>
      </c>
      <c r="I3239" s="2" t="s">
        <v>4139</v>
      </c>
      <c r="J3239" s="2" t="s">
        <v>11747</v>
      </c>
      <c r="K3239" s="13" t="s">
        <v>13177</v>
      </c>
      <c r="L3239" s="7" t="s">
        <v>13199</v>
      </c>
    </row>
    <row r="3240" spans="1:12" ht="41.4" hidden="1" x14ac:dyDescent="0.3">
      <c r="A3240" s="2" t="s">
        <v>4139</v>
      </c>
      <c r="B3240" s="2" t="s">
        <v>11748</v>
      </c>
      <c r="C3240" s="3">
        <v>32037</v>
      </c>
      <c r="D3240" s="1" t="s">
        <v>11744</v>
      </c>
      <c r="E3240" s="1" t="s">
        <v>11745</v>
      </c>
      <c r="F3240" s="2" t="s">
        <v>11638</v>
      </c>
      <c r="G3240" s="2" t="s">
        <v>5662</v>
      </c>
      <c r="H3240" s="2" t="s">
        <v>81</v>
      </c>
      <c r="I3240" s="2" t="s">
        <v>4139</v>
      </c>
      <c r="J3240" s="2" t="s">
        <v>11749</v>
      </c>
      <c r="K3240" s="13" t="s">
        <v>13177</v>
      </c>
      <c r="L3240" s="7" t="s">
        <v>13199</v>
      </c>
    </row>
    <row r="3241" spans="1:12" ht="41.4" hidden="1" x14ac:dyDescent="0.3">
      <c r="A3241" s="2" t="s">
        <v>4139</v>
      </c>
      <c r="B3241" s="2" t="s">
        <v>11750</v>
      </c>
      <c r="C3241" s="3">
        <v>32756</v>
      </c>
      <c r="D3241" s="1" t="s">
        <v>11751</v>
      </c>
      <c r="E3241" s="1" t="s">
        <v>11752</v>
      </c>
      <c r="F3241" s="2" t="s">
        <v>11638</v>
      </c>
      <c r="G3241" s="2" t="s">
        <v>11644</v>
      </c>
      <c r="H3241" s="2" t="s">
        <v>822</v>
      </c>
      <c r="I3241" s="2" t="s">
        <v>4139</v>
      </c>
      <c r="J3241" s="2" t="s">
        <v>11645</v>
      </c>
      <c r="K3241" s="13" t="s">
        <v>13177</v>
      </c>
      <c r="L3241" s="7" t="s">
        <v>13199</v>
      </c>
    </row>
    <row r="3242" spans="1:12" ht="41.4" hidden="1" x14ac:dyDescent="0.3">
      <c r="A3242" s="2" t="s">
        <v>4139</v>
      </c>
      <c r="B3242" s="2" t="s">
        <v>11753</v>
      </c>
      <c r="C3242" s="3">
        <v>34411</v>
      </c>
      <c r="D3242" s="1" t="s">
        <v>11754</v>
      </c>
      <c r="E3242" s="1" t="s">
        <v>11755</v>
      </c>
      <c r="F3242" s="2" t="s">
        <v>11638</v>
      </c>
      <c r="G3242" s="2" t="s">
        <v>11644</v>
      </c>
      <c r="H3242" s="2" t="s">
        <v>81</v>
      </c>
      <c r="I3242" s="2" t="s">
        <v>4139</v>
      </c>
      <c r="J3242" s="2" t="s">
        <v>11645</v>
      </c>
      <c r="K3242" s="13" t="s">
        <v>13177</v>
      </c>
      <c r="L3242" s="7" t="s">
        <v>13199</v>
      </c>
    </row>
    <row r="3243" spans="1:12" ht="41.4" hidden="1" x14ac:dyDescent="0.3">
      <c r="A3243" s="2" t="s">
        <v>4139</v>
      </c>
      <c r="B3243" s="2" t="s">
        <v>11756</v>
      </c>
      <c r="C3243" s="3">
        <v>32631</v>
      </c>
      <c r="D3243" s="1" t="s">
        <v>11757</v>
      </c>
      <c r="E3243" s="1" t="s">
        <v>11758</v>
      </c>
      <c r="F3243" s="2" t="s">
        <v>11638</v>
      </c>
      <c r="G3243" s="2" t="s">
        <v>3362</v>
      </c>
      <c r="H3243" s="2" t="s">
        <v>10</v>
      </c>
      <c r="I3243" s="2" t="s">
        <v>4139</v>
      </c>
      <c r="J3243" s="2" t="s">
        <v>3363</v>
      </c>
      <c r="K3243" s="13" t="s">
        <v>13177</v>
      </c>
      <c r="L3243" s="7" t="s">
        <v>13199</v>
      </c>
    </row>
    <row r="3244" spans="1:12" ht="41.4" hidden="1" x14ac:dyDescent="0.3">
      <c r="A3244" s="2" t="s">
        <v>4139</v>
      </c>
      <c r="B3244" s="2" t="s">
        <v>11759</v>
      </c>
      <c r="C3244" s="3">
        <v>31157</v>
      </c>
      <c r="D3244" s="1" t="s">
        <v>11760</v>
      </c>
      <c r="E3244" s="1" t="s">
        <v>11761</v>
      </c>
      <c r="F3244" s="2" t="s">
        <v>11638</v>
      </c>
      <c r="G3244" s="2" t="s">
        <v>2828</v>
      </c>
      <c r="H3244" s="2" t="s">
        <v>10</v>
      </c>
      <c r="I3244" s="2" t="s">
        <v>4139</v>
      </c>
      <c r="J3244" s="2" t="s">
        <v>3007</v>
      </c>
      <c r="K3244" s="13" t="s">
        <v>13177</v>
      </c>
      <c r="L3244" s="7" t="s">
        <v>13199</v>
      </c>
    </row>
    <row r="3245" spans="1:12" ht="41.4" hidden="1" x14ac:dyDescent="0.3">
      <c r="A3245" s="2" t="s">
        <v>4139</v>
      </c>
      <c r="B3245" s="2" t="s">
        <v>11762</v>
      </c>
      <c r="C3245" s="3">
        <v>35708</v>
      </c>
      <c r="D3245" s="1" t="s">
        <v>11763</v>
      </c>
      <c r="E3245" s="1" t="s">
        <v>11764</v>
      </c>
      <c r="F3245" s="2" t="s">
        <v>11638</v>
      </c>
      <c r="G3245" s="2" t="s">
        <v>2828</v>
      </c>
      <c r="H3245" s="2" t="s">
        <v>562</v>
      </c>
      <c r="I3245" s="2" t="s">
        <v>4139</v>
      </c>
      <c r="J3245" s="2" t="s">
        <v>3007</v>
      </c>
      <c r="K3245" s="13" t="s">
        <v>13177</v>
      </c>
      <c r="L3245" s="7" t="s">
        <v>13199</v>
      </c>
    </row>
    <row r="3246" spans="1:12" ht="41.4" hidden="1" x14ac:dyDescent="0.3">
      <c r="A3246" s="2" t="s">
        <v>4139</v>
      </c>
      <c r="B3246" s="2" t="s">
        <v>11765</v>
      </c>
      <c r="C3246" s="3">
        <v>37361</v>
      </c>
      <c r="D3246" s="1" t="s">
        <v>11766</v>
      </c>
      <c r="E3246" s="1" t="s">
        <v>11767</v>
      </c>
      <c r="F3246" s="2" t="s">
        <v>11638</v>
      </c>
      <c r="G3246" s="2" t="s">
        <v>2828</v>
      </c>
      <c r="H3246" s="2" t="s">
        <v>81</v>
      </c>
      <c r="I3246" s="2" t="s">
        <v>4139</v>
      </c>
      <c r="J3246" s="2" t="s">
        <v>3007</v>
      </c>
      <c r="K3246" s="13" t="s">
        <v>13177</v>
      </c>
      <c r="L3246" s="7" t="s">
        <v>13199</v>
      </c>
    </row>
    <row r="3247" spans="1:12" ht="27.6" hidden="1" x14ac:dyDescent="0.3">
      <c r="A3247" s="2" t="s">
        <v>4386</v>
      </c>
      <c r="B3247" s="2" t="s">
        <v>11768</v>
      </c>
      <c r="C3247" s="3">
        <v>33888</v>
      </c>
      <c r="D3247" s="1" t="s">
        <v>11769</v>
      </c>
      <c r="E3247" s="1" t="s">
        <v>11770</v>
      </c>
      <c r="F3247" s="2" t="s">
        <v>9584</v>
      </c>
      <c r="G3247" s="2" t="s">
        <v>309</v>
      </c>
      <c r="H3247" s="2" t="s">
        <v>334</v>
      </c>
      <c r="I3247" s="2" t="s">
        <v>4386</v>
      </c>
      <c r="J3247" s="2" t="s">
        <v>310</v>
      </c>
      <c r="K3247" s="13" t="s">
        <v>13177</v>
      </c>
      <c r="L3247" s="7" t="s">
        <v>13199</v>
      </c>
    </row>
    <row r="3248" spans="1:12" ht="27.6" hidden="1" x14ac:dyDescent="0.3">
      <c r="A3248" s="2" t="s">
        <v>4386</v>
      </c>
      <c r="B3248" s="2" t="s">
        <v>11771</v>
      </c>
      <c r="C3248" s="3">
        <v>21254</v>
      </c>
      <c r="D3248" s="1" t="s">
        <v>11772</v>
      </c>
      <c r="E3248" s="1" t="s">
        <v>11773</v>
      </c>
      <c r="F3248" s="2" t="s">
        <v>7088</v>
      </c>
      <c r="G3248" s="2" t="s">
        <v>1955</v>
      </c>
      <c r="H3248" s="2" t="s">
        <v>10</v>
      </c>
      <c r="I3248" s="2" t="s">
        <v>4386</v>
      </c>
      <c r="J3248" s="2" t="s">
        <v>11774</v>
      </c>
      <c r="K3248" s="13" t="s">
        <v>13177</v>
      </c>
      <c r="L3248" s="7" t="s">
        <v>13199</v>
      </c>
    </row>
    <row r="3249" spans="1:12" ht="27.6" hidden="1" x14ac:dyDescent="0.3">
      <c r="A3249" s="2" t="s">
        <v>4386</v>
      </c>
      <c r="B3249" s="2" t="s">
        <v>11775</v>
      </c>
      <c r="C3249" s="3">
        <v>31590</v>
      </c>
      <c r="D3249" s="1" t="s">
        <v>11776</v>
      </c>
      <c r="E3249" s="1" t="s">
        <v>11777</v>
      </c>
      <c r="F3249" s="2" t="s">
        <v>5618</v>
      </c>
      <c r="G3249" s="2" t="s">
        <v>11778</v>
      </c>
      <c r="H3249" s="2" t="s">
        <v>10</v>
      </c>
      <c r="I3249" s="2" t="s">
        <v>4386</v>
      </c>
      <c r="J3249" s="2" t="s">
        <v>11779</v>
      </c>
      <c r="K3249" s="13" t="s">
        <v>13177</v>
      </c>
      <c r="L3249" s="7" t="s">
        <v>13199</v>
      </c>
    </row>
    <row r="3250" spans="1:12" ht="27.6" hidden="1" x14ac:dyDescent="0.3">
      <c r="A3250" s="2" t="s">
        <v>60</v>
      </c>
      <c r="B3250" s="2" t="s">
        <v>11780</v>
      </c>
      <c r="C3250" s="3">
        <v>28726</v>
      </c>
      <c r="D3250" s="1" t="s">
        <v>11781</v>
      </c>
      <c r="E3250" s="1" t="s">
        <v>11782</v>
      </c>
      <c r="F3250" s="2" t="s">
        <v>269</v>
      </c>
      <c r="G3250" s="2" t="s">
        <v>604</v>
      </c>
      <c r="H3250" s="2" t="s">
        <v>10</v>
      </c>
      <c r="I3250" s="2" t="s">
        <v>60</v>
      </c>
      <c r="J3250" s="2" t="s">
        <v>605</v>
      </c>
      <c r="K3250" s="13" t="s">
        <v>13177</v>
      </c>
      <c r="L3250" s="7" t="s">
        <v>13199</v>
      </c>
    </row>
    <row r="3251" spans="1:12" ht="41.4" hidden="1" x14ac:dyDescent="0.3">
      <c r="A3251" s="2" t="s">
        <v>4139</v>
      </c>
      <c r="B3251" s="2" t="s">
        <v>11783</v>
      </c>
      <c r="C3251" s="3">
        <v>36532</v>
      </c>
      <c r="D3251" s="1" t="s">
        <v>11784</v>
      </c>
      <c r="E3251" s="1" t="s">
        <v>11785</v>
      </c>
      <c r="F3251" s="2" t="s">
        <v>11638</v>
      </c>
      <c r="G3251" s="2" t="s">
        <v>2828</v>
      </c>
      <c r="H3251" s="2" t="s">
        <v>822</v>
      </c>
      <c r="I3251" s="2" t="s">
        <v>4139</v>
      </c>
      <c r="J3251" s="2" t="s">
        <v>3007</v>
      </c>
      <c r="K3251" s="13" t="s">
        <v>13177</v>
      </c>
      <c r="L3251" s="7" t="s">
        <v>13199</v>
      </c>
    </row>
    <row r="3252" spans="1:12" ht="41.4" hidden="1" x14ac:dyDescent="0.3">
      <c r="A3252" s="2" t="s">
        <v>4139</v>
      </c>
      <c r="B3252" s="2" t="s">
        <v>11786</v>
      </c>
      <c r="C3252" s="3">
        <v>22588</v>
      </c>
      <c r="D3252" s="1" t="s">
        <v>11787</v>
      </c>
      <c r="E3252" s="1" t="s">
        <v>11788</v>
      </c>
      <c r="F3252" s="2" t="s">
        <v>11638</v>
      </c>
      <c r="G3252" s="2" t="s">
        <v>796</v>
      </c>
      <c r="H3252" s="2" t="s">
        <v>10</v>
      </c>
      <c r="I3252" s="2" t="s">
        <v>4139</v>
      </c>
      <c r="J3252" s="2" t="s">
        <v>797</v>
      </c>
      <c r="K3252" s="13" t="s">
        <v>13177</v>
      </c>
      <c r="L3252" s="7" t="s">
        <v>13199</v>
      </c>
    </row>
    <row r="3253" spans="1:12" ht="41.4" hidden="1" x14ac:dyDescent="0.3">
      <c r="A3253" s="2" t="s">
        <v>4139</v>
      </c>
      <c r="B3253" s="2" t="s">
        <v>11789</v>
      </c>
      <c r="C3253" s="3">
        <v>35346</v>
      </c>
      <c r="D3253" s="1" t="s">
        <v>11790</v>
      </c>
      <c r="E3253" s="1" t="s">
        <v>11791</v>
      </c>
      <c r="F3253" s="2" t="s">
        <v>11638</v>
      </c>
      <c r="G3253" s="2" t="s">
        <v>102</v>
      </c>
      <c r="H3253" s="2" t="s">
        <v>10</v>
      </c>
      <c r="I3253" s="2" t="s">
        <v>4139</v>
      </c>
      <c r="J3253" s="2" t="s">
        <v>104</v>
      </c>
      <c r="K3253" s="13" t="s">
        <v>13177</v>
      </c>
      <c r="L3253" s="7" t="s">
        <v>13199</v>
      </c>
    </row>
    <row r="3254" spans="1:12" ht="41.4" hidden="1" x14ac:dyDescent="0.3">
      <c r="A3254" s="2" t="s">
        <v>4139</v>
      </c>
      <c r="B3254" s="2" t="s">
        <v>11792</v>
      </c>
      <c r="C3254" s="3">
        <v>31269</v>
      </c>
      <c r="D3254" s="1" t="s">
        <v>261</v>
      </c>
      <c r="E3254" s="1" t="s">
        <v>11793</v>
      </c>
      <c r="F3254" s="2" t="s">
        <v>11638</v>
      </c>
      <c r="G3254" s="2" t="s">
        <v>11644</v>
      </c>
      <c r="H3254" s="2" t="s">
        <v>4646</v>
      </c>
      <c r="I3254" s="2" t="s">
        <v>4139</v>
      </c>
      <c r="J3254" s="2" t="s">
        <v>11645</v>
      </c>
      <c r="K3254" s="13" t="s">
        <v>13177</v>
      </c>
      <c r="L3254" s="7" t="s">
        <v>13199</v>
      </c>
    </row>
    <row r="3255" spans="1:12" hidden="1" x14ac:dyDescent="0.3">
      <c r="A3255" s="8" t="s">
        <v>4139</v>
      </c>
      <c r="B3255" s="8" t="s">
        <v>11794</v>
      </c>
      <c r="C3255" s="9">
        <v>37055</v>
      </c>
      <c r="D3255" s="10" t="s">
        <v>11795</v>
      </c>
      <c r="E3255" s="10" t="s">
        <v>11796</v>
      </c>
      <c r="F3255" s="8" t="s">
        <v>8598</v>
      </c>
      <c r="G3255" s="8" t="s">
        <v>11797</v>
      </c>
      <c r="H3255" s="8" t="s">
        <v>103</v>
      </c>
      <c r="I3255" s="8" t="s">
        <v>4139</v>
      </c>
      <c r="J3255" s="2" t="s">
        <v>11798</v>
      </c>
      <c r="K3255" s="13" t="s">
        <v>13177</v>
      </c>
      <c r="L3255" s="7" t="s">
        <v>13199</v>
      </c>
    </row>
    <row r="3256" spans="1:12" hidden="1" x14ac:dyDescent="0.3">
      <c r="A3256" s="8" t="s">
        <v>4139</v>
      </c>
      <c r="B3256" s="8" t="s">
        <v>11794</v>
      </c>
      <c r="C3256" s="9">
        <v>37055</v>
      </c>
      <c r="D3256" s="10" t="s">
        <v>11795</v>
      </c>
      <c r="E3256" s="10" t="s">
        <v>11796</v>
      </c>
      <c r="F3256" s="8" t="s">
        <v>8598</v>
      </c>
      <c r="G3256" s="8" t="s">
        <v>11797</v>
      </c>
      <c r="H3256" s="8" t="s">
        <v>2567</v>
      </c>
      <c r="I3256" s="8" t="s">
        <v>4139</v>
      </c>
      <c r="J3256" s="2" t="s">
        <v>11798</v>
      </c>
      <c r="K3256" s="13" t="s">
        <v>13177</v>
      </c>
      <c r="L3256" s="7" t="s">
        <v>13199</v>
      </c>
    </row>
    <row r="3257" spans="1:12" hidden="1" x14ac:dyDescent="0.3">
      <c r="A3257" s="8" t="s">
        <v>4139</v>
      </c>
      <c r="B3257" s="8" t="s">
        <v>11794</v>
      </c>
      <c r="C3257" s="9">
        <v>37055</v>
      </c>
      <c r="D3257" s="10" t="s">
        <v>11795</v>
      </c>
      <c r="E3257" s="10" t="s">
        <v>11796</v>
      </c>
      <c r="F3257" s="8" t="s">
        <v>8598</v>
      </c>
      <c r="G3257" s="8" t="s">
        <v>11797</v>
      </c>
      <c r="H3257" s="8" t="s">
        <v>562</v>
      </c>
      <c r="I3257" s="8" t="s">
        <v>4139</v>
      </c>
      <c r="J3257" s="2" t="s">
        <v>11798</v>
      </c>
      <c r="K3257" s="13" t="s">
        <v>13177</v>
      </c>
      <c r="L3257" s="7" t="s">
        <v>13199</v>
      </c>
    </row>
    <row r="3258" spans="1:12" hidden="1" x14ac:dyDescent="0.3">
      <c r="A3258" s="8" t="s">
        <v>4139</v>
      </c>
      <c r="B3258" s="8" t="s">
        <v>11799</v>
      </c>
      <c r="C3258" s="9">
        <v>28407</v>
      </c>
      <c r="D3258" s="10" t="s">
        <v>11800</v>
      </c>
      <c r="E3258" s="10" t="s">
        <v>11801</v>
      </c>
      <c r="F3258" s="8" t="s">
        <v>8598</v>
      </c>
      <c r="G3258" s="8" t="s">
        <v>11802</v>
      </c>
      <c r="H3258" s="8" t="s">
        <v>10</v>
      </c>
      <c r="I3258" s="8" t="s">
        <v>4139</v>
      </c>
      <c r="J3258" s="2" t="s">
        <v>11803</v>
      </c>
      <c r="K3258" s="13" t="s">
        <v>13177</v>
      </c>
      <c r="L3258" s="7" t="s">
        <v>13199</v>
      </c>
    </row>
    <row r="3259" spans="1:12" hidden="1" x14ac:dyDescent="0.3">
      <c r="A3259" s="8" t="s">
        <v>4139</v>
      </c>
      <c r="B3259" s="8" t="s">
        <v>11804</v>
      </c>
      <c r="C3259" s="9">
        <v>25206</v>
      </c>
      <c r="D3259" s="10" t="s">
        <v>11805</v>
      </c>
      <c r="E3259" s="10" t="s">
        <v>11806</v>
      </c>
      <c r="F3259" s="8" t="s">
        <v>8598</v>
      </c>
      <c r="G3259" s="8" t="s">
        <v>11807</v>
      </c>
      <c r="H3259" s="8" t="s">
        <v>10</v>
      </c>
      <c r="I3259" s="8" t="s">
        <v>4139</v>
      </c>
      <c r="J3259" s="2" t="s">
        <v>11808</v>
      </c>
      <c r="K3259" s="13" t="s">
        <v>13177</v>
      </c>
      <c r="L3259" s="7" t="s">
        <v>13199</v>
      </c>
    </row>
    <row r="3260" spans="1:12" hidden="1" x14ac:dyDescent="0.3">
      <c r="A3260" s="8" t="s">
        <v>4139</v>
      </c>
      <c r="B3260" s="8" t="s">
        <v>11809</v>
      </c>
      <c r="C3260" s="9">
        <v>24339</v>
      </c>
      <c r="D3260" s="10" t="s">
        <v>11810</v>
      </c>
      <c r="E3260" s="10" t="s">
        <v>11811</v>
      </c>
      <c r="F3260" s="8" t="s">
        <v>8598</v>
      </c>
      <c r="G3260" s="8" t="s">
        <v>9596</v>
      </c>
      <c r="H3260" s="8" t="s">
        <v>103</v>
      </c>
      <c r="I3260" s="8" t="s">
        <v>4139</v>
      </c>
      <c r="J3260" s="2" t="s">
        <v>11812</v>
      </c>
      <c r="K3260" s="13" t="s">
        <v>13177</v>
      </c>
      <c r="L3260" s="7" t="s">
        <v>13199</v>
      </c>
    </row>
    <row r="3261" spans="1:12" hidden="1" x14ac:dyDescent="0.3">
      <c r="A3261" s="8" t="s">
        <v>4139</v>
      </c>
      <c r="B3261" s="8" t="s">
        <v>11809</v>
      </c>
      <c r="C3261" s="9">
        <v>24339</v>
      </c>
      <c r="D3261" s="10" t="s">
        <v>11810</v>
      </c>
      <c r="E3261" s="10" t="s">
        <v>11813</v>
      </c>
      <c r="F3261" s="8" t="s">
        <v>8598</v>
      </c>
      <c r="G3261" s="8" t="s">
        <v>9596</v>
      </c>
      <c r="H3261" s="8" t="s">
        <v>81</v>
      </c>
      <c r="I3261" s="8" t="s">
        <v>4139</v>
      </c>
      <c r="J3261" s="2" t="s">
        <v>9597</v>
      </c>
      <c r="K3261" s="13" t="s">
        <v>13177</v>
      </c>
      <c r="L3261" s="7" t="s">
        <v>13199</v>
      </c>
    </row>
    <row r="3262" spans="1:12" ht="27.6" hidden="1" x14ac:dyDescent="0.3">
      <c r="A3262" s="2" t="s">
        <v>4386</v>
      </c>
      <c r="B3262" s="2" t="s">
        <v>11814</v>
      </c>
      <c r="C3262" s="3">
        <v>35825</v>
      </c>
      <c r="D3262" s="1" t="s">
        <v>442</v>
      </c>
      <c r="E3262" s="1" t="s">
        <v>11815</v>
      </c>
      <c r="F3262" s="2" t="s">
        <v>9821</v>
      </c>
      <c r="G3262" s="2" t="s">
        <v>333</v>
      </c>
      <c r="H3262" s="2" t="s">
        <v>10</v>
      </c>
      <c r="I3262" s="2" t="s">
        <v>4386</v>
      </c>
      <c r="J3262" s="2" t="s">
        <v>1059</v>
      </c>
      <c r="K3262" s="13" t="s">
        <v>13177</v>
      </c>
      <c r="L3262" s="7" t="s">
        <v>13199</v>
      </c>
    </row>
    <row r="3263" spans="1:12" ht="55.2" hidden="1" x14ac:dyDescent="0.3">
      <c r="A3263" s="2" t="s">
        <v>4604</v>
      </c>
      <c r="B3263" s="2" t="s">
        <v>11816</v>
      </c>
      <c r="C3263" s="3">
        <v>21949</v>
      </c>
      <c r="D3263" s="1" t="s">
        <v>11817</v>
      </c>
      <c r="E3263" s="1" t="s">
        <v>11818</v>
      </c>
      <c r="F3263" s="2" t="s">
        <v>4608</v>
      </c>
      <c r="G3263" s="2" t="s">
        <v>92</v>
      </c>
      <c r="H3263" s="2" t="s">
        <v>10</v>
      </c>
      <c r="I3263" s="2" t="s">
        <v>4604</v>
      </c>
      <c r="J3263" s="2" t="s">
        <v>5694</v>
      </c>
      <c r="K3263" s="13" t="s">
        <v>13177</v>
      </c>
      <c r="L3263" s="7" t="s">
        <v>13199</v>
      </c>
    </row>
    <row r="3264" spans="1:12" ht="55.2" hidden="1" x14ac:dyDescent="0.3">
      <c r="A3264" s="2" t="s">
        <v>4604</v>
      </c>
      <c r="B3264" s="2" t="s">
        <v>11819</v>
      </c>
      <c r="C3264" s="3">
        <v>36267</v>
      </c>
      <c r="D3264" s="1" t="s">
        <v>11820</v>
      </c>
      <c r="E3264" s="1" t="s">
        <v>11821</v>
      </c>
      <c r="F3264" s="2" t="s">
        <v>4698</v>
      </c>
      <c r="G3264" s="2" t="s">
        <v>2800</v>
      </c>
      <c r="H3264" s="2" t="s">
        <v>11822</v>
      </c>
      <c r="I3264" s="2" t="s">
        <v>4604</v>
      </c>
      <c r="J3264" s="2" t="s">
        <v>6395</v>
      </c>
      <c r="K3264" s="13" t="s">
        <v>13177</v>
      </c>
      <c r="L3264" s="7" t="s">
        <v>13199</v>
      </c>
    </row>
    <row r="3265" spans="1:12" ht="55.2" hidden="1" x14ac:dyDescent="0.3">
      <c r="A3265" s="2" t="s">
        <v>4604</v>
      </c>
      <c r="B3265" s="2" t="s">
        <v>11823</v>
      </c>
      <c r="C3265" s="3">
        <v>30351</v>
      </c>
      <c r="D3265" s="1" t="s">
        <v>11824</v>
      </c>
      <c r="E3265" s="1" t="s">
        <v>11825</v>
      </c>
      <c r="F3265" s="2" t="s">
        <v>7787</v>
      </c>
      <c r="G3265" s="2" t="s">
        <v>143</v>
      </c>
      <c r="H3265" s="2" t="s">
        <v>11826</v>
      </c>
      <c r="I3265" s="2" t="s">
        <v>4604</v>
      </c>
      <c r="J3265" s="2" t="s">
        <v>324</v>
      </c>
      <c r="K3265" s="13" t="s">
        <v>13177</v>
      </c>
      <c r="L3265" s="7" t="s">
        <v>13199</v>
      </c>
    </row>
    <row r="3266" spans="1:12" ht="55.2" hidden="1" x14ac:dyDescent="0.3">
      <c r="A3266" s="2" t="s">
        <v>4604</v>
      </c>
      <c r="B3266" s="2" t="s">
        <v>11827</v>
      </c>
      <c r="C3266" s="3">
        <v>37286</v>
      </c>
      <c r="D3266" s="1" t="s">
        <v>11828</v>
      </c>
      <c r="E3266" s="1" t="s">
        <v>11829</v>
      </c>
      <c r="F3266" s="2" t="s">
        <v>7787</v>
      </c>
      <c r="G3266" s="2" t="s">
        <v>190</v>
      </c>
      <c r="H3266" s="2" t="s">
        <v>11830</v>
      </c>
      <c r="I3266" s="2" t="s">
        <v>4604</v>
      </c>
      <c r="J3266" s="2" t="s">
        <v>11353</v>
      </c>
      <c r="K3266" s="13" t="s">
        <v>13177</v>
      </c>
      <c r="L3266" s="7" t="s">
        <v>13199</v>
      </c>
    </row>
    <row r="3267" spans="1:12" ht="55.2" hidden="1" x14ac:dyDescent="0.3">
      <c r="A3267" s="2" t="s">
        <v>4604</v>
      </c>
      <c r="B3267" s="2" t="s">
        <v>11831</v>
      </c>
      <c r="C3267" s="3">
        <v>21365</v>
      </c>
      <c r="D3267" s="1" t="s">
        <v>11832</v>
      </c>
      <c r="E3267" s="1" t="s">
        <v>11833</v>
      </c>
      <c r="F3267" s="2" t="s">
        <v>7787</v>
      </c>
      <c r="G3267" s="2" t="s">
        <v>1403</v>
      </c>
      <c r="H3267" s="2" t="s">
        <v>11834</v>
      </c>
      <c r="I3267" s="2" t="s">
        <v>4604</v>
      </c>
      <c r="J3267" s="2" t="s">
        <v>4848</v>
      </c>
      <c r="K3267" s="13" t="s">
        <v>13177</v>
      </c>
      <c r="L3267" s="7" t="s">
        <v>13199</v>
      </c>
    </row>
    <row r="3268" spans="1:12" ht="41.4" hidden="1" x14ac:dyDescent="0.3">
      <c r="A3268" s="2" t="s">
        <v>4139</v>
      </c>
      <c r="B3268" s="2" t="s">
        <v>11835</v>
      </c>
      <c r="C3268" s="3">
        <v>19939</v>
      </c>
      <c r="D3268" s="1" t="s">
        <v>11836</v>
      </c>
      <c r="E3268" s="1" t="s">
        <v>11837</v>
      </c>
      <c r="F3268" s="2" t="s">
        <v>11838</v>
      </c>
      <c r="G3268" s="2" t="s">
        <v>2795</v>
      </c>
      <c r="H3268" s="2" t="s">
        <v>11839</v>
      </c>
      <c r="I3268" s="2" t="s">
        <v>4139</v>
      </c>
      <c r="J3268" s="2" t="s">
        <v>3222</v>
      </c>
      <c r="K3268" s="13" t="s">
        <v>13177</v>
      </c>
      <c r="L3268" s="7" t="s">
        <v>13199</v>
      </c>
    </row>
    <row r="3269" spans="1:12" ht="41.4" hidden="1" x14ac:dyDescent="0.3">
      <c r="A3269" s="2" t="s">
        <v>4139</v>
      </c>
      <c r="B3269" s="2" t="s">
        <v>11840</v>
      </c>
      <c r="C3269" s="3">
        <v>24784</v>
      </c>
      <c r="D3269" s="1" t="s">
        <v>261</v>
      </c>
      <c r="E3269" s="1" t="s">
        <v>11841</v>
      </c>
      <c r="F3269" s="2" t="s">
        <v>11638</v>
      </c>
      <c r="G3269" s="2" t="s">
        <v>3027</v>
      </c>
      <c r="H3269" s="2" t="s">
        <v>10</v>
      </c>
      <c r="I3269" s="2" t="s">
        <v>4139</v>
      </c>
      <c r="J3269" s="2" t="s">
        <v>3028</v>
      </c>
      <c r="K3269" s="13" t="s">
        <v>13177</v>
      </c>
      <c r="L3269" s="7" t="s">
        <v>13199</v>
      </c>
    </row>
    <row r="3270" spans="1:12" ht="41.4" hidden="1" x14ac:dyDescent="0.3">
      <c r="A3270" s="2" t="s">
        <v>4139</v>
      </c>
      <c r="B3270" s="2" t="s">
        <v>11842</v>
      </c>
      <c r="C3270" s="3">
        <v>38259</v>
      </c>
      <c r="D3270" s="1" t="s">
        <v>11843</v>
      </c>
      <c r="E3270" s="1" t="s">
        <v>11844</v>
      </c>
      <c r="F3270" s="2" t="s">
        <v>11638</v>
      </c>
      <c r="G3270" s="2" t="s">
        <v>6551</v>
      </c>
      <c r="H3270" s="2" t="s">
        <v>10</v>
      </c>
      <c r="I3270" s="2" t="s">
        <v>4139</v>
      </c>
      <c r="J3270" s="2" t="s">
        <v>6552</v>
      </c>
      <c r="K3270" s="13" t="s">
        <v>13177</v>
      </c>
      <c r="L3270" s="7" t="s">
        <v>13199</v>
      </c>
    </row>
    <row r="3271" spans="1:12" ht="41.4" hidden="1" x14ac:dyDescent="0.3">
      <c r="A3271" s="2" t="s">
        <v>4139</v>
      </c>
      <c r="B3271" s="2" t="s">
        <v>11845</v>
      </c>
      <c r="C3271" s="3">
        <v>31000</v>
      </c>
      <c r="D3271" s="1" t="s">
        <v>11846</v>
      </c>
      <c r="E3271" s="1" t="s">
        <v>11847</v>
      </c>
      <c r="F3271" s="2" t="s">
        <v>11838</v>
      </c>
      <c r="G3271" s="2" t="s">
        <v>10874</v>
      </c>
      <c r="H3271" s="2" t="s">
        <v>81</v>
      </c>
      <c r="I3271" s="2" t="s">
        <v>4139</v>
      </c>
      <c r="J3271" s="2" t="s">
        <v>11848</v>
      </c>
      <c r="K3271" s="13" t="s">
        <v>13177</v>
      </c>
      <c r="L3271" s="7" t="s">
        <v>13199</v>
      </c>
    </row>
    <row r="3272" spans="1:12" ht="41.4" hidden="1" x14ac:dyDescent="0.3">
      <c r="A3272" s="2" t="s">
        <v>4139</v>
      </c>
      <c r="B3272" s="2" t="s">
        <v>11845</v>
      </c>
      <c r="C3272" s="3">
        <v>31000</v>
      </c>
      <c r="D3272" s="1" t="s">
        <v>11846</v>
      </c>
      <c r="E3272" s="1" t="s">
        <v>11847</v>
      </c>
      <c r="F3272" s="2" t="s">
        <v>11838</v>
      </c>
      <c r="G3272" s="2" t="s">
        <v>794</v>
      </c>
      <c r="H3272" s="2" t="s">
        <v>10</v>
      </c>
      <c r="I3272" s="2" t="s">
        <v>4139</v>
      </c>
      <c r="J3272" s="2" t="s">
        <v>795</v>
      </c>
      <c r="K3272" s="13" t="s">
        <v>13177</v>
      </c>
      <c r="L3272" s="7" t="s">
        <v>13199</v>
      </c>
    </row>
    <row r="3273" spans="1:12" ht="41.4" hidden="1" x14ac:dyDescent="0.3">
      <c r="A3273" s="2" t="s">
        <v>4139</v>
      </c>
      <c r="B3273" s="2" t="s">
        <v>11849</v>
      </c>
      <c r="C3273" s="3">
        <v>28883</v>
      </c>
      <c r="D3273" s="1" t="s">
        <v>11850</v>
      </c>
      <c r="E3273" s="1" t="s">
        <v>11851</v>
      </c>
      <c r="F3273" s="2" t="s">
        <v>11838</v>
      </c>
      <c r="G3273" s="2" t="s">
        <v>2823</v>
      </c>
      <c r="H3273" s="2" t="s">
        <v>10</v>
      </c>
      <c r="I3273" s="2" t="s">
        <v>4139</v>
      </c>
      <c r="J3273" s="2" t="s">
        <v>11852</v>
      </c>
      <c r="K3273" s="13" t="s">
        <v>13177</v>
      </c>
      <c r="L3273" s="7" t="s">
        <v>13199</v>
      </c>
    </row>
    <row r="3274" spans="1:12" ht="41.4" hidden="1" x14ac:dyDescent="0.3">
      <c r="A3274" s="2" t="s">
        <v>4139</v>
      </c>
      <c r="B3274" s="2" t="s">
        <v>11853</v>
      </c>
      <c r="C3274" s="3">
        <v>32093</v>
      </c>
      <c r="D3274" s="1" t="s">
        <v>11854</v>
      </c>
      <c r="E3274" s="1" t="s">
        <v>11855</v>
      </c>
      <c r="F3274" s="2" t="s">
        <v>11838</v>
      </c>
      <c r="G3274" s="2" t="s">
        <v>10874</v>
      </c>
      <c r="H3274" s="2" t="s">
        <v>10</v>
      </c>
      <c r="I3274" s="2" t="s">
        <v>4139</v>
      </c>
      <c r="J3274" s="2" t="s">
        <v>11848</v>
      </c>
      <c r="K3274" s="13" t="s">
        <v>13177</v>
      </c>
      <c r="L3274" s="7" t="s">
        <v>13199</v>
      </c>
    </row>
    <row r="3275" spans="1:12" ht="41.4" hidden="1" x14ac:dyDescent="0.3">
      <c r="A3275" s="2" t="s">
        <v>4139</v>
      </c>
      <c r="B3275" s="2" t="s">
        <v>11856</v>
      </c>
      <c r="C3275" s="3">
        <v>24784</v>
      </c>
      <c r="D3275" s="1" t="s">
        <v>261</v>
      </c>
      <c r="E3275" s="1" t="s">
        <v>11841</v>
      </c>
      <c r="F3275" s="2" t="s">
        <v>11638</v>
      </c>
      <c r="G3275" s="2" t="s">
        <v>6551</v>
      </c>
      <c r="H3275" s="2" t="s">
        <v>81</v>
      </c>
      <c r="I3275" s="2" t="s">
        <v>4139</v>
      </c>
      <c r="J3275" s="2" t="s">
        <v>6552</v>
      </c>
      <c r="K3275" s="13" t="s">
        <v>13177</v>
      </c>
      <c r="L3275" s="7" t="s">
        <v>13199</v>
      </c>
    </row>
    <row r="3276" spans="1:12" ht="41.4" hidden="1" x14ac:dyDescent="0.3">
      <c r="A3276" s="2" t="s">
        <v>4139</v>
      </c>
      <c r="B3276" s="2" t="s">
        <v>11857</v>
      </c>
      <c r="C3276" s="3">
        <v>27855</v>
      </c>
      <c r="D3276" s="1" t="s">
        <v>11858</v>
      </c>
      <c r="E3276" s="1" t="s">
        <v>11859</v>
      </c>
      <c r="F3276" s="2" t="s">
        <v>11838</v>
      </c>
      <c r="G3276" s="2" t="s">
        <v>2795</v>
      </c>
      <c r="H3276" s="2" t="s">
        <v>81</v>
      </c>
      <c r="I3276" s="2" t="s">
        <v>4139</v>
      </c>
      <c r="J3276" s="2" t="s">
        <v>3222</v>
      </c>
      <c r="K3276" s="13" t="s">
        <v>13177</v>
      </c>
      <c r="L3276" s="7" t="s">
        <v>13199</v>
      </c>
    </row>
    <row r="3277" spans="1:12" ht="41.4" hidden="1" x14ac:dyDescent="0.3">
      <c r="A3277" s="2" t="s">
        <v>4139</v>
      </c>
      <c r="B3277" s="2" t="s">
        <v>11857</v>
      </c>
      <c r="C3277" s="3">
        <v>27854</v>
      </c>
      <c r="D3277" s="1" t="s">
        <v>11858</v>
      </c>
      <c r="E3277" s="1" t="s">
        <v>11859</v>
      </c>
      <c r="F3277" s="2" t="s">
        <v>11838</v>
      </c>
      <c r="G3277" s="2" t="s">
        <v>2795</v>
      </c>
      <c r="H3277" s="2" t="s">
        <v>103</v>
      </c>
      <c r="I3277" s="2" t="s">
        <v>4139</v>
      </c>
      <c r="J3277" s="2" t="s">
        <v>3222</v>
      </c>
      <c r="K3277" s="13" t="s">
        <v>13177</v>
      </c>
      <c r="L3277" s="7" t="s">
        <v>13199</v>
      </c>
    </row>
    <row r="3278" spans="1:12" ht="41.4" hidden="1" x14ac:dyDescent="0.3">
      <c r="A3278" s="2" t="s">
        <v>4139</v>
      </c>
      <c r="B3278" s="2" t="s">
        <v>11860</v>
      </c>
      <c r="C3278" s="3">
        <v>38705</v>
      </c>
      <c r="D3278" s="1" t="s">
        <v>11861</v>
      </c>
      <c r="E3278" s="1" t="s">
        <v>11862</v>
      </c>
      <c r="F3278" s="2" t="s">
        <v>11863</v>
      </c>
      <c r="G3278" s="2" t="s">
        <v>1275</v>
      </c>
      <c r="H3278" s="2" t="s">
        <v>10</v>
      </c>
      <c r="I3278" s="2" t="s">
        <v>4139</v>
      </c>
      <c r="J3278" s="2" t="s">
        <v>1276</v>
      </c>
      <c r="K3278" s="13" t="s">
        <v>13177</v>
      </c>
      <c r="L3278" s="7" t="s">
        <v>13199</v>
      </c>
    </row>
    <row r="3279" spans="1:12" ht="41.4" hidden="1" x14ac:dyDescent="0.3">
      <c r="A3279" s="2" t="s">
        <v>4139</v>
      </c>
      <c r="B3279" s="2" t="s">
        <v>11864</v>
      </c>
      <c r="C3279" s="3">
        <v>28186</v>
      </c>
      <c r="D3279" s="1" t="s">
        <v>11865</v>
      </c>
      <c r="E3279" s="1" t="s">
        <v>11866</v>
      </c>
      <c r="F3279" s="2" t="s">
        <v>11863</v>
      </c>
      <c r="G3279" s="2" t="s">
        <v>570</v>
      </c>
      <c r="H3279" s="2" t="s">
        <v>81</v>
      </c>
      <c r="I3279" s="2" t="s">
        <v>4139</v>
      </c>
      <c r="J3279" s="2" t="s">
        <v>11867</v>
      </c>
      <c r="K3279" s="13" t="s">
        <v>13177</v>
      </c>
      <c r="L3279" s="7" t="s">
        <v>13199</v>
      </c>
    </row>
    <row r="3280" spans="1:12" ht="41.4" hidden="1" x14ac:dyDescent="0.3">
      <c r="A3280" s="2" t="s">
        <v>4139</v>
      </c>
      <c r="B3280" s="2" t="s">
        <v>11868</v>
      </c>
      <c r="C3280" s="3">
        <v>19218</v>
      </c>
      <c r="D3280" s="1" t="s">
        <v>11869</v>
      </c>
      <c r="E3280" s="1" t="s">
        <v>11870</v>
      </c>
      <c r="F3280" s="2" t="s">
        <v>11863</v>
      </c>
      <c r="G3280" s="2" t="s">
        <v>58</v>
      </c>
      <c r="H3280" s="2" t="s">
        <v>10</v>
      </c>
      <c r="I3280" s="2" t="s">
        <v>4139</v>
      </c>
      <c r="J3280" s="2" t="s">
        <v>59</v>
      </c>
      <c r="K3280" s="13" t="s">
        <v>13177</v>
      </c>
      <c r="L3280" s="7" t="s">
        <v>13199</v>
      </c>
    </row>
    <row r="3281" spans="1:12" ht="41.4" hidden="1" x14ac:dyDescent="0.3">
      <c r="A3281" s="2" t="s">
        <v>4139</v>
      </c>
      <c r="B3281" s="2" t="s">
        <v>11871</v>
      </c>
      <c r="C3281" s="3">
        <v>36358</v>
      </c>
      <c r="D3281" s="1" t="s">
        <v>11872</v>
      </c>
      <c r="E3281" s="1" t="s">
        <v>11873</v>
      </c>
      <c r="F3281" s="2" t="s">
        <v>11874</v>
      </c>
      <c r="G3281" s="2" t="s">
        <v>157</v>
      </c>
      <c r="H3281" s="2" t="s">
        <v>10</v>
      </c>
      <c r="I3281" s="2" t="s">
        <v>4139</v>
      </c>
      <c r="J3281" s="2" t="s">
        <v>158</v>
      </c>
      <c r="K3281" s="13" t="s">
        <v>13177</v>
      </c>
      <c r="L3281" s="7" t="s">
        <v>13199</v>
      </c>
    </row>
    <row r="3282" spans="1:12" ht="41.4" hidden="1" x14ac:dyDescent="0.3">
      <c r="A3282" s="2" t="s">
        <v>4139</v>
      </c>
      <c r="B3282" s="2" t="s">
        <v>11875</v>
      </c>
      <c r="C3282" s="3">
        <v>33916</v>
      </c>
      <c r="D3282" s="1" t="s">
        <v>11876</v>
      </c>
      <c r="E3282" s="1" t="s">
        <v>11877</v>
      </c>
      <c r="F3282" s="2" t="s">
        <v>11874</v>
      </c>
      <c r="G3282" s="2" t="s">
        <v>196</v>
      </c>
      <c r="H3282" s="2" t="s">
        <v>10</v>
      </c>
      <c r="I3282" s="2" t="s">
        <v>4139</v>
      </c>
      <c r="J3282" s="2" t="s">
        <v>197</v>
      </c>
      <c r="K3282" s="13" t="s">
        <v>13177</v>
      </c>
      <c r="L3282" s="7" t="s">
        <v>13199</v>
      </c>
    </row>
    <row r="3283" spans="1:12" ht="41.4" hidden="1" x14ac:dyDescent="0.3">
      <c r="A3283" s="2" t="s">
        <v>4139</v>
      </c>
      <c r="B3283" s="2" t="s">
        <v>11878</v>
      </c>
      <c r="C3283" s="3">
        <v>19285</v>
      </c>
      <c r="D3283" s="1" t="s">
        <v>261</v>
      </c>
      <c r="E3283" s="1" t="s">
        <v>11879</v>
      </c>
      <c r="F3283" s="2" t="s">
        <v>11874</v>
      </c>
      <c r="G3283" s="2" t="s">
        <v>278</v>
      </c>
      <c r="H3283" s="2" t="s">
        <v>10</v>
      </c>
      <c r="I3283" s="2" t="s">
        <v>4139</v>
      </c>
      <c r="J3283" s="2" t="s">
        <v>279</v>
      </c>
      <c r="K3283" s="13" t="s">
        <v>13177</v>
      </c>
      <c r="L3283" s="7" t="s">
        <v>13199</v>
      </c>
    </row>
    <row r="3284" spans="1:12" ht="41.4" hidden="1" x14ac:dyDescent="0.3">
      <c r="A3284" s="2" t="s">
        <v>4139</v>
      </c>
      <c r="B3284" s="2" t="s">
        <v>11880</v>
      </c>
      <c r="C3284" s="3">
        <v>21864</v>
      </c>
      <c r="D3284" s="1" t="s">
        <v>11881</v>
      </c>
      <c r="E3284" s="1" t="s">
        <v>11882</v>
      </c>
      <c r="F3284" s="2" t="s">
        <v>11874</v>
      </c>
      <c r="G3284" s="2" t="s">
        <v>258</v>
      </c>
      <c r="H3284" s="2" t="s">
        <v>103</v>
      </c>
      <c r="I3284" s="2" t="s">
        <v>4139</v>
      </c>
      <c r="J3284" s="2" t="s">
        <v>259</v>
      </c>
      <c r="K3284" s="13" t="s">
        <v>13177</v>
      </c>
      <c r="L3284" s="7" t="s">
        <v>13199</v>
      </c>
    </row>
    <row r="3285" spans="1:12" ht="41.4" hidden="1" x14ac:dyDescent="0.3">
      <c r="A3285" s="2" t="s">
        <v>4139</v>
      </c>
      <c r="B3285" s="2" t="s">
        <v>11883</v>
      </c>
      <c r="C3285" s="3">
        <v>23485</v>
      </c>
      <c r="D3285" s="1" t="s">
        <v>261</v>
      </c>
      <c r="E3285" s="1" t="s">
        <v>11884</v>
      </c>
      <c r="F3285" s="2" t="s">
        <v>11874</v>
      </c>
      <c r="G3285" s="2" t="s">
        <v>288</v>
      </c>
      <c r="H3285" s="2" t="s">
        <v>103</v>
      </c>
      <c r="I3285" s="2" t="s">
        <v>4139</v>
      </c>
      <c r="J3285" s="2" t="s">
        <v>289</v>
      </c>
      <c r="K3285" s="13" t="s">
        <v>13177</v>
      </c>
      <c r="L3285" s="7" t="s">
        <v>13199</v>
      </c>
    </row>
    <row r="3286" spans="1:12" ht="41.4" hidden="1" x14ac:dyDescent="0.3">
      <c r="A3286" s="2" t="s">
        <v>4139</v>
      </c>
      <c r="B3286" s="2" t="s">
        <v>11885</v>
      </c>
      <c r="C3286" s="3">
        <v>31513</v>
      </c>
      <c r="D3286" s="1" t="s">
        <v>11886</v>
      </c>
      <c r="E3286" s="1" t="s">
        <v>11887</v>
      </c>
      <c r="F3286" s="2" t="s">
        <v>11874</v>
      </c>
      <c r="G3286" s="2" t="s">
        <v>211</v>
      </c>
      <c r="H3286" s="2" t="s">
        <v>81</v>
      </c>
      <c r="I3286" s="2" t="s">
        <v>4139</v>
      </c>
      <c r="J3286" s="2" t="s">
        <v>212</v>
      </c>
      <c r="K3286" s="13" t="s">
        <v>13177</v>
      </c>
      <c r="L3286" s="7" t="s">
        <v>13199</v>
      </c>
    </row>
    <row r="3287" spans="1:12" ht="41.4" hidden="1" x14ac:dyDescent="0.3">
      <c r="A3287" s="2" t="s">
        <v>4139</v>
      </c>
      <c r="B3287" s="2" t="s">
        <v>11888</v>
      </c>
      <c r="C3287" s="3">
        <v>30359</v>
      </c>
      <c r="D3287" s="1" t="s">
        <v>11889</v>
      </c>
      <c r="E3287" s="1" t="s">
        <v>11890</v>
      </c>
      <c r="F3287" s="2" t="s">
        <v>11874</v>
      </c>
      <c r="G3287" s="2" t="s">
        <v>152</v>
      </c>
      <c r="H3287" s="2" t="s">
        <v>81</v>
      </c>
      <c r="I3287" s="2" t="s">
        <v>4139</v>
      </c>
      <c r="J3287" s="2" t="s">
        <v>153</v>
      </c>
      <c r="K3287" s="13" t="s">
        <v>13177</v>
      </c>
      <c r="L3287" s="7" t="s">
        <v>13199</v>
      </c>
    </row>
    <row r="3288" spans="1:12" ht="41.4" hidden="1" x14ac:dyDescent="0.3">
      <c r="A3288" s="2" t="s">
        <v>4139</v>
      </c>
      <c r="B3288" s="2" t="s">
        <v>11891</v>
      </c>
      <c r="C3288" s="3">
        <v>28111</v>
      </c>
      <c r="D3288" s="1" t="s">
        <v>11892</v>
      </c>
      <c r="E3288" s="1" t="s">
        <v>11893</v>
      </c>
      <c r="F3288" s="2" t="s">
        <v>11894</v>
      </c>
      <c r="G3288" s="2" t="s">
        <v>9770</v>
      </c>
      <c r="H3288" s="2" t="s">
        <v>10</v>
      </c>
      <c r="I3288" s="2" t="s">
        <v>4139</v>
      </c>
      <c r="J3288" s="2" t="s">
        <v>9771</v>
      </c>
      <c r="K3288" s="13" t="s">
        <v>13177</v>
      </c>
      <c r="L3288" s="7" t="s">
        <v>13199</v>
      </c>
    </row>
    <row r="3289" spans="1:12" ht="41.4" hidden="1" x14ac:dyDescent="0.3">
      <c r="A3289" s="2" t="s">
        <v>4139</v>
      </c>
      <c r="B3289" s="2" t="s">
        <v>11895</v>
      </c>
      <c r="C3289" s="3">
        <v>23287</v>
      </c>
      <c r="D3289" s="1" t="s">
        <v>11896</v>
      </c>
      <c r="E3289" s="1" t="s">
        <v>11897</v>
      </c>
      <c r="F3289" s="2" t="s">
        <v>11894</v>
      </c>
      <c r="G3289" s="2" t="s">
        <v>11898</v>
      </c>
      <c r="H3289" s="2" t="s">
        <v>10</v>
      </c>
      <c r="I3289" s="2" t="s">
        <v>4139</v>
      </c>
      <c r="J3289" s="2" t="s">
        <v>11899</v>
      </c>
      <c r="K3289" s="13" t="s">
        <v>13177</v>
      </c>
      <c r="L3289" s="7" t="s">
        <v>13199</v>
      </c>
    </row>
    <row r="3290" spans="1:12" ht="41.4" hidden="1" x14ac:dyDescent="0.3">
      <c r="A3290" s="2" t="s">
        <v>4139</v>
      </c>
      <c r="B3290" s="2" t="s">
        <v>11900</v>
      </c>
      <c r="C3290" s="3">
        <v>-1</v>
      </c>
      <c r="D3290" s="1" t="s">
        <v>11901</v>
      </c>
      <c r="E3290" s="1" t="s">
        <v>11902</v>
      </c>
      <c r="F3290" s="2" t="s">
        <v>11894</v>
      </c>
      <c r="G3290" s="2" t="s">
        <v>9217</v>
      </c>
      <c r="H3290" s="2" t="s">
        <v>10</v>
      </c>
      <c r="I3290" s="2" t="s">
        <v>4139</v>
      </c>
      <c r="J3290" s="2" t="s">
        <v>11903</v>
      </c>
      <c r="K3290" s="13" t="s">
        <v>13177</v>
      </c>
      <c r="L3290" s="7" t="s">
        <v>13199</v>
      </c>
    </row>
    <row r="3291" spans="1:12" ht="27.6" hidden="1" x14ac:dyDescent="0.3">
      <c r="A3291" s="2" t="s">
        <v>4386</v>
      </c>
      <c r="B3291" s="2" t="s">
        <v>11904</v>
      </c>
      <c r="C3291" s="3">
        <v>33597</v>
      </c>
      <c r="D3291" s="1" t="s">
        <v>11905</v>
      </c>
      <c r="E3291" s="1" t="s">
        <v>11906</v>
      </c>
      <c r="F3291" s="2" t="s">
        <v>9047</v>
      </c>
      <c r="G3291" s="2" t="s">
        <v>11907</v>
      </c>
      <c r="H3291" s="2" t="s">
        <v>10</v>
      </c>
      <c r="I3291" s="2" t="s">
        <v>4386</v>
      </c>
      <c r="J3291" s="2" t="s">
        <v>11908</v>
      </c>
      <c r="K3291" s="13" t="s">
        <v>13177</v>
      </c>
      <c r="L3291" s="7" t="s">
        <v>13199</v>
      </c>
    </row>
    <row r="3292" spans="1:12" ht="41.4" hidden="1" x14ac:dyDescent="0.3">
      <c r="A3292" s="2" t="s">
        <v>4139</v>
      </c>
      <c r="B3292" s="2" t="s">
        <v>11909</v>
      </c>
      <c r="C3292" s="3">
        <v>29482</v>
      </c>
      <c r="D3292" s="1" t="s">
        <v>11910</v>
      </c>
      <c r="E3292" s="1" t="s">
        <v>11911</v>
      </c>
      <c r="F3292" s="2" t="s">
        <v>11863</v>
      </c>
      <c r="G3292" s="2" t="s">
        <v>570</v>
      </c>
      <c r="H3292" s="2" t="s">
        <v>10</v>
      </c>
      <c r="I3292" s="2" t="s">
        <v>4139</v>
      </c>
      <c r="J3292" s="2" t="s">
        <v>11867</v>
      </c>
      <c r="K3292" s="13" t="s">
        <v>13177</v>
      </c>
      <c r="L3292" s="7" t="s">
        <v>13199</v>
      </c>
    </row>
    <row r="3293" spans="1:12" ht="41.4" hidden="1" x14ac:dyDescent="0.3">
      <c r="A3293" s="2" t="s">
        <v>4139</v>
      </c>
      <c r="B3293" s="2" t="s">
        <v>11912</v>
      </c>
      <c r="C3293" s="3">
        <v>31568</v>
      </c>
      <c r="D3293" s="1" t="s">
        <v>11913</v>
      </c>
      <c r="E3293" s="1" t="s">
        <v>11914</v>
      </c>
      <c r="F3293" s="2" t="s">
        <v>11894</v>
      </c>
      <c r="G3293" s="2" t="s">
        <v>950</v>
      </c>
      <c r="H3293" s="2" t="s">
        <v>10</v>
      </c>
      <c r="I3293" s="2" t="s">
        <v>4139</v>
      </c>
      <c r="J3293" s="2" t="s">
        <v>951</v>
      </c>
      <c r="K3293" s="13" t="s">
        <v>13177</v>
      </c>
      <c r="L3293" s="7" t="s">
        <v>13199</v>
      </c>
    </row>
    <row r="3294" spans="1:12" ht="41.4" hidden="1" x14ac:dyDescent="0.3">
      <c r="A3294" s="2" t="s">
        <v>4139</v>
      </c>
      <c r="B3294" s="2" t="s">
        <v>11915</v>
      </c>
      <c r="C3294" s="3">
        <v>26781</v>
      </c>
      <c r="D3294" s="1" t="s">
        <v>11916</v>
      </c>
      <c r="E3294" s="1" t="s">
        <v>11917</v>
      </c>
      <c r="F3294" s="2" t="s">
        <v>11894</v>
      </c>
      <c r="G3294" s="2" t="s">
        <v>9108</v>
      </c>
      <c r="H3294" s="2" t="s">
        <v>10</v>
      </c>
      <c r="I3294" s="2" t="s">
        <v>4139</v>
      </c>
      <c r="J3294" s="2" t="s">
        <v>9109</v>
      </c>
      <c r="K3294" s="13" t="s">
        <v>13177</v>
      </c>
      <c r="L3294" s="7" t="s">
        <v>13199</v>
      </c>
    </row>
    <row r="3295" spans="1:12" ht="41.4" hidden="1" x14ac:dyDescent="0.3">
      <c r="A3295" s="2" t="s">
        <v>4139</v>
      </c>
      <c r="B3295" s="2" t="s">
        <v>11918</v>
      </c>
      <c r="C3295" s="3">
        <v>23708</v>
      </c>
      <c r="D3295" s="1" t="s">
        <v>11919</v>
      </c>
      <c r="E3295" s="1" t="s">
        <v>11920</v>
      </c>
      <c r="F3295" s="2" t="s">
        <v>11894</v>
      </c>
      <c r="G3295" s="2" t="s">
        <v>9212</v>
      </c>
      <c r="H3295" s="2" t="s">
        <v>10</v>
      </c>
      <c r="I3295" s="2" t="s">
        <v>4139</v>
      </c>
      <c r="J3295" s="2" t="s">
        <v>11921</v>
      </c>
      <c r="K3295" s="13" t="s">
        <v>13177</v>
      </c>
      <c r="L3295" s="7" t="s">
        <v>13199</v>
      </c>
    </row>
    <row r="3296" spans="1:12" ht="41.4" hidden="1" x14ac:dyDescent="0.3">
      <c r="A3296" s="2" t="s">
        <v>4139</v>
      </c>
      <c r="B3296" s="2" t="s">
        <v>11922</v>
      </c>
      <c r="C3296" s="3">
        <v>28030</v>
      </c>
      <c r="D3296" s="1" t="s">
        <v>11923</v>
      </c>
      <c r="E3296" s="1" t="s">
        <v>11924</v>
      </c>
      <c r="F3296" s="2" t="s">
        <v>11894</v>
      </c>
      <c r="G3296" s="2" t="s">
        <v>9065</v>
      </c>
      <c r="H3296" s="2" t="s">
        <v>10</v>
      </c>
      <c r="I3296" s="2" t="s">
        <v>4139</v>
      </c>
      <c r="J3296" s="2" t="s">
        <v>9066</v>
      </c>
      <c r="K3296" s="13" t="s">
        <v>13177</v>
      </c>
      <c r="L3296" s="7" t="s">
        <v>13199</v>
      </c>
    </row>
    <row r="3297" spans="1:12" ht="41.4" hidden="1" x14ac:dyDescent="0.3">
      <c r="A3297" s="2" t="s">
        <v>4139</v>
      </c>
      <c r="B3297" s="2" t="s">
        <v>11925</v>
      </c>
      <c r="C3297" s="3">
        <v>23791</v>
      </c>
      <c r="D3297" s="1" t="s">
        <v>11926</v>
      </c>
      <c r="E3297" s="1" t="s">
        <v>11927</v>
      </c>
      <c r="F3297" s="2" t="s">
        <v>11874</v>
      </c>
      <c r="G3297" s="2" t="s">
        <v>143</v>
      </c>
      <c r="H3297" s="2" t="s">
        <v>10</v>
      </c>
      <c r="I3297" s="2" t="s">
        <v>4139</v>
      </c>
      <c r="J3297" s="2" t="s">
        <v>144</v>
      </c>
      <c r="K3297" s="13" t="s">
        <v>13177</v>
      </c>
      <c r="L3297" s="7" t="s">
        <v>13199</v>
      </c>
    </row>
    <row r="3298" spans="1:12" ht="41.4" hidden="1" x14ac:dyDescent="0.3">
      <c r="A3298" s="2" t="s">
        <v>4139</v>
      </c>
      <c r="B3298" s="2" t="s">
        <v>11928</v>
      </c>
      <c r="C3298" s="3">
        <v>27379</v>
      </c>
      <c r="D3298" s="1" t="s">
        <v>11929</v>
      </c>
      <c r="E3298" s="1" t="s">
        <v>11930</v>
      </c>
      <c r="F3298" s="2" t="s">
        <v>11874</v>
      </c>
      <c r="G3298" s="2" t="s">
        <v>152</v>
      </c>
      <c r="H3298" s="2" t="s">
        <v>10</v>
      </c>
      <c r="I3298" s="2" t="s">
        <v>4139</v>
      </c>
      <c r="J3298" s="2" t="s">
        <v>153</v>
      </c>
      <c r="K3298" s="13" t="s">
        <v>13177</v>
      </c>
      <c r="L3298" s="7" t="s">
        <v>13199</v>
      </c>
    </row>
    <row r="3299" spans="1:12" ht="41.4" hidden="1" x14ac:dyDescent="0.3">
      <c r="A3299" s="2" t="s">
        <v>4139</v>
      </c>
      <c r="B3299" s="2" t="s">
        <v>11931</v>
      </c>
      <c r="C3299" s="3">
        <v>28758</v>
      </c>
      <c r="D3299" s="1" t="s">
        <v>11932</v>
      </c>
      <c r="E3299" s="1" t="s">
        <v>11933</v>
      </c>
      <c r="F3299" s="2" t="s">
        <v>11874</v>
      </c>
      <c r="G3299" s="2" t="s">
        <v>112</v>
      </c>
      <c r="H3299" s="2" t="s">
        <v>10</v>
      </c>
      <c r="I3299" s="2" t="s">
        <v>4139</v>
      </c>
      <c r="J3299" s="2" t="s">
        <v>315</v>
      </c>
      <c r="K3299" s="13" t="s">
        <v>13177</v>
      </c>
      <c r="L3299" s="7" t="s">
        <v>13199</v>
      </c>
    </row>
    <row r="3300" spans="1:12" ht="41.4" hidden="1" x14ac:dyDescent="0.3">
      <c r="A3300" s="2" t="s">
        <v>4139</v>
      </c>
      <c r="B3300" s="2" t="s">
        <v>11934</v>
      </c>
      <c r="C3300" s="3">
        <v>26535</v>
      </c>
      <c r="D3300" s="1" t="s">
        <v>261</v>
      </c>
      <c r="E3300" s="1" t="s">
        <v>11935</v>
      </c>
      <c r="F3300" s="2" t="s">
        <v>11874</v>
      </c>
      <c r="G3300" s="2" t="s">
        <v>80</v>
      </c>
      <c r="H3300" s="2" t="s">
        <v>81</v>
      </c>
      <c r="I3300" s="2" t="s">
        <v>4139</v>
      </c>
      <c r="J3300" s="2" t="s">
        <v>845</v>
      </c>
      <c r="K3300" s="13" t="s">
        <v>13177</v>
      </c>
      <c r="L3300" s="7" t="s">
        <v>13199</v>
      </c>
    </row>
    <row r="3301" spans="1:12" ht="41.4" hidden="1" x14ac:dyDescent="0.3">
      <c r="A3301" s="2" t="s">
        <v>4139</v>
      </c>
      <c r="B3301" s="2" t="s">
        <v>11936</v>
      </c>
      <c r="C3301" s="3">
        <v>39272</v>
      </c>
      <c r="D3301" s="1" t="s">
        <v>11937</v>
      </c>
      <c r="E3301" s="1" t="s">
        <v>11938</v>
      </c>
      <c r="F3301" s="2" t="s">
        <v>11874</v>
      </c>
      <c r="G3301" s="2" t="s">
        <v>80</v>
      </c>
      <c r="H3301" s="2" t="s">
        <v>562</v>
      </c>
      <c r="I3301" s="2" t="s">
        <v>4139</v>
      </c>
      <c r="J3301" s="2" t="s">
        <v>82</v>
      </c>
      <c r="K3301" s="13" t="s">
        <v>13177</v>
      </c>
      <c r="L3301" s="7" t="s">
        <v>13199</v>
      </c>
    </row>
    <row r="3302" spans="1:12" ht="41.4" hidden="1" x14ac:dyDescent="0.3">
      <c r="A3302" s="2" t="s">
        <v>4139</v>
      </c>
      <c r="B3302" s="2" t="s">
        <v>11939</v>
      </c>
      <c r="C3302" s="3">
        <v>35707</v>
      </c>
      <c r="D3302" s="1" t="s">
        <v>11940</v>
      </c>
      <c r="E3302" s="1" t="s">
        <v>11941</v>
      </c>
      <c r="F3302" s="2" t="s">
        <v>11874</v>
      </c>
      <c r="G3302" s="2" t="s">
        <v>86</v>
      </c>
      <c r="H3302" s="2" t="s">
        <v>10</v>
      </c>
      <c r="I3302" s="2" t="s">
        <v>4139</v>
      </c>
      <c r="J3302" s="2" t="s">
        <v>87</v>
      </c>
      <c r="K3302" s="13" t="s">
        <v>13177</v>
      </c>
      <c r="L3302" s="7" t="s">
        <v>13199</v>
      </c>
    </row>
    <row r="3303" spans="1:12" ht="41.4" hidden="1" x14ac:dyDescent="0.3">
      <c r="A3303" s="2" t="s">
        <v>4139</v>
      </c>
      <c r="B3303" s="2" t="s">
        <v>11942</v>
      </c>
      <c r="C3303" s="3">
        <v>30019</v>
      </c>
      <c r="D3303" s="1" t="s">
        <v>11943</v>
      </c>
      <c r="E3303" s="1" t="s">
        <v>11944</v>
      </c>
      <c r="F3303" s="2" t="s">
        <v>11874</v>
      </c>
      <c r="G3303" s="2" t="s">
        <v>48</v>
      </c>
      <c r="H3303" s="2" t="s">
        <v>103</v>
      </c>
      <c r="I3303" s="2" t="s">
        <v>4139</v>
      </c>
      <c r="J3303" s="2" t="s">
        <v>11945</v>
      </c>
      <c r="K3303" s="13" t="s">
        <v>13177</v>
      </c>
      <c r="L3303" s="7" t="s">
        <v>13199</v>
      </c>
    </row>
    <row r="3304" spans="1:12" ht="41.4" hidden="1" x14ac:dyDescent="0.3">
      <c r="A3304" s="2" t="s">
        <v>4139</v>
      </c>
      <c r="B3304" s="2" t="s">
        <v>11942</v>
      </c>
      <c r="C3304" s="3">
        <v>30019</v>
      </c>
      <c r="D3304" s="1" t="s">
        <v>11943</v>
      </c>
      <c r="E3304" s="1" t="s">
        <v>11946</v>
      </c>
      <c r="F3304" s="2" t="s">
        <v>11874</v>
      </c>
      <c r="G3304" s="2" t="s">
        <v>492</v>
      </c>
      <c r="H3304" s="2" t="s">
        <v>81</v>
      </c>
      <c r="I3304" s="2" t="s">
        <v>4139</v>
      </c>
      <c r="J3304" s="2" t="s">
        <v>11947</v>
      </c>
      <c r="K3304" s="13" t="s">
        <v>13177</v>
      </c>
      <c r="L3304" s="7" t="s">
        <v>13199</v>
      </c>
    </row>
    <row r="3305" spans="1:12" ht="41.4" hidden="1" x14ac:dyDescent="0.3">
      <c r="A3305" s="2" t="s">
        <v>4139</v>
      </c>
      <c r="B3305" s="2" t="s">
        <v>11948</v>
      </c>
      <c r="C3305" s="3">
        <v>31582</v>
      </c>
      <c r="D3305" s="1" t="s">
        <v>11949</v>
      </c>
      <c r="E3305" s="1" t="s">
        <v>11950</v>
      </c>
      <c r="F3305" s="2" t="s">
        <v>11874</v>
      </c>
      <c r="G3305" s="2" t="s">
        <v>75</v>
      </c>
      <c r="H3305" s="2" t="s">
        <v>10</v>
      </c>
      <c r="I3305" s="2" t="s">
        <v>4139</v>
      </c>
      <c r="J3305" s="2" t="s">
        <v>76</v>
      </c>
      <c r="K3305" s="16" t="s">
        <v>13177</v>
      </c>
      <c r="L3305" s="7" t="s">
        <v>13199</v>
      </c>
    </row>
    <row r="3306" spans="1:12" ht="27.6" hidden="1" x14ac:dyDescent="0.3">
      <c r="A3306" s="2" t="s">
        <v>4139</v>
      </c>
      <c r="B3306" s="2" t="s">
        <v>11951</v>
      </c>
      <c r="C3306" s="3">
        <v>24518</v>
      </c>
      <c r="D3306" s="1" t="s">
        <v>11952</v>
      </c>
      <c r="E3306" s="1" t="s">
        <v>11953</v>
      </c>
      <c r="F3306" s="2" t="s">
        <v>4143</v>
      </c>
      <c r="G3306" s="2" t="s">
        <v>11954</v>
      </c>
      <c r="H3306" s="2" t="s">
        <v>10</v>
      </c>
      <c r="I3306" s="2" t="s">
        <v>4139</v>
      </c>
      <c r="J3306" s="2" t="s">
        <v>11955</v>
      </c>
      <c r="K3306" s="14"/>
      <c r="L3306" s="7" t="s">
        <v>13199</v>
      </c>
    </row>
    <row r="3307" spans="1:12" hidden="1" x14ac:dyDescent="0.3">
      <c r="A3307" s="2" t="s">
        <v>4139</v>
      </c>
      <c r="B3307" s="2" t="s">
        <v>11956</v>
      </c>
      <c r="C3307" s="3">
        <v>37632</v>
      </c>
      <c r="D3307" s="1" t="s">
        <v>11957</v>
      </c>
      <c r="E3307" s="1" t="s">
        <v>11958</v>
      </c>
      <c r="F3307" s="2" t="s">
        <v>4143</v>
      </c>
      <c r="G3307" s="2" t="s">
        <v>8968</v>
      </c>
      <c r="H3307" s="2" t="s">
        <v>334</v>
      </c>
      <c r="I3307" s="2" t="s">
        <v>4139</v>
      </c>
      <c r="J3307" s="2" t="s">
        <v>8969</v>
      </c>
      <c r="K3307" s="14"/>
      <c r="L3307" s="7" t="s">
        <v>13199</v>
      </c>
    </row>
    <row r="3308" spans="1:12" hidden="1" x14ac:dyDescent="0.3">
      <c r="A3308" s="2" t="s">
        <v>4139</v>
      </c>
      <c r="B3308" s="2" t="s">
        <v>11959</v>
      </c>
      <c r="C3308" s="3">
        <v>34869</v>
      </c>
      <c r="D3308" s="1" t="s">
        <v>11960</v>
      </c>
      <c r="E3308" s="1" t="s">
        <v>11961</v>
      </c>
      <c r="F3308" s="2" t="s">
        <v>9413</v>
      </c>
      <c r="G3308" s="2" t="s">
        <v>92</v>
      </c>
      <c r="H3308" s="2" t="s">
        <v>81</v>
      </c>
      <c r="I3308" s="2" t="s">
        <v>4139</v>
      </c>
      <c r="J3308" s="2" t="s">
        <v>9811</v>
      </c>
      <c r="K3308" s="20" t="s">
        <v>13177</v>
      </c>
      <c r="L3308" s="7" t="s">
        <v>13199</v>
      </c>
    </row>
    <row r="3309" spans="1:12" hidden="1" x14ac:dyDescent="0.3">
      <c r="A3309" s="8" t="s">
        <v>4139</v>
      </c>
      <c r="B3309" s="8" t="s">
        <v>11962</v>
      </c>
      <c r="C3309" s="9">
        <v>33236</v>
      </c>
      <c r="D3309" s="10" t="s">
        <v>11963</v>
      </c>
      <c r="E3309" s="10" t="s">
        <v>11964</v>
      </c>
      <c r="F3309" s="8" t="s">
        <v>8598</v>
      </c>
      <c r="G3309" s="8" t="s">
        <v>11965</v>
      </c>
      <c r="H3309" s="8" t="s">
        <v>10</v>
      </c>
      <c r="I3309" s="8" t="s">
        <v>4139</v>
      </c>
      <c r="J3309" s="2" t="s">
        <v>11966</v>
      </c>
      <c r="K3309" s="13" t="s">
        <v>13177</v>
      </c>
      <c r="L3309" s="7" t="s">
        <v>13199</v>
      </c>
    </row>
    <row r="3310" spans="1:12" hidden="1" x14ac:dyDescent="0.3">
      <c r="A3310" s="2" t="s">
        <v>4139</v>
      </c>
      <c r="B3310" s="2" t="s">
        <v>11967</v>
      </c>
      <c r="C3310" s="3">
        <v>31755</v>
      </c>
      <c r="D3310" s="1" t="s">
        <v>11968</v>
      </c>
      <c r="E3310" s="1" t="s">
        <v>11969</v>
      </c>
      <c r="F3310" s="2" t="s">
        <v>9601</v>
      </c>
      <c r="G3310" s="2" t="s">
        <v>258</v>
      </c>
      <c r="H3310" s="2" t="s">
        <v>81</v>
      </c>
      <c r="I3310" s="2" t="s">
        <v>4139</v>
      </c>
      <c r="J3310" s="2" t="s">
        <v>1794</v>
      </c>
      <c r="K3310" s="14"/>
      <c r="L3310" s="7" t="s">
        <v>13199</v>
      </c>
    </row>
    <row r="3311" spans="1:12" hidden="1" x14ac:dyDescent="0.3">
      <c r="A3311" s="2" t="s">
        <v>4139</v>
      </c>
      <c r="B3311" s="2" t="s">
        <v>11970</v>
      </c>
      <c r="C3311" s="3">
        <v>22238</v>
      </c>
      <c r="D3311" s="1" t="s">
        <v>11971</v>
      </c>
      <c r="E3311" s="1" t="s">
        <v>11972</v>
      </c>
      <c r="F3311" s="2" t="s">
        <v>8906</v>
      </c>
      <c r="G3311" s="2" t="s">
        <v>385</v>
      </c>
      <c r="H3311" s="2" t="s">
        <v>10</v>
      </c>
      <c r="I3311" s="2" t="s">
        <v>4139</v>
      </c>
      <c r="J3311" s="2" t="s">
        <v>9804</v>
      </c>
      <c r="K3311" s="13" t="s">
        <v>13177</v>
      </c>
      <c r="L3311" s="7" t="s">
        <v>13199</v>
      </c>
    </row>
    <row r="3312" spans="1:12" hidden="1" x14ac:dyDescent="0.3">
      <c r="A3312" s="8" t="s">
        <v>4139</v>
      </c>
      <c r="B3312" s="8" t="s">
        <v>11951</v>
      </c>
      <c r="C3312" s="9">
        <v>24518</v>
      </c>
      <c r="D3312" s="10" t="s">
        <v>11952</v>
      </c>
      <c r="E3312" s="10" t="s">
        <v>11953</v>
      </c>
      <c r="F3312" s="8" t="s">
        <v>8598</v>
      </c>
      <c r="G3312" s="8" t="s">
        <v>11973</v>
      </c>
      <c r="H3312" s="8" t="s">
        <v>10</v>
      </c>
      <c r="I3312" s="8" t="s">
        <v>4139</v>
      </c>
      <c r="J3312" s="2" t="s">
        <v>11974</v>
      </c>
      <c r="K3312" s="13" t="s">
        <v>13177</v>
      </c>
      <c r="L3312" s="7" t="s">
        <v>13199</v>
      </c>
    </row>
    <row r="3313" spans="1:12" hidden="1" x14ac:dyDescent="0.3">
      <c r="A3313" s="8" t="s">
        <v>4139</v>
      </c>
      <c r="B3313" s="8" t="s">
        <v>11951</v>
      </c>
      <c r="C3313" s="9">
        <v>24518</v>
      </c>
      <c r="D3313" s="10" t="s">
        <v>11952</v>
      </c>
      <c r="E3313" s="10" t="s">
        <v>11953</v>
      </c>
      <c r="F3313" s="8" t="s">
        <v>8598</v>
      </c>
      <c r="G3313" s="8" t="s">
        <v>11975</v>
      </c>
      <c r="H3313" s="8" t="s">
        <v>10</v>
      </c>
      <c r="I3313" s="8" t="s">
        <v>4139</v>
      </c>
      <c r="J3313" s="2" t="s">
        <v>11976</v>
      </c>
      <c r="K3313" s="13" t="s">
        <v>13177</v>
      </c>
      <c r="L3313" s="7" t="s">
        <v>13199</v>
      </c>
    </row>
    <row r="3314" spans="1:12" ht="41.4" hidden="1" x14ac:dyDescent="0.3">
      <c r="A3314" s="2" t="s">
        <v>4139</v>
      </c>
      <c r="B3314" s="2" t="s">
        <v>11977</v>
      </c>
      <c r="C3314" s="3">
        <v>26449</v>
      </c>
      <c r="D3314" s="1" t="s">
        <v>11978</v>
      </c>
      <c r="E3314" s="1" t="s">
        <v>11979</v>
      </c>
      <c r="F3314" s="2" t="s">
        <v>11874</v>
      </c>
      <c r="G3314" s="2" t="s">
        <v>222</v>
      </c>
      <c r="H3314" s="2" t="s">
        <v>10</v>
      </c>
      <c r="I3314" s="2" t="s">
        <v>4139</v>
      </c>
      <c r="J3314" s="2" t="s">
        <v>223</v>
      </c>
      <c r="K3314" s="13" t="s">
        <v>13177</v>
      </c>
      <c r="L3314" s="7" t="s">
        <v>13199</v>
      </c>
    </row>
    <row r="3315" spans="1:12" ht="41.4" hidden="1" x14ac:dyDescent="0.3">
      <c r="A3315" s="2" t="s">
        <v>4139</v>
      </c>
      <c r="B3315" s="2" t="s">
        <v>11980</v>
      </c>
      <c r="C3315" s="3">
        <v>26506</v>
      </c>
      <c r="D3315" s="1" t="s">
        <v>11981</v>
      </c>
      <c r="E3315" s="1" t="s">
        <v>11982</v>
      </c>
      <c r="F3315" s="2" t="s">
        <v>11874</v>
      </c>
      <c r="G3315" s="2" t="s">
        <v>80</v>
      </c>
      <c r="H3315" s="2" t="s">
        <v>11983</v>
      </c>
      <c r="I3315" s="2" t="s">
        <v>4139</v>
      </c>
      <c r="J3315" s="2" t="s">
        <v>11984</v>
      </c>
      <c r="K3315" s="13" t="s">
        <v>13177</v>
      </c>
      <c r="L3315" s="7" t="s">
        <v>13199</v>
      </c>
    </row>
    <row r="3316" spans="1:12" ht="41.4" hidden="1" x14ac:dyDescent="0.3">
      <c r="A3316" s="2" t="s">
        <v>4139</v>
      </c>
      <c r="B3316" s="2" t="s">
        <v>11985</v>
      </c>
      <c r="C3316" s="3">
        <v>30953</v>
      </c>
      <c r="D3316" s="1" t="s">
        <v>11986</v>
      </c>
      <c r="E3316" s="1" t="s">
        <v>11987</v>
      </c>
      <c r="F3316" s="2" t="s">
        <v>11838</v>
      </c>
      <c r="G3316" s="2" t="s">
        <v>2795</v>
      </c>
      <c r="H3316" s="2" t="s">
        <v>11983</v>
      </c>
      <c r="I3316" s="2" t="s">
        <v>4139</v>
      </c>
      <c r="J3316" s="2" t="s">
        <v>3222</v>
      </c>
      <c r="K3316" s="13" t="s">
        <v>13177</v>
      </c>
      <c r="L3316" s="7" t="s">
        <v>13199</v>
      </c>
    </row>
    <row r="3317" spans="1:12" ht="41.4" hidden="1" x14ac:dyDescent="0.3">
      <c r="A3317" s="2" t="s">
        <v>4139</v>
      </c>
      <c r="B3317" s="2" t="s">
        <v>11988</v>
      </c>
      <c r="C3317" s="3">
        <v>23287</v>
      </c>
      <c r="D3317" s="1" t="s">
        <v>11989</v>
      </c>
      <c r="E3317" s="1" t="s">
        <v>11897</v>
      </c>
      <c r="F3317" s="2" t="s">
        <v>11874</v>
      </c>
      <c r="G3317" s="2" t="s">
        <v>211</v>
      </c>
      <c r="H3317" s="2" t="s">
        <v>103</v>
      </c>
      <c r="I3317" s="2" t="s">
        <v>4139</v>
      </c>
      <c r="J3317" s="2" t="s">
        <v>212</v>
      </c>
      <c r="K3317" s="13" t="s">
        <v>13177</v>
      </c>
      <c r="L3317" s="7" t="s">
        <v>13199</v>
      </c>
    </row>
    <row r="3318" spans="1:12" ht="41.4" hidden="1" x14ac:dyDescent="0.3">
      <c r="A3318" s="2" t="s">
        <v>4139</v>
      </c>
      <c r="B3318" s="2" t="s">
        <v>11990</v>
      </c>
      <c r="C3318" s="3">
        <v>27575</v>
      </c>
      <c r="D3318" s="1" t="s">
        <v>11991</v>
      </c>
      <c r="E3318" s="1" t="s">
        <v>11992</v>
      </c>
      <c r="F3318" s="2" t="s">
        <v>11638</v>
      </c>
      <c r="G3318" s="2" t="s">
        <v>2131</v>
      </c>
      <c r="H3318" s="2" t="s">
        <v>10</v>
      </c>
      <c r="I3318" s="2" t="s">
        <v>4139</v>
      </c>
      <c r="J3318" s="2" t="s">
        <v>2132</v>
      </c>
      <c r="K3318" s="13" t="s">
        <v>13177</v>
      </c>
      <c r="L3318" s="7" t="s">
        <v>13199</v>
      </c>
    </row>
    <row r="3319" spans="1:12" ht="27.6" hidden="1" x14ac:dyDescent="0.3">
      <c r="A3319" s="2" t="s">
        <v>4386</v>
      </c>
      <c r="B3319" s="2" t="s">
        <v>11993</v>
      </c>
      <c r="C3319" s="3">
        <v>25540</v>
      </c>
      <c r="D3319" s="1" t="s">
        <v>11994</v>
      </c>
      <c r="E3319" s="1" t="s">
        <v>11995</v>
      </c>
      <c r="F3319" s="2" t="s">
        <v>4396</v>
      </c>
      <c r="G3319" s="2" t="s">
        <v>4693</v>
      </c>
      <c r="H3319" s="2" t="s">
        <v>81</v>
      </c>
      <c r="I3319" s="2" t="s">
        <v>4386</v>
      </c>
      <c r="J3319" s="2" t="s">
        <v>4694</v>
      </c>
      <c r="K3319" s="13" t="s">
        <v>13177</v>
      </c>
      <c r="L3319" s="7" t="s">
        <v>13199</v>
      </c>
    </row>
    <row r="3320" spans="1:12" ht="27.6" hidden="1" x14ac:dyDescent="0.3">
      <c r="A3320" s="2" t="s">
        <v>4386</v>
      </c>
      <c r="B3320" s="2" t="s">
        <v>11996</v>
      </c>
      <c r="C3320" s="3">
        <v>23063</v>
      </c>
      <c r="D3320" s="1" t="s">
        <v>11997</v>
      </c>
      <c r="E3320" s="1" t="s">
        <v>11998</v>
      </c>
      <c r="F3320" s="2" t="s">
        <v>5091</v>
      </c>
      <c r="G3320" s="2" t="s">
        <v>11999</v>
      </c>
      <c r="H3320" s="2" t="s">
        <v>10</v>
      </c>
      <c r="I3320" s="2" t="s">
        <v>4386</v>
      </c>
      <c r="J3320" s="2" t="s">
        <v>12000</v>
      </c>
      <c r="K3320" s="13" t="s">
        <v>13177</v>
      </c>
      <c r="L3320" s="7" t="s">
        <v>13199</v>
      </c>
    </row>
    <row r="3321" spans="1:12" ht="27.6" hidden="1" x14ac:dyDescent="0.3">
      <c r="A3321" s="2" t="s">
        <v>4386</v>
      </c>
      <c r="B3321" s="2" t="s">
        <v>12001</v>
      </c>
      <c r="C3321" s="3">
        <v>28380</v>
      </c>
      <c r="D3321" s="1" t="s">
        <v>12002</v>
      </c>
      <c r="E3321" s="1" t="s">
        <v>12003</v>
      </c>
      <c r="F3321" s="2" t="s">
        <v>5618</v>
      </c>
      <c r="G3321" s="2" t="s">
        <v>12004</v>
      </c>
      <c r="H3321" s="2" t="s">
        <v>103</v>
      </c>
      <c r="I3321" s="2" t="s">
        <v>4386</v>
      </c>
      <c r="J3321" s="2" t="s">
        <v>12005</v>
      </c>
      <c r="K3321" s="13" t="s">
        <v>13177</v>
      </c>
      <c r="L3321" s="7" t="s">
        <v>13199</v>
      </c>
    </row>
    <row r="3322" spans="1:12" ht="27.6" hidden="1" x14ac:dyDescent="0.3">
      <c r="A3322" s="2" t="s">
        <v>4386</v>
      </c>
      <c r="B3322" s="2" t="s">
        <v>12006</v>
      </c>
      <c r="C3322" s="3">
        <v>35775</v>
      </c>
      <c r="D3322" s="1" t="s">
        <v>12007</v>
      </c>
      <c r="E3322" s="1" t="s">
        <v>12008</v>
      </c>
      <c r="F3322" s="2" t="s">
        <v>5618</v>
      </c>
      <c r="G3322" s="2" t="s">
        <v>12004</v>
      </c>
      <c r="H3322" s="2" t="s">
        <v>81</v>
      </c>
      <c r="I3322" s="2" t="s">
        <v>4386</v>
      </c>
      <c r="J3322" s="2" t="s">
        <v>12009</v>
      </c>
      <c r="K3322" s="16" t="s">
        <v>13177</v>
      </c>
      <c r="L3322" s="7" t="s">
        <v>13199</v>
      </c>
    </row>
    <row r="3323" spans="1:12" ht="27.6" hidden="1" x14ac:dyDescent="0.3">
      <c r="A3323" s="2" t="s">
        <v>4386</v>
      </c>
      <c r="B3323" s="2" t="s">
        <v>12010</v>
      </c>
      <c r="C3323" s="3">
        <v>38353</v>
      </c>
      <c r="D3323" s="1" t="s">
        <v>12011</v>
      </c>
      <c r="E3323" s="1" t="s">
        <v>12012</v>
      </c>
      <c r="F3323" s="2" t="s">
        <v>6239</v>
      </c>
      <c r="G3323" s="2" t="s">
        <v>385</v>
      </c>
      <c r="H3323" s="2" t="s">
        <v>81</v>
      </c>
      <c r="I3323" s="2" t="s">
        <v>4386</v>
      </c>
      <c r="J3323" s="2" t="s">
        <v>913</v>
      </c>
      <c r="K3323" s="41" t="s">
        <v>13193</v>
      </c>
      <c r="L3323" s="7" t="s">
        <v>13199</v>
      </c>
    </row>
    <row r="3324" spans="1:12" ht="27.6" hidden="1" x14ac:dyDescent="0.3">
      <c r="A3324" s="2" t="s">
        <v>4386</v>
      </c>
      <c r="B3324" s="2" t="s">
        <v>12013</v>
      </c>
      <c r="C3324" s="3">
        <v>29790</v>
      </c>
      <c r="D3324" s="1" t="s">
        <v>12014</v>
      </c>
      <c r="E3324" s="1" t="s">
        <v>12015</v>
      </c>
      <c r="F3324" s="2" t="s">
        <v>8184</v>
      </c>
      <c r="G3324" s="2" t="s">
        <v>31</v>
      </c>
      <c r="H3324" s="2" t="s">
        <v>10</v>
      </c>
      <c r="I3324" s="2" t="s">
        <v>4386</v>
      </c>
      <c r="J3324" s="2" t="s">
        <v>718</v>
      </c>
      <c r="K3324" s="20" t="s">
        <v>13177</v>
      </c>
      <c r="L3324" s="7" t="s">
        <v>13199</v>
      </c>
    </row>
    <row r="3325" spans="1:12" ht="27.6" hidden="1" x14ac:dyDescent="0.3">
      <c r="A3325" s="2" t="s">
        <v>4386</v>
      </c>
      <c r="B3325" s="2" t="s">
        <v>12013</v>
      </c>
      <c r="C3325" s="3">
        <v>29790</v>
      </c>
      <c r="D3325" s="1" t="s">
        <v>12014</v>
      </c>
      <c r="E3325" s="1" t="s">
        <v>12015</v>
      </c>
      <c r="F3325" s="2" t="s">
        <v>5053</v>
      </c>
      <c r="G3325" s="2" t="s">
        <v>1146</v>
      </c>
      <c r="H3325" s="2" t="s">
        <v>10</v>
      </c>
      <c r="I3325" s="2" t="s">
        <v>4386</v>
      </c>
      <c r="J3325" s="2" t="s">
        <v>1147</v>
      </c>
      <c r="K3325" s="13" t="s">
        <v>13177</v>
      </c>
      <c r="L3325" s="7" t="s">
        <v>13199</v>
      </c>
    </row>
    <row r="3326" spans="1:12" ht="27.6" hidden="1" x14ac:dyDescent="0.3">
      <c r="A3326" s="2" t="s">
        <v>4386</v>
      </c>
      <c r="B3326" s="2" t="s">
        <v>12016</v>
      </c>
      <c r="C3326" s="3">
        <v>34823</v>
      </c>
      <c r="D3326" s="1" t="s">
        <v>12017</v>
      </c>
      <c r="E3326" s="1" t="s">
        <v>12018</v>
      </c>
      <c r="F3326" s="2" t="s">
        <v>8536</v>
      </c>
      <c r="G3326" s="2" t="s">
        <v>12019</v>
      </c>
      <c r="H3326" s="2" t="s">
        <v>10</v>
      </c>
      <c r="I3326" s="2" t="s">
        <v>4386</v>
      </c>
      <c r="J3326" s="2" t="s">
        <v>12020</v>
      </c>
      <c r="K3326" s="13" t="s">
        <v>13177</v>
      </c>
      <c r="L3326" s="7" t="s">
        <v>13199</v>
      </c>
    </row>
    <row r="3327" spans="1:12" ht="55.2" hidden="1" x14ac:dyDescent="0.3">
      <c r="A3327" s="2" t="s">
        <v>4604</v>
      </c>
      <c r="B3327" s="2" t="s">
        <v>12021</v>
      </c>
      <c r="C3327" s="3">
        <v>28880</v>
      </c>
      <c r="D3327" s="1" t="s">
        <v>12022</v>
      </c>
      <c r="E3327" s="1" t="s">
        <v>12023</v>
      </c>
      <c r="F3327" s="2" t="s">
        <v>5698</v>
      </c>
      <c r="G3327" s="2" t="s">
        <v>366</v>
      </c>
      <c r="H3327" s="2" t="s">
        <v>10</v>
      </c>
      <c r="I3327" s="2" t="s">
        <v>4604</v>
      </c>
      <c r="J3327" s="2" t="s">
        <v>701</v>
      </c>
      <c r="K3327" s="13" t="s">
        <v>13177</v>
      </c>
      <c r="L3327" s="7" t="s">
        <v>13199</v>
      </c>
    </row>
    <row r="3328" spans="1:12" ht="55.2" hidden="1" x14ac:dyDescent="0.3">
      <c r="A3328" s="2" t="s">
        <v>4604</v>
      </c>
      <c r="B3328" s="2" t="s">
        <v>12024</v>
      </c>
      <c r="C3328" s="3">
        <v>31337</v>
      </c>
      <c r="D3328" s="1" t="s">
        <v>12025</v>
      </c>
      <c r="E3328" s="1" t="s">
        <v>12026</v>
      </c>
      <c r="F3328" s="2" t="s">
        <v>7787</v>
      </c>
      <c r="G3328" s="2" t="s">
        <v>211</v>
      </c>
      <c r="H3328" s="2" t="s">
        <v>12027</v>
      </c>
      <c r="I3328" s="2" t="s">
        <v>4604</v>
      </c>
      <c r="J3328" s="2" t="s">
        <v>601</v>
      </c>
      <c r="K3328" s="13" t="s">
        <v>13177</v>
      </c>
      <c r="L3328" s="7" t="s">
        <v>13199</v>
      </c>
    </row>
    <row r="3329" spans="1:12" ht="55.2" hidden="1" x14ac:dyDescent="0.3">
      <c r="A3329" s="2" t="s">
        <v>4604</v>
      </c>
      <c r="B3329" s="2" t="s">
        <v>12028</v>
      </c>
      <c r="C3329" s="3">
        <v>33748</v>
      </c>
      <c r="D3329" s="1" t="s">
        <v>12029</v>
      </c>
      <c r="E3329" s="1" t="s">
        <v>12030</v>
      </c>
      <c r="F3329" s="2" t="s">
        <v>6663</v>
      </c>
      <c r="G3329" s="2" t="s">
        <v>157</v>
      </c>
      <c r="H3329" s="2" t="s">
        <v>12031</v>
      </c>
      <c r="I3329" s="2" t="s">
        <v>4604</v>
      </c>
      <c r="J3329" s="2" t="s">
        <v>119</v>
      </c>
      <c r="K3329" s="13" t="s">
        <v>13177</v>
      </c>
      <c r="L3329" s="7" t="s">
        <v>13199</v>
      </c>
    </row>
    <row r="3330" spans="1:12" ht="27.6" hidden="1" x14ac:dyDescent="0.3">
      <c r="A3330" s="2" t="s">
        <v>4386</v>
      </c>
      <c r="B3330" s="2" t="s">
        <v>12032</v>
      </c>
      <c r="C3330" s="3">
        <v>34453</v>
      </c>
      <c r="D3330" s="1" t="s">
        <v>12033</v>
      </c>
      <c r="E3330" s="1" t="s">
        <v>12034</v>
      </c>
      <c r="F3330" s="2" t="s">
        <v>5618</v>
      </c>
      <c r="G3330" s="2" t="s">
        <v>12035</v>
      </c>
      <c r="H3330" s="2" t="s">
        <v>10</v>
      </c>
      <c r="I3330" s="2" t="s">
        <v>4386</v>
      </c>
      <c r="J3330" s="2" t="s">
        <v>12036</v>
      </c>
      <c r="K3330" s="13" t="s">
        <v>13177</v>
      </c>
      <c r="L3330" s="7" t="s">
        <v>13199</v>
      </c>
    </row>
    <row r="3331" spans="1:12" ht="41.4" hidden="1" x14ac:dyDescent="0.3">
      <c r="A3331" s="2" t="s">
        <v>4139</v>
      </c>
      <c r="B3331" s="2" t="s">
        <v>12037</v>
      </c>
      <c r="C3331" s="3">
        <v>39074</v>
      </c>
      <c r="D3331" s="1" t="s">
        <v>12038</v>
      </c>
      <c r="E3331" s="1" t="s">
        <v>12039</v>
      </c>
      <c r="F3331" s="2" t="s">
        <v>11874</v>
      </c>
      <c r="G3331" s="2" t="s">
        <v>328</v>
      </c>
      <c r="H3331" s="2" t="s">
        <v>103</v>
      </c>
      <c r="I3331" s="2" t="s">
        <v>4139</v>
      </c>
      <c r="J3331" s="2" t="s">
        <v>329</v>
      </c>
      <c r="K3331" s="13" t="s">
        <v>13177</v>
      </c>
      <c r="L3331" s="7" t="s">
        <v>13199</v>
      </c>
    </row>
    <row r="3332" spans="1:12" ht="41.4" hidden="1" x14ac:dyDescent="0.3">
      <c r="A3332" s="2" t="s">
        <v>4139</v>
      </c>
      <c r="B3332" s="2" t="s">
        <v>12040</v>
      </c>
      <c r="C3332" s="3">
        <v>31496</v>
      </c>
      <c r="D3332" s="1" t="s">
        <v>12041</v>
      </c>
      <c r="E3332" s="1" t="s">
        <v>12039</v>
      </c>
      <c r="F3332" s="2" t="s">
        <v>11874</v>
      </c>
      <c r="G3332" s="2" t="s">
        <v>328</v>
      </c>
      <c r="H3332" s="2" t="s">
        <v>81</v>
      </c>
      <c r="I3332" s="2" t="s">
        <v>4139</v>
      </c>
      <c r="J3332" s="2" t="s">
        <v>329</v>
      </c>
      <c r="K3332" s="13" t="s">
        <v>13177</v>
      </c>
      <c r="L3332" s="7" t="s">
        <v>13199</v>
      </c>
    </row>
    <row r="3333" spans="1:12" ht="41.4" hidden="1" x14ac:dyDescent="0.3">
      <c r="A3333" s="2" t="s">
        <v>4139</v>
      </c>
      <c r="B3333" s="2" t="s">
        <v>12042</v>
      </c>
      <c r="C3333" s="3">
        <v>27025</v>
      </c>
      <c r="D3333" s="1" t="s">
        <v>12043</v>
      </c>
      <c r="E3333" s="1" t="s">
        <v>12044</v>
      </c>
      <c r="F3333" s="2" t="s">
        <v>11874</v>
      </c>
      <c r="G3333" s="2" t="s">
        <v>288</v>
      </c>
      <c r="H3333" s="2" t="s">
        <v>81</v>
      </c>
      <c r="I3333" s="2" t="s">
        <v>4139</v>
      </c>
      <c r="J3333" s="2" t="s">
        <v>289</v>
      </c>
      <c r="K3333" s="13" t="s">
        <v>13177</v>
      </c>
      <c r="L3333" s="7" t="s">
        <v>13199</v>
      </c>
    </row>
    <row r="3334" spans="1:12" hidden="1" x14ac:dyDescent="0.3">
      <c r="A3334" s="8" t="s">
        <v>4139</v>
      </c>
      <c r="B3334" s="8" t="s">
        <v>12045</v>
      </c>
      <c r="C3334" s="9">
        <v>21931</v>
      </c>
      <c r="D3334" s="10" t="s">
        <v>12046</v>
      </c>
      <c r="E3334" s="10" t="s">
        <v>12047</v>
      </c>
      <c r="F3334" s="8" t="s">
        <v>8598</v>
      </c>
      <c r="G3334" s="8" t="s">
        <v>8725</v>
      </c>
      <c r="H3334" s="8" t="s">
        <v>81</v>
      </c>
      <c r="I3334" s="8" t="s">
        <v>4139</v>
      </c>
      <c r="J3334" s="2" t="s">
        <v>12048</v>
      </c>
      <c r="K3334" s="13" t="s">
        <v>13177</v>
      </c>
      <c r="L3334" s="7" t="s">
        <v>13199</v>
      </c>
    </row>
    <row r="3335" spans="1:12" ht="41.4" hidden="1" x14ac:dyDescent="0.3">
      <c r="A3335" s="2" t="s">
        <v>4139</v>
      </c>
      <c r="B3335" s="2" t="s">
        <v>12049</v>
      </c>
      <c r="C3335" s="3">
        <v>32990</v>
      </c>
      <c r="D3335" s="1" t="s">
        <v>12050</v>
      </c>
      <c r="E3335" s="1" t="s">
        <v>12051</v>
      </c>
      <c r="F3335" s="2" t="s">
        <v>11894</v>
      </c>
      <c r="G3335" s="2" t="s">
        <v>9227</v>
      </c>
      <c r="H3335" s="2" t="s">
        <v>10</v>
      </c>
      <c r="I3335" s="2" t="s">
        <v>4139</v>
      </c>
      <c r="J3335" s="2" t="s">
        <v>12052</v>
      </c>
      <c r="K3335" s="13" t="s">
        <v>13177</v>
      </c>
      <c r="L3335" s="7" t="s">
        <v>13199</v>
      </c>
    </row>
    <row r="3336" spans="1:12" ht="41.4" hidden="1" x14ac:dyDescent="0.3">
      <c r="A3336" s="2" t="s">
        <v>4139</v>
      </c>
      <c r="B3336" s="2" t="s">
        <v>12053</v>
      </c>
      <c r="C3336" s="3">
        <v>36841</v>
      </c>
      <c r="D3336" s="1" t="s">
        <v>12054</v>
      </c>
      <c r="E3336" s="1" t="s">
        <v>12055</v>
      </c>
      <c r="F3336" s="2" t="s">
        <v>11874</v>
      </c>
      <c r="G3336" s="2" t="s">
        <v>157</v>
      </c>
      <c r="H3336" s="2" t="s">
        <v>81</v>
      </c>
      <c r="I3336" s="2" t="s">
        <v>4139</v>
      </c>
      <c r="J3336" s="2" t="s">
        <v>158</v>
      </c>
      <c r="K3336" s="13" t="s">
        <v>13177</v>
      </c>
      <c r="L3336" s="7" t="s">
        <v>13199</v>
      </c>
    </row>
    <row r="3337" spans="1:12" hidden="1" x14ac:dyDescent="0.3">
      <c r="A3337" s="8" t="s">
        <v>4139</v>
      </c>
      <c r="B3337" s="8" t="s">
        <v>12056</v>
      </c>
      <c r="C3337" s="9">
        <v>26222</v>
      </c>
      <c r="D3337" s="10" t="s">
        <v>12057</v>
      </c>
      <c r="E3337" s="10" t="s">
        <v>12058</v>
      </c>
      <c r="F3337" s="8" t="s">
        <v>8598</v>
      </c>
      <c r="G3337" s="8" t="s">
        <v>12059</v>
      </c>
      <c r="H3337" s="8" t="s">
        <v>10</v>
      </c>
      <c r="I3337" s="8" t="s">
        <v>4139</v>
      </c>
      <c r="J3337" s="2" t="s">
        <v>12060</v>
      </c>
      <c r="K3337" s="13" t="s">
        <v>13177</v>
      </c>
      <c r="L3337" s="7" t="s">
        <v>13199</v>
      </c>
    </row>
    <row r="3338" spans="1:12" ht="41.4" hidden="1" x14ac:dyDescent="0.3">
      <c r="A3338" s="2" t="s">
        <v>4139</v>
      </c>
      <c r="B3338" s="2" t="s">
        <v>12061</v>
      </c>
      <c r="C3338" s="3">
        <v>23269</v>
      </c>
      <c r="D3338" s="1" t="s">
        <v>12062</v>
      </c>
      <c r="E3338" s="1" t="s">
        <v>12063</v>
      </c>
      <c r="F3338" s="2" t="s">
        <v>11894</v>
      </c>
      <c r="G3338" s="2" t="s">
        <v>9222</v>
      </c>
      <c r="H3338" s="2" t="s">
        <v>10</v>
      </c>
      <c r="I3338" s="2" t="s">
        <v>4139</v>
      </c>
      <c r="J3338" s="2" t="s">
        <v>12064</v>
      </c>
      <c r="K3338" s="13" t="s">
        <v>13177</v>
      </c>
      <c r="L3338" s="7" t="s">
        <v>13199</v>
      </c>
    </row>
    <row r="3339" spans="1:12" ht="41.4" hidden="1" x14ac:dyDescent="0.3">
      <c r="A3339" s="2" t="s">
        <v>4139</v>
      </c>
      <c r="B3339" s="2" t="s">
        <v>12065</v>
      </c>
      <c r="C3339" s="3">
        <v>24907</v>
      </c>
      <c r="D3339" s="1" t="s">
        <v>12066</v>
      </c>
      <c r="E3339" s="1" t="s">
        <v>12067</v>
      </c>
      <c r="F3339" s="2" t="s">
        <v>11894</v>
      </c>
      <c r="G3339" s="2" t="s">
        <v>9232</v>
      </c>
      <c r="H3339" s="2" t="s">
        <v>10</v>
      </c>
      <c r="I3339" s="2" t="s">
        <v>4139</v>
      </c>
      <c r="J3339" s="2" t="s">
        <v>12068</v>
      </c>
      <c r="K3339" s="13" t="s">
        <v>13177</v>
      </c>
      <c r="L3339" s="7" t="s">
        <v>13199</v>
      </c>
    </row>
    <row r="3340" spans="1:12" ht="41.4" hidden="1" x14ac:dyDescent="0.3">
      <c r="A3340" s="2" t="s">
        <v>4139</v>
      </c>
      <c r="B3340" s="2" t="s">
        <v>12069</v>
      </c>
      <c r="C3340" s="3">
        <v>30831</v>
      </c>
      <c r="D3340" s="1" t="s">
        <v>12070</v>
      </c>
      <c r="E3340" s="1" t="s">
        <v>12071</v>
      </c>
      <c r="F3340" s="2" t="s">
        <v>11874</v>
      </c>
      <c r="G3340" s="2" t="s">
        <v>258</v>
      </c>
      <c r="H3340" s="2" t="s">
        <v>81</v>
      </c>
      <c r="I3340" s="2" t="s">
        <v>4139</v>
      </c>
      <c r="J3340" s="2" t="s">
        <v>259</v>
      </c>
      <c r="K3340" s="13" t="s">
        <v>13177</v>
      </c>
      <c r="L3340" s="7" t="s">
        <v>13199</v>
      </c>
    </row>
    <row r="3341" spans="1:12" ht="55.2" hidden="1" x14ac:dyDescent="0.3">
      <c r="A3341" s="2" t="s">
        <v>4604</v>
      </c>
      <c r="B3341" s="2" t="s">
        <v>12072</v>
      </c>
      <c r="C3341" s="3">
        <v>22580</v>
      </c>
      <c r="D3341" s="1" t="s">
        <v>12073</v>
      </c>
      <c r="E3341" s="1" t="s">
        <v>12074</v>
      </c>
      <c r="F3341" s="2" t="s">
        <v>8296</v>
      </c>
      <c r="G3341" s="2" t="s">
        <v>37</v>
      </c>
      <c r="H3341" s="2" t="s">
        <v>12075</v>
      </c>
      <c r="I3341" s="2" t="s">
        <v>4604</v>
      </c>
      <c r="J3341" s="2" t="s">
        <v>38</v>
      </c>
      <c r="K3341" s="13" t="s">
        <v>13177</v>
      </c>
      <c r="L3341" s="7" t="s">
        <v>13199</v>
      </c>
    </row>
    <row r="3342" spans="1:12" ht="55.2" hidden="1" x14ac:dyDescent="0.3">
      <c r="A3342" s="2" t="s">
        <v>4604</v>
      </c>
      <c r="B3342" s="2" t="s">
        <v>12076</v>
      </c>
      <c r="C3342" s="3">
        <v>33987</v>
      </c>
      <c r="D3342" s="1" t="s">
        <v>12077</v>
      </c>
      <c r="E3342" s="1" t="s">
        <v>12078</v>
      </c>
      <c r="F3342" s="2" t="s">
        <v>8296</v>
      </c>
      <c r="G3342" s="2" t="s">
        <v>511</v>
      </c>
      <c r="H3342" s="2" t="s">
        <v>12079</v>
      </c>
      <c r="I3342" s="2" t="s">
        <v>4604</v>
      </c>
      <c r="J3342" s="2" t="s">
        <v>5782</v>
      </c>
      <c r="K3342" s="13" t="s">
        <v>13177</v>
      </c>
      <c r="L3342" s="7" t="s">
        <v>13199</v>
      </c>
    </row>
    <row r="3343" spans="1:12" ht="41.4" hidden="1" x14ac:dyDescent="0.3">
      <c r="A3343" s="2" t="s">
        <v>4139</v>
      </c>
      <c r="B3343" s="2" t="s">
        <v>12080</v>
      </c>
      <c r="C3343" s="3">
        <v>27469</v>
      </c>
      <c r="D3343" s="1" t="s">
        <v>12081</v>
      </c>
      <c r="E3343" s="1" t="s">
        <v>12082</v>
      </c>
      <c r="F3343" s="2" t="s">
        <v>11638</v>
      </c>
      <c r="G3343" s="2" t="s">
        <v>2124</v>
      </c>
      <c r="H3343" s="2" t="s">
        <v>10</v>
      </c>
      <c r="I3343" s="2" t="s">
        <v>4139</v>
      </c>
      <c r="J3343" s="2" t="s">
        <v>1877</v>
      </c>
      <c r="K3343" s="13" t="s">
        <v>13177</v>
      </c>
      <c r="L3343" s="7" t="s">
        <v>13199</v>
      </c>
    </row>
    <row r="3344" spans="1:12" ht="27.6" hidden="1" x14ac:dyDescent="0.3">
      <c r="A3344" s="2" t="s">
        <v>60</v>
      </c>
      <c r="B3344" s="2" t="s">
        <v>12083</v>
      </c>
      <c r="C3344" s="3">
        <v>32731</v>
      </c>
      <c r="D3344" s="1" t="s">
        <v>12084</v>
      </c>
      <c r="E3344" s="1" t="s">
        <v>12085</v>
      </c>
      <c r="F3344" s="2" t="s">
        <v>60</v>
      </c>
      <c r="G3344" s="2" t="s">
        <v>58</v>
      </c>
      <c r="H3344" s="2" t="s">
        <v>81</v>
      </c>
      <c r="I3344" s="2" t="s">
        <v>60</v>
      </c>
      <c r="J3344" s="2" t="s">
        <v>59</v>
      </c>
      <c r="K3344" s="13" t="s">
        <v>13177</v>
      </c>
      <c r="L3344" s="7" t="s">
        <v>13199</v>
      </c>
    </row>
    <row r="3345" spans="1:12" ht="27.6" hidden="1" x14ac:dyDescent="0.3">
      <c r="A3345" s="2" t="s">
        <v>60</v>
      </c>
      <c r="B3345" s="2" t="s">
        <v>12086</v>
      </c>
      <c r="C3345" s="3">
        <v>35416</v>
      </c>
      <c r="D3345" s="1" t="s">
        <v>12087</v>
      </c>
      <c r="E3345" s="1" t="s">
        <v>12088</v>
      </c>
      <c r="F3345" s="2" t="s">
        <v>2310</v>
      </c>
      <c r="G3345" s="2" t="s">
        <v>190</v>
      </c>
      <c r="H3345" s="2" t="s">
        <v>10</v>
      </c>
      <c r="I3345" s="2" t="s">
        <v>60</v>
      </c>
      <c r="J3345" s="2" t="s">
        <v>191</v>
      </c>
      <c r="K3345" s="13" t="s">
        <v>13177</v>
      </c>
      <c r="L3345" s="7" t="s">
        <v>13199</v>
      </c>
    </row>
    <row r="3346" spans="1:12" ht="41.4" hidden="1" x14ac:dyDescent="0.3">
      <c r="A3346" s="2" t="s">
        <v>4139</v>
      </c>
      <c r="B3346" s="2" t="s">
        <v>12089</v>
      </c>
      <c r="C3346" s="3">
        <v>29133</v>
      </c>
      <c r="D3346" s="1" t="s">
        <v>12090</v>
      </c>
      <c r="E3346" s="1" t="s">
        <v>12091</v>
      </c>
      <c r="F3346" s="2" t="s">
        <v>11638</v>
      </c>
      <c r="G3346" s="2" t="s">
        <v>12092</v>
      </c>
      <c r="H3346" s="2" t="s">
        <v>10</v>
      </c>
      <c r="I3346" s="2" t="s">
        <v>4139</v>
      </c>
      <c r="J3346" s="2" t="s">
        <v>12093</v>
      </c>
      <c r="K3346" s="13" t="s">
        <v>13177</v>
      </c>
      <c r="L3346" s="7" t="s">
        <v>13199</v>
      </c>
    </row>
    <row r="3347" spans="1:12" ht="41.4" hidden="1" x14ac:dyDescent="0.3">
      <c r="A3347" s="2" t="s">
        <v>4139</v>
      </c>
      <c r="B3347" s="2" t="s">
        <v>12094</v>
      </c>
      <c r="C3347" s="3">
        <v>22911</v>
      </c>
      <c r="D3347" s="1" t="s">
        <v>12095</v>
      </c>
      <c r="E3347" s="1" t="s">
        <v>12096</v>
      </c>
      <c r="F3347" s="2" t="s">
        <v>11874</v>
      </c>
      <c r="G3347" s="2" t="s">
        <v>206</v>
      </c>
      <c r="H3347" s="2" t="s">
        <v>10</v>
      </c>
      <c r="I3347" s="2" t="s">
        <v>4139</v>
      </c>
      <c r="J3347" s="2" t="s">
        <v>207</v>
      </c>
      <c r="K3347" s="13" t="s">
        <v>13177</v>
      </c>
      <c r="L3347" s="7" t="s">
        <v>13199</v>
      </c>
    </row>
    <row r="3348" spans="1:12" ht="41.4" hidden="1" x14ac:dyDescent="0.3">
      <c r="A3348" s="2" t="s">
        <v>4139</v>
      </c>
      <c r="B3348" s="2" t="s">
        <v>12097</v>
      </c>
      <c r="C3348" s="3">
        <v>27385</v>
      </c>
      <c r="D3348" s="1" t="s">
        <v>12098</v>
      </c>
      <c r="E3348" s="1" t="s">
        <v>12099</v>
      </c>
      <c r="F3348" s="2" t="s">
        <v>11638</v>
      </c>
      <c r="G3348" s="2" t="s">
        <v>3692</v>
      </c>
      <c r="H3348" s="2" t="s">
        <v>10</v>
      </c>
      <c r="I3348" s="2" t="s">
        <v>4139</v>
      </c>
      <c r="J3348" s="2" t="s">
        <v>12100</v>
      </c>
      <c r="K3348" s="13" t="s">
        <v>13177</v>
      </c>
      <c r="L3348" s="7" t="s">
        <v>13199</v>
      </c>
    </row>
    <row r="3349" spans="1:12" ht="41.4" hidden="1" x14ac:dyDescent="0.3">
      <c r="A3349" s="2" t="s">
        <v>4139</v>
      </c>
      <c r="B3349" s="2" t="s">
        <v>12101</v>
      </c>
      <c r="C3349" s="3">
        <v>30195</v>
      </c>
      <c r="D3349" s="1" t="s">
        <v>12102</v>
      </c>
      <c r="E3349" s="1" t="s">
        <v>12103</v>
      </c>
      <c r="F3349" s="2" t="s">
        <v>11638</v>
      </c>
      <c r="G3349" s="2" t="s">
        <v>3400</v>
      </c>
      <c r="H3349" s="2" t="s">
        <v>10</v>
      </c>
      <c r="I3349" s="2" t="s">
        <v>4139</v>
      </c>
      <c r="J3349" s="2" t="s">
        <v>12104</v>
      </c>
      <c r="K3349" s="16" t="s">
        <v>13177</v>
      </c>
      <c r="L3349" s="7" t="s">
        <v>13199</v>
      </c>
    </row>
    <row r="3350" spans="1:12" hidden="1" x14ac:dyDescent="0.3">
      <c r="A3350" s="2" t="s">
        <v>4139</v>
      </c>
      <c r="B3350" s="2" t="s">
        <v>12105</v>
      </c>
      <c r="C3350" s="3">
        <v>18936</v>
      </c>
      <c r="D3350" s="1" t="s">
        <v>12106</v>
      </c>
      <c r="E3350" s="1" t="s">
        <v>12107</v>
      </c>
      <c r="F3350" s="2" t="s">
        <v>4143</v>
      </c>
      <c r="G3350" s="2" t="s">
        <v>12108</v>
      </c>
      <c r="H3350" s="2" t="s">
        <v>10</v>
      </c>
      <c r="I3350" s="2" t="s">
        <v>4139</v>
      </c>
      <c r="J3350" s="2" t="s">
        <v>12109</v>
      </c>
      <c r="K3350" s="13" t="s">
        <v>13177</v>
      </c>
      <c r="L3350" s="7" t="s">
        <v>13199</v>
      </c>
    </row>
    <row r="3351" spans="1:12" ht="27.6" hidden="1" x14ac:dyDescent="0.3">
      <c r="A3351" s="8" t="s">
        <v>4139</v>
      </c>
      <c r="B3351" s="8" t="s">
        <v>12110</v>
      </c>
      <c r="C3351" s="9">
        <v>30678</v>
      </c>
      <c r="D3351" s="10" t="s">
        <v>12111</v>
      </c>
      <c r="E3351" s="10" t="s">
        <v>12112</v>
      </c>
      <c r="F3351" s="8" t="s">
        <v>8598</v>
      </c>
      <c r="G3351" s="8" t="s">
        <v>12113</v>
      </c>
      <c r="H3351" s="8" t="s">
        <v>10</v>
      </c>
      <c r="I3351" s="8" t="s">
        <v>4139</v>
      </c>
      <c r="J3351" s="2" t="s">
        <v>12114</v>
      </c>
      <c r="K3351" s="13" t="s">
        <v>13177</v>
      </c>
      <c r="L3351" s="7" t="s">
        <v>13199</v>
      </c>
    </row>
    <row r="3352" spans="1:12" ht="27.6" hidden="1" x14ac:dyDescent="0.3">
      <c r="A3352" s="2" t="s">
        <v>60</v>
      </c>
      <c r="B3352" s="2" t="s">
        <v>12115</v>
      </c>
      <c r="C3352" s="3">
        <v>24487</v>
      </c>
      <c r="D3352" s="1" t="s">
        <v>12116</v>
      </c>
      <c r="E3352" s="1" t="s">
        <v>12117</v>
      </c>
      <c r="F3352" s="2" t="s">
        <v>60</v>
      </c>
      <c r="G3352" s="2" t="s">
        <v>3027</v>
      </c>
      <c r="H3352" s="2" t="s">
        <v>10</v>
      </c>
      <c r="I3352" s="2" t="s">
        <v>60</v>
      </c>
      <c r="J3352" s="2" t="s">
        <v>3028</v>
      </c>
      <c r="K3352" s="2" t="s">
        <v>10</v>
      </c>
      <c r="L3352" s="7" t="s">
        <v>13199</v>
      </c>
    </row>
    <row r="3353" spans="1:12" ht="41.4" hidden="1" x14ac:dyDescent="0.3">
      <c r="A3353" s="2" t="s">
        <v>4139</v>
      </c>
      <c r="B3353" s="2" t="s">
        <v>12118</v>
      </c>
      <c r="C3353" s="3">
        <v>31434</v>
      </c>
      <c r="D3353" s="1" t="s">
        <v>12119</v>
      </c>
      <c r="E3353" s="1" t="s">
        <v>12120</v>
      </c>
      <c r="F3353" s="2" t="s">
        <v>12121</v>
      </c>
      <c r="G3353" s="2" t="s">
        <v>12122</v>
      </c>
      <c r="H3353" s="2" t="s">
        <v>10</v>
      </c>
      <c r="I3353" s="2" t="s">
        <v>4139</v>
      </c>
      <c r="J3353" s="2" t="s">
        <v>12123</v>
      </c>
      <c r="K3353" s="2" t="s">
        <v>10</v>
      </c>
      <c r="L3353" s="7" t="s">
        <v>13199</v>
      </c>
    </row>
    <row r="3354" spans="1:12" ht="41.4" hidden="1" x14ac:dyDescent="0.3">
      <c r="A3354" s="2" t="s">
        <v>4139</v>
      </c>
      <c r="B3354" s="2" t="s">
        <v>12124</v>
      </c>
      <c r="C3354" s="3">
        <v>32104</v>
      </c>
      <c r="D3354" s="1" t="s">
        <v>12125</v>
      </c>
      <c r="E3354" s="1" t="s">
        <v>12126</v>
      </c>
      <c r="F3354" s="2" t="s">
        <v>12121</v>
      </c>
      <c r="G3354" s="2" t="s">
        <v>12127</v>
      </c>
      <c r="H3354" s="2" t="s">
        <v>10</v>
      </c>
      <c r="I3354" s="2" t="s">
        <v>4139</v>
      </c>
      <c r="J3354" s="2" t="s">
        <v>12128</v>
      </c>
      <c r="K3354" s="2" t="s">
        <v>10</v>
      </c>
      <c r="L3354" s="7" t="s">
        <v>13199</v>
      </c>
    </row>
    <row r="3355" spans="1:12" ht="41.4" hidden="1" x14ac:dyDescent="0.3">
      <c r="A3355" s="2" t="s">
        <v>4139</v>
      </c>
      <c r="B3355" s="2" t="s">
        <v>12129</v>
      </c>
      <c r="C3355" s="3">
        <v>19185</v>
      </c>
      <c r="D3355" s="1" t="s">
        <v>12130</v>
      </c>
      <c r="E3355" s="1" t="s">
        <v>12131</v>
      </c>
      <c r="F3355" s="2" t="s">
        <v>12121</v>
      </c>
      <c r="G3355" s="2" t="s">
        <v>12132</v>
      </c>
      <c r="H3355" s="2" t="s">
        <v>10</v>
      </c>
      <c r="I3355" s="2" t="s">
        <v>4139</v>
      </c>
      <c r="J3355" s="2" t="s">
        <v>12133</v>
      </c>
      <c r="K3355" s="2" t="s">
        <v>10</v>
      </c>
      <c r="L3355" s="7" t="s">
        <v>13199</v>
      </c>
    </row>
    <row r="3356" spans="1:12" ht="41.4" hidden="1" x14ac:dyDescent="0.3">
      <c r="A3356" s="2" t="s">
        <v>4139</v>
      </c>
      <c r="B3356" s="2" t="s">
        <v>12134</v>
      </c>
      <c r="C3356" s="3">
        <v>38754</v>
      </c>
      <c r="D3356" s="1" t="s">
        <v>12135</v>
      </c>
      <c r="E3356" s="1" t="s">
        <v>12136</v>
      </c>
      <c r="F3356" s="2" t="s">
        <v>12121</v>
      </c>
      <c r="G3356" s="2" t="s">
        <v>12137</v>
      </c>
      <c r="H3356" s="2" t="s">
        <v>10</v>
      </c>
      <c r="I3356" s="2" t="s">
        <v>4139</v>
      </c>
      <c r="J3356" s="2" t="s">
        <v>12138</v>
      </c>
      <c r="K3356" s="2" t="s">
        <v>10</v>
      </c>
      <c r="L3356" s="7" t="s">
        <v>13199</v>
      </c>
    </row>
    <row r="3357" spans="1:12" ht="41.4" hidden="1" x14ac:dyDescent="0.3">
      <c r="A3357" s="2" t="s">
        <v>4139</v>
      </c>
      <c r="B3357" s="2" t="s">
        <v>12139</v>
      </c>
      <c r="C3357" s="3">
        <v>32239</v>
      </c>
      <c r="D3357" s="1" t="s">
        <v>261</v>
      </c>
      <c r="E3357" s="1" t="s">
        <v>12140</v>
      </c>
      <c r="F3357" s="2" t="s">
        <v>12121</v>
      </c>
      <c r="G3357" s="2" t="s">
        <v>9103</v>
      </c>
      <c r="H3357" s="2" t="s">
        <v>10</v>
      </c>
      <c r="I3357" s="2" t="s">
        <v>4139</v>
      </c>
      <c r="J3357" s="2" t="s">
        <v>9104</v>
      </c>
      <c r="K3357" s="2" t="s">
        <v>10</v>
      </c>
      <c r="L3357" s="7" t="s">
        <v>13199</v>
      </c>
    </row>
    <row r="3358" spans="1:12" ht="41.4" hidden="1" x14ac:dyDescent="0.3">
      <c r="A3358" s="2" t="s">
        <v>4139</v>
      </c>
      <c r="B3358" s="2" t="s">
        <v>12141</v>
      </c>
      <c r="C3358" s="3">
        <v>32239</v>
      </c>
      <c r="D3358" s="1" t="s">
        <v>261</v>
      </c>
      <c r="E3358" s="1" t="s">
        <v>12140</v>
      </c>
      <c r="F3358" s="2" t="s">
        <v>12121</v>
      </c>
      <c r="G3358" s="2" t="s">
        <v>12142</v>
      </c>
      <c r="H3358" s="2" t="s">
        <v>12143</v>
      </c>
      <c r="I3358" s="2" t="s">
        <v>4139</v>
      </c>
      <c r="J3358" s="2" t="s">
        <v>12144</v>
      </c>
      <c r="K3358" s="2" t="s">
        <v>10</v>
      </c>
      <c r="L3358" s="7" t="s">
        <v>13199</v>
      </c>
    </row>
    <row r="3359" spans="1:12" ht="41.4" hidden="1" x14ac:dyDescent="0.3">
      <c r="A3359" s="2" t="s">
        <v>4139</v>
      </c>
      <c r="B3359" s="2" t="s">
        <v>12145</v>
      </c>
      <c r="C3359" s="3">
        <v>35504</v>
      </c>
      <c r="D3359" s="1" t="s">
        <v>12146</v>
      </c>
      <c r="E3359" s="1" t="s">
        <v>12147</v>
      </c>
      <c r="F3359" s="2" t="s">
        <v>12121</v>
      </c>
      <c r="G3359" s="2" t="s">
        <v>12142</v>
      </c>
      <c r="H3359" s="2" t="s">
        <v>103</v>
      </c>
      <c r="I3359" s="2" t="s">
        <v>4139</v>
      </c>
      <c r="J3359" s="2" t="s">
        <v>12144</v>
      </c>
      <c r="K3359" s="15" t="s">
        <v>10</v>
      </c>
      <c r="L3359" s="7" t="s">
        <v>13199</v>
      </c>
    </row>
    <row r="3360" spans="1:12" hidden="1" x14ac:dyDescent="0.3">
      <c r="A3360" s="2" t="s">
        <v>4139</v>
      </c>
      <c r="B3360" s="2" t="s">
        <v>12148</v>
      </c>
      <c r="C3360" s="3">
        <v>28397</v>
      </c>
      <c r="D3360" s="1" t="s">
        <v>12149</v>
      </c>
      <c r="E3360" s="1" t="s">
        <v>12150</v>
      </c>
      <c r="F3360" s="2" t="s">
        <v>4143</v>
      </c>
      <c r="G3360" s="2" t="s">
        <v>12151</v>
      </c>
      <c r="H3360" s="2" t="s">
        <v>12152</v>
      </c>
      <c r="I3360" s="2" t="s">
        <v>4139</v>
      </c>
      <c r="J3360" s="2" t="s">
        <v>12153</v>
      </c>
      <c r="K3360" s="2"/>
      <c r="L3360" s="7" t="s">
        <v>13199</v>
      </c>
    </row>
    <row r="3361" spans="1:12" hidden="1" x14ac:dyDescent="0.3">
      <c r="A3361" s="2" t="s">
        <v>4139</v>
      </c>
      <c r="B3361" s="2" t="s">
        <v>12148</v>
      </c>
      <c r="C3361" s="3">
        <v>28397</v>
      </c>
      <c r="D3361" s="1" t="s">
        <v>12149</v>
      </c>
      <c r="E3361" s="1" t="s">
        <v>12150</v>
      </c>
      <c r="F3361" s="2" t="s">
        <v>4143</v>
      </c>
      <c r="G3361" s="2" t="s">
        <v>12151</v>
      </c>
      <c r="H3361" s="2" t="s">
        <v>103</v>
      </c>
      <c r="I3361" s="2" t="s">
        <v>4139</v>
      </c>
      <c r="J3361" s="2" t="s">
        <v>12153</v>
      </c>
      <c r="K3361" s="2"/>
      <c r="L3361" s="7" t="s">
        <v>13199</v>
      </c>
    </row>
    <row r="3362" spans="1:12" hidden="1" x14ac:dyDescent="0.3">
      <c r="A3362" s="2" t="s">
        <v>4139</v>
      </c>
      <c r="B3362" s="2" t="s">
        <v>12154</v>
      </c>
      <c r="C3362" s="3">
        <v>20998</v>
      </c>
      <c r="D3362" s="1" t="s">
        <v>12155</v>
      </c>
      <c r="E3362" s="1" t="s">
        <v>12156</v>
      </c>
      <c r="F3362" s="2" t="s">
        <v>4143</v>
      </c>
      <c r="G3362" s="2" t="s">
        <v>10893</v>
      </c>
      <c r="H3362" s="2" t="s">
        <v>334</v>
      </c>
      <c r="I3362" s="2" t="s">
        <v>4139</v>
      </c>
      <c r="J3362" s="2" t="s">
        <v>10894</v>
      </c>
      <c r="K3362" s="2"/>
      <c r="L3362" s="7" t="s">
        <v>13199</v>
      </c>
    </row>
    <row r="3363" spans="1:12" ht="41.4" hidden="1" x14ac:dyDescent="0.3">
      <c r="A3363" s="2" t="s">
        <v>4139</v>
      </c>
      <c r="B3363" s="2" t="s">
        <v>12157</v>
      </c>
      <c r="C3363" s="3">
        <v>30357</v>
      </c>
      <c r="D3363" s="1" t="s">
        <v>12158</v>
      </c>
      <c r="E3363" s="1" t="s">
        <v>12159</v>
      </c>
      <c r="F3363" s="2" t="s">
        <v>11638</v>
      </c>
      <c r="G3363" s="2" t="s">
        <v>3400</v>
      </c>
      <c r="H3363" s="2" t="s">
        <v>81</v>
      </c>
      <c r="I3363" s="2" t="s">
        <v>4139</v>
      </c>
      <c r="J3363" s="2" t="s">
        <v>3401</v>
      </c>
      <c r="K3363" s="18" t="s">
        <v>10</v>
      </c>
      <c r="L3363" s="7" t="s">
        <v>13199</v>
      </c>
    </row>
    <row r="3364" spans="1:12" ht="41.4" hidden="1" x14ac:dyDescent="0.3">
      <c r="A3364" s="2" t="s">
        <v>4139</v>
      </c>
      <c r="B3364" s="2" t="s">
        <v>12160</v>
      </c>
      <c r="C3364" s="3">
        <v>33218</v>
      </c>
      <c r="D3364" s="1" t="s">
        <v>12161</v>
      </c>
      <c r="E3364" s="1" t="s">
        <v>12162</v>
      </c>
      <c r="F3364" s="2" t="s">
        <v>12121</v>
      </c>
      <c r="G3364" s="2" t="s">
        <v>12163</v>
      </c>
      <c r="H3364" s="2" t="s">
        <v>10</v>
      </c>
      <c r="I3364" s="2" t="s">
        <v>4139</v>
      </c>
      <c r="J3364" s="2" t="s">
        <v>12164</v>
      </c>
      <c r="K3364" s="2" t="s">
        <v>10</v>
      </c>
      <c r="L3364" s="7" t="s">
        <v>13199</v>
      </c>
    </row>
    <row r="3365" spans="1:12" ht="41.4" hidden="1" x14ac:dyDescent="0.3">
      <c r="A3365" s="2" t="s">
        <v>4139</v>
      </c>
      <c r="B3365" s="2" t="s">
        <v>12165</v>
      </c>
      <c r="C3365" s="3">
        <v>32230</v>
      </c>
      <c r="D3365" s="1" t="s">
        <v>12166</v>
      </c>
      <c r="E3365" s="1" t="s">
        <v>12167</v>
      </c>
      <c r="F3365" s="2" t="s">
        <v>12121</v>
      </c>
      <c r="G3365" s="2" t="s">
        <v>12168</v>
      </c>
      <c r="H3365" s="2" t="s">
        <v>10</v>
      </c>
      <c r="I3365" s="2" t="s">
        <v>4139</v>
      </c>
      <c r="J3365" s="2" t="s">
        <v>12169</v>
      </c>
      <c r="K3365" s="2" t="s">
        <v>10</v>
      </c>
      <c r="L3365" s="7" t="s">
        <v>13199</v>
      </c>
    </row>
    <row r="3366" spans="1:12" ht="41.4" hidden="1" x14ac:dyDescent="0.3">
      <c r="A3366" s="2" t="s">
        <v>4139</v>
      </c>
      <c r="B3366" s="2" t="s">
        <v>12170</v>
      </c>
      <c r="C3366" s="3">
        <v>30894</v>
      </c>
      <c r="D3366" s="1" t="s">
        <v>12171</v>
      </c>
      <c r="E3366" s="1" t="s">
        <v>12172</v>
      </c>
      <c r="F3366" s="2" t="s">
        <v>12121</v>
      </c>
      <c r="G3366" s="2" t="s">
        <v>12173</v>
      </c>
      <c r="H3366" s="2" t="s">
        <v>10</v>
      </c>
      <c r="I3366" s="2" t="s">
        <v>4139</v>
      </c>
      <c r="J3366" s="2" t="s">
        <v>12174</v>
      </c>
      <c r="K3366" s="2" t="s">
        <v>10</v>
      </c>
      <c r="L3366" s="7" t="s">
        <v>13199</v>
      </c>
    </row>
    <row r="3367" spans="1:12" ht="41.4" hidden="1" x14ac:dyDescent="0.3">
      <c r="A3367" s="2" t="s">
        <v>4139</v>
      </c>
      <c r="B3367" s="2" t="s">
        <v>12175</v>
      </c>
      <c r="C3367" s="3">
        <v>31229</v>
      </c>
      <c r="D3367" s="1" t="s">
        <v>12176</v>
      </c>
      <c r="E3367" s="1" t="s">
        <v>12177</v>
      </c>
      <c r="F3367" s="2" t="s">
        <v>12121</v>
      </c>
      <c r="G3367" s="2" t="s">
        <v>12178</v>
      </c>
      <c r="H3367" s="2" t="s">
        <v>10</v>
      </c>
      <c r="I3367" s="2" t="s">
        <v>4139</v>
      </c>
      <c r="J3367" s="2" t="s">
        <v>12179</v>
      </c>
      <c r="K3367" s="2" t="s">
        <v>10</v>
      </c>
      <c r="L3367" s="7" t="s">
        <v>13199</v>
      </c>
    </row>
    <row r="3368" spans="1:12" ht="41.4" hidden="1" x14ac:dyDescent="0.3">
      <c r="A3368" s="2" t="s">
        <v>4139</v>
      </c>
      <c r="B3368" s="2" t="s">
        <v>12180</v>
      </c>
      <c r="C3368" s="3">
        <v>36676</v>
      </c>
      <c r="D3368" s="1" t="s">
        <v>12181</v>
      </c>
      <c r="E3368" s="1" t="s">
        <v>12182</v>
      </c>
      <c r="F3368" s="2" t="s">
        <v>11874</v>
      </c>
      <c r="G3368" s="2" t="s">
        <v>124</v>
      </c>
      <c r="H3368" s="2" t="s">
        <v>10</v>
      </c>
      <c r="I3368" s="2" t="s">
        <v>4139</v>
      </c>
      <c r="J3368" s="2" t="s">
        <v>173</v>
      </c>
      <c r="K3368" s="2" t="s">
        <v>10</v>
      </c>
      <c r="L3368" s="7" t="s">
        <v>13199</v>
      </c>
    </row>
    <row r="3369" spans="1:12" ht="41.4" hidden="1" x14ac:dyDescent="0.3">
      <c r="A3369" s="2" t="s">
        <v>4139</v>
      </c>
      <c r="B3369" s="2" t="s">
        <v>12183</v>
      </c>
      <c r="C3369" s="3">
        <v>30303</v>
      </c>
      <c r="D3369" s="1" t="s">
        <v>12184</v>
      </c>
      <c r="E3369" s="1" t="s">
        <v>12185</v>
      </c>
      <c r="F3369" s="2" t="s">
        <v>11638</v>
      </c>
      <c r="G3369" s="2" t="s">
        <v>2136</v>
      </c>
      <c r="H3369" s="2" t="s">
        <v>10</v>
      </c>
      <c r="I3369" s="2" t="s">
        <v>4139</v>
      </c>
      <c r="J3369" s="2" t="s">
        <v>2137</v>
      </c>
      <c r="K3369" s="2" t="s">
        <v>10</v>
      </c>
      <c r="L3369" s="7" t="s">
        <v>13199</v>
      </c>
    </row>
    <row r="3370" spans="1:12" ht="27.6" hidden="1" x14ac:dyDescent="0.3">
      <c r="A3370" s="2" t="s">
        <v>60</v>
      </c>
      <c r="B3370" s="2" t="s">
        <v>12186</v>
      </c>
      <c r="C3370" s="3">
        <v>29368</v>
      </c>
      <c r="D3370" s="1" t="s">
        <v>20</v>
      </c>
      <c r="E3370" s="1" t="s">
        <v>12187</v>
      </c>
      <c r="F3370" s="2" t="s">
        <v>1918</v>
      </c>
      <c r="G3370" s="2" t="s">
        <v>319</v>
      </c>
      <c r="H3370" s="2" t="s">
        <v>12188</v>
      </c>
      <c r="I3370" s="2" t="s">
        <v>60</v>
      </c>
      <c r="J3370" s="2" t="s">
        <v>320</v>
      </c>
      <c r="K3370" s="2" t="s">
        <v>10</v>
      </c>
      <c r="L3370" s="7" t="s">
        <v>13199</v>
      </c>
    </row>
    <row r="3371" spans="1:12" ht="41.4" hidden="1" x14ac:dyDescent="0.3">
      <c r="A3371" s="2" t="s">
        <v>4139</v>
      </c>
      <c r="B3371" s="2" t="s">
        <v>12189</v>
      </c>
      <c r="C3371" s="3">
        <v>30796</v>
      </c>
      <c r="D3371" s="1" t="s">
        <v>12190</v>
      </c>
      <c r="E3371" s="1" t="s">
        <v>12191</v>
      </c>
      <c r="F3371" s="2" t="s">
        <v>11638</v>
      </c>
      <c r="G3371" s="2" t="s">
        <v>2136</v>
      </c>
      <c r="H3371" s="2" t="s">
        <v>81</v>
      </c>
      <c r="I3371" s="2" t="s">
        <v>4139</v>
      </c>
      <c r="J3371" s="2" t="s">
        <v>2137</v>
      </c>
      <c r="K3371" s="2" t="s">
        <v>10</v>
      </c>
      <c r="L3371" s="7" t="s">
        <v>13199</v>
      </c>
    </row>
    <row r="3372" spans="1:12" ht="41.4" hidden="1" x14ac:dyDescent="0.3">
      <c r="A3372" s="2" t="s">
        <v>4139</v>
      </c>
      <c r="B3372" s="2" t="s">
        <v>12192</v>
      </c>
      <c r="C3372" s="3">
        <v>32591</v>
      </c>
      <c r="D3372" s="1" t="s">
        <v>12193</v>
      </c>
      <c r="E3372" s="1" t="s">
        <v>12194</v>
      </c>
      <c r="F3372" s="2" t="s">
        <v>11638</v>
      </c>
      <c r="G3372" s="2" t="s">
        <v>2136</v>
      </c>
      <c r="H3372" s="2" t="s">
        <v>562</v>
      </c>
      <c r="I3372" s="2" t="s">
        <v>4139</v>
      </c>
      <c r="J3372" s="2" t="s">
        <v>2137</v>
      </c>
      <c r="K3372" s="2" t="s">
        <v>10</v>
      </c>
      <c r="L3372" s="7" t="s">
        <v>13199</v>
      </c>
    </row>
    <row r="3373" spans="1:12" ht="41.4" hidden="1" x14ac:dyDescent="0.3">
      <c r="A3373" s="2" t="s">
        <v>4139</v>
      </c>
      <c r="B3373" s="2" t="s">
        <v>12195</v>
      </c>
      <c r="C3373" s="3">
        <v>29468</v>
      </c>
      <c r="D3373" s="1" t="s">
        <v>261</v>
      </c>
      <c r="E3373" s="1" t="s">
        <v>12196</v>
      </c>
      <c r="F3373" s="2" t="s">
        <v>12121</v>
      </c>
      <c r="G3373" s="2" t="s">
        <v>12197</v>
      </c>
      <c r="H3373" s="2" t="s">
        <v>10</v>
      </c>
      <c r="I3373" s="2" t="s">
        <v>4139</v>
      </c>
      <c r="J3373" s="2" t="s">
        <v>12198</v>
      </c>
      <c r="K3373" s="2" t="s">
        <v>10</v>
      </c>
      <c r="L3373" s="7" t="s">
        <v>13199</v>
      </c>
    </row>
    <row r="3374" spans="1:12" ht="27.6" hidden="1" x14ac:dyDescent="0.3">
      <c r="A3374" s="2" t="s">
        <v>4139</v>
      </c>
      <c r="B3374" s="2" t="s">
        <v>12199</v>
      </c>
      <c r="C3374" s="3">
        <v>36678</v>
      </c>
      <c r="D3374" s="1" t="s">
        <v>12200</v>
      </c>
      <c r="E3374" s="1" t="s">
        <v>12201</v>
      </c>
      <c r="F3374" s="2" t="s">
        <v>10142</v>
      </c>
      <c r="G3374" s="2" t="s">
        <v>10265</v>
      </c>
      <c r="H3374" s="2" t="s">
        <v>12202</v>
      </c>
      <c r="I3374" s="2" t="s">
        <v>4139</v>
      </c>
      <c r="J3374" s="2" t="s">
        <v>10266</v>
      </c>
      <c r="K3374" s="2" t="s">
        <v>10</v>
      </c>
      <c r="L3374" s="7" t="s">
        <v>13199</v>
      </c>
    </row>
    <row r="3375" spans="1:12" ht="41.4" hidden="1" x14ac:dyDescent="0.3">
      <c r="A3375" s="2" t="s">
        <v>4139</v>
      </c>
      <c r="B3375" s="2" t="s">
        <v>12203</v>
      </c>
      <c r="C3375" s="3">
        <v>26385</v>
      </c>
      <c r="D3375" s="1" t="s">
        <v>12204</v>
      </c>
      <c r="E3375" s="1" t="s">
        <v>12205</v>
      </c>
      <c r="F3375" s="2" t="s">
        <v>12121</v>
      </c>
      <c r="G3375" s="2" t="s">
        <v>12206</v>
      </c>
      <c r="H3375" s="2" t="s">
        <v>10</v>
      </c>
      <c r="I3375" s="2" t="s">
        <v>4139</v>
      </c>
      <c r="J3375" s="2" t="s">
        <v>12207</v>
      </c>
      <c r="K3375" s="2" t="s">
        <v>10</v>
      </c>
      <c r="L3375" s="7" t="s">
        <v>13199</v>
      </c>
    </row>
    <row r="3376" spans="1:12" ht="41.4" hidden="1" x14ac:dyDescent="0.3">
      <c r="A3376" s="2" t="s">
        <v>4139</v>
      </c>
      <c r="B3376" s="2" t="s">
        <v>12208</v>
      </c>
      <c r="C3376" s="3">
        <v>33456</v>
      </c>
      <c r="D3376" s="1" t="s">
        <v>12209</v>
      </c>
      <c r="E3376" s="1" t="s">
        <v>12210</v>
      </c>
      <c r="F3376" s="2" t="s">
        <v>12121</v>
      </c>
      <c r="G3376" s="2" t="s">
        <v>12168</v>
      </c>
      <c r="H3376" s="2" t="s">
        <v>12143</v>
      </c>
      <c r="I3376" s="2" t="s">
        <v>4139</v>
      </c>
      <c r="J3376" s="2" t="s">
        <v>12128</v>
      </c>
      <c r="K3376" s="2" t="s">
        <v>10</v>
      </c>
      <c r="L3376" s="7" t="s">
        <v>13199</v>
      </c>
    </row>
    <row r="3377" spans="1:12" ht="41.4" hidden="1" x14ac:dyDescent="0.3">
      <c r="A3377" s="2" t="s">
        <v>4139</v>
      </c>
      <c r="B3377" s="2" t="s">
        <v>12211</v>
      </c>
      <c r="C3377" s="3">
        <v>18919</v>
      </c>
      <c r="D3377" s="1" t="s">
        <v>12212</v>
      </c>
      <c r="E3377" s="1" t="s">
        <v>12213</v>
      </c>
      <c r="F3377" s="2" t="s">
        <v>12121</v>
      </c>
      <c r="G3377" s="2" t="s">
        <v>9408</v>
      </c>
      <c r="H3377" s="2" t="s">
        <v>10</v>
      </c>
      <c r="I3377" s="2" t="s">
        <v>4139</v>
      </c>
      <c r="J3377" s="2" t="s">
        <v>9409</v>
      </c>
      <c r="K3377" s="2" t="s">
        <v>10</v>
      </c>
      <c r="L3377" s="7" t="s">
        <v>13199</v>
      </c>
    </row>
    <row r="3378" spans="1:12" ht="41.4" hidden="1" x14ac:dyDescent="0.3">
      <c r="A3378" s="2" t="s">
        <v>4139</v>
      </c>
      <c r="B3378" s="2" t="s">
        <v>12214</v>
      </c>
      <c r="C3378" s="3">
        <v>26806</v>
      </c>
      <c r="D3378" s="1" t="s">
        <v>12215</v>
      </c>
      <c r="E3378" s="1" t="s">
        <v>12216</v>
      </c>
      <c r="F3378" s="2" t="s">
        <v>11638</v>
      </c>
      <c r="G3378" s="2" t="s">
        <v>803</v>
      </c>
      <c r="H3378" s="2" t="s">
        <v>10</v>
      </c>
      <c r="I3378" s="2" t="s">
        <v>4139</v>
      </c>
      <c r="J3378" s="2" t="s">
        <v>804</v>
      </c>
      <c r="K3378" s="2" t="s">
        <v>10</v>
      </c>
      <c r="L3378" s="7" t="s">
        <v>13199</v>
      </c>
    </row>
    <row r="3379" spans="1:12" ht="41.4" hidden="1" x14ac:dyDescent="0.3">
      <c r="A3379" s="2" t="s">
        <v>4139</v>
      </c>
      <c r="B3379" s="2" t="s">
        <v>12217</v>
      </c>
      <c r="C3379" s="3">
        <v>22893</v>
      </c>
      <c r="D3379" s="1" t="s">
        <v>12218</v>
      </c>
      <c r="E3379" s="1" t="s">
        <v>12219</v>
      </c>
      <c r="F3379" s="2" t="s">
        <v>12121</v>
      </c>
      <c r="G3379" s="2" t="s">
        <v>12220</v>
      </c>
      <c r="H3379" s="2" t="s">
        <v>103</v>
      </c>
      <c r="I3379" s="2" t="s">
        <v>4139</v>
      </c>
      <c r="J3379" s="2" t="s">
        <v>12221</v>
      </c>
      <c r="K3379" s="2" t="s">
        <v>10</v>
      </c>
      <c r="L3379" s="7" t="s">
        <v>13199</v>
      </c>
    </row>
    <row r="3380" spans="1:12" ht="41.4" hidden="1" x14ac:dyDescent="0.3">
      <c r="A3380" s="2" t="s">
        <v>4139</v>
      </c>
      <c r="B3380" s="2" t="s">
        <v>12222</v>
      </c>
      <c r="C3380" s="3">
        <v>29953</v>
      </c>
      <c r="D3380" s="1" t="s">
        <v>12223</v>
      </c>
      <c r="E3380" s="1" t="s">
        <v>12224</v>
      </c>
      <c r="F3380" s="2" t="s">
        <v>11894</v>
      </c>
      <c r="G3380" s="2" t="s">
        <v>9063</v>
      </c>
      <c r="H3380" s="2" t="s">
        <v>10</v>
      </c>
      <c r="I3380" s="2" t="s">
        <v>4139</v>
      </c>
      <c r="J3380" s="2" t="s">
        <v>12225</v>
      </c>
      <c r="K3380" s="2" t="s">
        <v>10</v>
      </c>
      <c r="L3380" s="7" t="s">
        <v>13199</v>
      </c>
    </row>
    <row r="3381" spans="1:12" ht="41.4" hidden="1" x14ac:dyDescent="0.3">
      <c r="A3381" s="2" t="s">
        <v>4139</v>
      </c>
      <c r="B3381" s="2" t="s">
        <v>12226</v>
      </c>
      <c r="C3381" s="3">
        <v>28307</v>
      </c>
      <c r="D3381" s="1" t="s">
        <v>12227</v>
      </c>
      <c r="E3381" s="1" t="s">
        <v>12228</v>
      </c>
      <c r="F3381" s="2" t="s">
        <v>11874</v>
      </c>
      <c r="G3381" s="2" t="s">
        <v>9184</v>
      </c>
      <c r="H3381" s="2" t="s">
        <v>10</v>
      </c>
      <c r="I3381" s="2" t="s">
        <v>4139</v>
      </c>
      <c r="J3381" s="2" t="s">
        <v>9332</v>
      </c>
      <c r="K3381" s="2" t="s">
        <v>10</v>
      </c>
      <c r="L3381" s="7" t="s">
        <v>13199</v>
      </c>
    </row>
    <row r="3382" spans="1:12" ht="41.4" hidden="1" x14ac:dyDescent="0.3">
      <c r="A3382" s="2" t="s">
        <v>4139</v>
      </c>
      <c r="B3382" s="2" t="s">
        <v>12229</v>
      </c>
      <c r="C3382" s="3">
        <v>18211</v>
      </c>
      <c r="D3382" s="1" t="s">
        <v>12230</v>
      </c>
      <c r="E3382" s="1" t="s">
        <v>12231</v>
      </c>
      <c r="F3382" s="2" t="s">
        <v>12121</v>
      </c>
      <c r="G3382" s="2" t="s">
        <v>9212</v>
      </c>
      <c r="H3382" s="2" t="s">
        <v>10</v>
      </c>
      <c r="I3382" s="2" t="s">
        <v>4139</v>
      </c>
      <c r="J3382" s="2" t="s">
        <v>11921</v>
      </c>
      <c r="K3382" s="2" t="s">
        <v>10</v>
      </c>
      <c r="L3382" s="7" t="s">
        <v>13199</v>
      </c>
    </row>
    <row r="3383" spans="1:12" ht="41.4" hidden="1" x14ac:dyDescent="0.3">
      <c r="A3383" s="2" t="s">
        <v>4139</v>
      </c>
      <c r="B3383" s="2" t="s">
        <v>12232</v>
      </c>
      <c r="C3383" s="3">
        <v>24664</v>
      </c>
      <c r="D3383" s="1" t="s">
        <v>12233</v>
      </c>
      <c r="E3383" s="1" t="s">
        <v>12234</v>
      </c>
      <c r="F3383" s="2" t="s">
        <v>12121</v>
      </c>
      <c r="G3383" s="2" t="s">
        <v>12235</v>
      </c>
      <c r="H3383" s="2" t="s">
        <v>10</v>
      </c>
      <c r="I3383" s="2" t="s">
        <v>4139</v>
      </c>
      <c r="J3383" s="2" t="s">
        <v>12236</v>
      </c>
      <c r="K3383" s="2" t="s">
        <v>10</v>
      </c>
      <c r="L3383" s="7" t="s">
        <v>13199</v>
      </c>
    </row>
    <row r="3384" spans="1:12" ht="41.4" hidden="1" x14ac:dyDescent="0.3">
      <c r="A3384" s="2" t="s">
        <v>4139</v>
      </c>
      <c r="B3384" s="2" t="s">
        <v>12237</v>
      </c>
      <c r="C3384" s="3">
        <v>26714</v>
      </c>
      <c r="D3384" s="1" t="s">
        <v>12238</v>
      </c>
      <c r="E3384" s="1" t="s">
        <v>12239</v>
      </c>
      <c r="F3384" s="2" t="s">
        <v>12121</v>
      </c>
      <c r="G3384" s="2" t="s">
        <v>12240</v>
      </c>
      <c r="H3384" s="2" t="s">
        <v>103</v>
      </c>
      <c r="I3384" s="2" t="s">
        <v>4139</v>
      </c>
      <c r="J3384" s="2" t="s">
        <v>12241</v>
      </c>
      <c r="K3384" s="2" t="s">
        <v>10</v>
      </c>
      <c r="L3384" s="7" t="s">
        <v>13199</v>
      </c>
    </row>
    <row r="3385" spans="1:12" ht="41.4" hidden="1" x14ac:dyDescent="0.3">
      <c r="A3385" s="2" t="s">
        <v>4139</v>
      </c>
      <c r="B3385" s="2" t="s">
        <v>12242</v>
      </c>
      <c r="C3385" s="3">
        <v>12133</v>
      </c>
      <c r="D3385" s="1" t="s">
        <v>12243</v>
      </c>
      <c r="E3385" s="1" t="s">
        <v>12244</v>
      </c>
      <c r="F3385" s="2" t="s">
        <v>12121</v>
      </c>
      <c r="G3385" s="2" t="s">
        <v>12240</v>
      </c>
      <c r="H3385" s="2" t="s">
        <v>81</v>
      </c>
      <c r="I3385" s="2" t="s">
        <v>4139</v>
      </c>
      <c r="J3385" s="2" t="s">
        <v>12241</v>
      </c>
      <c r="K3385" s="2" t="s">
        <v>10</v>
      </c>
      <c r="L3385" s="7" t="s">
        <v>13199</v>
      </c>
    </row>
    <row r="3386" spans="1:12" ht="41.4" hidden="1" x14ac:dyDescent="0.3">
      <c r="A3386" s="2" t="s">
        <v>4139</v>
      </c>
      <c r="B3386" s="2" t="s">
        <v>12245</v>
      </c>
      <c r="C3386" s="3">
        <v>29731</v>
      </c>
      <c r="D3386" s="1" t="s">
        <v>12246</v>
      </c>
      <c r="E3386" s="1" t="s">
        <v>12247</v>
      </c>
      <c r="F3386" s="2" t="s">
        <v>12121</v>
      </c>
      <c r="G3386" s="2" t="s">
        <v>12248</v>
      </c>
      <c r="H3386" s="2" t="s">
        <v>10</v>
      </c>
      <c r="I3386" s="2" t="s">
        <v>4139</v>
      </c>
      <c r="J3386" s="2" t="s">
        <v>12249</v>
      </c>
      <c r="K3386" s="2" t="s">
        <v>10</v>
      </c>
      <c r="L3386" s="7" t="s">
        <v>13199</v>
      </c>
    </row>
    <row r="3387" spans="1:12" ht="41.4" hidden="1" x14ac:dyDescent="0.3">
      <c r="A3387" s="2" t="s">
        <v>4139</v>
      </c>
      <c r="B3387" s="2" t="s">
        <v>12250</v>
      </c>
      <c r="C3387" s="3">
        <v>21091</v>
      </c>
      <c r="D3387" s="1" t="s">
        <v>12251</v>
      </c>
      <c r="E3387" s="1" t="s">
        <v>12252</v>
      </c>
      <c r="F3387" s="2" t="s">
        <v>12121</v>
      </c>
      <c r="G3387" s="2" t="s">
        <v>12253</v>
      </c>
      <c r="H3387" s="2" t="s">
        <v>81</v>
      </c>
      <c r="I3387" s="2" t="s">
        <v>4139</v>
      </c>
      <c r="J3387" s="2" t="s">
        <v>12254</v>
      </c>
      <c r="K3387" s="2" t="s">
        <v>10</v>
      </c>
      <c r="L3387" s="7" t="s">
        <v>13199</v>
      </c>
    </row>
    <row r="3388" spans="1:12" ht="41.4" hidden="1" x14ac:dyDescent="0.3">
      <c r="A3388" s="2" t="s">
        <v>4139</v>
      </c>
      <c r="B3388" s="2" t="s">
        <v>12255</v>
      </c>
      <c r="C3388" s="3">
        <v>30449</v>
      </c>
      <c r="D3388" s="1" t="s">
        <v>12256</v>
      </c>
      <c r="E3388" s="1" t="s">
        <v>12257</v>
      </c>
      <c r="F3388" s="2" t="s">
        <v>12121</v>
      </c>
      <c r="G3388" s="2" t="s">
        <v>9217</v>
      </c>
      <c r="H3388" s="2" t="s">
        <v>10</v>
      </c>
      <c r="I3388" s="2" t="s">
        <v>4139</v>
      </c>
      <c r="J3388" s="2" t="s">
        <v>11903</v>
      </c>
      <c r="K3388" s="2" t="s">
        <v>10</v>
      </c>
      <c r="L3388" s="7" t="s">
        <v>13199</v>
      </c>
    </row>
    <row r="3389" spans="1:12" ht="41.4" hidden="1" x14ac:dyDescent="0.3">
      <c r="A3389" s="2" t="s">
        <v>4139</v>
      </c>
      <c r="B3389" s="2" t="s">
        <v>12258</v>
      </c>
      <c r="C3389" s="3">
        <v>22591</v>
      </c>
      <c r="D3389" s="1" t="s">
        <v>12259</v>
      </c>
      <c r="E3389" s="1" t="s">
        <v>12260</v>
      </c>
      <c r="F3389" s="2" t="s">
        <v>11874</v>
      </c>
      <c r="G3389" s="2" t="s">
        <v>12168</v>
      </c>
      <c r="H3389" s="2" t="s">
        <v>334</v>
      </c>
      <c r="I3389" s="2" t="s">
        <v>4139</v>
      </c>
      <c r="J3389" s="2" t="s">
        <v>12169</v>
      </c>
      <c r="K3389" s="2" t="s">
        <v>10</v>
      </c>
      <c r="L3389" s="7" t="s">
        <v>13199</v>
      </c>
    </row>
    <row r="3390" spans="1:12" ht="41.4" hidden="1" x14ac:dyDescent="0.3">
      <c r="A3390" s="2" t="s">
        <v>4139</v>
      </c>
      <c r="B3390" s="2" t="s">
        <v>12261</v>
      </c>
      <c r="C3390" s="3">
        <v>21405</v>
      </c>
      <c r="D3390" s="1" t="s">
        <v>12262</v>
      </c>
      <c r="E3390" s="1" t="s">
        <v>12263</v>
      </c>
      <c r="F3390" s="2" t="s">
        <v>11638</v>
      </c>
      <c r="G3390" s="2" t="s">
        <v>1903</v>
      </c>
      <c r="H3390" s="2" t="s">
        <v>10</v>
      </c>
      <c r="I3390" s="2" t="s">
        <v>4139</v>
      </c>
      <c r="J3390" s="2" t="s">
        <v>9073</v>
      </c>
      <c r="K3390" s="15" t="s">
        <v>10</v>
      </c>
      <c r="L3390" s="7" t="s">
        <v>13199</v>
      </c>
    </row>
    <row r="3391" spans="1:12" hidden="1" x14ac:dyDescent="0.3">
      <c r="A3391" s="2" t="s">
        <v>4139</v>
      </c>
      <c r="B3391" s="2" t="s">
        <v>12264</v>
      </c>
      <c r="C3391" s="3">
        <v>28283</v>
      </c>
      <c r="D3391" s="1" t="s">
        <v>12265</v>
      </c>
      <c r="E3391" s="1" t="s">
        <v>12266</v>
      </c>
      <c r="F3391" s="2" t="s">
        <v>4143</v>
      </c>
      <c r="G3391" s="2" t="s">
        <v>12267</v>
      </c>
      <c r="H3391" s="2" t="s">
        <v>10</v>
      </c>
      <c r="I3391" s="2" t="s">
        <v>4139</v>
      </c>
      <c r="J3391" s="2" t="s">
        <v>12268</v>
      </c>
      <c r="K3391" s="2"/>
      <c r="L3391" s="7" t="s">
        <v>13199</v>
      </c>
    </row>
    <row r="3392" spans="1:12" ht="27.6" hidden="1" x14ac:dyDescent="0.3">
      <c r="A3392" s="2" t="s">
        <v>4139</v>
      </c>
      <c r="B3392" s="2" t="s">
        <v>12269</v>
      </c>
      <c r="C3392" s="3">
        <v>26928</v>
      </c>
      <c r="D3392" s="1" t="s">
        <v>12270</v>
      </c>
      <c r="E3392" s="1" t="s">
        <v>12271</v>
      </c>
      <c r="F3392" s="2" t="s">
        <v>4143</v>
      </c>
      <c r="G3392" s="2" t="s">
        <v>12272</v>
      </c>
      <c r="H3392" s="2" t="s">
        <v>12273</v>
      </c>
      <c r="I3392" s="2" t="s">
        <v>4139</v>
      </c>
      <c r="J3392" s="2" t="s">
        <v>12274</v>
      </c>
      <c r="K3392" s="2"/>
      <c r="L3392" s="7" t="s">
        <v>13199</v>
      </c>
    </row>
    <row r="3393" spans="1:12" hidden="1" x14ac:dyDescent="0.3">
      <c r="A3393" s="8" t="s">
        <v>4139</v>
      </c>
      <c r="B3393" s="8" t="s">
        <v>12275</v>
      </c>
      <c r="C3393" s="9">
        <v>34824</v>
      </c>
      <c r="D3393" s="10" t="s">
        <v>12276</v>
      </c>
      <c r="E3393" s="10" t="s">
        <v>12277</v>
      </c>
      <c r="F3393" s="8" t="s">
        <v>8598</v>
      </c>
      <c r="G3393" s="8" t="s">
        <v>11576</v>
      </c>
      <c r="H3393" s="8" t="s">
        <v>12143</v>
      </c>
      <c r="I3393" s="8" t="s">
        <v>4139</v>
      </c>
      <c r="J3393" s="2" t="s">
        <v>12278</v>
      </c>
      <c r="K3393" s="13" t="s">
        <v>13177</v>
      </c>
      <c r="L3393" s="7" t="s">
        <v>13199</v>
      </c>
    </row>
    <row r="3394" spans="1:12" hidden="1" x14ac:dyDescent="0.3">
      <c r="A3394" s="2" t="s">
        <v>4139</v>
      </c>
      <c r="B3394" s="2" t="s">
        <v>12279</v>
      </c>
      <c r="C3394" s="3">
        <v>25419</v>
      </c>
      <c r="D3394" s="1" t="s">
        <v>12280</v>
      </c>
      <c r="E3394" s="1" t="s">
        <v>12281</v>
      </c>
      <c r="F3394" s="2" t="s">
        <v>4143</v>
      </c>
      <c r="G3394" s="2" t="s">
        <v>12151</v>
      </c>
      <c r="H3394" s="2" t="s">
        <v>10</v>
      </c>
      <c r="I3394" s="2" t="s">
        <v>4139</v>
      </c>
      <c r="J3394" s="2" t="s">
        <v>12282</v>
      </c>
      <c r="K3394" s="2"/>
      <c r="L3394" s="7" t="s">
        <v>13199</v>
      </c>
    </row>
    <row r="3395" spans="1:12" ht="41.4" hidden="1" x14ac:dyDescent="0.3">
      <c r="A3395" s="2" t="s">
        <v>4139</v>
      </c>
      <c r="B3395" s="2" t="s">
        <v>12283</v>
      </c>
      <c r="C3395" s="3">
        <v>31902</v>
      </c>
      <c r="D3395" s="1" t="s">
        <v>12284</v>
      </c>
      <c r="E3395" s="1" t="s">
        <v>12285</v>
      </c>
      <c r="F3395" s="2" t="s">
        <v>11874</v>
      </c>
      <c r="G3395" s="2" t="s">
        <v>222</v>
      </c>
      <c r="H3395" s="2" t="s">
        <v>103</v>
      </c>
      <c r="I3395" s="2" t="s">
        <v>4139</v>
      </c>
      <c r="J3395" s="2" t="s">
        <v>223</v>
      </c>
      <c r="K3395" s="18" t="s">
        <v>10</v>
      </c>
      <c r="L3395" s="7" t="s">
        <v>13199</v>
      </c>
    </row>
    <row r="3396" spans="1:12" ht="27.6" hidden="1" x14ac:dyDescent="0.3">
      <c r="A3396" s="2" t="s">
        <v>4386</v>
      </c>
      <c r="B3396" s="2" t="s">
        <v>12286</v>
      </c>
      <c r="C3396" s="3">
        <v>36373</v>
      </c>
      <c r="D3396" s="1" t="s">
        <v>12287</v>
      </c>
      <c r="E3396" s="1" t="s">
        <v>12288</v>
      </c>
      <c r="F3396" s="2" t="s">
        <v>5049</v>
      </c>
      <c r="G3396" s="2" t="s">
        <v>283</v>
      </c>
      <c r="H3396" s="2" t="s">
        <v>12143</v>
      </c>
      <c r="I3396" s="2" t="s">
        <v>4386</v>
      </c>
      <c r="J3396" s="2" t="s">
        <v>284</v>
      </c>
      <c r="K3396" s="2" t="s">
        <v>10</v>
      </c>
      <c r="L3396" s="7" t="s">
        <v>13199</v>
      </c>
    </row>
    <row r="3397" spans="1:12" ht="27.6" hidden="1" x14ac:dyDescent="0.3">
      <c r="A3397" s="2" t="s">
        <v>4386</v>
      </c>
      <c r="B3397" s="2" t="s">
        <v>12289</v>
      </c>
      <c r="C3397" s="3">
        <v>35375</v>
      </c>
      <c r="D3397" s="1" t="s">
        <v>7022</v>
      </c>
      <c r="E3397" s="1" t="s">
        <v>7023</v>
      </c>
      <c r="F3397" s="2" t="s">
        <v>10109</v>
      </c>
      <c r="G3397" s="2" t="s">
        <v>48</v>
      </c>
      <c r="H3397" s="2" t="s">
        <v>10</v>
      </c>
      <c r="I3397" s="2" t="s">
        <v>4386</v>
      </c>
      <c r="J3397" s="2" t="s">
        <v>49</v>
      </c>
      <c r="K3397" s="2" t="s">
        <v>10</v>
      </c>
      <c r="L3397" s="7" t="s">
        <v>13199</v>
      </c>
    </row>
    <row r="3398" spans="1:12" ht="27.6" hidden="1" x14ac:dyDescent="0.3">
      <c r="A3398" s="2" t="s">
        <v>60</v>
      </c>
      <c r="B3398" s="2" t="s">
        <v>12290</v>
      </c>
      <c r="C3398" s="3">
        <v>28042</v>
      </c>
      <c r="D3398" s="1" t="s">
        <v>4294</v>
      </c>
      <c r="E3398" s="1" t="s">
        <v>4295</v>
      </c>
      <c r="F3398" s="2" t="s">
        <v>60</v>
      </c>
      <c r="G3398" s="2" t="s">
        <v>2336</v>
      </c>
      <c r="H3398" s="2" t="s">
        <v>12291</v>
      </c>
      <c r="I3398" s="2" t="s">
        <v>60</v>
      </c>
      <c r="J3398" s="2" t="s">
        <v>12292</v>
      </c>
      <c r="K3398" s="2" t="s">
        <v>10</v>
      </c>
      <c r="L3398" s="7" t="s">
        <v>13199</v>
      </c>
    </row>
    <row r="3399" spans="1:12" ht="41.4" hidden="1" x14ac:dyDescent="0.3">
      <c r="A3399" s="2" t="s">
        <v>4139</v>
      </c>
      <c r="B3399" s="2" t="s">
        <v>12293</v>
      </c>
      <c r="C3399" s="3">
        <v>31678</v>
      </c>
      <c r="D3399" s="1" t="s">
        <v>12294</v>
      </c>
      <c r="E3399" s="1" t="s">
        <v>12295</v>
      </c>
      <c r="F3399" s="2" t="s">
        <v>12121</v>
      </c>
      <c r="G3399" s="2" t="s">
        <v>12220</v>
      </c>
      <c r="H3399" s="2" t="s">
        <v>81</v>
      </c>
      <c r="I3399" s="2" t="s">
        <v>4139</v>
      </c>
      <c r="J3399" s="2" t="s">
        <v>12221</v>
      </c>
      <c r="K3399" s="2" t="s">
        <v>10</v>
      </c>
      <c r="L3399" s="7" t="s">
        <v>13199</v>
      </c>
    </row>
    <row r="3400" spans="1:12" ht="55.2" hidden="1" x14ac:dyDescent="0.3">
      <c r="A3400" s="2" t="s">
        <v>4604</v>
      </c>
      <c r="B3400" s="2" t="s">
        <v>12296</v>
      </c>
      <c r="C3400" s="3">
        <v>33663</v>
      </c>
      <c r="D3400" s="1" t="s">
        <v>12297</v>
      </c>
      <c r="E3400" s="1" t="s">
        <v>12298</v>
      </c>
      <c r="F3400" s="2" t="s">
        <v>4698</v>
      </c>
      <c r="G3400" s="2" t="s">
        <v>4916</v>
      </c>
      <c r="H3400" s="2" t="s">
        <v>12299</v>
      </c>
      <c r="I3400" s="2" t="s">
        <v>4604</v>
      </c>
      <c r="J3400" s="2" t="s">
        <v>4918</v>
      </c>
      <c r="K3400" s="2" t="s">
        <v>10</v>
      </c>
      <c r="L3400" s="7" t="s">
        <v>13199</v>
      </c>
    </row>
    <row r="3401" spans="1:12" ht="41.4" hidden="1" x14ac:dyDescent="0.3">
      <c r="A3401" s="2" t="s">
        <v>4139</v>
      </c>
      <c r="B3401" s="2" t="s">
        <v>12300</v>
      </c>
      <c r="C3401" s="3">
        <v>34273</v>
      </c>
      <c r="D3401" s="1" t="s">
        <v>12301</v>
      </c>
      <c r="E3401" s="1" t="s">
        <v>12302</v>
      </c>
      <c r="F3401" s="2" t="s">
        <v>12121</v>
      </c>
      <c r="G3401" s="2" t="s">
        <v>12303</v>
      </c>
      <c r="H3401" s="2" t="s">
        <v>10</v>
      </c>
      <c r="I3401" s="2" t="s">
        <v>4139</v>
      </c>
      <c r="J3401" s="2" t="s">
        <v>12304</v>
      </c>
      <c r="K3401" s="2" t="s">
        <v>10</v>
      </c>
      <c r="L3401" s="7" t="s">
        <v>13199</v>
      </c>
    </row>
    <row r="3402" spans="1:12" ht="55.2" hidden="1" x14ac:dyDescent="0.3">
      <c r="A3402" s="2" t="s">
        <v>4604</v>
      </c>
      <c r="B3402" s="2" t="s">
        <v>12305</v>
      </c>
      <c r="C3402" s="3">
        <v>22394</v>
      </c>
      <c r="D3402" s="1" t="s">
        <v>12306</v>
      </c>
      <c r="E3402" s="1" t="s">
        <v>12307</v>
      </c>
      <c r="F3402" s="2" t="s">
        <v>5668</v>
      </c>
      <c r="G3402" s="2" t="s">
        <v>230</v>
      </c>
      <c r="H3402" s="2" t="s">
        <v>5781</v>
      </c>
      <c r="I3402" s="2" t="s">
        <v>4604</v>
      </c>
      <c r="J3402" s="2" t="s">
        <v>1922</v>
      </c>
      <c r="K3402" s="2" t="s">
        <v>10</v>
      </c>
      <c r="L3402" s="7" t="s">
        <v>13199</v>
      </c>
    </row>
    <row r="3403" spans="1:12" ht="55.2" hidden="1" x14ac:dyDescent="0.3">
      <c r="A3403" s="2" t="s">
        <v>4604</v>
      </c>
      <c r="B3403" s="2" t="s">
        <v>12308</v>
      </c>
      <c r="C3403" s="3">
        <v>25125</v>
      </c>
      <c r="D3403" s="1" t="s">
        <v>12309</v>
      </c>
      <c r="E3403" s="1" t="s">
        <v>12310</v>
      </c>
      <c r="F3403" s="2" t="s">
        <v>7474</v>
      </c>
      <c r="G3403" s="2" t="s">
        <v>1354</v>
      </c>
      <c r="H3403" s="2" t="s">
        <v>12311</v>
      </c>
      <c r="I3403" s="2" t="s">
        <v>4604</v>
      </c>
      <c r="J3403" s="2" t="s">
        <v>12312</v>
      </c>
      <c r="K3403" s="13" t="s">
        <v>13177</v>
      </c>
      <c r="L3403" s="7" t="s">
        <v>13199</v>
      </c>
    </row>
    <row r="3404" spans="1:12" ht="41.4" hidden="1" x14ac:dyDescent="0.3">
      <c r="A3404" s="2" t="s">
        <v>4139</v>
      </c>
      <c r="B3404" s="2" t="s">
        <v>12313</v>
      </c>
      <c r="C3404" s="3">
        <v>26035</v>
      </c>
      <c r="D3404" s="1" t="s">
        <v>12314</v>
      </c>
      <c r="E3404" s="1" t="s">
        <v>12315</v>
      </c>
      <c r="F3404" s="2" t="s">
        <v>11638</v>
      </c>
      <c r="G3404" s="2" t="s">
        <v>596</v>
      </c>
      <c r="H3404" s="2" t="s">
        <v>10</v>
      </c>
      <c r="I3404" s="2" t="s">
        <v>4139</v>
      </c>
      <c r="J3404" s="2" t="s">
        <v>2786</v>
      </c>
      <c r="K3404" s="2" t="s">
        <v>10</v>
      </c>
      <c r="L3404" s="7" t="s">
        <v>13199</v>
      </c>
    </row>
    <row r="3405" spans="1:12" ht="41.4" hidden="1" x14ac:dyDescent="0.3">
      <c r="A3405" s="2" t="s">
        <v>4139</v>
      </c>
      <c r="B3405" s="2" t="s">
        <v>12316</v>
      </c>
      <c r="C3405" s="3">
        <v>26035</v>
      </c>
      <c r="D3405" s="1" t="s">
        <v>12314</v>
      </c>
      <c r="E3405" s="1" t="s">
        <v>12315</v>
      </c>
      <c r="F3405" s="2" t="s">
        <v>12121</v>
      </c>
      <c r="G3405" s="2" t="s">
        <v>12317</v>
      </c>
      <c r="H3405" s="2" t="s">
        <v>103</v>
      </c>
      <c r="I3405" s="2" t="s">
        <v>4139</v>
      </c>
      <c r="J3405" s="2" t="s">
        <v>12318</v>
      </c>
      <c r="K3405" s="2" t="s">
        <v>10</v>
      </c>
      <c r="L3405" s="7" t="s">
        <v>13199</v>
      </c>
    </row>
    <row r="3406" spans="1:12" ht="41.4" hidden="1" x14ac:dyDescent="0.3">
      <c r="A3406" s="2" t="s">
        <v>4139</v>
      </c>
      <c r="B3406" s="2" t="s">
        <v>12313</v>
      </c>
      <c r="C3406" s="3">
        <v>26035</v>
      </c>
      <c r="D3406" s="1" t="s">
        <v>12314</v>
      </c>
      <c r="E3406" s="1" t="s">
        <v>12315</v>
      </c>
      <c r="F3406" s="2" t="s">
        <v>12121</v>
      </c>
      <c r="G3406" s="2" t="s">
        <v>12317</v>
      </c>
      <c r="H3406" s="2" t="s">
        <v>81</v>
      </c>
      <c r="I3406" s="2" t="s">
        <v>4139</v>
      </c>
      <c r="J3406" s="2" t="s">
        <v>12319</v>
      </c>
      <c r="K3406" s="2" t="s">
        <v>10</v>
      </c>
      <c r="L3406" s="7" t="s">
        <v>13199</v>
      </c>
    </row>
    <row r="3407" spans="1:12" ht="41.4" hidden="1" x14ac:dyDescent="0.3">
      <c r="A3407" s="2" t="s">
        <v>4139</v>
      </c>
      <c r="B3407" s="2" t="s">
        <v>12316</v>
      </c>
      <c r="C3407" s="3">
        <v>26035</v>
      </c>
      <c r="D3407" s="1" t="s">
        <v>12314</v>
      </c>
      <c r="E3407" s="1" t="s">
        <v>12315</v>
      </c>
      <c r="F3407" s="2" t="s">
        <v>12121</v>
      </c>
      <c r="G3407" s="2" t="s">
        <v>12317</v>
      </c>
      <c r="H3407" s="2" t="s">
        <v>562</v>
      </c>
      <c r="I3407" s="2" t="s">
        <v>4139</v>
      </c>
      <c r="J3407" s="2" t="s">
        <v>12319</v>
      </c>
      <c r="K3407" s="2" t="s">
        <v>10</v>
      </c>
      <c r="L3407" s="7" t="s">
        <v>13199</v>
      </c>
    </row>
    <row r="3408" spans="1:12" ht="27.6" hidden="1" x14ac:dyDescent="0.3">
      <c r="A3408" s="2" t="s">
        <v>4386</v>
      </c>
      <c r="B3408" s="2" t="s">
        <v>12320</v>
      </c>
      <c r="C3408" s="3">
        <v>32871</v>
      </c>
      <c r="D3408" s="1" t="s">
        <v>12321</v>
      </c>
      <c r="E3408" s="1" t="s">
        <v>12322</v>
      </c>
      <c r="F3408" s="2" t="s">
        <v>8536</v>
      </c>
      <c r="G3408" s="2" t="s">
        <v>8781</v>
      </c>
      <c r="H3408" s="2" t="s">
        <v>10</v>
      </c>
      <c r="I3408" s="2" t="s">
        <v>4386</v>
      </c>
      <c r="J3408" s="2" t="s">
        <v>12323</v>
      </c>
      <c r="K3408" s="2" t="s">
        <v>10</v>
      </c>
      <c r="L3408" s="7" t="s">
        <v>13199</v>
      </c>
    </row>
    <row r="3409" spans="1:12" ht="27.6" hidden="1" x14ac:dyDescent="0.3">
      <c r="A3409" s="2" t="s">
        <v>4386</v>
      </c>
      <c r="B3409" s="2" t="s">
        <v>12324</v>
      </c>
      <c r="C3409" s="3">
        <v>31455</v>
      </c>
      <c r="D3409" s="1" t="s">
        <v>12325</v>
      </c>
      <c r="E3409" s="1" t="s">
        <v>12326</v>
      </c>
      <c r="F3409" s="2" t="s">
        <v>5053</v>
      </c>
      <c r="G3409" s="2" t="s">
        <v>2267</v>
      </c>
      <c r="H3409" s="2" t="s">
        <v>103</v>
      </c>
      <c r="I3409" s="2" t="s">
        <v>4386</v>
      </c>
      <c r="J3409" s="2" t="s">
        <v>2268</v>
      </c>
      <c r="K3409" s="2" t="s">
        <v>10</v>
      </c>
      <c r="L3409" s="7" t="s">
        <v>13199</v>
      </c>
    </row>
    <row r="3410" spans="1:12" ht="27.6" hidden="1" x14ac:dyDescent="0.3">
      <c r="A3410" s="2" t="s">
        <v>4386</v>
      </c>
      <c r="B3410" s="2" t="s">
        <v>12327</v>
      </c>
      <c r="C3410" s="3">
        <v>30593</v>
      </c>
      <c r="D3410" s="1" t="s">
        <v>12328</v>
      </c>
      <c r="E3410" s="1" t="s">
        <v>12329</v>
      </c>
      <c r="F3410" s="2" t="s">
        <v>5053</v>
      </c>
      <c r="G3410" s="2" t="s">
        <v>2267</v>
      </c>
      <c r="H3410" s="2" t="s">
        <v>81</v>
      </c>
      <c r="I3410" s="2" t="s">
        <v>4386</v>
      </c>
      <c r="J3410" s="2" t="s">
        <v>2268</v>
      </c>
      <c r="K3410" s="15" t="s">
        <v>10</v>
      </c>
      <c r="L3410" s="7" t="s">
        <v>13199</v>
      </c>
    </row>
    <row r="3411" spans="1:12" ht="27.6" hidden="1" x14ac:dyDescent="0.3">
      <c r="A3411" s="2" t="s">
        <v>4139</v>
      </c>
      <c r="B3411" s="2" t="s">
        <v>12330</v>
      </c>
      <c r="C3411" s="3">
        <v>29499</v>
      </c>
      <c r="D3411" s="1" t="s">
        <v>261</v>
      </c>
      <c r="E3411" s="1" t="s">
        <v>12331</v>
      </c>
      <c r="F3411" s="2" t="s">
        <v>4143</v>
      </c>
      <c r="G3411" s="2" t="s">
        <v>12332</v>
      </c>
      <c r="H3411" s="2" t="s">
        <v>892</v>
      </c>
      <c r="I3411" s="2" t="s">
        <v>4139</v>
      </c>
      <c r="J3411" s="2" t="s">
        <v>12333</v>
      </c>
      <c r="K3411" s="2"/>
      <c r="L3411" s="7" t="s">
        <v>13199</v>
      </c>
    </row>
    <row r="3412" spans="1:12" ht="27.6" hidden="1" x14ac:dyDescent="0.3">
      <c r="A3412" s="2" t="s">
        <v>1962</v>
      </c>
      <c r="B3412" s="2" t="s">
        <v>12334</v>
      </c>
      <c r="C3412" s="3">
        <v>35015</v>
      </c>
      <c r="D3412" s="1" t="s">
        <v>12335</v>
      </c>
      <c r="E3412" s="1" t="s">
        <v>12336</v>
      </c>
      <c r="F3412" s="2" t="s">
        <v>12337</v>
      </c>
      <c r="G3412" s="2" t="s">
        <v>48</v>
      </c>
      <c r="H3412" s="2" t="s">
        <v>43</v>
      </c>
      <c r="I3412" s="2" t="s">
        <v>1962</v>
      </c>
      <c r="J3412" s="2" t="s">
        <v>49</v>
      </c>
      <c r="K3412" s="18" t="s">
        <v>10</v>
      </c>
      <c r="L3412" s="7" t="s">
        <v>13199</v>
      </c>
    </row>
    <row r="3413" spans="1:12" ht="27.6" hidden="1" x14ac:dyDescent="0.3">
      <c r="A3413" s="2" t="s">
        <v>1962</v>
      </c>
      <c r="B3413" s="2" t="s">
        <v>12338</v>
      </c>
      <c r="C3413" s="3">
        <v>23998</v>
      </c>
      <c r="D3413" s="1" t="s">
        <v>12339</v>
      </c>
      <c r="E3413" s="1" t="s">
        <v>12340</v>
      </c>
      <c r="F3413" s="2" t="s">
        <v>12337</v>
      </c>
      <c r="G3413" s="2" t="s">
        <v>196</v>
      </c>
      <c r="H3413" s="2" t="s">
        <v>10</v>
      </c>
      <c r="I3413" s="2" t="s">
        <v>1962</v>
      </c>
      <c r="J3413" s="2" t="s">
        <v>197</v>
      </c>
      <c r="K3413" s="2" t="s">
        <v>10</v>
      </c>
      <c r="L3413" s="7" t="s">
        <v>13199</v>
      </c>
    </row>
    <row r="3414" spans="1:12" ht="27.6" hidden="1" x14ac:dyDescent="0.3">
      <c r="A3414" s="2" t="s">
        <v>1962</v>
      </c>
      <c r="B3414" s="2" t="s">
        <v>12341</v>
      </c>
      <c r="C3414" s="3">
        <v>37352</v>
      </c>
      <c r="D3414" s="1" t="s">
        <v>12342</v>
      </c>
      <c r="E3414" s="1" t="s">
        <v>12343</v>
      </c>
      <c r="F3414" s="2" t="s">
        <v>12337</v>
      </c>
      <c r="G3414" s="2" t="s">
        <v>12</v>
      </c>
      <c r="H3414" s="2" t="s">
        <v>10</v>
      </c>
      <c r="I3414" s="2" t="s">
        <v>1962</v>
      </c>
      <c r="J3414" s="2" t="s">
        <v>540</v>
      </c>
      <c r="K3414" s="15" t="s">
        <v>10</v>
      </c>
      <c r="L3414" s="7" t="s">
        <v>13199</v>
      </c>
    </row>
    <row r="3415" spans="1:12" ht="27.6" hidden="1" x14ac:dyDescent="0.3">
      <c r="A3415" s="2" t="s">
        <v>4139</v>
      </c>
      <c r="B3415" s="2" t="s">
        <v>12344</v>
      </c>
      <c r="C3415" s="3">
        <v>23326</v>
      </c>
      <c r="D3415" s="1" t="s">
        <v>12345</v>
      </c>
      <c r="E3415" s="1" t="s">
        <v>12346</v>
      </c>
      <c r="F3415" s="2" t="s">
        <v>4143</v>
      </c>
      <c r="G3415" s="2" t="s">
        <v>10975</v>
      </c>
      <c r="H3415" s="2" t="s">
        <v>10</v>
      </c>
      <c r="I3415" s="2" t="s">
        <v>4139</v>
      </c>
      <c r="J3415" s="2" t="s">
        <v>12347</v>
      </c>
      <c r="K3415" s="2"/>
      <c r="L3415" s="7" t="s">
        <v>13199</v>
      </c>
    </row>
    <row r="3416" spans="1:12" ht="27.6" hidden="1" x14ac:dyDescent="0.3">
      <c r="A3416" s="2" t="s">
        <v>4139</v>
      </c>
      <c r="B3416" s="2" t="s">
        <v>12348</v>
      </c>
      <c r="C3416" s="3">
        <v>18391</v>
      </c>
      <c r="D3416" s="1" t="s">
        <v>12349</v>
      </c>
      <c r="E3416" s="1" t="s">
        <v>12350</v>
      </c>
      <c r="F3416" s="2" t="s">
        <v>12351</v>
      </c>
      <c r="G3416" s="2" t="s">
        <v>12352</v>
      </c>
      <c r="H3416" s="2" t="s">
        <v>10</v>
      </c>
      <c r="I3416" s="2" t="s">
        <v>4139</v>
      </c>
      <c r="J3416" s="2" t="s">
        <v>12353</v>
      </c>
      <c r="K3416" s="18" t="s">
        <v>10</v>
      </c>
      <c r="L3416" s="7" t="s">
        <v>13199</v>
      </c>
    </row>
    <row r="3417" spans="1:12" ht="27.6" hidden="1" x14ac:dyDescent="0.3">
      <c r="A3417" s="2" t="s">
        <v>4139</v>
      </c>
      <c r="B3417" s="2" t="s">
        <v>12354</v>
      </c>
      <c r="C3417" s="3">
        <v>34260</v>
      </c>
      <c r="D3417" s="1" t="s">
        <v>12355</v>
      </c>
      <c r="E3417" s="1" t="s">
        <v>12356</v>
      </c>
      <c r="F3417" s="2" t="s">
        <v>12351</v>
      </c>
      <c r="G3417" s="2" t="s">
        <v>12357</v>
      </c>
      <c r="H3417" s="2" t="s">
        <v>10</v>
      </c>
      <c r="I3417" s="2" t="s">
        <v>4139</v>
      </c>
      <c r="J3417" s="2" t="s">
        <v>12358</v>
      </c>
      <c r="K3417" s="15" t="s">
        <v>10</v>
      </c>
      <c r="L3417" s="7" t="s">
        <v>13199</v>
      </c>
    </row>
    <row r="3418" spans="1:12" ht="27.6" hidden="1" x14ac:dyDescent="0.3">
      <c r="A3418" s="2" t="s">
        <v>4139</v>
      </c>
      <c r="B3418" s="2" t="s">
        <v>12359</v>
      </c>
      <c r="C3418" s="3">
        <v>26232</v>
      </c>
      <c r="D3418" s="1" t="s">
        <v>261</v>
      </c>
      <c r="E3418" s="1" t="s">
        <v>12360</v>
      </c>
      <c r="F3418" s="2" t="s">
        <v>4143</v>
      </c>
      <c r="G3418" s="2" t="s">
        <v>12332</v>
      </c>
      <c r="H3418" s="2" t="s">
        <v>10</v>
      </c>
      <c r="I3418" s="2" t="s">
        <v>4139</v>
      </c>
      <c r="J3418" s="2" t="s">
        <v>12333</v>
      </c>
      <c r="K3418" s="2"/>
      <c r="L3418" s="7" t="s">
        <v>13199</v>
      </c>
    </row>
    <row r="3419" spans="1:12" ht="27.6" hidden="1" x14ac:dyDescent="0.3">
      <c r="A3419" s="2" t="s">
        <v>4139</v>
      </c>
      <c r="B3419" s="2" t="s">
        <v>12361</v>
      </c>
      <c r="C3419" s="3">
        <v>24617</v>
      </c>
      <c r="D3419" s="1" t="s">
        <v>12362</v>
      </c>
      <c r="E3419" s="1" t="s">
        <v>12363</v>
      </c>
      <c r="F3419" s="2" t="s">
        <v>12351</v>
      </c>
      <c r="G3419" s="2" t="s">
        <v>10967</v>
      </c>
      <c r="H3419" s="2" t="s">
        <v>2001</v>
      </c>
      <c r="I3419" s="2" t="s">
        <v>4139</v>
      </c>
      <c r="J3419" s="2" t="s">
        <v>12364</v>
      </c>
      <c r="K3419" s="18" t="s">
        <v>10</v>
      </c>
      <c r="L3419" s="7" t="s">
        <v>13199</v>
      </c>
    </row>
    <row r="3420" spans="1:12" ht="27.6" hidden="1" x14ac:dyDescent="0.3">
      <c r="A3420" s="2" t="s">
        <v>4139</v>
      </c>
      <c r="B3420" s="2" t="s">
        <v>12365</v>
      </c>
      <c r="C3420" s="3">
        <v>33006</v>
      </c>
      <c r="D3420" s="1" t="s">
        <v>12366</v>
      </c>
      <c r="E3420" s="1" t="s">
        <v>12367</v>
      </c>
      <c r="F3420" s="2" t="s">
        <v>12351</v>
      </c>
      <c r="G3420" s="2" t="s">
        <v>10967</v>
      </c>
      <c r="H3420" s="2" t="s">
        <v>892</v>
      </c>
      <c r="I3420" s="2" t="s">
        <v>4139</v>
      </c>
      <c r="J3420" s="2" t="s">
        <v>12364</v>
      </c>
      <c r="K3420" s="2" t="s">
        <v>10</v>
      </c>
      <c r="L3420" s="7" t="s">
        <v>13199</v>
      </c>
    </row>
    <row r="3421" spans="1:12" ht="27.6" hidden="1" x14ac:dyDescent="0.3">
      <c r="A3421" s="2" t="s">
        <v>4139</v>
      </c>
      <c r="B3421" s="2" t="s">
        <v>12368</v>
      </c>
      <c r="C3421" s="3">
        <v>31192</v>
      </c>
      <c r="D3421" s="1" t="s">
        <v>12369</v>
      </c>
      <c r="E3421" s="1" t="s">
        <v>12370</v>
      </c>
      <c r="F3421" s="2" t="s">
        <v>12351</v>
      </c>
      <c r="G3421" s="2" t="s">
        <v>12371</v>
      </c>
      <c r="H3421" s="2" t="s">
        <v>10</v>
      </c>
      <c r="I3421" s="2" t="s">
        <v>4139</v>
      </c>
      <c r="J3421" s="2" t="s">
        <v>12372</v>
      </c>
      <c r="K3421" s="2" t="s">
        <v>10</v>
      </c>
      <c r="L3421" s="7" t="s">
        <v>13199</v>
      </c>
    </row>
    <row r="3422" spans="1:12" ht="27.6" hidden="1" x14ac:dyDescent="0.3">
      <c r="A3422" s="2" t="s">
        <v>4139</v>
      </c>
      <c r="B3422" s="2" t="s">
        <v>12373</v>
      </c>
      <c r="C3422" s="3">
        <v>24136</v>
      </c>
      <c r="D3422" s="1" t="s">
        <v>261</v>
      </c>
      <c r="E3422" s="1" t="s">
        <v>12374</v>
      </c>
      <c r="F3422" s="2" t="s">
        <v>12351</v>
      </c>
      <c r="G3422" s="2" t="s">
        <v>4391</v>
      </c>
      <c r="H3422" s="2" t="s">
        <v>10</v>
      </c>
      <c r="I3422" s="2" t="s">
        <v>4139</v>
      </c>
      <c r="J3422" s="2" t="s">
        <v>4392</v>
      </c>
      <c r="K3422" s="2" t="s">
        <v>10</v>
      </c>
      <c r="L3422" s="7" t="s">
        <v>13199</v>
      </c>
    </row>
    <row r="3423" spans="1:12" ht="27.6" hidden="1" x14ac:dyDescent="0.3">
      <c r="A3423" s="2" t="s">
        <v>4139</v>
      </c>
      <c r="B3423" s="2" t="s">
        <v>12375</v>
      </c>
      <c r="C3423" s="3">
        <v>22401</v>
      </c>
      <c r="D3423" s="1" t="s">
        <v>12376</v>
      </c>
      <c r="E3423" s="1" t="s">
        <v>12377</v>
      </c>
      <c r="F3423" s="2" t="s">
        <v>12351</v>
      </c>
      <c r="G3423" s="2" t="s">
        <v>12378</v>
      </c>
      <c r="H3423" s="2" t="s">
        <v>10</v>
      </c>
      <c r="I3423" s="2" t="s">
        <v>4139</v>
      </c>
      <c r="J3423" s="2" t="s">
        <v>12379</v>
      </c>
      <c r="K3423" s="2" t="s">
        <v>10</v>
      </c>
      <c r="L3423" s="7" t="s">
        <v>13199</v>
      </c>
    </row>
    <row r="3424" spans="1:12" ht="27.6" hidden="1" x14ac:dyDescent="0.3">
      <c r="A3424" s="2" t="s">
        <v>4139</v>
      </c>
      <c r="B3424" s="2" t="s">
        <v>12380</v>
      </c>
      <c r="C3424" s="3">
        <v>29075</v>
      </c>
      <c r="D3424" s="1" t="s">
        <v>12381</v>
      </c>
      <c r="E3424" s="1" t="s">
        <v>12382</v>
      </c>
      <c r="F3424" s="2" t="s">
        <v>12351</v>
      </c>
      <c r="G3424" s="2" t="s">
        <v>12383</v>
      </c>
      <c r="H3424" s="2" t="s">
        <v>10</v>
      </c>
      <c r="I3424" s="2" t="s">
        <v>4139</v>
      </c>
      <c r="J3424" s="2" t="s">
        <v>12384</v>
      </c>
      <c r="K3424" s="2" t="s">
        <v>10</v>
      </c>
      <c r="L3424" s="7" t="s">
        <v>13199</v>
      </c>
    </row>
    <row r="3425" spans="1:12" ht="27.6" hidden="1" x14ac:dyDescent="0.3">
      <c r="A3425" s="2" t="s">
        <v>4139</v>
      </c>
      <c r="B3425" s="2" t="s">
        <v>12385</v>
      </c>
      <c r="C3425" s="3">
        <v>35942</v>
      </c>
      <c r="D3425" s="1" t="s">
        <v>12386</v>
      </c>
      <c r="E3425" s="1" t="s">
        <v>7402</v>
      </c>
      <c r="F3425" s="2" t="s">
        <v>12351</v>
      </c>
      <c r="G3425" s="2" t="s">
        <v>10972</v>
      </c>
      <c r="H3425" s="2" t="s">
        <v>2001</v>
      </c>
      <c r="I3425" s="2" t="s">
        <v>4139</v>
      </c>
      <c r="J3425" s="2" t="s">
        <v>12387</v>
      </c>
      <c r="K3425" s="15" t="s">
        <v>10</v>
      </c>
      <c r="L3425" s="7" t="s">
        <v>13199</v>
      </c>
    </row>
    <row r="3426" spans="1:12" hidden="1" x14ac:dyDescent="0.3">
      <c r="A3426" s="2" t="s">
        <v>4139</v>
      </c>
      <c r="B3426" s="2" t="s">
        <v>12388</v>
      </c>
      <c r="C3426" s="3">
        <v>24515</v>
      </c>
      <c r="D3426" s="1" t="s">
        <v>12389</v>
      </c>
      <c r="E3426" s="1" t="s">
        <v>12390</v>
      </c>
      <c r="F3426" s="2" t="s">
        <v>4143</v>
      </c>
      <c r="G3426" s="2" t="s">
        <v>12391</v>
      </c>
      <c r="H3426" s="2" t="s">
        <v>10</v>
      </c>
      <c r="I3426" s="2" t="s">
        <v>4139</v>
      </c>
      <c r="J3426" s="2" t="s">
        <v>12392</v>
      </c>
      <c r="K3426" s="2" t="s">
        <v>10</v>
      </c>
      <c r="L3426" s="7" t="s">
        <v>13199</v>
      </c>
    </row>
    <row r="3427" spans="1:12" ht="27.6" hidden="1" x14ac:dyDescent="0.3">
      <c r="A3427" s="2" t="s">
        <v>4139</v>
      </c>
      <c r="B3427" s="2" t="s">
        <v>7400</v>
      </c>
      <c r="C3427" s="3">
        <v>35942</v>
      </c>
      <c r="D3427" s="1" t="s">
        <v>12386</v>
      </c>
      <c r="E3427" s="1" t="s">
        <v>7402</v>
      </c>
      <c r="F3427" s="2" t="s">
        <v>12351</v>
      </c>
      <c r="G3427" s="2" t="s">
        <v>10972</v>
      </c>
      <c r="H3427" s="2" t="s">
        <v>26</v>
      </c>
      <c r="I3427" s="2" t="s">
        <v>4139</v>
      </c>
      <c r="J3427" s="2" t="s">
        <v>12387</v>
      </c>
      <c r="K3427" s="19" t="s">
        <v>10</v>
      </c>
      <c r="L3427" s="7" t="s">
        <v>13199</v>
      </c>
    </row>
    <row r="3428" spans="1:12" hidden="1" x14ac:dyDescent="0.3">
      <c r="A3428" s="2" t="s">
        <v>4139</v>
      </c>
      <c r="B3428" s="2" t="s">
        <v>12393</v>
      </c>
      <c r="C3428" s="3">
        <v>32555</v>
      </c>
      <c r="D3428" s="1" t="s">
        <v>12394</v>
      </c>
      <c r="E3428" s="1" t="s">
        <v>12395</v>
      </c>
      <c r="F3428" s="2" t="s">
        <v>4143</v>
      </c>
      <c r="G3428" s="2" t="s">
        <v>10883</v>
      </c>
      <c r="H3428" s="2" t="s">
        <v>81</v>
      </c>
      <c r="I3428" s="2" t="s">
        <v>4139</v>
      </c>
      <c r="J3428" s="2" t="s">
        <v>10884</v>
      </c>
      <c r="K3428" s="2" t="s">
        <v>10</v>
      </c>
      <c r="L3428" s="7" t="s">
        <v>13199</v>
      </c>
    </row>
    <row r="3429" spans="1:12" ht="27.6" hidden="1" x14ac:dyDescent="0.3">
      <c r="A3429" s="2" t="s">
        <v>4139</v>
      </c>
      <c r="B3429" s="2" t="s">
        <v>12396</v>
      </c>
      <c r="C3429" s="3">
        <v>37763</v>
      </c>
      <c r="D3429" s="1" t="s">
        <v>12397</v>
      </c>
      <c r="E3429" s="1" t="s">
        <v>12398</v>
      </c>
      <c r="F3429" s="2" t="s">
        <v>4143</v>
      </c>
      <c r="G3429" s="2" t="s">
        <v>12399</v>
      </c>
      <c r="H3429" s="2" t="s">
        <v>81</v>
      </c>
      <c r="I3429" s="2" t="s">
        <v>4139</v>
      </c>
      <c r="J3429" s="2" t="s">
        <v>9297</v>
      </c>
      <c r="K3429" s="2" t="s">
        <v>10</v>
      </c>
      <c r="L3429" s="7" t="s">
        <v>13199</v>
      </c>
    </row>
    <row r="3430" spans="1:12" ht="27.6" hidden="1" x14ac:dyDescent="0.3">
      <c r="A3430" s="2" t="s">
        <v>4139</v>
      </c>
      <c r="B3430" s="2" t="s">
        <v>12400</v>
      </c>
      <c r="C3430" s="3">
        <v>32637</v>
      </c>
      <c r="D3430" s="1" t="s">
        <v>12401</v>
      </c>
      <c r="E3430" s="1" t="s">
        <v>12402</v>
      </c>
      <c r="F3430" s="2" t="s">
        <v>4143</v>
      </c>
      <c r="G3430" s="2" t="s">
        <v>12272</v>
      </c>
      <c r="H3430" s="2" t="s">
        <v>562</v>
      </c>
      <c r="I3430" s="2" t="s">
        <v>4139</v>
      </c>
      <c r="J3430" s="2" t="s">
        <v>9297</v>
      </c>
      <c r="K3430" s="2" t="s">
        <v>10</v>
      </c>
      <c r="L3430" s="7" t="s">
        <v>13199</v>
      </c>
    </row>
    <row r="3431" spans="1:12" ht="27.6" hidden="1" x14ac:dyDescent="0.3">
      <c r="A3431" s="2" t="s">
        <v>4139</v>
      </c>
      <c r="B3431" s="2" t="s">
        <v>12403</v>
      </c>
      <c r="C3431" s="3">
        <v>36623</v>
      </c>
      <c r="D3431" s="1" t="s">
        <v>12404</v>
      </c>
      <c r="E3431" s="1" t="s">
        <v>12405</v>
      </c>
      <c r="F3431" s="2" t="s">
        <v>4143</v>
      </c>
      <c r="G3431" s="2" t="s">
        <v>12272</v>
      </c>
      <c r="H3431" s="2" t="s">
        <v>822</v>
      </c>
      <c r="I3431" s="2" t="s">
        <v>4139</v>
      </c>
      <c r="J3431" s="2" t="s">
        <v>9297</v>
      </c>
      <c r="K3431" s="2" t="s">
        <v>10</v>
      </c>
      <c r="L3431" s="7" t="s">
        <v>13199</v>
      </c>
    </row>
    <row r="3432" spans="1:12" ht="41.4" hidden="1" x14ac:dyDescent="0.3">
      <c r="A3432" s="2" t="s">
        <v>4139</v>
      </c>
      <c r="B3432" s="2" t="s">
        <v>12406</v>
      </c>
      <c r="C3432" s="3">
        <v>38027</v>
      </c>
      <c r="D3432" s="1" t="s">
        <v>12407</v>
      </c>
      <c r="E3432" s="1" t="s">
        <v>12408</v>
      </c>
      <c r="F3432" s="2" t="s">
        <v>11838</v>
      </c>
      <c r="G3432" s="2" t="s">
        <v>1815</v>
      </c>
      <c r="H3432" s="2" t="s">
        <v>10</v>
      </c>
      <c r="I3432" s="2" t="s">
        <v>4139</v>
      </c>
      <c r="J3432" s="2" t="s">
        <v>1816</v>
      </c>
      <c r="K3432" s="18" t="s">
        <v>10</v>
      </c>
      <c r="L3432" s="7" t="s">
        <v>13199</v>
      </c>
    </row>
    <row r="3433" spans="1:12" ht="41.4" hidden="1" x14ac:dyDescent="0.3">
      <c r="A3433" s="2" t="s">
        <v>4139</v>
      </c>
      <c r="B3433" s="2" t="s">
        <v>12409</v>
      </c>
      <c r="C3433" s="3">
        <v>37057</v>
      </c>
      <c r="D3433" s="1" t="s">
        <v>12410</v>
      </c>
      <c r="E3433" s="1" t="s">
        <v>12411</v>
      </c>
      <c r="F3433" s="2" t="s">
        <v>12121</v>
      </c>
      <c r="G3433" s="2" t="s">
        <v>333</v>
      </c>
      <c r="H3433" s="2" t="s">
        <v>10</v>
      </c>
      <c r="I3433" s="2" t="s">
        <v>4139</v>
      </c>
      <c r="J3433" s="2" t="s">
        <v>12412</v>
      </c>
      <c r="K3433" s="2" t="s">
        <v>10</v>
      </c>
      <c r="L3433" s="7" t="s">
        <v>13199</v>
      </c>
    </row>
    <row r="3434" spans="1:12" ht="55.2" hidden="1" x14ac:dyDescent="0.3">
      <c r="A3434" s="2" t="s">
        <v>4604</v>
      </c>
      <c r="B3434" s="2" t="s">
        <v>12413</v>
      </c>
      <c r="C3434" s="3">
        <v>29402</v>
      </c>
      <c r="D3434" s="1" t="s">
        <v>12414</v>
      </c>
      <c r="E3434" s="1" t="s">
        <v>12415</v>
      </c>
      <c r="F3434" s="2" t="s">
        <v>5989</v>
      </c>
      <c r="G3434" s="2" t="s">
        <v>86</v>
      </c>
      <c r="H3434" s="2" t="s">
        <v>12416</v>
      </c>
      <c r="I3434" s="2" t="s">
        <v>4604</v>
      </c>
      <c r="J3434" s="2" t="s">
        <v>12417</v>
      </c>
      <c r="K3434" s="2" t="s">
        <v>10</v>
      </c>
      <c r="L3434" s="7" t="s">
        <v>13199</v>
      </c>
    </row>
    <row r="3435" spans="1:12" ht="41.4" hidden="1" x14ac:dyDescent="0.3">
      <c r="A3435" s="2" t="s">
        <v>4139</v>
      </c>
      <c r="B3435" s="2" t="s">
        <v>12418</v>
      </c>
      <c r="C3435" s="3">
        <v>27251</v>
      </c>
      <c r="D3435" s="1" t="s">
        <v>12419</v>
      </c>
      <c r="E3435" s="1" t="s">
        <v>12420</v>
      </c>
      <c r="F3435" s="2" t="s">
        <v>12121</v>
      </c>
      <c r="G3435" s="2" t="s">
        <v>12421</v>
      </c>
      <c r="H3435" s="2" t="s">
        <v>10</v>
      </c>
      <c r="I3435" s="2" t="s">
        <v>4139</v>
      </c>
      <c r="J3435" s="2" t="s">
        <v>12422</v>
      </c>
      <c r="K3435" s="2" t="s">
        <v>10</v>
      </c>
      <c r="L3435" s="7" t="s">
        <v>13199</v>
      </c>
    </row>
    <row r="3436" spans="1:12" ht="41.4" hidden="1" x14ac:dyDescent="0.3">
      <c r="A3436" s="2" t="s">
        <v>4139</v>
      </c>
      <c r="B3436" s="2" t="s">
        <v>12423</v>
      </c>
      <c r="C3436" s="3">
        <v>33454</v>
      </c>
      <c r="D3436" s="1" t="s">
        <v>12424</v>
      </c>
      <c r="E3436" s="1" t="s">
        <v>12425</v>
      </c>
      <c r="F3436" s="2" t="s">
        <v>11894</v>
      </c>
      <c r="G3436" s="2" t="s">
        <v>9065</v>
      </c>
      <c r="H3436" s="2" t="s">
        <v>334</v>
      </c>
      <c r="I3436" s="2" t="s">
        <v>4139</v>
      </c>
      <c r="J3436" s="2" t="s">
        <v>9066</v>
      </c>
      <c r="K3436" s="2" t="s">
        <v>10</v>
      </c>
      <c r="L3436" s="7" t="s">
        <v>13199</v>
      </c>
    </row>
    <row r="3437" spans="1:12" ht="41.4" hidden="1" x14ac:dyDescent="0.3">
      <c r="A3437" s="2" t="s">
        <v>4139</v>
      </c>
      <c r="B3437" s="2" t="s">
        <v>12426</v>
      </c>
      <c r="C3437" s="3">
        <v>25218</v>
      </c>
      <c r="D3437" s="1" t="s">
        <v>12427</v>
      </c>
      <c r="E3437" s="1" t="s">
        <v>12428</v>
      </c>
      <c r="F3437" s="2" t="s">
        <v>11863</v>
      </c>
      <c r="G3437" s="2" t="s">
        <v>2189</v>
      </c>
      <c r="H3437" s="2" t="s">
        <v>10</v>
      </c>
      <c r="I3437" s="2" t="s">
        <v>4139</v>
      </c>
      <c r="J3437" s="2" t="s">
        <v>2190</v>
      </c>
      <c r="K3437" s="2" t="s">
        <v>10</v>
      </c>
      <c r="L3437" s="7" t="s">
        <v>13199</v>
      </c>
    </row>
    <row r="3438" spans="1:12" ht="41.4" hidden="1" x14ac:dyDescent="0.3">
      <c r="A3438" s="2" t="s">
        <v>4139</v>
      </c>
      <c r="B3438" s="2" t="s">
        <v>12429</v>
      </c>
      <c r="C3438" s="3">
        <v>27141</v>
      </c>
      <c r="D3438" s="1" t="s">
        <v>12430</v>
      </c>
      <c r="E3438" s="1" t="s">
        <v>12431</v>
      </c>
      <c r="F3438" s="2" t="s">
        <v>12121</v>
      </c>
      <c r="G3438" s="2" t="s">
        <v>9138</v>
      </c>
      <c r="H3438" s="2" t="s">
        <v>10</v>
      </c>
      <c r="I3438" s="2" t="s">
        <v>4139</v>
      </c>
      <c r="J3438" s="2" t="s">
        <v>12432</v>
      </c>
      <c r="K3438" s="2" t="s">
        <v>10</v>
      </c>
      <c r="L3438" s="7" t="s">
        <v>13199</v>
      </c>
    </row>
    <row r="3439" spans="1:12" ht="41.4" hidden="1" x14ac:dyDescent="0.3">
      <c r="A3439" s="2" t="s">
        <v>4139</v>
      </c>
      <c r="B3439" s="2" t="s">
        <v>12433</v>
      </c>
      <c r="C3439" s="3">
        <v>35546</v>
      </c>
      <c r="D3439" s="1" t="s">
        <v>12434</v>
      </c>
      <c r="E3439" s="1" t="s">
        <v>12435</v>
      </c>
      <c r="F3439" s="2" t="s">
        <v>12121</v>
      </c>
      <c r="G3439" s="2" t="s">
        <v>12436</v>
      </c>
      <c r="H3439" s="2" t="s">
        <v>10</v>
      </c>
      <c r="I3439" s="2" t="s">
        <v>4139</v>
      </c>
      <c r="J3439" s="2" t="s">
        <v>12437</v>
      </c>
      <c r="K3439" s="2" t="s">
        <v>10</v>
      </c>
      <c r="L3439" s="7" t="s">
        <v>13199</v>
      </c>
    </row>
    <row r="3440" spans="1:12" ht="27.6" hidden="1" x14ac:dyDescent="0.3">
      <c r="A3440" s="2" t="s">
        <v>4386</v>
      </c>
      <c r="B3440" s="2" t="s">
        <v>12438</v>
      </c>
      <c r="C3440" s="3">
        <v>15596</v>
      </c>
      <c r="D3440" s="1" t="s">
        <v>12439</v>
      </c>
      <c r="E3440" s="1" t="s">
        <v>12440</v>
      </c>
      <c r="F3440" s="2" t="s">
        <v>5231</v>
      </c>
      <c r="G3440" s="2" t="s">
        <v>12441</v>
      </c>
      <c r="H3440" s="2" t="s">
        <v>10</v>
      </c>
      <c r="I3440" s="2" t="s">
        <v>4386</v>
      </c>
      <c r="J3440" s="2" t="s">
        <v>12442</v>
      </c>
      <c r="K3440" s="2" t="s">
        <v>10</v>
      </c>
      <c r="L3440" s="7" t="s">
        <v>13199</v>
      </c>
    </row>
    <row r="3441" spans="1:12" ht="41.4" hidden="1" x14ac:dyDescent="0.3">
      <c r="A3441" s="2" t="s">
        <v>4139</v>
      </c>
      <c r="B3441" s="2" t="s">
        <v>12443</v>
      </c>
      <c r="C3441" s="3">
        <v>27212</v>
      </c>
      <c r="D3441" s="1" t="s">
        <v>12444</v>
      </c>
      <c r="E3441" s="1" t="s">
        <v>12445</v>
      </c>
      <c r="F3441" s="2" t="s">
        <v>12446</v>
      </c>
      <c r="G3441" s="2" t="s">
        <v>1504</v>
      </c>
      <c r="H3441" s="2" t="s">
        <v>10</v>
      </c>
      <c r="I3441" s="2" t="s">
        <v>4139</v>
      </c>
      <c r="J3441" s="2" t="s">
        <v>1505</v>
      </c>
      <c r="K3441" s="2" t="s">
        <v>10</v>
      </c>
      <c r="L3441" s="7" t="s">
        <v>13199</v>
      </c>
    </row>
    <row r="3442" spans="1:12" ht="41.4" hidden="1" x14ac:dyDescent="0.3">
      <c r="A3442" s="2" t="s">
        <v>4139</v>
      </c>
      <c r="B3442" s="2" t="s">
        <v>12447</v>
      </c>
      <c r="C3442" s="3">
        <v>31529</v>
      </c>
      <c r="D3442" s="1" t="s">
        <v>12448</v>
      </c>
      <c r="E3442" s="1" t="s">
        <v>12449</v>
      </c>
      <c r="F3442" s="2" t="s">
        <v>12446</v>
      </c>
      <c r="G3442" s="2" t="s">
        <v>1294</v>
      </c>
      <c r="H3442" s="2" t="s">
        <v>10</v>
      </c>
      <c r="I3442" s="2" t="s">
        <v>4139</v>
      </c>
      <c r="J3442" s="2" t="s">
        <v>1296</v>
      </c>
      <c r="K3442" s="2" t="s">
        <v>10</v>
      </c>
      <c r="L3442" s="7" t="s">
        <v>13199</v>
      </c>
    </row>
    <row r="3443" spans="1:12" ht="41.4" hidden="1" x14ac:dyDescent="0.3">
      <c r="A3443" s="2" t="s">
        <v>4139</v>
      </c>
      <c r="B3443" s="2" t="s">
        <v>12450</v>
      </c>
      <c r="C3443" s="3">
        <v>38452</v>
      </c>
      <c r="D3443" s="1" t="s">
        <v>261</v>
      </c>
      <c r="E3443" s="1" t="s">
        <v>12451</v>
      </c>
      <c r="F3443" s="2" t="s">
        <v>12446</v>
      </c>
      <c r="G3443" s="2" t="s">
        <v>3935</v>
      </c>
      <c r="H3443" s="2" t="s">
        <v>10</v>
      </c>
      <c r="I3443" s="2" t="s">
        <v>4139</v>
      </c>
      <c r="J3443" s="2" t="s">
        <v>5121</v>
      </c>
      <c r="K3443" s="2" t="s">
        <v>10</v>
      </c>
      <c r="L3443" s="7" t="s">
        <v>13199</v>
      </c>
    </row>
    <row r="3444" spans="1:12" ht="41.4" hidden="1" x14ac:dyDescent="0.3">
      <c r="A3444" s="2" t="s">
        <v>4139</v>
      </c>
      <c r="B3444" s="2" t="s">
        <v>12452</v>
      </c>
      <c r="C3444" s="3">
        <v>28372</v>
      </c>
      <c r="D3444" s="1" t="s">
        <v>12453</v>
      </c>
      <c r="E3444" s="1" t="s">
        <v>12454</v>
      </c>
      <c r="F3444" s="2" t="s">
        <v>12446</v>
      </c>
      <c r="G3444" s="2" t="s">
        <v>64</v>
      </c>
      <c r="H3444" s="2" t="s">
        <v>10</v>
      </c>
      <c r="I3444" s="2" t="s">
        <v>4139</v>
      </c>
      <c r="J3444" s="2" t="s">
        <v>2854</v>
      </c>
      <c r="K3444" s="2" t="s">
        <v>10</v>
      </c>
      <c r="L3444" s="7" t="s">
        <v>13199</v>
      </c>
    </row>
    <row r="3445" spans="1:12" ht="41.4" hidden="1" x14ac:dyDescent="0.3">
      <c r="A3445" s="2" t="s">
        <v>4139</v>
      </c>
      <c r="B3445" s="2" t="s">
        <v>12455</v>
      </c>
      <c r="C3445" s="3">
        <v>24210</v>
      </c>
      <c r="D3445" s="1" t="s">
        <v>12456</v>
      </c>
      <c r="E3445" s="1" t="s">
        <v>12457</v>
      </c>
      <c r="F3445" s="2" t="s">
        <v>12446</v>
      </c>
      <c r="G3445" s="2" t="s">
        <v>2748</v>
      </c>
      <c r="H3445" s="2" t="s">
        <v>81</v>
      </c>
      <c r="I3445" s="2" t="s">
        <v>4139</v>
      </c>
      <c r="J3445" s="2" t="s">
        <v>3623</v>
      </c>
      <c r="K3445" s="2" t="s">
        <v>10</v>
      </c>
      <c r="L3445" s="7" t="s">
        <v>13199</v>
      </c>
    </row>
    <row r="3446" spans="1:12" ht="41.4" hidden="1" x14ac:dyDescent="0.3">
      <c r="A3446" s="2" t="s">
        <v>4139</v>
      </c>
      <c r="B3446" s="2" t="s">
        <v>12458</v>
      </c>
      <c r="C3446" s="3">
        <v>31085</v>
      </c>
      <c r="D3446" s="1" t="s">
        <v>12459</v>
      </c>
      <c r="E3446" s="1" t="s">
        <v>12460</v>
      </c>
      <c r="F3446" s="2" t="s">
        <v>12121</v>
      </c>
      <c r="G3446" s="2" t="s">
        <v>12461</v>
      </c>
      <c r="H3446" s="2" t="s">
        <v>10</v>
      </c>
      <c r="I3446" s="2" t="s">
        <v>4139</v>
      </c>
      <c r="J3446" s="2" t="s">
        <v>12462</v>
      </c>
      <c r="K3446" s="2" t="s">
        <v>10</v>
      </c>
      <c r="L3446" s="7" t="s">
        <v>13199</v>
      </c>
    </row>
    <row r="3447" spans="1:12" ht="41.4" hidden="1" x14ac:dyDescent="0.3">
      <c r="A3447" s="2" t="s">
        <v>4139</v>
      </c>
      <c r="B3447" s="2" t="s">
        <v>12463</v>
      </c>
      <c r="C3447" s="3">
        <v>25096</v>
      </c>
      <c r="D3447" s="1" t="s">
        <v>12464</v>
      </c>
      <c r="E3447" s="1" t="s">
        <v>12465</v>
      </c>
      <c r="F3447" s="2" t="s">
        <v>11894</v>
      </c>
      <c r="G3447" s="2" t="s">
        <v>904</v>
      </c>
      <c r="H3447" s="2" t="s">
        <v>10</v>
      </c>
      <c r="I3447" s="2" t="s">
        <v>4139</v>
      </c>
      <c r="J3447" s="2" t="s">
        <v>905</v>
      </c>
      <c r="K3447" s="2" t="s">
        <v>10</v>
      </c>
      <c r="L3447" s="7" t="s">
        <v>13199</v>
      </c>
    </row>
    <row r="3448" spans="1:12" ht="41.4" hidden="1" x14ac:dyDescent="0.3">
      <c r="A3448" s="2" t="s">
        <v>4139</v>
      </c>
      <c r="B3448" s="2" t="s">
        <v>12466</v>
      </c>
      <c r="C3448" s="3">
        <v>29438</v>
      </c>
      <c r="D3448" s="1" t="s">
        <v>12467</v>
      </c>
      <c r="E3448" s="1" t="s">
        <v>12468</v>
      </c>
      <c r="F3448" s="2" t="s">
        <v>12446</v>
      </c>
      <c r="G3448" s="2" t="s">
        <v>319</v>
      </c>
      <c r="H3448" s="2" t="s">
        <v>10</v>
      </c>
      <c r="I3448" s="2" t="s">
        <v>4139</v>
      </c>
      <c r="J3448" s="2" t="s">
        <v>320</v>
      </c>
      <c r="K3448" s="2" t="s">
        <v>10</v>
      </c>
      <c r="L3448" s="7" t="s">
        <v>13199</v>
      </c>
    </row>
    <row r="3449" spans="1:12" ht="41.4" hidden="1" x14ac:dyDescent="0.3">
      <c r="A3449" s="2" t="s">
        <v>4139</v>
      </c>
      <c r="B3449" s="2" t="s">
        <v>12469</v>
      </c>
      <c r="C3449" s="3">
        <v>35152</v>
      </c>
      <c r="D3449" s="1" t="s">
        <v>12470</v>
      </c>
      <c r="E3449" s="1" t="s">
        <v>12471</v>
      </c>
      <c r="F3449" s="2" t="s">
        <v>12446</v>
      </c>
      <c r="G3449" s="2" t="s">
        <v>2748</v>
      </c>
      <c r="H3449" s="2" t="s">
        <v>822</v>
      </c>
      <c r="I3449" s="2" t="s">
        <v>4139</v>
      </c>
      <c r="J3449" s="2" t="s">
        <v>3623</v>
      </c>
      <c r="K3449" s="2" t="s">
        <v>10</v>
      </c>
      <c r="L3449" s="7" t="s">
        <v>13199</v>
      </c>
    </row>
    <row r="3450" spans="1:12" ht="41.4" hidden="1" x14ac:dyDescent="0.3">
      <c r="A3450" s="2" t="s">
        <v>4139</v>
      </c>
      <c r="B3450" s="2" t="s">
        <v>12472</v>
      </c>
      <c r="C3450" s="3">
        <v>21212</v>
      </c>
      <c r="D3450" s="1" t="s">
        <v>12473</v>
      </c>
      <c r="E3450" s="1" t="s">
        <v>12474</v>
      </c>
      <c r="F3450" s="2" t="s">
        <v>12446</v>
      </c>
      <c r="G3450" s="2" t="s">
        <v>852</v>
      </c>
      <c r="H3450" s="2" t="s">
        <v>10</v>
      </c>
      <c r="I3450" s="2" t="s">
        <v>4139</v>
      </c>
      <c r="J3450" s="2" t="s">
        <v>650</v>
      </c>
      <c r="K3450" s="2" t="s">
        <v>10</v>
      </c>
      <c r="L3450" s="7" t="s">
        <v>13199</v>
      </c>
    </row>
    <row r="3451" spans="1:12" ht="41.4" hidden="1" x14ac:dyDescent="0.3">
      <c r="A3451" s="2" t="s">
        <v>4139</v>
      </c>
      <c r="B3451" s="2" t="s">
        <v>12475</v>
      </c>
      <c r="C3451" s="3">
        <v>20527</v>
      </c>
      <c r="D3451" s="1" t="s">
        <v>12476</v>
      </c>
      <c r="E3451" s="1" t="s">
        <v>12477</v>
      </c>
      <c r="F3451" s="2" t="s">
        <v>12446</v>
      </c>
      <c r="G3451" s="2" t="s">
        <v>3940</v>
      </c>
      <c r="H3451" s="2" t="s">
        <v>10</v>
      </c>
      <c r="I3451" s="2" t="s">
        <v>4139</v>
      </c>
      <c r="J3451" s="2" t="s">
        <v>12478</v>
      </c>
      <c r="K3451" s="2" t="s">
        <v>10</v>
      </c>
      <c r="L3451" s="7" t="s">
        <v>13199</v>
      </c>
    </row>
    <row r="3452" spans="1:12" ht="41.4" hidden="1" x14ac:dyDescent="0.3">
      <c r="A3452" s="2" t="s">
        <v>4139</v>
      </c>
      <c r="B3452" s="2" t="s">
        <v>12479</v>
      </c>
      <c r="C3452" s="3">
        <v>21443</v>
      </c>
      <c r="D3452" s="1" t="s">
        <v>12480</v>
      </c>
      <c r="E3452" s="1" t="s">
        <v>12481</v>
      </c>
      <c r="F3452" s="2" t="s">
        <v>12446</v>
      </c>
      <c r="G3452" s="2" t="s">
        <v>3957</v>
      </c>
      <c r="H3452" s="2" t="s">
        <v>10</v>
      </c>
      <c r="I3452" s="2" t="s">
        <v>4139</v>
      </c>
      <c r="J3452" s="2" t="s">
        <v>12482</v>
      </c>
      <c r="K3452" s="2" t="s">
        <v>10</v>
      </c>
      <c r="L3452" s="7" t="s">
        <v>13199</v>
      </c>
    </row>
    <row r="3453" spans="1:12" ht="41.4" hidden="1" x14ac:dyDescent="0.3">
      <c r="A3453" s="2" t="s">
        <v>4139</v>
      </c>
      <c r="B3453" s="2" t="s">
        <v>12483</v>
      </c>
      <c r="C3453" s="3">
        <v>32690</v>
      </c>
      <c r="D3453" s="1" t="s">
        <v>12484</v>
      </c>
      <c r="E3453" s="1" t="s">
        <v>12485</v>
      </c>
      <c r="F3453" s="2" t="s">
        <v>12446</v>
      </c>
      <c r="G3453" s="2" t="s">
        <v>734</v>
      </c>
      <c r="H3453" s="2" t="s">
        <v>10</v>
      </c>
      <c r="I3453" s="2" t="s">
        <v>4139</v>
      </c>
      <c r="J3453" s="2" t="s">
        <v>3274</v>
      </c>
      <c r="K3453" s="2" t="s">
        <v>10</v>
      </c>
      <c r="L3453" s="7" t="s">
        <v>13199</v>
      </c>
    </row>
    <row r="3454" spans="1:12" ht="41.4" hidden="1" x14ac:dyDescent="0.3">
      <c r="A3454" s="2" t="s">
        <v>4139</v>
      </c>
      <c r="B3454" s="2" t="s">
        <v>12486</v>
      </c>
      <c r="C3454" s="3">
        <v>27224</v>
      </c>
      <c r="D3454" s="1" t="s">
        <v>12487</v>
      </c>
      <c r="E3454" s="1" t="s">
        <v>12488</v>
      </c>
      <c r="F3454" s="2" t="s">
        <v>12446</v>
      </c>
      <c r="G3454" s="2" t="s">
        <v>2748</v>
      </c>
      <c r="H3454" s="2" t="s">
        <v>103</v>
      </c>
      <c r="I3454" s="2" t="s">
        <v>4139</v>
      </c>
      <c r="J3454" s="2" t="s">
        <v>3623</v>
      </c>
      <c r="K3454" s="2" t="s">
        <v>10</v>
      </c>
      <c r="L3454" s="7" t="s">
        <v>13199</v>
      </c>
    </row>
    <row r="3455" spans="1:12" ht="41.4" hidden="1" x14ac:dyDescent="0.3">
      <c r="A3455" s="2" t="s">
        <v>4139</v>
      </c>
      <c r="B3455" s="2" t="s">
        <v>12489</v>
      </c>
      <c r="C3455" s="3">
        <v>36201</v>
      </c>
      <c r="D3455" s="1" t="s">
        <v>12490</v>
      </c>
      <c r="E3455" s="1" t="s">
        <v>12491</v>
      </c>
      <c r="F3455" s="2" t="s">
        <v>12446</v>
      </c>
      <c r="G3455" s="2" t="s">
        <v>2748</v>
      </c>
      <c r="H3455" s="2" t="s">
        <v>3065</v>
      </c>
      <c r="I3455" s="2" t="s">
        <v>4139</v>
      </c>
      <c r="J3455" s="2" t="s">
        <v>3623</v>
      </c>
      <c r="K3455" s="2" t="s">
        <v>10</v>
      </c>
      <c r="L3455" s="7" t="s">
        <v>13199</v>
      </c>
    </row>
    <row r="3456" spans="1:12" ht="41.4" hidden="1" x14ac:dyDescent="0.3">
      <c r="A3456" s="2" t="s">
        <v>4139</v>
      </c>
      <c r="B3456" s="2" t="s">
        <v>12492</v>
      </c>
      <c r="C3456" s="3">
        <v>27855</v>
      </c>
      <c r="D3456" s="1" t="s">
        <v>11858</v>
      </c>
      <c r="E3456" s="1" t="s">
        <v>11859</v>
      </c>
      <c r="F3456" s="2" t="s">
        <v>12446</v>
      </c>
      <c r="G3456" s="2" t="s">
        <v>3134</v>
      </c>
      <c r="H3456" s="2" t="s">
        <v>81</v>
      </c>
      <c r="I3456" s="2" t="s">
        <v>4139</v>
      </c>
      <c r="J3456" s="2" t="s">
        <v>3135</v>
      </c>
      <c r="K3456" s="2" t="s">
        <v>10</v>
      </c>
      <c r="L3456" s="7" t="s">
        <v>13199</v>
      </c>
    </row>
    <row r="3457" spans="1:12" ht="41.4" hidden="1" x14ac:dyDescent="0.3">
      <c r="A3457" s="2" t="s">
        <v>4139</v>
      </c>
      <c r="B3457" s="2" t="s">
        <v>12493</v>
      </c>
      <c r="C3457" s="3">
        <v>25211</v>
      </c>
      <c r="D3457" s="1" t="s">
        <v>12494</v>
      </c>
      <c r="E3457" s="1" t="s">
        <v>12495</v>
      </c>
      <c r="F3457" s="2" t="s">
        <v>12446</v>
      </c>
      <c r="G3457" s="2" t="s">
        <v>880</v>
      </c>
      <c r="H3457" s="2" t="s">
        <v>10</v>
      </c>
      <c r="I3457" s="2" t="s">
        <v>4139</v>
      </c>
      <c r="J3457" s="2" t="s">
        <v>881</v>
      </c>
      <c r="K3457" s="2" t="s">
        <v>10</v>
      </c>
      <c r="L3457" s="7" t="s">
        <v>13199</v>
      </c>
    </row>
    <row r="3458" spans="1:12" ht="41.4" hidden="1" x14ac:dyDescent="0.3">
      <c r="A3458" s="2" t="s">
        <v>4139</v>
      </c>
      <c r="B3458" s="2" t="s">
        <v>12496</v>
      </c>
      <c r="C3458" s="3">
        <v>29176</v>
      </c>
      <c r="D3458" s="1" t="s">
        <v>12497</v>
      </c>
      <c r="E3458" s="1" t="s">
        <v>12498</v>
      </c>
      <c r="F3458" s="2" t="s">
        <v>12446</v>
      </c>
      <c r="G3458" s="2" t="s">
        <v>1403</v>
      </c>
      <c r="H3458" s="2" t="s">
        <v>5038</v>
      </c>
      <c r="I3458" s="2" t="s">
        <v>4139</v>
      </c>
      <c r="J3458" s="2" t="s">
        <v>7195</v>
      </c>
      <c r="K3458" s="2" t="s">
        <v>10</v>
      </c>
      <c r="L3458" s="7" t="s">
        <v>13199</v>
      </c>
    </row>
    <row r="3459" spans="1:12" ht="41.4" hidden="1" x14ac:dyDescent="0.3">
      <c r="A3459" s="2" t="s">
        <v>4139</v>
      </c>
      <c r="B3459" s="2" t="s">
        <v>12496</v>
      </c>
      <c r="C3459" s="3">
        <v>29176</v>
      </c>
      <c r="D3459" s="1" t="s">
        <v>12497</v>
      </c>
      <c r="E3459" s="1" t="s">
        <v>12498</v>
      </c>
      <c r="F3459" s="2" t="s">
        <v>12446</v>
      </c>
      <c r="G3459" s="2" t="s">
        <v>1403</v>
      </c>
      <c r="H3459" s="2" t="s">
        <v>562</v>
      </c>
      <c r="I3459" s="2" t="s">
        <v>4139</v>
      </c>
      <c r="J3459" s="2" t="s">
        <v>7195</v>
      </c>
      <c r="K3459" s="2" t="s">
        <v>10</v>
      </c>
      <c r="L3459" s="7" t="s">
        <v>13199</v>
      </c>
    </row>
    <row r="3460" spans="1:12" ht="41.4" hidden="1" x14ac:dyDescent="0.3">
      <c r="A3460" s="2" t="s">
        <v>4139</v>
      </c>
      <c r="B3460" s="2" t="s">
        <v>12499</v>
      </c>
      <c r="C3460" s="3">
        <v>28968</v>
      </c>
      <c r="D3460" s="1" t="s">
        <v>12500</v>
      </c>
      <c r="E3460" s="1" t="s">
        <v>12501</v>
      </c>
      <c r="F3460" s="2" t="s">
        <v>12446</v>
      </c>
      <c r="G3460" s="2" t="s">
        <v>1403</v>
      </c>
      <c r="H3460" s="2" t="s">
        <v>8058</v>
      </c>
      <c r="I3460" s="2" t="s">
        <v>4139</v>
      </c>
      <c r="J3460" s="2" t="s">
        <v>7195</v>
      </c>
      <c r="K3460" s="2" t="s">
        <v>10</v>
      </c>
      <c r="L3460" s="7" t="s">
        <v>13199</v>
      </c>
    </row>
    <row r="3461" spans="1:12" ht="41.4" hidden="1" x14ac:dyDescent="0.3">
      <c r="A3461" s="2" t="s">
        <v>4139</v>
      </c>
      <c r="B3461" s="2" t="s">
        <v>12502</v>
      </c>
      <c r="C3461" s="3">
        <v>31159</v>
      </c>
      <c r="D3461" s="1" t="s">
        <v>12503</v>
      </c>
      <c r="E3461" s="1" t="s">
        <v>12504</v>
      </c>
      <c r="F3461" s="2" t="s">
        <v>12446</v>
      </c>
      <c r="G3461" s="2" t="s">
        <v>696</v>
      </c>
      <c r="H3461" s="2" t="s">
        <v>81</v>
      </c>
      <c r="I3461" s="2" t="s">
        <v>4139</v>
      </c>
      <c r="J3461" s="2" t="s">
        <v>697</v>
      </c>
      <c r="K3461" s="2" t="s">
        <v>10</v>
      </c>
      <c r="L3461" s="7" t="s">
        <v>13199</v>
      </c>
    </row>
    <row r="3462" spans="1:12" ht="41.4" hidden="1" x14ac:dyDescent="0.3">
      <c r="A3462" s="2" t="s">
        <v>4139</v>
      </c>
      <c r="B3462" s="2" t="s">
        <v>12505</v>
      </c>
      <c r="C3462" s="3">
        <v>30320</v>
      </c>
      <c r="D3462" s="1" t="s">
        <v>12506</v>
      </c>
      <c r="E3462" s="1" t="s">
        <v>12507</v>
      </c>
      <c r="F3462" s="2" t="s">
        <v>12446</v>
      </c>
      <c r="G3462" s="2" t="s">
        <v>696</v>
      </c>
      <c r="H3462" s="2" t="s">
        <v>562</v>
      </c>
      <c r="I3462" s="2" t="s">
        <v>4139</v>
      </c>
      <c r="J3462" s="2" t="s">
        <v>697</v>
      </c>
      <c r="K3462" s="2" t="s">
        <v>10</v>
      </c>
      <c r="L3462" s="7" t="s">
        <v>13199</v>
      </c>
    </row>
    <row r="3463" spans="1:12" ht="41.4" hidden="1" x14ac:dyDescent="0.3">
      <c r="A3463" s="2" t="s">
        <v>4139</v>
      </c>
      <c r="B3463" s="2" t="s">
        <v>12508</v>
      </c>
      <c r="C3463" s="3">
        <v>37753</v>
      </c>
      <c r="D3463" s="1" t="s">
        <v>261</v>
      </c>
      <c r="E3463" s="1" t="s">
        <v>12509</v>
      </c>
      <c r="F3463" s="2" t="s">
        <v>12446</v>
      </c>
      <c r="G3463" s="2" t="s">
        <v>696</v>
      </c>
      <c r="H3463" s="2" t="s">
        <v>103</v>
      </c>
      <c r="I3463" s="2" t="s">
        <v>4139</v>
      </c>
      <c r="J3463" s="2" t="s">
        <v>697</v>
      </c>
      <c r="K3463" s="2" t="s">
        <v>10</v>
      </c>
      <c r="L3463" s="7" t="s">
        <v>13199</v>
      </c>
    </row>
    <row r="3464" spans="1:12" ht="41.4" hidden="1" x14ac:dyDescent="0.3">
      <c r="A3464" s="2" t="s">
        <v>4139</v>
      </c>
      <c r="B3464" s="2" t="s">
        <v>12510</v>
      </c>
      <c r="C3464" s="3">
        <v>27248</v>
      </c>
      <c r="D3464" s="1" t="s">
        <v>12511</v>
      </c>
      <c r="E3464" s="1" t="s">
        <v>12512</v>
      </c>
      <c r="F3464" s="2" t="s">
        <v>12446</v>
      </c>
      <c r="G3464" s="2" t="s">
        <v>278</v>
      </c>
      <c r="H3464" s="2" t="s">
        <v>10</v>
      </c>
      <c r="I3464" s="2" t="s">
        <v>4139</v>
      </c>
      <c r="J3464" s="2" t="s">
        <v>279</v>
      </c>
      <c r="K3464" s="2" t="s">
        <v>10</v>
      </c>
      <c r="L3464" s="7" t="s">
        <v>13199</v>
      </c>
    </row>
    <row r="3465" spans="1:12" ht="41.4" hidden="1" x14ac:dyDescent="0.3">
      <c r="A3465" s="2" t="s">
        <v>4139</v>
      </c>
      <c r="B3465" s="2" t="s">
        <v>12513</v>
      </c>
      <c r="C3465" s="3">
        <v>29574</v>
      </c>
      <c r="D3465" s="1" t="s">
        <v>12514</v>
      </c>
      <c r="E3465" s="1" t="s">
        <v>12515</v>
      </c>
      <c r="F3465" s="2" t="s">
        <v>12446</v>
      </c>
      <c r="G3465" s="2" t="s">
        <v>860</v>
      </c>
      <c r="H3465" s="2" t="s">
        <v>10</v>
      </c>
      <c r="I3465" s="2" t="s">
        <v>4139</v>
      </c>
      <c r="J3465" s="2" t="s">
        <v>861</v>
      </c>
      <c r="K3465" s="2" t="s">
        <v>10</v>
      </c>
      <c r="L3465" s="7" t="s">
        <v>13199</v>
      </c>
    </row>
    <row r="3466" spans="1:12" ht="41.4" hidden="1" x14ac:dyDescent="0.3">
      <c r="A3466" s="2" t="s">
        <v>4139</v>
      </c>
      <c r="B3466" s="2" t="s">
        <v>12516</v>
      </c>
      <c r="C3466" s="3">
        <v>33904</v>
      </c>
      <c r="D3466" s="1" t="s">
        <v>12517</v>
      </c>
      <c r="E3466" s="1" t="s">
        <v>12518</v>
      </c>
      <c r="F3466" s="2" t="s">
        <v>12446</v>
      </c>
      <c r="G3466" s="2" t="s">
        <v>350</v>
      </c>
      <c r="H3466" s="2" t="s">
        <v>10</v>
      </c>
      <c r="I3466" s="2" t="s">
        <v>4139</v>
      </c>
      <c r="J3466" s="2" t="s">
        <v>1224</v>
      </c>
      <c r="K3466" s="2" t="s">
        <v>10</v>
      </c>
      <c r="L3466" s="7" t="s">
        <v>13199</v>
      </c>
    </row>
    <row r="3467" spans="1:12" ht="41.4" hidden="1" x14ac:dyDescent="0.3">
      <c r="A3467" s="2" t="s">
        <v>4139</v>
      </c>
      <c r="B3467" s="2" t="s">
        <v>12519</v>
      </c>
      <c r="C3467" s="3">
        <v>32037</v>
      </c>
      <c r="D3467" s="1" t="s">
        <v>261</v>
      </c>
      <c r="E3467" s="1" t="s">
        <v>12520</v>
      </c>
      <c r="F3467" s="2" t="s">
        <v>12446</v>
      </c>
      <c r="G3467" s="2" t="s">
        <v>292</v>
      </c>
      <c r="H3467" s="2" t="s">
        <v>10</v>
      </c>
      <c r="I3467" s="2" t="s">
        <v>4139</v>
      </c>
      <c r="J3467" s="2" t="s">
        <v>293</v>
      </c>
      <c r="K3467" s="2" t="s">
        <v>10</v>
      </c>
      <c r="L3467" s="7" t="s">
        <v>13199</v>
      </c>
    </row>
    <row r="3468" spans="1:12" ht="41.4" hidden="1" x14ac:dyDescent="0.3">
      <c r="A3468" s="2" t="s">
        <v>4139</v>
      </c>
      <c r="B3468" s="2" t="s">
        <v>12521</v>
      </c>
      <c r="C3468" s="3">
        <v>29124</v>
      </c>
      <c r="D3468" s="1" t="s">
        <v>12522</v>
      </c>
      <c r="E3468" s="1" t="s">
        <v>12523</v>
      </c>
      <c r="F3468" s="2" t="s">
        <v>12446</v>
      </c>
      <c r="G3468" s="2" t="s">
        <v>328</v>
      </c>
      <c r="H3468" s="2" t="s">
        <v>12273</v>
      </c>
      <c r="I3468" s="2" t="s">
        <v>4139</v>
      </c>
      <c r="J3468" s="2" t="s">
        <v>329</v>
      </c>
      <c r="K3468" s="2" t="s">
        <v>10</v>
      </c>
      <c r="L3468" s="7" t="s">
        <v>13199</v>
      </c>
    </row>
    <row r="3469" spans="1:12" ht="41.4" hidden="1" x14ac:dyDescent="0.3">
      <c r="A3469" s="2" t="s">
        <v>4139</v>
      </c>
      <c r="B3469" s="2" t="s">
        <v>12524</v>
      </c>
      <c r="C3469" s="3">
        <v>31091</v>
      </c>
      <c r="D3469" s="1" t="s">
        <v>12525</v>
      </c>
      <c r="E3469" s="1" t="s">
        <v>12526</v>
      </c>
      <c r="F3469" s="2" t="s">
        <v>12446</v>
      </c>
      <c r="G3469" s="2" t="s">
        <v>511</v>
      </c>
      <c r="H3469" s="2" t="s">
        <v>10</v>
      </c>
      <c r="I3469" s="2" t="s">
        <v>4139</v>
      </c>
      <c r="J3469" s="2" t="s">
        <v>512</v>
      </c>
      <c r="K3469" s="2" t="s">
        <v>10</v>
      </c>
      <c r="L3469" s="7" t="s">
        <v>13199</v>
      </c>
    </row>
    <row r="3470" spans="1:12" ht="41.4" hidden="1" x14ac:dyDescent="0.3">
      <c r="A3470" s="2" t="s">
        <v>4139</v>
      </c>
      <c r="B3470" s="2" t="s">
        <v>12527</v>
      </c>
      <c r="C3470" s="3">
        <v>37559</v>
      </c>
      <c r="D3470" s="1" t="s">
        <v>12528</v>
      </c>
      <c r="E3470" s="1" t="s">
        <v>12529</v>
      </c>
      <c r="F3470" s="2" t="s">
        <v>12446</v>
      </c>
      <c r="G3470" s="2" t="s">
        <v>292</v>
      </c>
      <c r="H3470" s="2" t="s">
        <v>103</v>
      </c>
      <c r="I3470" s="2" t="s">
        <v>4139</v>
      </c>
      <c r="J3470" s="2" t="s">
        <v>293</v>
      </c>
      <c r="K3470" s="2" t="s">
        <v>10</v>
      </c>
      <c r="L3470" s="7" t="s">
        <v>13199</v>
      </c>
    </row>
    <row r="3471" spans="1:12" ht="27.6" hidden="1" x14ac:dyDescent="0.3">
      <c r="A3471" s="2" t="s">
        <v>4386</v>
      </c>
      <c r="B3471" s="2" t="s">
        <v>12530</v>
      </c>
      <c r="C3471" s="3">
        <v>31043</v>
      </c>
      <c r="D3471" s="1" t="s">
        <v>12531</v>
      </c>
      <c r="E3471" s="1" t="s">
        <v>12532</v>
      </c>
      <c r="F3471" s="2" t="s">
        <v>9584</v>
      </c>
      <c r="G3471" s="2" t="s">
        <v>987</v>
      </c>
      <c r="H3471" s="2" t="s">
        <v>10</v>
      </c>
      <c r="I3471" s="2" t="s">
        <v>4386</v>
      </c>
      <c r="J3471" s="2" t="s">
        <v>1309</v>
      </c>
      <c r="K3471" s="2" t="s">
        <v>10</v>
      </c>
      <c r="L3471" s="7" t="s">
        <v>13199</v>
      </c>
    </row>
    <row r="3472" spans="1:12" ht="27.6" hidden="1" x14ac:dyDescent="0.3">
      <c r="A3472" s="2" t="s">
        <v>4386</v>
      </c>
      <c r="B3472" s="2" t="s">
        <v>12533</v>
      </c>
      <c r="C3472" s="3">
        <v>34721</v>
      </c>
      <c r="D3472" s="1" t="s">
        <v>12534</v>
      </c>
      <c r="E3472" s="1" t="s">
        <v>12535</v>
      </c>
      <c r="F3472" s="2" t="s">
        <v>8184</v>
      </c>
      <c r="G3472" s="2" t="s">
        <v>385</v>
      </c>
      <c r="H3472" s="2" t="s">
        <v>10</v>
      </c>
      <c r="I3472" s="2" t="s">
        <v>4386</v>
      </c>
      <c r="J3472" s="2" t="s">
        <v>1074</v>
      </c>
      <c r="K3472" s="15" t="s">
        <v>10</v>
      </c>
      <c r="L3472" s="7" t="s">
        <v>13199</v>
      </c>
    </row>
    <row r="3473" spans="1:12" ht="27.6" hidden="1" x14ac:dyDescent="0.3">
      <c r="A3473" s="2" t="s">
        <v>4386</v>
      </c>
      <c r="B3473" s="2" t="s">
        <v>12536</v>
      </c>
      <c r="C3473" s="3">
        <v>35086</v>
      </c>
      <c r="D3473" s="1" t="s">
        <v>12537</v>
      </c>
      <c r="E3473" s="1" t="s">
        <v>12538</v>
      </c>
      <c r="F3473" s="2" t="s">
        <v>7030</v>
      </c>
      <c r="G3473" s="2" t="s">
        <v>9908</v>
      </c>
      <c r="H3473" s="2" t="s">
        <v>10</v>
      </c>
      <c r="I3473" s="2" t="s">
        <v>4386</v>
      </c>
      <c r="J3473" s="2" t="s">
        <v>9909</v>
      </c>
      <c r="K3473" s="15" t="s">
        <v>10</v>
      </c>
      <c r="L3473" s="7" t="s">
        <v>13199</v>
      </c>
    </row>
    <row r="3474" spans="1:12" ht="27.6" hidden="1" x14ac:dyDescent="0.3">
      <c r="A3474" s="2" t="s">
        <v>4386</v>
      </c>
      <c r="B3474" s="2" t="s">
        <v>12539</v>
      </c>
      <c r="C3474" s="3">
        <v>34650</v>
      </c>
      <c r="D3474" s="1" t="s">
        <v>12540</v>
      </c>
      <c r="E3474" s="1" t="s">
        <v>12541</v>
      </c>
      <c r="F3474" s="2" t="s">
        <v>6239</v>
      </c>
      <c r="G3474" s="2" t="s">
        <v>92</v>
      </c>
      <c r="H3474" s="2" t="s">
        <v>81</v>
      </c>
      <c r="I3474" s="2" t="s">
        <v>4386</v>
      </c>
      <c r="J3474" s="2" t="s">
        <v>826</v>
      </c>
      <c r="K3474" s="2" t="s">
        <v>10</v>
      </c>
      <c r="L3474" s="7" t="s">
        <v>13199</v>
      </c>
    </row>
    <row r="3475" spans="1:12" ht="27.6" hidden="1" x14ac:dyDescent="0.3">
      <c r="A3475" s="2" t="s">
        <v>4386</v>
      </c>
      <c r="B3475" s="2" t="s">
        <v>12542</v>
      </c>
      <c r="C3475" s="3">
        <v>32164</v>
      </c>
      <c r="D3475" s="1" t="s">
        <v>8982</v>
      </c>
      <c r="E3475" s="1" t="s">
        <v>8983</v>
      </c>
      <c r="F3475" s="2" t="s">
        <v>7030</v>
      </c>
      <c r="G3475" s="2" t="s">
        <v>10024</v>
      </c>
      <c r="H3475" s="2" t="s">
        <v>10</v>
      </c>
      <c r="I3475" s="2" t="s">
        <v>4386</v>
      </c>
      <c r="J3475" s="2" t="s">
        <v>12543</v>
      </c>
      <c r="K3475" s="18" t="s">
        <v>10</v>
      </c>
      <c r="L3475" s="7" t="s">
        <v>13199</v>
      </c>
    </row>
    <row r="3476" spans="1:12" ht="55.2" hidden="1" x14ac:dyDescent="0.3">
      <c r="A3476" s="2" t="s">
        <v>4604</v>
      </c>
      <c r="B3476" s="2" t="s">
        <v>12544</v>
      </c>
      <c r="C3476" s="3">
        <v>25924</v>
      </c>
      <c r="D3476" s="1" t="s">
        <v>12545</v>
      </c>
      <c r="E3476" s="1" t="s">
        <v>12546</v>
      </c>
      <c r="F3476" s="2" t="s">
        <v>7474</v>
      </c>
      <c r="G3476" s="2" t="s">
        <v>734</v>
      </c>
      <c r="H3476" s="2" t="s">
        <v>12547</v>
      </c>
      <c r="I3476" s="2" t="s">
        <v>4604</v>
      </c>
      <c r="J3476" s="2" t="s">
        <v>7594</v>
      </c>
      <c r="K3476" s="20" t="s">
        <v>13177</v>
      </c>
      <c r="L3476" s="7" t="s">
        <v>13199</v>
      </c>
    </row>
    <row r="3477" spans="1:12" ht="55.2" hidden="1" x14ac:dyDescent="0.3">
      <c r="A3477" s="2" t="s">
        <v>4604</v>
      </c>
      <c r="B3477" s="2" t="s">
        <v>12548</v>
      </c>
      <c r="C3477" s="3">
        <v>24029</v>
      </c>
      <c r="D3477" s="1" t="s">
        <v>12549</v>
      </c>
      <c r="E3477" s="1" t="s">
        <v>12550</v>
      </c>
      <c r="F3477" s="2" t="s">
        <v>7474</v>
      </c>
      <c r="G3477" s="2" t="s">
        <v>712</v>
      </c>
      <c r="H3477" s="2" t="s">
        <v>12551</v>
      </c>
      <c r="I3477" s="2" t="s">
        <v>4604</v>
      </c>
      <c r="J3477" s="2" t="s">
        <v>5438</v>
      </c>
      <c r="K3477" s="13" t="s">
        <v>13177</v>
      </c>
      <c r="L3477" s="7" t="s">
        <v>13199</v>
      </c>
    </row>
    <row r="3478" spans="1:12" ht="27.6" hidden="1" x14ac:dyDescent="0.3">
      <c r="A3478" s="2" t="s">
        <v>4139</v>
      </c>
      <c r="B3478" s="2" t="s">
        <v>12552</v>
      </c>
      <c r="C3478" s="3">
        <v>21391</v>
      </c>
      <c r="D3478" s="1" t="s">
        <v>12553</v>
      </c>
      <c r="E3478" s="1" t="s">
        <v>12554</v>
      </c>
      <c r="F3478" s="2" t="s">
        <v>10221</v>
      </c>
      <c r="G3478" s="2" t="s">
        <v>222</v>
      </c>
      <c r="H3478" s="2" t="s">
        <v>10</v>
      </c>
      <c r="I3478" s="2" t="s">
        <v>4139</v>
      </c>
      <c r="J3478" s="2" t="s">
        <v>223</v>
      </c>
      <c r="K3478" s="2" t="s">
        <v>10</v>
      </c>
    </row>
    <row r="3479" spans="1:12" hidden="1" x14ac:dyDescent="0.3">
      <c r="A3479" s="2" t="s">
        <v>180</v>
      </c>
      <c r="B3479" s="2" t="s">
        <v>12555</v>
      </c>
      <c r="C3479" s="3">
        <v>32792</v>
      </c>
      <c r="D3479" s="1" t="s">
        <v>12556</v>
      </c>
      <c r="E3479" s="1" t="s">
        <v>12557</v>
      </c>
      <c r="F3479" s="2" t="s">
        <v>201</v>
      </c>
      <c r="G3479" s="2" t="s">
        <v>143</v>
      </c>
      <c r="H3479" s="2" t="s">
        <v>10</v>
      </c>
      <c r="I3479" s="2" t="s">
        <v>180</v>
      </c>
      <c r="J3479" s="2" t="s">
        <v>729</v>
      </c>
      <c r="K3479" s="30" t="s">
        <v>13193</v>
      </c>
      <c r="L3479" s="6"/>
    </row>
    <row r="3480" spans="1:12" hidden="1" x14ac:dyDescent="0.3">
      <c r="A3480" s="2" t="s">
        <v>180</v>
      </c>
      <c r="B3480" s="2" t="s">
        <v>12558</v>
      </c>
      <c r="C3480" s="3">
        <v>34661</v>
      </c>
      <c r="D3480" s="1" t="s">
        <v>442</v>
      </c>
      <c r="E3480" s="1" t="s">
        <v>12559</v>
      </c>
      <c r="F3480" s="2" t="s">
        <v>530</v>
      </c>
      <c r="G3480" s="2" t="s">
        <v>196</v>
      </c>
      <c r="H3480" s="2" t="s">
        <v>10</v>
      </c>
      <c r="I3480" s="2" t="s">
        <v>180</v>
      </c>
      <c r="J3480" s="2" t="s">
        <v>12560</v>
      </c>
      <c r="K3480" s="2" t="s">
        <v>10</v>
      </c>
      <c r="L3480" s="6"/>
    </row>
    <row r="3481" spans="1:12" ht="27.6" hidden="1" x14ac:dyDescent="0.3">
      <c r="A3481" s="2" t="s">
        <v>1962</v>
      </c>
      <c r="B3481" s="2" t="s">
        <v>12561</v>
      </c>
      <c r="C3481" s="3">
        <v>29499</v>
      </c>
      <c r="D3481" s="1" t="s">
        <v>12562</v>
      </c>
      <c r="E3481" s="1" t="s">
        <v>12563</v>
      </c>
      <c r="F3481" s="2" t="s">
        <v>1961</v>
      </c>
      <c r="G3481" s="2" t="s">
        <v>328</v>
      </c>
      <c r="H3481" s="2" t="s">
        <v>10</v>
      </c>
      <c r="I3481" s="2" t="s">
        <v>1962</v>
      </c>
      <c r="J3481" s="2" t="s">
        <v>12564</v>
      </c>
      <c r="K3481" s="2" t="s">
        <v>10</v>
      </c>
    </row>
    <row r="3482" spans="1:12" hidden="1" x14ac:dyDescent="0.3">
      <c r="A3482" s="2" t="s">
        <v>180</v>
      </c>
      <c r="B3482" s="2" t="s">
        <v>12565</v>
      </c>
      <c r="C3482" s="3">
        <v>32599</v>
      </c>
      <c r="D3482" s="1" t="s">
        <v>12566</v>
      </c>
      <c r="E3482" s="1" t="s">
        <v>12567</v>
      </c>
      <c r="F3482" s="2" t="s">
        <v>548</v>
      </c>
      <c r="G3482" s="2" t="s">
        <v>319</v>
      </c>
      <c r="H3482" s="2" t="s">
        <v>103</v>
      </c>
      <c r="I3482" s="2" t="s">
        <v>180</v>
      </c>
      <c r="J3482" s="2" t="s">
        <v>12568</v>
      </c>
      <c r="K3482" s="2" t="s">
        <v>10</v>
      </c>
      <c r="L3482" s="6"/>
    </row>
    <row r="3483" spans="1:12" hidden="1" x14ac:dyDescent="0.3">
      <c r="A3483" s="2" t="s">
        <v>180</v>
      </c>
      <c r="B3483" s="2" t="s">
        <v>12565</v>
      </c>
      <c r="C3483" s="3">
        <v>32599</v>
      </c>
      <c r="D3483" s="1" t="s">
        <v>12566</v>
      </c>
      <c r="E3483" s="1" t="s">
        <v>12567</v>
      </c>
      <c r="F3483" s="2" t="s">
        <v>548</v>
      </c>
      <c r="G3483" s="2" t="s">
        <v>319</v>
      </c>
      <c r="H3483" s="2" t="s">
        <v>81</v>
      </c>
      <c r="I3483" s="2" t="s">
        <v>180</v>
      </c>
      <c r="J3483" s="2" t="s">
        <v>12568</v>
      </c>
      <c r="K3483" s="2" t="s">
        <v>10</v>
      </c>
      <c r="L3483" s="6"/>
    </row>
    <row r="3484" spans="1:12" ht="27.6" hidden="1" x14ac:dyDescent="0.3">
      <c r="A3484" s="2" t="s">
        <v>1957</v>
      </c>
      <c r="B3484" s="2" t="s">
        <v>12569</v>
      </c>
      <c r="C3484" s="3">
        <v>28402</v>
      </c>
      <c r="D3484" s="1" t="s">
        <v>12570</v>
      </c>
      <c r="E3484" s="1" t="s">
        <v>12571</v>
      </c>
      <c r="F3484" s="2" t="s">
        <v>1961</v>
      </c>
      <c r="G3484" s="2" t="s">
        <v>245</v>
      </c>
      <c r="H3484" s="2" t="s">
        <v>10</v>
      </c>
      <c r="I3484" s="2" t="s">
        <v>1957</v>
      </c>
      <c r="J3484" s="2" t="s">
        <v>12572</v>
      </c>
      <c r="K3484" s="2" t="s">
        <v>10</v>
      </c>
    </row>
    <row r="3485" spans="1:12" ht="41.4" hidden="1" x14ac:dyDescent="0.3">
      <c r="A3485" s="2" t="s">
        <v>4139</v>
      </c>
      <c r="B3485" s="2" t="s">
        <v>12573</v>
      </c>
      <c r="C3485" s="3">
        <v>27242</v>
      </c>
      <c r="D3485" s="1" t="s">
        <v>12574</v>
      </c>
      <c r="E3485" s="1" t="s">
        <v>12575</v>
      </c>
      <c r="F3485" s="2" t="s">
        <v>12446</v>
      </c>
      <c r="G3485" s="2" t="s">
        <v>1222</v>
      </c>
      <c r="H3485" s="2" t="s">
        <v>10</v>
      </c>
      <c r="I3485" s="2" t="s">
        <v>4139</v>
      </c>
      <c r="J3485" s="2" t="s">
        <v>1223</v>
      </c>
      <c r="K3485" s="2" t="s">
        <v>10</v>
      </c>
    </row>
    <row r="3486" spans="1:12" ht="41.4" hidden="1" x14ac:dyDescent="0.3">
      <c r="A3486" s="2" t="s">
        <v>4139</v>
      </c>
      <c r="B3486" s="2" t="s">
        <v>12576</v>
      </c>
      <c r="C3486" s="3">
        <v>28426</v>
      </c>
      <c r="D3486" s="1" t="s">
        <v>12577</v>
      </c>
      <c r="E3486" s="1" t="s">
        <v>12578</v>
      </c>
      <c r="F3486" s="2" t="s">
        <v>12446</v>
      </c>
      <c r="G3486" s="2" t="s">
        <v>37</v>
      </c>
      <c r="H3486" s="2" t="s">
        <v>10</v>
      </c>
      <c r="I3486" s="2" t="s">
        <v>4139</v>
      </c>
      <c r="J3486" s="2" t="s">
        <v>406</v>
      </c>
      <c r="K3486" s="2" t="s">
        <v>10</v>
      </c>
    </row>
    <row r="3487" spans="1:12" ht="41.4" hidden="1" x14ac:dyDescent="0.3">
      <c r="A3487" s="2" t="s">
        <v>4139</v>
      </c>
      <c r="B3487" s="2" t="s">
        <v>12579</v>
      </c>
      <c r="C3487" s="3">
        <v>36233</v>
      </c>
      <c r="D3487" s="1" t="s">
        <v>12580</v>
      </c>
      <c r="E3487" s="1" t="s">
        <v>12581</v>
      </c>
      <c r="F3487" s="2" t="s">
        <v>12446</v>
      </c>
      <c r="G3487" s="2" t="s">
        <v>124</v>
      </c>
      <c r="H3487" s="2" t="s">
        <v>81</v>
      </c>
      <c r="I3487" s="2" t="s">
        <v>4139</v>
      </c>
      <c r="J3487" s="2" t="s">
        <v>173</v>
      </c>
      <c r="K3487" s="2" t="s">
        <v>10</v>
      </c>
    </row>
    <row r="3488" spans="1:12" ht="41.4" hidden="1" x14ac:dyDescent="0.3">
      <c r="A3488" s="2" t="s">
        <v>4139</v>
      </c>
      <c r="B3488" s="2" t="s">
        <v>12582</v>
      </c>
      <c r="C3488" s="3">
        <v>21429</v>
      </c>
      <c r="D3488" s="1" t="s">
        <v>12583</v>
      </c>
      <c r="E3488" s="1" t="s">
        <v>12584</v>
      </c>
      <c r="F3488" s="2" t="s">
        <v>12121</v>
      </c>
      <c r="G3488" s="2" t="s">
        <v>12585</v>
      </c>
      <c r="H3488" s="2" t="s">
        <v>10</v>
      </c>
      <c r="I3488" s="2" t="s">
        <v>4139</v>
      </c>
      <c r="J3488" s="2" t="s">
        <v>12586</v>
      </c>
      <c r="K3488" s="2" t="s">
        <v>10</v>
      </c>
    </row>
    <row r="3489" spans="1:12" ht="41.4" hidden="1" x14ac:dyDescent="0.3">
      <c r="A3489" s="2" t="s">
        <v>4139</v>
      </c>
      <c r="B3489" s="2" t="s">
        <v>12587</v>
      </c>
      <c r="C3489" s="3">
        <v>24220</v>
      </c>
      <c r="D3489" s="1" t="s">
        <v>12588</v>
      </c>
      <c r="E3489" s="1" t="s">
        <v>12589</v>
      </c>
      <c r="F3489" s="2" t="s">
        <v>12446</v>
      </c>
      <c r="G3489" s="2" t="s">
        <v>1222</v>
      </c>
      <c r="H3489" s="2" t="s">
        <v>334</v>
      </c>
      <c r="I3489" s="2" t="s">
        <v>4139</v>
      </c>
      <c r="J3489" s="2" t="s">
        <v>1223</v>
      </c>
      <c r="K3489" s="2" t="s">
        <v>10</v>
      </c>
    </row>
    <row r="3490" spans="1:12" ht="41.4" hidden="1" x14ac:dyDescent="0.3">
      <c r="A3490" s="2" t="s">
        <v>4139</v>
      </c>
      <c r="B3490" s="2" t="s">
        <v>12590</v>
      </c>
      <c r="C3490" s="3">
        <v>20684</v>
      </c>
      <c r="D3490" s="1" t="s">
        <v>12591</v>
      </c>
      <c r="E3490" s="1" t="s">
        <v>12592</v>
      </c>
      <c r="F3490" s="2" t="s">
        <v>12446</v>
      </c>
      <c r="G3490" s="2" t="s">
        <v>206</v>
      </c>
      <c r="H3490" s="2" t="s">
        <v>10</v>
      </c>
      <c r="I3490" s="2" t="s">
        <v>4139</v>
      </c>
      <c r="J3490" s="2" t="s">
        <v>207</v>
      </c>
      <c r="K3490" s="2" t="s">
        <v>10</v>
      </c>
    </row>
    <row r="3491" spans="1:12" ht="41.4" hidden="1" x14ac:dyDescent="0.3">
      <c r="A3491" s="2" t="s">
        <v>4139</v>
      </c>
      <c r="B3491" s="2" t="s">
        <v>12593</v>
      </c>
      <c r="C3491" s="3">
        <v>27635</v>
      </c>
      <c r="D3491" s="1" t="s">
        <v>12594</v>
      </c>
      <c r="E3491" s="1" t="s">
        <v>12595</v>
      </c>
      <c r="F3491" s="2" t="s">
        <v>12446</v>
      </c>
      <c r="G3491" s="2" t="s">
        <v>288</v>
      </c>
      <c r="H3491" s="2" t="s">
        <v>10</v>
      </c>
      <c r="I3491" s="2" t="s">
        <v>4139</v>
      </c>
      <c r="J3491" s="2" t="s">
        <v>289</v>
      </c>
      <c r="K3491" s="2" t="s">
        <v>10</v>
      </c>
    </row>
    <row r="3492" spans="1:12" ht="41.4" hidden="1" x14ac:dyDescent="0.3">
      <c r="A3492" s="2" t="s">
        <v>4139</v>
      </c>
      <c r="B3492" s="2" t="s">
        <v>12596</v>
      </c>
      <c r="C3492" s="3">
        <v>31439</v>
      </c>
      <c r="D3492" s="1" t="s">
        <v>12597</v>
      </c>
      <c r="E3492" s="1" t="s">
        <v>12598</v>
      </c>
      <c r="F3492" s="2" t="s">
        <v>12446</v>
      </c>
      <c r="G3492" s="2" t="s">
        <v>333</v>
      </c>
      <c r="H3492" s="2" t="s">
        <v>10</v>
      </c>
      <c r="I3492" s="2" t="s">
        <v>4139</v>
      </c>
      <c r="J3492" s="2" t="s">
        <v>1059</v>
      </c>
      <c r="K3492" s="2" t="s">
        <v>10</v>
      </c>
    </row>
    <row r="3493" spans="1:12" ht="41.4" hidden="1" x14ac:dyDescent="0.3">
      <c r="A3493" s="2" t="s">
        <v>4139</v>
      </c>
      <c r="B3493" s="2" t="s">
        <v>12599</v>
      </c>
      <c r="C3493" s="3">
        <v>27556</v>
      </c>
      <c r="D3493" s="1" t="s">
        <v>12600</v>
      </c>
      <c r="E3493" s="1" t="s">
        <v>12601</v>
      </c>
      <c r="F3493" s="2" t="s">
        <v>12446</v>
      </c>
      <c r="G3493" s="2" t="s">
        <v>152</v>
      </c>
      <c r="H3493" s="2" t="s">
        <v>81</v>
      </c>
      <c r="I3493" s="2" t="s">
        <v>4139</v>
      </c>
      <c r="J3493" s="2" t="s">
        <v>153</v>
      </c>
      <c r="K3493" s="2" t="s">
        <v>10</v>
      </c>
    </row>
    <row r="3494" spans="1:12" ht="41.4" hidden="1" x14ac:dyDescent="0.3">
      <c r="A3494" s="2" t="s">
        <v>4139</v>
      </c>
      <c r="B3494" s="2" t="s">
        <v>12602</v>
      </c>
      <c r="C3494" s="3">
        <v>32335</v>
      </c>
      <c r="D3494" s="1" t="s">
        <v>12603</v>
      </c>
      <c r="E3494" s="1" t="s">
        <v>12604</v>
      </c>
      <c r="F3494" s="2" t="s">
        <v>12446</v>
      </c>
      <c r="G3494" s="2" t="s">
        <v>933</v>
      </c>
      <c r="H3494" s="2" t="s">
        <v>103</v>
      </c>
      <c r="I3494" s="2" t="s">
        <v>4139</v>
      </c>
      <c r="J3494" s="2" t="s">
        <v>934</v>
      </c>
      <c r="K3494" s="2" t="s">
        <v>10</v>
      </c>
    </row>
    <row r="3495" spans="1:12" ht="41.4" hidden="1" x14ac:dyDescent="0.3">
      <c r="A3495" s="2" t="s">
        <v>4139</v>
      </c>
      <c r="B3495" s="2" t="s">
        <v>12605</v>
      </c>
      <c r="C3495" s="3">
        <v>32335</v>
      </c>
      <c r="D3495" s="1" t="s">
        <v>12603</v>
      </c>
      <c r="E3495" s="1" t="s">
        <v>12604</v>
      </c>
      <c r="F3495" s="2" t="s">
        <v>12446</v>
      </c>
      <c r="G3495" s="2" t="s">
        <v>933</v>
      </c>
      <c r="H3495" s="2" t="s">
        <v>8058</v>
      </c>
      <c r="I3495" s="2" t="s">
        <v>4139</v>
      </c>
      <c r="J3495" s="2" t="s">
        <v>934</v>
      </c>
      <c r="K3495" s="2" t="s">
        <v>10</v>
      </c>
    </row>
    <row r="3496" spans="1:12" hidden="1" x14ac:dyDescent="0.3">
      <c r="A3496" s="8" t="s">
        <v>4139</v>
      </c>
      <c r="B3496" s="8" t="s">
        <v>12606</v>
      </c>
      <c r="C3496" s="9">
        <v>33558</v>
      </c>
      <c r="D3496" s="10" t="s">
        <v>12607</v>
      </c>
      <c r="E3496" s="10" t="s">
        <v>12608</v>
      </c>
      <c r="F3496" s="8" t="s">
        <v>8598</v>
      </c>
      <c r="G3496" s="8" t="s">
        <v>8640</v>
      </c>
      <c r="H3496" s="8" t="s">
        <v>81</v>
      </c>
      <c r="I3496" s="8" t="s">
        <v>4139</v>
      </c>
      <c r="J3496" s="2" t="s">
        <v>8641</v>
      </c>
      <c r="K3496" s="13" t="s">
        <v>13177</v>
      </c>
      <c r="L3496" s="7" t="s">
        <v>13199</v>
      </c>
    </row>
    <row r="3497" spans="1:12" ht="41.4" hidden="1" x14ac:dyDescent="0.3">
      <c r="A3497" s="2" t="s">
        <v>4139</v>
      </c>
      <c r="B3497" s="2" t="s">
        <v>12609</v>
      </c>
      <c r="C3497" s="3">
        <v>23299</v>
      </c>
      <c r="D3497" s="1" t="s">
        <v>12610</v>
      </c>
      <c r="E3497" s="1" t="s">
        <v>12611</v>
      </c>
      <c r="F3497" s="2" t="s">
        <v>12612</v>
      </c>
      <c r="G3497" s="2" t="s">
        <v>283</v>
      </c>
      <c r="H3497" s="2" t="s">
        <v>10</v>
      </c>
      <c r="I3497" s="2" t="s">
        <v>4139</v>
      </c>
      <c r="J3497" s="2" t="s">
        <v>284</v>
      </c>
      <c r="K3497" s="2" t="s">
        <v>10</v>
      </c>
    </row>
    <row r="3498" spans="1:12" ht="41.4" hidden="1" x14ac:dyDescent="0.3">
      <c r="A3498" s="2" t="s">
        <v>4139</v>
      </c>
      <c r="B3498" s="2" t="s">
        <v>12613</v>
      </c>
      <c r="C3498" s="3">
        <v>26097</v>
      </c>
      <c r="D3498" s="1" t="s">
        <v>12614</v>
      </c>
      <c r="E3498" s="1" t="s">
        <v>12615</v>
      </c>
      <c r="F3498" s="2" t="s">
        <v>12121</v>
      </c>
      <c r="G3498" s="2" t="s">
        <v>12616</v>
      </c>
      <c r="H3498" s="2" t="s">
        <v>10</v>
      </c>
      <c r="I3498" s="2" t="s">
        <v>4139</v>
      </c>
      <c r="J3498" s="2" t="s">
        <v>12617</v>
      </c>
      <c r="K3498" s="15" t="s">
        <v>10</v>
      </c>
    </row>
    <row r="3499" spans="1:12" hidden="1" x14ac:dyDescent="0.3">
      <c r="A3499" s="2" t="s">
        <v>4139</v>
      </c>
      <c r="B3499" s="2" t="s">
        <v>12618</v>
      </c>
      <c r="C3499" s="3">
        <v>18772</v>
      </c>
      <c r="D3499" s="1" t="s">
        <v>4907</v>
      </c>
      <c r="E3499" s="1" t="s">
        <v>12619</v>
      </c>
      <c r="F3499" s="2" t="s">
        <v>4143</v>
      </c>
      <c r="G3499" s="2" t="s">
        <v>9634</v>
      </c>
      <c r="H3499" s="2" t="s">
        <v>892</v>
      </c>
      <c r="I3499" s="2" t="s">
        <v>4139</v>
      </c>
      <c r="J3499" s="2" t="s">
        <v>12620</v>
      </c>
      <c r="K3499" s="2" t="s">
        <v>10</v>
      </c>
      <c r="L3499" s="6"/>
    </row>
    <row r="3500" spans="1:12" ht="27.6" hidden="1" x14ac:dyDescent="0.3">
      <c r="A3500" s="2" t="s">
        <v>4139</v>
      </c>
      <c r="B3500" s="2" t="s">
        <v>12621</v>
      </c>
      <c r="C3500" s="3">
        <v>35852</v>
      </c>
      <c r="D3500" s="1" t="s">
        <v>12622</v>
      </c>
      <c r="E3500" s="1" t="s">
        <v>12623</v>
      </c>
      <c r="F3500" s="2" t="s">
        <v>4143</v>
      </c>
      <c r="G3500" s="2" t="s">
        <v>8098</v>
      </c>
      <c r="H3500" s="2" t="s">
        <v>10</v>
      </c>
      <c r="I3500" s="2" t="s">
        <v>4139</v>
      </c>
      <c r="J3500" s="2" t="s">
        <v>8099</v>
      </c>
      <c r="K3500" s="2" t="s">
        <v>10</v>
      </c>
      <c r="L3500" s="6"/>
    </row>
    <row r="3501" spans="1:12" ht="41.4" hidden="1" x14ac:dyDescent="0.3">
      <c r="A3501" s="2" t="s">
        <v>4139</v>
      </c>
      <c r="B3501" s="2" t="s">
        <v>12624</v>
      </c>
      <c r="C3501" s="3">
        <v>28924</v>
      </c>
      <c r="D3501" s="1" t="s">
        <v>12625</v>
      </c>
      <c r="E3501" s="1" t="s">
        <v>12626</v>
      </c>
      <c r="F3501" s="2" t="s">
        <v>11874</v>
      </c>
      <c r="G3501" s="2" t="s">
        <v>511</v>
      </c>
      <c r="H3501" s="2" t="s">
        <v>10</v>
      </c>
      <c r="I3501" s="2" t="s">
        <v>4139</v>
      </c>
      <c r="J3501" s="2" t="s">
        <v>512</v>
      </c>
      <c r="K3501" s="19" t="s">
        <v>10</v>
      </c>
    </row>
    <row r="3502" spans="1:12" hidden="1" x14ac:dyDescent="0.3">
      <c r="A3502" s="2" t="s">
        <v>4139</v>
      </c>
      <c r="B3502" s="2" t="s">
        <v>12627</v>
      </c>
      <c r="C3502" s="3">
        <v>31551</v>
      </c>
      <c r="D3502" s="1" t="s">
        <v>12628</v>
      </c>
      <c r="E3502" s="1" t="s">
        <v>12629</v>
      </c>
      <c r="F3502" s="2" t="s">
        <v>4143</v>
      </c>
      <c r="G3502" s="2" t="s">
        <v>9596</v>
      </c>
      <c r="H3502" s="2" t="s">
        <v>10</v>
      </c>
      <c r="I3502" s="2" t="s">
        <v>4139</v>
      </c>
      <c r="J3502" s="2" t="s">
        <v>9597</v>
      </c>
      <c r="K3502" s="2" t="s">
        <v>10</v>
      </c>
      <c r="L3502" s="6"/>
    </row>
    <row r="3503" spans="1:12" hidden="1" x14ac:dyDescent="0.3">
      <c r="A3503" s="2" t="s">
        <v>4139</v>
      </c>
      <c r="B3503" s="2" t="s">
        <v>12630</v>
      </c>
      <c r="C3503" s="3">
        <v>37443</v>
      </c>
      <c r="D3503" s="1" t="s">
        <v>12631</v>
      </c>
      <c r="E3503" s="1" t="s">
        <v>12632</v>
      </c>
      <c r="F3503" s="2" t="s">
        <v>4143</v>
      </c>
      <c r="G3503" s="2" t="s">
        <v>10883</v>
      </c>
      <c r="H3503" s="2" t="s">
        <v>103</v>
      </c>
      <c r="I3503" s="2" t="s">
        <v>4139</v>
      </c>
      <c r="J3503" s="2" t="s">
        <v>10884</v>
      </c>
      <c r="K3503" s="2" t="s">
        <v>10</v>
      </c>
      <c r="L3503" s="6"/>
    </row>
    <row r="3504" spans="1:12" hidden="1" x14ac:dyDescent="0.3">
      <c r="A3504" s="2" t="s">
        <v>4139</v>
      </c>
      <c r="B3504" s="2" t="s">
        <v>7951</v>
      </c>
      <c r="C3504" s="3">
        <v>28921</v>
      </c>
      <c r="D3504" s="1" t="s">
        <v>7952</v>
      </c>
      <c r="E3504" s="1" t="s">
        <v>7948</v>
      </c>
      <c r="F3504" s="2" t="s">
        <v>4143</v>
      </c>
      <c r="G3504" s="2" t="s">
        <v>12633</v>
      </c>
      <c r="H3504" s="2" t="s">
        <v>562</v>
      </c>
      <c r="I3504" s="2" t="s">
        <v>4139</v>
      </c>
      <c r="J3504" s="2" t="s">
        <v>12634</v>
      </c>
      <c r="K3504" s="2" t="s">
        <v>10</v>
      </c>
      <c r="L3504" s="6"/>
    </row>
    <row r="3505" spans="1:12" hidden="1" x14ac:dyDescent="0.3">
      <c r="A3505" s="2" t="s">
        <v>4139</v>
      </c>
      <c r="B3505" s="2" t="s">
        <v>7951</v>
      </c>
      <c r="C3505" s="3">
        <v>28921</v>
      </c>
      <c r="D3505" s="1" t="s">
        <v>7952</v>
      </c>
      <c r="E3505" s="1" t="s">
        <v>7948</v>
      </c>
      <c r="F3505" s="2" t="s">
        <v>4143</v>
      </c>
      <c r="G3505" s="2" t="s">
        <v>12633</v>
      </c>
      <c r="H3505" s="2" t="s">
        <v>822</v>
      </c>
      <c r="I3505" s="2" t="s">
        <v>4139</v>
      </c>
      <c r="J3505" s="2" t="s">
        <v>12634</v>
      </c>
      <c r="K3505" s="2" t="s">
        <v>10</v>
      </c>
      <c r="L3505" s="6"/>
    </row>
    <row r="3506" spans="1:12" ht="27.6" hidden="1" x14ac:dyDescent="0.3">
      <c r="A3506" s="2" t="s">
        <v>4386</v>
      </c>
      <c r="B3506" s="2" t="s">
        <v>12635</v>
      </c>
      <c r="C3506" s="3">
        <v>20600</v>
      </c>
      <c r="D3506" s="1" t="s">
        <v>12636</v>
      </c>
      <c r="E3506" s="1" t="s">
        <v>12637</v>
      </c>
      <c r="F3506" s="2" t="s">
        <v>5053</v>
      </c>
      <c r="G3506" s="2" t="s">
        <v>309</v>
      </c>
      <c r="H3506" s="2" t="s">
        <v>562</v>
      </c>
      <c r="I3506" s="2" t="s">
        <v>4386</v>
      </c>
      <c r="J3506" s="2" t="s">
        <v>310</v>
      </c>
      <c r="K3506" s="18" t="s">
        <v>10</v>
      </c>
    </row>
    <row r="3507" spans="1:12" ht="27.6" hidden="1" x14ac:dyDescent="0.3">
      <c r="A3507" s="2" t="s">
        <v>4386</v>
      </c>
      <c r="B3507" s="2" t="s">
        <v>12638</v>
      </c>
      <c r="C3507" s="3">
        <v>33785</v>
      </c>
      <c r="D3507" s="1" t="s">
        <v>12639</v>
      </c>
      <c r="E3507" s="1" t="s">
        <v>12640</v>
      </c>
      <c r="F3507" s="2" t="s">
        <v>7088</v>
      </c>
      <c r="G3507" s="2" t="s">
        <v>350</v>
      </c>
      <c r="H3507" s="2" t="s">
        <v>10</v>
      </c>
      <c r="I3507" s="2" t="s">
        <v>4386</v>
      </c>
      <c r="J3507" s="2" t="s">
        <v>12641</v>
      </c>
      <c r="K3507" s="2" t="s">
        <v>10</v>
      </c>
    </row>
    <row r="3508" spans="1:12" ht="27.6" hidden="1" x14ac:dyDescent="0.3">
      <c r="A3508" s="2" t="s">
        <v>4386</v>
      </c>
      <c r="B3508" s="2" t="s">
        <v>4728</v>
      </c>
      <c r="C3508" s="3">
        <v>30136</v>
      </c>
      <c r="D3508" s="1" t="s">
        <v>4729</v>
      </c>
      <c r="E3508" s="1" t="s">
        <v>4730</v>
      </c>
      <c r="F3508" s="2" t="s">
        <v>9041</v>
      </c>
      <c r="G3508" s="2" t="s">
        <v>12642</v>
      </c>
      <c r="H3508" s="2" t="s">
        <v>10</v>
      </c>
      <c r="I3508" s="2" t="s">
        <v>4386</v>
      </c>
      <c r="J3508" s="2" t="s">
        <v>12643</v>
      </c>
      <c r="K3508" s="2" t="s">
        <v>10</v>
      </c>
    </row>
    <row r="3509" spans="1:12" ht="27.6" hidden="1" x14ac:dyDescent="0.3">
      <c r="A3509" s="2" t="s">
        <v>4386</v>
      </c>
      <c r="B3509" s="2" t="s">
        <v>10</v>
      </c>
      <c r="C3509" s="3" t="s">
        <v>10</v>
      </c>
      <c r="D3509" s="1" t="s">
        <v>10</v>
      </c>
      <c r="E3509" s="1" t="s">
        <v>10</v>
      </c>
      <c r="F3509" s="2" t="s">
        <v>9821</v>
      </c>
      <c r="G3509" s="2" t="s">
        <v>350</v>
      </c>
      <c r="H3509" s="2" t="s">
        <v>10</v>
      </c>
      <c r="I3509" s="2" t="s">
        <v>4386</v>
      </c>
      <c r="J3509" s="2" t="s">
        <v>12641</v>
      </c>
      <c r="K3509" s="2" t="s">
        <v>10</v>
      </c>
    </row>
    <row r="3510" spans="1:12" ht="27.6" hidden="1" x14ac:dyDescent="0.3">
      <c r="A3510" s="2" t="s">
        <v>4386</v>
      </c>
      <c r="B3510" s="2" t="s">
        <v>10</v>
      </c>
      <c r="C3510" s="3" t="s">
        <v>10</v>
      </c>
      <c r="D3510" s="1" t="s">
        <v>10</v>
      </c>
      <c r="E3510" s="1" t="s">
        <v>10</v>
      </c>
      <c r="F3510" s="2" t="s">
        <v>9821</v>
      </c>
      <c r="G3510" s="2" t="s">
        <v>643</v>
      </c>
      <c r="H3510" s="2" t="s">
        <v>10</v>
      </c>
      <c r="I3510" s="2" t="s">
        <v>4386</v>
      </c>
      <c r="J3510" s="2" t="s">
        <v>644</v>
      </c>
      <c r="K3510" s="2" t="s">
        <v>10</v>
      </c>
    </row>
    <row r="3511" spans="1:12" ht="27.6" hidden="1" x14ac:dyDescent="0.3">
      <c r="A3511" s="2" t="s">
        <v>60</v>
      </c>
      <c r="B3511" s="2" t="s">
        <v>12644</v>
      </c>
      <c r="C3511" s="3">
        <v>21984</v>
      </c>
      <c r="D3511" s="1" t="s">
        <v>20</v>
      </c>
      <c r="E3511" s="1" t="s">
        <v>12645</v>
      </c>
      <c r="F3511" s="2" t="s">
        <v>301</v>
      </c>
      <c r="G3511" s="2" t="s">
        <v>492</v>
      </c>
      <c r="H3511" s="2" t="s">
        <v>10</v>
      </c>
      <c r="I3511" s="2" t="s">
        <v>60</v>
      </c>
      <c r="J3511" s="2" t="s">
        <v>619</v>
      </c>
      <c r="K3511" s="2" t="s">
        <v>10</v>
      </c>
    </row>
    <row r="3512" spans="1:12" ht="41.4" hidden="1" x14ac:dyDescent="0.3">
      <c r="A3512" s="2" t="s">
        <v>4139</v>
      </c>
      <c r="B3512" s="2" t="s">
        <v>12646</v>
      </c>
      <c r="C3512" s="3">
        <v>30420</v>
      </c>
      <c r="D3512" s="1" t="s">
        <v>12647</v>
      </c>
      <c r="E3512" s="1" t="s">
        <v>12648</v>
      </c>
      <c r="F3512" s="2" t="s">
        <v>12446</v>
      </c>
      <c r="G3512" s="2" t="s">
        <v>385</v>
      </c>
      <c r="H3512" s="2" t="s">
        <v>103</v>
      </c>
      <c r="I3512" s="2" t="s">
        <v>4139</v>
      </c>
      <c r="J3512" s="2" t="s">
        <v>913</v>
      </c>
      <c r="K3512" s="2" t="s">
        <v>10</v>
      </c>
    </row>
    <row r="3513" spans="1:12" ht="41.4" hidden="1" x14ac:dyDescent="0.3">
      <c r="A3513" s="2" t="s">
        <v>4139</v>
      </c>
      <c r="B3513" s="2" t="s">
        <v>12649</v>
      </c>
      <c r="C3513" s="3">
        <v>21627</v>
      </c>
      <c r="D3513" s="1" t="s">
        <v>12650</v>
      </c>
      <c r="E3513" s="1" t="s">
        <v>12651</v>
      </c>
      <c r="F3513" s="2" t="s">
        <v>12446</v>
      </c>
      <c r="G3513" s="2" t="s">
        <v>217</v>
      </c>
      <c r="H3513" s="2" t="s">
        <v>10</v>
      </c>
      <c r="I3513" s="2" t="s">
        <v>4139</v>
      </c>
      <c r="J3513" s="2" t="s">
        <v>218</v>
      </c>
      <c r="K3513" s="2" t="s">
        <v>10</v>
      </c>
    </row>
    <row r="3514" spans="1:12" ht="27.6" hidden="1" x14ac:dyDescent="0.3">
      <c r="A3514" s="2" t="s">
        <v>4139</v>
      </c>
      <c r="B3514" s="2" t="s">
        <v>10</v>
      </c>
      <c r="C3514" s="3" t="s">
        <v>10</v>
      </c>
      <c r="D3514" s="1" t="s">
        <v>10</v>
      </c>
      <c r="E3514" s="1" t="s">
        <v>10</v>
      </c>
      <c r="F3514" s="2" t="s">
        <v>10142</v>
      </c>
      <c r="G3514" s="2" t="s">
        <v>12652</v>
      </c>
      <c r="H3514" s="2" t="s">
        <v>10</v>
      </c>
      <c r="I3514" s="2" t="s">
        <v>4139</v>
      </c>
      <c r="J3514" s="2" t="s">
        <v>12653</v>
      </c>
      <c r="K3514" s="2" t="s">
        <v>10</v>
      </c>
    </row>
    <row r="3515" spans="1:12" ht="55.2" hidden="1" x14ac:dyDescent="0.3">
      <c r="A3515" s="2" t="s">
        <v>4139</v>
      </c>
      <c r="B3515" s="2" t="s">
        <v>10</v>
      </c>
      <c r="C3515" s="3" t="s">
        <v>10</v>
      </c>
      <c r="D3515" s="1" t="s">
        <v>10</v>
      </c>
      <c r="E3515" s="1" t="s">
        <v>10</v>
      </c>
      <c r="F3515" s="2" t="s">
        <v>10177</v>
      </c>
      <c r="G3515" s="2" t="s">
        <v>12654</v>
      </c>
      <c r="H3515" s="2" t="s">
        <v>10</v>
      </c>
      <c r="I3515" s="2" t="s">
        <v>4139</v>
      </c>
      <c r="J3515" s="2" t="s">
        <v>12655</v>
      </c>
      <c r="K3515" s="2" t="s">
        <v>10</v>
      </c>
    </row>
    <row r="3516" spans="1:12" ht="41.4" hidden="1" x14ac:dyDescent="0.3">
      <c r="A3516" s="2" t="s">
        <v>4139</v>
      </c>
      <c r="B3516" s="2" t="s">
        <v>12656</v>
      </c>
      <c r="C3516" s="3">
        <v>33734</v>
      </c>
      <c r="D3516" s="1" t="s">
        <v>12657</v>
      </c>
      <c r="E3516" s="1" t="s">
        <v>12658</v>
      </c>
      <c r="F3516" s="2" t="s">
        <v>12446</v>
      </c>
      <c r="G3516" s="2" t="s">
        <v>152</v>
      </c>
      <c r="H3516" s="2" t="s">
        <v>562</v>
      </c>
      <c r="I3516" s="2" t="s">
        <v>4139</v>
      </c>
      <c r="J3516" s="2" t="s">
        <v>153</v>
      </c>
      <c r="K3516" s="2" t="s">
        <v>10</v>
      </c>
    </row>
    <row r="3517" spans="1:12" ht="41.4" hidden="1" x14ac:dyDescent="0.3">
      <c r="A3517" s="2" t="s">
        <v>4139</v>
      </c>
      <c r="B3517" s="2" t="s">
        <v>12659</v>
      </c>
      <c r="C3517" s="3">
        <v>35623</v>
      </c>
      <c r="D3517" s="1" t="s">
        <v>12660</v>
      </c>
      <c r="E3517" s="1" t="s">
        <v>12661</v>
      </c>
      <c r="F3517" s="2" t="s">
        <v>12446</v>
      </c>
      <c r="G3517" s="2" t="s">
        <v>112</v>
      </c>
      <c r="H3517" s="2" t="s">
        <v>10</v>
      </c>
      <c r="I3517" s="2" t="s">
        <v>4139</v>
      </c>
      <c r="J3517" s="2" t="s">
        <v>315</v>
      </c>
      <c r="K3517" s="2" t="s">
        <v>10</v>
      </c>
    </row>
    <row r="3518" spans="1:12" ht="41.4" hidden="1" x14ac:dyDescent="0.3">
      <c r="A3518" s="2" t="s">
        <v>4139</v>
      </c>
      <c r="B3518" s="2" t="s">
        <v>12662</v>
      </c>
      <c r="C3518" s="3">
        <v>28923</v>
      </c>
      <c r="D3518" s="1" t="s">
        <v>12663</v>
      </c>
      <c r="E3518" s="1" t="s">
        <v>12664</v>
      </c>
      <c r="F3518" s="2" t="s">
        <v>12446</v>
      </c>
      <c r="G3518" s="2" t="s">
        <v>627</v>
      </c>
      <c r="H3518" s="2" t="s">
        <v>10</v>
      </c>
      <c r="I3518" s="2" t="s">
        <v>4139</v>
      </c>
      <c r="J3518" s="2" t="s">
        <v>628</v>
      </c>
      <c r="K3518" s="2" t="s">
        <v>10</v>
      </c>
    </row>
    <row r="3519" spans="1:12" ht="41.4" hidden="1" x14ac:dyDescent="0.3">
      <c r="A3519" s="2" t="s">
        <v>4139</v>
      </c>
      <c r="B3519" s="2" t="s">
        <v>12665</v>
      </c>
      <c r="C3519" s="3">
        <v>27793</v>
      </c>
      <c r="D3519" s="1" t="s">
        <v>12666</v>
      </c>
      <c r="E3519" s="1" t="s">
        <v>12667</v>
      </c>
      <c r="F3519" s="2" t="s">
        <v>12446</v>
      </c>
      <c r="G3519" s="2" t="s">
        <v>604</v>
      </c>
      <c r="H3519" s="2" t="s">
        <v>10</v>
      </c>
      <c r="I3519" s="2" t="s">
        <v>4139</v>
      </c>
      <c r="J3519" s="2" t="s">
        <v>605</v>
      </c>
      <c r="K3519" s="2" t="s">
        <v>10</v>
      </c>
    </row>
    <row r="3520" spans="1:12" ht="41.4" hidden="1" x14ac:dyDescent="0.3">
      <c r="A3520" s="2" t="s">
        <v>4139</v>
      </c>
      <c r="B3520" s="2" t="s">
        <v>12668</v>
      </c>
      <c r="C3520" s="3">
        <v>23676</v>
      </c>
      <c r="D3520" s="1" t="s">
        <v>12669</v>
      </c>
      <c r="E3520" s="1" t="s">
        <v>12670</v>
      </c>
      <c r="F3520" s="2" t="s">
        <v>12446</v>
      </c>
      <c r="G3520" s="2" t="s">
        <v>3825</v>
      </c>
      <c r="H3520" s="2" t="s">
        <v>10</v>
      </c>
      <c r="I3520" s="2" t="s">
        <v>4139</v>
      </c>
      <c r="J3520" s="2" t="s">
        <v>9883</v>
      </c>
      <c r="K3520" s="15" t="s">
        <v>10</v>
      </c>
    </row>
    <row r="3521" spans="1:12" hidden="1" x14ac:dyDescent="0.3">
      <c r="A3521" s="2" t="s">
        <v>4139</v>
      </c>
      <c r="B3521" s="2" t="s">
        <v>12671</v>
      </c>
      <c r="C3521" s="3">
        <v>24339</v>
      </c>
      <c r="D3521" s="1" t="s">
        <v>12672</v>
      </c>
      <c r="E3521" s="1" t="s">
        <v>12673</v>
      </c>
      <c r="F3521" s="2" t="s">
        <v>4143</v>
      </c>
      <c r="G3521" s="2" t="s">
        <v>3957</v>
      </c>
      <c r="H3521" s="2" t="s">
        <v>10</v>
      </c>
      <c r="I3521" s="2" t="s">
        <v>4139</v>
      </c>
      <c r="J3521" s="2" t="s">
        <v>12482</v>
      </c>
      <c r="K3521" s="2" t="s">
        <v>10</v>
      </c>
      <c r="L3521" s="6"/>
    </row>
    <row r="3522" spans="1:12" ht="27.6" hidden="1" x14ac:dyDescent="0.3">
      <c r="A3522" s="2" t="s">
        <v>1962</v>
      </c>
      <c r="B3522" s="2" t="s">
        <v>12674</v>
      </c>
      <c r="C3522" s="3">
        <v>32525</v>
      </c>
      <c r="D3522" s="1" t="s">
        <v>12675</v>
      </c>
      <c r="E3522" s="1" t="s">
        <v>12676</v>
      </c>
      <c r="F3522" s="2" t="s">
        <v>12337</v>
      </c>
      <c r="G3522" s="2" t="s">
        <v>143</v>
      </c>
      <c r="H3522" s="2" t="s">
        <v>10</v>
      </c>
      <c r="I3522" s="2" t="s">
        <v>1962</v>
      </c>
      <c r="J3522" s="2" t="s">
        <v>12677</v>
      </c>
      <c r="K3522" s="19" t="s">
        <v>10</v>
      </c>
    </row>
    <row r="3523" spans="1:12" hidden="1" x14ac:dyDescent="0.3">
      <c r="A3523" s="2" t="s">
        <v>4139</v>
      </c>
      <c r="B3523" s="2" t="s">
        <v>12678</v>
      </c>
      <c r="C3523" s="3">
        <v>29292</v>
      </c>
      <c r="D3523" s="1" t="s">
        <v>12679</v>
      </c>
      <c r="E3523" s="1" t="s">
        <v>12680</v>
      </c>
      <c r="F3523" s="2" t="s">
        <v>4143</v>
      </c>
      <c r="G3523" s="2" t="s">
        <v>1328</v>
      </c>
      <c r="H3523" s="2" t="s">
        <v>10</v>
      </c>
      <c r="I3523" s="2" t="s">
        <v>4139</v>
      </c>
      <c r="J3523" s="2" t="s">
        <v>2179</v>
      </c>
      <c r="K3523" s="2" t="s">
        <v>10</v>
      </c>
      <c r="L3523" s="6"/>
    </row>
    <row r="3524" spans="1:12" ht="27.6" hidden="1" x14ac:dyDescent="0.3">
      <c r="A3524" s="2" t="s">
        <v>4139</v>
      </c>
      <c r="B3524" s="2" t="s">
        <v>12681</v>
      </c>
      <c r="C3524" s="3">
        <v>32386</v>
      </c>
      <c r="D3524" s="1" t="s">
        <v>261</v>
      </c>
      <c r="E3524" s="1" t="s">
        <v>12682</v>
      </c>
      <c r="F3524" s="2" t="s">
        <v>12351</v>
      </c>
      <c r="G3524" s="2" t="s">
        <v>1328</v>
      </c>
      <c r="H3524" s="2" t="s">
        <v>751</v>
      </c>
      <c r="I3524" s="2" t="s">
        <v>4139</v>
      </c>
      <c r="J3524" s="2" t="s">
        <v>2179</v>
      </c>
      <c r="K3524" s="18" t="s">
        <v>10</v>
      </c>
    </row>
    <row r="3525" spans="1:12" ht="27.6" hidden="1" x14ac:dyDescent="0.3">
      <c r="A3525" s="2" t="s">
        <v>4139</v>
      </c>
      <c r="B3525" s="2" t="s">
        <v>12683</v>
      </c>
      <c r="C3525" s="3">
        <v>21644</v>
      </c>
      <c r="D3525" s="1" t="s">
        <v>12684</v>
      </c>
      <c r="E3525" s="1" t="s">
        <v>12685</v>
      </c>
      <c r="F3525" s="2" t="s">
        <v>12351</v>
      </c>
      <c r="G3525" s="2" t="s">
        <v>2800</v>
      </c>
      <c r="H3525" s="2" t="s">
        <v>10</v>
      </c>
      <c r="I3525" s="2" t="s">
        <v>4139</v>
      </c>
      <c r="J3525" s="2" t="s">
        <v>11300</v>
      </c>
      <c r="K3525" s="2" t="s">
        <v>10</v>
      </c>
    </row>
    <row r="3526" spans="1:12" ht="41.4" hidden="1" x14ac:dyDescent="0.3">
      <c r="A3526" s="2" t="s">
        <v>4139</v>
      </c>
      <c r="B3526" s="2" t="s">
        <v>12686</v>
      </c>
      <c r="C3526" s="3">
        <v>26066</v>
      </c>
      <c r="D3526" s="1" t="s">
        <v>12687</v>
      </c>
      <c r="E3526" s="1" t="s">
        <v>12688</v>
      </c>
      <c r="F3526" s="2" t="s">
        <v>12446</v>
      </c>
      <c r="G3526" s="2" t="s">
        <v>1004</v>
      </c>
      <c r="H3526" s="2" t="s">
        <v>81</v>
      </c>
      <c r="I3526" s="2" t="s">
        <v>4139</v>
      </c>
      <c r="J3526" s="2" t="s">
        <v>9652</v>
      </c>
      <c r="K3526" s="2" t="s">
        <v>10</v>
      </c>
    </row>
    <row r="3527" spans="1:12" ht="41.4" hidden="1" x14ac:dyDescent="0.3">
      <c r="A3527" s="2" t="s">
        <v>4139</v>
      </c>
      <c r="B3527" s="2" t="s">
        <v>12689</v>
      </c>
      <c r="C3527" s="3">
        <v>17537</v>
      </c>
      <c r="D3527" s="1" t="s">
        <v>12690</v>
      </c>
      <c r="E3527" s="1" t="s">
        <v>12691</v>
      </c>
      <c r="F3527" s="2" t="s">
        <v>12446</v>
      </c>
      <c r="G3527" s="2" t="s">
        <v>1004</v>
      </c>
      <c r="H3527" s="2" t="s">
        <v>103</v>
      </c>
      <c r="I3527" s="2" t="s">
        <v>4139</v>
      </c>
      <c r="J3527" s="2" t="s">
        <v>9652</v>
      </c>
      <c r="K3527" s="2" t="s">
        <v>10</v>
      </c>
    </row>
    <row r="3528" spans="1:12" ht="27.6" hidden="1" x14ac:dyDescent="0.3">
      <c r="A3528" s="2" t="s">
        <v>4139</v>
      </c>
      <c r="B3528" s="2" t="s">
        <v>12692</v>
      </c>
      <c r="C3528" s="3">
        <v>20808</v>
      </c>
      <c r="D3528" s="1" t="s">
        <v>12693</v>
      </c>
      <c r="E3528" s="1" t="s">
        <v>12694</v>
      </c>
      <c r="F3528" s="2" t="s">
        <v>12351</v>
      </c>
      <c r="G3528" s="2" t="s">
        <v>1217</v>
      </c>
      <c r="H3528" s="2" t="s">
        <v>10</v>
      </c>
      <c r="I3528" s="2" t="s">
        <v>4139</v>
      </c>
      <c r="J3528" s="2" t="s">
        <v>6628</v>
      </c>
      <c r="K3528" s="15" t="s">
        <v>10</v>
      </c>
    </row>
    <row r="3529" spans="1:12" hidden="1" x14ac:dyDescent="0.3">
      <c r="A3529" s="2" t="s">
        <v>4139</v>
      </c>
      <c r="B3529" s="2" t="s">
        <v>12695</v>
      </c>
      <c r="C3529" s="3">
        <v>26491</v>
      </c>
      <c r="D3529" s="1" t="s">
        <v>12696</v>
      </c>
      <c r="E3529" s="1" t="s">
        <v>12697</v>
      </c>
      <c r="F3529" s="2" t="s">
        <v>4143</v>
      </c>
      <c r="G3529" s="2" t="s">
        <v>8455</v>
      </c>
      <c r="H3529" s="2" t="s">
        <v>10</v>
      </c>
      <c r="I3529" s="2" t="s">
        <v>4139</v>
      </c>
      <c r="J3529" s="2" t="s">
        <v>8456</v>
      </c>
      <c r="K3529" s="2" t="s">
        <v>10</v>
      </c>
      <c r="L3529" s="6"/>
    </row>
    <row r="3530" spans="1:12" ht="41.4" hidden="1" x14ac:dyDescent="0.3">
      <c r="A3530" s="2" t="s">
        <v>4139</v>
      </c>
      <c r="B3530" s="2" t="s">
        <v>12698</v>
      </c>
      <c r="C3530" s="3">
        <v>25014</v>
      </c>
      <c r="D3530" s="1" t="s">
        <v>12699</v>
      </c>
      <c r="E3530" s="1" t="s">
        <v>12700</v>
      </c>
      <c r="F3530" s="2" t="s">
        <v>12446</v>
      </c>
      <c r="G3530" s="2" t="s">
        <v>1009</v>
      </c>
      <c r="H3530" s="2" t="s">
        <v>103</v>
      </c>
      <c r="I3530" s="2" t="s">
        <v>4139</v>
      </c>
      <c r="J3530" s="2" t="s">
        <v>2388</v>
      </c>
      <c r="K3530" s="18" t="s">
        <v>10</v>
      </c>
    </row>
    <row r="3531" spans="1:12" ht="41.4" hidden="1" x14ac:dyDescent="0.3">
      <c r="A3531" s="2" t="s">
        <v>4139</v>
      </c>
      <c r="B3531" s="2" t="s">
        <v>12698</v>
      </c>
      <c r="C3531" s="3">
        <v>25014</v>
      </c>
      <c r="D3531" s="1" t="s">
        <v>12699</v>
      </c>
      <c r="E3531" s="1" t="s">
        <v>12700</v>
      </c>
      <c r="F3531" s="2" t="s">
        <v>12446</v>
      </c>
      <c r="G3531" s="2" t="s">
        <v>1009</v>
      </c>
      <c r="H3531" s="2" t="s">
        <v>81</v>
      </c>
      <c r="I3531" s="2" t="s">
        <v>4139</v>
      </c>
      <c r="J3531" s="2" t="s">
        <v>2388</v>
      </c>
      <c r="K3531" s="2" t="s">
        <v>10</v>
      </c>
    </row>
    <row r="3532" spans="1:12" ht="41.4" hidden="1" x14ac:dyDescent="0.3">
      <c r="A3532" s="2" t="s">
        <v>4139</v>
      </c>
      <c r="B3532" s="2" t="s">
        <v>12701</v>
      </c>
      <c r="C3532" s="3">
        <v>28039</v>
      </c>
      <c r="D3532" s="1" t="s">
        <v>12702</v>
      </c>
      <c r="E3532" s="1" t="s">
        <v>12703</v>
      </c>
      <c r="F3532" s="2" t="s">
        <v>12446</v>
      </c>
      <c r="G3532" s="2" t="s">
        <v>6588</v>
      </c>
      <c r="H3532" s="2" t="s">
        <v>103</v>
      </c>
      <c r="I3532" s="2" t="s">
        <v>4139</v>
      </c>
      <c r="J3532" s="2" t="s">
        <v>12704</v>
      </c>
      <c r="K3532" s="2" t="s">
        <v>10</v>
      </c>
    </row>
    <row r="3533" spans="1:12" ht="41.4" hidden="1" x14ac:dyDescent="0.3">
      <c r="A3533" s="2" t="s">
        <v>4139</v>
      </c>
      <c r="B3533" s="2" t="s">
        <v>12701</v>
      </c>
      <c r="C3533" s="3">
        <v>28039</v>
      </c>
      <c r="D3533" s="1" t="s">
        <v>12702</v>
      </c>
      <c r="E3533" s="1" t="s">
        <v>12703</v>
      </c>
      <c r="F3533" s="2" t="s">
        <v>12446</v>
      </c>
      <c r="G3533" s="2" t="s">
        <v>6588</v>
      </c>
      <c r="H3533" s="2" t="s">
        <v>81</v>
      </c>
      <c r="I3533" s="2" t="s">
        <v>4139</v>
      </c>
      <c r="J3533" s="2" t="s">
        <v>7239</v>
      </c>
      <c r="K3533" s="2" t="s">
        <v>10</v>
      </c>
    </row>
    <row r="3534" spans="1:12" ht="27.6" hidden="1" x14ac:dyDescent="0.3">
      <c r="A3534" s="2" t="s">
        <v>4139</v>
      </c>
      <c r="B3534" s="2" t="s">
        <v>12705</v>
      </c>
      <c r="C3534" s="3">
        <v>36482</v>
      </c>
      <c r="D3534" s="1" t="s">
        <v>12706</v>
      </c>
      <c r="E3534" s="1" t="s">
        <v>12707</v>
      </c>
      <c r="F3534" s="2" t="s">
        <v>12708</v>
      </c>
      <c r="G3534" s="2" t="s">
        <v>425</v>
      </c>
      <c r="H3534" s="2" t="s">
        <v>10</v>
      </c>
      <c r="I3534" s="2" t="s">
        <v>4139</v>
      </c>
      <c r="J3534" s="2" t="s">
        <v>1181</v>
      </c>
      <c r="K3534" s="2" t="s">
        <v>10</v>
      </c>
    </row>
    <row r="3535" spans="1:12" ht="27.6" hidden="1" x14ac:dyDescent="0.3">
      <c r="A3535" s="2" t="s">
        <v>4139</v>
      </c>
      <c r="B3535" s="2" t="s">
        <v>12709</v>
      </c>
      <c r="C3535" s="3">
        <v>34966</v>
      </c>
      <c r="D3535" s="1" t="s">
        <v>12710</v>
      </c>
      <c r="E3535" s="1" t="s">
        <v>12711</v>
      </c>
      <c r="F3535" s="2" t="s">
        <v>12708</v>
      </c>
      <c r="G3535" s="2" t="s">
        <v>80</v>
      </c>
      <c r="H3535" s="2" t="s">
        <v>103</v>
      </c>
      <c r="I3535" s="2" t="s">
        <v>4139</v>
      </c>
      <c r="J3535" s="2" t="s">
        <v>82</v>
      </c>
      <c r="K3535" s="2" t="s">
        <v>10</v>
      </c>
    </row>
    <row r="3536" spans="1:12" ht="27.6" hidden="1" x14ac:dyDescent="0.3">
      <c r="A3536" s="2" t="s">
        <v>4139</v>
      </c>
      <c r="B3536" s="2" t="s">
        <v>12712</v>
      </c>
      <c r="C3536" s="3">
        <v>37016</v>
      </c>
      <c r="D3536" s="1" t="s">
        <v>12713</v>
      </c>
      <c r="E3536" s="1" t="s">
        <v>12714</v>
      </c>
      <c r="F3536" s="2" t="s">
        <v>12708</v>
      </c>
      <c r="G3536" s="2" t="s">
        <v>80</v>
      </c>
      <c r="H3536" s="2" t="s">
        <v>4531</v>
      </c>
      <c r="I3536" s="2" t="s">
        <v>4139</v>
      </c>
      <c r="J3536" s="2" t="s">
        <v>82</v>
      </c>
      <c r="K3536" s="2" t="s">
        <v>10</v>
      </c>
    </row>
    <row r="3537" spans="1:11" ht="27.6" hidden="1" x14ac:dyDescent="0.3">
      <c r="A3537" s="2" t="s">
        <v>4139</v>
      </c>
      <c r="B3537" s="2" t="s">
        <v>12715</v>
      </c>
      <c r="C3537" s="3">
        <v>38027</v>
      </c>
      <c r="D3537" s="1" t="s">
        <v>12716</v>
      </c>
      <c r="E3537" s="1" t="s">
        <v>12717</v>
      </c>
      <c r="F3537" s="2" t="s">
        <v>12708</v>
      </c>
      <c r="G3537" s="2" t="s">
        <v>1504</v>
      </c>
      <c r="H3537" s="2" t="s">
        <v>10</v>
      </c>
      <c r="I3537" s="2" t="s">
        <v>4139</v>
      </c>
      <c r="J3537" s="2" t="s">
        <v>1505</v>
      </c>
      <c r="K3537" s="2" t="s">
        <v>10</v>
      </c>
    </row>
    <row r="3538" spans="1:11" ht="27.6" hidden="1" x14ac:dyDescent="0.3">
      <c r="A3538" s="2" t="s">
        <v>4139</v>
      </c>
      <c r="B3538" s="2" t="s">
        <v>12718</v>
      </c>
      <c r="C3538" s="3">
        <v>33799</v>
      </c>
      <c r="D3538" s="1" t="s">
        <v>12719</v>
      </c>
      <c r="E3538" s="1" t="s">
        <v>12720</v>
      </c>
      <c r="F3538" s="2" t="s">
        <v>12708</v>
      </c>
      <c r="G3538" s="2" t="s">
        <v>245</v>
      </c>
      <c r="H3538" s="2" t="s">
        <v>10</v>
      </c>
      <c r="I3538" s="2" t="s">
        <v>4139</v>
      </c>
      <c r="J3538" s="2" t="s">
        <v>247</v>
      </c>
      <c r="K3538" s="2" t="s">
        <v>10</v>
      </c>
    </row>
    <row r="3539" spans="1:11" ht="27.6" hidden="1" x14ac:dyDescent="0.3">
      <c r="A3539" s="2" t="s">
        <v>4139</v>
      </c>
      <c r="B3539" s="2" t="s">
        <v>12721</v>
      </c>
      <c r="C3539" s="3">
        <v>27202</v>
      </c>
      <c r="D3539" s="1" t="s">
        <v>12722</v>
      </c>
      <c r="E3539" s="1" t="s">
        <v>12723</v>
      </c>
      <c r="F3539" s="2" t="s">
        <v>12708</v>
      </c>
      <c r="G3539" s="2" t="s">
        <v>3940</v>
      </c>
      <c r="H3539" s="2" t="s">
        <v>10</v>
      </c>
      <c r="I3539" s="2" t="s">
        <v>4139</v>
      </c>
      <c r="J3539" s="2" t="s">
        <v>12478</v>
      </c>
      <c r="K3539" s="2" t="s">
        <v>10</v>
      </c>
    </row>
    <row r="3540" spans="1:11" ht="27.6" hidden="1" x14ac:dyDescent="0.3">
      <c r="A3540" s="2" t="s">
        <v>4139</v>
      </c>
      <c r="B3540" s="2" t="s">
        <v>12724</v>
      </c>
      <c r="C3540" s="3">
        <v>21449</v>
      </c>
      <c r="D3540" s="1" t="s">
        <v>12725</v>
      </c>
      <c r="E3540" s="1" t="s">
        <v>12726</v>
      </c>
      <c r="F3540" s="2" t="s">
        <v>12708</v>
      </c>
      <c r="G3540" s="2" t="s">
        <v>2743</v>
      </c>
      <c r="H3540" s="2" t="s">
        <v>10</v>
      </c>
      <c r="I3540" s="2" t="s">
        <v>4139</v>
      </c>
      <c r="J3540" s="2" t="s">
        <v>3164</v>
      </c>
      <c r="K3540" s="2" t="s">
        <v>10</v>
      </c>
    </row>
    <row r="3541" spans="1:11" ht="27.6" hidden="1" x14ac:dyDescent="0.3">
      <c r="A3541" s="2" t="s">
        <v>4139</v>
      </c>
      <c r="B3541" s="2" t="s">
        <v>12727</v>
      </c>
      <c r="C3541" s="3">
        <v>29376</v>
      </c>
      <c r="D3541" s="1" t="s">
        <v>12728</v>
      </c>
      <c r="E3541" s="1" t="s">
        <v>12729</v>
      </c>
      <c r="F3541" s="2" t="s">
        <v>12708</v>
      </c>
      <c r="G3541" s="2" t="s">
        <v>2079</v>
      </c>
      <c r="H3541" s="2" t="s">
        <v>43</v>
      </c>
      <c r="I3541" s="2" t="s">
        <v>4139</v>
      </c>
      <c r="J3541" s="2" t="s">
        <v>2080</v>
      </c>
      <c r="K3541" s="2" t="s">
        <v>10</v>
      </c>
    </row>
    <row r="3542" spans="1:11" ht="27.6" hidden="1" x14ac:dyDescent="0.3">
      <c r="A3542" s="2" t="s">
        <v>4139</v>
      </c>
      <c r="B3542" s="2" t="s">
        <v>12730</v>
      </c>
      <c r="C3542" s="3">
        <v>36316</v>
      </c>
      <c r="D3542" s="1" t="s">
        <v>12731</v>
      </c>
      <c r="E3542" s="1" t="s">
        <v>12732</v>
      </c>
      <c r="F3542" s="2" t="s">
        <v>12708</v>
      </c>
      <c r="G3542" s="2" t="s">
        <v>80</v>
      </c>
      <c r="H3542" s="2" t="s">
        <v>562</v>
      </c>
      <c r="I3542" s="2" t="s">
        <v>4139</v>
      </c>
      <c r="J3542" s="2" t="s">
        <v>82</v>
      </c>
      <c r="K3542" s="2" t="s">
        <v>10</v>
      </c>
    </row>
    <row r="3543" spans="1:11" ht="41.4" hidden="1" x14ac:dyDescent="0.3">
      <c r="A3543" s="2" t="s">
        <v>4139</v>
      </c>
      <c r="B3543" s="2" t="s">
        <v>12733</v>
      </c>
      <c r="C3543" s="3">
        <v>33470</v>
      </c>
      <c r="D3543" s="1" t="s">
        <v>12734</v>
      </c>
      <c r="E3543" s="1" t="s">
        <v>12735</v>
      </c>
      <c r="F3543" s="2" t="s">
        <v>12446</v>
      </c>
      <c r="G3543" s="2" t="s">
        <v>1955</v>
      </c>
      <c r="H3543" s="2" t="s">
        <v>10</v>
      </c>
      <c r="I3543" s="2" t="s">
        <v>4139</v>
      </c>
      <c r="J3543" s="2" t="s">
        <v>1956</v>
      </c>
      <c r="K3543" s="2" t="s">
        <v>10</v>
      </c>
    </row>
    <row r="3544" spans="1:11" ht="41.4" hidden="1" x14ac:dyDescent="0.3">
      <c r="A3544" s="2" t="s">
        <v>4139</v>
      </c>
      <c r="B3544" s="2" t="s">
        <v>12736</v>
      </c>
      <c r="C3544" s="3">
        <v>23645</v>
      </c>
      <c r="D3544" s="1" t="s">
        <v>261</v>
      </c>
      <c r="E3544" s="1" t="s">
        <v>12737</v>
      </c>
      <c r="F3544" s="2" t="s">
        <v>12446</v>
      </c>
      <c r="G3544" s="2" t="s">
        <v>309</v>
      </c>
      <c r="H3544" s="2" t="s">
        <v>10</v>
      </c>
      <c r="I3544" s="2" t="s">
        <v>4139</v>
      </c>
      <c r="J3544" s="2" t="s">
        <v>310</v>
      </c>
      <c r="K3544" s="2" t="s">
        <v>10</v>
      </c>
    </row>
    <row r="3545" spans="1:11" ht="27.6" hidden="1" x14ac:dyDescent="0.3">
      <c r="A3545" s="2" t="s">
        <v>4139</v>
      </c>
      <c r="B3545" s="2" t="s">
        <v>12738</v>
      </c>
      <c r="C3545" s="3">
        <v>25851</v>
      </c>
      <c r="D3545" s="1" t="s">
        <v>12739</v>
      </c>
      <c r="E3545" s="1" t="s">
        <v>12740</v>
      </c>
      <c r="F3545" s="2" t="s">
        <v>12708</v>
      </c>
      <c r="G3545" s="2" t="s">
        <v>288</v>
      </c>
      <c r="H3545" s="2" t="s">
        <v>43</v>
      </c>
      <c r="I3545" s="2" t="s">
        <v>4139</v>
      </c>
      <c r="J3545" s="2" t="s">
        <v>289</v>
      </c>
      <c r="K3545" s="2" t="s">
        <v>10</v>
      </c>
    </row>
    <row r="3546" spans="1:11" ht="27.6" hidden="1" x14ac:dyDescent="0.3">
      <c r="A3546" s="2" t="s">
        <v>4139</v>
      </c>
      <c r="B3546" s="2" t="s">
        <v>12741</v>
      </c>
      <c r="C3546" s="3">
        <v>22135</v>
      </c>
      <c r="D3546" s="1" t="s">
        <v>12742</v>
      </c>
      <c r="E3546" s="1" t="s">
        <v>12743</v>
      </c>
      <c r="F3546" s="2" t="s">
        <v>12708</v>
      </c>
      <c r="G3546" s="2" t="s">
        <v>333</v>
      </c>
      <c r="H3546" s="2" t="s">
        <v>10</v>
      </c>
      <c r="I3546" s="2" t="s">
        <v>4139</v>
      </c>
      <c r="J3546" s="2" t="s">
        <v>1059</v>
      </c>
      <c r="K3546" s="2" t="s">
        <v>10</v>
      </c>
    </row>
    <row r="3547" spans="1:11" ht="27.6" hidden="1" x14ac:dyDescent="0.3">
      <c r="A3547" s="2" t="s">
        <v>4139</v>
      </c>
      <c r="B3547" s="2" t="s">
        <v>12744</v>
      </c>
      <c r="C3547" s="3">
        <v>25783</v>
      </c>
      <c r="D3547" s="1" t="s">
        <v>261</v>
      </c>
      <c r="E3547" s="1" t="s">
        <v>12745</v>
      </c>
      <c r="F3547" s="2" t="s">
        <v>12708</v>
      </c>
      <c r="G3547" s="2" t="s">
        <v>696</v>
      </c>
      <c r="H3547" s="2" t="s">
        <v>10</v>
      </c>
      <c r="I3547" s="2" t="s">
        <v>4139</v>
      </c>
      <c r="J3547" s="2" t="s">
        <v>697</v>
      </c>
      <c r="K3547" s="2" t="s">
        <v>10</v>
      </c>
    </row>
    <row r="3548" spans="1:11" ht="27.6" hidden="1" x14ac:dyDescent="0.3">
      <c r="A3548" s="2" t="s">
        <v>4139</v>
      </c>
      <c r="B3548" s="2" t="s">
        <v>12746</v>
      </c>
      <c r="C3548" s="3">
        <v>25334</v>
      </c>
      <c r="D3548" s="1" t="s">
        <v>12747</v>
      </c>
      <c r="E3548" s="1" t="s">
        <v>12748</v>
      </c>
      <c r="F3548" s="2" t="s">
        <v>12708</v>
      </c>
      <c r="G3548" s="2" t="s">
        <v>333</v>
      </c>
      <c r="H3548" s="2" t="s">
        <v>43</v>
      </c>
      <c r="I3548" s="2" t="s">
        <v>4139</v>
      </c>
      <c r="J3548" s="2" t="s">
        <v>1059</v>
      </c>
      <c r="K3548" s="2" t="s">
        <v>10</v>
      </c>
    </row>
    <row r="3549" spans="1:11" ht="27.6" hidden="1" x14ac:dyDescent="0.3">
      <c r="A3549" s="2" t="s">
        <v>4139</v>
      </c>
      <c r="B3549" s="2" t="s">
        <v>12749</v>
      </c>
      <c r="C3549" s="3">
        <v>32952</v>
      </c>
      <c r="D3549" s="1" t="s">
        <v>12750</v>
      </c>
      <c r="E3549" s="1" t="s">
        <v>12751</v>
      </c>
      <c r="F3549" s="2" t="s">
        <v>12708</v>
      </c>
      <c r="G3549" s="2" t="s">
        <v>350</v>
      </c>
      <c r="H3549" s="2" t="s">
        <v>10</v>
      </c>
      <c r="I3549" s="2" t="s">
        <v>4139</v>
      </c>
      <c r="J3549" s="2" t="s">
        <v>1224</v>
      </c>
      <c r="K3549" s="2" t="s">
        <v>10</v>
      </c>
    </row>
    <row r="3550" spans="1:11" ht="27.6" hidden="1" x14ac:dyDescent="0.3">
      <c r="A3550" s="2" t="s">
        <v>4139</v>
      </c>
      <c r="B3550" s="2" t="s">
        <v>12752</v>
      </c>
      <c r="C3550" s="3">
        <v>20188</v>
      </c>
      <c r="D3550" s="1" t="s">
        <v>12753</v>
      </c>
      <c r="E3550" s="1" t="s">
        <v>12754</v>
      </c>
      <c r="F3550" s="2" t="s">
        <v>12708</v>
      </c>
      <c r="G3550" s="2" t="s">
        <v>37</v>
      </c>
      <c r="H3550" s="2" t="s">
        <v>10</v>
      </c>
      <c r="I3550" s="2" t="s">
        <v>4139</v>
      </c>
      <c r="J3550" s="2" t="s">
        <v>406</v>
      </c>
      <c r="K3550" s="2" t="s">
        <v>10</v>
      </c>
    </row>
    <row r="3551" spans="1:11" ht="27.6" hidden="1" x14ac:dyDescent="0.3">
      <c r="A3551" s="2" t="s">
        <v>4139</v>
      </c>
      <c r="B3551" s="2" t="s">
        <v>12755</v>
      </c>
      <c r="C3551" s="3">
        <v>34935</v>
      </c>
      <c r="D3551" s="1" t="s">
        <v>12756</v>
      </c>
      <c r="E3551" s="1" t="s">
        <v>12757</v>
      </c>
      <c r="F3551" s="2" t="s">
        <v>12708</v>
      </c>
      <c r="G3551" s="2" t="s">
        <v>3940</v>
      </c>
      <c r="H3551" s="2" t="s">
        <v>26</v>
      </c>
      <c r="I3551" s="2" t="s">
        <v>4139</v>
      </c>
      <c r="J3551" s="2" t="s">
        <v>12478</v>
      </c>
      <c r="K3551" s="2" t="s">
        <v>10</v>
      </c>
    </row>
    <row r="3552" spans="1:11" ht="27.6" hidden="1" x14ac:dyDescent="0.3">
      <c r="A3552" s="2" t="s">
        <v>4139</v>
      </c>
      <c r="B3552" s="2" t="s">
        <v>12758</v>
      </c>
      <c r="C3552" s="3">
        <v>25958</v>
      </c>
      <c r="D3552" s="1" t="s">
        <v>12759</v>
      </c>
      <c r="E3552" s="1" t="s">
        <v>12760</v>
      </c>
      <c r="F3552" s="2" t="s">
        <v>12708</v>
      </c>
      <c r="G3552" s="2" t="s">
        <v>380</v>
      </c>
      <c r="H3552" s="2" t="s">
        <v>43</v>
      </c>
      <c r="I3552" s="2" t="s">
        <v>4139</v>
      </c>
      <c r="J3552" s="2" t="s">
        <v>12761</v>
      </c>
      <c r="K3552" s="2" t="s">
        <v>10</v>
      </c>
    </row>
    <row r="3553" spans="1:12" hidden="1" x14ac:dyDescent="0.3">
      <c r="A3553" s="2" t="s">
        <v>4139</v>
      </c>
      <c r="B3553" s="2" t="s">
        <v>12762</v>
      </c>
      <c r="C3553" s="3">
        <v>28141</v>
      </c>
      <c r="D3553" s="1" t="s">
        <v>12763</v>
      </c>
      <c r="E3553" s="1" t="s">
        <v>12764</v>
      </c>
      <c r="F3553" s="2" t="s">
        <v>8906</v>
      </c>
      <c r="G3553" s="2" t="s">
        <v>283</v>
      </c>
      <c r="H3553" s="2" t="s">
        <v>10</v>
      </c>
      <c r="I3553" s="2" t="s">
        <v>4139</v>
      </c>
      <c r="J3553" s="2" t="s">
        <v>9609</v>
      </c>
      <c r="K3553" s="2" t="s">
        <v>10</v>
      </c>
    </row>
    <row r="3554" spans="1:12" ht="41.4" hidden="1" x14ac:dyDescent="0.3">
      <c r="A3554" s="2" t="s">
        <v>4139</v>
      </c>
      <c r="B3554" s="2" t="s">
        <v>12765</v>
      </c>
      <c r="C3554" s="3">
        <v>30191</v>
      </c>
      <c r="D3554" s="1" t="s">
        <v>12766</v>
      </c>
      <c r="E3554" s="1" t="s">
        <v>12767</v>
      </c>
      <c r="F3554" s="2" t="s">
        <v>12446</v>
      </c>
      <c r="G3554" s="2" t="s">
        <v>385</v>
      </c>
      <c r="H3554" s="2" t="s">
        <v>81</v>
      </c>
      <c r="I3554" s="2" t="s">
        <v>4139</v>
      </c>
      <c r="J3554" s="2" t="s">
        <v>913</v>
      </c>
      <c r="K3554" s="2" t="s">
        <v>10</v>
      </c>
    </row>
    <row r="3555" spans="1:12" ht="41.4" hidden="1" x14ac:dyDescent="0.3">
      <c r="A3555" s="2" t="s">
        <v>4139</v>
      </c>
      <c r="B3555" s="2" t="s">
        <v>12768</v>
      </c>
      <c r="C3555" s="3">
        <v>20835</v>
      </c>
      <c r="D3555" s="1" t="s">
        <v>12769</v>
      </c>
      <c r="E3555" s="1" t="s">
        <v>12770</v>
      </c>
      <c r="F3555" s="2" t="s">
        <v>12121</v>
      </c>
      <c r="G3555" s="2" t="s">
        <v>12771</v>
      </c>
      <c r="H3555" s="2" t="s">
        <v>10</v>
      </c>
      <c r="I3555" s="2" t="s">
        <v>4139</v>
      </c>
      <c r="J3555" s="2" t="s">
        <v>12772</v>
      </c>
      <c r="K3555" s="2" t="s">
        <v>10</v>
      </c>
    </row>
    <row r="3556" spans="1:12" ht="27.6" hidden="1" x14ac:dyDescent="0.3">
      <c r="A3556" s="2" t="s">
        <v>4139</v>
      </c>
      <c r="B3556" s="2" t="s">
        <v>12773</v>
      </c>
      <c r="C3556" s="3">
        <v>27375</v>
      </c>
      <c r="D3556" s="1" t="s">
        <v>12774</v>
      </c>
      <c r="E3556" s="1" t="s">
        <v>12775</v>
      </c>
      <c r="F3556" s="2" t="s">
        <v>12708</v>
      </c>
      <c r="G3556" s="2" t="s">
        <v>2079</v>
      </c>
      <c r="H3556" s="2" t="s">
        <v>10</v>
      </c>
      <c r="I3556" s="2" t="s">
        <v>4139</v>
      </c>
      <c r="J3556" s="2" t="s">
        <v>2080</v>
      </c>
      <c r="K3556" s="2" t="s">
        <v>10</v>
      </c>
    </row>
    <row r="3557" spans="1:12" ht="27.6" hidden="1" x14ac:dyDescent="0.3">
      <c r="A3557" s="2" t="s">
        <v>4139</v>
      </c>
      <c r="B3557" s="2" t="s">
        <v>12776</v>
      </c>
      <c r="C3557" s="3">
        <v>23656</v>
      </c>
      <c r="D3557" s="1" t="s">
        <v>12777</v>
      </c>
      <c r="E3557" s="1" t="s">
        <v>12778</v>
      </c>
      <c r="F3557" s="2" t="s">
        <v>12708</v>
      </c>
      <c r="G3557" s="2" t="s">
        <v>3931</v>
      </c>
      <c r="H3557" s="2" t="s">
        <v>10</v>
      </c>
      <c r="I3557" s="2" t="s">
        <v>4139</v>
      </c>
      <c r="J3557" s="2" t="s">
        <v>4307</v>
      </c>
      <c r="K3557" s="2" t="s">
        <v>10</v>
      </c>
    </row>
    <row r="3558" spans="1:12" ht="27.6" hidden="1" x14ac:dyDescent="0.3">
      <c r="A3558" s="2" t="s">
        <v>4139</v>
      </c>
      <c r="B3558" s="2" t="s">
        <v>12779</v>
      </c>
      <c r="C3558" s="3">
        <v>24384</v>
      </c>
      <c r="D3558" s="1" t="s">
        <v>12780</v>
      </c>
      <c r="E3558" s="1" t="s">
        <v>12781</v>
      </c>
      <c r="F3558" s="2" t="s">
        <v>12708</v>
      </c>
      <c r="G3558" s="2" t="s">
        <v>734</v>
      </c>
      <c r="H3558" s="2" t="s">
        <v>10</v>
      </c>
      <c r="I3558" s="2" t="s">
        <v>4139</v>
      </c>
      <c r="J3558" s="2" t="s">
        <v>3274</v>
      </c>
      <c r="K3558" s="2" t="s">
        <v>10</v>
      </c>
    </row>
    <row r="3559" spans="1:12" ht="27.6" hidden="1" x14ac:dyDescent="0.3">
      <c r="A3559" s="2" t="s">
        <v>4139</v>
      </c>
      <c r="B3559" s="2" t="s">
        <v>12782</v>
      </c>
      <c r="C3559" s="3">
        <v>29127</v>
      </c>
      <c r="D3559" s="1" t="s">
        <v>12783</v>
      </c>
      <c r="E3559" s="1" t="s">
        <v>12784</v>
      </c>
      <c r="F3559" s="2" t="s">
        <v>12708</v>
      </c>
      <c r="G3559" s="2" t="s">
        <v>1758</v>
      </c>
      <c r="H3559" s="2" t="s">
        <v>10</v>
      </c>
      <c r="I3559" s="2" t="s">
        <v>4139</v>
      </c>
      <c r="J3559" s="2" t="s">
        <v>1759</v>
      </c>
      <c r="K3559" s="2" t="s">
        <v>10</v>
      </c>
    </row>
    <row r="3560" spans="1:12" ht="27.6" hidden="1" x14ac:dyDescent="0.3">
      <c r="A3560" s="2" t="s">
        <v>4139</v>
      </c>
      <c r="B3560" s="2" t="s">
        <v>12785</v>
      </c>
      <c r="C3560" s="3">
        <v>30529</v>
      </c>
      <c r="D3560" s="1" t="s">
        <v>12786</v>
      </c>
      <c r="E3560" s="1" t="s">
        <v>12787</v>
      </c>
      <c r="F3560" s="2" t="s">
        <v>12708</v>
      </c>
      <c r="G3560" s="2" t="s">
        <v>1015</v>
      </c>
      <c r="H3560" s="2" t="s">
        <v>10</v>
      </c>
      <c r="I3560" s="2" t="s">
        <v>4139</v>
      </c>
      <c r="J3560" s="2" t="s">
        <v>1016</v>
      </c>
      <c r="K3560" s="2" t="s">
        <v>10</v>
      </c>
    </row>
    <row r="3561" spans="1:12" ht="27.6" hidden="1" x14ac:dyDescent="0.3">
      <c r="A3561" s="2" t="s">
        <v>4139</v>
      </c>
      <c r="B3561" s="2" t="s">
        <v>12788</v>
      </c>
      <c r="C3561" s="3">
        <v>34343</v>
      </c>
      <c r="D3561" s="1" t="s">
        <v>12789</v>
      </c>
      <c r="E3561" s="1" t="s">
        <v>12790</v>
      </c>
      <c r="F3561" s="2" t="s">
        <v>12708</v>
      </c>
      <c r="G3561" s="2" t="s">
        <v>1294</v>
      </c>
      <c r="H3561" s="2" t="s">
        <v>10</v>
      </c>
      <c r="I3561" s="2" t="s">
        <v>4139</v>
      </c>
      <c r="J3561" s="2" t="s">
        <v>1296</v>
      </c>
      <c r="K3561" s="2" t="s">
        <v>10</v>
      </c>
    </row>
    <row r="3562" spans="1:12" ht="27.6" hidden="1" x14ac:dyDescent="0.3">
      <c r="A3562" s="2" t="s">
        <v>4139</v>
      </c>
      <c r="B3562" s="2" t="s">
        <v>12791</v>
      </c>
      <c r="C3562" s="3">
        <v>23078</v>
      </c>
      <c r="D3562" s="1" t="s">
        <v>12792</v>
      </c>
      <c r="E3562" s="1" t="s">
        <v>12793</v>
      </c>
      <c r="F3562" s="2" t="s">
        <v>12708</v>
      </c>
      <c r="G3562" s="2" t="s">
        <v>392</v>
      </c>
      <c r="H3562" s="2" t="s">
        <v>103</v>
      </c>
      <c r="I3562" s="2" t="s">
        <v>4139</v>
      </c>
      <c r="J3562" s="2" t="s">
        <v>1213</v>
      </c>
      <c r="K3562" s="2" t="s">
        <v>10</v>
      </c>
    </row>
    <row r="3563" spans="1:12" ht="27.6" hidden="1" x14ac:dyDescent="0.3">
      <c r="A3563" s="2" t="s">
        <v>4139</v>
      </c>
      <c r="B3563" s="2" t="s">
        <v>12794</v>
      </c>
      <c r="C3563" s="3">
        <v>32500</v>
      </c>
      <c r="D3563" s="1" t="s">
        <v>12795</v>
      </c>
      <c r="E3563" s="1" t="s">
        <v>12796</v>
      </c>
      <c r="F3563" s="2" t="s">
        <v>12708</v>
      </c>
      <c r="G3563" s="2" t="s">
        <v>328</v>
      </c>
      <c r="H3563" s="2" t="s">
        <v>81</v>
      </c>
      <c r="I3563" s="2" t="s">
        <v>4139</v>
      </c>
      <c r="J3563" s="2" t="s">
        <v>329</v>
      </c>
      <c r="K3563" s="2" t="s">
        <v>10</v>
      </c>
    </row>
    <row r="3564" spans="1:12" ht="27.6" hidden="1" x14ac:dyDescent="0.3">
      <c r="A3564" s="2" t="s">
        <v>4139</v>
      </c>
      <c r="B3564" s="2" t="s">
        <v>12797</v>
      </c>
      <c r="C3564" s="3">
        <v>34808</v>
      </c>
      <c r="D3564" s="1" t="s">
        <v>12798</v>
      </c>
      <c r="E3564" s="1" t="s">
        <v>12799</v>
      </c>
      <c r="F3564" s="2" t="s">
        <v>12708</v>
      </c>
      <c r="G3564" s="2" t="s">
        <v>328</v>
      </c>
      <c r="H3564" s="2" t="s">
        <v>103</v>
      </c>
      <c r="I3564" s="2" t="s">
        <v>4139</v>
      </c>
      <c r="J3564" s="2" t="s">
        <v>329</v>
      </c>
      <c r="K3564" s="15" t="s">
        <v>10</v>
      </c>
    </row>
    <row r="3565" spans="1:12" ht="27.6" hidden="1" x14ac:dyDescent="0.3">
      <c r="A3565" s="2" t="s">
        <v>4139</v>
      </c>
      <c r="B3565" s="2" t="s">
        <v>12800</v>
      </c>
      <c r="C3565" s="3">
        <v>31872</v>
      </c>
      <c r="D3565" s="1" t="s">
        <v>8962</v>
      </c>
      <c r="E3565" s="1" t="s">
        <v>8963</v>
      </c>
      <c r="F3565" s="2" t="s">
        <v>4143</v>
      </c>
      <c r="G3565" s="2" t="s">
        <v>8901</v>
      </c>
      <c r="H3565" s="2" t="s">
        <v>81</v>
      </c>
      <c r="I3565" s="2" t="s">
        <v>4139</v>
      </c>
      <c r="J3565" s="2" t="s">
        <v>12801</v>
      </c>
      <c r="K3565" s="2" t="s">
        <v>10</v>
      </c>
      <c r="L3565" s="6"/>
    </row>
    <row r="3566" spans="1:12" ht="27.6" hidden="1" x14ac:dyDescent="0.3">
      <c r="A3566" s="2" t="s">
        <v>4139</v>
      </c>
      <c r="B3566" s="2" t="s">
        <v>12802</v>
      </c>
      <c r="C3566" s="3">
        <v>22256</v>
      </c>
      <c r="D3566" s="1" t="s">
        <v>12803</v>
      </c>
      <c r="E3566" s="1" t="s">
        <v>12804</v>
      </c>
      <c r="F3566" s="2" t="s">
        <v>12708</v>
      </c>
      <c r="G3566" s="2" t="s">
        <v>604</v>
      </c>
      <c r="H3566" s="2" t="s">
        <v>10</v>
      </c>
      <c r="I3566" s="2" t="s">
        <v>4139</v>
      </c>
      <c r="J3566" s="2" t="s">
        <v>605</v>
      </c>
      <c r="K3566" s="18" t="s">
        <v>10</v>
      </c>
    </row>
    <row r="3567" spans="1:12" ht="41.4" hidden="1" x14ac:dyDescent="0.3">
      <c r="A3567" s="2" t="s">
        <v>4139</v>
      </c>
      <c r="B3567" s="2" t="s">
        <v>12805</v>
      </c>
      <c r="C3567" s="3">
        <v>29572</v>
      </c>
      <c r="D3567" s="1" t="s">
        <v>12806</v>
      </c>
      <c r="E3567" s="1" t="s">
        <v>12807</v>
      </c>
      <c r="F3567" s="2" t="s">
        <v>12121</v>
      </c>
      <c r="G3567" s="2" t="s">
        <v>9212</v>
      </c>
      <c r="H3567" s="2" t="s">
        <v>81</v>
      </c>
      <c r="I3567" s="2" t="s">
        <v>4139</v>
      </c>
      <c r="J3567" s="2" t="s">
        <v>11921</v>
      </c>
      <c r="K3567" s="2" t="s">
        <v>10</v>
      </c>
    </row>
    <row r="3568" spans="1:12" ht="27.6" hidden="1" x14ac:dyDescent="0.3">
      <c r="A3568" s="2" t="s">
        <v>4139</v>
      </c>
      <c r="B3568" s="2" t="s">
        <v>12808</v>
      </c>
      <c r="C3568" s="3">
        <v>25986</v>
      </c>
      <c r="D3568" s="1" t="s">
        <v>12809</v>
      </c>
      <c r="E3568" s="1" t="s">
        <v>12810</v>
      </c>
      <c r="F3568" s="2" t="s">
        <v>12708</v>
      </c>
      <c r="G3568" s="2" t="s">
        <v>643</v>
      </c>
      <c r="H3568" s="2" t="s">
        <v>10</v>
      </c>
      <c r="I3568" s="2" t="s">
        <v>4139</v>
      </c>
      <c r="J3568" s="2" t="s">
        <v>644</v>
      </c>
      <c r="K3568" s="2" t="s">
        <v>10</v>
      </c>
    </row>
    <row r="3569" spans="1:12" ht="27.6" hidden="1" x14ac:dyDescent="0.3">
      <c r="A3569" s="2" t="s">
        <v>1957</v>
      </c>
      <c r="B3569" s="2" t="s">
        <v>4223</v>
      </c>
      <c r="C3569" s="3">
        <v>24898</v>
      </c>
      <c r="D3569" s="1" t="s">
        <v>12811</v>
      </c>
      <c r="E3569" s="1" t="s">
        <v>12812</v>
      </c>
      <c r="F3569" s="2" t="s">
        <v>2018</v>
      </c>
      <c r="G3569" s="2" t="s">
        <v>12</v>
      </c>
      <c r="H3569" s="2" t="s">
        <v>9094</v>
      </c>
      <c r="I3569" s="2" t="s">
        <v>1957</v>
      </c>
      <c r="J3569" s="2" t="s">
        <v>540</v>
      </c>
      <c r="K3569" s="2" t="s">
        <v>10</v>
      </c>
    </row>
    <row r="3570" spans="1:12" ht="27.6" hidden="1" x14ac:dyDescent="0.3">
      <c r="A3570" s="2" t="s">
        <v>1957</v>
      </c>
      <c r="B3570" s="2" t="s">
        <v>12813</v>
      </c>
      <c r="C3570" s="3">
        <v>37242</v>
      </c>
      <c r="D3570" s="1" t="s">
        <v>12814</v>
      </c>
      <c r="E3570" s="1" t="s">
        <v>12815</v>
      </c>
      <c r="F3570" s="2" t="s">
        <v>2018</v>
      </c>
      <c r="G3570" s="2" t="s">
        <v>12</v>
      </c>
      <c r="H3570" s="2" t="s">
        <v>10</v>
      </c>
      <c r="I3570" s="2" t="s">
        <v>1957</v>
      </c>
      <c r="J3570" s="2" t="s">
        <v>540</v>
      </c>
      <c r="K3570" s="2" t="s">
        <v>10</v>
      </c>
    </row>
    <row r="3571" spans="1:12" hidden="1" x14ac:dyDescent="0.3">
      <c r="A3571" s="2" t="s">
        <v>4139</v>
      </c>
      <c r="B3571" s="2" t="s">
        <v>12816</v>
      </c>
      <c r="C3571" s="3">
        <v>34011</v>
      </c>
      <c r="D3571" s="1" t="s">
        <v>12817</v>
      </c>
      <c r="E3571" s="1" t="s">
        <v>12818</v>
      </c>
      <c r="F3571" s="2" t="s">
        <v>9601</v>
      </c>
      <c r="G3571" s="2" t="s">
        <v>366</v>
      </c>
      <c r="H3571" s="2" t="s">
        <v>10</v>
      </c>
      <c r="I3571" s="2" t="s">
        <v>4139</v>
      </c>
      <c r="J3571" s="2" t="s">
        <v>437</v>
      </c>
      <c r="K3571" s="2" t="s">
        <v>10</v>
      </c>
    </row>
    <row r="3572" spans="1:12" hidden="1" x14ac:dyDescent="0.3">
      <c r="A3572" s="2" t="s">
        <v>4139</v>
      </c>
      <c r="B3572" s="2" t="s">
        <v>12816</v>
      </c>
      <c r="C3572" s="3">
        <v>34011</v>
      </c>
      <c r="D3572" s="1" t="s">
        <v>12817</v>
      </c>
      <c r="E3572" s="1" t="s">
        <v>12818</v>
      </c>
      <c r="F3572" s="2" t="s">
        <v>9601</v>
      </c>
      <c r="G3572" s="2" t="s">
        <v>48</v>
      </c>
      <c r="H3572" s="2" t="s">
        <v>2001</v>
      </c>
      <c r="I3572" s="2" t="s">
        <v>4139</v>
      </c>
      <c r="J3572" s="2" t="s">
        <v>49</v>
      </c>
      <c r="K3572" s="2" t="s">
        <v>10</v>
      </c>
    </row>
    <row r="3573" spans="1:12" hidden="1" x14ac:dyDescent="0.3">
      <c r="A3573" s="2" t="s">
        <v>4139</v>
      </c>
      <c r="B3573" s="2" t="s">
        <v>12816</v>
      </c>
      <c r="C3573" s="3">
        <v>35410</v>
      </c>
      <c r="D3573" s="1" t="s">
        <v>12817</v>
      </c>
      <c r="E3573" s="1" t="s">
        <v>12818</v>
      </c>
      <c r="F3573" s="2" t="s">
        <v>9601</v>
      </c>
      <c r="G3573" s="2" t="s">
        <v>48</v>
      </c>
      <c r="H3573" s="2" t="s">
        <v>10</v>
      </c>
      <c r="I3573" s="2" t="s">
        <v>4139</v>
      </c>
      <c r="J3573" s="2" t="s">
        <v>49</v>
      </c>
      <c r="K3573" s="2" t="s">
        <v>10</v>
      </c>
    </row>
    <row r="3574" spans="1:12" hidden="1" x14ac:dyDescent="0.3">
      <c r="A3574" s="2" t="s">
        <v>4139</v>
      </c>
      <c r="B3574" s="2" t="s">
        <v>12816</v>
      </c>
      <c r="C3574" s="3">
        <v>34011</v>
      </c>
      <c r="D3574" s="1" t="s">
        <v>12817</v>
      </c>
      <c r="E3574" s="1" t="s">
        <v>12818</v>
      </c>
      <c r="F3574" s="2" t="s">
        <v>9601</v>
      </c>
      <c r="G3574" s="2" t="s">
        <v>75</v>
      </c>
      <c r="H3574" s="2" t="s">
        <v>10</v>
      </c>
      <c r="I3574" s="2" t="s">
        <v>4139</v>
      </c>
      <c r="J3574" s="2" t="s">
        <v>6874</v>
      </c>
      <c r="K3574" s="15" t="s">
        <v>10</v>
      </c>
    </row>
    <row r="3575" spans="1:12" ht="27.6" hidden="1" x14ac:dyDescent="0.3">
      <c r="A3575" s="2" t="s">
        <v>4139</v>
      </c>
      <c r="B3575" s="2" t="s">
        <v>12344</v>
      </c>
      <c r="C3575" s="3">
        <v>23326</v>
      </c>
      <c r="D3575" s="1" t="s">
        <v>12345</v>
      </c>
      <c r="E3575" s="1" t="s">
        <v>12346</v>
      </c>
      <c r="F3575" s="2" t="s">
        <v>4143</v>
      </c>
      <c r="G3575" s="2" t="s">
        <v>10975</v>
      </c>
      <c r="H3575" s="2" t="s">
        <v>81</v>
      </c>
      <c r="I3575" s="2" t="s">
        <v>4139</v>
      </c>
      <c r="J3575" s="2" t="s">
        <v>12347</v>
      </c>
      <c r="K3575" s="2" t="s">
        <v>10</v>
      </c>
      <c r="L3575" s="6"/>
    </row>
    <row r="3576" spans="1:12" ht="27.6" hidden="1" x14ac:dyDescent="0.3">
      <c r="A3576" s="2" t="s">
        <v>60</v>
      </c>
      <c r="B3576" s="2" t="s">
        <v>12819</v>
      </c>
      <c r="C3576" s="3">
        <v>34451</v>
      </c>
      <c r="D3576" s="1" t="s">
        <v>12820</v>
      </c>
      <c r="E3576" s="1" t="s">
        <v>12821</v>
      </c>
      <c r="F3576" s="2" t="s">
        <v>274</v>
      </c>
      <c r="G3576" s="2" t="s">
        <v>366</v>
      </c>
      <c r="H3576" s="2" t="s">
        <v>10</v>
      </c>
      <c r="I3576" s="2" t="s">
        <v>60</v>
      </c>
      <c r="J3576" s="2" t="s">
        <v>701</v>
      </c>
      <c r="K3576" s="18" t="s">
        <v>10</v>
      </c>
    </row>
    <row r="3577" spans="1:12" ht="27.6" hidden="1" x14ac:dyDescent="0.3">
      <c r="A3577" s="2" t="s">
        <v>60</v>
      </c>
      <c r="B3577" s="2" t="s">
        <v>12822</v>
      </c>
      <c r="C3577" s="3">
        <v>36187</v>
      </c>
      <c r="D3577" s="1" t="s">
        <v>12823</v>
      </c>
      <c r="E3577" s="1" t="s">
        <v>12824</v>
      </c>
      <c r="F3577" s="2" t="s">
        <v>813</v>
      </c>
      <c r="G3577" s="2" t="s">
        <v>425</v>
      </c>
      <c r="H3577" s="2" t="s">
        <v>10</v>
      </c>
      <c r="I3577" s="2" t="s">
        <v>60</v>
      </c>
      <c r="J3577" s="2" t="s">
        <v>841</v>
      </c>
      <c r="K3577" s="2" t="s">
        <v>10</v>
      </c>
    </row>
    <row r="3578" spans="1:12" ht="27.6" hidden="1" x14ac:dyDescent="0.3">
      <c r="A3578" s="2" t="s">
        <v>60</v>
      </c>
      <c r="B3578" s="2" t="s">
        <v>12825</v>
      </c>
      <c r="C3578" s="3">
        <v>34451</v>
      </c>
      <c r="D3578" s="1" t="s">
        <v>12820</v>
      </c>
      <c r="E3578" s="1" t="s">
        <v>12821</v>
      </c>
      <c r="F3578" s="2" t="s">
        <v>274</v>
      </c>
      <c r="G3578" s="2" t="s">
        <v>92</v>
      </c>
      <c r="H3578" s="2" t="s">
        <v>10</v>
      </c>
      <c r="I3578" s="2" t="s">
        <v>60</v>
      </c>
      <c r="J3578" s="2" t="s">
        <v>93</v>
      </c>
      <c r="K3578" s="2" t="s">
        <v>10</v>
      </c>
    </row>
    <row r="3579" spans="1:12" ht="27.6" hidden="1" x14ac:dyDescent="0.3">
      <c r="A3579" s="2" t="s">
        <v>60</v>
      </c>
      <c r="B3579" s="2" t="s">
        <v>12826</v>
      </c>
      <c r="C3579" s="3">
        <v>37599</v>
      </c>
      <c r="D3579" s="1" t="s">
        <v>12827</v>
      </c>
      <c r="E3579" s="1" t="s">
        <v>12828</v>
      </c>
      <c r="F3579" s="2" t="s">
        <v>274</v>
      </c>
      <c r="G3579" s="2" t="s">
        <v>1403</v>
      </c>
      <c r="H3579" s="2" t="s">
        <v>10</v>
      </c>
      <c r="I3579" s="2" t="s">
        <v>60</v>
      </c>
      <c r="J3579" s="2" t="s">
        <v>12829</v>
      </c>
      <c r="K3579" s="2" t="s">
        <v>10</v>
      </c>
    </row>
    <row r="3580" spans="1:12" ht="27.6" hidden="1" x14ac:dyDescent="0.3">
      <c r="A3580" s="2" t="s">
        <v>60</v>
      </c>
      <c r="B3580" s="2" t="s">
        <v>12830</v>
      </c>
      <c r="C3580" s="3">
        <v>30138</v>
      </c>
      <c r="D3580" s="1" t="s">
        <v>12831</v>
      </c>
      <c r="E3580" s="1" t="s">
        <v>12832</v>
      </c>
      <c r="F3580" s="2" t="s">
        <v>60</v>
      </c>
      <c r="G3580" s="2" t="s">
        <v>58</v>
      </c>
      <c r="H3580" s="2" t="s">
        <v>562</v>
      </c>
      <c r="I3580" s="2" t="s">
        <v>60</v>
      </c>
      <c r="J3580" s="2" t="s">
        <v>59</v>
      </c>
      <c r="K3580" s="2" t="s">
        <v>10</v>
      </c>
    </row>
    <row r="3581" spans="1:12" ht="27.6" hidden="1" x14ac:dyDescent="0.3">
      <c r="A3581" s="2" t="s">
        <v>60</v>
      </c>
      <c r="B3581" s="2" t="s">
        <v>12833</v>
      </c>
      <c r="C3581" s="3">
        <v>29870</v>
      </c>
      <c r="D3581" s="1" t="s">
        <v>12834</v>
      </c>
      <c r="E3581" s="1" t="s">
        <v>12835</v>
      </c>
      <c r="F3581" s="2" t="s">
        <v>636</v>
      </c>
      <c r="G3581" s="2" t="s">
        <v>31</v>
      </c>
      <c r="H3581" s="2" t="s">
        <v>10</v>
      </c>
      <c r="I3581" s="2" t="s">
        <v>60</v>
      </c>
      <c r="J3581" s="2" t="s">
        <v>684</v>
      </c>
      <c r="K3581" s="2" t="s">
        <v>10</v>
      </c>
    </row>
    <row r="3582" spans="1:12" ht="27.6" hidden="1" x14ac:dyDescent="0.3">
      <c r="A3582" s="2" t="s">
        <v>11</v>
      </c>
      <c r="B3582" s="2" t="s">
        <v>12836</v>
      </c>
      <c r="C3582" s="3">
        <v>25646</v>
      </c>
      <c r="D3582" s="1" t="s">
        <v>12837</v>
      </c>
      <c r="E3582" s="1" t="s">
        <v>12838</v>
      </c>
      <c r="F3582" s="2" t="s">
        <v>16</v>
      </c>
      <c r="G3582" s="2" t="s">
        <v>11644</v>
      </c>
      <c r="H3582" s="2" t="s">
        <v>10</v>
      </c>
      <c r="I3582" s="2" t="s">
        <v>11</v>
      </c>
      <c r="J3582" s="2" t="s">
        <v>11645</v>
      </c>
      <c r="K3582" s="2" t="s">
        <v>10</v>
      </c>
    </row>
    <row r="3583" spans="1:12" ht="27.6" hidden="1" x14ac:dyDescent="0.3">
      <c r="A3583" s="2" t="s">
        <v>11</v>
      </c>
      <c r="B3583" s="2" t="s">
        <v>12839</v>
      </c>
      <c r="C3583" s="3">
        <v>33372</v>
      </c>
      <c r="D3583" s="1" t="s">
        <v>12840</v>
      </c>
      <c r="E3583" s="1" t="s">
        <v>12841</v>
      </c>
      <c r="F3583" s="2" t="s">
        <v>36</v>
      </c>
      <c r="G3583" s="2" t="s">
        <v>222</v>
      </c>
      <c r="H3583" s="2" t="s">
        <v>10</v>
      </c>
      <c r="I3583" s="2" t="s">
        <v>11</v>
      </c>
      <c r="J3583" s="2" t="s">
        <v>417</v>
      </c>
      <c r="K3583" s="2" t="s">
        <v>10</v>
      </c>
    </row>
    <row r="3584" spans="1:12" ht="27.6" hidden="1" x14ac:dyDescent="0.3">
      <c r="A3584" s="2" t="s">
        <v>11</v>
      </c>
      <c r="B3584" s="2" t="s">
        <v>12842</v>
      </c>
      <c r="C3584" s="3">
        <v>25441</v>
      </c>
      <c r="D3584" s="1" t="s">
        <v>12843</v>
      </c>
      <c r="E3584" s="1" t="s">
        <v>12844</v>
      </c>
      <c r="F3584" s="2" t="s">
        <v>16</v>
      </c>
      <c r="G3584" s="2" t="s">
        <v>1758</v>
      </c>
      <c r="H3584" s="2" t="s">
        <v>43</v>
      </c>
      <c r="I3584" s="2" t="s">
        <v>11</v>
      </c>
      <c r="J3584" s="2" t="s">
        <v>12845</v>
      </c>
      <c r="K3584" s="2" t="s">
        <v>10</v>
      </c>
    </row>
    <row r="3585" spans="1:12" ht="27.6" hidden="1" x14ac:dyDescent="0.3">
      <c r="A3585" s="2" t="s">
        <v>11</v>
      </c>
      <c r="B3585" s="2" t="s">
        <v>12846</v>
      </c>
      <c r="C3585" s="3">
        <v>22328</v>
      </c>
      <c r="D3585" s="1" t="s">
        <v>12847</v>
      </c>
      <c r="E3585" s="1" t="s">
        <v>12848</v>
      </c>
      <c r="F3585" s="2" t="s">
        <v>36</v>
      </c>
      <c r="G3585" s="2" t="s">
        <v>328</v>
      </c>
      <c r="H3585" s="2" t="s">
        <v>10</v>
      </c>
      <c r="I3585" s="2" t="s">
        <v>11</v>
      </c>
      <c r="J3585" s="2" t="s">
        <v>5171</v>
      </c>
      <c r="K3585" s="2" t="s">
        <v>10</v>
      </c>
    </row>
    <row r="3586" spans="1:12" ht="27.6" hidden="1" x14ac:dyDescent="0.3">
      <c r="A3586" s="2" t="s">
        <v>11</v>
      </c>
      <c r="B3586" s="2" t="s">
        <v>12849</v>
      </c>
      <c r="C3586" s="3">
        <v>25250</v>
      </c>
      <c r="D3586" s="1" t="s">
        <v>12850</v>
      </c>
      <c r="E3586" s="1" t="s">
        <v>12848</v>
      </c>
      <c r="F3586" s="2" t="s">
        <v>36</v>
      </c>
      <c r="G3586" s="2" t="s">
        <v>12851</v>
      </c>
      <c r="H3586" s="2" t="s">
        <v>11983</v>
      </c>
      <c r="I3586" s="2" t="s">
        <v>11</v>
      </c>
      <c r="J3586" s="2" t="s">
        <v>5171</v>
      </c>
      <c r="K3586" s="15" t="s">
        <v>10</v>
      </c>
    </row>
    <row r="3587" spans="1:12" ht="27.6" hidden="1" x14ac:dyDescent="0.3">
      <c r="A3587" s="2" t="s">
        <v>11</v>
      </c>
      <c r="B3587" s="2" t="s">
        <v>12852</v>
      </c>
      <c r="C3587" s="3">
        <v>29507</v>
      </c>
      <c r="D3587" s="1" t="s">
        <v>12853</v>
      </c>
      <c r="E3587" s="1" t="s">
        <v>12854</v>
      </c>
      <c r="F3587" s="2" t="s">
        <v>583</v>
      </c>
      <c r="G3587" s="2" t="s">
        <v>492</v>
      </c>
      <c r="H3587" s="2" t="s">
        <v>10</v>
      </c>
      <c r="I3587" s="2" t="s">
        <v>11</v>
      </c>
      <c r="J3587" s="2" t="s">
        <v>9705</v>
      </c>
      <c r="K3587" s="2" t="s">
        <v>10</v>
      </c>
      <c r="L3587" s="6"/>
    </row>
    <row r="3588" spans="1:12" ht="27.6" hidden="1" x14ac:dyDescent="0.3">
      <c r="A3588" s="2" t="s">
        <v>11</v>
      </c>
      <c r="B3588" s="2" t="s">
        <v>12855</v>
      </c>
      <c r="C3588" s="3">
        <v>36757</v>
      </c>
      <c r="D3588" s="1" t="s">
        <v>12856</v>
      </c>
      <c r="E3588" s="1" t="s">
        <v>12857</v>
      </c>
      <c r="F3588" s="2" t="s">
        <v>36</v>
      </c>
      <c r="G3588" s="2" t="s">
        <v>425</v>
      </c>
      <c r="H3588" s="2" t="s">
        <v>10</v>
      </c>
      <c r="I3588" s="2" t="s">
        <v>11</v>
      </c>
      <c r="J3588" s="2" t="s">
        <v>841</v>
      </c>
      <c r="K3588" s="18" t="s">
        <v>10</v>
      </c>
    </row>
    <row r="3589" spans="1:12" ht="27.6" hidden="1" x14ac:dyDescent="0.3">
      <c r="A3589" s="2" t="s">
        <v>4386</v>
      </c>
      <c r="B3589" s="2" t="s">
        <v>12858</v>
      </c>
      <c r="C3589" s="3">
        <v>28193</v>
      </c>
      <c r="D3589" s="1" t="s">
        <v>12859</v>
      </c>
      <c r="E3589" s="1" t="s">
        <v>12860</v>
      </c>
      <c r="F3589" s="2" t="s">
        <v>4555</v>
      </c>
      <c r="G3589" s="2" t="s">
        <v>10024</v>
      </c>
      <c r="H3589" s="2" t="s">
        <v>10</v>
      </c>
      <c r="I3589" s="2" t="s">
        <v>4386</v>
      </c>
      <c r="J3589" s="2" t="s">
        <v>12861</v>
      </c>
      <c r="K3589" s="15" t="s">
        <v>10</v>
      </c>
    </row>
    <row r="3590" spans="1:12" ht="27.6" hidden="1" x14ac:dyDescent="0.3">
      <c r="A3590" s="2" t="s">
        <v>4386</v>
      </c>
      <c r="B3590" s="2" t="s">
        <v>12862</v>
      </c>
      <c r="C3590" s="3">
        <v>29462</v>
      </c>
      <c r="D3590" s="1" t="s">
        <v>12863</v>
      </c>
      <c r="E3590" s="1" t="s">
        <v>12864</v>
      </c>
      <c r="F3590" s="2" t="s">
        <v>6239</v>
      </c>
      <c r="G3590" s="2" t="s">
        <v>288</v>
      </c>
      <c r="H3590" s="2" t="s">
        <v>10</v>
      </c>
      <c r="I3590" s="2" t="s">
        <v>4386</v>
      </c>
      <c r="J3590" s="2" t="s">
        <v>289</v>
      </c>
      <c r="K3590" s="2" t="s">
        <v>10</v>
      </c>
      <c r="L3590" s="6"/>
    </row>
    <row r="3591" spans="1:12" ht="27.6" hidden="1" x14ac:dyDescent="0.3">
      <c r="A3591" s="2" t="s">
        <v>4386</v>
      </c>
      <c r="B3591" s="2" t="s">
        <v>12865</v>
      </c>
      <c r="C3591" s="3">
        <v>37942</v>
      </c>
      <c r="D3591" s="1" t="s">
        <v>12866</v>
      </c>
      <c r="E3591" s="1" t="s">
        <v>12867</v>
      </c>
      <c r="F3591" s="2" t="s">
        <v>6925</v>
      </c>
      <c r="G3591" s="2" t="s">
        <v>380</v>
      </c>
      <c r="H3591" s="2" t="s">
        <v>10</v>
      </c>
      <c r="I3591" s="2" t="s">
        <v>4386</v>
      </c>
      <c r="J3591" s="2" t="s">
        <v>1083</v>
      </c>
      <c r="K3591" s="18" t="s">
        <v>10</v>
      </c>
    </row>
    <row r="3592" spans="1:12" ht="27.6" hidden="1" x14ac:dyDescent="0.3">
      <c r="A3592" s="2" t="s">
        <v>4386</v>
      </c>
      <c r="B3592" s="2" t="s">
        <v>12868</v>
      </c>
      <c r="C3592" s="3">
        <v>26804</v>
      </c>
      <c r="D3592" s="1" t="s">
        <v>12869</v>
      </c>
      <c r="E3592" s="1" t="s">
        <v>12870</v>
      </c>
      <c r="F3592" s="2" t="s">
        <v>4555</v>
      </c>
      <c r="G3592" s="2" t="s">
        <v>10293</v>
      </c>
      <c r="H3592" s="2" t="s">
        <v>10</v>
      </c>
      <c r="I3592" s="2" t="s">
        <v>4386</v>
      </c>
      <c r="J3592" s="2" t="s">
        <v>12871</v>
      </c>
      <c r="K3592" s="2" t="s">
        <v>10</v>
      </c>
    </row>
    <row r="3593" spans="1:12" ht="41.4" hidden="1" x14ac:dyDescent="0.3">
      <c r="A3593" s="2" t="s">
        <v>4139</v>
      </c>
      <c r="B3593" s="2" t="s">
        <v>12872</v>
      </c>
      <c r="C3593" s="3">
        <v>29943</v>
      </c>
      <c r="D3593" s="1" t="s">
        <v>12873</v>
      </c>
      <c r="E3593" s="1" t="s">
        <v>12874</v>
      </c>
      <c r="F3593" s="2" t="s">
        <v>12446</v>
      </c>
      <c r="G3593" s="2" t="s">
        <v>1403</v>
      </c>
      <c r="H3593" s="2" t="s">
        <v>9094</v>
      </c>
      <c r="I3593" s="2" t="s">
        <v>4139</v>
      </c>
      <c r="J3593" s="2" t="s">
        <v>7195</v>
      </c>
      <c r="K3593" s="2" t="s">
        <v>10</v>
      </c>
    </row>
    <row r="3594" spans="1:12" ht="41.4" hidden="1" x14ac:dyDescent="0.3">
      <c r="A3594" s="2" t="s">
        <v>4139</v>
      </c>
      <c r="B3594" s="2" t="s">
        <v>12875</v>
      </c>
      <c r="C3594" s="3">
        <v>28079</v>
      </c>
      <c r="D3594" s="1" t="s">
        <v>12876</v>
      </c>
      <c r="E3594" s="1" t="s">
        <v>12877</v>
      </c>
      <c r="F3594" s="2" t="s">
        <v>12446</v>
      </c>
      <c r="G3594" s="2" t="s">
        <v>669</v>
      </c>
      <c r="H3594" s="2" t="s">
        <v>10</v>
      </c>
      <c r="I3594" s="2" t="s">
        <v>4139</v>
      </c>
      <c r="J3594" s="2" t="s">
        <v>670</v>
      </c>
      <c r="K3594" s="2" t="s">
        <v>10</v>
      </c>
    </row>
    <row r="3595" spans="1:12" ht="41.4" hidden="1" x14ac:dyDescent="0.3">
      <c r="A3595" s="2" t="s">
        <v>4139</v>
      </c>
      <c r="B3595" s="2" t="s">
        <v>12878</v>
      </c>
      <c r="C3595" s="3">
        <v>29952</v>
      </c>
      <c r="D3595" s="1" t="s">
        <v>12879</v>
      </c>
      <c r="E3595" s="1" t="s">
        <v>12880</v>
      </c>
      <c r="F3595" s="2" t="s">
        <v>12446</v>
      </c>
      <c r="G3595" s="2" t="s">
        <v>2800</v>
      </c>
      <c r="H3595" s="2" t="s">
        <v>10</v>
      </c>
      <c r="I3595" s="2" t="s">
        <v>4139</v>
      </c>
      <c r="J3595" s="2" t="s">
        <v>11300</v>
      </c>
      <c r="K3595" s="2" t="s">
        <v>10</v>
      </c>
    </row>
    <row r="3596" spans="1:12" ht="27.6" hidden="1" x14ac:dyDescent="0.3">
      <c r="A3596" s="2" t="s">
        <v>4139</v>
      </c>
      <c r="B3596" s="2" t="s">
        <v>12881</v>
      </c>
      <c r="C3596" s="3">
        <v>37269</v>
      </c>
      <c r="D3596" s="1" t="s">
        <v>12882</v>
      </c>
      <c r="E3596" s="1" t="s">
        <v>12883</v>
      </c>
      <c r="F3596" s="2" t="s">
        <v>12708</v>
      </c>
      <c r="G3596" s="2" t="s">
        <v>3134</v>
      </c>
      <c r="H3596" s="2" t="s">
        <v>10</v>
      </c>
      <c r="I3596" s="2" t="s">
        <v>4139</v>
      </c>
      <c r="J3596" s="2" t="s">
        <v>3135</v>
      </c>
      <c r="K3596" s="2" t="s">
        <v>10</v>
      </c>
    </row>
    <row r="3597" spans="1:12" ht="41.4" hidden="1" x14ac:dyDescent="0.3">
      <c r="A3597" s="2" t="s">
        <v>4139</v>
      </c>
      <c r="B3597" s="2" t="s">
        <v>12884</v>
      </c>
      <c r="C3597" s="3">
        <v>34278</v>
      </c>
      <c r="D3597" s="1" t="s">
        <v>12885</v>
      </c>
      <c r="E3597" s="1" t="s">
        <v>12886</v>
      </c>
      <c r="F3597" s="2" t="s">
        <v>11638</v>
      </c>
      <c r="G3597" s="2" t="s">
        <v>570</v>
      </c>
      <c r="H3597" s="2" t="s">
        <v>8058</v>
      </c>
      <c r="I3597" s="2" t="s">
        <v>4139</v>
      </c>
      <c r="J3597" s="2" t="s">
        <v>11867</v>
      </c>
      <c r="K3597" s="2" t="s">
        <v>10</v>
      </c>
    </row>
    <row r="3598" spans="1:12" ht="41.4" hidden="1" x14ac:dyDescent="0.3">
      <c r="A3598" s="2" t="s">
        <v>4139</v>
      </c>
      <c r="B3598" s="2" t="s">
        <v>12887</v>
      </c>
      <c r="C3598" s="3">
        <v>27345</v>
      </c>
      <c r="D3598" s="1" t="s">
        <v>12888</v>
      </c>
      <c r="E3598" s="1" t="s">
        <v>12889</v>
      </c>
      <c r="F3598" s="2" t="s">
        <v>12612</v>
      </c>
      <c r="G3598" s="2" t="s">
        <v>2267</v>
      </c>
      <c r="H3598" s="2" t="s">
        <v>10</v>
      </c>
      <c r="I3598" s="2" t="s">
        <v>4139</v>
      </c>
      <c r="J3598" s="2" t="s">
        <v>2268</v>
      </c>
      <c r="K3598" s="2" t="s">
        <v>10</v>
      </c>
    </row>
    <row r="3599" spans="1:12" ht="41.4" hidden="1" x14ac:dyDescent="0.3">
      <c r="A3599" s="2" t="s">
        <v>4139</v>
      </c>
      <c r="B3599" s="2" t="s">
        <v>2689</v>
      </c>
      <c r="C3599" s="3">
        <v>27796</v>
      </c>
      <c r="D3599" s="1" t="s">
        <v>12890</v>
      </c>
      <c r="E3599" s="1" t="s">
        <v>12891</v>
      </c>
      <c r="F3599" s="2" t="s">
        <v>11638</v>
      </c>
      <c r="G3599" s="2" t="s">
        <v>12092</v>
      </c>
      <c r="H3599" s="2" t="s">
        <v>9094</v>
      </c>
      <c r="I3599" s="2" t="s">
        <v>4139</v>
      </c>
      <c r="J3599" s="2" t="s">
        <v>12093</v>
      </c>
      <c r="K3599" s="2" t="s">
        <v>10</v>
      </c>
    </row>
    <row r="3600" spans="1:12" ht="41.4" hidden="1" x14ac:dyDescent="0.3">
      <c r="A3600" s="2" t="s">
        <v>4139</v>
      </c>
      <c r="B3600" s="2" t="s">
        <v>2689</v>
      </c>
      <c r="C3600" s="3">
        <v>27796</v>
      </c>
      <c r="D3600" s="1" t="s">
        <v>12890</v>
      </c>
      <c r="E3600" s="1" t="s">
        <v>12891</v>
      </c>
      <c r="F3600" s="2" t="s">
        <v>11638</v>
      </c>
      <c r="G3600" s="2" t="s">
        <v>12092</v>
      </c>
      <c r="H3600" s="2" t="s">
        <v>8058</v>
      </c>
      <c r="I3600" s="2" t="s">
        <v>4139</v>
      </c>
      <c r="J3600" s="2" t="s">
        <v>12093</v>
      </c>
      <c r="K3600" s="2" t="s">
        <v>10</v>
      </c>
    </row>
    <row r="3601" spans="1:12" ht="27.6" hidden="1" x14ac:dyDescent="0.3">
      <c r="A3601" s="2" t="s">
        <v>4386</v>
      </c>
      <c r="B3601" s="2" t="s">
        <v>12892</v>
      </c>
      <c r="C3601" s="3">
        <v>28532</v>
      </c>
      <c r="D3601" s="1" t="s">
        <v>12893</v>
      </c>
      <c r="E3601" s="1" t="s">
        <v>12894</v>
      </c>
      <c r="F3601" s="2" t="s">
        <v>9574</v>
      </c>
      <c r="G3601" s="2" t="s">
        <v>206</v>
      </c>
      <c r="H3601" s="2" t="s">
        <v>10</v>
      </c>
      <c r="I3601" s="2" t="s">
        <v>4386</v>
      </c>
      <c r="J3601" s="2" t="s">
        <v>207</v>
      </c>
      <c r="K3601" s="2" t="s">
        <v>10</v>
      </c>
    </row>
    <row r="3602" spans="1:12" ht="27.6" hidden="1" x14ac:dyDescent="0.3">
      <c r="A3602" s="2" t="s">
        <v>4386</v>
      </c>
      <c r="B3602" s="2" t="s">
        <v>12895</v>
      </c>
      <c r="C3602" s="3">
        <v>28532</v>
      </c>
      <c r="D3602" s="1" t="s">
        <v>12893</v>
      </c>
      <c r="E3602" s="1" t="s">
        <v>12894</v>
      </c>
      <c r="F3602" s="2" t="s">
        <v>9574</v>
      </c>
      <c r="G3602" s="2" t="s">
        <v>288</v>
      </c>
      <c r="H3602" s="2" t="s">
        <v>10</v>
      </c>
      <c r="I3602" s="2" t="s">
        <v>4386</v>
      </c>
      <c r="J3602" s="2" t="s">
        <v>289</v>
      </c>
      <c r="K3602" s="2" t="s">
        <v>10</v>
      </c>
    </row>
    <row r="3603" spans="1:12" ht="27.6" hidden="1" x14ac:dyDescent="0.3">
      <c r="A3603" s="2" t="s">
        <v>4386</v>
      </c>
      <c r="B3603" s="2" t="s">
        <v>12896</v>
      </c>
      <c r="C3603" s="3">
        <v>37606</v>
      </c>
      <c r="D3603" s="1" t="s">
        <v>12897</v>
      </c>
      <c r="E3603" s="1" t="s">
        <v>12898</v>
      </c>
      <c r="F3603" s="2" t="s">
        <v>6925</v>
      </c>
      <c r="G3603" s="2" t="s">
        <v>328</v>
      </c>
      <c r="H3603" s="2" t="s">
        <v>10</v>
      </c>
      <c r="I3603" s="2" t="s">
        <v>4386</v>
      </c>
      <c r="J3603" s="2" t="s">
        <v>4088</v>
      </c>
      <c r="K3603" s="15" t="s">
        <v>10</v>
      </c>
    </row>
    <row r="3604" spans="1:12" hidden="1" x14ac:dyDescent="0.3">
      <c r="A3604" s="2" t="s">
        <v>4139</v>
      </c>
      <c r="B3604" s="2" t="s">
        <v>12899</v>
      </c>
      <c r="C3604" s="3">
        <v>26752</v>
      </c>
      <c r="D3604" s="1" t="s">
        <v>12900</v>
      </c>
      <c r="E3604" s="1" t="s">
        <v>12901</v>
      </c>
      <c r="F3604" s="2" t="s">
        <v>4143</v>
      </c>
      <c r="G3604" s="2" t="s">
        <v>12902</v>
      </c>
      <c r="H3604" s="2" t="s">
        <v>103</v>
      </c>
      <c r="I3604" s="2" t="s">
        <v>4139</v>
      </c>
      <c r="J3604" s="2" t="s">
        <v>12903</v>
      </c>
      <c r="K3604" s="2" t="s">
        <v>10</v>
      </c>
      <c r="L3604" s="6"/>
    </row>
    <row r="3605" spans="1:12" hidden="1" x14ac:dyDescent="0.3">
      <c r="A3605" s="2" t="s">
        <v>4139</v>
      </c>
      <c r="B3605" s="2" t="s">
        <v>12904</v>
      </c>
      <c r="C3605" s="3">
        <v>26752</v>
      </c>
      <c r="D3605" s="1" t="s">
        <v>12900</v>
      </c>
      <c r="E3605" s="1" t="s">
        <v>12901</v>
      </c>
      <c r="F3605" s="2" t="s">
        <v>4143</v>
      </c>
      <c r="G3605" s="2" t="s">
        <v>12902</v>
      </c>
      <c r="H3605" s="2" t="s">
        <v>81</v>
      </c>
      <c r="I3605" s="2" t="s">
        <v>4139</v>
      </c>
      <c r="J3605" s="2" t="s">
        <v>12903</v>
      </c>
      <c r="K3605" s="2" t="s">
        <v>10</v>
      </c>
      <c r="L3605" s="6"/>
    </row>
    <row r="3606" spans="1:12" hidden="1" x14ac:dyDescent="0.3">
      <c r="A3606" s="2" t="s">
        <v>4139</v>
      </c>
      <c r="B3606" s="2" t="s">
        <v>12904</v>
      </c>
      <c r="C3606" s="3">
        <v>26752</v>
      </c>
      <c r="D3606" s="1" t="s">
        <v>12900</v>
      </c>
      <c r="E3606" s="1" t="s">
        <v>12901</v>
      </c>
      <c r="F3606" s="2" t="s">
        <v>4143</v>
      </c>
      <c r="G3606" s="2" t="s">
        <v>12902</v>
      </c>
      <c r="H3606" s="2" t="s">
        <v>562</v>
      </c>
      <c r="I3606" s="2" t="s">
        <v>4139</v>
      </c>
      <c r="J3606" s="2" t="s">
        <v>12903</v>
      </c>
      <c r="K3606" s="2" t="s">
        <v>10</v>
      </c>
      <c r="L3606" s="6"/>
    </row>
    <row r="3607" spans="1:12" hidden="1" x14ac:dyDescent="0.3">
      <c r="A3607" s="2" t="s">
        <v>4139</v>
      </c>
      <c r="B3607" s="2" t="s">
        <v>12904</v>
      </c>
      <c r="C3607" s="3">
        <v>26751</v>
      </c>
      <c r="D3607" s="1" t="s">
        <v>12900</v>
      </c>
      <c r="E3607" s="1" t="s">
        <v>12901</v>
      </c>
      <c r="F3607" s="2" t="s">
        <v>4143</v>
      </c>
      <c r="G3607" s="2" t="s">
        <v>12902</v>
      </c>
      <c r="H3607" s="2" t="s">
        <v>822</v>
      </c>
      <c r="I3607" s="2" t="s">
        <v>4139</v>
      </c>
      <c r="J3607" s="2" t="s">
        <v>12903</v>
      </c>
      <c r="K3607" s="2" t="s">
        <v>10</v>
      </c>
      <c r="L3607" s="6"/>
    </row>
    <row r="3608" spans="1:12" hidden="1" x14ac:dyDescent="0.3">
      <c r="A3608" s="2" t="s">
        <v>4139</v>
      </c>
      <c r="B3608" s="2" t="s">
        <v>12904</v>
      </c>
      <c r="C3608" s="3">
        <v>26752</v>
      </c>
      <c r="D3608" s="1" t="s">
        <v>12900</v>
      </c>
      <c r="E3608" s="1" t="s">
        <v>12901</v>
      </c>
      <c r="F3608" s="2" t="s">
        <v>4143</v>
      </c>
      <c r="G3608" s="2" t="s">
        <v>12902</v>
      </c>
      <c r="H3608" s="2" t="s">
        <v>3065</v>
      </c>
      <c r="I3608" s="2" t="s">
        <v>4139</v>
      </c>
      <c r="J3608" s="2" t="s">
        <v>12903</v>
      </c>
      <c r="K3608" s="2" t="s">
        <v>10</v>
      </c>
      <c r="L3608" s="6"/>
    </row>
    <row r="3609" spans="1:12" hidden="1" x14ac:dyDescent="0.3">
      <c r="A3609" s="2" t="s">
        <v>4139</v>
      </c>
      <c r="B3609" s="2" t="s">
        <v>12899</v>
      </c>
      <c r="C3609" s="3">
        <v>26752</v>
      </c>
      <c r="D3609" s="1" t="s">
        <v>12900</v>
      </c>
      <c r="E3609" s="1" t="s">
        <v>12901</v>
      </c>
      <c r="F3609" s="2" t="s">
        <v>4143</v>
      </c>
      <c r="G3609" s="2" t="s">
        <v>12902</v>
      </c>
      <c r="H3609" s="2" t="s">
        <v>4646</v>
      </c>
      <c r="I3609" s="2" t="s">
        <v>4139</v>
      </c>
      <c r="J3609" s="2" t="s">
        <v>12903</v>
      </c>
      <c r="K3609" s="2" t="s">
        <v>10</v>
      </c>
      <c r="L3609" s="6"/>
    </row>
    <row r="3610" spans="1:12" ht="41.4" hidden="1" x14ac:dyDescent="0.3">
      <c r="A3610" s="2" t="s">
        <v>4139</v>
      </c>
      <c r="B3610" s="2" t="s">
        <v>12905</v>
      </c>
      <c r="C3610" s="3">
        <v>34970</v>
      </c>
      <c r="D3610" s="1" t="s">
        <v>12906</v>
      </c>
      <c r="E3610" s="1" t="s">
        <v>12907</v>
      </c>
      <c r="F3610" s="2" t="s">
        <v>12121</v>
      </c>
      <c r="G3610" s="2" t="s">
        <v>12908</v>
      </c>
      <c r="H3610" s="2" t="s">
        <v>10</v>
      </c>
      <c r="I3610" s="2" t="s">
        <v>4139</v>
      </c>
      <c r="J3610" s="2" t="s">
        <v>12909</v>
      </c>
      <c r="K3610" s="18" t="s">
        <v>10</v>
      </c>
    </row>
    <row r="3611" spans="1:12" ht="27.6" hidden="1" x14ac:dyDescent="0.3">
      <c r="A3611" s="2" t="s">
        <v>4139</v>
      </c>
      <c r="B3611" s="2" t="s">
        <v>12910</v>
      </c>
      <c r="C3611" s="3">
        <v>23120</v>
      </c>
      <c r="D3611" s="1" t="s">
        <v>12911</v>
      </c>
      <c r="E3611" s="1" t="s">
        <v>12912</v>
      </c>
      <c r="F3611" s="2" t="s">
        <v>9913</v>
      </c>
      <c r="G3611" s="2" t="s">
        <v>12913</v>
      </c>
      <c r="H3611" s="2" t="s">
        <v>10</v>
      </c>
      <c r="I3611" s="2" t="s">
        <v>4139</v>
      </c>
      <c r="J3611" s="2" t="s">
        <v>12914</v>
      </c>
      <c r="K3611" s="2" t="s">
        <v>10</v>
      </c>
    </row>
    <row r="3612" spans="1:12" ht="27.6" hidden="1" x14ac:dyDescent="0.3">
      <c r="A3612" s="2" t="s">
        <v>4386</v>
      </c>
      <c r="B3612" s="2" t="s">
        <v>12915</v>
      </c>
      <c r="C3612" s="3">
        <v>24818</v>
      </c>
      <c r="D3612" s="1" t="s">
        <v>12916</v>
      </c>
      <c r="E3612" s="1" t="s">
        <v>12917</v>
      </c>
      <c r="F3612" s="2" t="s">
        <v>5053</v>
      </c>
      <c r="G3612" s="2" t="s">
        <v>1004</v>
      </c>
      <c r="H3612" s="2" t="s">
        <v>10</v>
      </c>
      <c r="I3612" s="2" t="s">
        <v>4386</v>
      </c>
      <c r="J3612" s="2" t="s">
        <v>9652</v>
      </c>
      <c r="K3612" s="2" t="s">
        <v>10</v>
      </c>
    </row>
    <row r="3613" spans="1:12" ht="27.6" hidden="1" x14ac:dyDescent="0.3">
      <c r="A3613" s="2" t="s">
        <v>4386</v>
      </c>
      <c r="B3613" s="2" t="s">
        <v>12918</v>
      </c>
      <c r="C3613" s="3">
        <v>27718</v>
      </c>
      <c r="D3613" s="1" t="s">
        <v>12919</v>
      </c>
      <c r="E3613" s="1" t="s">
        <v>12920</v>
      </c>
      <c r="F3613" s="2" t="s">
        <v>4555</v>
      </c>
      <c r="G3613" s="2" t="s">
        <v>12921</v>
      </c>
      <c r="H3613" s="2" t="s">
        <v>10</v>
      </c>
      <c r="I3613" s="2" t="s">
        <v>4386</v>
      </c>
      <c r="J3613" s="2" t="s">
        <v>12922</v>
      </c>
      <c r="K3613" s="2" t="s">
        <v>10</v>
      </c>
    </row>
    <row r="3614" spans="1:12" ht="41.4" hidden="1" x14ac:dyDescent="0.3">
      <c r="A3614" s="2" t="s">
        <v>4139</v>
      </c>
      <c r="B3614" s="2" t="s">
        <v>12923</v>
      </c>
      <c r="C3614" s="3">
        <v>30046</v>
      </c>
      <c r="D3614" s="1" t="s">
        <v>12924</v>
      </c>
      <c r="E3614" s="1" t="s">
        <v>12925</v>
      </c>
      <c r="F3614" s="2" t="s">
        <v>12446</v>
      </c>
      <c r="G3614" s="2" t="s">
        <v>3134</v>
      </c>
      <c r="H3614" s="2" t="s">
        <v>9094</v>
      </c>
      <c r="I3614" s="2" t="s">
        <v>4139</v>
      </c>
      <c r="J3614" s="2" t="s">
        <v>3135</v>
      </c>
      <c r="K3614" s="2" t="s">
        <v>10</v>
      </c>
    </row>
    <row r="3615" spans="1:12" ht="41.4" hidden="1" x14ac:dyDescent="0.3">
      <c r="A3615" s="2" t="s">
        <v>4139</v>
      </c>
      <c r="B3615" s="2" t="s">
        <v>12926</v>
      </c>
      <c r="C3615" s="3">
        <v>29622</v>
      </c>
      <c r="D3615" s="1" t="s">
        <v>261</v>
      </c>
      <c r="E3615" s="1" t="s">
        <v>12927</v>
      </c>
      <c r="F3615" s="2" t="s">
        <v>12446</v>
      </c>
      <c r="G3615" s="2" t="s">
        <v>392</v>
      </c>
      <c r="H3615" s="2" t="s">
        <v>10</v>
      </c>
      <c r="I3615" s="2" t="s">
        <v>4139</v>
      </c>
      <c r="J3615" s="2" t="s">
        <v>1213</v>
      </c>
      <c r="K3615" s="2" t="s">
        <v>10</v>
      </c>
    </row>
    <row r="3616" spans="1:12" ht="41.4" hidden="1" x14ac:dyDescent="0.3">
      <c r="A3616" s="2" t="s">
        <v>4139</v>
      </c>
      <c r="B3616" s="2" t="s">
        <v>12928</v>
      </c>
      <c r="C3616" s="3">
        <v>28889</v>
      </c>
      <c r="D3616" s="1" t="s">
        <v>12929</v>
      </c>
      <c r="E3616" s="1" t="s">
        <v>12930</v>
      </c>
      <c r="F3616" s="2" t="s">
        <v>12446</v>
      </c>
      <c r="G3616" s="2" t="s">
        <v>245</v>
      </c>
      <c r="H3616" s="2" t="s">
        <v>10</v>
      </c>
      <c r="I3616" s="2" t="s">
        <v>4139</v>
      </c>
      <c r="J3616" s="2" t="s">
        <v>247</v>
      </c>
      <c r="K3616" s="2" t="s">
        <v>10</v>
      </c>
    </row>
    <row r="3617" spans="1:12" ht="41.4" hidden="1" x14ac:dyDescent="0.3">
      <c r="A3617" s="2" t="s">
        <v>4139</v>
      </c>
      <c r="B3617" s="2" t="s">
        <v>12931</v>
      </c>
      <c r="C3617" s="3">
        <v>22658</v>
      </c>
      <c r="D3617" s="1" t="s">
        <v>12932</v>
      </c>
      <c r="E3617" s="1" t="s">
        <v>12933</v>
      </c>
      <c r="F3617" s="2" t="s">
        <v>11874</v>
      </c>
      <c r="G3617" s="2" t="s">
        <v>190</v>
      </c>
      <c r="H3617" s="2" t="s">
        <v>9094</v>
      </c>
      <c r="I3617" s="2" t="s">
        <v>4139</v>
      </c>
      <c r="J3617" s="2" t="s">
        <v>498</v>
      </c>
      <c r="K3617" s="2" t="s">
        <v>10</v>
      </c>
    </row>
    <row r="3618" spans="1:12" ht="41.4" hidden="1" x14ac:dyDescent="0.3">
      <c r="A3618" s="2" t="s">
        <v>4139</v>
      </c>
      <c r="B3618" s="2" t="s">
        <v>12931</v>
      </c>
      <c r="C3618" s="3">
        <v>22658</v>
      </c>
      <c r="D3618" s="1" t="s">
        <v>12934</v>
      </c>
      <c r="E3618" s="1" t="s">
        <v>12933</v>
      </c>
      <c r="F3618" s="2" t="s">
        <v>11874</v>
      </c>
      <c r="G3618" s="2" t="s">
        <v>190</v>
      </c>
      <c r="H3618" s="2" t="s">
        <v>8058</v>
      </c>
      <c r="I3618" s="2" t="s">
        <v>4139</v>
      </c>
      <c r="J3618" s="2" t="s">
        <v>498</v>
      </c>
      <c r="K3618" s="2" t="s">
        <v>10</v>
      </c>
    </row>
    <row r="3619" spans="1:12" ht="41.4" hidden="1" x14ac:dyDescent="0.3">
      <c r="A3619" s="2" t="s">
        <v>4139</v>
      </c>
      <c r="B3619" s="2" t="s">
        <v>12931</v>
      </c>
      <c r="C3619" s="3">
        <v>22658</v>
      </c>
      <c r="D3619" s="1" t="s">
        <v>12932</v>
      </c>
      <c r="E3619" s="1" t="s">
        <v>12933</v>
      </c>
      <c r="F3619" s="2" t="s">
        <v>11874</v>
      </c>
      <c r="G3619" s="2" t="s">
        <v>190</v>
      </c>
      <c r="H3619" s="2" t="s">
        <v>12935</v>
      </c>
      <c r="I3619" s="2" t="s">
        <v>4139</v>
      </c>
      <c r="J3619" s="2" t="s">
        <v>498</v>
      </c>
      <c r="K3619" s="2" t="s">
        <v>10</v>
      </c>
    </row>
    <row r="3620" spans="1:12" ht="41.4" hidden="1" x14ac:dyDescent="0.3">
      <c r="A3620" s="2" t="s">
        <v>4139</v>
      </c>
      <c r="B3620" s="2" t="s">
        <v>12931</v>
      </c>
      <c r="C3620" s="3">
        <v>22658</v>
      </c>
      <c r="D3620" s="1" t="s">
        <v>12932</v>
      </c>
      <c r="E3620" s="1" t="s">
        <v>12933</v>
      </c>
      <c r="F3620" s="2" t="s">
        <v>11874</v>
      </c>
      <c r="G3620" s="2" t="s">
        <v>380</v>
      </c>
      <c r="H3620" s="2" t="s">
        <v>12936</v>
      </c>
      <c r="I3620" s="2" t="s">
        <v>4139</v>
      </c>
      <c r="J3620" s="2" t="s">
        <v>1083</v>
      </c>
      <c r="K3620" s="2" t="s">
        <v>10</v>
      </c>
    </row>
    <row r="3621" spans="1:12" hidden="1" x14ac:dyDescent="0.3">
      <c r="A3621" s="8" t="s">
        <v>4139</v>
      </c>
      <c r="B3621" s="8" t="s">
        <v>12937</v>
      </c>
      <c r="C3621" s="9">
        <v>21813</v>
      </c>
      <c r="D3621" s="10" t="s">
        <v>12938</v>
      </c>
      <c r="E3621" s="10" t="s">
        <v>12939</v>
      </c>
      <c r="F3621" s="8" t="s">
        <v>8598</v>
      </c>
      <c r="G3621" s="8" t="s">
        <v>10529</v>
      </c>
      <c r="H3621" s="8" t="s">
        <v>81</v>
      </c>
      <c r="I3621" s="8" t="s">
        <v>4139</v>
      </c>
      <c r="J3621" s="2" t="s">
        <v>10530</v>
      </c>
      <c r="K3621" s="13" t="s">
        <v>13177</v>
      </c>
      <c r="L3621" s="7" t="s">
        <v>13199</v>
      </c>
    </row>
    <row r="3622" spans="1:12" ht="27.6" hidden="1" x14ac:dyDescent="0.3">
      <c r="A3622" s="2" t="s">
        <v>4139</v>
      </c>
      <c r="B3622" s="2" t="s">
        <v>12940</v>
      </c>
      <c r="C3622" s="3">
        <v>27228</v>
      </c>
      <c r="D3622" s="1" t="s">
        <v>12941</v>
      </c>
      <c r="E3622" s="1" t="s">
        <v>12942</v>
      </c>
      <c r="F3622" s="2" t="s">
        <v>12708</v>
      </c>
      <c r="G3622" s="2" t="s">
        <v>552</v>
      </c>
      <c r="H3622" s="2" t="s">
        <v>103</v>
      </c>
      <c r="I3622" s="2" t="s">
        <v>4139</v>
      </c>
      <c r="J3622" s="2" t="s">
        <v>1230</v>
      </c>
      <c r="K3622" s="2" t="s">
        <v>10</v>
      </c>
    </row>
    <row r="3623" spans="1:12" ht="27.6" hidden="1" x14ac:dyDescent="0.3">
      <c r="A3623" s="2" t="s">
        <v>4139</v>
      </c>
      <c r="B3623" s="2" t="s">
        <v>12943</v>
      </c>
      <c r="C3623" s="3">
        <v>27228</v>
      </c>
      <c r="D3623" s="1" t="s">
        <v>12941</v>
      </c>
      <c r="E3623" s="1" t="s">
        <v>12942</v>
      </c>
      <c r="F3623" s="2" t="s">
        <v>12708</v>
      </c>
      <c r="G3623" s="2" t="s">
        <v>552</v>
      </c>
      <c r="H3623" s="2" t="s">
        <v>81</v>
      </c>
      <c r="I3623" s="2" t="s">
        <v>4139</v>
      </c>
      <c r="J3623" s="2" t="s">
        <v>1230</v>
      </c>
      <c r="K3623" s="2" t="s">
        <v>10</v>
      </c>
    </row>
    <row r="3624" spans="1:12" ht="27.6" hidden="1" x14ac:dyDescent="0.3">
      <c r="A3624" s="2" t="s">
        <v>1962</v>
      </c>
      <c r="B3624" s="2" t="s">
        <v>12944</v>
      </c>
      <c r="C3624" s="3">
        <v>22802</v>
      </c>
      <c r="D3624" s="1" t="s">
        <v>12945</v>
      </c>
      <c r="E3624" s="1" t="s">
        <v>12946</v>
      </c>
      <c r="F3624" s="2" t="s">
        <v>11625</v>
      </c>
      <c r="G3624" s="2" t="s">
        <v>385</v>
      </c>
      <c r="H3624" s="2" t="s">
        <v>10</v>
      </c>
      <c r="I3624" s="2" t="s">
        <v>1962</v>
      </c>
      <c r="J3624" s="2" t="s">
        <v>913</v>
      </c>
      <c r="K3624" s="2" t="s">
        <v>10</v>
      </c>
    </row>
    <row r="3625" spans="1:12" ht="55.2" hidden="1" x14ac:dyDescent="0.3">
      <c r="A3625" s="2" t="s">
        <v>4604</v>
      </c>
      <c r="B3625" s="2" t="s">
        <v>12947</v>
      </c>
      <c r="C3625" s="3">
        <v>15507</v>
      </c>
      <c r="D3625" s="1" t="s">
        <v>12948</v>
      </c>
      <c r="E3625" s="1" t="s">
        <v>12949</v>
      </c>
      <c r="F3625" s="2" t="s">
        <v>7305</v>
      </c>
      <c r="G3625" s="2" t="s">
        <v>669</v>
      </c>
      <c r="H3625" s="2" t="s">
        <v>12950</v>
      </c>
      <c r="I3625" s="2" t="s">
        <v>4604</v>
      </c>
      <c r="J3625" s="2" t="s">
        <v>1888</v>
      </c>
      <c r="K3625" s="15" t="s">
        <v>10</v>
      </c>
    </row>
    <row r="3626" spans="1:12" hidden="1" x14ac:dyDescent="0.3">
      <c r="A3626" s="2" t="s">
        <v>4139</v>
      </c>
      <c r="B3626" s="2" t="s">
        <v>12951</v>
      </c>
      <c r="C3626" s="3">
        <v>25339</v>
      </c>
      <c r="D3626" s="1" t="s">
        <v>12952</v>
      </c>
      <c r="E3626" s="1" t="s">
        <v>12953</v>
      </c>
      <c r="F3626" s="2" t="s">
        <v>4143</v>
      </c>
      <c r="G3626" s="2" t="s">
        <v>808</v>
      </c>
      <c r="H3626" s="2" t="s">
        <v>81</v>
      </c>
      <c r="I3626" s="2" t="s">
        <v>4139</v>
      </c>
      <c r="J3626" s="2" t="s">
        <v>809</v>
      </c>
      <c r="K3626" s="2" t="s">
        <v>10</v>
      </c>
      <c r="L3626" s="6"/>
    </row>
    <row r="3627" spans="1:12" hidden="1" x14ac:dyDescent="0.3">
      <c r="A3627" s="2" t="s">
        <v>4139</v>
      </c>
      <c r="B3627" s="2" t="s">
        <v>12951</v>
      </c>
      <c r="C3627" s="3">
        <v>25339</v>
      </c>
      <c r="D3627" s="1" t="s">
        <v>12952</v>
      </c>
      <c r="E3627" s="1" t="s">
        <v>12953</v>
      </c>
      <c r="F3627" s="2" t="s">
        <v>4143</v>
      </c>
      <c r="G3627" s="2" t="s">
        <v>808</v>
      </c>
      <c r="H3627" s="2" t="s">
        <v>103</v>
      </c>
      <c r="I3627" s="2" t="s">
        <v>4139</v>
      </c>
      <c r="J3627" s="2" t="s">
        <v>809</v>
      </c>
      <c r="K3627" s="2" t="s">
        <v>10</v>
      </c>
      <c r="L3627" s="6"/>
    </row>
    <row r="3628" spans="1:12" hidden="1" x14ac:dyDescent="0.3">
      <c r="A3628" s="2" t="s">
        <v>4139</v>
      </c>
      <c r="B3628" s="2" t="s">
        <v>12954</v>
      </c>
      <c r="C3628" s="3">
        <v>28599</v>
      </c>
      <c r="D3628" s="1" t="s">
        <v>12955</v>
      </c>
      <c r="E3628" s="1" t="s">
        <v>12956</v>
      </c>
      <c r="F3628" s="2" t="s">
        <v>9601</v>
      </c>
      <c r="G3628" s="2" t="s">
        <v>511</v>
      </c>
      <c r="H3628" s="2" t="s">
        <v>10</v>
      </c>
      <c r="I3628" s="2" t="s">
        <v>4139</v>
      </c>
      <c r="J3628" s="2" t="s">
        <v>512</v>
      </c>
      <c r="K3628" s="18" t="s">
        <v>10</v>
      </c>
    </row>
    <row r="3629" spans="1:12" ht="41.4" hidden="1" x14ac:dyDescent="0.3">
      <c r="A3629" s="2" t="s">
        <v>4139</v>
      </c>
      <c r="B3629" s="2" t="s">
        <v>12957</v>
      </c>
      <c r="C3629" s="3">
        <v>30504</v>
      </c>
      <c r="D3629" s="1" t="s">
        <v>261</v>
      </c>
      <c r="E3629" s="1" t="s">
        <v>12958</v>
      </c>
      <c r="F3629" s="2" t="s">
        <v>11894</v>
      </c>
      <c r="G3629" s="2" t="s">
        <v>9775</v>
      </c>
      <c r="H3629" s="2" t="s">
        <v>10</v>
      </c>
      <c r="I3629" s="2" t="s">
        <v>4139</v>
      </c>
      <c r="J3629" s="2" t="s">
        <v>9776</v>
      </c>
      <c r="K3629" s="2" t="s">
        <v>499</v>
      </c>
    </row>
    <row r="3630" spans="1:12" ht="41.4" hidden="1" x14ac:dyDescent="0.3">
      <c r="A3630" s="2" t="s">
        <v>4139</v>
      </c>
      <c r="B3630" s="2" t="s">
        <v>12959</v>
      </c>
      <c r="C3630" s="3">
        <v>26406</v>
      </c>
      <c r="D3630" s="1" t="s">
        <v>12960</v>
      </c>
      <c r="E3630" s="1" t="s">
        <v>12961</v>
      </c>
      <c r="F3630" s="2" t="s">
        <v>11894</v>
      </c>
      <c r="G3630" s="2" t="s">
        <v>12962</v>
      </c>
      <c r="H3630" s="2" t="s">
        <v>10</v>
      </c>
      <c r="I3630" s="2" t="s">
        <v>4139</v>
      </c>
      <c r="J3630" s="2" t="s">
        <v>12963</v>
      </c>
      <c r="K3630" s="2" t="s">
        <v>10</v>
      </c>
    </row>
    <row r="3631" spans="1:12" ht="41.4" hidden="1" x14ac:dyDescent="0.3">
      <c r="A3631" s="2" t="s">
        <v>4139</v>
      </c>
      <c r="B3631" s="2" t="s">
        <v>12964</v>
      </c>
      <c r="C3631" s="3">
        <v>31176</v>
      </c>
      <c r="D3631" s="1" t="s">
        <v>12965</v>
      </c>
      <c r="E3631" s="1" t="s">
        <v>12966</v>
      </c>
      <c r="F3631" s="2" t="s">
        <v>12446</v>
      </c>
      <c r="G3631" s="2" t="s">
        <v>1763</v>
      </c>
      <c r="H3631" s="2" t="s">
        <v>10</v>
      </c>
      <c r="I3631" s="2" t="s">
        <v>4139</v>
      </c>
      <c r="J3631" s="2" t="s">
        <v>1764</v>
      </c>
      <c r="K3631" s="2" t="s">
        <v>10</v>
      </c>
    </row>
    <row r="3632" spans="1:12" ht="41.4" hidden="1" x14ac:dyDescent="0.3">
      <c r="A3632" s="2" t="s">
        <v>4139</v>
      </c>
      <c r="B3632" s="2" t="s">
        <v>12967</v>
      </c>
      <c r="C3632" s="3">
        <v>29455</v>
      </c>
      <c r="D3632" s="1" t="s">
        <v>12968</v>
      </c>
      <c r="E3632" s="1" t="s">
        <v>12969</v>
      </c>
      <c r="F3632" s="2" t="s">
        <v>11638</v>
      </c>
      <c r="G3632" s="2" t="s">
        <v>11644</v>
      </c>
      <c r="H3632" s="2" t="s">
        <v>3065</v>
      </c>
      <c r="I3632" s="2" t="s">
        <v>4139</v>
      </c>
      <c r="J3632" s="2" t="s">
        <v>11645</v>
      </c>
      <c r="K3632" s="2" t="s">
        <v>10</v>
      </c>
    </row>
    <row r="3633" spans="1:12" ht="27.6" hidden="1" x14ac:dyDescent="0.3">
      <c r="A3633" s="2" t="s">
        <v>4139</v>
      </c>
      <c r="B3633" s="2" t="s">
        <v>12970</v>
      </c>
      <c r="C3633" s="3">
        <v>29677</v>
      </c>
      <c r="D3633" s="1" t="s">
        <v>12971</v>
      </c>
      <c r="E3633" s="1" t="s">
        <v>12972</v>
      </c>
      <c r="F3633" s="2" t="s">
        <v>12708</v>
      </c>
      <c r="G3633" s="2" t="s">
        <v>1763</v>
      </c>
      <c r="H3633" s="2" t="s">
        <v>43</v>
      </c>
      <c r="I3633" s="2" t="s">
        <v>4139</v>
      </c>
      <c r="J3633" s="2" t="s">
        <v>1059</v>
      </c>
      <c r="K3633" s="2" t="s">
        <v>10</v>
      </c>
    </row>
    <row r="3634" spans="1:12" ht="27.6" hidden="1" x14ac:dyDescent="0.3">
      <c r="A3634" s="2" t="s">
        <v>4139</v>
      </c>
      <c r="B3634" s="2" t="s">
        <v>12973</v>
      </c>
      <c r="C3634" s="3">
        <v>39245</v>
      </c>
      <c r="D3634" s="1" t="s">
        <v>12974</v>
      </c>
      <c r="E3634" s="1" t="s">
        <v>12975</v>
      </c>
      <c r="F3634" s="2" t="s">
        <v>12708</v>
      </c>
      <c r="G3634" s="2" t="s">
        <v>124</v>
      </c>
      <c r="H3634" s="2" t="s">
        <v>562</v>
      </c>
      <c r="I3634" s="2" t="s">
        <v>4139</v>
      </c>
      <c r="J3634" s="2" t="s">
        <v>173</v>
      </c>
      <c r="K3634" s="2" t="s">
        <v>10</v>
      </c>
    </row>
    <row r="3635" spans="1:12" ht="27.6" hidden="1" x14ac:dyDescent="0.3">
      <c r="A3635" s="2" t="s">
        <v>4139</v>
      </c>
      <c r="B3635" s="2" t="s">
        <v>12976</v>
      </c>
      <c r="C3635" s="3">
        <v>25815</v>
      </c>
      <c r="D3635" s="1" t="s">
        <v>12977</v>
      </c>
      <c r="E3635" s="1" t="s">
        <v>12978</v>
      </c>
      <c r="F3635" s="2" t="s">
        <v>12708</v>
      </c>
      <c r="G3635" s="2" t="s">
        <v>669</v>
      </c>
      <c r="H3635" s="2" t="s">
        <v>103</v>
      </c>
      <c r="I3635" s="2" t="s">
        <v>4139</v>
      </c>
      <c r="J3635" s="2" t="s">
        <v>670</v>
      </c>
      <c r="K3635" s="2" t="s">
        <v>10</v>
      </c>
    </row>
    <row r="3636" spans="1:12" ht="27.6" hidden="1" x14ac:dyDescent="0.3">
      <c r="A3636" s="2" t="s">
        <v>4139</v>
      </c>
      <c r="B3636" s="2" t="s">
        <v>12979</v>
      </c>
      <c r="C3636" s="3">
        <v>26841</v>
      </c>
      <c r="D3636" s="1" t="s">
        <v>12980</v>
      </c>
      <c r="E3636" s="1" t="s">
        <v>12981</v>
      </c>
      <c r="F3636" s="2" t="s">
        <v>12351</v>
      </c>
      <c r="G3636" s="2" t="s">
        <v>12982</v>
      </c>
      <c r="H3636" s="2" t="s">
        <v>10</v>
      </c>
      <c r="I3636" s="2" t="s">
        <v>4139</v>
      </c>
      <c r="J3636" s="2" t="s">
        <v>12983</v>
      </c>
      <c r="K3636" s="2" t="s">
        <v>10</v>
      </c>
    </row>
    <row r="3637" spans="1:12" ht="27.6" hidden="1" x14ac:dyDescent="0.3">
      <c r="A3637" s="2" t="s">
        <v>4139</v>
      </c>
      <c r="B3637" s="2" t="s">
        <v>12984</v>
      </c>
      <c r="C3637" s="3">
        <v>28086</v>
      </c>
      <c r="D3637" s="1" t="s">
        <v>12985</v>
      </c>
      <c r="E3637" s="1" t="s">
        <v>12986</v>
      </c>
      <c r="F3637" s="2" t="s">
        <v>12708</v>
      </c>
      <c r="G3637" s="2" t="s">
        <v>1228</v>
      </c>
      <c r="H3637" s="2" t="s">
        <v>10</v>
      </c>
      <c r="I3637" s="2" t="s">
        <v>4139</v>
      </c>
      <c r="J3637" s="2" t="s">
        <v>1229</v>
      </c>
      <c r="K3637" s="2" t="s">
        <v>10</v>
      </c>
    </row>
    <row r="3638" spans="1:12" ht="27.6" hidden="1" x14ac:dyDescent="0.3">
      <c r="A3638" s="2" t="s">
        <v>4139</v>
      </c>
      <c r="B3638" s="2" t="s">
        <v>12987</v>
      </c>
      <c r="C3638" s="3">
        <v>36307</v>
      </c>
      <c r="D3638" s="1" t="s">
        <v>12988</v>
      </c>
      <c r="E3638" s="1" t="s">
        <v>12989</v>
      </c>
      <c r="F3638" s="2" t="s">
        <v>12708</v>
      </c>
      <c r="G3638" s="2" t="s">
        <v>669</v>
      </c>
      <c r="H3638" s="2" t="s">
        <v>5034</v>
      </c>
      <c r="I3638" s="2" t="s">
        <v>4139</v>
      </c>
      <c r="J3638" s="2" t="s">
        <v>670</v>
      </c>
      <c r="K3638" s="2" t="s">
        <v>10</v>
      </c>
    </row>
    <row r="3639" spans="1:12" ht="27.6" hidden="1" x14ac:dyDescent="0.3">
      <c r="A3639" s="2" t="s">
        <v>4139</v>
      </c>
      <c r="B3639" s="2" t="s">
        <v>12990</v>
      </c>
      <c r="C3639" s="3">
        <v>32099</v>
      </c>
      <c r="D3639" s="1" t="s">
        <v>261</v>
      </c>
      <c r="E3639" s="1" t="s">
        <v>12991</v>
      </c>
      <c r="F3639" s="2" t="s">
        <v>12351</v>
      </c>
      <c r="G3639" s="2" t="s">
        <v>12992</v>
      </c>
      <c r="H3639" s="2" t="s">
        <v>10</v>
      </c>
      <c r="I3639" s="2" t="s">
        <v>4139</v>
      </c>
      <c r="J3639" s="2" t="s">
        <v>12993</v>
      </c>
      <c r="K3639" s="2" t="s">
        <v>10</v>
      </c>
    </row>
    <row r="3640" spans="1:12" hidden="1" x14ac:dyDescent="0.3">
      <c r="A3640" s="2" t="s">
        <v>4139</v>
      </c>
      <c r="B3640" s="2" t="s">
        <v>12994</v>
      </c>
      <c r="C3640" s="3">
        <v>33091</v>
      </c>
      <c r="D3640" s="1" t="s">
        <v>12995</v>
      </c>
      <c r="E3640" s="1" t="s">
        <v>12996</v>
      </c>
      <c r="F3640" s="2" t="s">
        <v>8598</v>
      </c>
      <c r="G3640" s="2" t="s">
        <v>9799</v>
      </c>
      <c r="H3640" s="2" t="s">
        <v>2001</v>
      </c>
      <c r="I3640" s="2" t="s">
        <v>4139</v>
      </c>
      <c r="J3640" s="2" t="s">
        <v>9800</v>
      </c>
      <c r="K3640" s="13" t="s">
        <v>13177</v>
      </c>
      <c r="L3640" s="7" t="s">
        <v>13199</v>
      </c>
    </row>
    <row r="3641" spans="1:12" ht="41.4" hidden="1" x14ac:dyDescent="0.3">
      <c r="A3641" s="2" t="s">
        <v>4139</v>
      </c>
      <c r="B3641" s="2" t="s">
        <v>12997</v>
      </c>
      <c r="C3641" s="3">
        <v>11907</v>
      </c>
      <c r="D3641" s="1" t="s">
        <v>12998</v>
      </c>
      <c r="E3641" s="1" t="s">
        <v>12999</v>
      </c>
      <c r="F3641" s="2" t="s">
        <v>11638</v>
      </c>
      <c r="G3641" s="2" t="s">
        <v>2216</v>
      </c>
      <c r="H3641" s="2" t="s">
        <v>8058</v>
      </c>
      <c r="I3641" s="2" t="s">
        <v>4139</v>
      </c>
      <c r="J3641" s="2" t="s">
        <v>2217</v>
      </c>
      <c r="K3641" s="2" t="s">
        <v>10</v>
      </c>
    </row>
    <row r="3642" spans="1:12" ht="41.4" hidden="1" x14ac:dyDescent="0.3">
      <c r="A3642" s="2" t="s">
        <v>4139</v>
      </c>
      <c r="B3642" s="2" t="s">
        <v>13000</v>
      </c>
      <c r="C3642" s="3">
        <v>11907</v>
      </c>
      <c r="D3642" s="1" t="s">
        <v>12998</v>
      </c>
      <c r="E3642" s="1" t="s">
        <v>12999</v>
      </c>
      <c r="F3642" s="2" t="s">
        <v>11638</v>
      </c>
      <c r="G3642" s="2" t="s">
        <v>2216</v>
      </c>
      <c r="H3642" s="2" t="s">
        <v>9094</v>
      </c>
      <c r="I3642" s="2" t="s">
        <v>4139</v>
      </c>
      <c r="J3642" s="2" t="s">
        <v>2217</v>
      </c>
      <c r="K3642" s="2" t="s">
        <v>10</v>
      </c>
    </row>
    <row r="3643" spans="1:12" ht="41.4" hidden="1" x14ac:dyDescent="0.3">
      <c r="A3643" s="2" t="s">
        <v>4139</v>
      </c>
      <c r="B3643" s="2" t="s">
        <v>13001</v>
      </c>
      <c r="C3643" s="3">
        <v>30244</v>
      </c>
      <c r="D3643" s="1" t="s">
        <v>13002</v>
      </c>
      <c r="E3643" s="1" t="s">
        <v>13003</v>
      </c>
      <c r="F3643" s="2" t="s">
        <v>12446</v>
      </c>
      <c r="G3643" s="2" t="s">
        <v>2743</v>
      </c>
      <c r="H3643" s="2" t="s">
        <v>103</v>
      </c>
      <c r="I3643" s="2" t="s">
        <v>4139</v>
      </c>
      <c r="J3643" s="2" t="s">
        <v>3164</v>
      </c>
      <c r="K3643" s="2" t="s">
        <v>10</v>
      </c>
    </row>
    <row r="3644" spans="1:12" ht="41.4" hidden="1" x14ac:dyDescent="0.3">
      <c r="A3644" s="2" t="s">
        <v>4139</v>
      </c>
      <c r="B3644" s="2" t="s">
        <v>13004</v>
      </c>
      <c r="C3644" s="3">
        <v>28874</v>
      </c>
      <c r="D3644" s="1" t="s">
        <v>13005</v>
      </c>
      <c r="E3644" s="1" t="s">
        <v>13006</v>
      </c>
      <c r="F3644" s="2" t="s">
        <v>12446</v>
      </c>
      <c r="G3644" s="2" t="s">
        <v>2743</v>
      </c>
      <c r="H3644" s="2" t="s">
        <v>81</v>
      </c>
      <c r="I3644" s="2" t="s">
        <v>4139</v>
      </c>
      <c r="J3644" s="2" t="s">
        <v>3164</v>
      </c>
      <c r="K3644" s="2" t="s">
        <v>10</v>
      </c>
    </row>
    <row r="3645" spans="1:12" ht="41.4" hidden="1" x14ac:dyDescent="0.3">
      <c r="A3645" s="2" t="s">
        <v>4139</v>
      </c>
      <c r="B3645" s="2" t="s">
        <v>13007</v>
      </c>
      <c r="C3645" s="3">
        <v>33248</v>
      </c>
      <c r="D3645" s="1" t="s">
        <v>13008</v>
      </c>
      <c r="E3645" s="1" t="s">
        <v>13009</v>
      </c>
      <c r="F3645" s="2" t="s">
        <v>12446</v>
      </c>
      <c r="G3645" s="2" t="s">
        <v>425</v>
      </c>
      <c r="H3645" s="2" t="s">
        <v>4654</v>
      </c>
      <c r="I3645" s="2" t="s">
        <v>4139</v>
      </c>
      <c r="J3645" s="2" t="s">
        <v>426</v>
      </c>
      <c r="K3645" s="2" t="s">
        <v>10</v>
      </c>
    </row>
    <row r="3646" spans="1:12" ht="27.6" hidden="1" x14ac:dyDescent="0.3">
      <c r="A3646" s="2" t="s">
        <v>4139</v>
      </c>
      <c r="B3646" s="2" t="s">
        <v>13010</v>
      </c>
      <c r="C3646" s="3">
        <v>30280</v>
      </c>
      <c r="D3646" s="1" t="s">
        <v>13011</v>
      </c>
      <c r="E3646" s="1" t="s">
        <v>13012</v>
      </c>
      <c r="F3646" s="2" t="s">
        <v>13013</v>
      </c>
      <c r="G3646" s="2" t="s">
        <v>190</v>
      </c>
      <c r="H3646" s="2" t="s">
        <v>3065</v>
      </c>
      <c r="I3646" s="2" t="s">
        <v>4139</v>
      </c>
      <c r="J3646" s="2" t="s">
        <v>191</v>
      </c>
      <c r="K3646" s="2" t="s">
        <v>10</v>
      </c>
    </row>
    <row r="3647" spans="1:12" ht="27.6" hidden="1" x14ac:dyDescent="0.3">
      <c r="A3647" s="2" t="s">
        <v>4139</v>
      </c>
      <c r="B3647" s="2" t="s">
        <v>13014</v>
      </c>
      <c r="C3647" s="3">
        <v>23192</v>
      </c>
      <c r="D3647" s="1" t="s">
        <v>13015</v>
      </c>
      <c r="E3647" s="1" t="s">
        <v>13016</v>
      </c>
      <c r="F3647" s="2" t="s">
        <v>13013</v>
      </c>
      <c r="G3647" s="2" t="s">
        <v>190</v>
      </c>
      <c r="H3647" s="2" t="s">
        <v>562</v>
      </c>
      <c r="I3647" s="2" t="s">
        <v>4139</v>
      </c>
      <c r="J3647" s="2" t="s">
        <v>191</v>
      </c>
      <c r="K3647" s="2" t="s">
        <v>10</v>
      </c>
    </row>
    <row r="3648" spans="1:12" ht="27.6" hidden="1" x14ac:dyDescent="0.3">
      <c r="A3648" s="2" t="s">
        <v>4139</v>
      </c>
      <c r="B3648" s="2" t="s">
        <v>13017</v>
      </c>
      <c r="C3648" s="3">
        <v>38071</v>
      </c>
      <c r="D3648" s="1" t="s">
        <v>13018</v>
      </c>
      <c r="E3648" s="1" t="s">
        <v>13019</v>
      </c>
      <c r="F3648" s="2" t="s">
        <v>13013</v>
      </c>
      <c r="G3648" s="2" t="s">
        <v>31</v>
      </c>
      <c r="H3648" s="2" t="s">
        <v>10</v>
      </c>
      <c r="I3648" s="2" t="s">
        <v>4139</v>
      </c>
      <c r="J3648" s="2" t="s">
        <v>729</v>
      </c>
      <c r="K3648" s="2" t="s">
        <v>10</v>
      </c>
    </row>
    <row r="3649" spans="1:11" ht="27.6" hidden="1" x14ac:dyDescent="0.3">
      <c r="A3649" s="2" t="s">
        <v>4139</v>
      </c>
      <c r="B3649" s="2" t="s">
        <v>13020</v>
      </c>
      <c r="C3649" s="3">
        <v>27267</v>
      </c>
      <c r="D3649" s="1" t="s">
        <v>13021</v>
      </c>
      <c r="E3649" s="1" t="s">
        <v>13022</v>
      </c>
      <c r="F3649" s="2" t="s">
        <v>13023</v>
      </c>
      <c r="G3649" s="2" t="s">
        <v>157</v>
      </c>
      <c r="H3649" s="2" t="s">
        <v>10</v>
      </c>
      <c r="I3649" s="2" t="s">
        <v>4139</v>
      </c>
      <c r="J3649" s="2" t="s">
        <v>158</v>
      </c>
      <c r="K3649" s="2" t="s">
        <v>10</v>
      </c>
    </row>
    <row r="3650" spans="1:11" ht="27.6" hidden="1" x14ac:dyDescent="0.3">
      <c r="A3650" s="2" t="s">
        <v>4139</v>
      </c>
      <c r="B3650" s="2" t="s">
        <v>13024</v>
      </c>
      <c r="C3650" s="3">
        <v>30260</v>
      </c>
      <c r="D3650" s="1" t="s">
        <v>13025</v>
      </c>
      <c r="E3650" s="1" t="s">
        <v>13026</v>
      </c>
      <c r="F3650" s="2" t="s">
        <v>13023</v>
      </c>
      <c r="G3650" s="2" t="s">
        <v>124</v>
      </c>
      <c r="H3650" s="2" t="s">
        <v>10</v>
      </c>
      <c r="I3650" s="2" t="s">
        <v>4139</v>
      </c>
      <c r="J3650" s="2" t="s">
        <v>173</v>
      </c>
      <c r="K3650" s="2" t="s">
        <v>10</v>
      </c>
    </row>
    <row r="3651" spans="1:11" ht="27.6" hidden="1" x14ac:dyDescent="0.3">
      <c r="A3651" s="2" t="s">
        <v>4139</v>
      </c>
      <c r="B3651" s="2" t="s">
        <v>13027</v>
      </c>
      <c r="C3651" s="3">
        <v>33478</v>
      </c>
      <c r="D3651" s="1" t="s">
        <v>13028</v>
      </c>
      <c r="E3651" s="1" t="s">
        <v>13029</v>
      </c>
      <c r="F3651" s="2" t="s">
        <v>13013</v>
      </c>
      <c r="G3651" s="2" t="s">
        <v>1403</v>
      </c>
      <c r="H3651" s="2" t="s">
        <v>103</v>
      </c>
      <c r="I3651" s="2" t="s">
        <v>4139</v>
      </c>
      <c r="J3651" s="2" t="s">
        <v>7195</v>
      </c>
      <c r="K3651" s="2" t="s">
        <v>10</v>
      </c>
    </row>
    <row r="3652" spans="1:11" ht="27.6" hidden="1" x14ac:dyDescent="0.3">
      <c r="A3652" s="2" t="s">
        <v>4139</v>
      </c>
      <c r="B3652" s="2" t="s">
        <v>13030</v>
      </c>
      <c r="C3652" s="3">
        <v>21885</v>
      </c>
      <c r="D3652" s="1" t="s">
        <v>13031</v>
      </c>
      <c r="E3652" s="1" t="s">
        <v>13032</v>
      </c>
      <c r="F3652" s="2" t="s">
        <v>13013</v>
      </c>
      <c r="G3652" s="2" t="s">
        <v>196</v>
      </c>
      <c r="H3652" s="2" t="s">
        <v>10</v>
      </c>
      <c r="I3652" s="2" t="s">
        <v>4139</v>
      </c>
      <c r="J3652" s="2" t="s">
        <v>197</v>
      </c>
      <c r="K3652" s="2" t="s">
        <v>10</v>
      </c>
    </row>
    <row r="3653" spans="1:11" ht="27.6" hidden="1" x14ac:dyDescent="0.3">
      <c r="A3653" s="2" t="s">
        <v>4139</v>
      </c>
      <c r="B3653" s="2" t="s">
        <v>13033</v>
      </c>
      <c r="C3653" s="3">
        <v>30222</v>
      </c>
      <c r="D3653" s="1" t="s">
        <v>261</v>
      </c>
      <c r="E3653" s="1" t="s">
        <v>13034</v>
      </c>
      <c r="F3653" s="2" t="s">
        <v>13013</v>
      </c>
      <c r="G3653" s="2" t="s">
        <v>152</v>
      </c>
      <c r="H3653" s="2" t="s">
        <v>103</v>
      </c>
      <c r="I3653" s="2" t="s">
        <v>4139</v>
      </c>
      <c r="J3653" s="2" t="s">
        <v>153</v>
      </c>
      <c r="K3653" s="2" t="s">
        <v>10</v>
      </c>
    </row>
    <row r="3654" spans="1:11" ht="27.6" hidden="1" x14ac:dyDescent="0.3">
      <c r="A3654" s="2" t="s">
        <v>4139</v>
      </c>
      <c r="B3654" s="2" t="s">
        <v>13035</v>
      </c>
      <c r="C3654" s="3">
        <v>30222</v>
      </c>
      <c r="D3654" s="1" t="s">
        <v>261</v>
      </c>
      <c r="E3654" s="1" t="s">
        <v>13034</v>
      </c>
      <c r="F3654" s="2" t="s">
        <v>13013</v>
      </c>
      <c r="G3654" s="2" t="s">
        <v>230</v>
      </c>
      <c r="H3654" s="2" t="s">
        <v>10</v>
      </c>
      <c r="I3654" s="2" t="s">
        <v>4139</v>
      </c>
      <c r="J3654" s="2" t="s">
        <v>270</v>
      </c>
      <c r="K3654" s="2" t="s">
        <v>10</v>
      </c>
    </row>
    <row r="3655" spans="1:11" ht="41.4" hidden="1" x14ac:dyDescent="0.3">
      <c r="A3655" s="2" t="s">
        <v>4139</v>
      </c>
      <c r="B3655" s="2" t="s">
        <v>13036</v>
      </c>
      <c r="C3655" s="3">
        <v>30825</v>
      </c>
      <c r="D3655" s="1" t="s">
        <v>13037</v>
      </c>
      <c r="E3655" s="1" t="s">
        <v>13038</v>
      </c>
      <c r="F3655" s="2" t="s">
        <v>12446</v>
      </c>
      <c r="G3655" s="2" t="s">
        <v>392</v>
      </c>
      <c r="H3655" s="2" t="s">
        <v>5034</v>
      </c>
      <c r="I3655" s="2" t="s">
        <v>4139</v>
      </c>
      <c r="J3655" s="2" t="s">
        <v>1213</v>
      </c>
      <c r="K3655" s="2" t="s">
        <v>10</v>
      </c>
    </row>
    <row r="3656" spans="1:11" ht="41.4" hidden="1" x14ac:dyDescent="0.3">
      <c r="A3656" s="2" t="s">
        <v>4139</v>
      </c>
      <c r="B3656" s="2" t="s">
        <v>13039</v>
      </c>
      <c r="C3656" s="3">
        <v>30900</v>
      </c>
      <c r="D3656" s="1" t="s">
        <v>13040</v>
      </c>
      <c r="E3656" s="1" t="s">
        <v>13041</v>
      </c>
      <c r="F3656" s="2" t="s">
        <v>12446</v>
      </c>
      <c r="G3656" s="2" t="s">
        <v>1135</v>
      </c>
      <c r="H3656" s="2" t="s">
        <v>10</v>
      </c>
      <c r="I3656" s="2" t="s">
        <v>4139</v>
      </c>
      <c r="J3656" s="2" t="s">
        <v>13042</v>
      </c>
      <c r="K3656" s="2" t="s">
        <v>10</v>
      </c>
    </row>
    <row r="3657" spans="1:11" ht="27.6" hidden="1" x14ac:dyDescent="0.3">
      <c r="A3657" s="2" t="s">
        <v>4139</v>
      </c>
      <c r="B3657" s="2" t="s">
        <v>13043</v>
      </c>
      <c r="C3657" s="3">
        <v>31660</v>
      </c>
      <c r="D3657" s="1" t="s">
        <v>13044</v>
      </c>
      <c r="E3657" s="1" t="s">
        <v>13045</v>
      </c>
      <c r="F3657" s="2" t="s">
        <v>13013</v>
      </c>
      <c r="G3657" s="2" t="s">
        <v>190</v>
      </c>
      <c r="H3657" s="2" t="s">
        <v>9094</v>
      </c>
      <c r="I3657" s="2" t="s">
        <v>4139</v>
      </c>
      <c r="J3657" s="2" t="s">
        <v>498</v>
      </c>
      <c r="K3657" s="2" t="s">
        <v>10</v>
      </c>
    </row>
    <row r="3658" spans="1:11" ht="27.6" hidden="1" x14ac:dyDescent="0.3">
      <c r="A3658" s="2" t="s">
        <v>4139</v>
      </c>
      <c r="B3658" s="2" t="s">
        <v>13046</v>
      </c>
      <c r="C3658" s="3">
        <v>32064</v>
      </c>
      <c r="D3658" s="1" t="s">
        <v>13047</v>
      </c>
      <c r="E3658" s="1" t="s">
        <v>13048</v>
      </c>
      <c r="F3658" s="2" t="s">
        <v>13013</v>
      </c>
      <c r="G3658" s="2" t="s">
        <v>190</v>
      </c>
      <c r="H3658" s="2" t="s">
        <v>822</v>
      </c>
      <c r="I3658" s="2" t="s">
        <v>4139</v>
      </c>
      <c r="J3658" s="2" t="s">
        <v>498</v>
      </c>
      <c r="K3658" s="2" t="s">
        <v>10</v>
      </c>
    </row>
    <row r="3659" spans="1:11" ht="27.6" hidden="1" x14ac:dyDescent="0.3">
      <c r="A3659" s="2" t="s">
        <v>4139</v>
      </c>
      <c r="B3659" s="2" t="s">
        <v>13049</v>
      </c>
      <c r="C3659" s="3">
        <v>31756</v>
      </c>
      <c r="D3659" s="1" t="s">
        <v>13050</v>
      </c>
      <c r="E3659" s="1" t="s">
        <v>13051</v>
      </c>
      <c r="F3659" s="2" t="s">
        <v>13013</v>
      </c>
      <c r="G3659" s="2" t="s">
        <v>217</v>
      </c>
      <c r="H3659" s="2" t="s">
        <v>10</v>
      </c>
      <c r="I3659" s="2" t="s">
        <v>4139</v>
      </c>
      <c r="J3659" s="2" t="s">
        <v>218</v>
      </c>
      <c r="K3659" s="2" t="s">
        <v>10</v>
      </c>
    </row>
    <row r="3660" spans="1:11" ht="27.6" hidden="1" x14ac:dyDescent="0.3">
      <c r="A3660" s="2" t="s">
        <v>4139</v>
      </c>
      <c r="B3660" s="2" t="s">
        <v>13052</v>
      </c>
      <c r="C3660" s="3">
        <v>26291</v>
      </c>
      <c r="D3660" s="1" t="s">
        <v>13053</v>
      </c>
      <c r="E3660" s="1" t="s">
        <v>13054</v>
      </c>
      <c r="F3660" s="2" t="s">
        <v>13013</v>
      </c>
      <c r="G3660" s="2" t="s">
        <v>425</v>
      </c>
      <c r="H3660" s="2" t="s">
        <v>10</v>
      </c>
      <c r="I3660" s="2" t="s">
        <v>4139</v>
      </c>
      <c r="J3660" s="2" t="s">
        <v>426</v>
      </c>
      <c r="K3660" s="2" t="s">
        <v>10</v>
      </c>
    </row>
    <row r="3661" spans="1:11" ht="27.6" hidden="1" x14ac:dyDescent="0.3">
      <c r="A3661" s="2" t="s">
        <v>4139</v>
      </c>
      <c r="B3661" s="2" t="s">
        <v>13055</v>
      </c>
      <c r="C3661" s="3">
        <v>34375</v>
      </c>
      <c r="D3661" s="1" t="s">
        <v>13056</v>
      </c>
      <c r="E3661" s="1" t="s">
        <v>13057</v>
      </c>
      <c r="F3661" s="2" t="s">
        <v>13023</v>
      </c>
      <c r="G3661" s="2" t="s">
        <v>92</v>
      </c>
      <c r="H3661" s="2" t="s">
        <v>10</v>
      </c>
      <c r="I3661" s="2" t="s">
        <v>4139</v>
      </c>
      <c r="J3661" s="2" t="s">
        <v>826</v>
      </c>
      <c r="K3661" s="2" t="s">
        <v>10</v>
      </c>
    </row>
    <row r="3662" spans="1:11" ht="27.6" hidden="1" x14ac:dyDescent="0.3">
      <c r="A3662" s="2" t="s">
        <v>4139</v>
      </c>
      <c r="B3662" s="2" t="s">
        <v>13058</v>
      </c>
      <c r="C3662" s="3">
        <v>34386</v>
      </c>
      <c r="D3662" s="1" t="s">
        <v>13059</v>
      </c>
      <c r="E3662" s="1" t="s">
        <v>13060</v>
      </c>
      <c r="F3662" s="2" t="s">
        <v>13023</v>
      </c>
      <c r="G3662" s="2" t="s">
        <v>143</v>
      </c>
      <c r="H3662" s="2" t="s">
        <v>10</v>
      </c>
      <c r="I3662" s="2" t="s">
        <v>4139</v>
      </c>
      <c r="J3662" s="2" t="s">
        <v>678</v>
      </c>
      <c r="K3662" s="2" t="s">
        <v>10</v>
      </c>
    </row>
    <row r="3663" spans="1:11" ht="27.6" hidden="1" x14ac:dyDescent="0.3">
      <c r="A3663" s="2" t="s">
        <v>4139</v>
      </c>
      <c r="B3663" s="2" t="s">
        <v>13061</v>
      </c>
      <c r="C3663" s="3">
        <v>26188</v>
      </c>
      <c r="D3663" s="1" t="s">
        <v>13062</v>
      </c>
      <c r="E3663" s="1" t="s">
        <v>13063</v>
      </c>
      <c r="F3663" s="2" t="s">
        <v>13013</v>
      </c>
      <c r="G3663" s="2" t="s">
        <v>112</v>
      </c>
      <c r="H3663" s="2" t="s">
        <v>10</v>
      </c>
      <c r="I3663" s="2" t="s">
        <v>4139</v>
      </c>
      <c r="J3663" s="2" t="s">
        <v>315</v>
      </c>
      <c r="K3663" s="2" t="s">
        <v>10</v>
      </c>
    </row>
    <row r="3664" spans="1:11" ht="27.6" hidden="1" x14ac:dyDescent="0.3">
      <c r="A3664" s="2" t="s">
        <v>4139</v>
      </c>
      <c r="B3664" s="2" t="s">
        <v>13064</v>
      </c>
      <c r="C3664" s="3">
        <v>29981</v>
      </c>
      <c r="D3664" s="1" t="s">
        <v>13065</v>
      </c>
      <c r="E3664" s="1" t="s">
        <v>13066</v>
      </c>
      <c r="F3664" s="2" t="s">
        <v>13023</v>
      </c>
      <c r="G3664" s="2" t="s">
        <v>492</v>
      </c>
      <c r="H3664" s="2" t="s">
        <v>10</v>
      </c>
      <c r="I3664" s="2" t="s">
        <v>4139</v>
      </c>
      <c r="J3664" s="2" t="s">
        <v>619</v>
      </c>
      <c r="K3664" s="2" t="s">
        <v>10</v>
      </c>
    </row>
    <row r="3665" spans="1:12" ht="27.6" hidden="1" x14ac:dyDescent="0.3">
      <c r="A3665" s="2" t="s">
        <v>4139</v>
      </c>
      <c r="B3665" s="2" t="s">
        <v>13067</v>
      </c>
      <c r="C3665" s="3">
        <v>32679</v>
      </c>
      <c r="D3665" s="1" t="s">
        <v>261</v>
      </c>
      <c r="E3665" s="1" t="s">
        <v>13068</v>
      </c>
      <c r="F3665" s="2" t="s">
        <v>13013</v>
      </c>
      <c r="G3665" s="2" t="s">
        <v>86</v>
      </c>
      <c r="H3665" s="2" t="s">
        <v>10</v>
      </c>
      <c r="I3665" s="2" t="s">
        <v>4139</v>
      </c>
      <c r="J3665" s="2" t="s">
        <v>87</v>
      </c>
      <c r="K3665" s="2" t="s">
        <v>10</v>
      </c>
    </row>
    <row r="3666" spans="1:12" ht="27.6" hidden="1" x14ac:dyDescent="0.3">
      <c r="A3666" s="2" t="s">
        <v>4139</v>
      </c>
      <c r="B3666" s="2" t="s">
        <v>13069</v>
      </c>
      <c r="C3666" s="3">
        <v>22223</v>
      </c>
      <c r="D3666" s="1" t="s">
        <v>13070</v>
      </c>
      <c r="E3666" s="1" t="s">
        <v>13071</v>
      </c>
      <c r="F3666" s="2" t="s">
        <v>13013</v>
      </c>
      <c r="G3666" s="2" t="s">
        <v>278</v>
      </c>
      <c r="H3666" s="2" t="s">
        <v>10</v>
      </c>
      <c r="I3666" s="2" t="s">
        <v>4139</v>
      </c>
      <c r="J3666" s="2" t="s">
        <v>279</v>
      </c>
      <c r="K3666" s="2" t="s">
        <v>10</v>
      </c>
    </row>
    <row r="3667" spans="1:12" ht="27.6" hidden="1" x14ac:dyDescent="0.3">
      <c r="A3667" s="2" t="s">
        <v>4139</v>
      </c>
      <c r="B3667" s="2" t="s">
        <v>13072</v>
      </c>
      <c r="C3667" s="3">
        <v>26201</v>
      </c>
      <c r="D3667" s="1" t="s">
        <v>261</v>
      </c>
      <c r="E3667" s="1" t="s">
        <v>13073</v>
      </c>
      <c r="F3667" s="2" t="s">
        <v>13013</v>
      </c>
      <c r="G3667" s="2" t="s">
        <v>1403</v>
      </c>
      <c r="H3667" s="2" t="s">
        <v>8058</v>
      </c>
      <c r="I3667" s="2" t="s">
        <v>4139</v>
      </c>
      <c r="J3667" s="2" t="s">
        <v>7195</v>
      </c>
      <c r="K3667" s="2" t="s">
        <v>10</v>
      </c>
    </row>
    <row r="3668" spans="1:12" ht="41.4" hidden="1" x14ac:dyDescent="0.3">
      <c r="A3668" s="2" t="s">
        <v>4139</v>
      </c>
      <c r="B3668" s="2" t="s">
        <v>13074</v>
      </c>
      <c r="C3668" s="3">
        <v>24726</v>
      </c>
      <c r="D3668" s="1" t="s">
        <v>13075</v>
      </c>
      <c r="E3668" s="1" t="s">
        <v>13076</v>
      </c>
      <c r="F3668" s="2" t="s">
        <v>12446</v>
      </c>
      <c r="G3668" s="2" t="s">
        <v>211</v>
      </c>
      <c r="H3668" s="2" t="s">
        <v>10</v>
      </c>
      <c r="I3668" s="2" t="s">
        <v>4139</v>
      </c>
      <c r="J3668" s="2" t="s">
        <v>212</v>
      </c>
      <c r="K3668" s="2" t="s">
        <v>10</v>
      </c>
    </row>
    <row r="3669" spans="1:12" ht="55.2" hidden="1" x14ac:dyDescent="0.3">
      <c r="A3669" s="2" t="s">
        <v>4139</v>
      </c>
      <c r="B3669" s="2" t="s">
        <v>13077</v>
      </c>
      <c r="C3669" s="3">
        <v>25772</v>
      </c>
      <c r="D3669" s="1" t="s">
        <v>13078</v>
      </c>
      <c r="E3669" s="1" t="s">
        <v>13079</v>
      </c>
      <c r="F3669" s="2" t="s">
        <v>10177</v>
      </c>
      <c r="G3669" s="2" t="s">
        <v>13080</v>
      </c>
      <c r="H3669" s="2" t="s">
        <v>10</v>
      </c>
      <c r="I3669" s="2" t="s">
        <v>4139</v>
      </c>
      <c r="J3669" s="2" t="s">
        <v>13081</v>
      </c>
      <c r="K3669" s="2" t="s">
        <v>10</v>
      </c>
    </row>
    <row r="3670" spans="1:12" ht="41.4" hidden="1" x14ac:dyDescent="0.3">
      <c r="A3670" s="2" t="s">
        <v>4139</v>
      </c>
      <c r="B3670" s="2" t="s">
        <v>13082</v>
      </c>
      <c r="C3670" s="3">
        <v>28004</v>
      </c>
      <c r="D3670" s="1" t="s">
        <v>13083</v>
      </c>
      <c r="E3670" s="1" t="s">
        <v>13084</v>
      </c>
      <c r="F3670" s="2" t="s">
        <v>11638</v>
      </c>
      <c r="G3670" s="2" t="s">
        <v>2931</v>
      </c>
      <c r="H3670" s="2" t="s">
        <v>562</v>
      </c>
      <c r="I3670" s="2" t="s">
        <v>4139</v>
      </c>
      <c r="J3670" s="2" t="s">
        <v>4303</v>
      </c>
      <c r="K3670" s="2" t="s">
        <v>10</v>
      </c>
    </row>
    <row r="3671" spans="1:12" ht="41.4" hidden="1" x14ac:dyDescent="0.3">
      <c r="A3671" s="2" t="s">
        <v>4139</v>
      </c>
      <c r="B3671" s="2" t="s">
        <v>13085</v>
      </c>
      <c r="C3671" s="3">
        <v>37175</v>
      </c>
      <c r="D3671" s="1" t="s">
        <v>13086</v>
      </c>
      <c r="E3671" s="1" t="s">
        <v>13087</v>
      </c>
      <c r="F3671" s="2" t="s">
        <v>12446</v>
      </c>
      <c r="G3671" s="2" t="s">
        <v>425</v>
      </c>
      <c r="H3671" s="2" t="s">
        <v>4650</v>
      </c>
      <c r="I3671" s="2" t="s">
        <v>4139</v>
      </c>
      <c r="J3671" s="2" t="s">
        <v>426</v>
      </c>
      <c r="K3671" s="2" t="s">
        <v>10</v>
      </c>
    </row>
    <row r="3672" spans="1:12" ht="41.4" hidden="1" x14ac:dyDescent="0.3">
      <c r="A3672" s="2" t="s">
        <v>4139</v>
      </c>
      <c r="B3672" s="2" t="s">
        <v>13088</v>
      </c>
      <c r="C3672" s="3">
        <v>20909</v>
      </c>
      <c r="D3672" s="1" t="s">
        <v>13089</v>
      </c>
      <c r="E3672" s="1" t="s">
        <v>13090</v>
      </c>
      <c r="F3672" s="2" t="s">
        <v>11863</v>
      </c>
      <c r="G3672" s="2" t="s">
        <v>570</v>
      </c>
      <c r="H3672" s="2" t="s">
        <v>103</v>
      </c>
      <c r="I3672" s="2" t="s">
        <v>4139</v>
      </c>
      <c r="J3672" s="2" t="s">
        <v>11867</v>
      </c>
      <c r="K3672" s="2" t="s">
        <v>10</v>
      </c>
    </row>
    <row r="3673" spans="1:12" ht="41.4" hidden="1" x14ac:dyDescent="0.3">
      <c r="A3673" s="2" t="s">
        <v>4139</v>
      </c>
      <c r="B3673" s="2" t="s">
        <v>13091</v>
      </c>
      <c r="C3673" s="3">
        <v>37982</v>
      </c>
      <c r="D3673" s="1" t="s">
        <v>13092</v>
      </c>
      <c r="E3673" s="1" t="s">
        <v>13093</v>
      </c>
      <c r="F3673" s="2" t="s">
        <v>11638</v>
      </c>
      <c r="G3673" s="2" t="s">
        <v>2931</v>
      </c>
      <c r="H3673" s="2" t="s">
        <v>103</v>
      </c>
      <c r="I3673" s="2" t="s">
        <v>4139</v>
      </c>
      <c r="J3673" s="2" t="s">
        <v>4303</v>
      </c>
      <c r="K3673" s="2" t="s">
        <v>10</v>
      </c>
    </row>
    <row r="3674" spans="1:12" ht="41.4" hidden="1" x14ac:dyDescent="0.3">
      <c r="A3674" s="2" t="s">
        <v>4139</v>
      </c>
      <c r="B3674" s="2" t="s">
        <v>13094</v>
      </c>
      <c r="C3674" s="3">
        <v>24302</v>
      </c>
      <c r="D3674" s="1" t="s">
        <v>13095</v>
      </c>
      <c r="E3674" s="1" t="s">
        <v>13096</v>
      </c>
      <c r="F3674" s="2" t="s">
        <v>11638</v>
      </c>
      <c r="G3674" s="2" t="s">
        <v>2931</v>
      </c>
      <c r="H3674" s="2" t="s">
        <v>81</v>
      </c>
      <c r="I3674" s="2" t="s">
        <v>4139</v>
      </c>
      <c r="J3674" s="2" t="s">
        <v>4303</v>
      </c>
      <c r="K3674" s="2" t="s">
        <v>10</v>
      </c>
    </row>
    <row r="3675" spans="1:12" ht="41.4" hidden="1" x14ac:dyDescent="0.3">
      <c r="A3675" s="2" t="s">
        <v>4139</v>
      </c>
      <c r="B3675" s="2" t="s">
        <v>13097</v>
      </c>
      <c r="C3675" s="3">
        <v>24302</v>
      </c>
      <c r="D3675" s="1" t="s">
        <v>13095</v>
      </c>
      <c r="E3675" s="1" t="s">
        <v>13096</v>
      </c>
      <c r="F3675" s="2" t="s">
        <v>11638</v>
      </c>
      <c r="G3675" s="2" t="s">
        <v>2931</v>
      </c>
      <c r="H3675" s="2" t="s">
        <v>822</v>
      </c>
      <c r="I3675" s="2" t="s">
        <v>4139</v>
      </c>
      <c r="J3675" s="2" t="s">
        <v>4303</v>
      </c>
      <c r="K3675" s="2" t="s">
        <v>10</v>
      </c>
    </row>
    <row r="3676" spans="1:12" ht="27.6" hidden="1" x14ac:dyDescent="0.3">
      <c r="A3676" s="2" t="s">
        <v>4139</v>
      </c>
      <c r="B3676" s="2" t="s">
        <v>13098</v>
      </c>
      <c r="C3676" s="3">
        <v>36454</v>
      </c>
      <c r="D3676" s="1" t="s">
        <v>13099</v>
      </c>
      <c r="E3676" s="1" t="s">
        <v>13100</v>
      </c>
      <c r="F3676" s="2" t="s">
        <v>10986</v>
      </c>
      <c r="G3676" s="2" t="s">
        <v>86</v>
      </c>
      <c r="H3676" s="2" t="s">
        <v>10</v>
      </c>
      <c r="I3676" s="2" t="s">
        <v>4139</v>
      </c>
      <c r="J3676" s="2" t="s">
        <v>13101</v>
      </c>
      <c r="K3676" s="5" t="s">
        <v>13177</v>
      </c>
      <c r="L3676" s="7" t="s">
        <v>13199</v>
      </c>
    </row>
    <row r="3677" spans="1:12" ht="27.6" hidden="1" x14ac:dyDescent="0.3">
      <c r="A3677" s="2" t="s">
        <v>4139</v>
      </c>
      <c r="B3677" s="2" t="s">
        <v>13102</v>
      </c>
      <c r="C3677" s="3">
        <v>36454</v>
      </c>
      <c r="D3677" s="1" t="s">
        <v>13099</v>
      </c>
      <c r="E3677" s="1" t="s">
        <v>13100</v>
      </c>
      <c r="F3677" s="2" t="s">
        <v>10986</v>
      </c>
      <c r="G3677" s="2" t="s">
        <v>80</v>
      </c>
      <c r="H3677" s="2" t="s">
        <v>10</v>
      </c>
      <c r="I3677" s="2" t="s">
        <v>4139</v>
      </c>
      <c r="J3677" s="2" t="s">
        <v>82</v>
      </c>
      <c r="K3677" s="5" t="s">
        <v>13177</v>
      </c>
      <c r="L3677" s="7" t="s">
        <v>13199</v>
      </c>
    </row>
    <row r="3678" spans="1:12" ht="41.4" hidden="1" x14ac:dyDescent="0.3">
      <c r="A3678" s="2" t="s">
        <v>4139</v>
      </c>
      <c r="B3678" s="2" t="s">
        <v>13103</v>
      </c>
      <c r="C3678" s="3">
        <v>37982</v>
      </c>
      <c r="D3678" s="1" t="s">
        <v>13104</v>
      </c>
      <c r="E3678" s="1" t="s">
        <v>13093</v>
      </c>
      <c r="F3678" s="2" t="s">
        <v>12446</v>
      </c>
      <c r="G3678" s="2" t="s">
        <v>222</v>
      </c>
      <c r="H3678" s="2" t="s">
        <v>10</v>
      </c>
      <c r="I3678" s="2" t="s">
        <v>4139</v>
      </c>
      <c r="J3678" s="2" t="s">
        <v>223</v>
      </c>
      <c r="K3678" s="2" t="s">
        <v>10</v>
      </c>
    </row>
    <row r="3679" spans="1:12" ht="41.4" hidden="1" x14ac:dyDescent="0.3">
      <c r="A3679" s="2" t="s">
        <v>4139</v>
      </c>
      <c r="B3679" s="2" t="s">
        <v>13105</v>
      </c>
      <c r="C3679" s="3">
        <v>30341</v>
      </c>
      <c r="D3679" s="1" t="s">
        <v>13106</v>
      </c>
      <c r="E3679" s="1" t="s">
        <v>13107</v>
      </c>
      <c r="F3679" s="2" t="s">
        <v>11638</v>
      </c>
      <c r="G3679" s="2" t="s">
        <v>2931</v>
      </c>
      <c r="H3679" s="2" t="s">
        <v>13108</v>
      </c>
      <c r="I3679" s="2" t="s">
        <v>4139</v>
      </c>
      <c r="J3679" s="2" t="s">
        <v>4303</v>
      </c>
      <c r="K3679" s="2" t="s">
        <v>10</v>
      </c>
    </row>
    <row r="3680" spans="1:12" ht="41.4" hidden="1" x14ac:dyDescent="0.3">
      <c r="A3680" s="2" t="s">
        <v>4139</v>
      </c>
      <c r="B3680" s="2" t="s">
        <v>13109</v>
      </c>
      <c r="C3680" s="3">
        <v>32121</v>
      </c>
      <c r="D3680" s="1" t="s">
        <v>13110</v>
      </c>
      <c r="E3680" s="1" t="s">
        <v>13111</v>
      </c>
      <c r="F3680" s="2" t="s">
        <v>11638</v>
      </c>
      <c r="G3680" s="2" t="s">
        <v>3692</v>
      </c>
      <c r="H3680" s="2" t="s">
        <v>8058</v>
      </c>
      <c r="I3680" s="2" t="s">
        <v>4139</v>
      </c>
      <c r="J3680" s="2" t="s">
        <v>12100</v>
      </c>
      <c r="K3680" s="2" t="s">
        <v>10</v>
      </c>
    </row>
    <row r="3681" spans="1:11" ht="41.4" hidden="1" x14ac:dyDescent="0.3">
      <c r="A3681" s="2" t="s">
        <v>4139</v>
      </c>
      <c r="B3681" s="2" t="s">
        <v>13112</v>
      </c>
      <c r="C3681" s="3">
        <v>31551</v>
      </c>
      <c r="D3681" s="1" t="s">
        <v>13113</v>
      </c>
      <c r="E3681" s="1" t="s">
        <v>13114</v>
      </c>
      <c r="F3681" s="2" t="s">
        <v>12446</v>
      </c>
      <c r="G3681" s="2" t="s">
        <v>143</v>
      </c>
      <c r="H3681" s="2" t="s">
        <v>9094</v>
      </c>
      <c r="I3681" s="2" t="s">
        <v>4139</v>
      </c>
      <c r="J3681" s="2" t="s">
        <v>678</v>
      </c>
      <c r="K3681" s="2" t="s">
        <v>10</v>
      </c>
    </row>
    <row r="3682" spans="1:11" ht="41.4" hidden="1" x14ac:dyDescent="0.3">
      <c r="A3682" s="2" t="s">
        <v>4139</v>
      </c>
      <c r="B3682" s="2" t="s">
        <v>13115</v>
      </c>
      <c r="C3682" s="3">
        <v>30487</v>
      </c>
      <c r="D3682" s="1" t="s">
        <v>13116</v>
      </c>
      <c r="E3682" s="1" t="s">
        <v>11688</v>
      </c>
      <c r="F3682" s="2" t="s">
        <v>12446</v>
      </c>
      <c r="G3682" s="2" t="s">
        <v>392</v>
      </c>
      <c r="H3682" s="2" t="s">
        <v>3065</v>
      </c>
      <c r="I3682" s="2" t="s">
        <v>4139</v>
      </c>
      <c r="J3682" s="2" t="s">
        <v>1213</v>
      </c>
      <c r="K3682" s="2" t="s">
        <v>10</v>
      </c>
    </row>
    <row r="3683" spans="1:11" ht="27.6" hidden="1" x14ac:dyDescent="0.3">
      <c r="A3683" s="2" t="s">
        <v>4139</v>
      </c>
      <c r="B3683" s="2" t="s">
        <v>13117</v>
      </c>
      <c r="C3683" s="3">
        <v>32043</v>
      </c>
      <c r="D3683" s="1" t="s">
        <v>13118</v>
      </c>
      <c r="E3683" s="1" t="s">
        <v>13119</v>
      </c>
      <c r="F3683" s="2" t="s">
        <v>13013</v>
      </c>
      <c r="G3683" s="2" t="s">
        <v>1403</v>
      </c>
      <c r="H3683" s="2" t="s">
        <v>822</v>
      </c>
      <c r="I3683" s="2" t="s">
        <v>4139</v>
      </c>
      <c r="J3683" s="2" t="s">
        <v>7195</v>
      </c>
      <c r="K3683" s="2" t="s">
        <v>10</v>
      </c>
    </row>
    <row r="3684" spans="1:11" ht="27.6" hidden="1" x14ac:dyDescent="0.3">
      <c r="A3684" s="2" t="s">
        <v>4139</v>
      </c>
      <c r="B3684" s="2" t="s">
        <v>13120</v>
      </c>
      <c r="C3684" s="3">
        <v>35617</v>
      </c>
      <c r="D3684" s="1" t="s">
        <v>13121</v>
      </c>
      <c r="E3684" s="1" t="s">
        <v>13122</v>
      </c>
      <c r="F3684" s="2" t="s">
        <v>13023</v>
      </c>
      <c r="G3684" s="2" t="s">
        <v>1763</v>
      </c>
      <c r="H3684" s="2" t="s">
        <v>10</v>
      </c>
      <c r="I3684" s="2" t="s">
        <v>4139</v>
      </c>
      <c r="J3684" s="2" t="s">
        <v>1764</v>
      </c>
      <c r="K3684" s="2" t="s">
        <v>10</v>
      </c>
    </row>
    <row r="3685" spans="1:11" ht="27.6" hidden="1" x14ac:dyDescent="0.3">
      <c r="A3685" s="2" t="s">
        <v>4139</v>
      </c>
      <c r="B3685" s="2" t="s">
        <v>13123</v>
      </c>
      <c r="C3685" s="3">
        <v>31487</v>
      </c>
      <c r="D3685" s="1" t="s">
        <v>13124</v>
      </c>
      <c r="E3685" s="1" t="s">
        <v>13125</v>
      </c>
      <c r="F3685" s="2" t="s">
        <v>13023</v>
      </c>
      <c r="G3685" s="2" t="s">
        <v>397</v>
      </c>
      <c r="H3685" s="2" t="s">
        <v>10</v>
      </c>
      <c r="I3685" s="2" t="s">
        <v>4139</v>
      </c>
      <c r="J3685" s="2" t="s">
        <v>398</v>
      </c>
      <c r="K3685" s="2" t="s">
        <v>10</v>
      </c>
    </row>
    <row r="3686" spans="1:11" ht="41.4" hidden="1" x14ac:dyDescent="0.3">
      <c r="A3686" s="2" t="s">
        <v>4139</v>
      </c>
      <c r="B3686" s="2" t="s">
        <v>13126</v>
      </c>
      <c r="C3686" s="3">
        <v>28006</v>
      </c>
      <c r="D3686" s="1" t="s">
        <v>13127</v>
      </c>
      <c r="E3686" s="1" t="s">
        <v>13128</v>
      </c>
      <c r="F3686" s="2" t="s">
        <v>12446</v>
      </c>
      <c r="G3686" s="2" t="s">
        <v>69</v>
      </c>
      <c r="H3686" s="2" t="s">
        <v>10</v>
      </c>
      <c r="I3686" s="2" t="s">
        <v>4139</v>
      </c>
      <c r="J3686" s="2" t="s">
        <v>628</v>
      </c>
      <c r="K3686" s="2" t="s">
        <v>10</v>
      </c>
    </row>
    <row r="3687" spans="1:11" ht="41.4" hidden="1" x14ac:dyDescent="0.3">
      <c r="A3687" s="2" t="s">
        <v>4139</v>
      </c>
      <c r="B3687" s="2" t="s">
        <v>13129</v>
      </c>
      <c r="C3687" s="3">
        <v>31645</v>
      </c>
      <c r="D3687" s="1" t="s">
        <v>13130</v>
      </c>
      <c r="E3687" s="1" t="s">
        <v>13131</v>
      </c>
      <c r="F3687" s="2" t="s">
        <v>12446</v>
      </c>
      <c r="G3687" s="2" t="s">
        <v>643</v>
      </c>
      <c r="H3687" s="2" t="s">
        <v>81</v>
      </c>
      <c r="I3687" s="2" t="s">
        <v>4139</v>
      </c>
      <c r="J3687" s="2" t="s">
        <v>644</v>
      </c>
      <c r="K3687" s="2" t="s">
        <v>10</v>
      </c>
    </row>
    <row r="3688" spans="1:11" ht="41.4" hidden="1" x14ac:dyDescent="0.3">
      <c r="A3688" s="2" t="s">
        <v>4139</v>
      </c>
      <c r="B3688" s="2" t="s">
        <v>13132</v>
      </c>
      <c r="C3688" s="3">
        <v>30783</v>
      </c>
      <c r="D3688" s="1" t="s">
        <v>13133</v>
      </c>
      <c r="E3688" s="1" t="s">
        <v>13134</v>
      </c>
      <c r="F3688" s="2" t="s">
        <v>12446</v>
      </c>
      <c r="G3688" s="2" t="s">
        <v>397</v>
      </c>
      <c r="H3688" s="2" t="s">
        <v>10</v>
      </c>
      <c r="I3688" s="2" t="s">
        <v>4139</v>
      </c>
      <c r="J3688" s="2" t="s">
        <v>398</v>
      </c>
      <c r="K3688" s="2" t="s">
        <v>10</v>
      </c>
    </row>
    <row r="3689" spans="1:11" ht="41.4" hidden="1" x14ac:dyDescent="0.3">
      <c r="A3689" s="2" t="s">
        <v>4139</v>
      </c>
      <c r="B3689" s="2" t="s">
        <v>13135</v>
      </c>
      <c r="C3689" s="3">
        <v>27065</v>
      </c>
      <c r="D3689" s="1" t="s">
        <v>13136</v>
      </c>
      <c r="E3689" s="1" t="s">
        <v>13137</v>
      </c>
      <c r="F3689" s="2" t="s">
        <v>11863</v>
      </c>
      <c r="G3689" s="2" t="s">
        <v>2141</v>
      </c>
      <c r="H3689" s="2" t="s">
        <v>10</v>
      </c>
      <c r="I3689" s="2" t="s">
        <v>4139</v>
      </c>
      <c r="J3689" s="2" t="s">
        <v>2142</v>
      </c>
      <c r="K3689" s="2" t="s">
        <v>10</v>
      </c>
    </row>
    <row r="3690" spans="1:11" ht="27.6" hidden="1" x14ac:dyDescent="0.3">
      <c r="A3690" s="2" t="s">
        <v>4139</v>
      </c>
      <c r="B3690" s="2" t="s">
        <v>13138</v>
      </c>
      <c r="C3690" s="3">
        <v>34060</v>
      </c>
      <c r="D3690" s="1" t="s">
        <v>13139</v>
      </c>
      <c r="E3690" s="1" t="s">
        <v>13140</v>
      </c>
      <c r="F3690" s="2" t="s">
        <v>13013</v>
      </c>
      <c r="G3690" s="2" t="s">
        <v>696</v>
      </c>
      <c r="H3690" s="2" t="s">
        <v>10</v>
      </c>
      <c r="I3690" s="2" t="s">
        <v>4139</v>
      </c>
      <c r="J3690" s="2" t="s">
        <v>697</v>
      </c>
      <c r="K3690" s="2" t="s">
        <v>10</v>
      </c>
    </row>
    <row r="3691" spans="1:11" ht="27.6" hidden="1" x14ac:dyDescent="0.3">
      <c r="A3691" s="2" t="s">
        <v>4139</v>
      </c>
      <c r="B3691" s="2" t="s">
        <v>13141</v>
      </c>
      <c r="C3691" s="3">
        <v>34007</v>
      </c>
      <c r="D3691" s="1" t="s">
        <v>13142</v>
      </c>
      <c r="E3691" s="1" t="s">
        <v>13143</v>
      </c>
      <c r="F3691" s="2" t="s">
        <v>13013</v>
      </c>
      <c r="G3691" s="2" t="s">
        <v>1403</v>
      </c>
      <c r="H3691" s="2" t="s">
        <v>5034</v>
      </c>
      <c r="I3691" s="2" t="s">
        <v>4139</v>
      </c>
      <c r="J3691" s="2" t="s">
        <v>7195</v>
      </c>
      <c r="K3691" s="2" t="s">
        <v>10</v>
      </c>
    </row>
    <row r="3692" spans="1:11" ht="27.6" hidden="1" x14ac:dyDescent="0.3">
      <c r="A3692" s="2" t="s">
        <v>4139</v>
      </c>
      <c r="B3692" s="2" t="s">
        <v>13144</v>
      </c>
      <c r="C3692" s="3">
        <v>34021</v>
      </c>
      <c r="D3692" s="1" t="s">
        <v>261</v>
      </c>
      <c r="E3692" s="1" t="s">
        <v>13145</v>
      </c>
      <c r="F3692" s="2" t="s">
        <v>13023</v>
      </c>
      <c r="G3692" s="2" t="s">
        <v>1504</v>
      </c>
      <c r="H3692" s="2" t="s">
        <v>10</v>
      </c>
      <c r="I3692" s="2" t="s">
        <v>4139</v>
      </c>
      <c r="J3692" s="2" t="s">
        <v>1505</v>
      </c>
      <c r="K3692" s="2" t="s">
        <v>10</v>
      </c>
    </row>
    <row r="3693" spans="1:11" ht="27.6" hidden="1" x14ac:dyDescent="0.3">
      <c r="A3693" s="2" t="s">
        <v>4139</v>
      </c>
      <c r="B3693" s="2" t="s">
        <v>13146</v>
      </c>
      <c r="C3693" s="3">
        <v>29468</v>
      </c>
      <c r="D3693" s="1" t="s">
        <v>13147</v>
      </c>
      <c r="E3693" s="1" t="s">
        <v>13148</v>
      </c>
      <c r="F3693" s="2" t="s">
        <v>13013</v>
      </c>
      <c r="G3693" s="2" t="s">
        <v>190</v>
      </c>
      <c r="H3693" s="2" t="s">
        <v>8058</v>
      </c>
      <c r="I3693" s="2" t="s">
        <v>4139</v>
      </c>
      <c r="J3693" s="2" t="s">
        <v>498</v>
      </c>
      <c r="K3693" s="2" t="s">
        <v>10</v>
      </c>
    </row>
    <row r="3694" spans="1:11" ht="41.4" hidden="1" x14ac:dyDescent="0.3">
      <c r="A3694" s="2" t="s">
        <v>4139</v>
      </c>
      <c r="B3694" s="2" t="s">
        <v>13149</v>
      </c>
      <c r="C3694" s="3">
        <v>34349</v>
      </c>
      <c r="D3694" s="1" t="s">
        <v>13150</v>
      </c>
      <c r="E3694" s="1" t="s">
        <v>13151</v>
      </c>
      <c r="F3694" s="2" t="s">
        <v>12446</v>
      </c>
      <c r="G3694" s="2" t="s">
        <v>643</v>
      </c>
      <c r="H3694" s="2" t="s">
        <v>9094</v>
      </c>
      <c r="I3694" s="2" t="s">
        <v>4139</v>
      </c>
      <c r="J3694" s="2" t="s">
        <v>644</v>
      </c>
      <c r="K3694" s="2" t="s">
        <v>10</v>
      </c>
    </row>
    <row r="3695" spans="1:11" ht="27.6" hidden="1" x14ac:dyDescent="0.3">
      <c r="A3695" s="2" t="s">
        <v>4139</v>
      </c>
      <c r="B3695" s="2" t="s">
        <v>13152</v>
      </c>
      <c r="C3695" s="3">
        <v>29585</v>
      </c>
      <c r="D3695" s="1" t="s">
        <v>13153</v>
      </c>
      <c r="E3695" s="1" t="s">
        <v>13154</v>
      </c>
      <c r="F3695" s="2" t="s">
        <v>13013</v>
      </c>
      <c r="G3695" s="2" t="s">
        <v>37</v>
      </c>
      <c r="H3695" s="2" t="s">
        <v>10</v>
      </c>
      <c r="I3695" s="2" t="s">
        <v>4139</v>
      </c>
      <c r="J3695" s="2" t="s">
        <v>406</v>
      </c>
      <c r="K3695" s="2" t="s">
        <v>10</v>
      </c>
    </row>
    <row r="3696" spans="1:11" ht="27.6" hidden="1" x14ac:dyDescent="0.3">
      <c r="A3696" s="2" t="s">
        <v>4139</v>
      </c>
      <c r="B3696" s="2" t="s">
        <v>13155</v>
      </c>
      <c r="C3696" s="3">
        <v>27548</v>
      </c>
      <c r="D3696" s="1" t="s">
        <v>13156</v>
      </c>
      <c r="E3696" s="1" t="s">
        <v>13157</v>
      </c>
      <c r="F3696" s="2" t="s">
        <v>12351</v>
      </c>
      <c r="G3696" s="2" t="s">
        <v>13158</v>
      </c>
      <c r="H3696" s="2" t="s">
        <v>10</v>
      </c>
      <c r="I3696" s="2" t="s">
        <v>4139</v>
      </c>
      <c r="J3696" s="2" t="s">
        <v>13159</v>
      </c>
      <c r="K3696" s="2" t="s">
        <v>10</v>
      </c>
    </row>
    <row r="3697" spans="1:12" ht="27.6" hidden="1" x14ac:dyDescent="0.3">
      <c r="A3697" s="2" t="s">
        <v>4139</v>
      </c>
      <c r="B3697" s="2" t="s">
        <v>12976</v>
      </c>
      <c r="C3697" s="3">
        <v>25815</v>
      </c>
      <c r="D3697" s="1" t="s">
        <v>13160</v>
      </c>
      <c r="E3697" s="1" t="s">
        <v>12978</v>
      </c>
      <c r="F3697" s="2" t="s">
        <v>12708</v>
      </c>
      <c r="G3697" s="2" t="s">
        <v>669</v>
      </c>
      <c r="H3697" s="2" t="s">
        <v>81</v>
      </c>
      <c r="I3697" s="2" t="s">
        <v>4139</v>
      </c>
      <c r="J3697" s="2" t="s">
        <v>13161</v>
      </c>
      <c r="K3697" s="2" t="s">
        <v>10</v>
      </c>
    </row>
    <row r="3698" spans="1:12" hidden="1" x14ac:dyDescent="0.3">
      <c r="A3698" s="2" t="s">
        <v>4139</v>
      </c>
      <c r="B3698" s="2" t="s">
        <v>13162</v>
      </c>
      <c r="C3698" s="3">
        <v>22615</v>
      </c>
      <c r="D3698" s="1" t="s">
        <v>13163</v>
      </c>
      <c r="E3698" s="1" t="s">
        <v>13164</v>
      </c>
      <c r="F3698" s="2" t="s">
        <v>8906</v>
      </c>
      <c r="G3698" s="2" t="s">
        <v>13165</v>
      </c>
      <c r="H3698" s="2" t="s">
        <v>10</v>
      </c>
      <c r="I3698" s="2" t="s">
        <v>4139</v>
      </c>
      <c r="J3698" s="2" t="s">
        <v>13166</v>
      </c>
      <c r="K3698" s="2" t="s">
        <v>10</v>
      </c>
    </row>
    <row r="3699" spans="1:12" hidden="1" x14ac:dyDescent="0.3">
      <c r="A3699" s="2" t="s">
        <v>4139</v>
      </c>
      <c r="B3699" s="2" t="s">
        <v>13167</v>
      </c>
      <c r="C3699" s="3">
        <v>21909</v>
      </c>
      <c r="D3699" s="1" t="s">
        <v>4907</v>
      </c>
      <c r="E3699" s="1" t="s">
        <v>7850</v>
      </c>
      <c r="F3699" s="2" t="s">
        <v>8598</v>
      </c>
      <c r="G3699" s="2" t="s">
        <v>13168</v>
      </c>
      <c r="H3699" s="2" t="s">
        <v>81</v>
      </c>
      <c r="I3699" s="2" t="s">
        <v>4139</v>
      </c>
      <c r="J3699" s="2" t="s">
        <v>13169</v>
      </c>
      <c r="K3699" s="13" t="s">
        <v>13177</v>
      </c>
      <c r="L3699" s="7" t="s">
        <v>13199</v>
      </c>
    </row>
    <row r="3700" spans="1:12" hidden="1" x14ac:dyDescent="0.3">
      <c r="A3700" s="2" t="s">
        <v>4139</v>
      </c>
      <c r="B3700" s="2" t="s">
        <v>13167</v>
      </c>
      <c r="C3700" s="3">
        <v>21909</v>
      </c>
      <c r="D3700" s="1" t="s">
        <v>4907</v>
      </c>
      <c r="E3700" s="1" t="s">
        <v>7850</v>
      </c>
      <c r="F3700" s="2" t="s">
        <v>8598</v>
      </c>
      <c r="G3700" s="2" t="s">
        <v>13168</v>
      </c>
      <c r="H3700" s="2" t="s">
        <v>103</v>
      </c>
      <c r="I3700" s="2" t="s">
        <v>4139</v>
      </c>
      <c r="J3700" s="2" t="s">
        <v>13169</v>
      </c>
      <c r="K3700" s="13" t="s">
        <v>13177</v>
      </c>
      <c r="L3700" s="7" t="s">
        <v>13199</v>
      </c>
    </row>
    <row r="3701" spans="1:12" hidden="1" x14ac:dyDescent="0.3">
      <c r="A3701" s="2" t="s">
        <v>4139</v>
      </c>
      <c r="B3701" s="2" t="s">
        <v>13170</v>
      </c>
      <c r="C3701" s="3">
        <v>31325</v>
      </c>
      <c r="D3701" s="1" t="s">
        <v>13171</v>
      </c>
      <c r="E3701" s="1" t="s">
        <v>13172</v>
      </c>
      <c r="F3701" s="2" t="s">
        <v>9601</v>
      </c>
      <c r="G3701" s="2" t="s">
        <v>1403</v>
      </c>
      <c r="H3701" s="2" t="s">
        <v>81</v>
      </c>
      <c r="I3701" s="2" t="s">
        <v>4139</v>
      </c>
      <c r="J3701" s="2" t="s">
        <v>7195</v>
      </c>
      <c r="K3701" s="2" t="s">
        <v>10</v>
      </c>
    </row>
    <row r="3702" spans="1:12" hidden="1" x14ac:dyDescent="0.3">
      <c r="A3702" s="15" t="s">
        <v>4139</v>
      </c>
      <c r="B3702" s="15" t="s">
        <v>13173</v>
      </c>
      <c r="C3702" s="31">
        <v>26760</v>
      </c>
      <c r="D3702" s="32" t="s">
        <v>13174</v>
      </c>
      <c r="E3702" s="32" t="s">
        <v>13175</v>
      </c>
      <c r="F3702" s="15" t="s">
        <v>9413</v>
      </c>
      <c r="G3702" s="15" t="s">
        <v>392</v>
      </c>
      <c r="H3702" s="15" t="s">
        <v>334</v>
      </c>
      <c r="I3702" s="15" t="s">
        <v>4139</v>
      </c>
      <c r="J3702" s="15" t="s">
        <v>1213</v>
      </c>
      <c r="K3702" s="15" t="s">
        <v>10</v>
      </c>
    </row>
    <row r="3703" spans="1:12" hidden="1" x14ac:dyDescent="0.3">
      <c r="A3703" s="6"/>
      <c r="B3703" s="6"/>
      <c r="C3703" s="6"/>
      <c r="D3703" s="6"/>
      <c r="E3703" s="6"/>
      <c r="F3703" s="6"/>
      <c r="G3703" s="33">
        <v>6</v>
      </c>
      <c r="H3703" s="6"/>
      <c r="I3703" s="6"/>
      <c r="J3703" s="6"/>
      <c r="K3703" s="30" t="s">
        <v>13193</v>
      </c>
      <c r="L3703" s="24" t="s">
        <v>13195</v>
      </c>
    </row>
    <row r="3704" spans="1:12" hidden="1" x14ac:dyDescent="0.3">
      <c r="L3704" s="46">
        <v>55</v>
      </c>
    </row>
    <row r="3705" spans="1:12" x14ac:dyDescent="0.3">
      <c r="L3705" s="48">
        <v>29</v>
      </c>
    </row>
    <row r="3715" spans="12:12" x14ac:dyDescent="0.3">
      <c r="L3715" s="47"/>
    </row>
  </sheetData>
  <autoFilter ref="A1:S3704" xr:uid="{00000000-0001-0000-0000-000000000000}">
    <filterColumn colId="5">
      <filters>
        <filter val="RUA DA PAZ"/>
      </filters>
    </filterColumn>
    <filterColumn colId="6">
      <filters>
        <filter val="542"/>
        <filter val="544"/>
        <filter val="545"/>
        <filter val="546"/>
        <filter val="547"/>
      </filters>
    </filterColumn>
    <filterColumn colId="8">
      <filters>
        <filter val="TETÉU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322A-3B26-48CD-90AA-56D984712E94}">
  <sheetPr>
    <pageSetUpPr fitToPage="1"/>
  </sheetPr>
  <dimension ref="A1:AF50"/>
  <sheetViews>
    <sheetView tabSelected="1" topLeftCell="A26" workbookViewId="0">
      <selection activeCell="M37" sqref="M37:M38"/>
    </sheetView>
  </sheetViews>
  <sheetFormatPr defaultRowHeight="14.4" x14ac:dyDescent="0.3"/>
  <cols>
    <col min="1" max="1" width="22.5546875" customWidth="1"/>
    <col min="2" max="2" width="10.77734375" customWidth="1"/>
    <col min="3" max="3" width="11.88671875" customWidth="1"/>
    <col min="4" max="4" width="11.44140625" customWidth="1"/>
    <col min="5" max="5" width="10.33203125" customWidth="1"/>
    <col min="6" max="6" width="12.88671875" bestFit="1" customWidth="1"/>
    <col min="7" max="7" width="10.5546875" customWidth="1"/>
    <col min="8" max="8" width="9.44140625" customWidth="1"/>
    <col min="9" max="9" width="11.44140625" customWidth="1"/>
    <col min="10" max="10" width="10.6640625" customWidth="1"/>
    <col min="11" max="11" width="9.77734375" customWidth="1"/>
    <col min="12" max="13" width="10.21875" customWidth="1"/>
    <col min="14" max="14" width="11.33203125" customWidth="1"/>
    <col min="15" max="15" width="11.109375" customWidth="1"/>
    <col min="16" max="16" width="4.5546875" customWidth="1"/>
    <col min="17" max="17" width="14.109375" customWidth="1"/>
    <col min="18" max="18" width="15.88671875" customWidth="1"/>
    <col min="21" max="21" width="19.88671875" customWidth="1"/>
    <col min="22" max="24" width="8.88671875" hidden="1" customWidth="1"/>
    <col min="25" max="25" width="1.77734375" hidden="1" customWidth="1"/>
    <col min="26" max="31" width="8.88671875" hidden="1" customWidth="1"/>
    <col min="32" max="32" width="10.33203125" hidden="1" customWidth="1"/>
  </cols>
  <sheetData>
    <row r="1" spans="1:32" ht="27" customHeight="1" thickBot="1" x14ac:dyDescent="0.35">
      <c r="A1" s="296" t="s">
        <v>13306</v>
      </c>
      <c r="B1" s="297"/>
      <c r="C1" s="297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8"/>
      <c r="O1" s="50"/>
      <c r="P1" s="50"/>
      <c r="Q1" s="50"/>
    </row>
    <row r="2" spans="1:32" ht="19.2" customHeight="1" x14ac:dyDescent="0.3">
      <c r="A2" s="299" t="s">
        <v>13179</v>
      </c>
      <c r="B2" s="238" t="s">
        <v>13201</v>
      </c>
      <c r="C2" s="239"/>
      <c r="D2" s="242">
        <v>45962</v>
      </c>
      <c r="E2" s="243"/>
      <c r="F2" s="242">
        <v>45992</v>
      </c>
      <c r="G2" s="243"/>
      <c r="H2" s="242">
        <v>46023</v>
      </c>
      <c r="I2" s="243"/>
      <c r="J2" s="242">
        <v>46054</v>
      </c>
      <c r="K2" s="243"/>
      <c r="L2" s="242">
        <v>46082</v>
      </c>
      <c r="M2" s="304"/>
      <c r="N2" s="301" t="s">
        <v>13200</v>
      </c>
    </row>
    <row r="3" spans="1:32" x14ac:dyDescent="0.3">
      <c r="A3" s="300"/>
      <c r="B3" s="240"/>
      <c r="C3" s="241"/>
      <c r="D3" s="244"/>
      <c r="E3" s="245"/>
      <c r="F3" s="244"/>
      <c r="G3" s="245"/>
      <c r="H3" s="244"/>
      <c r="I3" s="245"/>
      <c r="J3" s="244"/>
      <c r="K3" s="245"/>
      <c r="L3" s="244"/>
      <c r="M3" s="305"/>
      <c r="N3" s="302"/>
    </row>
    <row r="4" spans="1:32" x14ac:dyDescent="0.3">
      <c r="A4" s="300"/>
      <c r="B4" s="190" t="s">
        <v>13266</v>
      </c>
      <c r="C4" s="191" t="s">
        <v>13267</v>
      </c>
      <c r="D4" s="190" t="s">
        <v>13266</v>
      </c>
      <c r="E4" s="191" t="s">
        <v>13267</v>
      </c>
      <c r="F4" s="190" t="s">
        <v>13266</v>
      </c>
      <c r="G4" s="191" t="s">
        <v>13267</v>
      </c>
      <c r="H4" s="190" t="s">
        <v>13266</v>
      </c>
      <c r="I4" s="191" t="s">
        <v>13267</v>
      </c>
      <c r="J4" s="190" t="s">
        <v>13266</v>
      </c>
      <c r="K4" s="191" t="s">
        <v>13267</v>
      </c>
      <c r="L4" s="190" t="s">
        <v>13266</v>
      </c>
      <c r="M4" s="192" t="s">
        <v>13267</v>
      </c>
      <c r="N4" s="303"/>
    </row>
    <row r="5" spans="1:32" x14ac:dyDescent="0.3">
      <c r="A5" s="100" t="s">
        <v>13183</v>
      </c>
      <c r="B5" s="104">
        <f t="shared" ref="B5:C8" si="0">D5+F5+H5+J5+L5</f>
        <v>273</v>
      </c>
      <c r="C5" s="71">
        <f t="shared" si="0"/>
        <v>8</v>
      </c>
      <c r="D5" s="104">
        <v>51</v>
      </c>
      <c r="E5" s="71"/>
      <c r="F5" s="104">
        <v>91</v>
      </c>
      <c r="G5" s="71"/>
      <c r="H5" s="189">
        <v>57</v>
      </c>
      <c r="I5" s="197"/>
      <c r="J5" s="189">
        <v>74</v>
      </c>
      <c r="K5" s="197">
        <v>8</v>
      </c>
      <c r="L5" s="189">
        <f t="shared" ref="L5:M10" si="1">H18</f>
        <v>0</v>
      </c>
      <c r="M5" s="188">
        <v>0</v>
      </c>
      <c r="N5" s="193">
        <v>723</v>
      </c>
    </row>
    <row r="6" spans="1:32" x14ac:dyDescent="0.3">
      <c r="A6" s="100" t="s">
        <v>13184</v>
      </c>
      <c r="B6" s="104">
        <f t="shared" si="0"/>
        <v>187</v>
      </c>
      <c r="C6" s="71">
        <f t="shared" si="0"/>
        <v>11</v>
      </c>
      <c r="D6" s="104"/>
      <c r="E6" s="71"/>
      <c r="F6" s="104">
        <v>84</v>
      </c>
      <c r="G6" s="71"/>
      <c r="H6" s="189">
        <v>36</v>
      </c>
      <c r="I6" s="197"/>
      <c r="J6" s="189">
        <v>67</v>
      </c>
      <c r="K6" s="197">
        <v>11</v>
      </c>
      <c r="L6" s="189">
        <f t="shared" si="1"/>
        <v>0</v>
      </c>
      <c r="M6" s="188">
        <f t="shared" si="1"/>
        <v>0</v>
      </c>
      <c r="N6" s="193">
        <v>374</v>
      </c>
    </row>
    <row r="7" spans="1:32" x14ac:dyDescent="0.3">
      <c r="A7" s="100" t="s">
        <v>13185</v>
      </c>
      <c r="B7" s="104">
        <f t="shared" si="0"/>
        <v>49</v>
      </c>
      <c r="C7" s="71">
        <f t="shared" si="0"/>
        <v>0</v>
      </c>
      <c r="D7" s="104">
        <v>23</v>
      </c>
      <c r="E7" s="71"/>
      <c r="F7" s="104"/>
      <c r="G7" s="71"/>
      <c r="H7" s="189">
        <v>7</v>
      </c>
      <c r="I7" s="197"/>
      <c r="J7" s="189">
        <v>19</v>
      </c>
      <c r="K7" s="197"/>
      <c r="L7" s="189">
        <f t="shared" si="1"/>
        <v>0</v>
      </c>
      <c r="M7" s="188">
        <f t="shared" si="1"/>
        <v>0</v>
      </c>
      <c r="N7" s="193">
        <v>250</v>
      </c>
    </row>
    <row r="8" spans="1:32" x14ac:dyDescent="0.3">
      <c r="A8" s="100" t="s">
        <v>13180</v>
      </c>
      <c r="B8" s="104">
        <f t="shared" si="0"/>
        <v>65</v>
      </c>
      <c r="C8" s="71">
        <f t="shared" si="0"/>
        <v>68</v>
      </c>
      <c r="D8" s="104"/>
      <c r="E8" s="71"/>
      <c r="F8" s="104"/>
      <c r="G8" s="71"/>
      <c r="H8" s="189">
        <v>5</v>
      </c>
      <c r="I8" s="197">
        <v>3</v>
      </c>
      <c r="J8" s="189">
        <v>60</v>
      </c>
      <c r="K8" s="197">
        <v>65</v>
      </c>
      <c r="L8" s="189">
        <f t="shared" si="1"/>
        <v>0</v>
      </c>
      <c r="M8" s="188">
        <v>0</v>
      </c>
      <c r="N8" s="193">
        <v>906</v>
      </c>
    </row>
    <row r="9" spans="1:32" x14ac:dyDescent="0.3">
      <c r="A9" s="100" t="s">
        <v>13181</v>
      </c>
      <c r="B9" s="104">
        <f t="shared" ref="B9:C10" si="2">D9+F9+H9+J9+L9</f>
        <v>193</v>
      </c>
      <c r="C9" s="71">
        <f t="shared" si="2"/>
        <v>0</v>
      </c>
      <c r="D9" s="104"/>
      <c r="E9" s="71"/>
      <c r="F9" s="104">
        <v>48</v>
      </c>
      <c r="G9" s="71"/>
      <c r="H9" s="189">
        <v>100</v>
      </c>
      <c r="I9" s="197"/>
      <c r="J9" s="189">
        <v>44</v>
      </c>
      <c r="K9" s="197"/>
      <c r="L9" s="189">
        <f t="shared" si="1"/>
        <v>1</v>
      </c>
      <c r="M9" s="188">
        <f t="shared" si="1"/>
        <v>0</v>
      </c>
      <c r="N9" s="193">
        <v>776</v>
      </c>
    </row>
    <row r="10" spans="1:32" x14ac:dyDescent="0.3">
      <c r="A10" s="100" t="s">
        <v>13182</v>
      </c>
      <c r="B10" s="104">
        <f t="shared" si="2"/>
        <v>27</v>
      </c>
      <c r="C10" s="71">
        <f t="shared" si="2"/>
        <v>24</v>
      </c>
      <c r="D10" s="104"/>
      <c r="E10" s="71"/>
      <c r="F10" s="104"/>
      <c r="G10" s="71"/>
      <c r="H10" s="189"/>
      <c r="I10" s="197"/>
      <c r="J10" s="189">
        <v>27</v>
      </c>
      <c r="K10" s="197">
        <v>24</v>
      </c>
      <c r="L10" s="189">
        <f t="shared" si="1"/>
        <v>0</v>
      </c>
      <c r="M10" s="188">
        <v>0</v>
      </c>
      <c r="N10" s="193">
        <v>712</v>
      </c>
    </row>
    <row r="11" spans="1:32" x14ac:dyDescent="0.3">
      <c r="A11" s="194" t="s">
        <v>13335</v>
      </c>
      <c r="B11" s="163">
        <f>+D11+F11+H11+J11+L11</f>
        <v>794</v>
      </c>
      <c r="C11" s="196">
        <f>E11+G11+I11+K11+M11</f>
        <v>111</v>
      </c>
      <c r="D11" s="95">
        <f>SUM(D5:D10)</f>
        <v>74</v>
      </c>
      <c r="E11" s="90">
        <f t="shared" ref="E11:I11" si="3">SUM(E5:E10)</f>
        <v>0</v>
      </c>
      <c r="F11" s="95">
        <v>223</v>
      </c>
      <c r="G11" s="90">
        <f t="shared" si="3"/>
        <v>0</v>
      </c>
      <c r="H11" s="198">
        <v>205</v>
      </c>
      <c r="I11" s="199">
        <f t="shared" si="3"/>
        <v>3</v>
      </c>
      <c r="J11" s="198">
        <v>291</v>
      </c>
      <c r="K11" s="199">
        <v>108</v>
      </c>
      <c r="L11" s="198">
        <f>SUM(L5:L10)</f>
        <v>1</v>
      </c>
      <c r="M11" s="200">
        <f>SUM(M5:M10)</f>
        <v>0</v>
      </c>
      <c r="N11" s="318">
        <f>SUM(N5:N10)</f>
        <v>3741</v>
      </c>
      <c r="P11" s="47"/>
      <c r="Q11" s="47"/>
    </row>
    <row r="12" spans="1:32" ht="15" thickBot="1" x14ac:dyDescent="0.35">
      <c r="A12" s="195" t="s">
        <v>13334</v>
      </c>
      <c r="B12" s="201">
        <f>D12+F12+H12+J12+L12</f>
        <v>143</v>
      </c>
      <c r="C12" s="202">
        <f>E12+G12+I12+K12+M12</f>
        <v>12</v>
      </c>
      <c r="D12" s="203"/>
      <c r="E12" s="204"/>
      <c r="F12" s="203">
        <v>4</v>
      </c>
      <c r="G12" s="204"/>
      <c r="H12" s="205">
        <v>100</v>
      </c>
      <c r="I12" s="206"/>
      <c r="J12" s="205">
        <v>39</v>
      </c>
      <c r="K12" s="206">
        <v>12</v>
      </c>
      <c r="L12" s="205"/>
      <c r="M12" s="207"/>
      <c r="N12" s="286"/>
      <c r="P12" s="47"/>
      <c r="Q12" s="47"/>
    </row>
    <row r="13" spans="1:32" ht="15" thickBot="1" x14ac:dyDescent="0.35">
      <c r="A13" s="208" t="s">
        <v>13192</v>
      </c>
      <c r="B13" s="246">
        <f>B11+C11+B12+C12</f>
        <v>1060</v>
      </c>
      <c r="C13" s="247"/>
      <c r="D13" s="246">
        <f>D11+D12+E11+E12</f>
        <v>74</v>
      </c>
      <c r="E13" s="247"/>
      <c r="F13" s="248">
        <f>F11+G11+F12+G12</f>
        <v>227</v>
      </c>
      <c r="G13" s="249"/>
      <c r="H13" s="248">
        <f>H11+I11+H12+I12</f>
        <v>308</v>
      </c>
      <c r="I13" s="249"/>
      <c r="J13" s="248">
        <f>J11+K11+J12+K12</f>
        <v>450</v>
      </c>
      <c r="K13" s="249"/>
      <c r="L13" s="306">
        <f>L11+M11+L12+M12</f>
        <v>1</v>
      </c>
      <c r="M13" s="307"/>
      <c r="N13" s="319"/>
    </row>
    <row r="14" spans="1:32" ht="15" thickBot="1" x14ac:dyDescent="0.35">
      <c r="A14" s="72"/>
      <c r="B14" s="73"/>
      <c r="C14" s="73"/>
      <c r="D14" s="73"/>
      <c r="E14" s="74"/>
      <c r="F14" s="74"/>
      <c r="G14" s="74"/>
      <c r="H14" s="74"/>
      <c r="I14" s="74"/>
      <c r="J14" s="74"/>
      <c r="K14" s="74"/>
      <c r="L14" s="74"/>
      <c r="M14" s="74"/>
      <c r="N14" s="74"/>
      <c r="V14" s="145"/>
      <c r="W14" s="146"/>
    </row>
    <row r="15" spans="1:32" ht="15" thickBot="1" x14ac:dyDescent="0.35">
      <c r="A15" s="321" t="s">
        <v>13179</v>
      </c>
      <c r="B15" s="324" t="s">
        <v>13329</v>
      </c>
      <c r="C15" s="325"/>
      <c r="D15" s="326" t="s">
        <v>13330</v>
      </c>
      <c r="E15" s="327"/>
      <c r="F15" s="328" t="s">
        <v>13333</v>
      </c>
      <c r="G15" s="329"/>
      <c r="H15" s="330" t="s">
        <v>13336</v>
      </c>
      <c r="I15" s="331"/>
      <c r="J15" s="316" t="s">
        <v>13309</v>
      </c>
      <c r="K15" s="317"/>
      <c r="L15" s="308" t="s">
        <v>13307</v>
      </c>
      <c r="M15" s="309"/>
      <c r="N15" s="308" t="s">
        <v>13308</v>
      </c>
      <c r="O15" s="309"/>
      <c r="V15" s="147"/>
      <c r="W15" s="148"/>
      <c r="X15" s="123"/>
      <c r="Y15" s="123"/>
      <c r="Z15" s="123"/>
      <c r="AA15" s="123"/>
      <c r="AB15" s="123"/>
      <c r="AC15" s="123"/>
      <c r="AD15" s="123"/>
      <c r="AE15" s="123"/>
      <c r="AF15" s="124"/>
    </row>
    <row r="16" spans="1:32" ht="15" thickBot="1" x14ac:dyDescent="0.35">
      <c r="A16" s="322"/>
      <c r="B16" s="310">
        <v>46082</v>
      </c>
      <c r="C16" s="311"/>
      <c r="D16" s="310">
        <v>46082</v>
      </c>
      <c r="E16" s="311"/>
      <c r="F16" s="310">
        <v>46082</v>
      </c>
      <c r="G16" s="312"/>
      <c r="H16" s="310">
        <v>46082</v>
      </c>
      <c r="I16" s="312"/>
      <c r="J16" s="313">
        <v>46082</v>
      </c>
      <c r="K16" s="312"/>
      <c r="L16" s="310">
        <v>46082</v>
      </c>
      <c r="M16" s="312"/>
      <c r="N16" s="314">
        <v>46082</v>
      </c>
      <c r="O16" s="315"/>
      <c r="Q16" s="332" t="s">
        <v>13319</v>
      </c>
      <c r="R16" s="333"/>
      <c r="S16" s="333"/>
      <c r="T16" s="333"/>
      <c r="U16" s="334"/>
      <c r="V16" s="142"/>
      <c r="W16" s="143"/>
      <c r="X16" s="126"/>
      <c r="Y16" s="126"/>
      <c r="Z16" s="126"/>
      <c r="AA16" s="126"/>
      <c r="AB16" s="126"/>
      <c r="AC16" s="126"/>
      <c r="AD16" s="126"/>
      <c r="AE16" s="126"/>
      <c r="AF16" s="125"/>
    </row>
    <row r="17" spans="1:32" ht="15" thickBot="1" x14ac:dyDescent="0.35">
      <c r="A17" s="323"/>
      <c r="B17" s="136" t="s">
        <v>13266</v>
      </c>
      <c r="C17" s="137" t="s">
        <v>13267</v>
      </c>
      <c r="D17" s="136" t="s">
        <v>13266</v>
      </c>
      <c r="E17" s="137" t="s">
        <v>13267</v>
      </c>
      <c r="F17" s="136" t="s">
        <v>13266</v>
      </c>
      <c r="G17" s="137" t="s">
        <v>13267</v>
      </c>
      <c r="H17" s="136" t="s">
        <v>13266</v>
      </c>
      <c r="I17" s="137" t="s">
        <v>13267</v>
      </c>
      <c r="J17" s="160" t="s">
        <v>13266</v>
      </c>
      <c r="K17" s="137" t="s">
        <v>13267</v>
      </c>
      <c r="L17" s="136" t="s">
        <v>13266</v>
      </c>
      <c r="M17" s="137" t="s">
        <v>13267</v>
      </c>
      <c r="N17" s="119" t="s">
        <v>13266</v>
      </c>
      <c r="O17" s="120" t="s">
        <v>13267</v>
      </c>
      <c r="Q17" s="152" t="s">
        <v>13310</v>
      </c>
      <c r="R17" s="140" t="s">
        <v>13311</v>
      </c>
      <c r="S17" s="153" t="s">
        <v>13312</v>
      </c>
      <c r="T17" s="154"/>
      <c r="U17" s="155"/>
      <c r="X17" s="127"/>
      <c r="Y17" s="127"/>
      <c r="Z17" s="127"/>
      <c r="AA17" s="127"/>
      <c r="AB17" s="127"/>
      <c r="AC17" s="127"/>
      <c r="AD17" s="127"/>
      <c r="AE17" s="127"/>
      <c r="AF17" s="83"/>
    </row>
    <row r="18" spans="1:32" ht="15" thickBot="1" x14ac:dyDescent="0.35">
      <c r="A18" s="100" t="s">
        <v>13183</v>
      </c>
      <c r="B18" s="104">
        <f>D18</f>
        <v>18</v>
      </c>
      <c r="C18" s="94">
        <f>E18</f>
        <v>94</v>
      </c>
      <c r="D18" s="104">
        <v>18</v>
      </c>
      <c r="E18" s="94">
        <v>94</v>
      </c>
      <c r="F18" s="104"/>
      <c r="G18" s="94"/>
      <c r="H18" s="104"/>
      <c r="I18" s="94">
        <v>32</v>
      </c>
      <c r="J18" s="83">
        <f t="shared" ref="J18:K21" si="4">D18-H18</f>
        <v>18</v>
      </c>
      <c r="K18" s="94">
        <f t="shared" si="4"/>
        <v>62</v>
      </c>
      <c r="L18" s="104"/>
      <c r="M18" s="94">
        <v>2</v>
      </c>
      <c r="N18" s="96"/>
      <c r="O18" s="97"/>
      <c r="Q18" s="133">
        <v>64</v>
      </c>
      <c r="R18" s="134" t="s">
        <v>13316</v>
      </c>
      <c r="S18" s="346" t="s">
        <v>13317</v>
      </c>
      <c r="T18" s="347"/>
      <c r="U18" s="348"/>
      <c r="V18" s="145"/>
      <c r="W18" s="146"/>
    </row>
    <row r="19" spans="1:32" ht="15" thickBot="1" x14ac:dyDescent="0.35">
      <c r="A19" s="100" t="s">
        <v>13184</v>
      </c>
      <c r="B19" s="104">
        <v>18</v>
      </c>
      <c r="C19" s="94">
        <v>12</v>
      </c>
      <c r="D19" s="104">
        <v>6</v>
      </c>
      <c r="E19" s="94">
        <v>0</v>
      </c>
      <c r="F19" s="183">
        <v>12</v>
      </c>
      <c r="G19" s="184">
        <v>12</v>
      </c>
      <c r="H19" s="104"/>
      <c r="I19" s="94"/>
      <c r="J19" s="83">
        <f t="shared" si="4"/>
        <v>6</v>
      </c>
      <c r="K19" s="94">
        <f t="shared" si="4"/>
        <v>0</v>
      </c>
      <c r="L19" s="104">
        <v>9</v>
      </c>
      <c r="M19" s="94">
        <v>7</v>
      </c>
      <c r="N19" s="96"/>
      <c r="O19" s="97"/>
      <c r="Q19" s="105">
        <f>Q18</f>
        <v>64</v>
      </c>
      <c r="V19" s="126"/>
      <c r="W19" s="135"/>
    </row>
    <row r="20" spans="1:32" ht="15" thickBot="1" x14ac:dyDescent="0.35">
      <c r="A20" s="101" t="s">
        <v>13185</v>
      </c>
      <c r="B20" s="104">
        <v>24</v>
      </c>
      <c r="C20" s="94">
        <f>E20+G20</f>
        <v>0</v>
      </c>
      <c r="D20" s="104">
        <v>24</v>
      </c>
      <c r="E20" s="94"/>
      <c r="F20" s="210"/>
      <c r="G20" s="188"/>
      <c r="H20" s="104"/>
      <c r="I20" s="94"/>
      <c r="J20" s="83">
        <f t="shared" si="4"/>
        <v>24</v>
      </c>
      <c r="K20" s="94">
        <f t="shared" si="4"/>
        <v>0</v>
      </c>
      <c r="L20" s="104">
        <f>18-4</f>
        <v>14</v>
      </c>
      <c r="M20" s="94">
        <f>E20-I20</f>
        <v>0</v>
      </c>
      <c r="N20" s="99">
        <f>37+4</f>
        <v>41</v>
      </c>
      <c r="O20" s="97"/>
      <c r="Q20" s="332" t="s">
        <v>13318</v>
      </c>
      <c r="R20" s="333"/>
      <c r="S20" s="333"/>
      <c r="T20" s="333"/>
      <c r="U20" s="334"/>
      <c r="V20" s="127"/>
      <c r="W20" s="115"/>
    </row>
    <row r="21" spans="1:32" ht="15" thickBot="1" x14ac:dyDescent="0.35">
      <c r="A21" s="100" t="s">
        <v>13180</v>
      </c>
      <c r="B21" s="102">
        <v>124</v>
      </c>
      <c r="C21" s="103">
        <v>126</v>
      </c>
      <c r="D21" s="102"/>
      <c r="E21" s="103">
        <v>2</v>
      </c>
      <c r="F21" s="185">
        <v>124</v>
      </c>
      <c r="G21" s="186">
        <v>124</v>
      </c>
      <c r="H21" s="104"/>
      <c r="I21" s="94">
        <v>2</v>
      </c>
      <c r="J21" s="83">
        <f t="shared" si="4"/>
        <v>0</v>
      </c>
      <c r="K21" s="94">
        <f t="shared" si="4"/>
        <v>0</v>
      </c>
      <c r="L21" s="104">
        <v>0</v>
      </c>
      <c r="M21" s="94">
        <v>4</v>
      </c>
      <c r="N21" s="96"/>
      <c r="O21" s="97"/>
      <c r="Q21" s="152" t="s">
        <v>13310</v>
      </c>
      <c r="R21" s="140" t="s">
        <v>13311</v>
      </c>
      <c r="S21" s="156" t="s">
        <v>13312</v>
      </c>
      <c r="T21" s="157"/>
      <c r="U21" s="158"/>
      <c r="V21" s="142"/>
      <c r="W21" s="143"/>
      <c r="X21" s="127"/>
      <c r="Y21" s="127"/>
      <c r="Z21" s="127"/>
      <c r="AA21" s="127"/>
      <c r="AB21" s="127"/>
      <c r="AC21" s="127"/>
      <c r="AD21" s="127"/>
      <c r="AE21" s="127"/>
      <c r="AF21" s="83"/>
    </row>
    <row r="22" spans="1:32" ht="15" thickBot="1" x14ac:dyDescent="0.35">
      <c r="A22" s="100" t="s">
        <v>13181</v>
      </c>
      <c r="B22" s="104">
        <f>118+4</f>
        <v>122</v>
      </c>
      <c r="C22" s="94">
        <f>E22+G22</f>
        <v>0</v>
      </c>
      <c r="D22" s="104">
        <v>4</v>
      </c>
      <c r="E22" s="94"/>
      <c r="F22" s="182">
        <v>118</v>
      </c>
      <c r="G22" s="188"/>
      <c r="H22" s="104">
        <v>1</v>
      </c>
      <c r="I22" s="94"/>
      <c r="J22" s="83">
        <f>D22-H22</f>
        <v>3</v>
      </c>
      <c r="K22" s="94">
        <f>E22</f>
        <v>0</v>
      </c>
      <c r="L22" s="104">
        <f>27-6</f>
        <v>21</v>
      </c>
      <c r="M22" s="94">
        <f>E22-I22</f>
        <v>0</v>
      </c>
      <c r="N22" s="96"/>
      <c r="O22" s="98">
        <f>74+6</f>
        <v>80</v>
      </c>
      <c r="Q22" s="104">
        <v>80</v>
      </c>
      <c r="R22" s="27" t="s">
        <v>13181</v>
      </c>
      <c r="S22" s="349" t="s">
        <v>13314</v>
      </c>
      <c r="T22" s="350"/>
      <c r="U22" s="351"/>
      <c r="X22" s="128"/>
      <c r="Y22" s="128"/>
      <c r="Z22" s="128"/>
      <c r="AA22" s="128"/>
      <c r="AB22" s="128"/>
      <c r="AC22" s="128"/>
      <c r="AD22" s="128"/>
      <c r="AE22" s="128"/>
      <c r="AF22" s="129"/>
    </row>
    <row r="23" spans="1:32" ht="15" thickBot="1" x14ac:dyDescent="0.35">
      <c r="A23" s="100" t="s">
        <v>13182</v>
      </c>
      <c r="B23" s="104">
        <v>42</v>
      </c>
      <c r="C23" s="94">
        <f>E23+G23</f>
        <v>44</v>
      </c>
      <c r="D23" s="104">
        <f>4+2</f>
        <v>6</v>
      </c>
      <c r="E23" s="94">
        <f>2+4+2</f>
        <v>8</v>
      </c>
      <c r="F23" s="183">
        <f>B23-D23</f>
        <v>36</v>
      </c>
      <c r="G23" s="184">
        <v>36</v>
      </c>
      <c r="H23" s="104"/>
      <c r="I23" s="94">
        <v>2</v>
      </c>
      <c r="J23" s="83">
        <f>D23-H23</f>
        <v>6</v>
      </c>
      <c r="K23" s="94">
        <f>E23-I23</f>
        <v>6</v>
      </c>
      <c r="L23" s="104">
        <v>2</v>
      </c>
      <c r="M23" s="94">
        <v>5</v>
      </c>
      <c r="N23" s="96"/>
      <c r="O23" s="97"/>
      <c r="Q23" s="133">
        <v>41</v>
      </c>
      <c r="R23" s="134" t="s">
        <v>13185</v>
      </c>
      <c r="S23" s="346" t="s">
        <v>13299</v>
      </c>
      <c r="T23" s="347"/>
      <c r="U23" s="348"/>
      <c r="V23" s="159"/>
      <c r="W23" s="149"/>
    </row>
    <row r="24" spans="1:32" ht="15" thickBot="1" x14ac:dyDescent="0.35">
      <c r="A24" s="335" t="s">
        <v>13192</v>
      </c>
      <c r="B24" s="95">
        <f t="shared" ref="B24:I24" si="5">SUM(B18:B23)</f>
        <v>348</v>
      </c>
      <c r="C24" s="93">
        <f t="shared" si="5"/>
        <v>276</v>
      </c>
      <c r="D24" s="95">
        <f t="shared" si="5"/>
        <v>58</v>
      </c>
      <c r="E24" s="93">
        <f t="shared" si="5"/>
        <v>104</v>
      </c>
      <c r="F24" s="95">
        <f t="shared" si="5"/>
        <v>290</v>
      </c>
      <c r="G24" s="93">
        <f t="shared" si="5"/>
        <v>172</v>
      </c>
      <c r="H24" s="95">
        <f t="shared" si="5"/>
        <v>1</v>
      </c>
      <c r="I24" s="93">
        <f t="shared" si="5"/>
        <v>36</v>
      </c>
      <c r="J24" s="91">
        <f>SUM(J18:J23)</f>
        <v>57</v>
      </c>
      <c r="K24" s="93">
        <f t="shared" ref="K24:O24" si="6">SUM(K18:K23)</f>
        <v>68</v>
      </c>
      <c r="L24" s="130">
        <f t="shared" si="6"/>
        <v>46</v>
      </c>
      <c r="M24" s="131">
        <f t="shared" si="6"/>
        <v>18</v>
      </c>
      <c r="N24" s="95">
        <f t="shared" si="6"/>
        <v>41</v>
      </c>
      <c r="O24" s="121">
        <f t="shared" si="6"/>
        <v>80</v>
      </c>
      <c r="Q24" s="105">
        <f>Q22+Q23</f>
        <v>121</v>
      </c>
      <c r="V24" s="125"/>
      <c r="W24" s="132"/>
    </row>
    <row r="25" spans="1:32" ht="15" thickBot="1" x14ac:dyDescent="0.35">
      <c r="A25" s="336"/>
      <c r="B25" s="250">
        <f>B24+C24</f>
        <v>624</v>
      </c>
      <c r="C25" s="251"/>
      <c r="D25" s="250">
        <f>D24+E24</f>
        <v>162</v>
      </c>
      <c r="E25" s="251"/>
      <c r="F25" s="250">
        <f>F24+G24</f>
        <v>462</v>
      </c>
      <c r="G25" s="251"/>
      <c r="H25" s="250">
        <f>H24+I24</f>
        <v>37</v>
      </c>
      <c r="I25" s="251"/>
      <c r="J25" s="353">
        <f>J24+K24</f>
        <v>125</v>
      </c>
      <c r="K25" s="251"/>
      <c r="L25" s="250">
        <f>L24+M24</f>
        <v>64</v>
      </c>
      <c r="M25" s="251"/>
      <c r="N25" s="234">
        <f>N24+O24</f>
        <v>121</v>
      </c>
      <c r="O25" s="235"/>
      <c r="Q25" s="79"/>
      <c r="R25" s="79"/>
      <c r="S25" s="320"/>
      <c r="T25" s="320"/>
      <c r="U25" s="320"/>
      <c r="V25" s="83"/>
      <c r="W25" s="94"/>
    </row>
    <row r="26" spans="1:32" ht="15" thickBot="1" x14ac:dyDescent="0.35">
      <c r="N26" s="74"/>
      <c r="Q26" s="79"/>
      <c r="R26" s="79"/>
      <c r="S26" s="320"/>
      <c r="T26" s="320"/>
      <c r="U26" s="320"/>
      <c r="V26" s="83"/>
      <c r="W26" s="94"/>
    </row>
    <row r="27" spans="1:32" ht="15" thickBot="1" x14ac:dyDescent="0.35">
      <c r="B27" s="267"/>
      <c r="C27" s="267"/>
      <c r="D27" s="267"/>
      <c r="E27" s="79"/>
      <c r="F27" s="337" t="s">
        <v>13346</v>
      </c>
      <c r="G27" s="338"/>
      <c r="H27" s="338"/>
      <c r="I27" s="338"/>
      <c r="J27" s="338"/>
      <c r="K27" s="338"/>
      <c r="L27" s="339"/>
      <c r="M27" s="259" t="s">
        <v>13272</v>
      </c>
      <c r="N27" s="260"/>
      <c r="O27" s="220"/>
      <c r="Q27" s="79"/>
      <c r="R27" s="79"/>
      <c r="S27" s="320"/>
      <c r="T27" s="320"/>
      <c r="U27" s="320"/>
      <c r="V27" s="83"/>
      <c r="W27" s="94"/>
    </row>
    <row r="28" spans="1:32" x14ac:dyDescent="0.3">
      <c r="B28" s="168"/>
      <c r="C28" s="168"/>
      <c r="D28" s="168"/>
      <c r="E28" s="79"/>
      <c r="F28" s="219"/>
      <c r="G28" s="254" t="s">
        <v>13193</v>
      </c>
      <c r="H28" s="255"/>
      <c r="I28" s="278" t="s">
        <v>13344</v>
      </c>
      <c r="J28" s="279"/>
      <c r="K28" s="340" t="s">
        <v>13345</v>
      </c>
      <c r="L28" s="341"/>
      <c r="M28" s="257">
        <v>46100</v>
      </c>
      <c r="N28" s="258"/>
      <c r="O28" s="220"/>
      <c r="Q28" s="79"/>
      <c r="R28" s="79"/>
      <c r="S28" s="79"/>
      <c r="T28" s="79"/>
      <c r="U28" s="79"/>
      <c r="V28" s="83"/>
      <c r="W28" s="94"/>
    </row>
    <row r="29" spans="1:32" ht="27" customHeight="1" x14ac:dyDescent="0.3">
      <c r="B29" s="168"/>
      <c r="C29" s="168"/>
      <c r="D29" s="168"/>
      <c r="E29" s="169"/>
      <c r="F29" s="256" t="s">
        <v>13249</v>
      </c>
      <c r="G29" s="252" t="s">
        <v>13337</v>
      </c>
      <c r="H29" s="253"/>
      <c r="I29" s="280" t="s">
        <v>13342</v>
      </c>
      <c r="J29" s="281"/>
      <c r="K29" s="236" t="s">
        <v>13339</v>
      </c>
      <c r="L29" s="342"/>
      <c r="M29" s="236" t="s">
        <v>13338</v>
      </c>
      <c r="N29" s="237"/>
      <c r="O29" s="220"/>
      <c r="Q29" s="79"/>
      <c r="R29" s="79"/>
      <c r="S29" s="320"/>
      <c r="T29" s="320"/>
      <c r="U29" s="320"/>
      <c r="V29" s="83"/>
      <c r="W29" s="94"/>
    </row>
    <row r="30" spans="1:32" ht="13.2" customHeight="1" x14ac:dyDescent="0.3">
      <c r="B30" s="168"/>
      <c r="C30" s="168"/>
      <c r="D30" s="168"/>
      <c r="E30" s="169"/>
      <c r="F30" s="256"/>
      <c r="G30" s="163" t="s">
        <v>13304</v>
      </c>
      <c r="H30" s="174" t="s">
        <v>13341</v>
      </c>
      <c r="I30" s="217" t="s">
        <v>13304</v>
      </c>
      <c r="J30" s="196" t="s">
        <v>13341</v>
      </c>
      <c r="K30" s="163" t="s">
        <v>13304</v>
      </c>
      <c r="L30" s="196" t="s">
        <v>13341</v>
      </c>
      <c r="M30" s="163" t="s">
        <v>13304</v>
      </c>
      <c r="N30" s="174" t="s">
        <v>13341</v>
      </c>
      <c r="O30" s="209"/>
      <c r="Q30" s="79"/>
      <c r="R30" s="79"/>
      <c r="S30" s="79"/>
      <c r="T30" s="79"/>
      <c r="U30" s="79"/>
      <c r="V30" s="215"/>
      <c r="W30" s="216"/>
    </row>
    <row r="31" spans="1:32" ht="17.399999999999999" customHeight="1" thickBot="1" x14ac:dyDescent="0.35">
      <c r="B31" s="168"/>
      <c r="C31" s="79"/>
      <c r="D31" s="211"/>
      <c r="E31" s="212"/>
      <c r="F31" s="268">
        <v>1044</v>
      </c>
      <c r="G31" s="343">
        <f>J11+J12+H24</f>
        <v>331</v>
      </c>
      <c r="H31" s="273">
        <f>K11+K12+I24</f>
        <v>156</v>
      </c>
      <c r="I31" s="218">
        <f>J24</f>
        <v>57</v>
      </c>
      <c r="J31" s="226">
        <f>K24</f>
        <v>68</v>
      </c>
      <c r="K31" s="343">
        <f>N24</f>
        <v>41</v>
      </c>
      <c r="L31" s="352">
        <f>O24</f>
        <v>80</v>
      </c>
      <c r="M31" s="228">
        <f>G31+I31+I32+I33+K31</f>
        <v>765</v>
      </c>
      <c r="N31" s="231">
        <f>H31+J31+J32+J33+L31</f>
        <v>494</v>
      </c>
      <c r="Q31" s="168"/>
      <c r="R31" s="168"/>
      <c r="S31" s="267"/>
      <c r="T31" s="267"/>
      <c r="U31" s="267"/>
      <c r="V31" s="150"/>
      <c r="W31" s="151"/>
    </row>
    <row r="32" spans="1:32" x14ac:dyDescent="0.3">
      <c r="F32" s="269"/>
      <c r="G32" s="344"/>
      <c r="H32" s="274"/>
      <c r="I32" s="218">
        <f>F24</f>
        <v>290</v>
      </c>
      <c r="J32" s="226">
        <f>G24</f>
        <v>172</v>
      </c>
      <c r="K32" s="344"/>
      <c r="L32" s="352"/>
      <c r="M32" s="229"/>
      <c r="N32" s="232"/>
      <c r="Q32" s="267"/>
      <c r="R32" s="267"/>
      <c r="S32" s="169"/>
      <c r="T32" s="169"/>
      <c r="U32" s="169"/>
    </row>
    <row r="33" spans="1:23" x14ac:dyDescent="0.3">
      <c r="F33" s="270"/>
      <c r="G33" s="344"/>
      <c r="H33" s="275"/>
      <c r="I33" s="218">
        <f>L24</f>
        <v>46</v>
      </c>
      <c r="J33" s="226">
        <f>M24</f>
        <v>18</v>
      </c>
      <c r="K33" s="345"/>
      <c r="L33" s="352"/>
      <c r="M33" s="230"/>
      <c r="N33" s="233"/>
      <c r="Q33" s="168"/>
      <c r="R33" s="168"/>
      <c r="S33" s="169"/>
      <c r="T33" s="169"/>
      <c r="U33" s="169"/>
    </row>
    <row r="34" spans="1:23" x14ac:dyDescent="0.3">
      <c r="F34" s="223" t="s">
        <v>13343</v>
      </c>
      <c r="G34" s="163">
        <f>G31</f>
        <v>331</v>
      </c>
      <c r="H34" s="174">
        <f>H31</f>
        <v>156</v>
      </c>
      <c r="I34" s="224">
        <f>SUM(I31:I33)</f>
        <v>393</v>
      </c>
      <c r="J34" s="225">
        <f>SUM(J31:J33)</f>
        <v>258</v>
      </c>
      <c r="K34" s="163">
        <f>K31</f>
        <v>41</v>
      </c>
      <c r="L34" s="227">
        <f>L31</f>
        <v>80</v>
      </c>
      <c r="M34" s="214">
        <f>M31</f>
        <v>765</v>
      </c>
      <c r="N34" s="221">
        <f>N31</f>
        <v>494</v>
      </c>
      <c r="Q34" s="168"/>
      <c r="R34" s="168"/>
      <c r="S34" s="169"/>
      <c r="T34" s="169"/>
      <c r="U34" s="169"/>
    </row>
    <row r="35" spans="1:23" ht="15" thickBot="1" x14ac:dyDescent="0.35">
      <c r="F35" s="222" t="s">
        <v>13192</v>
      </c>
      <c r="G35" s="276">
        <f>G34+H34</f>
        <v>487</v>
      </c>
      <c r="H35" s="277"/>
      <c r="I35" s="271">
        <f>I34+J34</f>
        <v>651</v>
      </c>
      <c r="J35" s="272"/>
      <c r="K35" s="261">
        <f>K34+L34</f>
        <v>121</v>
      </c>
      <c r="L35" s="262"/>
      <c r="M35" s="234">
        <f>M34+N34</f>
        <v>1259</v>
      </c>
      <c r="N35" s="235"/>
      <c r="Q35" s="168"/>
      <c r="R35" s="168"/>
      <c r="S35" s="169"/>
      <c r="T35" s="169"/>
      <c r="U35" s="169"/>
    </row>
    <row r="36" spans="1:23" ht="15" thickBot="1" x14ac:dyDescent="0.35">
      <c r="I36" s="28"/>
      <c r="J36" s="213"/>
      <c r="L36" s="92"/>
      <c r="N36" s="47"/>
      <c r="Q36" s="168"/>
      <c r="R36" s="168"/>
      <c r="S36" s="169"/>
      <c r="T36" s="169"/>
      <c r="U36" s="169"/>
    </row>
    <row r="37" spans="1:23" ht="23.4" customHeight="1" x14ac:dyDescent="0.3">
      <c r="A37" s="283" t="s">
        <v>13270</v>
      </c>
      <c r="B37" s="284"/>
      <c r="C37" s="284"/>
      <c r="D37" s="284"/>
      <c r="E37" s="284"/>
      <c r="F37" s="284"/>
      <c r="G37" s="284"/>
      <c r="H37" s="284"/>
      <c r="I37" s="285"/>
      <c r="J37" s="80"/>
      <c r="Q37" s="169"/>
      <c r="R37" s="169"/>
      <c r="S37" s="169"/>
      <c r="T37" s="169"/>
      <c r="U37" s="169"/>
    </row>
    <row r="38" spans="1:23" ht="19.2" customHeight="1" x14ac:dyDescent="0.3">
      <c r="A38" s="286" t="s">
        <v>13179</v>
      </c>
      <c r="B38" s="287" t="s">
        <v>13303</v>
      </c>
      <c r="C38" s="288"/>
      <c r="D38" s="290" t="s">
        <v>13301</v>
      </c>
      <c r="E38" s="291"/>
      <c r="F38" s="290" t="s">
        <v>13302</v>
      </c>
      <c r="G38" s="291"/>
      <c r="H38" s="290" t="s">
        <v>13305</v>
      </c>
      <c r="I38" s="291"/>
      <c r="J38" s="81"/>
    </row>
    <row r="39" spans="1:23" x14ac:dyDescent="0.3">
      <c r="A39" s="286"/>
      <c r="B39" s="287"/>
      <c r="C39" s="289"/>
      <c r="D39" s="292"/>
      <c r="E39" s="293"/>
      <c r="F39" s="294"/>
      <c r="G39" s="295"/>
      <c r="H39" s="294"/>
      <c r="I39" s="295"/>
      <c r="J39" s="81"/>
      <c r="Q39" s="28"/>
      <c r="R39" s="28"/>
      <c r="S39" s="28"/>
      <c r="T39" s="28"/>
      <c r="U39" s="28"/>
      <c r="V39" s="28"/>
      <c r="W39" s="28"/>
    </row>
    <row r="40" spans="1:23" x14ac:dyDescent="0.3">
      <c r="A40" s="116"/>
      <c r="B40" s="106" t="s">
        <v>13304</v>
      </c>
      <c r="C40" s="107" t="s">
        <v>13267</v>
      </c>
      <c r="D40" s="106" t="s">
        <v>13304</v>
      </c>
      <c r="E40" s="107" t="s">
        <v>13267</v>
      </c>
      <c r="F40" s="112" t="s">
        <v>13304</v>
      </c>
      <c r="G40" s="107" t="s">
        <v>13267</v>
      </c>
      <c r="H40" s="106" t="s">
        <v>13304</v>
      </c>
      <c r="I40" s="113" t="s">
        <v>13267</v>
      </c>
      <c r="J40" s="78"/>
    </row>
    <row r="41" spans="1:23" x14ac:dyDescent="0.3">
      <c r="A41" s="117" t="s">
        <v>13183</v>
      </c>
      <c r="B41" s="104">
        <v>723</v>
      </c>
      <c r="C41" s="94">
        <v>723</v>
      </c>
      <c r="D41" s="104">
        <v>503</v>
      </c>
      <c r="E41" s="94">
        <v>229</v>
      </c>
      <c r="F41" s="104">
        <f t="shared" ref="F41:G43" si="7">B41-D41</f>
        <v>220</v>
      </c>
      <c r="G41" s="94">
        <f t="shared" si="7"/>
        <v>494</v>
      </c>
      <c r="H41" s="114">
        <f t="shared" ref="H41:I44" si="8">D41-B5</f>
        <v>230</v>
      </c>
      <c r="I41" s="115">
        <f t="shared" si="8"/>
        <v>221</v>
      </c>
      <c r="J41" s="78"/>
    </row>
    <row r="42" spans="1:23" x14ac:dyDescent="0.3">
      <c r="A42" s="117" t="s">
        <v>13184</v>
      </c>
      <c r="B42" s="104">
        <v>374</v>
      </c>
      <c r="C42" s="94">
        <v>374</v>
      </c>
      <c r="D42" s="104">
        <v>419</v>
      </c>
      <c r="E42" s="94">
        <v>119</v>
      </c>
      <c r="F42" s="104">
        <v>0</v>
      </c>
      <c r="G42" s="94">
        <f t="shared" si="7"/>
        <v>255</v>
      </c>
      <c r="H42" s="114">
        <f t="shared" si="8"/>
        <v>232</v>
      </c>
      <c r="I42" s="115">
        <f t="shared" si="8"/>
        <v>108</v>
      </c>
      <c r="J42" s="78"/>
    </row>
    <row r="43" spans="1:23" x14ac:dyDescent="0.3">
      <c r="A43" s="118" t="s">
        <v>13185</v>
      </c>
      <c r="B43" s="108">
        <v>250</v>
      </c>
      <c r="C43" s="109">
        <v>250</v>
      </c>
      <c r="D43" s="108">
        <v>126</v>
      </c>
      <c r="E43" s="109">
        <v>146</v>
      </c>
      <c r="F43" s="108">
        <f t="shared" ref="F43" si="9">B43-D43</f>
        <v>124</v>
      </c>
      <c r="G43" s="109">
        <f t="shared" si="7"/>
        <v>104</v>
      </c>
      <c r="H43" s="114">
        <f t="shared" si="8"/>
        <v>77</v>
      </c>
      <c r="I43" s="115">
        <f t="shared" si="8"/>
        <v>146</v>
      </c>
      <c r="J43" s="78"/>
    </row>
    <row r="44" spans="1:23" x14ac:dyDescent="0.3">
      <c r="A44" s="117" t="s">
        <v>13180</v>
      </c>
      <c r="B44" s="110">
        <v>906</v>
      </c>
      <c r="C44" s="94">
        <v>906</v>
      </c>
      <c r="D44" s="104">
        <v>229</v>
      </c>
      <c r="E44" s="94">
        <v>195</v>
      </c>
      <c r="F44" s="104">
        <f>B44-D44</f>
        <v>677</v>
      </c>
      <c r="G44" s="94">
        <f>C44-E44</f>
        <v>711</v>
      </c>
      <c r="H44" s="114">
        <f t="shared" si="8"/>
        <v>164</v>
      </c>
      <c r="I44" s="115">
        <f t="shared" si="8"/>
        <v>127</v>
      </c>
      <c r="J44" s="79"/>
      <c r="Q44" s="28"/>
      <c r="R44" s="28"/>
      <c r="S44" s="28"/>
      <c r="T44" s="28"/>
      <c r="U44" s="28"/>
      <c r="V44" s="28"/>
      <c r="W44" s="28"/>
    </row>
    <row r="45" spans="1:23" x14ac:dyDescent="0.3">
      <c r="A45" s="117" t="s">
        <v>13181</v>
      </c>
      <c r="B45" s="104">
        <v>776</v>
      </c>
      <c r="C45" s="94">
        <v>776</v>
      </c>
      <c r="D45" s="104">
        <v>254</v>
      </c>
      <c r="E45" s="94">
        <v>67</v>
      </c>
      <c r="F45" s="104">
        <f t="shared" ref="F45:G47" si="10">B45-D45</f>
        <v>522</v>
      </c>
      <c r="G45" s="94">
        <f t="shared" si="10"/>
        <v>709</v>
      </c>
      <c r="H45" s="114">
        <v>0</v>
      </c>
      <c r="I45" s="115">
        <f>E45-C9</f>
        <v>67</v>
      </c>
      <c r="J45" s="79"/>
      <c r="K45" s="282"/>
      <c r="L45" s="282"/>
      <c r="M45" s="282"/>
      <c r="V45" s="138"/>
      <c r="W45" s="138"/>
    </row>
    <row r="46" spans="1:23" x14ac:dyDescent="0.3">
      <c r="A46" s="117" t="s">
        <v>13182</v>
      </c>
      <c r="B46" s="104">
        <v>712</v>
      </c>
      <c r="C46" s="94">
        <v>712</v>
      </c>
      <c r="D46" s="104">
        <v>82</v>
      </c>
      <c r="E46" s="94">
        <v>82</v>
      </c>
      <c r="F46" s="104">
        <f t="shared" si="10"/>
        <v>630</v>
      </c>
      <c r="G46" s="94">
        <f t="shared" si="10"/>
        <v>630</v>
      </c>
      <c r="H46" s="114">
        <f>D46-B10</f>
        <v>55</v>
      </c>
      <c r="I46" s="115">
        <f>E46-C10</f>
        <v>58</v>
      </c>
      <c r="J46" s="79"/>
      <c r="K46" s="47"/>
      <c r="L46" s="47"/>
      <c r="M46" s="47"/>
      <c r="V46" s="139"/>
      <c r="W46" s="139"/>
    </row>
    <row r="47" spans="1:23" x14ac:dyDescent="0.3">
      <c r="A47" s="263" t="s">
        <v>13192</v>
      </c>
      <c r="B47" s="106">
        <f>SUM(B41:B46)</f>
        <v>3741</v>
      </c>
      <c r="C47" s="111">
        <f>SUM(C41:C46)</f>
        <v>3741</v>
      </c>
      <c r="D47" s="106">
        <f>SUM(D41:D46)</f>
        <v>1613</v>
      </c>
      <c r="E47" s="111">
        <f>SUM(E41:E46)</f>
        <v>838</v>
      </c>
      <c r="F47" s="106">
        <f t="shared" si="10"/>
        <v>2128</v>
      </c>
      <c r="G47" s="111">
        <f t="shared" si="10"/>
        <v>2903</v>
      </c>
      <c r="H47" s="106">
        <f>SUM(H41:H46)</f>
        <v>758</v>
      </c>
      <c r="I47" s="111">
        <f>SUM(I41:I46)</f>
        <v>727</v>
      </c>
      <c r="J47" s="79"/>
      <c r="K47" s="28"/>
      <c r="L47" s="28"/>
      <c r="M47" s="144"/>
      <c r="V47" s="28"/>
      <c r="W47" s="28"/>
    </row>
    <row r="48" spans="1:23" ht="15" thickBot="1" x14ac:dyDescent="0.35">
      <c r="A48" s="264"/>
      <c r="B48" s="265">
        <f>B47+C47</f>
        <v>7482</v>
      </c>
      <c r="C48" s="266"/>
      <c r="D48" s="265">
        <f>D47+E47</f>
        <v>2451</v>
      </c>
      <c r="E48" s="266"/>
      <c r="F48" s="265">
        <f>F47+G47</f>
        <v>5031</v>
      </c>
      <c r="G48" s="266"/>
      <c r="H48" s="265">
        <f>H47+I47</f>
        <v>1485</v>
      </c>
      <c r="I48" s="266"/>
      <c r="J48" s="79"/>
      <c r="V48" s="28"/>
      <c r="W48" s="28"/>
    </row>
    <row r="49" spans="2:23" x14ac:dyDescent="0.3">
      <c r="B49" s="28"/>
      <c r="C49" s="28"/>
      <c r="D49" s="28"/>
      <c r="E49" s="28"/>
      <c r="F49" s="28"/>
      <c r="G49" s="28"/>
      <c r="H49" s="28"/>
      <c r="I49" s="28"/>
      <c r="J49" s="79"/>
      <c r="K49" s="28"/>
      <c r="L49" s="28"/>
      <c r="V49" s="28"/>
      <c r="W49" s="28"/>
    </row>
    <row r="50" spans="2:23" x14ac:dyDescent="0.3">
      <c r="C50" s="28"/>
      <c r="D50" s="28"/>
      <c r="E50" s="28"/>
      <c r="F50" s="28"/>
      <c r="G50" s="28"/>
      <c r="H50" s="28"/>
      <c r="I50" s="28"/>
    </row>
  </sheetData>
  <mergeCells count="85">
    <mergeCell ref="F27:L27"/>
    <mergeCell ref="K28:L28"/>
    <mergeCell ref="K29:L29"/>
    <mergeCell ref="K31:K33"/>
    <mergeCell ref="S18:U18"/>
    <mergeCell ref="S22:U22"/>
    <mergeCell ref="S23:U23"/>
    <mergeCell ref="L31:L33"/>
    <mergeCell ref="G31:G33"/>
    <mergeCell ref="S27:U27"/>
    <mergeCell ref="S29:U29"/>
    <mergeCell ref="S31:U31"/>
    <mergeCell ref="Q32:R32"/>
    <mergeCell ref="L25:M25"/>
    <mergeCell ref="J25:K25"/>
    <mergeCell ref="N25:O25"/>
    <mergeCell ref="S25:U25"/>
    <mergeCell ref="S26:U26"/>
    <mergeCell ref="A15:A17"/>
    <mergeCell ref="B15:C15"/>
    <mergeCell ref="D15:E15"/>
    <mergeCell ref="F15:G15"/>
    <mergeCell ref="H15:I15"/>
    <mergeCell ref="Q20:U20"/>
    <mergeCell ref="A24:A25"/>
    <mergeCell ref="B25:C25"/>
    <mergeCell ref="D25:E25"/>
    <mergeCell ref="Q16:U16"/>
    <mergeCell ref="L13:M13"/>
    <mergeCell ref="N15:O15"/>
    <mergeCell ref="B16:C16"/>
    <mergeCell ref="D16:E16"/>
    <mergeCell ref="F16:G16"/>
    <mergeCell ref="H16:I16"/>
    <mergeCell ref="L16:M16"/>
    <mergeCell ref="J16:K16"/>
    <mergeCell ref="N16:O16"/>
    <mergeCell ref="L15:M15"/>
    <mergeCell ref="J15:K15"/>
    <mergeCell ref="N11:N13"/>
    <mergeCell ref="A1:N1"/>
    <mergeCell ref="A2:A4"/>
    <mergeCell ref="N2:N4"/>
    <mergeCell ref="J2:K3"/>
    <mergeCell ref="L2:M3"/>
    <mergeCell ref="F48:G48"/>
    <mergeCell ref="H48:I48"/>
    <mergeCell ref="A37:I37"/>
    <mergeCell ref="A38:A39"/>
    <mergeCell ref="B38:C39"/>
    <mergeCell ref="D38:E39"/>
    <mergeCell ref="F38:G39"/>
    <mergeCell ref="H38:I39"/>
    <mergeCell ref="J13:K13"/>
    <mergeCell ref="M28:N28"/>
    <mergeCell ref="M27:N27"/>
    <mergeCell ref="K35:L35"/>
    <mergeCell ref="A47:A48"/>
    <mergeCell ref="B48:C48"/>
    <mergeCell ref="D48:E48"/>
    <mergeCell ref="B27:D27"/>
    <mergeCell ref="F31:F33"/>
    <mergeCell ref="I35:J35"/>
    <mergeCell ref="H31:H33"/>
    <mergeCell ref="G35:H35"/>
    <mergeCell ref="I28:J28"/>
    <mergeCell ref="I29:J29"/>
    <mergeCell ref="H25:I25"/>
    <mergeCell ref="K45:M45"/>
    <mergeCell ref="M31:M33"/>
    <mergeCell ref="N31:N33"/>
    <mergeCell ref="M35:N35"/>
    <mergeCell ref="M29:N29"/>
    <mergeCell ref="B2:C3"/>
    <mergeCell ref="D2:E3"/>
    <mergeCell ref="F2:G3"/>
    <mergeCell ref="H2:I3"/>
    <mergeCell ref="B13:C13"/>
    <mergeCell ref="D13:E13"/>
    <mergeCell ref="F13:G13"/>
    <mergeCell ref="H13:I13"/>
    <mergeCell ref="F25:G25"/>
    <mergeCell ref="G29:H29"/>
    <mergeCell ref="G28:H28"/>
    <mergeCell ref="F29:F30"/>
  </mergeCells>
  <pageMargins left="0.511811024" right="0.511811024" top="0.78740157499999996" bottom="0.78740157499999996" header="0.31496062000000002" footer="0.31496062000000002"/>
  <pageSetup paperSize="9"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5435-E69E-47AD-BA88-D4A4355F6370}">
  <sheetPr>
    <pageSetUpPr fitToPage="1"/>
  </sheetPr>
  <dimension ref="A1:AF114"/>
  <sheetViews>
    <sheetView topLeftCell="D1" workbookViewId="0">
      <selection activeCell="Q15" sqref="Q15:U23"/>
    </sheetView>
  </sheetViews>
  <sheetFormatPr defaultRowHeight="14.4" x14ac:dyDescent="0.3"/>
  <cols>
    <col min="1" max="1" width="22.5546875" customWidth="1"/>
    <col min="2" max="2" width="10.77734375" customWidth="1"/>
    <col min="3" max="3" width="11.88671875" customWidth="1"/>
    <col min="4" max="4" width="12.77734375" customWidth="1"/>
    <col min="5" max="5" width="10.88671875" customWidth="1"/>
    <col min="6" max="6" width="10.109375" customWidth="1"/>
    <col min="7" max="7" width="10.33203125" customWidth="1"/>
    <col min="8" max="8" width="10.77734375" customWidth="1"/>
    <col min="9" max="9" width="10.21875" customWidth="1"/>
    <col min="10" max="10" width="11.44140625" customWidth="1"/>
    <col min="11" max="11" width="9.33203125" customWidth="1"/>
    <col min="12" max="12" width="11" customWidth="1"/>
    <col min="13" max="13" width="9.6640625" customWidth="1"/>
    <col min="14" max="14" width="9.33203125" customWidth="1"/>
    <col min="15" max="15" width="11.109375" customWidth="1"/>
    <col min="16" max="16" width="4.5546875" customWidth="1"/>
    <col min="17" max="17" width="14.109375" customWidth="1"/>
    <col min="18" max="18" width="15.88671875" customWidth="1"/>
    <col min="21" max="21" width="19.88671875" customWidth="1"/>
    <col min="22" max="24" width="8.88671875" hidden="1" customWidth="1"/>
    <col min="25" max="25" width="1.77734375" hidden="1" customWidth="1"/>
    <col min="26" max="31" width="8.88671875" hidden="1" customWidth="1"/>
    <col min="32" max="32" width="10.33203125" hidden="1" customWidth="1"/>
  </cols>
  <sheetData>
    <row r="1" spans="1:32" ht="27" customHeight="1" x14ac:dyDescent="0.3">
      <c r="A1" s="401" t="s">
        <v>13306</v>
      </c>
      <c r="B1" s="358"/>
      <c r="C1" s="358"/>
      <c r="D1" s="358"/>
      <c r="E1" s="358"/>
      <c r="F1" s="358"/>
      <c r="G1" s="358"/>
      <c r="H1" s="358"/>
      <c r="I1" s="358"/>
      <c r="J1" s="358"/>
      <c r="K1" s="358"/>
      <c r="L1" s="358"/>
      <c r="M1" s="358"/>
      <c r="N1" s="359"/>
      <c r="O1" s="50"/>
      <c r="P1" s="50"/>
      <c r="Q1" s="50"/>
    </row>
    <row r="2" spans="1:32" ht="19.2" customHeight="1" x14ac:dyDescent="0.3">
      <c r="A2" s="402" t="s">
        <v>13179</v>
      </c>
      <c r="B2" s="404" t="s">
        <v>13200</v>
      </c>
      <c r="C2" s="406" t="s">
        <v>13201</v>
      </c>
      <c r="D2" s="406"/>
      <c r="E2" s="360">
        <v>45962</v>
      </c>
      <c r="F2" s="360"/>
      <c r="G2" s="354">
        <v>45992</v>
      </c>
      <c r="H2" s="354"/>
      <c r="I2" s="360">
        <v>46023</v>
      </c>
      <c r="J2" s="360"/>
      <c r="K2" s="360">
        <v>46054</v>
      </c>
      <c r="L2" s="360"/>
      <c r="M2" s="354">
        <v>46082</v>
      </c>
      <c r="N2" s="355"/>
    </row>
    <row r="3" spans="1:32" x14ac:dyDescent="0.3">
      <c r="A3" s="402"/>
      <c r="B3" s="404"/>
      <c r="C3" s="407"/>
      <c r="D3" s="407"/>
      <c r="E3" s="361"/>
      <c r="F3" s="361"/>
      <c r="G3" s="356"/>
      <c r="H3" s="356"/>
      <c r="I3" s="361"/>
      <c r="J3" s="361"/>
      <c r="K3" s="361"/>
      <c r="L3" s="361"/>
      <c r="M3" s="356"/>
      <c r="N3" s="357"/>
    </row>
    <row r="4" spans="1:32" x14ac:dyDescent="0.3">
      <c r="A4" s="403"/>
      <c r="B4" s="405"/>
      <c r="C4" s="85" t="s">
        <v>13266</v>
      </c>
      <c r="D4" s="84" t="s">
        <v>13267</v>
      </c>
      <c r="E4" s="85" t="s">
        <v>13266</v>
      </c>
      <c r="F4" s="84" t="s">
        <v>13267</v>
      </c>
      <c r="G4" s="85" t="s">
        <v>13266</v>
      </c>
      <c r="H4" s="84" t="s">
        <v>13267</v>
      </c>
      <c r="I4" s="85" t="s">
        <v>13266</v>
      </c>
      <c r="J4" s="84" t="s">
        <v>13267</v>
      </c>
      <c r="K4" s="85" t="s">
        <v>13266</v>
      </c>
      <c r="L4" s="84" t="s">
        <v>13267</v>
      </c>
      <c r="M4" s="85" t="s">
        <v>13266</v>
      </c>
      <c r="N4" s="93" t="s">
        <v>13267</v>
      </c>
    </row>
    <row r="5" spans="1:32" x14ac:dyDescent="0.3">
      <c r="A5" s="164" t="s">
        <v>13183</v>
      </c>
      <c r="B5" s="82">
        <v>723</v>
      </c>
      <c r="C5" s="76">
        <f t="shared" ref="C5:D8" si="0">E5+G5+I5+K5+M5</f>
        <v>337</v>
      </c>
      <c r="D5" s="77">
        <f t="shared" si="0"/>
        <v>8</v>
      </c>
      <c r="E5" s="76">
        <v>51</v>
      </c>
      <c r="F5" s="77"/>
      <c r="G5" s="76">
        <v>95</v>
      </c>
      <c r="H5" s="77"/>
      <c r="I5" s="76">
        <v>97</v>
      </c>
      <c r="J5" s="77"/>
      <c r="K5" s="76">
        <v>94</v>
      </c>
      <c r="L5" s="77">
        <v>8</v>
      </c>
      <c r="M5" s="88"/>
      <c r="N5" s="165"/>
    </row>
    <row r="6" spans="1:32" x14ac:dyDescent="0.3">
      <c r="A6" s="164" t="s">
        <v>13184</v>
      </c>
      <c r="B6" s="82">
        <v>374</v>
      </c>
      <c r="C6" s="76">
        <f t="shared" si="0"/>
        <v>201</v>
      </c>
      <c r="D6" s="77">
        <f t="shared" si="0"/>
        <v>12</v>
      </c>
      <c r="E6" s="76"/>
      <c r="F6" s="77"/>
      <c r="G6" s="76">
        <v>84</v>
      </c>
      <c r="H6" s="77"/>
      <c r="I6" s="76">
        <v>36</v>
      </c>
      <c r="J6" s="77"/>
      <c r="K6" s="76">
        <v>81</v>
      </c>
      <c r="L6" s="77">
        <v>12</v>
      </c>
      <c r="M6" s="88"/>
      <c r="N6" s="165"/>
    </row>
    <row r="7" spans="1:32" x14ac:dyDescent="0.3">
      <c r="A7" s="166" t="s">
        <v>13185</v>
      </c>
      <c r="B7" s="82">
        <v>250</v>
      </c>
      <c r="C7" s="86">
        <f t="shared" si="0"/>
        <v>49</v>
      </c>
      <c r="D7" s="77">
        <f t="shared" si="0"/>
        <v>0</v>
      </c>
      <c r="E7" s="76">
        <v>23</v>
      </c>
      <c r="F7" s="77"/>
      <c r="G7" s="76"/>
      <c r="H7" s="77"/>
      <c r="I7" s="76">
        <v>7</v>
      </c>
      <c r="J7" s="77"/>
      <c r="K7" s="76">
        <v>19</v>
      </c>
      <c r="L7" s="77"/>
      <c r="M7" s="88"/>
      <c r="N7" s="165"/>
    </row>
    <row r="8" spans="1:32" x14ac:dyDescent="0.3">
      <c r="A8" s="164" t="s">
        <v>13180</v>
      </c>
      <c r="B8" s="82">
        <v>906</v>
      </c>
      <c r="C8" s="76">
        <f t="shared" si="0"/>
        <v>91</v>
      </c>
      <c r="D8" s="77">
        <f t="shared" si="0"/>
        <v>87</v>
      </c>
      <c r="E8" s="76"/>
      <c r="F8" s="77"/>
      <c r="G8" s="76"/>
      <c r="H8" s="77"/>
      <c r="I8" s="76">
        <v>5</v>
      </c>
      <c r="J8" s="77">
        <v>5</v>
      </c>
      <c r="K8" s="76">
        <v>86</v>
      </c>
      <c r="L8" s="77">
        <v>82</v>
      </c>
      <c r="M8" s="88"/>
      <c r="N8" s="165"/>
    </row>
    <row r="9" spans="1:32" x14ac:dyDescent="0.3">
      <c r="A9" s="164" t="s">
        <v>13181</v>
      </c>
      <c r="B9" s="82">
        <v>776</v>
      </c>
      <c r="C9" s="76">
        <f t="shared" ref="C9:D10" si="1">E9+G9+I9+K9+M9</f>
        <v>260</v>
      </c>
      <c r="D9" s="77">
        <f t="shared" si="1"/>
        <v>0</v>
      </c>
      <c r="E9" s="76"/>
      <c r="F9" s="77"/>
      <c r="G9" s="76">
        <v>48</v>
      </c>
      <c r="H9" s="77"/>
      <c r="I9" s="76">
        <v>158</v>
      </c>
      <c r="J9" s="77"/>
      <c r="K9" s="76">
        <v>54</v>
      </c>
      <c r="L9" s="77"/>
      <c r="M9" s="88"/>
      <c r="N9" s="165"/>
    </row>
    <row r="10" spans="1:32" x14ac:dyDescent="0.3">
      <c r="A10" s="164" t="s">
        <v>13182</v>
      </c>
      <c r="B10" s="82">
        <v>712</v>
      </c>
      <c r="C10" s="76">
        <f t="shared" si="1"/>
        <v>27</v>
      </c>
      <c r="D10" s="77">
        <f t="shared" si="1"/>
        <v>24</v>
      </c>
      <c r="E10" s="76"/>
      <c r="F10" s="77"/>
      <c r="G10" s="76"/>
      <c r="H10" s="77"/>
      <c r="I10" s="76"/>
      <c r="J10" s="77"/>
      <c r="K10" s="76">
        <v>27</v>
      </c>
      <c r="L10" s="77">
        <v>24</v>
      </c>
      <c r="M10" s="88"/>
      <c r="N10" s="165"/>
    </row>
    <row r="11" spans="1:32" x14ac:dyDescent="0.3">
      <c r="A11" s="418" t="s">
        <v>13192</v>
      </c>
      <c r="B11" s="420">
        <f>SUM(B8:B10)</f>
        <v>2394</v>
      </c>
      <c r="C11" s="75">
        <f t="shared" ref="C11:L11" si="2">SUM(C5:C10)</f>
        <v>965</v>
      </c>
      <c r="D11" s="87">
        <f t="shared" si="2"/>
        <v>131</v>
      </c>
      <c r="E11" s="85">
        <f t="shared" si="2"/>
        <v>74</v>
      </c>
      <c r="F11" s="84">
        <f t="shared" si="2"/>
        <v>0</v>
      </c>
      <c r="G11" s="85">
        <f t="shared" si="2"/>
        <v>227</v>
      </c>
      <c r="H11" s="84">
        <f t="shared" si="2"/>
        <v>0</v>
      </c>
      <c r="I11" s="85">
        <f t="shared" si="2"/>
        <v>303</v>
      </c>
      <c r="J11" s="84">
        <f t="shared" si="2"/>
        <v>5</v>
      </c>
      <c r="K11" s="85">
        <f t="shared" si="2"/>
        <v>361</v>
      </c>
      <c r="L11" s="84">
        <f t="shared" si="2"/>
        <v>126</v>
      </c>
      <c r="M11" s="88"/>
      <c r="N11" s="165"/>
      <c r="O11" s="47"/>
      <c r="P11" s="47"/>
      <c r="Q11" s="47"/>
    </row>
    <row r="12" spans="1:32" ht="15" thickBot="1" x14ac:dyDescent="0.35">
      <c r="A12" s="419"/>
      <c r="B12" s="421"/>
      <c r="C12" s="422">
        <f>C11+D11</f>
        <v>1096</v>
      </c>
      <c r="D12" s="423"/>
      <c r="E12" s="408">
        <f>E11+F11</f>
        <v>74</v>
      </c>
      <c r="F12" s="409"/>
      <c r="G12" s="408">
        <f>G11+H11</f>
        <v>227</v>
      </c>
      <c r="H12" s="409"/>
      <c r="I12" s="408">
        <f>I11+J11</f>
        <v>308</v>
      </c>
      <c r="J12" s="409"/>
      <c r="K12" s="408">
        <f>K11+L11</f>
        <v>487</v>
      </c>
      <c r="L12" s="409"/>
      <c r="M12" s="410">
        <f>M11+N11</f>
        <v>0</v>
      </c>
      <c r="N12" s="411"/>
    </row>
    <row r="13" spans="1:32" ht="15" thickBot="1" x14ac:dyDescent="0.35">
      <c r="A13" s="72"/>
      <c r="B13" s="73"/>
      <c r="C13" s="73"/>
      <c r="D13" s="73"/>
      <c r="E13" s="74"/>
      <c r="F13" s="74"/>
      <c r="G13" s="74"/>
      <c r="H13" s="74"/>
      <c r="I13" s="74"/>
      <c r="J13" s="74"/>
      <c r="K13" s="74"/>
      <c r="L13" s="74"/>
      <c r="M13" s="74"/>
      <c r="N13" s="74"/>
      <c r="V13" s="145"/>
      <c r="W13" s="146"/>
    </row>
    <row r="14" spans="1:32" ht="15" thickBot="1" x14ac:dyDescent="0.35">
      <c r="A14" s="321" t="s">
        <v>13179</v>
      </c>
      <c r="B14" s="412" t="s">
        <v>13329</v>
      </c>
      <c r="C14" s="413"/>
      <c r="D14" s="414" t="s">
        <v>13331</v>
      </c>
      <c r="E14" s="415"/>
      <c r="F14" s="372" t="s">
        <v>13328</v>
      </c>
      <c r="G14" s="373"/>
      <c r="H14" s="308" t="s">
        <v>13295</v>
      </c>
      <c r="I14" s="416"/>
      <c r="J14" s="417" t="s">
        <v>13309</v>
      </c>
      <c r="K14" s="317"/>
      <c r="L14" s="308" t="s">
        <v>13307</v>
      </c>
      <c r="M14" s="309"/>
      <c r="N14" s="308" t="s">
        <v>13308</v>
      </c>
      <c r="O14" s="309"/>
      <c r="V14" s="147"/>
      <c r="W14" s="148"/>
      <c r="X14" s="123"/>
      <c r="Y14" s="123"/>
      <c r="Z14" s="123"/>
      <c r="AA14" s="123"/>
      <c r="AB14" s="123"/>
      <c r="AC14" s="123"/>
      <c r="AD14" s="123"/>
      <c r="AE14" s="123"/>
      <c r="AF14" s="124"/>
    </row>
    <row r="15" spans="1:32" ht="15" thickBot="1" x14ac:dyDescent="0.35">
      <c r="A15" s="322"/>
      <c r="B15" s="310">
        <v>46054</v>
      </c>
      <c r="C15" s="311"/>
      <c r="D15" s="310">
        <v>46054</v>
      </c>
      <c r="E15" s="311"/>
      <c r="F15" s="310">
        <v>46054</v>
      </c>
      <c r="G15" s="312"/>
      <c r="H15" s="310">
        <v>46054</v>
      </c>
      <c r="I15" s="313"/>
      <c r="J15" s="310">
        <v>46054</v>
      </c>
      <c r="K15" s="312"/>
      <c r="L15" s="310">
        <v>46054</v>
      </c>
      <c r="M15" s="312"/>
      <c r="N15" s="314">
        <v>46054</v>
      </c>
      <c r="O15" s="315"/>
      <c r="Q15" s="332" t="s">
        <v>13319</v>
      </c>
      <c r="R15" s="333"/>
      <c r="S15" s="333"/>
      <c r="T15" s="333"/>
      <c r="U15" s="334"/>
      <c r="V15" s="142"/>
      <c r="W15" s="143"/>
      <c r="X15" s="126"/>
      <c r="Y15" s="126"/>
      <c r="Z15" s="126"/>
      <c r="AA15" s="126"/>
      <c r="AB15" s="126"/>
      <c r="AC15" s="126"/>
      <c r="AD15" s="126"/>
      <c r="AE15" s="126"/>
      <c r="AF15" s="125"/>
    </row>
    <row r="16" spans="1:32" ht="15" thickBot="1" x14ac:dyDescent="0.35">
      <c r="A16" s="323"/>
      <c r="B16" s="136" t="s">
        <v>13266</v>
      </c>
      <c r="C16" s="137" t="s">
        <v>13267</v>
      </c>
      <c r="D16" s="136" t="s">
        <v>13266</v>
      </c>
      <c r="E16" s="137" t="s">
        <v>13267</v>
      </c>
      <c r="F16" s="136" t="s">
        <v>13266</v>
      </c>
      <c r="G16" s="137" t="s">
        <v>13267</v>
      </c>
      <c r="H16" s="160" t="s">
        <v>13266</v>
      </c>
      <c r="I16" s="161" t="s">
        <v>13267</v>
      </c>
      <c r="J16" s="136" t="s">
        <v>13266</v>
      </c>
      <c r="K16" s="137" t="s">
        <v>13267</v>
      </c>
      <c r="L16" s="136" t="s">
        <v>13266</v>
      </c>
      <c r="M16" s="137" t="s">
        <v>13267</v>
      </c>
      <c r="N16" s="119" t="s">
        <v>13266</v>
      </c>
      <c r="O16" s="120" t="s">
        <v>13267</v>
      </c>
      <c r="Q16" s="152" t="s">
        <v>13310</v>
      </c>
      <c r="R16" s="140" t="s">
        <v>13311</v>
      </c>
      <c r="S16" s="153" t="s">
        <v>13312</v>
      </c>
      <c r="T16" s="154"/>
      <c r="U16" s="155"/>
      <c r="X16" s="127"/>
      <c r="Y16" s="127"/>
      <c r="Z16" s="127"/>
      <c r="AA16" s="127"/>
      <c r="AB16" s="127"/>
      <c r="AC16" s="127"/>
      <c r="AD16" s="127"/>
      <c r="AE16" s="127"/>
      <c r="AF16" s="83"/>
    </row>
    <row r="17" spans="1:32" ht="15" thickBot="1" x14ac:dyDescent="0.35">
      <c r="A17" s="100" t="s">
        <v>13183</v>
      </c>
      <c r="B17" s="104">
        <f>D17</f>
        <v>20</v>
      </c>
      <c r="C17" s="94">
        <f>E17</f>
        <v>10</v>
      </c>
      <c r="D17" s="104">
        <f>34-14</f>
        <v>20</v>
      </c>
      <c r="E17" s="94">
        <f>D99</f>
        <v>10</v>
      </c>
      <c r="F17" s="104"/>
      <c r="G17" s="94"/>
      <c r="H17" s="83">
        <v>94</v>
      </c>
      <c r="I17" s="71">
        <v>8</v>
      </c>
      <c r="J17" s="104"/>
      <c r="K17" s="94"/>
      <c r="L17" s="104"/>
      <c r="M17" s="94">
        <f t="shared" ref="M17:M22" si="3">E17-I17</f>
        <v>2</v>
      </c>
      <c r="N17" s="96"/>
      <c r="O17" s="97"/>
      <c r="Q17" s="133" t="s">
        <v>13313</v>
      </c>
      <c r="R17" s="134" t="s">
        <v>13316</v>
      </c>
      <c r="S17" s="141" t="s">
        <v>13317</v>
      </c>
      <c r="T17" s="142"/>
      <c r="U17" s="143"/>
      <c r="V17" s="145"/>
      <c r="W17" s="146"/>
    </row>
    <row r="18" spans="1:32" ht="15" thickBot="1" x14ac:dyDescent="0.35">
      <c r="A18" s="100" t="s">
        <v>13184</v>
      </c>
      <c r="B18" s="104">
        <f>12+D18</f>
        <v>102</v>
      </c>
      <c r="C18" s="94">
        <f>12+E18</f>
        <v>31</v>
      </c>
      <c r="D18" s="104">
        <f>C60</f>
        <v>90</v>
      </c>
      <c r="E18" s="94">
        <f>D60</f>
        <v>19</v>
      </c>
      <c r="F18" s="180">
        <v>12</v>
      </c>
      <c r="G18" s="181">
        <v>12</v>
      </c>
      <c r="H18" s="83">
        <v>81</v>
      </c>
      <c r="I18" s="71">
        <v>12</v>
      </c>
      <c r="J18" s="104"/>
      <c r="K18" s="94"/>
      <c r="L18" s="104">
        <f>D18-H18</f>
        <v>9</v>
      </c>
      <c r="M18" s="94">
        <f t="shared" si="3"/>
        <v>7</v>
      </c>
      <c r="N18" s="96"/>
      <c r="O18" s="97"/>
      <c r="Q18" s="105">
        <v>74</v>
      </c>
      <c r="V18" s="126"/>
      <c r="W18" s="135"/>
    </row>
    <row r="19" spans="1:32" ht="15" thickBot="1" x14ac:dyDescent="0.35">
      <c r="A19" s="101" t="s">
        <v>13185</v>
      </c>
      <c r="B19" s="104">
        <f>15+D19+N19</f>
        <v>89</v>
      </c>
      <c r="C19" s="94">
        <f>15</f>
        <v>15</v>
      </c>
      <c r="D19" s="104">
        <f>C89</f>
        <v>37</v>
      </c>
      <c r="E19" s="94">
        <v>0</v>
      </c>
      <c r="F19" s="180">
        <v>15</v>
      </c>
      <c r="G19" s="181">
        <v>15</v>
      </c>
      <c r="H19" s="83">
        <v>19</v>
      </c>
      <c r="I19" s="71"/>
      <c r="J19" s="104"/>
      <c r="K19" s="94"/>
      <c r="L19" s="104">
        <f>D19-H19</f>
        <v>18</v>
      </c>
      <c r="M19" s="94">
        <f t="shared" si="3"/>
        <v>0</v>
      </c>
      <c r="N19" s="99">
        <v>37</v>
      </c>
      <c r="O19" s="97"/>
      <c r="Q19" s="332" t="s">
        <v>13318</v>
      </c>
      <c r="R19" s="333"/>
      <c r="S19" s="333"/>
      <c r="T19" s="333"/>
      <c r="U19" s="334"/>
      <c r="V19" s="127"/>
      <c r="W19" s="115"/>
    </row>
    <row r="20" spans="1:32" ht="15" thickBot="1" x14ac:dyDescent="0.35">
      <c r="A20" s="100" t="s">
        <v>13180</v>
      </c>
      <c r="B20" s="102">
        <f>D20</f>
        <v>86</v>
      </c>
      <c r="C20" s="103">
        <f>E20</f>
        <v>86</v>
      </c>
      <c r="D20" s="102">
        <f>C47-5</f>
        <v>86</v>
      </c>
      <c r="E20" s="103">
        <f>D47-5</f>
        <v>86</v>
      </c>
      <c r="F20" s="104"/>
      <c r="G20" s="94"/>
      <c r="H20" s="83">
        <v>86</v>
      </c>
      <c r="I20" s="71">
        <v>82</v>
      </c>
      <c r="J20" s="104"/>
      <c r="K20" s="94"/>
      <c r="L20" s="104">
        <f>D20-H20</f>
        <v>0</v>
      </c>
      <c r="M20" s="94">
        <f t="shared" si="3"/>
        <v>4</v>
      </c>
      <c r="N20" s="96"/>
      <c r="O20" s="97"/>
      <c r="Q20" s="152" t="s">
        <v>13310</v>
      </c>
      <c r="R20" s="140" t="s">
        <v>13311</v>
      </c>
      <c r="S20" s="156" t="s">
        <v>13312</v>
      </c>
      <c r="T20" s="157"/>
      <c r="U20" s="158"/>
      <c r="V20" s="142"/>
      <c r="W20" s="143"/>
      <c r="X20" s="127"/>
      <c r="Y20" s="127"/>
      <c r="Z20" s="127"/>
      <c r="AA20" s="127"/>
      <c r="AB20" s="127"/>
      <c r="AC20" s="127"/>
      <c r="AD20" s="127"/>
      <c r="AE20" s="127"/>
      <c r="AF20" s="83"/>
    </row>
    <row r="21" spans="1:32" ht="15" thickBot="1" x14ac:dyDescent="0.35">
      <c r="A21" s="100" t="s">
        <v>13181</v>
      </c>
      <c r="B21" s="104">
        <f>130+D21</f>
        <v>211</v>
      </c>
      <c r="C21" s="94">
        <v>74</v>
      </c>
      <c r="D21" s="104">
        <f>C72</f>
        <v>81</v>
      </c>
      <c r="E21" s="94">
        <f>D72</f>
        <v>0</v>
      </c>
      <c r="F21" s="180">
        <v>130</v>
      </c>
      <c r="G21" s="181"/>
      <c r="H21" s="83">
        <v>54</v>
      </c>
      <c r="I21" s="71"/>
      <c r="J21" s="104"/>
      <c r="K21" s="94"/>
      <c r="L21" s="104">
        <f>D21-H21</f>
        <v>27</v>
      </c>
      <c r="M21" s="94">
        <f t="shared" si="3"/>
        <v>0</v>
      </c>
      <c r="N21" s="96"/>
      <c r="O21" s="98">
        <v>74</v>
      </c>
      <c r="Q21" s="104" t="s">
        <v>13313</v>
      </c>
      <c r="R21" s="27" t="s">
        <v>13181</v>
      </c>
      <c r="S21" s="71" t="s">
        <v>13314</v>
      </c>
      <c r="T21" s="127"/>
      <c r="U21" s="115"/>
      <c r="X21" s="128"/>
      <c r="Y21" s="128"/>
      <c r="Z21" s="128"/>
      <c r="AA21" s="128"/>
      <c r="AB21" s="128"/>
      <c r="AC21" s="128"/>
      <c r="AD21" s="128"/>
      <c r="AE21" s="128"/>
      <c r="AF21" s="129"/>
    </row>
    <row r="22" spans="1:32" ht="15" thickBot="1" x14ac:dyDescent="0.35">
      <c r="A22" s="100" t="s">
        <v>13182</v>
      </c>
      <c r="B22" s="104">
        <f>46+D22</f>
        <v>75</v>
      </c>
      <c r="C22" s="94">
        <f>46+E22</f>
        <v>75</v>
      </c>
      <c r="D22" s="104">
        <f>C54</f>
        <v>29</v>
      </c>
      <c r="E22" s="94">
        <f>D54</f>
        <v>29</v>
      </c>
      <c r="F22" s="180">
        <v>46</v>
      </c>
      <c r="G22" s="181">
        <v>46</v>
      </c>
      <c r="H22" s="83">
        <v>27</v>
      </c>
      <c r="I22" s="71">
        <v>24</v>
      </c>
      <c r="J22" s="104"/>
      <c r="K22" s="94"/>
      <c r="L22" s="104">
        <f>D22-H22</f>
        <v>2</v>
      </c>
      <c r="M22" s="94">
        <f t="shared" si="3"/>
        <v>5</v>
      </c>
      <c r="N22" s="96"/>
      <c r="O22" s="97"/>
      <c r="Q22" s="133" t="s">
        <v>13315</v>
      </c>
      <c r="R22" s="134" t="s">
        <v>13185</v>
      </c>
      <c r="S22" s="141" t="s">
        <v>13299</v>
      </c>
      <c r="T22" s="142"/>
      <c r="U22" s="143"/>
      <c r="V22" s="159"/>
      <c r="W22" s="149"/>
    </row>
    <row r="23" spans="1:32" ht="15" thickBot="1" x14ac:dyDescent="0.35">
      <c r="A23" s="335" t="s">
        <v>13192</v>
      </c>
      <c r="B23" s="95">
        <f t="shared" ref="B23:I23" si="4">SUM(B17:B22)</f>
        <v>583</v>
      </c>
      <c r="C23" s="93">
        <f t="shared" si="4"/>
        <v>291</v>
      </c>
      <c r="D23" s="95">
        <f t="shared" si="4"/>
        <v>343</v>
      </c>
      <c r="E23" s="93">
        <f t="shared" si="4"/>
        <v>144</v>
      </c>
      <c r="F23" s="95">
        <f t="shared" si="4"/>
        <v>203</v>
      </c>
      <c r="G23" s="93">
        <f t="shared" si="4"/>
        <v>73</v>
      </c>
      <c r="H23" s="91">
        <f t="shared" si="4"/>
        <v>361</v>
      </c>
      <c r="I23" s="90">
        <f t="shared" si="4"/>
        <v>126</v>
      </c>
      <c r="J23" s="95"/>
      <c r="K23" s="93"/>
      <c r="L23" s="130">
        <f>SUM(L17:L22)</f>
        <v>56</v>
      </c>
      <c r="M23" s="131">
        <f>SUM(M17:M22)</f>
        <v>18</v>
      </c>
      <c r="N23" s="95">
        <f>SUM(N17:N22)</f>
        <v>37</v>
      </c>
      <c r="O23" s="121">
        <f>SUM(O17:O22)</f>
        <v>74</v>
      </c>
      <c r="Q23" s="105">
        <f>74+37</f>
        <v>111</v>
      </c>
      <c r="V23" s="125"/>
      <c r="W23" s="132"/>
    </row>
    <row r="24" spans="1:32" ht="15" thickBot="1" x14ac:dyDescent="0.35">
      <c r="A24" s="336"/>
      <c r="B24" s="250">
        <f>B23+C23</f>
        <v>874</v>
      </c>
      <c r="C24" s="251"/>
      <c r="D24" s="250">
        <f>D23+E23</f>
        <v>487</v>
      </c>
      <c r="E24" s="251"/>
      <c r="F24" s="250">
        <f>F23+G23</f>
        <v>276</v>
      </c>
      <c r="G24" s="251"/>
      <c r="H24" s="353">
        <f>H23+I23</f>
        <v>487</v>
      </c>
      <c r="I24" s="353"/>
      <c r="J24" s="250">
        <f>J23+K23</f>
        <v>0</v>
      </c>
      <c r="K24" s="251"/>
      <c r="L24" s="250">
        <f>L23+M23</f>
        <v>74</v>
      </c>
      <c r="M24" s="251"/>
      <c r="N24" s="234">
        <v>111</v>
      </c>
      <c r="O24" s="235"/>
      <c r="Q24" s="167"/>
      <c r="R24" s="167"/>
      <c r="S24" s="167"/>
      <c r="T24" s="167"/>
      <c r="U24" s="167"/>
      <c r="V24" s="83"/>
      <c r="W24" s="94"/>
    </row>
    <row r="25" spans="1:32" ht="15" thickBot="1" x14ac:dyDescent="0.35">
      <c r="N25" s="74"/>
      <c r="Q25" s="79"/>
      <c r="R25" s="79"/>
      <c r="S25" s="320"/>
      <c r="T25" s="320"/>
      <c r="U25" s="320"/>
      <c r="V25" s="83"/>
      <c r="W25" s="94"/>
    </row>
    <row r="26" spans="1:32" x14ac:dyDescent="0.3">
      <c r="M26" s="381" t="s">
        <v>13332</v>
      </c>
      <c r="N26" s="377">
        <f>N24+L24+H24+F24</f>
        <v>948</v>
      </c>
      <c r="O26" s="378"/>
      <c r="Q26" s="79"/>
      <c r="R26" s="79"/>
      <c r="S26" s="320"/>
      <c r="T26" s="320"/>
      <c r="U26" s="320"/>
      <c r="V26" s="83"/>
      <c r="W26" s="94"/>
    </row>
    <row r="27" spans="1:32" ht="15" thickBot="1" x14ac:dyDescent="0.35">
      <c r="B27" s="383" t="s">
        <v>13320</v>
      </c>
      <c r="C27" s="384"/>
      <c r="D27" s="385"/>
      <c r="E27" s="162" t="s">
        <v>13273</v>
      </c>
      <c r="H27" s="383" t="s">
        <v>13321</v>
      </c>
      <c r="I27" s="384"/>
      <c r="J27" s="385"/>
      <c r="K27" s="162" t="s">
        <v>13272</v>
      </c>
      <c r="M27" s="382"/>
      <c r="N27" s="379"/>
      <c r="O27" s="380"/>
      <c r="Q27" s="79"/>
      <c r="R27" s="79"/>
      <c r="S27" s="320"/>
      <c r="T27" s="320"/>
      <c r="U27" s="320"/>
      <c r="V27" s="83"/>
      <c r="W27" s="94"/>
    </row>
    <row r="28" spans="1:32" ht="15" thickBot="1" x14ac:dyDescent="0.35">
      <c r="B28" s="11" t="s">
        <v>13249</v>
      </c>
      <c r="C28" s="11" t="s">
        <v>13271</v>
      </c>
      <c r="D28" s="11" t="s">
        <v>13250</v>
      </c>
      <c r="H28" s="11" t="s">
        <v>13249</v>
      </c>
      <c r="I28" s="11" t="s">
        <v>13294</v>
      </c>
      <c r="J28" s="11" t="s">
        <v>13250</v>
      </c>
      <c r="N28" s="47"/>
      <c r="Q28" s="168"/>
      <c r="R28" s="168"/>
      <c r="S28" s="267"/>
      <c r="T28" s="267"/>
      <c r="U28" s="267"/>
      <c r="V28" s="150"/>
      <c r="W28" s="151"/>
    </row>
    <row r="29" spans="1:32" x14ac:dyDescent="0.3">
      <c r="B29" s="11">
        <v>509</v>
      </c>
      <c r="C29" s="27">
        <v>454</v>
      </c>
      <c r="D29" s="57">
        <f>B29-C29</f>
        <v>55</v>
      </c>
      <c r="E29" s="92"/>
      <c r="H29" s="11">
        <v>1044</v>
      </c>
      <c r="I29" s="27">
        <v>454</v>
      </c>
      <c r="J29" s="57">
        <f>H29-I29</f>
        <v>590</v>
      </c>
      <c r="N29" s="47"/>
      <c r="Q29" s="267"/>
      <c r="R29" s="267"/>
      <c r="S29" s="169"/>
      <c r="T29" s="169"/>
      <c r="U29" s="169"/>
    </row>
    <row r="30" spans="1:32" ht="23.4" customHeight="1" thickBot="1" x14ac:dyDescent="0.35"/>
    <row r="31" spans="1:32" ht="19.2" customHeight="1" thickBot="1" x14ac:dyDescent="0.35">
      <c r="A31" s="296" t="s">
        <v>13270</v>
      </c>
      <c r="B31" s="297"/>
      <c r="C31" s="297"/>
      <c r="D31" s="297"/>
      <c r="E31" s="297"/>
      <c r="F31" s="358"/>
      <c r="G31" s="358"/>
      <c r="H31" s="358"/>
      <c r="I31" s="359"/>
      <c r="J31" s="80"/>
    </row>
    <row r="32" spans="1:32" ht="57.6" customHeight="1" x14ac:dyDescent="0.3">
      <c r="A32" s="368" t="s">
        <v>13179</v>
      </c>
      <c r="B32" s="362" t="s">
        <v>13303</v>
      </c>
      <c r="C32" s="363"/>
      <c r="D32" s="238" t="s">
        <v>13301</v>
      </c>
      <c r="E32" s="366"/>
      <c r="F32" s="370" t="s">
        <v>13302</v>
      </c>
      <c r="G32" s="291"/>
      <c r="H32" s="290" t="s">
        <v>13305</v>
      </c>
      <c r="I32" s="291"/>
      <c r="J32" s="81"/>
      <c r="Q32" s="28"/>
      <c r="R32" s="28"/>
      <c r="S32" s="28"/>
      <c r="T32" s="28"/>
      <c r="U32" s="28"/>
      <c r="V32" s="28"/>
      <c r="W32" s="28"/>
    </row>
    <row r="33" spans="1:23" x14ac:dyDescent="0.3">
      <c r="A33" s="369"/>
      <c r="B33" s="364"/>
      <c r="C33" s="365"/>
      <c r="D33" s="240"/>
      <c r="E33" s="367"/>
      <c r="F33" s="371"/>
      <c r="G33" s="295"/>
      <c r="H33" s="294"/>
      <c r="I33" s="295"/>
      <c r="J33" s="81"/>
    </row>
    <row r="34" spans="1:23" x14ac:dyDescent="0.3">
      <c r="A34" s="177"/>
      <c r="B34" s="163" t="s">
        <v>13304</v>
      </c>
      <c r="C34" s="174" t="s">
        <v>13267</v>
      </c>
      <c r="D34" s="112" t="s">
        <v>13304</v>
      </c>
      <c r="E34" s="107" t="s">
        <v>13267</v>
      </c>
      <c r="F34" s="89" t="s">
        <v>13304</v>
      </c>
      <c r="G34" s="107" t="s">
        <v>13267</v>
      </c>
      <c r="H34" s="106" t="s">
        <v>13304</v>
      </c>
      <c r="I34" s="113" t="s">
        <v>13267</v>
      </c>
      <c r="J34" s="78"/>
    </row>
    <row r="35" spans="1:23" x14ac:dyDescent="0.3">
      <c r="A35" s="170" t="s">
        <v>13183</v>
      </c>
      <c r="B35" s="104">
        <v>723</v>
      </c>
      <c r="C35" s="94">
        <v>723</v>
      </c>
      <c r="D35" s="104">
        <v>503</v>
      </c>
      <c r="E35" s="94">
        <v>229</v>
      </c>
      <c r="F35" s="175">
        <f t="shared" ref="F35:G37" si="5">B35-D35</f>
        <v>220</v>
      </c>
      <c r="G35" s="171">
        <f t="shared" si="5"/>
        <v>494</v>
      </c>
      <c r="H35" s="114">
        <f t="shared" ref="H35:I38" si="6">D35-C5</f>
        <v>166</v>
      </c>
      <c r="I35" s="115">
        <f t="shared" si="6"/>
        <v>221</v>
      </c>
      <c r="J35" s="78"/>
    </row>
    <row r="36" spans="1:23" x14ac:dyDescent="0.3">
      <c r="A36" s="170" t="s">
        <v>13184</v>
      </c>
      <c r="B36" s="104">
        <v>374</v>
      </c>
      <c r="C36" s="94">
        <v>374</v>
      </c>
      <c r="D36" s="104">
        <v>419</v>
      </c>
      <c r="E36" s="94">
        <v>119</v>
      </c>
      <c r="F36" s="175">
        <v>0</v>
      </c>
      <c r="G36" s="171">
        <f t="shared" si="5"/>
        <v>255</v>
      </c>
      <c r="H36" s="114">
        <f t="shared" si="6"/>
        <v>218</v>
      </c>
      <c r="I36" s="115">
        <f t="shared" si="6"/>
        <v>107</v>
      </c>
      <c r="J36" s="78"/>
    </row>
    <row r="37" spans="1:23" x14ac:dyDescent="0.3">
      <c r="A37" s="170" t="s">
        <v>13185</v>
      </c>
      <c r="B37" s="104">
        <v>250</v>
      </c>
      <c r="C37" s="94">
        <v>250</v>
      </c>
      <c r="D37" s="108">
        <v>126</v>
      </c>
      <c r="E37" s="109">
        <v>146</v>
      </c>
      <c r="F37" s="176">
        <f t="shared" ref="F37" si="7">B37-D37</f>
        <v>124</v>
      </c>
      <c r="G37" s="172">
        <f t="shared" si="5"/>
        <v>104</v>
      </c>
      <c r="H37" s="114">
        <f t="shared" si="6"/>
        <v>77</v>
      </c>
      <c r="I37" s="115">
        <f t="shared" si="6"/>
        <v>146</v>
      </c>
      <c r="J37" s="78"/>
      <c r="Q37" s="28"/>
      <c r="R37" s="28"/>
      <c r="S37" s="28"/>
      <c r="T37" s="28"/>
      <c r="U37" s="28"/>
      <c r="V37" s="28"/>
      <c r="W37" s="28"/>
    </row>
    <row r="38" spans="1:23" x14ac:dyDescent="0.3">
      <c r="A38" s="117" t="s">
        <v>13180</v>
      </c>
      <c r="B38" s="104">
        <v>906</v>
      </c>
      <c r="C38" s="94">
        <v>906</v>
      </c>
      <c r="D38" s="104">
        <v>229</v>
      </c>
      <c r="E38" s="94">
        <v>195</v>
      </c>
      <c r="F38" s="83">
        <f>B38-D38</f>
        <v>677</v>
      </c>
      <c r="G38" s="94">
        <f>C38-E38</f>
        <v>711</v>
      </c>
      <c r="H38" s="114">
        <f t="shared" si="6"/>
        <v>138</v>
      </c>
      <c r="I38" s="115">
        <f t="shared" si="6"/>
        <v>108</v>
      </c>
      <c r="J38" s="79"/>
      <c r="V38" s="138"/>
      <c r="W38" s="138"/>
    </row>
    <row r="39" spans="1:23" x14ac:dyDescent="0.3">
      <c r="A39" s="117" t="s">
        <v>13181</v>
      </c>
      <c r="B39" s="104">
        <v>776</v>
      </c>
      <c r="C39" s="94">
        <v>776</v>
      </c>
      <c r="D39" s="104">
        <v>254</v>
      </c>
      <c r="E39" s="94">
        <v>67</v>
      </c>
      <c r="F39" s="83">
        <f t="shared" ref="F39:G41" si="8">B39-D39</f>
        <v>522</v>
      </c>
      <c r="G39" s="94">
        <f t="shared" si="8"/>
        <v>709</v>
      </c>
      <c r="H39" s="114">
        <v>0</v>
      </c>
      <c r="I39" s="115">
        <f>E39-D9</f>
        <v>67</v>
      </c>
      <c r="J39" s="79"/>
      <c r="K39" s="122"/>
      <c r="L39" s="122"/>
      <c r="M39" s="122"/>
      <c r="V39" s="139"/>
      <c r="W39" s="139"/>
    </row>
    <row r="40" spans="1:23" x14ac:dyDescent="0.3">
      <c r="A40" s="117" t="s">
        <v>13182</v>
      </c>
      <c r="B40" s="104">
        <v>712</v>
      </c>
      <c r="C40" s="94">
        <v>712</v>
      </c>
      <c r="D40" s="104">
        <v>82</v>
      </c>
      <c r="E40" s="94">
        <v>82</v>
      </c>
      <c r="F40" s="83">
        <f t="shared" si="8"/>
        <v>630</v>
      </c>
      <c r="G40" s="94">
        <f t="shared" si="8"/>
        <v>630</v>
      </c>
      <c r="H40" s="114">
        <f>D40-C10</f>
        <v>55</v>
      </c>
      <c r="I40" s="115">
        <f>E40-D10</f>
        <v>58</v>
      </c>
      <c r="J40" s="79"/>
      <c r="K40" s="47"/>
      <c r="L40" s="47"/>
      <c r="M40" s="47"/>
      <c r="V40" s="28"/>
      <c r="W40" s="28"/>
    </row>
    <row r="41" spans="1:23" x14ac:dyDescent="0.3">
      <c r="A41" s="178" t="s">
        <v>13192</v>
      </c>
      <c r="B41" s="163">
        <f>SUM(B35:B40)</f>
        <v>3741</v>
      </c>
      <c r="C41" s="174">
        <f>SUM(C35:C40)</f>
        <v>3741</v>
      </c>
      <c r="D41" s="106">
        <f>SUM(D35:D40)</f>
        <v>1613</v>
      </c>
      <c r="E41" s="111">
        <f>SUM(E35:E40)</f>
        <v>838</v>
      </c>
      <c r="F41" s="173">
        <f t="shared" si="8"/>
        <v>2128</v>
      </c>
      <c r="G41" s="111">
        <f t="shared" si="8"/>
        <v>2903</v>
      </c>
      <c r="H41" s="106">
        <f>SUM(H35:H40)</f>
        <v>654</v>
      </c>
      <c r="I41" s="111">
        <f>SUM(I35:I40)</f>
        <v>707</v>
      </c>
      <c r="J41" s="79"/>
      <c r="K41" s="28"/>
      <c r="L41" s="28"/>
      <c r="M41" s="144"/>
      <c r="V41" s="28"/>
      <c r="W41" s="28"/>
    </row>
    <row r="42" spans="1:23" ht="15" thickBot="1" x14ac:dyDescent="0.35">
      <c r="A42" s="179"/>
      <c r="B42" s="374">
        <f>B41+C41</f>
        <v>7482</v>
      </c>
      <c r="C42" s="375"/>
      <c r="D42" s="265">
        <f>D41+E41</f>
        <v>2451</v>
      </c>
      <c r="E42" s="266"/>
      <c r="F42" s="376">
        <f>F41+G41</f>
        <v>5031</v>
      </c>
      <c r="G42" s="266"/>
      <c r="H42" s="265">
        <f>H41+I41</f>
        <v>1361</v>
      </c>
      <c r="I42" s="266"/>
      <c r="J42" s="79"/>
      <c r="V42" s="28"/>
      <c r="W42" s="28"/>
    </row>
    <row r="43" spans="1:23" x14ac:dyDescent="0.3">
      <c r="C43" s="28"/>
      <c r="D43" s="28"/>
      <c r="E43" s="28"/>
      <c r="F43" s="28"/>
      <c r="G43" s="28"/>
      <c r="H43" s="28"/>
      <c r="I43" s="28"/>
    </row>
    <row r="44" spans="1:23" x14ac:dyDescent="0.3">
      <c r="L44" s="47"/>
      <c r="M44" s="28"/>
      <c r="N44" s="28"/>
    </row>
    <row r="45" spans="1:23" x14ac:dyDescent="0.3">
      <c r="A45" s="388" t="s">
        <v>13186</v>
      </c>
      <c r="B45" s="389" t="s">
        <v>13200</v>
      </c>
      <c r="C45" s="400" t="s">
        <v>13187</v>
      </c>
      <c r="D45" s="400"/>
      <c r="E45" s="386"/>
      <c r="F45" s="386"/>
      <c r="G45" s="386"/>
      <c r="H45" s="386"/>
      <c r="I45" s="386"/>
      <c r="J45" s="386"/>
      <c r="K45" s="386"/>
      <c r="L45" s="386"/>
      <c r="M45" s="28"/>
      <c r="N45" s="28"/>
    </row>
    <row r="46" spans="1:23" x14ac:dyDescent="0.3">
      <c r="A46" s="388"/>
      <c r="B46" s="389"/>
      <c r="C46" s="11" t="s">
        <v>13266</v>
      </c>
      <c r="D46" s="11" t="s">
        <v>13267</v>
      </c>
      <c r="E46" s="47"/>
      <c r="F46" s="47"/>
      <c r="G46" s="47"/>
      <c r="H46" s="47"/>
      <c r="I46" s="47"/>
      <c r="J46" s="47"/>
      <c r="K46" s="47"/>
      <c r="L46" s="47"/>
    </row>
    <row r="47" spans="1:23" x14ac:dyDescent="0.3">
      <c r="A47" s="388"/>
      <c r="B47" s="389"/>
      <c r="C47" s="11">
        <f>SUM(C48:C50)</f>
        <v>91</v>
      </c>
      <c r="D47" s="11">
        <f>SUM(D48:D50)</f>
        <v>91</v>
      </c>
      <c r="E47" s="47"/>
      <c r="F47" s="47"/>
      <c r="G47" s="47"/>
      <c r="H47" s="47"/>
      <c r="I47" s="47"/>
      <c r="J47" s="47"/>
      <c r="K47" s="47"/>
      <c r="L47" s="47"/>
    </row>
    <row r="48" spans="1:23" x14ac:dyDescent="0.3">
      <c r="A48" s="6" t="s">
        <v>13190</v>
      </c>
      <c r="B48" s="11">
        <v>10</v>
      </c>
      <c r="C48" s="49">
        <v>10</v>
      </c>
      <c r="D48" s="49">
        <v>10</v>
      </c>
      <c r="E48" s="28"/>
      <c r="F48" s="28"/>
      <c r="G48" s="28"/>
      <c r="H48" s="28"/>
      <c r="I48" s="28"/>
      <c r="J48" s="28"/>
      <c r="K48" s="28"/>
      <c r="L48" s="28"/>
    </row>
    <row r="49" spans="1:17" x14ac:dyDescent="0.3">
      <c r="A49" s="6" t="s">
        <v>8598</v>
      </c>
      <c r="B49" s="11">
        <v>60</v>
      </c>
      <c r="C49" s="49">
        <v>60</v>
      </c>
      <c r="D49" s="49">
        <v>60</v>
      </c>
      <c r="E49" s="28"/>
      <c r="F49" s="28"/>
      <c r="G49" s="28"/>
      <c r="H49" s="28"/>
      <c r="I49" s="28"/>
      <c r="J49" s="28"/>
      <c r="K49" s="28"/>
      <c r="L49" s="28"/>
      <c r="O49" s="47"/>
      <c r="P49" s="47"/>
      <c r="Q49" s="47"/>
    </row>
    <row r="50" spans="1:17" x14ac:dyDescent="0.3">
      <c r="A50" s="6" t="s">
        <v>13203</v>
      </c>
      <c r="B50" s="11">
        <v>214</v>
      </c>
      <c r="C50" s="49">
        <f>19+2</f>
        <v>21</v>
      </c>
      <c r="D50" s="49">
        <f>19+2</f>
        <v>21</v>
      </c>
      <c r="E50" s="28"/>
      <c r="F50" s="28"/>
      <c r="G50" s="28"/>
      <c r="H50" s="28"/>
      <c r="I50" s="28"/>
      <c r="J50" s="28"/>
      <c r="K50" s="28"/>
      <c r="L50" s="28"/>
      <c r="P50" s="28"/>
      <c r="Q50" s="28"/>
    </row>
    <row r="51" spans="1:17" s="64" customFormat="1" x14ac:dyDescent="0.3">
      <c r="A51" s="65"/>
      <c r="B51" s="66"/>
      <c r="C51" s="67"/>
      <c r="D51" s="67"/>
      <c r="E51" s="68"/>
      <c r="F51" s="68"/>
      <c r="G51" s="68"/>
      <c r="H51" s="68"/>
      <c r="I51" s="68"/>
      <c r="J51" s="68"/>
      <c r="K51" s="68"/>
      <c r="L51" s="68"/>
    </row>
    <row r="52" spans="1:17" x14ac:dyDescent="0.3">
      <c r="A52" s="388" t="s">
        <v>13186</v>
      </c>
      <c r="B52" s="389" t="s">
        <v>13200</v>
      </c>
      <c r="C52" s="399" t="s">
        <v>13217</v>
      </c>
      <c r="D52" s="399"/>
      <c r="E52" s="386"/>
      <c r="F52" s="386"/>
      <c r="G52" s="386"/>
      <c r="H52" s="386"/>
      <c r="I52" s="386"/>
      <c r="J52" s="386"/>
      <c r="K52" s="386"/>
      <c r="L52" s="386"/>
    </row>
    <row r="53" spans="1:17" x14ac:dyDescent="0.3">
      <c r="A53" s="388"/>
      <c r="B53" s="389"/>
      <c r="C53" s="11" t="s">
        <v>13266</v>
      </c>
      <c r="D53" s="11" t="s">
        <v>13267</v>
      </c>
      <c r="E53" s="47"/>
      <c r="F53" s="47"/>
      <c r="G53" s="47"/>
      <c r="H53" s="47"/>
      <c r="I53" s="47"/>
      <c r="J53" s="47"/>
      <c r="K53" s="47"/>
      <c r="L53" s="47"/>
    </row>
    <row r="54" spans="1:17" x14ac:dyDescent="0.3">
      <c r="A54" s="388"/>
      <c r="B54" s="389"/>
      <c r="C54" s="11">
        <f>SUM(C55:C56)</f>
        <v>29</v>
      </c>
      <c r="D54" s="11">
        <f>SUM(D55:D56)</f>
        <v>29</v>
      </c>
      <c r="E54" s="47"/>
      <c r="F54" s="47"/>
      <c r="G54" s="47"/>
      <c r="H54" s="47"/>
      <c r="I54" s="47"/>
      <c r="J54" s="47"/>
      <c r="K54" s="47"/>
      <c r="L54" s="47"/>
    </row>
    <row r="55" spans="1:17" x14ac:dyDescent="0.3">
      <c r="A55" s="6" t="s">
        <v>13191</v>
      </c>
      <c r="B55" s="11">
        <v>29</v>
      </c>
      <c r="C55" s="27">
        <v>29</v>
      </c>
      <c r="D55" s="27">
        <v>29</v>
      </c>
      <c r="E55" s="28"/>
      <c r="F55" s="28"/>
      <c r="G55" s="28"/>
      <c r="H55" s="28"/>
    </row>
    <row r="56" spans="1:17" s="64" customFormat="1" x14ac:dyDescent="0.3"/>
    <row r="57" spans="1:17" s="64" customFormat="1" x14ac:dyDescent="0.3"/>
    <row r="58" spans="1:17" x14ac:dyDescent="0.3">
      <c r="A58" s="388" t="s">
        <v>13186</v>
      </c>
      <c r="B58" s="389" t="s">
        <v>13200</v>
      </c>
      <c r="C58" s="398" t="s">
        <v>13205</v>
      </c>
      <c r="D58" s="398"/>
      <c r="E58" s="386"/>
      <c r="F58" s="386"/>
      <c r="G58" s="386"/>
      <c r="H58" s="386"/>
      <c r="I58" s="386"/>
      <c r="J58" s="386"/>
      <c r="K58" s="386"/>
      <c r="L58" s="386"/>
      <c r="M58" s="386"/>
      <c r="N58" s="386"/>
    </row>
    <row r="59" spans="1:17" x14ac:dyDescent="0.3">
      <c r="A59" s="388"/>
      <c r="B59" s="389"/>
      <c r="C59" s="11" t="s">
        <v>13266</v>
      </c>
      <c r="D59" s="11" t="s">
        <v>13267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</row>
    <row r="60" spans="1:17" x14ac:dyDescent="0.3">
      <c r="A60" s="388"/>
      <c r="B60" s="389"/>
      <c r="C60" s="11">
        <f>SUM(C61:C68)</f>
        <v>90</v>
      </c>
      <c r="D60" s="11">
        <f>SUM(D61:D68)</f>
        <v>19</v>
      </c>
      <c r="E60" s="11" t="s">
        <v>13296</v>
      </c>
      <c r="F60" s="47"/>
      <c r="G60" s="47"/>
      <c r="H60" s="47"/>
      <c r="I60" s="47"/>
      <c r="J60" s="47"/>
      <c r="K60" s="47"/>
      <c r="L60" s="47"/>
      <c r="M60" s="47"/>
      <c r="N60" s="47"/>
    </row>
    <row r="61" spans="1:17" ht="19.2" customHeight="1" x14ac:dyDescent="0.3">
      <c r="A61" s="6" t="s">
        <v>13253</v>
      </c>
      <c r="B61" s="11">
        <v>237</v>
      </c>
      <c r="C61" s="27">
        <f>8+9+3+6+4+5+7</f>
        <v>42</v>
      </c>
      <c r="D61" s="27">
        <f>12+7</f>
        <v>19</v>
      </c>
      <c r="E61" s="27">
        <f t="shared" ref="E61:E68" si="9">B61-C61</f>
        <v>195</v>
      </c>
      <c r="F61" s="28"/>
      <c r="G61" s="28"/>
      <c r="H61" s="28"/>
      <c r="K61" s="28"/>
      <c r="L61" s="28"/>
    </row>
    <row r="62" spans="1:17" ht="19.2" customHeight="1" x14ac:dyDescent="0.3">
      <c r="A62" s="6" t="s">
        <v>13269</v>
      </c>
      <c r="B62" s="11">
        <v>9</v>
      </c>
      <c r="C62" s="27">
        <v>5</v>
      </c>
      <c r="D62" s="27"/>
      <c r="E62" s="27">
        <f t="shared" si="9"/>
        <v>4</v>
      </c>
      <c r="F62" s="28"/>
      <c r="G62" s="28"/>
      <c r="H62" s="28"/>
      <c r="K62" s="28"/>
      <c r="L62" s="28"/>
    </row>
    <row r="63" spans="1:17" x14ac:dyDescent="0.3">
      <c r="A63" s="6" t="s">
        <v>13248</v>
      </c>
      <c r="B63" s="11">
        <v>15</v>
      </c>
      <c r="C63" s="27">
        <f>8+4+1</f>
        <v>13</v>
      </c>
      <c r="D63" s="27"/>
      <c r="E63" s="27">
        <f t="shared" si="9"/>
        <v>2</v>
      </c>
      <c r="F63" s="28"/>
      <c r="G63" s="28"/>
      <c r="H63" s="28"/>
      <c r="K63" s="28"/>
      <c r="L63" s="28"/>
    </row>
    <row r="64" spans="1:17" x14ac:dyDescent="0.3">
      <c r="A64" s="6" t="s">
        <v>13209</v>
      </c>
      <c r="B64" s="11">
        <v>19</v>
      </c>
      <c r="C64" s="27">
        <f>5+2+1+2</f>
        <v>10</v>
      </c>
      <c r="D64" s="27"/>
      <c r="E64" s="27">
        <f t="shared" si="9"/>
        <v>9</v>
      </c>
      <c r="F64" s="28"/>
      <c r="G64" s="28"/>
      <c r="H64" s="28"/>
      <c r="K64" s="28"/>
      <c r="L64" s="28"/>
    </row>
    <row r="65" spans="1:14" x14ac:dyDescent="0.3">
      <c r="A65" s="6" t="s">
        <v>13213</v>
      </c>
      <c r="B65" s="11">
        <v>10</v>
      </c>
      <c r="C65" s="27">
        <v>6</v>
      </c>
      <c r="D65" s="27"/>
      <c r="E65" s="27">
        <f t="shared" si="9"/>
        <v>4</v>
      </c>
      <c r="F65" s="28"/>
      <c r="G65" s="28"/>
      <c r="H65" s="28"/>
      <c r="K65" s="28"/>
      <c r="L65" s="28"/>
    </row>
    <row r="66" spans="1:14" x14ac:dyDescent="0.3">
      <c r="A66" s="6" t="s">
        <v>13208</v>
      </c>
      <c r="B66" s="11">
        <v>5</v>
      </c>
      <c r="C66" s="27">
        <f>2+2</f>
        <v>4</v>
      </c>
      <c r="D66" s="27"/>
      <c r="E66" s="27">
        <f t="shared" si="9"/>
        <v>1</v>
      </c>
      <c r="F66" s="28"/>
      <c r="G66" s="28"/>
      <c r="H66" s="28"/>
      <c r="K66" s="28"/>
      <c r="L66" s="28"/>
    </row>
    <row r="67" spans="1:14" x14ac:dyDescent="0.3">
      <c r="A67" s="6" t="s">
        <v>13210</v>
      </c>
      <c r="B67" s="11">
        <v>7</v>
      </c>
      <c r="C67" s="27">
        <f>2+4</f>
        <v>6</v>
      </c>
      <c r="D67" s="27"/>
      <c r="E67" s="27">
        <f t="shared" si="9"/>
        <v>1</v>
      </c>
      <c r="F67" s="28"/>
      <c r="G67" s="28"/>
      <c r="H67" s="28"/>
      <c r="K67" s="28"/>
      <c r="L67" s="28"/>
    </row>
    <row r="68" spans="1:14" x14ac:dyDescent="0.3">
      <c r="A68" s="6" t="s">
        <v>13212</v>
      </c>
      <c r="B68" s="11">
        <v>9</v>
      </c>
      <c r="C68" s="27">
        <v>4</v>
      </c>
      <c r="D68" s="27"/>
      <c r="E68" s="27">
        <f t="shared" si="9"/>
        <v>5</v>
      </c>
      <c r="F68" s="28"/>
      <c r="G68" s="28"/>
      <c r="H68" s="28"/>
      <c r="K68" s="28"/>
      <c r="L68" s="28"/>
    </row>
    <row r="69" spans="1:14" s="64" customFormat="1" x14ac:dyDescent="0.3"/>
    <row r="70" spans="1:14" x14ac:dyDescent="0.3">
      <c r="A70" s="388" t="s">
        <v>13186</v>
      </c>
      <c r="B70" s="389" t="s">
        <v>13200</v>
      </c>
      <c r="C70" s="397" t="s">
        <v>13233</v>
      </c>
      <c r="D70" s="397"/>
      <c r="E70" s="386"/>
      <c r="F70" s="386"/>
      <c r="G70" s="386"/>
      <c r="H70" s="386"/>
      <c r="I70" s="386"/>
      <c r="J70" s="386"/>
      <c r="K70" s="386"/>
      <c r="L70" s="386"/>
      <c r="M70" s="386"/>
      <c r="N70" s="386"/>
    </row>
    <row r="71" spans="1:14" x14ac:dyDescent="0.3">
      <c r="A71" s="388"/>
      <c r="B71" s="389"/>
      <c r="C71" s="11" t="s">
        <v>13266</v>
      </c>
      <c r="D71" s="11" t="s">
        <v>13267</v>
      </c>
      <c r="E71" s="391" t="s">
        <v>13265</v>
      </c>
      <c r="F71" s="391" t="s">
        <v>13268</v>
      </c>
      <c r="G71" s="47"/>
      <c r="H71" s="47"/>
      <c r="I71" s="47"/>
      <c r="J71" s="47"/>
      <c r="K71" s="47"/>
      <c r="L71" s="47"/>
      <c r="M71" s="47"/>
      <c r="N71" s="47"/>
    </row>
    <row r="72" spans="1:14" x14ac:dyDescent="0.3">
      <c r="A72" s="388"/>
      <c r="B72" s="389"/>
      <c r="C72" s="11">
        <f>SUM(C73:C85)</f>
        <v>81</v>
      </c>
      <c r="D72" s="11">
        <f>SUM(D73:D84)</f>
        <v>0</v>
      </c>
      <c r="E72" s="392"/>
      <c r="F72" s="392"/>
      <c r="G72" s="47"/>
      <c r="H72" s="47"/>
      <c r="I72" s="47"/>
      <c r="J72" s="47"/>
      <c r="K72" s="47"/>
      <c r="L72" s="47"/>
      <c r="M72" s="47"/>
      <c r="N72" s="47"/>
    </row>
    <row r="73" spans="1:14" x14ac:dyDescent="0.3">
      <c r="A73" s="6" t="s">
        <v>13236</v>
      </c>
      <c r="B73" s="11">
        <v>8</v>
      </c>
      <c r="C73" s="61">
        <v>2</v>
      </c>
      <c r="D73" s="27"/>
      <c r="E73" s="61">
        <v>6</v>
      </c>
      <c r="F73" s="61">
        <f>B73-C73-E73</f>
        <v>0</v>
      </c>
      <c r="G73" s="28"/>
      <c r="H73" s="28"/>
      <c r="K73" s="28"/>
      <c r="L73" s="28"/>
    </row>
    <row r="74" spans="1:14" x14ac:dyDescent="0.3">
      <c r="A74" s="6" t="s">
        <v>6239</v>
      </c>
      <c r="B74" s="11">
        <v>15</v>
      </c>
      <c r="C74" s="61">
        <v>6</v>
      </c>
      <c r="D74" s="27"/>
      <c r="E74" s="61">
        <v>0</v>
      </c>
      <c r="F74" s="61">
        <f>B74-C74</f>
        <v>9</v>
      </c>
      <c r="G74" s="28"/>
      <c r="H74" s="28"/>
      <c r="K74" s="28"/>
      <c r="L74" s="28"/>
    </row>
    <row r="75" spans="1:14" x14ac:dyDescent="0.3">
      <c r="A75" s="6" t="s">
        <v>13251</v>
      </c>
      <c r="B75" s="11">
        <v>93</v>
      </c>
      <c r="C75" s="61">
        <f>12+1</f>
        <v>13</v>
      </c>
      <c r="D75" s="27"/>
      <c r="E75" s="61">
        <v>49</v>
      </c>
      <c r="F75" s="61">
        <f t="shared" ref="F75:F84" si="10">B75-C75-E75</f>
        <v>31</v>
      </c>
      <c r="G75" s="28"/>
      <c r="H75" s="28"/>
      <c r="K75" s="28"/>
      <c r="L75" s="28"/>
    </row>
    <row r="76" spans="1:14" x14ac:dyDescent="0.3">
      <c r="A76" s="6" t="s">
        <v>5231</v>
      </c>
      <c r="B76" s="11">
        <v>28</v>
      </c>
      <c r="C76" s="61">
        <f>3+2</f>
        <v>5</v>
      </c>
      <c r="D76" s="27"/>
      <c r="E76" s="61">
        <v>21</v>
      </c>
      <c r="F76" s="61">
        <f t="shared" si="10"/>
        <v>2</v>
      </c>
      <c r="G76" s="28"/>
      <c r="H76" s="28"/>
      <c r="K76" s="28"/>
      <c r="L76" s="28"/>
    </row>
    <row r="77" spans="1:14" x14ac:dyDescent="0.3">
      <c r="A77" s="6" t="s">
        <v>13252</v>
      </c>
      <c r="B77" s="11">
        <v>30</v>
      </c>
      <c r="C77" s="61">
        <f>13+2</f>
        <v>15</v>
      </c>
      <c r="D77" s="27"/>
      <c r="E77" s="61">
        <v>12</v>
      </c>
      <c r="F77" s="61">
        <f t="shared" si="10"/>
        <v>3</v>
      </c>
      <c r="G77" s="28"/>
      <c r="H77" s="28"/>
      <c r="K77" s="28"/>
      <c r="L77" s="28"/>
    </row>
    <row r="78" spans="1:14" x14ac:dyDescent="0.3">
      <c r="A78" s="6" t="s">
        <v>5091</v>
      </c>
      <c r="B78" s="11">
        <v>13</v>
      </c>
      <c r="C78" s="61">
        <f>3+1</f>
        <v>4</v>
      </c>
      <c r="D78" s="27"/>
      <c r="E78" s="61">
        <v>8</v>
      </c>
      <c r="F78" s="61">
        <f t="shared" si="10"/>
        <v>1</v>
      </c>
      <c r="G78" s="28"/>
      <c r="H78" s="28"/>
      <c r="K78" s="28"/>
      <c r="L78" s="28"/>
    </row>
    <row r="79" spans="1:14" x14ac:dyDescent="0.3">
      <c r="A79" s="6" t="s">
        <v>6925</v>
      </c>
      <c r="B79" s="11">
        <v>12</v>
      </c>
      <c r="C79" s="61">
        <f>2+2</f>
        <v>4</v>
      </c>
      <c r="D79" s="6"/>
      <c r="E79" s="61">
        <v>8</v>
      </c>
      <c r="F79" s="61">
        <f t="shared" si="10"/>
        <v>0</v>
      </c>
    </row>
    <row r="80" spans="1:14" x14ac:dyDescent="0.3">
      <c r="A80" s="6" t="s">
        <v>13255</v>
      </c>
      <c r="B80" s="11">
        <v>6</v>
      </c>
      <c r="C80" s="61">
        <v>2</v>
      </c>
      <c r="D80" s="6"/>
      <c r="E80" s="61"/>
      <c r="F80" s="61">
        <f t="shared" si="10"/>
        <v>4</v>
      </c>
    </row>
    <row r="81" spans="1:14" x14ac:dyDescent="0.3">
      <c r="A81" s="6" t="s">
        <v>8184</v>
      </c>
      <c r="B81" s="11">
        <v>9</v>
      </c>
      <c r="C81" s="61">
        <v>7</v>
      </c>
      <c r="D81" s="6"/>
      <c r="E81" s="61"/>
      <c r="F81" s="61">
        <f t="shared" si="10"/>
        <v>2</v>
      </c>
    </row>
    <row r="82" spans="1:14" x14ac:dyDescent="0.3">
      <c r="A82" s="6" t="s">
        <v>13256</v>
      </c>
      <c r="B82" s="11">
        <v>14</v>
      </c>
      <c r="C82" s="61">
        <v>2</v>
      </c>
      <c r="D82" s="6"/>
      <c r="E82" s="61">
        <v>12</v>
      </c>
      <c r="F82" s="61">
        <f t="shared" si="10"/>
        <v>0</v>
      </c>
    </row>
    <row r="83" spans="1:14" x14ac:dyDescent="0.3">
      <c r="A83" s="6" t="s">
        <v>13257</v>
      </c>
      <c r="B83" s="11">
        <v>12</v>
      </c>
      <c r="C83" s="61">
        <v>5</v>
      </c>
      <c r="D83" s="6"/>
      <c r="E83" s="61">
        <v>7</v>
      </c>
      <c r="F83" s="61">
        <f t="shared" si="10"/>
        <v>0</v>
      </c>
    </row>
    <row r="84" spans="1:14" x14ac:dyDescent="0.3">
      <c r="A84" s="6" t="s">
        <v>13258</v>
      </c>
      <c r="B84" s="11">
        <v>19</v>
      </c>
      <c r="C84" s="61">
        <v>7</v>
      </c>
      <c r="D84" s="6"/>
      <c r="E84" s="61">
        <v>12</v>
      </c>
      <c r="F84" s="61">
        <f t="shared" si="10"/>
        <v>0</v>
      </c>
    </row>
    <row r="85" spans="1:14" x14ac:dyDescent="0.3">
      <c r="A85" s="6" t="s">
        <v>13297</v>
      </c>
      <c r="B85" s="11">
        <v>9</v>
      </c>
      <c r="C85" s="61">
        <v>9</v>
      </c>
      <c r="D85" s="6"/>
      <c r="E85" s="61"/>
      <c r="F85" s="61"/>
    </row>
    <row r="86" spans="1:14" s="64" customFormat="1" x14ac:dyDescent="0.3">
      <c r="D86" s="65"/>
    </row>
    <row r="87" spans="1:14" x14ac:dyDescent="0.3">
      <c r="A87" s="393" t="s">
        <v>13186</v>
      </c>
      <c r="B87" s="389" t="s">
        <v>13200</v>
      </c>
      <c r="C87" s="396" t="s">
        <v>13189</v>
      </c>
      <c r="D87" s="396"/>
      <c r="E87" s="386"/>
      <c r="F87" s="386"/>
      <c r="G87" s="386"/>
      <c r="H87" s="386"/>
      <c r="I87" s="386"/>
      <c r="J87" s="386"/>
      <c r="K87" s="386"/>
      <c r="L87" s="386"/>
      <c r="M87" s="386"/>
      <c r="N87" s="386"/>
    </row>
    <row r="88" spans="1:14" x14ac:dyDescent="0.3">
      <c r="A88" s="394"/>
      <c r="B88" s="389"/>
      <c r="C88" s="11" t="s">
        <v>13266</v>
      </c>
      <c r="D88" s="11" t="s">
        <v>13267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</row>
    <row r="89" spans="1:14" x14ac:dyDescent="0.3">
      <c r="A89" s="395"/>
      <c r="B89" s="389"/>
      <c r="C89" s="11">
        <f>SUM(C90:C95)</f>
        <v>37</v>
      </c>
      <c r="D89" s="11">
        <f>SUM(D90:D95)</f>
        <v>0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</row>
    <row r="90" spans="1:14" x14ac:dyDescent="0.3">
      <c r="A90" s="6" t="s">
        <v>13290</v>
      </c>
      <c r="B90" s="11">
        <v>3</v>
      </c>
      <c r="C90" s="27">
        <v>3</v>
      </c>
      <c r="D90" s="27"/>
      <c r="E90" s="62"/>
      <c r="F90" s="62"/>
      <c r="G90" s="28"/>
      <c r="H90" s="28"/>
      <c r="K90" s="28"/>
      <c r="L90" s="28"/>
    </row>
    <row r="91" spans="1:14" x14ac:dyDescent="0.3">
      <c r="A91" s="6" t="s">
        <v>13291</v>
      </c>
      <c r="B91" s="11">
        <v>16</v>
      </c>
      <c r="C91" s="27">
        <v>16</v>
      </c>
      <c r="D91" s="27"/>
      <c r="E91" s="62"/>
      <c r="F91" s="62"/>
      <c r="G91" s="28"/>
      <c r="H91" s="28"/>
      <c r="K91" s="28"/>
      <c r="L91" s="28"/>
    </row>
    <row r="92" spans="1:14" x14ac:dyDescent="0.3">
      <c r="A92" s="6" t="s">
        <v>4134</v>
      </c>
      <c r="B92" s="11">
        <v>1</v>
      </c>
      <c r="C92" s="27">
        <v>1</v>
      </c>
      <c r="D92" s="27"/>
      <c r="E92" s="62"/>
      <c r="F92" s="62"/>
      <c r="G92" s="28"/>
      <c r="H92" s="28"/>
      <c r="K92" s="28"/>
      <c r="L92" s="28"/>
    </row>
    <row r="93" spans="1:14" x14ac:dyDescent="0.3">
      <c r="A93" s="6" t="s">
        <v>13292</v>
      </c>
      <c r="B93" s="11">
        <v>8</v>
      </c>
      <c r="C93" s="27">
        <v>5</v>
      </c>
      <c r="D93" s="27"/>
      <c r="E93" s="62"/>
      <c r="F93" s="62"/>
      <c r="G93" s="28"/>
      <c r="H93" s="28"/>
      <c r="K93" s="28"/>
      <c r="L93" s="28"/>
    </row>
    <row r="94" spans="1:14" x14ac:dyDescent="0.3">
      <c r="A94" s="6" t="s">
        <v>13293</v>
      </c>
      <c r="B94" s="11">
        <v>3</v>
      </c>
      <c r="C94" s="27">
        <v>3</v>
      </c>
      <c r="D94" s="6"/>
      <c r="E94" s="62"/>
      <c r="F94" s="62"/>
      <c r="G94" s="28"/>
      <c r="H94" s="28"/>
      <c r="K94" s="28"/>
      <c r="L94" s="28"/>
    </row>
    <row r="95" spans="1:14" x14ac:dyDescent="0.3">
      <c r="A95" s="6" t="s">
        <v>13289</v>
      </c>
      <c r="B95" s="11">
        <v>9</v>
      </c>
      <c r="C95" s="27">
        <v>9</v>
      </c>
      <c r="D95" s="6"/>
      <c r="E95" s="62"/>
      <c r="F95" s="63"/>
    </row>
    <row r="96" spans="1:14" x14ac:dyDescent="0.3">
      <c r="A96" s="387"/>
      <c r="B96" s="387"/>
      <c r="C96" s="387"/>
      <c r="D96" s="387"/>
    </row>
    <row r="97" spans="1:4" x14ac:dyDescent="0.3">
      <c r="A97" s="388" t="s">
        <v>13186</v>
      </c>
      <c r="B97" s="389" t="s">
        <v>13200</v>
      </c>
      <c r="C97" s="390" t="s">
        <v>13188</v>
      </c>
      <c r="D97" s="390"/>
    </row>
    <row r="98" spans="1:4" x14ac:dyDescent="0.3">
      <c r="A98" s="388"/>
      <c r="B98" s="389"/>
      <c r="C98" s="11" t="s">
        <v>13266</v>
      </c>
      <c r="D98" s="11" t="s">
        <v>13267</v>
      </c>
    </row>
    <row r="99" spans="1:4" x14ac:dyDescent="0.3">
      <c r="A99" s="388"/>
      <c r="B99" s="389"/>
      <c r="C99" s="11">
        <f>SUM(C100:C114)</f>
        <v>34</v>
      </c>
      <c r="D99" s="11">
        <f>SUM(D100:D110)</f>
        <v>10</v>
      </c>
    </row>
    <row r="100" spans="1:4" x14ac:dyDescent="0.3">
      <c r="A100" s="6" t="s">
        <v>13274</v>
      </c>
      <c r="B100" s="11">
        <v>22</v>
      </c>
      <c r="C100" s="27">
        <v>1</v>
      </c>
      <c r="D100" s="27">
        <v>1</v>
      </c>
    </row>
    <row r="101" spans="1:4" x14ac:dyDescent="0.3">
      <c r="A101" s="6" t="s">
        <v>13275</v>
      </c>
      <c r="B101" s="11">
        <v>14</v>
      </c>
      <c r="C101" s="27">
        <v>3</v>
      </c>
      <c r="D101" s="27">
        <v>3</v>
      </c>
    </row>
    <row r="102" spans="1:4" x14ac:dyDescent="0.3">
      <c r="A102" s="6" t="s">
        <v>13276</v>
      </c>
      <c r="B102" s="11">
        <v>37</v>
      </c>
      <c r="C102" s="27">
        <v>5</v>
      </c>
      <c r="D102" s="27">
        <v>3</v>
      </c>
    </row>
    <row r="103" spans="1:4" x14ac:dyDescent="0.3">
      <c r="A103" s="6" t="s">
        <v>13278</v>
      </c>
      <c r="B103" s="11">
        <v>36</v>
      </c>
      <c r="C103" s="27">
        <v>3</v>
      </c>
      <c r="D103" s="27"/>
    </row>
    <row r="104" spans="1:4" x14ac:dyDescent="0.3">
      <c r="A104" s="6" t="s">
        <v>13277</v>
      </c>
      <c r="B104" s="11">
        <v>16</v>
      </c>
      <c r="C104" s="27">
        <v>2</v>
      </c>
      <c r="D104" s="27">
        <v>2</v>
      </c>
    </row>
    <row r="105" spans="1:4" x14ac:dyDescent="0.3">
      <c r="A105" s="6" t="s">
        <v>13279</v>
      </c>
      <c r="B105" s="11">
        <v>3</v>
      </c>
      <c r="C105" s="27">
        <v>1</v>
      </c>
      <c r="D105" s="6"/>
    </row>
    <row r="106" spans="1:4" x14ac:dyDescent="0.3">
      <c r="A106" s="6" t="s">
        <v>13280</v>
      </c>
      <c r="B106" s="11">
        <v>7</v>
      </c>
      <c r="C106" s="27">
        <v>1</v>
      </c>
      <c r="D106" s="27">
        <v>1</v>
      </c>
    </row>
    <row r="107" spans="1:4" x14ac:dyDescent="0.3">
      <c r="A107" s="6" t="s">
        <v>13281</v>
      </c>
      <c r="B107" s="11">
        <v>42</v>
      </c>
      <c r="C107" s="27">
        <v>2</v>
      </c>
      <c r="D107" s="6"/>
    </row>
    <row r="108" spans="1:4" x14ac:dyDescent="0.3">
      <c r="A108" s="6" t="s">
        <v>13282</v>
      </c>
      <c r="B108" s="11">
        <v>4</v>
      </c>
      <c r="C108" s="27">
        <v>3</v>
      </c>
      <c r="D108" s="6"/>
    </row>
    <row r="109" spans="1:4" x14ac:dyDescent="0.3">
      <c r="A109" s="6" t="s">
        <v>13283</v>
      </c>
      <c r="B109" s="11">
        <v>22</v>
      </c>
      <c r="C109" s="27">
        <v>1</v>
      </c>
      <c r="D109" s="6"/>
    </row>
    <row r="110" spans="1:4" x14ac:dyDescent="0.3">
      <c r="A110" s="6" t="s">
        <v>13284</v>
      </c>
      <c r="B110" s="11">
        <v>2</v>
      </c>
      <c r="C110" s="27">
        <v>1</v>
      </c>
      <c r="D110" s="6"/>
    </row>
    <row r="111" spans="1:4" x14ac:dyDescent="0.3">
      <c r="A111" s="6" t="s">
        <v>13285</v>
      </c>
      <c r="B111" s="11">
        <v>16</v>
      </c>
      <c r="C111" s="27">
        <v>2</v>
      </c>
      <c r="D111" s="6"/>
    </row>
    <row r="112" spans="1:4" x14ac:dyDescent="0.3">
      <c r="A112" s="6" t="s">
        <v>13286</v>
      </c>
      <c r="B112" s="11">
        <v>8</v>
      </c>
      <c r="C112" s="27">
        <v>4</v>
      </c>
      <c r="D112" s="6"/>
    </row>
    <row r="113" spans="1:4" x14ac:dyDescent="0.3">
      <c r="A113" s="6" t="s">
        <v>13287</v>
      </c>
      <c r="B113" s="11">
        <v>9</v>
      </c>
      <c r="C113" s="27">
        <v>4</v>
      </c>
      <c r="D113" s="6"/>
    </row>
    <row r="114" spans="1:4" x14ac:dyDescent="0.3">
      <c r="A114" s="6" t="s">
        <v>13288</v>
      </c>
      <c r="B114" s="11">
        <v>5</v>
      </c>
      <c r="C114" s="27">
        <v>1</v>
      </c>
      <c r="D114" s="6"/>
    </row>
  </sheetData>
  <mergeCells count="105">
    <mergeCell ref="A1:N1"/>
    <mergeCell ref="A2:A4"/>
    <mergeCell ref="B2:B4"/>
    <mergeCell ref="C2:D3"/>
    <mergeCell ref="H24:I24"/>
    <mergeCell ref="B15:C15"/>
    <mergeCell ref="D15:E15"/>
    <mergeCell ref="H15:I15"/>
    <mergeCell ref="L15:M15"/>
    <mergeCell ref="J15:K15"/>
    <mergeCell ref="K12:L12"/>
    <mergeCell ref="M12:N12"/>
    <mergeCell ref="A14:A16"/>
    <mergeCell ref="B14:C14"/>
    <mergeCell ref="D14:E14"/>
    <mergeCell ref="H14:I14"/>
    <mergeCell ref="L14:M14"/>
    <mergeCell ref="J14:K14"/>
    <mergeCell ref="A11:A12"/>
    <mergeCell ref="B11:B12"/>
    <mergeCell ref="C12:D12"/>
    <mergeCell ref="E12:F12"/>
    <mergeCell ref="G12:H12"/>
    <mergeCell ref="I12:J12"/>
    <mergeCell ref="K45:L45"/>
    <mergeCell ref="A52:A54"/>
    <mergeCell ref="B52:B54"/>
    <mergeCell ref="C52:D52"/>
    <mergeCell ref="E52:F52"/>
    <mergeCell ref="G52:H52"/>
    <mergeCell ref="I52:J52"/>
    <mergeCell ref="K52:L52"/>
    <mergeCell ref="A45:A47"/>
    <mergeCell ref="B45:B47"/>
    <mergeCell ref="C45:D45"/>
    <mergeCell ref="E45:F45"/>
    <mergeCell ref="G45:H45"/>
    <mergeCell ref="I45:J45"/>
    <mergeCell ref="K58:L58"/>
    <mergeCell ref="M58:N58"/>
    <mergeCell ref="A70:A72"/>
    <mergeCell ref="B70:B72"/>
    <mergeCell ref="C70:D70"/>
    <mergeCell ref="E70:F70"/>
    <mergeCell ref="G70:H70"/>
    <mergeCell ref="I70:J70"/>
    <mergeCell ref="K70:L70"/>
    <mergeCell ref="M70:N70"/>
    <mergeCell ref="A58:A60"/>
    <mergeCell ref="B58:B60"/>
    <mergeCell ref="C58:D58"/>
    <mergeCell ref="E58:F58"/>
    <mergeCell ref="G58:H58"/>
    <mergeCell ref="I58:J58"/>
    <mergeCell ref="G87:H87"/>
    <mergeCell ref="I87:J87"/>
    <mergeCell ref="K87:L87"/>
    <mergeCell ref="M87:N87"/>
    <mergeCell ref="A96:D96"/>
    <mergeCell ref="A97:A99"/>
    <mergeCell ref="B97:B99"/>
    <mergeCell ref="C97:D97"/>
    <mergeCell ref="E71:E72"/>
    <mergeCell ref="F71:F72"/>
    <mergeCell ref="A87:A89"/>
    <mergeCell ref="B87:B89"/>
    <mergeCell ref="C87:D87"/>
    <mergeCell ref="E87:F87"/>
    <mergeCell ref="B42:C42"/>
    <mergeCell ref="D42:E42"/>
    <mergeCell ref="F42:G42"/>
    <mergeCell ref="H42:I42"/>
    <mergeCell ref="S25:U25"/>
    <mergeCell ref="S26:U26"/>
    <mergeCell ref="S27:U27"/>
    <mergeCell ref="S28:U28"/>
    <mergeCell ref="N26:O27"/>
    <mergeCell ref="Q29:R29"/>
    <mergeCell ref="M26:M27"/>
    <mergeCell ref="B27:D27"/>
    <mergeCell ref="H27:J27"/>
    <mergeCell ref="M2:N3"/>
    <mergeCell ref="Q19:U19"/>
    <mergeCell ref="A31:I31"/>
    <mergeCell ref="E2:F3"/>
    <mergeCell ref="G2:H3"/>
    <mergeCell ref="I2:J3"/>
    <mergeCell ref="K2:L3"/>
    <mergeCell ref="B32:C33"/>
    <mergeCell ref="D32:E33"/>
    <mergeCell ref="A32:A33"/>
    <mergeCell ref="F32:G33"/>
    <mergeCell ref="H32:I33"/>
    <mergeCell ref="Q15:U15"/>
    <mergeCell ref="F14:G14"/>
    <mergeCell ref="F15:G15"/>
    <mergeCell ref="F24:G24"/>
    <mergeCell ref="N24:O24"/>
    <mergeCell ref="N15:O15"/>
    <mergeCell ref="N14:O14"/>
    <mergeCell ref="L24:M24"/>
    <mergeCell ref="J24:K24"/>
    <mergeCell ref="A23:A24"/>
    <mergeCell ref="B24:C24"/>
    <mergeCell ref="D24:E24"/>
  </mergeCells>
  <pageMargins left="0.511811024" right="0.511811024" top="0.78740157499999996" bottom="0.78740157499999996" header="0.31496062000000002" footer="0.31496062000000002"/>
  <pageSetup paperSize="9"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FEA3-9E04-488D-834F-4E7CDCA6C97E}">
  <dimension ref="A1:L42"/>
  <sheetViews>
    <sheetView topLeftCell="A16" workbookViewId="0">
      <selection activeCell="D23" sqref="D23:D25"/>
    </sheetView>
  </sheetViews>
  <sheetFormatPr defaultRowHeight="14.4" x14ac:dyDescent="0.3"/>
  <cols>
    <col min="1" max="1" width="19.109375" customWidth="1"/>
    <col min="2" max="2" width="25.21875" customWidth="1"/>
    <col min="3" max="3" width="19.88671875" customWidth="1"/>
    <col min="4" max="4" width="13" customWidth="1"/>
    <col min="5" max="7" width="10.77734375" customWidth="1"/>
    <col min="8" max="8" width="13" customWidth="1"/>
    <col min="11" max="11" width="12" customWidth="1"/>
  </cols>
  <sheetData>
    <row r="1" spans="1:12" x14ac:dyDescent="0.3">
      <c r="A1" s="427" t="s">
        <v>13206</v>
      </c>
      <c r="B1" s="427"/>
      <c r="C1" s="427"/>
      <c r="D1" s="427"/>
      <c r="E1" s="427"/>
      <c r="F1" s="427"/>
      <c r="G1" s="427"/>
    </row>
    <row r="2" spans="1:12" x14ac:dyDescent="0.3">
      <c r="A2" s="393" t="s">
        <v>13179</v>
      </c>
      <c r="B2" s="388" t="s">
        <v>13204</v>
      </c>
      <c r="C2" s="425" t="s">
        <v>13230</v>
      </c>
      <c r="D2" s="425" t="s">
        <v>13231</v>
      </c>
      <c r="E2" s="425" t="s">
        <v>13245</v>
      </c>
      <c r="F2" s="70" t="s">
        <v>13266</v>
      </c>
      <c r="G2" s="70" t="s">
        <v>13267</v>
      </c>
    </row>
    <row r="3" spans="1:12" x14ac:dyDescent="0.3">
      <c r="A3" s="395"/>
      <c r="B3" s="388"/>
      <c r="C3" s="426"/>
      <c r="D3" s="426"/>
      <c r="E3" s="426"/>
      <c r="F3" s="56">
        <f>SUM(F4:F29)</f>
        <v>328</v>
      </c>
      <c r="G3" s="56">
        <f>SUM(G4:G29)</f>
        <v>298</v>
      </c>
    </row>
    <row r="4" spans="1:12" x14ac:dyDescent="0.3">
      <c r="A4" s="27" t="s">
        <v>13205</v>
      </c>
      <c r="B4" s="6" t="s">
        <v>13247</v>
      </c>
      <c r="C4" s="59">
        <v>46057</v>
      </c>
      <c r="D4" s="27" t="s">
        <v>13232</v>
      </c>
      <c r="E4" s="27">
        <v>71</v>
      </c>
      <c r="F4" s="49">
        <v>15</v>
      </c>
      <c r="G4" s="49">
        <v>15</v>
      </c>
      <c r="I4" s="424" t="s">
        <v>13188</v>
      </c>
      <c r="J4" s="424"/>
      <c r="K4" s="424"/>
      <c r="L4" s="424"/>
    </row>
    <row r="5" spans="1:12" x14ac:dyDescent="0.3">
      <c r="A5" s="27" t="s">
        <v>13205</v>
      </c>
      <c r="B5" s="6" t="s">
        <v>13207</v>
      </c>
      <c r="C5" s="59">
        <v>46057</v>
      </c>
      <c r="D5" s="27" t="s">
        <v>13232</v>
      </c>
      <c r="E5" s="27">
        <v>67</v>
      </c>
      <c r="F5" s="49">
        <v>10</v>
      </c>
      <c r="G5" s="49">
        <v>10</v>
      </c>
      <c r="I5" s="27">
        <v>8</v>
      </c>
      <c r="J5" s="27">
        <v>8</v>
      </c>
      <c r="K5" s="27">
        <v>17</v>
      </c>
      <c r="L5" s="27">
        <f>J5-K5</f>
        <v>-9</v>
      </c>
    </row>
    <row r="6" spans="1:12" x14ac:dyDescent="0.3">
      <c r="A6" s="27" t="s">
        <v>13205</v>
      </c>
      <c r="B6" s="6" t="s">
        <v>13208</v>
      </c>
      <c r="C6" s="59">
        <v>46057</v>
      </c>
      <c r="D6" s="27" t="s">
        <v>13232</v>
      </c>
      <c r="E6" s="27">
        <v>45</v>
      </c>
      <c r="F6" s="49">
        <v>6</v>
      </c>
      <c r="G6" s="49">
        <v>6</v>
      </c>
      <c r="I6" s="27">
        <v>7</v>
      </c>
      <c r="J6" s="27">
        <v>7</v>
      </c>
      <c r="K6" s="27">
        <v>6</v>
      </c>
      <c r="L6" s="27">
        <f t="shared" ref="L6:L9" si="0">J6-K6</f>
        <v>1</v>
      </c>
    </row>
    <row r="7" spans="1:12" x14ac:dyDescent="0.3">
      <c r="A7" s="27" t="s">
        <v>13205</v>
      </c>
      <c r="B7" s="6" t="s">
        <v>13209</v>
      </c>
      <c r="C7" s="59">
        <v>46057</v>
      </c>
      <c r="D7" s="27" t="s">
        <v>13232</v>
      </c>
      <c r="E7" s="27">
        <v>42</v>
      </c>
      <c r="F7" s="27">
        <v>19</v>
      </c>
      <c r="G7" s="27">
        <v>19</v>
      </c>
      <c r="I7" s="27">
        <v>13</v>
      </c>
      <c r="J7" s="27">
        <v>13</v>
      </c>
      <c r="K7" s="27">
        <v>17</v>
      </c>
      <c r="L7" s="27">
        <f t="shared" si="0"/>
        <v>-4</v>
      </c>
    </row>
    <row r="8" spans="1:12" x14ac:dyDescent="0.3">
      <c r="A8" s="27" t="s">
        <v>13205</v>
      </c>
      <c r="B8" s="6" t="s">
        <v>13210</v>
      </c>
      <c r="C8" s="59">
        <v>46057</v>
      </c>
      <c r="D8" s="27" t="s">
        <v>13232</v>
      </c>
      <c r="E8" s="27">
        <v>41</v>
      </c>
      <c r="F8" s="27">
        <v>7</v>
      </c>
      <c r="G8" s="27">
        <v>7</v>
      </c>
      <c r="I8" s="27">
        <v>9</v>
      </c>
      <c r="J8" s="27">
        <v>9</v>
      </c>
      <c r="K8" s="27">
        <v>12</v>
      </c>
      <c r="L8" s="27">
        <f t="shared" si="0"/>
        <v>-3</v>
      </c>
    </row>
    <row r="9" spans="1:12" x14ac:dyDescent="0.3">
      <c r="A9" s="27" t="s">
        <v>13205</v>
      </c>
      <c r="B9" s="6" t="s">
        <v>13211</v>
      </c>
      <c r="C9" s="59">
        <v>46057</v>
      </c>
      <c r="D9" s="27" t="s">
        <v>13232</v>
      </c>
      <c r="E9" s="27">
        <v>37</v>
      </c>
      <c r="F9" s="27">
        <v>9</v>
      </c>
      <c r="G9" s="27">
        <v>9</v>
      </c>
      <c r="I9" s="27">
        <v>11</v>
      </c>
      <c r="J9" s="27">
        <v>11</v>
      </c>
      <c r="K9" s="27">
        <v>17</v>
      </c>
      <c r="L9" s="27">
        <f t="shared" si="0"/>
        <v>-6</v>
      </c>
    </row>
    <row r="10" spans="1:12" x14ac:dyDescent="0.3">
      <c r="A10" s="27" t="s">
        <v>13205</v>
      </c>
      <c r="B10" s="6" t="s">
        <v>13214</v>
      </c>
      <c r="C10" s="59">
        <v>46057</v>
      </c>
      <c r="D10" s="27" t="s">
        <v>13232</v>
      </c>
      <c r="E10" s="27">
        <v>53</v>
      </c>
      <c r="F10" s="27">
        <v>12</v>
      </c>
      <c r="G10" s="27">
        <v>12</v>
      </c>
      <c r="I10" s="11">
        <f>I5+I6+I8+I7+I9</f>
        <v>48</v>
      </c>
      <c r="J10" s="11">
        <f>SUM(J5:J9)</f>
        <v>48</v>
      </c>
      <c r="K10" s="11">
        <f>SUM(K5:K9)</f>
        <v>69</v>
      </c>
      <c r="L10" s="11">
        <f>J10-K10</f>
        <v>-21</v>
      </c>
    </row>
    <row r="11" spans="1:12" x14ac:dyDescent="0.3">
      <c r="A11" s="27" t="s">
        <v>13205</v>
      </c>
      <c r="B11" s="6" t="s">
        <v>13212</v>
      </c>
      <c r="C11" s="59">
        <v>46057</v>
      </c>
      <c r="D11" s="27" t="s">
        <v>13232</v>
      </c>
      <c r="E11" s="27">
        <v>61</v>
      </c>
      <c r="F11" s="27">
        <v>7</v>
      </c>
      <c r="G11" s="27">
        <v>7</v>
      </c>
      <c r="I11" s="424" t="s">
        <v>13229</v>
      </c>
      <c r="J11" s="424"/>
      <c r="K11" s="27" t="s">
        <v>13227</v>
      </c>
      <c r="L11" s="27" t="s">
        <v>13228</v>
      </c>
    </row>
    <row r="12" spans="1:12" x14ac:dyDescent="0.3">
      <c r="A12" s="27" t="s">
        <v>13205</v>
      </c>
      <c r="B12" s="6" t="s">
        <v>13213</v>
      </c>
      <c r="C12" s="59">
        <v>46057</v>
      </c>
      <c r="D12" s="27" t="s">
        <v>13232</v>
      </c>
      <c r="E12" s="27">
        <v>43</v>
      </c>
      <c r="F12" s="27">
        <v>10</v>
      </c>
      <c r="G12" s="27">
        <v>10</v>
      </c>
    </row>
    <row r="13" spans="1:12" x14ac:dyDescent="0.3">
      <c r="A13" s="27" t="s">
        <v>13189</v>
      </c>
      <c r="B13" s="6" t="s">
        <v>4134</v>
      </c>
      <c r="C13" s="69">
        <v>46063</v>
      </c>
      <c r="D13" s="27" t="s">
        <v>13232</v>
      </c>
      <c r="E13" s="58">
        <f>2+48</f>
        <v>50</v>
      </c>
      <c r="F13" s="58">
        <v>1</v>
      </c>
      <c r="G13" s="58">
        <v>1</v>
      </c>
    </row>
    <row r="14" spans="1:12" x14ac:dyDescent="0.3">
      <c r="A14" s="27" t="s">
        <v>13189</v>
      </c>
      <c r="B14" s="6" t="s">
        <v>491</v>
      </c>
      <c r="C14" s="69">
        <v>46063</v>
      </c>
      <c r="D14" s="27" t="s">
        <v>13232</v>
      </c>
      <c r="E14" s="58">
        <f>35+48</f>
        <v>83</v>
      </c>
      <c r="F14" s="58">
        <v>7</v>
      </c>
      <c r="G14" s="58">
        <v>7</v>
      </c>
    </row>
    <row r="15" spans="1:12" x14ac:dyDescent="0.3">
      <c r="A15" s="27" t="s">
        <v>13189</v>
      </c>
      <c r="B15" s="6" t="s">
        <v>13215</v>
      </c>
      <c r="C15" s="69">
        <v>46063</v>
      </c>
      <c r="D15" s="27" t="s">
        <v>13232</v>
      </c>
      <c r="E15" s="58">
        <f>47+48+24</f>
        <v>119</v>
      </c>
      <c r="F15" s="58">
        <v>16</v>
      </c>
      <c r="G15" s="58">
        <v>16</v>
      </c>
    </row>
    <row r="16" spans="1:12" x14ac:dyDescent="0.3">
      <c r="A16" s="27" t="s">
        <v>13189</v>
      </c>
      <c r="B16" s="6" t="s">
        <v>13216</v>
      </c>
      <c r="C16" s="69">
        <v>46063</v>
      </c>
      <c r="D16" s="27" t="s">
        <v>13232</v>
      </c>
      <c r="E16" s="58">
        <v>150</v>
      </c>
      <c r="F16" s="58">
        <v>6</v>
      </c>
      <c r="G16" s="58">
        <v>6</v>
      </c>
    </row>
    <row r="17" spans="1:10" x14ac:dyDescent="0.3">
      <c r="A17" s="27" t="s">
        <v>13205</v>
      </c>
      <c r="B17" s="6" t="s">
        <v>13246</v>
      </c>
      <c r="C17" s="187">
        <v>46077</v>
      </c>
      <c r="D17" s="27" t="s">
        <v>13232</v>
      </c>
      <c r="E17" s="58">
        <v>53</v>
      </c>
      <c r="F17" s="58">
        <v>12</v>
      </c>
      <c r="G17" s="58">
        <v>12</v>
      </c>
    </row>
    <row r="18" spans="1:10" x14ac:dyDescent="0.3">
      <c r="A18" s="27" t="s">
        <v>13217</v>
      </c>
      <c r="B18" s="6" t="s">
        <v>13218</v>
      </c>
      <c r="C18" s="187">
        <v>46077</v>
      </c>
      <c r="D18" s="27" t="s">
        <v>13232</v>
      </c>
      <c r="E18" s="58">
        <v>32</v>
      </c>
      <c r="F18" s="58">
        <v>10</v>
      </c>
      <c r="G18" s="58">
        <v>10</v>
      </c>
    </row>
    <row r="19" spans="1:10" x14ac:dyDescent="0.3">
      <c r="A19" s="27" t="s">
        <v>13217</v>
      </c>
      <c r="B19" s="6" t="s">
        <v>13219</v>
      </c>
      <c r="C19" s="187">
        <v>46077</v>
      </c>
      <c r="D19" s="27" t="s">
        <v>13232</v>
      </c>
      <c r="E19" s="58">
        <v>80</v>
      </c>
      <c r="F19" s="58">
        <v>19</v>
      </c>
      <c r="G19" s="58">
        <v>19</v>
      </c>
    </row>
    <row r="20" spans="1:10" x14ac:dyDescent="0.3">
      <c r="A20" s="27" t="s">
        <v>13217</v>
      </c>
      <c r="B20" s="6" t="s">
        <v>13220</v>
      </c>
      <c r="C20" s="187">
        <v>46077</v>
      </c>
      <c r="D20" s="27" t="s">
        <v>13232</v>
      </c>
      <c r="E20" s="58">
        <v>38</v>
      </c>
      <c r="F20" s="58">
        <v>7</v>
      </c>
      <c r="G20" s="58">
        <v>7</v>
      </c>
    </row>
    <row r="21" spans="1:10" x14ac:dyDescent="0.3">
      <c r="A21" s="27" t="s">
        <v>13217</v>
      </c>
      <c r="B21" s="6" t="s">
        <v>13221</v>
      </c>
      <c r="C21" s="187">
        <v>46077</v>
      </c>
      <c r="D21" s="27" t="s">
        <v>13232</v>
      </c>
      <c r="E21" s="58">
        <v>95</v>
      </c>
      <c r="F21" s="58">
        <v>10</v>
      </c>
      <c r="G21" s="58">
        <v>10</v>
      </c>
    </row>
    <row r="22" spans="1:10" x14ac:dyDescent="0.3">
      <c r="A22" s="27" t="s">
        <v>4386</v>
      </c>
      <c r="B22" s="6" t="s">
        <v>5053</v>
      </c>
      <c r="C22" s="187">
        <v>46080</v>
      </c>
      <c r="D22" s="57" t="s">
        <v>13340</v>
      </c>
      <c r="E22" s="27">
        <v>270</v>
      </c>
      <c r="F22" s="27">
        <v>76</v>
      </c>
      <c r="G22" s="27">
        <v>46</v>
      </c>
    </row>
    <row r="23" spans="1:10" x14ac:dyDescent="0.3">
      <c r="A23" s="27" t="s">
        <v>4386</v>
      </c>
      <c r="B23" s="6" t="s">
        <v>7095</v>
      </c>
      <c r="C23" s="187">
        <v>46080</v>
      </c>
      <c r="D23" s="27" t="s">
        <v>13232</v>
      </c>
      <c r="E23" s="27">
        <v>390</v>
      </c>
      <c r="F23" s="27">
        <v>17</v>
      </c>
      <c r="G23" s="27">
        <v>17</v>
      </c>
    </row>
    <row r="24" spans="1:10" x14ac:dyDescent="0.3">
      <c r="A24" s="27" t="s">
        <v>4386</v>
      </c>
      <c r="B24" s="6" t="s">
        <v>13259</v>
      </c>
      <c r="C24" s="187">
        <v>46080</v>
      </c>
      <c r="D24" s="27" t="s">
        <v>13232</v>
      </c>
      <c r="E24" s="27">
        <v>60</v>
      </c>
      <c r="F24" s="27">
        <v>6</v>
      </c>
      <c r="G24" s="27">
        <v>6</v>
      </c>
    </row>
    <row r="25" spans="1:10" x14ac:dyDescent="0.3">
      <c r="A25" s="27" t="s">
        <v>4386</v>
      </c>
      <c r="B25" s="6" t="s">
        <v>8536</v>
      </c>
      <c r="C25" s="187">
        <v>46080</v>
      </c>
      <c r="D25" s="27" t="s">
        <v>13232</v>
      </c>
      <c r="E25" s="27">
        <v>80</v>
      </c>
      <c r="F25" s="27">
        <v>31</v>
      </c>
      <c r="G25" s="27">
        <v>31</v>
      </c>
    </row>
    <row r="26" spans="1:10" x14ac:dyDescent="0.3">
      <c r="A26" s="27" t="s">
        <v>13189</v>
      </c>
      <c r="B26" s="6" t="s">
        <v>455</v>
      </c>
      <c r="C26" s="187">
        <v>46078</v>
      </c>
      <c r="D26" s="27" t="s">
        <v>13232</v>
      </c>
      <c r="E26" s="58">
        <v>43</v>
      </c>
      <c r="F26" s="58">
        <v>1</v>
      </c>
      <c r="G26" s="58">
        <v>1</v>
      </c>
    </row>
    <row r="27" spans="1:10" x14ac:dyDescent="0.3">
      <c r="A27" s="27" t="s">
        <v>13189</v>
      </c>
      <c r="B27" s="6" t="s">
        <v>470</v>
      </c>
      <c r="C27" s="187">
        <v>46078</v>
      </c>
      <c r="D27" s="27" t="s">
        <v>13232</v>
      </c>
      <c r="E27" s="58">
        <v>18</v>
      </c>
      <c r="F27" s="58">
        <v>6</v>
      </c>
      <c r="G27" s="58">
        <v>6</v>
      </c>
    </row>
    <row r="28" spans="1:10" x14ac:dyDescent="0.3">
      <c r="A28" s="27" t="s">
        <v>13189</v>
      </c>
      <c r="B28" s="6" t="s">
        <v>705</v>
      </c>
      <c r="C28" s="187">
        <v>46078</v>
      </c>
      <c r="D28" s="27" t="s">
        <v>13232</v>
      </c>
      <c r="E28" s="58">
        <v>17</v>
      </c>
      <c r="F28" s="58">
        <v>4</v>
      </c>
      <c r="G28" s="58">
        <v>4</v>
      </c>
    </row>
    <row r="29" spans="1:10" x14ac:dyDescent="0.3">
      <c r="A29" s="27" t="s">
        <v>13189</v>
      </c>
      <c r="B29" s="6" t="s">
        <v>717</v>
      </c>
      <c r="C29" s="187">
        <v>46078</v>
      </c>
      <c r="D29" s="27" t="s">
        <v>13232</v>
      </c>
      <c r="E29" s="58">
        <v>30</v>
      </c>
      <c r="F29" s="58">
        <v>4</v>
      </c>
      <c r="G29" s="58">
        <v>4</v>
      </c>
    </row>
    <row r="30" spans="1:10" x14ac:dyDescent="0.3">
      <c r="A30" s="27" t="s">
        <v>13187</v>
      </c>
      <c r="B30" s="6" t="s">
        <v>13322</v>
      </c>
      <c r="C30" s="60">
        <v>46087</v>
      </c>
      <c r="D30" s="57" t="s">
        <v>13327</v>
      </c>
      <c r="E30" s="58">
        <v>122</v>
      </c>
      <c r="F30" s="58"/>
      <c r="G30" s="58"/>
      <c r="I30">
        <f>122+73</f>
        <v>195</v>
      </c>
      <c r="J30">
        <v>160</v>
      </c>
    </row>
    <row r="31" spans="1:10" x14ac:dyDescent="0.3">
      <c r="A31" s="27" t="s">
        <v>13187</v>
      </c>
      <c r="B31" s="6" t="s">
        <v>9913</v>
      </c>
      <c r="C31" s="60">
        <v>46087</v>
      </c>
      <c r="D31" s="57" t="s">
        <v>13327</v>
      </c>
      <c r="E31" s="58">
        <v>96</v>
      </c>
      <c r="F31" s="58">
        <v>53</v>
      </c>
      <c r="G31" s="58">
        <v>53</v>
      </c>
      <c r="I31" s="144">
        <v>376</v>
      </c>
      <c r="J31" s="144">
        <v>63</v>
      </c>
    </row>
    <row r="32" spans="1:10" x14ac:dyDescent="0.3">
      <c r="A32" s="27" t="s">
        <v>13187</v>
      </c>
      <c r="B32" s="6" t="s">
        <v>13323</v>
      </c>
      <c r="C32" s="60">
        <v>46087</v>
      </c>
      <c r="D32" s="57" t="s">
        <v>13327</v>
      </c>
      <c r="E32" s="58">
        <v>32</v>
      </c>
      <c r="F32" s="58">
        <v>10</v>
      </c>
      <c r="G32" s="58">
        <v>10</v>
      </c>
    </row>
    <row r="33" spans="1:7" x14ac:dyDescent="0.3">
      <c r="A33" s="27" t="s">
        <v>13187</v>
      </c>
      <c r="B33" s="6" t="s">
        <v>10142</v>
      </c>
      <c r="C33" s="60">
        <v>46087</v>
      </c>
      <c r="D33" s="57" t="s">
        <v>13327</v>
      </c>
      <c r="E33" s="58">
        <f>79+56</f>
        <v>135</v>
      </c>
      <c r="F33" s="58">
        <v>10</v>
      </c>
      <c r="G33" s="58">
        <v>10</v>
      </c>
    </row>
    <row r="34" spans="1:7" x14ac:dyDescent="0.3">
      <c r="A34" s="27" t="s">
        <v>13187</v>
      </c>
      <c r="B34" s="6" t="s">
        <v>13324</v>
      </c>
      <c r="C34" s="60">
        <v>46087</v>
      </c>
      <c r="D34" s="57" t="s">
        <v>13327</v>
      </c>
      <c r="E34" s="58">
        <v>28</v>
      </c>
      <c r="F34" s="58">
        <v>10</v>
      </c>
      <c r="G34" s="58">
        <v>10</v>
      </c>
    </row>
    <row r="35" spans="1:7" x14ac:dyDescent="0.3">
      <c r="A35" s="27" t="s">
        <v>13187</v>
      </c>
      <c r="B35" s="6" t="s">
        <v>13325</v>
      </c>
      <c r="C35" s="60">
        <v>46087</v>
      </c>
      <c r="D35" s="57" t="s">
        <v>13327</v>
      </c>
      <c r="E35" s="58">
        <v>28</v>
      </c>
      <c r="F35" s="58">
        <v>11</v>
      </c>
      <c r="G35" s="58">
        <v>11</v>
      </c>
    </row>
    <row r="36" spans="1:7" x14ac:dyDescent="0.3">
      <c r="A36" s="27" t="s">
        <v>13187</v>
      </c>
      <c r="B36" s="6" t="s">
        <v>13326</v>
      </c>
      <c r="C36" s="60">
        <v>46087</v>
      </c>
      <c r="D36" s="57" t="s">
        <v>13327</v>
      </c>
      <c r="E36" s="58">
        <v>57</v>
      </c>
      <c r="F36" s="58">
        <v>13</v>
      </c>
      <c r="G36" s="58">
        <v>13</v>
      </c>
    </row>
    <row r="37" spans="1:7" x14ac:dyDescent="0.3">
      <c r="A37" s="27" t="s">
        <v>13187</v>
      </c>
      <c r="B37" s="6" t="s">
        <v>4143</v>
      </c>
      <c r="C37" s="60">
        <v>46087</v>
      </c>
      <c r="D37" s="57" t="s">
        <v>13327</v>
      </c>
      <c r="E37" s="58">
        <v>73</v>
      </c>
      <c r="F37" s="58">
        <v>10</v>
      </c>
      <c r="G37" s="58">
        <v>10</v>
      </c>
    </row>
    <row r="38" spans="1:7" x14ac:dyDescent="0.3">
      <c r="A38" s="27" t="s">
        <v>13188</v>
      </c>
      <c r="B38" s="6" t="s">
        <v>13222</v>
      </c>
      <c r="C38" s="60"/>
      <c r="D38" s="57" t="s">
        <v>13254</v>
      </c>
      <c r="E38" s="58">
        <v>48</v>
      </c>
      <c r="F38" s="58">
        <v>8</v>
      </c>
      <c r="G38" s="58">
        <v>8</v>
      </c>
    </row>
    <row r="39" spans="1:7" x14ac:dyDescent="0.3">
      <c r="A39" s="27" t="s">
        <v>13188</v>
      </c>
      <c r="B39" s="6" t="s">
        <v>13223</v>
      </c>
      <c r="C39" s="60"/>
      <c r="D39" s="57" t="s">
        <v>13254</v>
      </c>
      <c r="E39" s="58">
        <v>65</v>
      </c>
      <c r="F39" s="58">
        <v>7</v>
      </c>
      <c r="G39" s="58">
        <v>7</v>
      </c>
    </row>
    <row r="40" spans="1:7" x14ac:dyDescent="0.3">
      <c r="A40" s="27" t="s">
        <v>13188</v>
      </c>
      <c r="B40" s="6" t="s">
        <v>13224</v>
      </c>
      <c r="C40" s="60"/>
      <c r="D40" s="57" t="s">
        <v>13254</v>
      </c>
      <c r="E40" s="58">
        <v>70</v>
      </c>
      <c r="F40" s="58">
        <v>13</v>
      </c>
      <c r="G40" s="58">
        <v>13</v>
      </c>
    </row>
    <row r="41" spans="1:7" x14ac:dyDescent="0.3">
      <c r="A41" s="27" t="s">
        <v>13188</v>
      </c>
      <c r="B41" s="6" t="s">
        <v>13225</v>
      </c>
      <c r="C41" s="60"/>
      <c r="D41" s="57" t="s">
        <v>13254</v>
      </c>
      <c r="E41" s="58">
        <v>73</v>
      </c>
      <c r="F41" s="58">
        <v>9</v>
      </c>
      <c r="G41" s="58">
        <v>9</v>
      </c>
    </row>
    <row r="42" spans="1:7" x14ac:dyDescent="0.3">
      <c r="A42" s="27" t="s">
        <v>13188</v>
      </c>
      <c r="B42" s="6" t="s">
        <v>13226</v>
      </c>
      <c r="C42" s="60"/>
      <c r="D42" s="57" t="s">
        <v>13254</v>
      </c>
      <c r="E42" s="58">
        <v>44</v>
      </c>
      <c r="F42" s="58">
        <v>11</v>
      </c>
      <c r="G42" s="58">
        <v>11</v>
      </c>
    </row>
  </sheetData>
  <autoFilter ref="A2:G7" xr:uid="{12E9FEA3-9E04-488D-834F-4E7CDCA6C97E}"/>
  <mergeCells count="8">
    <mergeCell ref="I11:J11"/>
    <mergeCell ref="A2:A3"/>
    <mergeCell ref="D2:D3"/>
    <mergeCell ref="C2:C3"/>
    <mergeCell ref="A1:G1"/>
    <mergeCell ref="B2:B3"/>
    <mergeCell ref="E2:E3"/>
    <mergeCell ref="I4:L4"/>
  </mergeCells>
  <phoneticPr fontId="18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447D-9304-4063-BAFF-55F9D387C8F2}">
  <dimension ref="A1:F26"/>
  <sheetViews>
    <sheetView workbookViewId="0">
      <selection activeCell="D3" sqref="D3"/>
    </sheetView>
  </sheetViews>
  <sheetFormatPr defaultRowHeight="14.4" x14ac:dyDescent="0.3"/>
  <cols>
    <col min="1" max="1" width="17.77734375" customWidth="1"/>
    <col min="2" max="2" width="25.21875" customWidth="1"/>
    <col min="3" max="5" width="10.77734375" customWidth="1"/>
    <col min="6" max="6" width="50.21875" customWidth="1"/>
  </cols>
  <sheetData>
    <row r="1" spans="1:6" x14ac:dyDescent="0.3">
      <c r="A1" s="428" t="s">
        <v>13234</v>
      </c>
      <c r="B1" s="429"/>
      <c r="C1" s="429"/>
      <c r="D1" s="429"/>
      <c r="E1" s="429"/>
      <c r="F1" s="430"/>
    </row>
    <row r="2" spans="1:6" x14ac:dyDescent="0.3">
      <c r="A2" s="393" t="s">
        <v>13179</v>
      </c>
      <c r="B2" s="388" t="s">
        <v>13204</v>
      </c>
      <c r="C2" s="70" t="s">
        <v>13266</v>
      </c>
      <c r="D2" s="70" t="s">
        <v>13267</v>
      </c>
      <c r="E2" s="431" t="s">
        <v>13243</v>
      </c>
      <c r="F2" s="425" t="s">
        <v>13235</v>
      </c>
    </row>
    <row r="3" spans="1:6" x14ac:dyDescent="0.3">
      <c r="A3" s="395"/>
      <c r="B3" s="388"/>
      <c r="C3" s="56">
        <f>SUM(C4:C26)</f>
        <v>37</v>
      </c>
      <c r="D3" s="56">
        <f>SUM(D4:D26)</f>
        <v>74</v>
      </c>
      <c r="E3" s="432"/>
      <c r="F3" s="426"/>
    </row>
    <row r="4" spans="1:6" x14ac:dyDescent="0.3">
      <c r="A4" s="27" t="s">
        <v>13233</v>
      </c>
      <c r="B4" s="6" t="s">
        <v>13236</v>
      </c>
      <c r="C4" s="49"/>
      <c r="D4" s="49">
        <v>8</v>
      </c>
      <c r="E4" s="58" t="s">
        <v>13244</v>
      </c>
      <c r="F4" s="27" t="s">
        <v>13242</v>
      </c>
    </row>
    <row r="5" spans="1:6" x14ac:dyDescent="0.3">
      <c r="A5" s="27" t="s">
        <v>13233</v>
      </c>
      <c r="B5" s="6" t="s">
        <v>13237</v>
      </c>
      <c r="C5" s="49"/>
      <c r="D5" s="49">
        <v>15</v>
      </c>
      <c r="E5" s="58" t="s">
        <v>13244</v>
      </c>
      <c r="F5" s="27" t="s">
        <v>13242</v>
      </c>
    </row>
    <row r="6" spans="1:6" x14ac:dyDescent="0.3">
      <c r="A6" s="27" t="s">
        <v>13233</v>
      </c>
      <c r="B6" s="6" t="s">
        <v>13238</v>
      </c>
      <c r="C6" s="49"/>
      <c r="D6" s="49">
        <v>6</v>
      </c>
      <c r="E6" s="58" t="s">
        <v>13244</v>
      </c>
      <c r="F6" s="27" t="s">
        <v>13242</v>
      </c>
    </row>
    <row r="7" spans="1:6" x14ac:dyDescent="0.3">
      <c r="A7" s="27" t="s">
        <v>13233</v>
      </c>
      <c r="B7" s="6" t="s">
        <v>13239</v>
      </c>
      <c r="C7" s="27"/>
      <c r="D7" s="27">
        <v>1</v>
      </c>
      <c r="E7" s="27" t="s">
        <v>13244</v>
      </c>
      <c r="F7" s="27" t="s">
        <v>13242</v>
      </c>
    </row>
    <row r="8" spans="1:6" x14ac:dyDescent="0.3">
      <c r="A8" s="27" t="s">
        <v>13233</v>
      </c>
      <c r="B8" s="6" t="s">
        <v>13240</v>
      </c>
      <c r="C8" s="27"/>
      <c r="D8" s="27">
        <v>12</v>
      </c>
      <c r="E8" s="27" t="s">
        <v>13244</v>
      </c>
      <c r="F8" s="27" t="s">
        <v>13242</v>
      </c>
    </row>
    <row r="9" spans="1:6" x14ac:dyDescent="0.3">
      <c r="A9" s="27" t="s">
        <v>13233</v>
      </c>
      <c r="B9" s="6" t="s">
        <v>13241</v>
      </c>
      <c r="C9" s="27"/>
      <c r="D9" s="27">
        <v>17</v>
      </c>
      <c r="E9" s="27" t="s">
        <v>13244</v>
      </c>
      <c r="F9" s="27" t="s">
        <v>13242</v>
      </c>
    </row>
    <row r="10" spans="1:6" x14ac:dyDescent="0.3">
      <c r="A10" s="27" t="s">
        <v>13233</v>
      </c>
      <c r="B10" s="6" t="s">
        <v>13300</v>
      </c>
      <c r="C10" s="27"/>
      <c r="D10" s="27">
        <v>15</v>
      </c>
      <c r="E10" s="27" t="s">
        <v>13244</v>
      </c>
      <c r="F10" s="27" t="s">
        <v>13242</v>
      </c>
    </row>
    <row r="11" spans="1:6" x14ac:dyDescent="0.3">
      <c r="A11" s="27" t="s">
        <v>13189</v>
      </c>
      <c r="B11" s="6" t="s">
        <v>13260</v>
      </c>
      <c r="C11" s="27">
        <v>2</v>
      </c>
      <c r="D11" s="27"/>
      <c r="E11" s="27" t="s">
        <v>13298</v>
      </c>
      <c r="F11" s="27" t="s">
        <v>13299</v>
      </c>
    </row>
    <row r="12" spans="1:6" x14ac:dyDescent="0.3">
      <c r="A12" s="27" t="s">
        <v>13189</v>
      </c>
      <c r="B12" s="6" t="s">
        <v>13261</v>
      </c>
      <c r="C12" s="27">
        <v>3</v>
      </c>
      <c r="D12" s="27"/>
      <c r="E12" s="27" t="s">
        <v>13298</v>
      </c>
      <c r="F12" s="27" t="s">
        <v>13299</v>
      </c>
    </row>
    <row r="13" spans="1:6" x14ac:dyDescent="0.3">
      <c r="A13" s="27" t="s">
        <v>13189</v>
      </c>
      <c r="B13" s="6" t="s">
        <v>13262</v>
      </c>
      <c r="C13" s="27">
        <v>16</v>
      </c>
      <c r="D13" s="27"/>
      <c r="E13" s="27" t="s">
        <v>13298</v>
      </c>
      <c r="F13" s="27" t="s">
        <v>13299</v>
      </c>
    </row>
    <row r="14" spans="1:6" x14ac:dyDescent="0.3">
      <c r="A14" s="27" t="s">
        <v>13189</v>
      </c>
      <c r="B14" s="6" t="s">
        <v>13263</v>
      </c>
      <c r="C14" s="27">
        <v>6</v>
      </c>
      <c r="D14" s="27"/>
      <c r="E14" s="27" t="s">
        <v>13298</v>
      </c>
      <c r="F14" s="27" t="s">
        <v>13299</v>
      </c>
    </row>
    <row r="15" spans="1:6" x14ac:dyDescent="0.3">
      <c r="A15" s="27" t="s">
        <v>13189</v>
      </c>
      <c r="B15" s="6" t="s">
        <v>683</v>
      </c>
      <c r="C15" s="27">
        <v>7</v>
      </c>
      <c r="D15" s="27"/>
      <c r="E15" s="27" t="s">
        <v>13298</v>
      </c>
      <c r="F15" s="27" t="s">
        <v>13299</v>
      </c>
    </row>
    <row r="16" spans="1:6" x14ac:dyDescent="0.3">
      <c r="A16" s="27" t="s">
        <v>13189</v>
      </c>
      <c r="B16" s="6" t="s">
        <v>13264</v>
      </c>
      <c r="C16" s="27">
        <v>3</v>
      </c>
      <c r="D16" s="27"/>
      <c r="E16" s="27" t="s">
        <v>13298</v>
      </c>
      <c r="F16" s="27" t="s">
        <v>13299</v>
      </c>
    </row>
    <row r="17" spans="1:6" x14ac:dyDescent="0.3">
      <c r="A17" s="27"/>
      <c r="B17" s="6"/>
      <c r="C17" s="27"/>
      <c r="D17" s="27"/>
      <c r="E17" s="27"/>
      <c r="F17" s="57"/>
    </row>
    <row r="18" spans="1:6" x14ac:dyDescent="0.3">
      <c r="A18" s="27"/>
      <c r="B18" s="6"/>
      <c r="C18" s="27"/>
      <c r="D18" s="27"/>
      <c r="E18" s="27"/>
      <c r="F18" s="57"/>
    </row>
    <row r="19" spans="1:6" x14ac:dyDescent="0.3">
      <c r="A19" s="27"/>
      <c r="B19" s="6"/>
      <c r="C19" s="27"/>
      <c r="D19" s="27"/>
      <c r="E19" s="27"/>
      <c r="F19" s="57"/>
    </row>
    <row r="20" spans="1:6" x14ac:dyDescent="0.3">
      <c r="A20" s="27"/>
      <c r="B20" s="6"/>
      <c r="C20" s="27"/>
      <c r="D20" s="27"/>
      <c r="E20" s="27"/>
      <c r="F20" s="57"/>
    </row>
    <row r="21" spans="1:6" x14ac:dyDescent="0.3">
      <c r="A21" s="27"/>
      <c r="B21" s="6"/>
      <c r="C21" s="27"/>
      <c r="D21" s="27"/>
      <c r="E21" s="27"/>
      <c r="F21" s="57"/>
    </row>
    <row r="22" spans="1:6" x14ac:dyDescent="0.3">
      <c r="A22" s="27"/>
      <c r="B22" s="6"/>
      <c r="C22" s="27"/>
      <c r="D22" s="27"/>
      <c r="E22" s="27"/>
      <c r="F22" s="57"/>
    </row>
    <row r="23" spans="1:6" x14ac:dyDescent="0.3">
      <c r="A23" s="27"/>
      <c r="B23" s="6"/>
      <c r="C23" s="27"/>
      <c r="D23" s="27"/>
      <c r="E23" s="27"/>
      <c r="F23" s="57"/>
    </row>
    <row r="24" spans="1:6" x14ac:dyDescent="0.3">
      <c r="A24" s="27"/>
      <c r="B24" s="6"/>
      <c r="C24" s="27"/>
      <c r="D24" s="27"/>
      <c r="E24" s="27"/>
      <c r="F24" s="57"/>
    </row>
    <row r="25" spans="1:6" x14ac:dyDescent="0.3">
      <c r="A25" s="27"/>
      <c r="B25" s="6"/>
      <c r="C25" s="27"/>
      <c r="D25" s="27"/>
      <c r="E25" s="27"/>
      <c r="F25" s="57"/>
    </row>
    <row r="26" spans="1:6" x14ac:dyDescent="0.3">
      <c r="A26" s="27"/>
      <c r="B26" s="6"/>
      <c r="C26" s="27"/>
      <c r="D26" s="27"/>
      <c r="E26" s="27"/>
      <c r="F26" s="57"/>
    </row>
  </sheetData>
  <autoFilter ref="A2:F11" xr:uid="{6112447D-9304-4063-BAFF-55F9D387C8F2}"/>
  <mergeCells count="5">
    <mergeCell ref="A1:F1"/>
    <mergeCell ref="E2:E3"/>
    <mergeCell ref="A2:A3"/>
    <mergeCell ref="B2:B3"/>
    <mergeCell ref="F2:F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Props1.xml><?xml version="1.0" encoding="utf-8"?>
<ds:datastoreItem xmlns:ds="http://schemas.openxmlformats.org/officeDocument/2006/customXml" ds:itemID="{ABF24637-A96C-4905-8A7C-C9F64C09D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08D14A-1E13-4CAD-B5BF-D073C43D49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0F4DC8-A2AC-49BE-96FC-E09301455314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Sheet0</vt:lpstr>
      <vt:lpstr>LIGAÇÕES MAR</vt:lpstr>
      <vt:lpstr>LIGAÇÕES FEV</vt:lpstr>
      <vt:lpstr>RESUMO LIG LAVAGEM</vt:lpstr>
      <vt:lpstr>RESUMO LIG PENDENTES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Junior Carlos Campos de Oliveira</cp:lastModifiedBy>
  <cp:lastPrinted>2026-03-10T11:04:31Z</cp:lastPrinted>
  <dcterms:created xsi:type="dcterms:W3CDTF">2026-01-27T11:59:58Z</dcterms:created>
  <dcterms:modified xsi:type="dcterms:W3CDTF">2026-03-10T16:58:17Z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
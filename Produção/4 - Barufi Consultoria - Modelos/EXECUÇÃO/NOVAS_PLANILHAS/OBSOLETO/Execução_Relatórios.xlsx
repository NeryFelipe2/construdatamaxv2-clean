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NOVAS_PLANILHAS/"/>
    </mc:Choice>
  </mc:AlternateContent>
  <xr:revisionPtr revIDLastSave="1937" documentId="8_{BE5D99AB-6D90-4BFD-9E63-162A4ADB5478}" xr6:coauthVersionLast="47" xr6:coauthVersionMax="47" xr10:uidLastSave="{CE5DB158-0E37-4CAD-8D78-0154A9CDD1D6}"/>
  <bookViews>
    <workbookView xWindow="-110" yWindow="-110" windowWidth="19420" windowHeight="11500" activeTab="3" xr2:uid="{2EEBA187-2C49-4F1F-ADE7-AC699C1C440F}"/>
  </bookViews>
  <sheets>
    <sheet name="GERAL" sheetId="1" r:id="rId1"/>
    <sheet name="PROD_EQUIPE" sheetId="3" r:id="rId2"/>
    <sheet name="PROD_NÚCLEO" sheetId="4" r:id="rId3"/>
    <sheet name="PROD_META_30D" sheetId="5" r:id="rId4"/>
    <sheet name="PREVISTO" sheetId="7" r:id="rId5"/>
    <sheet name="Planilha2" sheetId="9" state="hidden" r:id="rId6"/>
  </sheets>
  <definedNames>
    <definedName name="DadosExternos_1" localSheetId="0" hidden="1">GERAL!$B$2:$Q$3178</definedName>
    <definedName name="SegmentaçãodeDados_Núcleo">#N/A</definedName>
  </definedNames>
  <calcPr calcId="191028"/>
  <pivotCaches>
    <pivotCache cacheId="0" r:id="rId7"/>
    <pivotCache cacheId="5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5" l="1"/>
  <c r="Z20" i="5"/>
  <c r="AV17" i="5"/>
  <c r="AU17" i="5"/>
  <c r="J3182" i="1"/>
  <c r="K3182" i="1"/>
  <c r="L3182" i="1"/>
  <c r="M3182" i="1"/>
  <c r="N3182" i="1"/>
  <c r="O3182" i="1"/>
  <c r="P3182" i="1"/>
  <c r="I3182" i="1"/>
  <c r="H318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3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8" i="7" s="1"/>
  <c r="A104" i="1"/>
  <c r="A9" i="7" s="1"/>
  <c r="A105" i="1"/>
  <c r="A10" i="7" s="1"/>
  <c r="A106" i="1"/>
  <c r="A11" i="7" s="1"/>
  <c r="A107" i="1"/>
  <c r="A12" i="7" s="1"/>
  <c r="A108" i="1"/>
  <c r="A13" i="7" s="1"/>
  <c r="A109" i="1"/>
  <c r="A14" i="7" s="1"/>
  <c r="A110" i="1"/>
  <c r="A15" i="7" s="1"/>
  <c r="A111" i="1"/>
  <c r="A16" i="7" s="1"/>
  <c r="A112" i="1"/>
  <c r="A17" i="7" s="1"/>
  <c r="A113" i="1"/>
  <c r="A18" i="7" s="1"/>
  <c r="A114" i="1"/>
  <c r="A19" i="7" s="1"/>
  <c r="A115" i="1"/>
  <c r="A20" i="7" s="1"/>
  <c r="A116" i="1"/>
  <c r="A21" i="7" s="1"/>
  <c r="A117" i="1"/>
  <c r="A22" i="7" s="1"/>
  <c r="A118" i="1"/>
  <c r="A23" i="7" s="1"/>
  <c r="A119" i="1"/>
  <c r="A24" i="7" s="1"/>
  <c r="A120" i="1"/>
  <c r="A25" i="7" s="1"/>
  <c r="A121" i="1"/>
  <c r="A26" i="7" s="1"/>
  <c r="A122" i="1"/>
  <c r="A27" i="7" s="1"/>
  <c r="A123" i="1"/>
  <c r="A28" i="7" s="1"/>
  <c r="A124" i="1"/>
  <c r="A29" i="7" s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3" i="1"/>
  <c r="A30" i="7"/>
  <c r="R8" i="4"/>
  <c r="C17" i="4" s="1"/>
  <c r="R8" i="3"/>
  <c r="G21" i="3" s="1"/>
  <c r="A42" i="7" l="1"/>
  <c r="A41" i="7"/>
  <c r="A40" i="7"/>
  <c r="A39" i="7"/>
  <c r="A38" i="7"/>
  <c r="A37" i="7"/>
  <c r="A36" i="7"/>
  <c r="A35" i="7"/>
  <c r="A46" i="7"/>
  <c r="A34" i="7"/>
  <c r="A33" i="7"/>
  <c r="A45" i="7"/>
  <c r="A32" i="7"/>
  <c r="A44" i="7"/>
  <c r="A31" i="7"/>
  <c r="A43" i="7"/>
  <c r="T12" i="5"/>
  <c r="U12" i="5"/>
  <c r="P11" i="5"/>
  <c r="J10" i="5"/>
  <c r="V10" i="5"/>
  <c r="M15" i="5"/>
  <c r="U15" i="5"/>
  <c r="R15" i="5"/>
  <c r="J14" i="5"/>
  <c r="Q14" i="5"/>
  <c r="R14" i="5"/>
  <c r="J13" i="5"/>
  <c r="M13" i="5"/>
  <c r="Q13" i="5"/>
  <c r="U13" i="5"/>
  <c r="N13" i="5"/>
  <c r="R13" i="5"/>
  <c r="V13" i="5"/>
  <c r="N12" i="5"/>
  <c r="R12" i="5"/>
  <c r="V12" i="5"/>
  <c r="K11" i="5"/>
  <c r="N10" i="5"/>
  <c r="J15" i="5"/>
  <c r="Q15" i="5"/>
  <c r="N15" i="5"/>
  <c r="V15" i="5"/>
  <c r="M14" i="5"/>
  <c r="U14" i="5"/>
  <c r="N14" i="5"/>
  <c r="V14" i="5"/>
  <c r="J12" i="5"/>
  <c r="M12" i="5"/>
  <c r="Q12" i="5"/>
  <c r="J11" i="5"/>
  <c r="M11" i="5"/>
  <c r="Q11" i="5"/>
  <c r="U11" i="5"/>
  <c r="N11" i="5"/>
  <c r="R11" i="5"/>
  <c r="V11" i="5"/>
  <c r="S11" i="5"/>
  <c r="U10" i="5"/>
  <c r="S10" i="5"/>
  <c r="K15" i="5"/>
  <c r="O15" i="5"/>
  <c r="S15" i="5"/>
  <c r="L15" i="5"/>
  <c r="P15" i="5"/>
  <c r="T15" i="5"/>
  <c r="I14" i="5"/>
  <c r="K14" i="5"/>
  <c r="O14" i="5"/>
  <c r="S14" i="5"/>
  <c r="L14" i="5"/>
  <c r="P14" i="5"/>
  <c r="T14" i="5"/>
  <c r="I11" i="5"/>
  <c r="L11" i="5"/>
  <c r="M10" i="5"/>
  <c r="R10" i="5"/>
  <c r="O10" i="5"/>
  <c r="P10" i="5"/>
  <c r="I15" i="5"/>
  <c r="K13" i="5"/>
  <c r="S13" i="5"/>
  <c r="L13" i="5"/>
  <c r="P13" i="5"/>
  <c r="T13" i="5"/>
  <c r="O11" i="5"/>
  <c r="T11" i="5"/>
  <c r="Q10" i="5"/>
  <c r="I10" i="5"/>
  <c r="K10" i="5"/>
  <c r="L10" i="5"/>
  <c r="T10" i="5"/>
  <c r="I13" i="5"/>
  <c r="O13" i="5"/>
  <c r="I12" i="5"/>
  <c r="K12" i="5"/>
  <c r="O12" i="5"/>
  <c r="S12" i="5"/>
  <c r="L12" i="5"/>
  <c r="P12" i="5"/>
  <c r="I27" i="3"/>
  <c r="H27" i="3"/>
  <c r="J24" i="3"/>
  <c r="J27" i="3"/>
  <c r="G27" i="3"/>
  <c r="I24" i="3"/>
  <c r="J21" i="3"/>
  <c r="I21" i="3"/>
  <c r="E30" i="3"/>
  <c r="H21" i="3"/>
  <c r="H24" i="3"/>
  <c r="G24" i="3"/>
  <c r="G30" i="3"/>
  <c r="F30" i="3"/>
  <c r="D30" i="3"/>
  <c r="E27" i="3"/>
  <c r="E21" i="3"/>
  <c r="F28" i="3"/>
  <c r="F22" i="3"/>
  <c r="K29" i="3"/>
  <c r="E25" i="3"/>
  <c r="D28" i="3"/>
  <c r="D25" i="3"/>
  <c r="D22" i="3"/>
  <c r="J30" i="3"/>
  <c r="I29" i="3"/>
  <c r="C28" i="3"/>
  <c r="K26" i="3"/>
  <c r="C25" i="3"/>
  <c r="K23" i="3"/>
  <c r="C22" i="3"/>
  <c r="K21" i="3"/>
  <c r="G22" i="3"/>
  <c r="C23" i="3"/>
  <c r="K24" i="3"/>
  <c r="G25" i="3"/>
  <c r="C26" i="3"/>
  <c r="K27" i="3"/>
  <c r="G28" i="3"/>
  <c r="C29" i="3"/>
  <c r="K30" i="3"/>
  <c r="L21" i="3"/>
  <c r="H22" i="3"/>
  <c r="D23" i="3"/>
  <c r="L24" i="3"/>
  <c r="H25" i="3"/>
  <c r="D26" i="3"/>
  <c r="L27" i="3"/>
  <c r="H28" i="3"/>
  <c r="D29" i="3"/>
  <c r="L30" i="3"/>
  <c r="C21" i="3"/>
  <c r="P21" i="3" s="1"/>
  <c r="K22" i="3"/>
  <c r="G23" i="3"/>
  <c r="C24" i="3"/>
  <c r="K25" i="3"/>
  <c r="G26" i="3"/>
  <c r="C27" i="3"/>
  <c r="K28" i="3"/>
  <c r="G29" i="3"/>
  <c r="C30" i="3"/>
  <c r="D21" i="3"/>
  <c r="L22" i="3"/>
  <c r="H23" i="3"/>
  <c r="D24" i="3"/>
  <c r="L25" i="3"/>
  <c r="H26" i="3"/>
  <c r="I22" i="3"/>
  <c r="E23" i="3"/>
  <c r="I25" i="3"/>
  <c r="E26" i="3"/>
  <c r="I28" i="3"/>
  <c r="E29" i="3"/>
  <c r="J22" i="3"/>
  <c r="F23" i="3"/>
  <c r="J25" i="3"/>
  <c r="F26" i="3"/>
  <c r="J28" i="3"/>
  <c r="F29" i="3"/>
  <c r="D27" i="3"/>
  <c r="F27" i="3"/>
  <c r="F24" i="3"/>
  <c r="F21" i="3"/>
  <c r="L28" i="3"/>
  <c r="E24" i="3"/>
  <c r="L29" i="3"/>
  <c r="F25" i="3"/>
  <c r="E28" i="3"/>
  <c r="E22" i="3"/>
  <c r="J29" i="3"/>
  <c r="L26" i="3"/>
  <c r="L23" i="3"/>
  <c r="I30" i="3"/>
  <c r="H29" i="3"/>
  <c r="J26" i="3"/>
  <c r="J23" i="3"/>
  <c r="H30" i="3"/>
  <c r="I26" i="3"/>
  <c r="I23" i="3"/>
  <c r="I36" i="4"/>
  <c r="E27" i="4"/>
  <c r="I23" i="4"/>
  <c r="J26" i="4"/>
  <c r="K24" i="4"/>
  <c r="K40" i="4"/>
  <c r="C32" i="4"/>
  <c r="C23" i="4"/>
  <c r="J36" i="4"/>
  <c r="D27" i="4"/>
  <c r="K42" i="4"/>
  <c r="L24" i="4"/>
  <c r="J41" i="4"/>
  <c r="E40" i="4"/>
  <c r="L31" i="4"/>
  <c r="L21" i="4"/>
  <c r="C27" i="4"/>
  <c r="J42" i="4"/>
  <c r="I42" i="4"/>
  <c r="C39" i="4"/>
  <c r="K31" i="4"/>
  <c r="C21" i="4"/>
  <c r="J27" i="4"/>
  <c r="F36" i="4"/>
  <c r="J35" i="4"/>
  <c r="I35" i="4"/>
  <c r="K33" i="4"/>
  <c r="J32" i="4"/>
  <c r="I32" i="4"/>
  <c r="K36" i="4"/>
  <c r="K27" i="4"/>
  <c r="K16" i="4"/>
  <c r="F35" i="4"/>
  <c r="C30" i="4"/>
  <c r="I26" i="4"/>
  <c r="J20" i="4"/>
  <c r="F38" i="4"/>
  <c r="L25" i="4"/>
  <c r="C20" i="4"/>
  <c r="G38" i="4"/>
  <c r="E35" i="4"/>
  <c r="E29" i="4"/>
  <c r="E26" i="4"/>
  <c r="D20" i="4"/>
  <c r="J43" i="4"/>
  <c r="L34" i="4"/>
  <c r="D29" i="4"/>
  <c r="I43" i="4"/>
  <c r="I37" i="4"/>
  <c r="K34" i="4"/>
  <c r="C29" i="4"/>
  <c r="I25" i="4"/>
  <c r="C18" i="4"/>
  <c r="H43" i="4"/>
  <c r="H37" i="4"/>
  <c r="J34" i="4"/>
  <c r="I28" i="4"/>
  <c r="H25" i="4"/>
  <c r="J17" i="4"/>
  <c r="L42" i="4"/>
  <c r="E37" i="4"/>
  <c r="L33" i="4"/>
  <c r="H28" i="4"/>
  <c r="G25" i="4"/>
  <c r="L16" i="4"/>
  <c r="I41" i="4"/>
  <c r="E38" i="4"/>
  <c r="E36" i="4"/>
  <c r="I34" i="4"/>
  <c r="E31" i="4"/>
  <c r="G28" i="4"/>
  <c r="H26" i="4"/>
  <c r="J24" i="4"/>
  <c r="L19" i="4"/>
  <c r="L43" i="4"/>
  <c r="C41" i="4"/>
  <c r="D38" i="4"/>
  <c r="D36" i="4"/>
  <c r="H34" i="4"/>
  <c r="E30" i="4"/>
  <c r="F28" i="4"/>
  <c r="G26" i="4"/>
  <c r="I24" i="4"/>
  <c r="K19" i="4"/>
  <c r="K43" i="4"/>
  <c r="L40" i="4"/>
  <c r="C38" i="4"/>
  <c r="C36" i="4"/>
  <c r="G34" i="4"/>
  <c r="D30" i="4"/>
  <c r="E28" i="4"/>
  <c r="F26" i="4"/>
  <c r="J23" i="4"/>
  <c r="L18" i="4"/>
  <c r="E39" i="4"/>
  <c r="G37" i="4"/>
  <c r="H35" i="4"/>
  <c r="J33" i="4"/>
  <c r="G29" i="4"/>
  <c r="I27" i="4"/>
  <c r="K25" i="4"/>
  <c r="L22" i="4"/>
  <c r="D17" i="4"/>
  <c r="M17" i="4" s="1"/>
  <c r="G43" i="4"/>
  <c r="D39" i="4"/>
  <c r="F37" i="4"/>
  <c r="G35" i="4"/>
  <c r="I33" i="4"/>
  <c r="F29" i="4"/>
  <c r="F27" i="4"/>
  <c r="J25" i="4"/>
  <c r="K22" i="4"/>
  <c r="C12" i="4"/>
  <c r="C16" i="4"/>
  <c r="K17" i="4"/>
  <c r="G18" i="4"/>
  <c r="C19" i="4"/>
  <c r="K20" i="4"/>
  <c r="G21" i="4"/>
  <c r="C22" i="4"/>
  <c r="K23" i="4"/>
  <c r="G24" i="4"/>
  <c r="C25" i="4"/>
  <c r="K26" i="4"/>
  <c r="G27" i="4"/>
  <c r="C28" i="4"/>
  <c r="K29" i="4"/>
  <c r="G30" i="4"/>
  <c r="C31" i="4"/>
  <c r="K32" i="4"/>
  <c r="G33" i="4"/>
  <c r="C34" i="4"/>
  <c r="K35" i="4"/>
  <c r="G36" i="4"/>
  <c r="C37" i="4"/>
  <c r="K38" i="4"/>
  <c r="G39" i="4"/>
  <c r="C40" i="4"/>
  <c r="K41" i="4"/>
  <c r="G42" i="4"/>
  <c r="C43" i="4"/>
  <c r="D16" i="4"/>
  <c r="L17" i="4"/>
  <c r="H18" i="4"/>
  <c r="D19" i="4"/>
  <c r="L20" i="4"/>
  <c r="H21" i="4"/>
  <c r="D22" i="4"/>
  <c r="L23" i="4"/>
  <c r="H24" i="4"/>
  <c r="D25" i="4"/>
  <c r="L26" i="4"/>
  <c r="H27" i="4"/>
  <c r="D28" i="4"/>
  <c r="L29" i="4"/>
  <c r="H30" i="4"/>
  <c r="D31" i="4"/>
  <c r="L32" i="4"/>
  <c r="H33" i="4"/>
  <c r="D34" i="4"/>
  <c r="L35" i="4"/>
  <c r="H36" i="4"/>
  <c r="D37" i="4"/>
  <c r="L38" i="4"/>
  <c r="H39" i="4"/>
  <c r="D40" i="4"/>
  <c r="L41" i="4"/>
  <c r="H42" i="4"/>
  <c r="D43" i="4"/>
  <c r="E16" i="4"/>
  <c r="I18" i="4"/>
  <c r="E19" i="4"/>
  <c r="I21" i="4"/>
  <c r="E22" i="4"/>
  <c r="E42" i="4"/>
  <c r="I40" i="4"/>
  <c r="C35" i="4"/>
  <c r="E33" i="4"/>
  <c r="K30" i="4"/>
  <c r="C26" i="4"/>
  <c r="E24" i="4"/>
  <c r="I22" i="4"/>
  <c r="H20" i="4"/>
  <c r="I19" i="4"/>
  <c r="J18" i="4"/>
  <c r="H17" i="4"/>
  <c r="D42" i="4"/>
  <c r="H40" i="4"/>
  <c r="J38" i="4"/>
  <c r="D33" i="4"/>
  <c r="H31" i="4"/>
  <c r="J29" i="4"/>
  <c r="H22" i="4"/>
  <c r="G20" i="4"/>
  <c r="F18" i="4"/>
  <c r="G17" i="4"/>
  <c r="P17" i="4" s="1"/>
  <c r="E41" i="4"/>
  <c r="G40" i="4"/>
  <c r="I39" i="4"/>
  <c r="I38" i="4"/>
  <c r="K37" i="4"/>
  <c r="C33" i="4"/>
  <c r="E32" i="4"/>
  <c r="G31" i="4"/>
  <c r="I30" i="4"/>
  <c r="I29" i="4"/>
  <c r="K28" i="4"/>
  <c r="C24" i="4"/>
  <c r="E23" i="4"/>
  <c r="G22" i="4"/>
  <c r="E21" i="4"/>
  <c r="F20" i="4"/>
  <c r="G19" i="4"/>
  <c r="E18" i="4"/>
  <c r="F17" i="4"/>
  <c r="G16" i="4"/>
  <c r="F43" i="4"/>
  <c r="F42" i="4"/>
  <c r="H41" i="4"/>
  <c r="J40" i="4"/>
  <c r="L39" i="4"/>
  <c r="D35" i="4"/>
  <c r="F34" i="4"/>
  <c r="F33" i="4"/>
  <c r="H32" i="4"/>
  <c r="J31" i="4"/>
  <c r="L30" i="4"/>
  <c r="D26" i="4"/>
  <c r="F25" i="4"/>
  <c r="F24" i="4"/>
  <c r="H23" i="4"/>
  <c r="J22" i="4"/>
  <c r="K21" i="4"/>
  <c r="I20" i="4"/>
  <c r="J19" i="4"/>
  <c r="K18" i="4"/>
  <c r="I17" i="4"/>
  <c r="J16" i="4"/>
  <c r="E43" i="4"/>
  <c r="G41" i="4"/>
  <c r="K39" i="4"/>
  <c r="E34" i="4"/>
  <c r="G32" i="4"/>
  <c r="I31" i="4"/>
  <c r="E25" i="4"/>
  <c r="G23" i="4"/>
  <c r="J21" i="4"/>
  <c r="I16" i="4"/>
  <c r="F41" i="4"/>
  <c r="J39" i="4"/>
  <c r="L37" i="4"/>
  <c r="F32" i="4"/>
  <c r="J30" i="4"/>
  <c r="L28" i="4"/>
  <c r="D24" i="4"/>
  <c r="F23" i="4"/>
  <c r="F21" i="4"/>
  <c r="H19" i="4"/>
  <c r="H16" i="4"/>
  <c r="C42" i="4"/>
  <c r="D41" i="4"/>
  <c r="F40" i="4"/>
  <c r="F39" i="4"/>
  <c r="H38" i="4"/>
  <c r="J37" i="4"/>
  <c r="L36" i="4"/>
  <c r="D32" i="4"/>
  <c r="F31" i="4"/>
  <c r="F30" i="4"/>
  <c r="H29" i="4"/>
  <c r="J28" i="4"/>
  <c r="L27" i="4"/>
  <c r="D23" i="4"/>
  <c r="F22" i="4"/>
  <c r="D21" i="4"/>
  <c r="E20" i="4"/>
  <c r="F19" i="4"/>
  <c r="D18" i="4"/>
  <c r="E17" i="4"/>
  <c r="F16" i="4"/>
  <c r="C13" i="3"/>
  <c r="C31" i="3"/>
  <c r="E31" i="3"/>
  <c r="F31" i="3"/>
  <c r="D31" i="3"/>
  <c r="G31" i="3"/>
  <c r="H31" i="3"/>
  <c r="I31" i="3"/>
  <c r="J31" i="3"/>
  <c r="L31" i="3"/>
  <c r="K31" i="3"/>
  <c r="K11" i="3"/>
  <c r="J17" i="3"/>
  <c r="F15" i="3"/>
  <c r="E15" i="3"/>
  <c r="J14" i="3"/>
  <c r="D14" i="3"/>
  <c r="C14" i="3"/>
  <c r="J11" i="3"/>
  <c r="C18" i="3"/>
  <c r="D20" i="3"/>
  <c r="I11" i="3"/>
  <c r="D18" i="3"/>
  <c r="F14" i="4"/>
  <c r="C20" i="3"/>
  <c r="K18" i="3"/>
  <c r="J18" i="3"/>
  <c r="G13" i="3"/>
  <c r="L15" i="4"/>
  <c r="I13" i="3"/>
  <c r="H13" i="3"/>
  <c r="I18" i="3"/>
  <c r="G11" i="4"/>
  <c r="J14" i="4"/>
  <c r="H16" i="3"/>
  <c r="G12" i="3"/>
  <c r="K15" i="4"/>
  <c r="J20" i="3"/>
  <c r="G16" i="3"/>
  <c r="C11" i="4"/>
  <c r="H15" i="4"/>
  <c r="I20" i="3"/>
  <c r="E16" i="3"/>
  <c r="E11" i="4"/>
  <c r="F15" i="4"/>
  <c r="F20" i="3"/>
  <c r="C16" i="3"/>
  <c r="F11" i="4"/>
  <c r="K14" i="4"/>
  <c r="H13" i="4"/>
  <c r="H11" i="3"/>
  <c r="H20" i="3"/>
  <c r="F16" i="3"/>
  <c r="E12" i="3"/>
  <c r="D13" i="4"/>
  <c r="G13" i="4"/>
  <c r="C13" i="4"/>
  <c r="E14" i="4"/>
  <c r="D14" i="4"/>
  <c r="C14" i="4"/>
  <c r="L17" i="3"/>
  <c r="K13" i="3"/>
  <c r="G15" i="4"/>
  <c r="L12" i="4"/>
  <c r="L19" i="3"/>
  <c r="D16" i="3"/>
  <c r="F12" i="3"/>
  <c r="J15" i="4"/>
  <c r="F13" i="4"/>
  <c r="I14" i="4"/>
  <c r="K12" i="4"/>
  <c r="G20" i="3"/>
  <c r="H17" i="3"/>
  <c r="L13" i="3"/>
  <c r="H11" i="4"/>
  <c r="H14" i="4"/>
  <c r="J12" i="4"/>
  <c r="F19" i="3"/>
  <c r="D15" i="3"/>
  <c r="I12" i="4"/>
  <c r="F17" i="3"/>
  <c r="C15" i="3"/>
  <c r="J11" i="4"/>
  <c r="D15" i="4"/>
  <c r="G12" i="4"/>
  <c r="D19" i="3"/>
  <c r="K16" i="3"/>
  <c r="L14" i="3"/>
  <c r="I12" i="3"/>
  <c r="K11" i="4"/>
  <c r="C15" i="4"/>
  <c r="J13" i="4"/>
  <c r="F12" i="4"/>
  <c r="L11" i="3"/>
  <c r="G17" i="3"/>
  <c r="K12" i="3"/>
  <c r="I11" i="4"/>
  <c r="E15" i="4"/>
  <c r="L13" i="4"/>
  <c r="D11" i="3"/>
  <c r="E19" i="3"/>
  <c r="J12" i="3"/>
  <c r="K13" i="4"/>
  <c r="L18" i="3"/>
  <c r="J16" i="3"/>
  <c r="K14" i="3"/>
  <c r="H12" i="3"/>
  <c r="L11" i="4"/>
  <c r="L14" i="4"/>
  <c r="I13" i="4"/>
  <c r="D12" i="4"/>
  <c r="E12" i="4"/>
  <c r="H12" i="4"/>
  <c r="C11" i="3"/>
  <c r="G19" i="3"/>
  <c r="I17" i="3"/>
  <c r="H15" i="3"/>
  <c r="J13" i="3"/>
  <c r="D11" i="4"/>
  <c r="I15" i="4"/>
  <c r="G14" i="4"/>
  <c r="E13" i="4"/>
  <c r="D12" i="3"/>
  <c r="K19" i="3"/>
  <c r="H18" i="3"/>
  <c r="E17" i="3"/>
  <c r="L15" i="3"/>
  <c r="I14" i="3"/>
  <c r="F13" i="3"/>
  <c r="C12" i="3"/>
  <c r="E11" i="3"/>
  <c r="J19" i="3"/>
  <c r="G18" i="3"/>
  <c r="D17" i="3"/>
  <c r="K15" i="3"/>
  <c r="H14" i="3"/>
  <c r="E13" i="3"/>
  <c r="F11" i="3"/>
  <c r="L20" i="3"/>
  <c r="I19" i="3"/>
  <c r="F18" i="3"/>
  <c r="C17" i="3"/>
  <c r="J15" i="3"/>
  <c r="G14" i="3"/>
  <c r="D13" i="3"/>
  <c r="G11" i="3"/>
  <c r="K20" i="3"/>
  <c r="H19" i="3"/>
  <c r="E18" i="3"/>
  <c r="L16" i="3"/>
  <c r="I15" i="3"/>
  <c r="F14" i="3"/>
  <c r="L12" i="3"/>
  <c r="E20" i="3"/>
  <c r="C19" i="3"/>
  <c r="K17" i="3"/>
  <c r="I16" i="3"/>
  <c r="G15" i="3"/>
  <c r="E14" i="3"/>
  <c r="P30" i="3" l="1"/>
  <c r="P19" i="4"/>
  <c r="U17" i="5"/>
  <c r="P17" i="5"/>
  <c r="N17" i="5"/>
  <c r="M12" i="4"/>
  <c r="T17" i="5"/>
  <c r="L17" i="5"/>
  <c r="O17" i="5"/>
  <c r="Q17" i="5"/>
  <c r="K17" i="5"/>
  <c r="V17" i="5"/>
  <c r="M17" i="5"/>
  <c r="R17" i="5"/>
  <c r="S17" i="5"/>
  <c r="J17" i="5"/>
  <c r="I17" i="5"/>
  <c r="P29" i="4"/>
  <c r="P27" i="3"/>
  <c r="P22" i="3"/>
  <c r="N27" i="4"/>
  <c r="P24" i="3"/>
  <c r="N22" i="3"/>
  <c r="N29" i="3"/>
  <c r="N24" i="3"/>
  <c r="O30" i="3"/>
  <c r="P29" i="3"/>
  <c r="N23" i="3"/>
  <c r="N32" i="4"/>
  <c r="Q30" i="3"/>
  <c r="R30" i="3"/>
  <c r="N30" i="3"/>
  <c r="N26" i="3"/>
  <c r="P26" i="3"/>
  <c r="M23" i="4"/>
  <c r="P43" i="4"/>
  <c r="M21" i="3"/>
  <c r="R21" i="3"/>
  <c r="O22" i="3"/>
  <c r="Q22" i="3"/>
  <c r="P23" i="3"/>
  <c r="O28" i="3"/>
  <c r="Q28" i="3"/>
  <c r="O21" i="3"/>
  <c r="Q21" i="3"/>
  <c r="N28" i="3"/>
  <c r="O24" i="3"/>
  <c r="Q24" i="3"/>
  <c r="N21" i="3"/>
  <c r="O27" i="3"/>
  <c r="Q27" i="3"/>
  <c r="N27" i="3"/>
  <c r="O23" i="3"/>
  <c r="Q23" i="3"/>
  <c r="M27" i="3"/>
  <c r="R27" i="3"/>
  <c r="R23" i="3"/>
  <c r="M23" i="3"/>
  <c r="P28" i="3"/>
  <c r="M22" i="3"/>
  <c r="R22" i="3"/>
  <c r="M30" i="3"/>
  <c r="P25" i="3"/>
  <c r="O26" i="3"/>
  <c r="Q26" i="3"/>
  <c r="N25" i="3"/>
  <c r="R29" i="3"/>
  <c r="M29" i="3"/>
  <c r="O25" i="3"/>
  <c r="Q25" i="3"/>
  <c r="M25" i="3"/>
  <c r="R25" i="3"/>
  <c r="R26" i="3"/>
  <c r="M26" i="3"/>
  <c r="O29" i="3"/>
  <c r="Q29" i="3"/>
  <c r="M24" i="3"/>
  <c r="R24" i="3"/>
  <c r="R28" i="3"/>
  <c r="M28" i="3"/>
  <c r="N13" i="3"/>
  <c r="M27" i="4"/>
  <c r="O20" i="4"/>
  <c r="P18" i="4"/>
  <c r="N12" i="4"/>
  <c r="N34" i="4"/>
  <c r="P27" i="4"/>
  <c r="N29" i="4"/>
  <c r="P32" i="4"/>
  <c r="M32" i="4"/>
  <c r="O32" i="4"/>
  <c r="O39" i="4"/>
  <c r="N39" i="4"/>
  <c r="M29" i="4"/>
  <c r="P23" i="4"/>
  <c r="N23" i="4"/>
  <c r="P39" i="4"/>
  <c r="N21" i="4"/>
  <c r="O30" i="4"/>
  <c r="O13" i="3"/>
  <c r="O27" i="4"/>
  <c r="P30" i="4"/>
  <c r="R27" i="4"/>
  <c r="R39" i="4"/>
  <c r="N30" i="4"/>
  <c r="M20" i="4"/>
  <c r="N28" i="4"/>
  <c r="R30" i="4"/>
  <c r="P34" i="4"/>
  <c r="P21" i="4"/>
  <c r="O36" i="4"/>
  <c r="Q38" i="4"/>
  <c r="O18" i="4"/>
  <c r="M18" i="4"/>
  <c r="O24" i="4"/>
  <c r="O42" i="4"/>
  <c r="P20" i="4"/>
  <c r="N16" i="4"/>
  <c r="P36" i="4"/>
  <c r="P24" i="4"/>
  <c r="M30" i="4"/>
  <c r="O29" i="4"/>
  <c r="O31" i="3"/>
  <c r="O19" i="4"/>
  <c r="O43" i="4"/>
  <c r="N24" i="4"/>
  <c r="M43" i="4"/>
  <c r="M31" i="4"/>
  <c r="M19" i="4"/>
  <c r="N20" i="4"/>
  <c r="P16" i="4"/>
  <c r="P31" i="4"/>
  <c r="P28" i="4"/>
  <c r="R29" i="4"/>
  <c r="N43" i="4"/>
  <c r="P33" i="4"/>
  <c r="P40" i="4"/>
  <c r="O16" i="4"/>
  <c r="O40" i="4"/>
  <c r="N18" i="4"/>
  <c r="M40" i="4"/>
  <c r="M28" i="4"/>
  <c r="M16" i="4"/>
  <c r="Q39" i="4"/>
  <c r="O28" i="4"/>
  <c r="M39" i="4"/>
  <c r="Q27" i="4"/>
  <c r="M41" i="4"/>
  <c r="P38" i="4"/>
  <c r="M38" i="4"/>
  <c r="R38" i="4"/>
  <c r="R36" i="4"/>
  <c r="O38" i="4"/>
  <c r="R20" i="4"/>
  <c r="R23" i="4"/>
  <c r="Q29" i="4"/>
  <c r="P41" i="4"/>
  <c r="N41" i="4"/>
  <c r="N36" i="4"/>
  <c r="R41" i="4"/>
  <c r="N38" i="4"/>
  <c r="M24" i="4"/>
  <c r="M36" i="4"/>
  <c r="Q37" i="4"/>
  <c r="R37" i="4"/>
  <c r="Q26" i="4"/>
  <c r="R26" i="4"/>
  <c r="P37" i="4"/>
  <c r="P26" i="4"/>
  <c r="R31" i="4"/>
  <c r="N31" i="4"/>
  <c r="Q31" i="4"/>
  <c r="R42" i="4"/>
  <c r="Q42" i="4"/>
  <c r="P42" i="4"/>
  <c r="M37" i="4"/>
  <c r="R32" i="4"/>
  <c r="N17" i="4"/>
  <c r="R17" i="4"/>
  <c r="Q25" i="4"/>
  <c r="R25" i="4"/>
  <c r="O25" i="4"/>
  <c r="M21" i="4"/>
  <c r="R21" i="4"/>
  <c r="R33" i="4"/>
  <c r="Q33" i="4"/>
  <c r="Q35" i="4"/>
  <c r="R35" i="4"/>
  <c r="Q43" i="4"/>
  <c r="R43" i="4"/>
  <c r="O34" i="4"/>
  <c r="M42" i="4"/>
  <c r="N42" i="4"/>
  <c r="M25" i="4"/>
  <c r="P35" i="4"/>
  <c r="M35" i="4"/>
  <c r="P22" i="4"/>
  <c r="N22" i="4"/>
  <c r="R40" i="4"/>
  <c r="N40" i="4"/>
  <c r="Q40" i="4"/>
  <c r="Q28" i="4"/>
  <c r="R28" i="4"/>
  <c r="Q16" i="4"/>
  <c r="R16" i="4"/>
  <c r="O35" i="4"/>
  <c r="Q18" i="4"/>
  <c r="M26" i="4"/>
  <c r="R22" i="4"/>
  <c r="Q22" i="4"/>
  <c r="Q36" i="4"/>
  <c r="O22" i="4"/>
  <c r="M33" i="4"/>
  <c r="O33" i="4"/>
  <c r="O37" i="4"/>
  <c r="O26" i="4"/>
  <c r="N26" i="4"/>
  <c r="Q21" i="4"/>
  <c r="O21" i="4"/>
  <c r="N25" i="4"/>
  <c r="R18" i="4"/>
  <c r="Q30" i="4"/>
  <c r="Q32" i="4"/>
  <c r="Q34" i="4"/>
  <c r="R34" i="4"/>
  <c r="O17" i="4"/>
  <c r="Q17" i="4"/>
  <c r="N33" i="4"/>
  <c r="O41" i="4"/>
  <c r="Q41" i="4"/>
  <c r="Q19" i="4"/>
  <c r="R19" i="4"/>
  <c r="O31" i="4"/>
  <c r="O23" i="4"/>
  <c r="Q23" i="4"/>
  <c r="R24" i="4"/>
  <c r="Q24" i="4"/>
  <c r="N19" i="4"/>
  <c r="M34" i="4"/>
  <c r="M22" i="4"/>
  <c r="P25" i="4"/>
  <c r="N35" i="4"/>
  <c r="N37" i="4"/>
  <c r="Q20" i="4"/>
  <c r="O15" i="3"/>
  <c r="N31" i="3"/>
  <c r="P31" i="3"/>
  <c r="M31" i="3"/>
  <c r="P13" i="3"/>
  <c r="Q31" i="3"/>
  <c r="R31" i="3"/>
  <c r="M18" i="3"/>
  <c r="P14" i="3"/>
  <c r="M14" i="3"/>
  <c r="O14" i="3"/>
  <c r="R14" i="3"/>
  <c r="R18" i="3"/>
  <c r="O18" i="3"/>
  <c r="P18" i="3"/>
  <c r="O14" i="4"/>
  <c r="R20" i="3"/>
  <c r="Q20" i="3"/>
  <c r="O20" i="3"/>
  <c r="M20" i="3"/>
  <c r="N16" i="3"/>
  <c r="O11" i="4"/>
  <c r="P16" i="3"/>
  <c r="Q11" i="4"/>
  <c r="O16" i="3"/>
  <c r="P11" i="4"/>
  <c r="N11" i="4"/>
  <c r="R16" i="3"/>
  <c r="Q16" i="3"/>
  <c r="O12" i="3"/>
  <c r="P13" i="4"/>
  <c r="Q15" i="4"/>
  <c r="O13" i="4"/>
  <c r="M14" i="4"/>
  <c r="R13" i="4"/>
  <c r="Q14" i="4"/>
  <c r="N14" i="4"/>
  <c r="Q13" i="4"/>
  <c r="M13" i="4"/>
  <c r="R14" i="4"/>
  <c r="M16" i="3"/>
  <c r="P15" i="4"/>
  <c r="Q12" i="3"/>
  <c r="P11" i="3"/>
  <c r="R15" i="4"/>
  <c r="N15" i="4"/>
  <c r="H44" i="4"/>
  <c r="F44" i="4"/>
  <c r="K44" i="4"/>
  <c r="P20" i="3"/>
  <c r="D44" i="4"/>
  <c r="L44" i="4"/>
  <c r="J44" i="4"/>
  <c r="M11" i="3"/>
  <c r="Q12" i="4"/>
  <c r="R15" i="3"/>
  <c r="O12" i="4"/>
  <c r="M15" i="3"/>
  <c r="O15" i="4"/>
  <c r="R12" i="4"/>
  <c r="N15" i="3"/>
  <c r="P12" i="4"/>
  <c r="O17" i="3"/>
  <c r="M15" i="4"/>
  <c r="Q15" i="3"/>
  <c r="P19" i="3"/>
  <c r="I44" i="4"/>
  <c r="R11" i="3"/>
  <c r="R12" i="3"/>
  <c r="M17" i="3"/>
  <c r="C44" i="4"/>
  <c r="P14" i="4"/>
  <c r="R11" i="4"/>
  <c r="M11" i="4"/>
  <c r="Q13" i="3"/>
  <c r="N18" i="3"/>
  <c r="N13" i="4"/>
  <c r="E44" i="4"/>
  <c r="N17" i="3"/>
  <c r="G44" i="4"/>
  <c r="P17" i="3"/>
  <c r="M12" i="3"/>
  <c r="Q14" i="3"/>
  <c r="R13" i="3"/>
  <c r="P12" i="3"/>
  <c r="N12" i="3"/>
  <c r="N11" i="3"/>
  <c r="Q17" i="3"/>
  <c r="Q11" i="3"/>
  <c r="O11" i="3"/>
  <c r="M13" i="3"/>
  <c r="Q18" i="3"/>
  <c r="R17" i="3"/>
  <c r="N20" i="3"/>
  <c r="C32" i="3"/>
  <c r="N14" i="3"/>
  <c r="P15" i="3"/>
  <c r="O19" i="3"/>
  <c r="M19" i="3"/>
  <c r="R19" i="3"/>
  <c r="N19" i="3"/>
  <c r="Q19" i="3"/>
  <c r="N47" i="4" l="1" a="1"/>
  <c r="N47" i="4" s="1"/>
  <c r="Q47" i="4" a="1"/>
  <c r="Q47" i="4" s="1"/>
  <c r="P46" i="4"/>
  <c r="O46" i="4"/>
  <c r="Q46" i="4"/>
  <c r="R46" i="4"/>
  <c r="N46" i="4"/>
  <c r="M47" i="4" a="1"/>
  <c r="M47" i="4" s="1"/>
  <c r="P47" i="4" a="1"/>
  <c r="P47" i="4" s="1"/>
  <c r="M46" i="4"/>
  <c r="R47" i="4" a="1"/>
  <c r="R47" i="4" s="1"/>
  <c r="O47" i="4" a="1"/>
  <c r="O47" i="4" s="1"/>
  <c r="P34" i="3"/>
  <c r="M35" i="3" a="1"/>
  <c r="M35" i="3" s="1"/>
  <c r="O35" i="3" a="1"/>
  <c r="O35" i="3" s="1"/>
  <c r="M34" i="3"/>
  <c r="O34" i="3"/>
  <c r="R35" i="3" a="1"/>
  <c r="R35" i="3" s="1"/>
  <c r="N35" i="3" a="1"/>
  <c r="N35" i="3" s="1"/>
  <c r="R34" i="3"/>
  <c r="N34" i="3"/>
  <c r="Q35" i="3" a="1"/>
  <c r="Q35" i="3" s="1"/>
  <c r="P35" i="3" a="1"/>
  <c r="P35" i="3" s="1"/>
  <c r="Q34" i="3"/>
  <c r="I32" i="3"/>
  <c r="J32" i="3"/>
  <c r="D32" i="3"/>
  <c r="E32" i="3"/>
  <c r="F32" i="3"/>
  <c r="H32" i="3"/>
  <c r="L32" i="3"/>
  <c r="G32" i="3"/>
  <c r="K32" i="3"/>
  <c r="AD11" i="5"/>
  <c r="AD12" i="5"/>
  <c r="AD13" i="5"/>
  <c r="AD14" i="5"/>
  <c r="AD15" i="5"/>
  <c r="AD10" i="5"/>
  <c r="AC11" i="5"/>
  <c r="AC12" i="5"/>
  <c r="AC13" i="5"/>
  <c r="AC14" i="5"/>
  <c r="AC15" i="5"/>
  <c r="AC10" i="5"/>
  <c r="AG5" i="5"/>
  <c r="G10" i="5" s="1"/>
  <c r="AB17" i="5"/>
  <c r="AA17" i="5"/>
  <c r="K46" i="7"/>
  <c r="C46" i="7" s="1" a="1"/>
  <c r="C46" i="7" s="1"/>
  <c r="D46" i="7" s="1" a="1"/>
  <c r="D46" i="7" s="1"/>
  <c r="K45" i="7"/>
  <c r="C45" i="7" s="1" a="1"/>
  <c r="C45" i="7" s="1"/>
  <c r="D45" i="7" s="1" a="1"/>
  <c r="D45" i="7" s="1"/>
  <c r="K44" i="7"/>
  <c r="C44" i="7" s="1" a="1"/>
  <c r="C44" i="7" s="1"/>
  <c r="D44" i="7" s="1" a="1"/>
  <c r="D44" i="7" s="1"/>
  <c r="K43" i="7"/>
  <c r="C43" i="7" s="1" a="1"/>
  <c r="C43" i="7" s="1"/>
  <c r="D43" i="7" s="1" a="1"/>
  <c r="D43" i="7" s="1"/>
  <c r="K42" i="7"/>
  <c r="C42" i="7" s="1" a="1"/>
  <c r="C42" i="7" s="1"/>
  <c r="D42" i="7" s="1" a="1"/>
  <c r="D42" i="7" s="1"/>
  <c r="K41" i="7"/>
  <c r="C41" i="7" s="1" a="1"/>
  <c r="C41" i="7" s="1"/>
  <c r="D41" i="7" s="1" a="1"/>
  <c r="D41" i="7" s="1"/>
  <c r="K40" i="7"/>
  <c r="C40" i="7" s="1" a="1"/>
  <c r="C40" i="7" s="1"/>
  <c r="D40" i="7" s="1" a="1"/>
  <c r="D40" i="7" s="1"/>
  <c r="K39" i="7"/>
  <c r="C39" i="7" s="1" a="1"/>
  <c r="C39" i="7" s="1"/>
  <c r="D39" i="7" s="1" a="1"/>
  <c r="D39" i="7" s="1"/>
  <c r="K38" i="7"/>
  <c r="C38" i="7" s="1" a="1"/>
  <c r="C38" i="7" s="1"/>
  <c r="D38" i="7" s="1" a="1"/>
  <c r="D38" i="7" s="1"/>
  <c r="K37" i="7"/>
  <c r="C37" i="7" s="1" a="1"/>
  <c r="C37" i="7" s="1"/>
  <c r="D37" i="7" s="1" a="1"/>
  <c r="D37" i="7" s="1"/>
  <c r="K36" i="7"/>
  <c r="C36" i="7" s="1" a="1"/>
  <c r="C36" i="7" s="1"/>
  <c r="D36" i="7" s="1" a="1"/>
  <c r="D36" i="7" s="1"/>
  <c r="K35" i="7"/>
  <c r="C35" i="7" s="1" a="1"/>
  <c r="C35" i="7" s="1"/>
  <c r="D35" i="7" s="1" a="1"/>
  <c r="D35" i="7" s="1"/>
  <c r="K34" i="7"/>
  <c r="C34" i="7" s="1" a="1"/>
  <c r="C34" i="7" s="1"/>
  <c r="D34" i="7" s="1" a="1"/>
  <c r="D34" i="7" s="1"/>
  <c r="K33" i="7"/>
  <c r="C33" i="7" s="1" a="1"/>
  <c r="C33" i="7" s="1"/>
  <c r="D33" i="7" s="1" a="1"/>
  <c r="D33" i="7" s="1"/>
  <c r="K32" i="7"/>
  <c r="C32" i="7" s="1" a="1"/>
  <c r="C32" i="7" s="1"/>
  <c r="D32" i="7" s="1" a="1"/>
  <c r="D32" i="7" s="1"/>
  <c r="K31" i="7"/>
  <c r="C31" i="7" s="1" a="1"/>
  <c r="C31" i="7" s="1"/>
  <c r="D31" i="7" s="1" a="1"/>
  <c r="D31" i="7" s="1"/>
  <c r="K30" i="7"/>
  <c r="C30" i="7" s="1" a="1"/>
  <c r="C30" i="7" s="1"/>
  <c r="D30" i="7" s="1" a="1"/>
  <c r="D30" i="7" s="1"/>
  <c r="K29" i="7"/>
  <c r="C29" i="7" s="1" a="1"/>
  <c r="C29" i="7" s="1"/>
  <c r="D29" i="7" s="1" a="1"/>
  <c r="D29" i="7" s="1"/>
  <c r="K28" i="7"/>
  <c r="C28" i="7" s="1" a="1"/>
  <c r="C28" i="7" s="1"/>
  <c r="D28" i="7" s="1" a="1"/>
  <c r="D28" i="7" s="1"/>
  <c r="K27" i="7"/>
  <c r="C27" i="7" s="1" a="1"/>
  <c r="C27" i="7" s="1"/>
  <c r="D27" i="7" s="1" a="1"/>
  <c r="D27" i="7" s="1"/>
  <c r="K26" i="7"/>
  <c r="C26" i="7" s="1" a="1"/>
  <c r="C26" i="7" s="1"/>
  <c r="D26" i="7" s="1" a="1"/>
  <c r="D26" i="7" s="1"/>
  <c r="K25" i="7"/>
  <c r="C25" i="7" s="1" a="1"/>
  <c r="C25" i="7" s="1"/>
  <c r="D25" i="7" s="1" a="1"/>
  <c r="D25" i="7" s="1"/>
  <c r="K24" i="7"/>
  <c r="C24" i="7" s="1" a="1"/>
  <c r="C24" i="7" s="1"/>
  <c r="D24" i="7" s="1" a="1"/>
  <c r="D24" i="7" s="1"/>
  <c r="K23" i="7"/>
  <c r="C23" i="7" s="1" a="1"/>
  <c r="C23" i="7" s="1"/>
  <c r="D23" i="7" s="1" a="1"/>
  <c r="D23" i="7" s="1"/>
  <c r="K22" i="7"/>
  <c r="C22" i="7" s="1" a="1"/>
  <c r="C22" i="7" s="1"/>
  <c r="D22" i="7" s="1" a="1"/>
  <c r="D22" i="7" s="1"/>
  <c r="K21" i="7"/>
  <c r="C21" i="7" s="1" a="1"/>
  <c r="C21" i="7" s="1"/>
  <c r="D21" i="7" s="1" a="1"/>
  <c r="D21" i="7" s="1"/>
  <c r="K20" i="7"/>
  <c r="C20" i="7" s="1" a="1"/>
  <c r="C20" i="7" s="1"/>
  <c r="D20" i="7" s="1" a="1"/>
  <c r="D20" i="7" s="1"/>
  <c r="K19" i="7"/>
  <c r="C19" i="7" s="1" a="1"/>
  <c r="C19" i="7" s="1"/>
  <c r="D19" i="7" s="1" a="1"/>
  <c r="D19" i="7" s="1"/>
  <c r="K18" i="7"/>
  <c r="C18" i="7" s="1" a="1"/>
  <c r="C18" i="7" s="1"/>
  <c r="D18" i="7" s="1" a="1"/>
  <c r="D18" i="7" s="1"/>
  <c r="K17" i="7"/>
  <c r="C17" i="7" s="1" a="1"/>
  <c r="C17" i="7" s="1"/>
  <c r="D17" i="7" s="1" a="1"/>
  <c r="D17" i="7" s="1"/>
  <c r="K16" i="7"/>
  <c r="C16" i="7" s="1" a="1"/>
  <c r="C16" i="7" s="1"/>
  <c r="D16" i="7" s="1" a="1"/>
  <c r="D16" i="7" s="1"/>
  <c r="K15" i="7"/>
  <c r="C15" i="7" s="1" a="1"/>
  <c r="C15" i="7" s="1"/>
  <c r="D15" i="7" s="1" a="1"/>
  <c r="D15" i="7" s="1"/>
  <c r="K14" i="7"/>
  <c r="C14" i="7" s="1" a="1"/>
  <c r="C14" i="7" s="1"/>
  <c r="D14" i="7" s="1" a="1"/>
  <c r="D14" i="7" s="1"/>
  <c r="K13" i="7"/>
  <c r="C13" i="7" s="1" a="1"/>
  <c r="C13" i="7" s="1"/>
  <c r="D13" i="7" s="1" a="1"/>
  <c r="D13" i="7" s="1"/>
  <c r="K12" i="7"/>
  <c r="C12" i="7" s="1" a="1"/>
  <c r="C12" i="7" s="1"/>
  <c r="D12" i="7" s="1" a="1"/>
  <c r="D12" i="7" s="1"/>
  <c r="K11" i="7"/>
  <c r="C11" i="7" s="1" a="1"/>
  <c r="C11" i="7" s="1"/>
  <c r="D11" i="7" s="1" a="1"/>
  <c r="D11" i="7" s="1"/>
  <c r="K10" i="7"/>
  <c r="C10" i="7" s="1" a="1"/>
  <c r="C10" i="7" s="1"/>
  <c r="D10" i="7" s="1" a="1"/>
  <c r="D10" i="7" s="1"/>
  <c r="K9" i="7"/>
  <c r="C9" i="7" s="1" a="1"/>
  <c r="C9" i="7" s="1"/>
  <c r="D9" i="7" s="1" a="1"/>
  <c r="D9" i="7" s="1"/>
  <c r="K8" i="7"/>
  <c r="C8" i="7" s="1" a="1"/>
  <c r="C8" i="7" s="1"/>
  <c r="D8" i="7" s="1" a="1"/>
  <c r="D8" i="7" s="1"/>
  <c r="C4" i="7"/>
  <c r="AC17" i="5" l="1"/>
  <c r="AD17" i="5"/>
  <c r="AM5" i="5"/>
  <c r="AI5" i="5" a="1"/>
  <c r="AI5" i="5" s="1"/>
  <c r="AI6" i="5" s="1" a="1"/>
  <c r="AI6" i="5" s="1"/>
  <c r="AI10" i="5" s="1"/>
  <c r="H11" i="5"/>
  <c r="H12" i="5"/>
  <c r="H13" i="5"/>
  <c r="H14" i="5"/>
  <c r="G14" i="5"/>
  <c r="H15" i="5"/>
  <c r="H10" i="5"/>
  <c r="G11" i="5"/>
  <c r="G12" i="5"/>
  <c r="G13" i="5"/>
  <c r="G15" i="5"/>
  <c r="G4" i="7"/>
  <c r="F4" i="7"/>
  <c r="E4" i="7"/>
  <c r="I4" i="7"/>
  <c r="H4" i="7"/>
  <c r="J4" i="7"/>
  <c r="AI18" i="5" l="1"/>
  <c r="AK18" i="5" s="1"/>
  <c r="H17" i="5"/>
  <c r="AI11" i="5"/>
  <c r="AI13" i="5"/>
  <c r="AK6" i="5" a="1"/>
  <c r="AK6" i="5" s="1"/>
  <c r="AJ12" i="5"/>
  <c r="AM6" i="5" a="1"/>
  <c r="AM6" i="5" s="1"/>
  <c r="AJ14" i="5"/>
  <c r="AI12" i="5"/>
  <c r="AI14" i="5"/>
  <c r="AI15" i="5"/>
  <c r="AJ10" i="5"/>
  <c r="AO6" i="5" a="1"/>
  <c r="AO6" i="5" s="1"/>
  <c r="AJ11" i="5"/>
  <c r="AQ6" i="5" a="1"/>
  <c r="AQ6" i="5" s="1"/>
  <c r="AJ13" i="5"/>
  <c r="AS6" i="5" a="1"/>
  <c r="AS6" i="5" s="1"/>
  <c r="J45" i="7"/>
  <c r="J33" i="7"/>
  <c r="J21" i="7"/>
  <c r="J9" i="7"/>
  <c r="J46" i="7"/>
  <c r="J34" i="7"/>
  <c r="J22" i="7"/>
  <c r="J10" i="7"/>
  <c r="J35" i="7"/>
  <c r="J40" i="7"/>
  <c r="J28" i="7"/>
  <c r="J42" i="7"/>
  <c r="J43" i="7"/>
  <c r="J31" i="7"/>
  <c r="J29" i="7"/>
  <c r="J11" i="7"/>
  <c r="J38" i="7"/>
  <c r="J14" i="7"/>
  <c r="J44" i="7"/>
  <c r="J27" i="7"/>
  <c r="J19" i="7"/>
  <c r="J39" i="7"/>
  <c r="J32" i="7"/>
  <c r="J41" i="7"/>
  <c r="J30" i="7"/>
  <c r="J36" i="7"/>
  <c r="J18" i="7"/>
  <c r="J37" i="7"/>
  <c r="J25" i="7"/>
  <c r="J15" i="7"/>
  <c r="J23" i="7"/>
  <c r="J16" i="7"/>
  <c r="J12" i="7"/>
  <c r="J20" i="7"/>
  <c r="J8" i="7"/>
  <c r="J26" i="7"/>
  <c r="J17" i="7"/>
  <c r="J13" i="7"/>
  <c r="J24" i="7"/>
  <c r="H43" i="7"/>
  <c r="H31" i="7"/>
  <c r="H19" i="7"/>
  <c r="H44" i="7"/>
  <c r="H32" i="7"/>
  <c r="H20" i="7"/>
  <c r="H8" i="7"/>
  <c r="H45" i="7"/>
  <c r="H33" i="7"/>
  <c r="H38" i="7"/>
  <c r="H26" i="7"/>
  <c r="H40" i="7"/>
  <c r="H41" i="7"/>
  <c r="H29" i="7"/>
  <c r="H42" i="7"/>
  <c r="H9" i="7"/>
  <c r="H25" i="7"/>
  <c r="H11" i="7"/>
  <c r="H28" i="7"/>
  <c r="H46" i="7"/>
  <c r="H34" i="7"/>
  <c r="H18" i="7"/>
  <c r="H14" i="7"/>
  <c r="H10" i="7"/>
  <c r="H15" i="7"/>
  <c r="H24" i="7"/>
  <c r="H21" i="7"/>
  <c r="H27" i="7"/>
  <c r="H22" i="7"/>
  <c r="H37" i="7"/>
  <c r="H39" i="7"/>
  <c r="H13" i="7"/>
  <c r="H36" i="7"/>
  <c r="H35" i="7"/>
  <c r="H30" i="7"/>
  <c r="H12" i="7"/>
  <c r="H17" i="7"/>
  <c r="H23" i="7"/>
  <c r="H16" i="7"/>
  <c r="I44" i="7"/>
  <c r="I32" i="7"/>
  <c r="I20" i="7"/>
  <c r="I8" i="7"/>
  <c r="I45" i="7"/>
  <c r="I33" i="7"/>
  <c r="I21" i="7"/>
  <c r="I9" i="7"/>
  <c r="I46" i="7"/>
  <c r="I34" i="7"/>
  <c r="I39" i="7"/>
  <c r="I27" i="7"/>
  <c r="I41" i="7"/>
  <c r="I42" i="7"/>
  <c r="I30" i="7"/>
  <c r="I18" i="7"/>
  <c r="I14" i="7"/>
  <c r="I38" i="7"/>
  <c r="I24" i="7"/>
  <c r="I29" i="7"/>
  <c r="I37" i="7"/>
  <c r="I25" i="7"/>
  <c r="I15" i="7"/>
  <c r="I19" i="7"/>
  <c r="I35" i="7"/>
  <c r="I26" i="7"/>
  <c r="I13" i="7"/>
  <c r="I40" i="7"/>
  <c r="I22" i="7"/>
  <c r="I10" i="7"/>
  <c r="I11" i="7"/>
  <c r="I31" i="7"/>
  <c r="I23" i="7"/>
  <c r="I16" i="7"/>
  <c r="I12" i="7"/>
  <c r="I43" i="7"/>
  <c r="I28" i="7"/>
  <c r="I17" i="7"/>
  <c r="I36" i="7"/>
  <c r="E40" i="7"/>
  <c r="E28" i="7"/>
  <c r="E16" i="7"/>
  <c r="E41" i="7"/>
  <c r="E29" i="7"/>
  <c r="E17" i="7"/>
  <c r="E42" i="7"/>
  <c r="E30" i="7"/>
  <c r="E46" i="7"/>
  <c r="E35" i="7"/>
  <c r="E23" i="7"/>
  <c r="E38" i="7"/>
  <c r="E26" i="7"/>
  <c r="E31" i="7"/>
  <c r="E8" i="7"/>
  <c r="E34" i="7"/>
  <c r="E14" i="7"/>
  <c r="E20" i="7"/>
  <c r="E36" i="7"/>
  <c r="E24" i="7"/>
  <c r="E13" i="7"/>
  <c r="E44" i="7"/>
  <c r="E9" i="7"/>
  <c r="E27" i="7"/>
  <c r="E45" i="7"/>
  <c r="E21" i="7"/>
  <c r="E18" i="7"/>
  <c r="E11" i="7"/>
  <c r="E33" i="7"/>
  <c r="E39" i="7"/>
  <c r="E37" i="7"/>
  <c r="E32" i="7"/>
  <c r="E25" i="7"/>
  <c r="E22" i="7"/>
  <c r="E19" i="7"/>
  <c r="E10" i="7"/>
  <c r="E15" i="7"/>
  <c r="E12" i="7"/>
  <c r="E43" i="7"/>
  <c r="F41" i="7"/>
  <c r="F29" i="7"/>
  <c r="F17" i="7"/>
  <c r="F42" i="7"/>
  <c r="F30" i="7"/>
  <c r="F18" i="7"/>
  <c r="F43" i="7"/>
  <c r="F31" i="7"/>
  <c r="F36" i="7"/>
  <c r="F24" i="7"/>
  <c r="F38" i="7"/>
  <c r="F39" i="7"/>
  <c r="F27" i="7"/>
  <c r="F40" i="7"/>
  <c r="F13" i="7"/>
  <c r="F14" i="7"/>
  <c r="F22" i="7"/>
  <c r="F21" i="7"/>
  <c r="F34" i="7"/>
  <c r="F32" i="7"/>
  <c r="F35" i="7"/>
  <c r="F45" i="7"/>
  <c r="F33" i="7"/>
  <c r="F44" i="7"/>
  <c r="F9" i="7"/>
  <c r="F46" i="7"/>
  <c r="F37" i="7"/>
  <c r="F25" i="7"/>
  <c r="F19" i="7"/>
  <c r="F10" i="7"/>
  <c r="F20" i="7"/>
  <c r="F8" i="7"/>
  <c r="F15" i="7"/>
  <c r="F11" i="7"/>
  <c r="F23" i="7"/>
  <c r="F16" i="7"/>
  <c r="F28" i="7"/>
  <c r="F12" i="7"/>
  <c r="F26" i="7"/>
  <c r="G42" i="7"/>
  <c r="G30" i="7"/>
  <c r="G18" i="7"/>
  <c r="G43" i="7"/>
  <c r="G31" i="7"/>
  <c r="G19" i="7"/>
  <c r="G44" i="7"/>
  <c r="G32" i="7"/>
  <c r="G37" i="7"/>
  <c r="G25" i="7"/>
  <c r="G39" i="7"/>
  <c r="G40" i="7"/>
  <c r="G28" i="7"/>
  <c r="G36" i="7"/>
  <c r="G24" i="7"/>
  <c r="G21" i="7"/>
  <c r="G27" i="7"/>
  <c r="G22" i="7"/>
  <c r="G10" i="7"/>
  <c r="G15" i="7"/>
  <c r="G26" i="7"/>
  <c r="G9" i="7"/>
  <c r="G23" i="7"/>
  <c r="G12" i="7"/>
  <c r="G13" i="7"/>
  <c r="G46" i="7"/>
  <c r="G34" i="7"/>
  <c r="G29" i="7"/>
  <c r="G14" i="7"/>
  <c r="G20" i="7"/>
  <c r="G16" i="7"/>
  <c r="G38" i="7"/>
  <c r="G41" i="7"/>
  <c r="G11" i="7"/>
  <c r="G45" i="7"/>
  <c r="G8" i="7"/>
  <c r="G35" i="7"/>
  <c r="G33" i="7"/>
  <c r="G17" i="7"/>
  <c r="AJ15" i="5" l="1"/>
  <c r="AJ17" i="5" s="1"/>
  <c r="AM18" i="5"/>
  <c r="AO18" i="5" s="1"/>
  <c r="AQ18" i="5" s="1"/>
  <c r="AS18" i="5" s="1"/>
  <c r="AW18" i="5"/>
  <c r="AN11" i="5"/>
  <c r="AT11" i="5"/>
  <c r="AQ11" i="5"/>
  <c r="AP11" i="5"/>
  <c r="F13" i="5"/>
  <c r="F14" i="5"/>
  <c r="F12" i="5"/>
  <c r="F11" i="5"/>
  <c r="F10" i="5"/>
  <c r="F15" i="5"/>
  <c r="E15" i="5"/>
  <c r="E11" i="5"/>
  <c r="E14" i="5"/>
  <c r="E13" i="5"/>
  <c r="E12" i="5"/>
  <c r="E10" i="5"/>
  <c r="AL15" i="5"/>
  <c r="AK11" i="5"/>
  <c r="AO11" i="5"/>
  <c r="AK12" i="5"/>
  <c r="AM12" i="5"/>
  <c r="AQ12" i="5"/>
  <c r="AS11" i="5"/>
  <c r="AS12" i="5"/>
  <c r="AL12" i="5"/>
  <c r="AL13" i="5"/>
  <c r="AN10" i="5"/>
  <c r="AM10" i="5"/>
  <c r="AN15" i="5"/>
  <c r="AM14" i="5"/>
  <c r="AN14" i="5"/>
  <c r="AM15" i="5"/>
  <c r="AR10" i="5"/>
  <c r="AM13" i="5"/>
  <c r="AR14" i="5"/>
  <c r="AM11" i="5"/>
  <c r="AN13" i="5"/>
  <c r="AN12" i="5"/>
  <c r="AS15" i="5"/>
  <c r="AS13" i="5"/>
  <c r="AR11" i="5"/>
  <c r="AL10" i="5"/>
  <c r="AL14" i="5"/>
  <c r="AR15" i="5"/>
  <c r="AL11" i="5"/>
  <c r="AT15" i="5"/>
  <c r="AI17" i="5"/>
  <c r="AT10" i="5"/>
  <c r="AT14" i="5"/>
  <c r="AK10" i="5"/>
  <c r="AK15" i="5"/>
  <c r="AT12" i="5"/>
  <c r="AK14" i="5"/>
  <c r="AS10" i="5"/>
  <c r="AK13" i="5"/>
  <c r="AS14" i="5"/>
  <c r="AT13" i="5"/>
  <c r="AO15" i="5"/>
  <c r="AO13" i="5"/>
  <c r="AR12" i="5"/>
  <c r="AQ14" i="5"/>
  <c r="AP10" i="5"/>
  <c r="AQ15" i="5"/>
  <c r="AP13" i="5"/>
  <c r="AO12" i="5"/>
  <c r="AR13" i="5"/>
  <c r="AQ10" i="5"/>
  <c r="AQ13" i="5"/>
  <c r="AP14" i="5"/>
  <c r="AP12" i="5"/>
  <c r="AO14" i="5"/>
  <c r="AP15" i="5"/>
  <c r="AO10" i="5"/>
  <c r="AW11" i="5" l="1"/>
  <c r="AX11" i="5"/>
  <c r="AW12" i="5"/>
  <c r="AX12" i="5"/>
  <c r="AW13" i="5"/>
  <c r="AX13" i="5"/>
  <c r="AW14" i="5"/>
  <c r="AX14" i="5"/>
  <c r="AW15" i="5"/>
  <c r="AX15" i="5"/>
  <c r="AW10" i="5"/>
  <c r="AX10" i="5"/>
  <c r="AY18" i="5"/>
  <c r="AF17" i="5"/>
  <c r="AE17" i="5"/>
  <c r="AG17" i="5"/>
  <c r="AH17" i="5"/>
  <c r="E17" i="5"/>
  <c r="F17" i="5"/>
  <c r="W12" i="5"/>
  <c r="Y12" i="5" s="1"/>
  <c r="X11" i="5"/>
  <c r="Z11" i="5" s="1"/>
  <c r="W11" i="5"/>
  <c r="Y11" i="5" s="1"/>
  <c r="AN17" i="5"/>
  <c r="X15" i="5"/>
  <c r="Z15" i="5" s="1"/>
  <c r="AR17" i="5"/>
  <c r="AK17" i="5"/>
  <c r="X10" i="5"/>
  <c r="Z10" i="5" s="1"/>
  <c r="AM17" i="5"/>
  <c r="W14" i="5"/>
  <c r="Y14" i="5" s="1"/>
  <c r="AT17" i="5"/>
  <c r="W15" i="5"/>
  <c r="Y15" i="5" s="1"/>
  <c r="AS17" i="5"/>
  <c r="AP17" i="5"/>
  <c r="AL17" i="5"/>
  <c r="X12" i="5"/>
  <c r="Z12" i="5" s="1"/>
  <c r="X14" i="5"/>
  <c r="Z14" i="5" s="1"/>
  <c r="W13" i="5"/>
  <c r="Y13" i="5" s="1"/>
  <c r="W10" i="5"/>
  <c r="Y10" i="5" s="1"/>
  <c r="AQ17" i="5"/>
  <c r="X13" i="5"/>
  <c r="Z13" i="5" s="1"/>
  <c r="AO17" i="5"/>
  <c r="D11" i="5"/>
  <c r="D12" i="5"/>
  <c r="C15" i="5"/>
  <c r="C11" i="5"/>
  <c r="C12" i="5"/>
  <c r="C13" i="5"/>
  <c r="C10" i="5"/>
  <c r="D10" i="5"/>
  <c r="D14" i="5"/>
  <c r="D13" i="5"/>
  <c r="D15" i="5"/>
  <c r="C14" i="5"/>
  <c r="AY11" i="5" l="1"/>
  <c r="AZ11" i="5"/>
  <c r="AY12" i="5"/>
  <c r="AY13" i="5"/>
  <c r="AZ13" i="5"/>
  <c r="AY14" i="5"/>
  <c r="AZ14" i="5"/>
  <c r="AY15" i="5"/>
  <c r="AZ15" i="5"/>
  <c r="AZ12" i="5"/>
  <c r="AY10" i="5"/>
  <c r="AZ10" i="5"/>
  <c r="BA18" i="5"/>
  <c r="AX17" i="5"/>
  <c r="AW17" i="5"/>
  <c r="W17" i="5"/>
  <c r="Y17" i="5"/>
  <c r="X17" i="5"/>
  <c r="Z17" i="5"/>
  <c r="D17" i="5"/>
  <c r="C17" i="5"/>
  <c r="G17" i="5"/>
  <c r="BA11" i="5" l="1"/>
  <c r="BB11" i="5"/>
  <c r="BA12" i="5"/>
  <c r="BB12" i="5"/>
  <c r="BA13" i="5"/>
  <c r="BB13" i="5"/>
  <c r="BA14" i="5"/>
  <c r="BB14" i="5"/>
  <c r="BA15" i="5"/>
  <c r="BB15" i="5"/>
  <c r="BB10" i="5"/>
  <c r="BA10" i="5"/>
  <c r="BC18" i="5"/>
  <c r="AY17" i="5"/>
  <c r="AZ17" i="5"/>
  <c r="BC11" i="5" l="1"/>
  <c r="BD11" i="5"/>
  <c r="BC12" i="5"/>
  <c r="BD12" i="5"/>
  <c r="BC13" i="5"/>
  <c r="BD14" i="5"/>
  <c r="BD13" i="5"/>
  <c r="BC14" i="5"/>
  <c r="BC15" i="5"/>
  <c r="BD15" i="5"/>
  <c r="BC10" i="5"/>
  <c r="BE18" i="5"/>
  <c r="BD10" i="5"/>
  <c r="BB17" i="5"/>
  <c r="BA17" i="5"/>
  <c r="BE11" i="5" l="1"/>
  <c r="BF11" i="5"/>
  <c r="BE12" i="5"/>
  <c r="BF12" i="5"/>
  <c r="BF13" i="5"/>
  <c r="BE14" i="5"/>
  <c r="BF14" i="5"/>
  <c r="BE13" i="5"/>
  <c r="BE15" i="5"/>
  <c r="BF15" i="5"/>
  <c r="BE10" i="5"/>
  <c r="BC17" i="5"/>
  <c r="BD17" i="5"/>
  <c r="BG18" i="5"/>
  <c r="BF10" i="5"/>
  <c r="BH10" i="5" l="1"/>
  <c r="AV23" i="5" s="1"/>
  <c r="BG10" i="5"/>
  <c r="AU23" i="5" s="1"/>
  <c r="BG11" i="5"/>
  <c r="AU24" i="5" s="1"/>
  <c r="BH11" i="5"/>
  <c r="AV24" i="5" s="1"/>
  <c r="BG12" i="5"/>
  <c r="AU25" i="5" s="1"/>
  <c r="BH12" i="5"/>
  <c r="AV25" i="5" s="1"/>
  <c r="BG13" i="5"/>
  <c r="AU26" i="5" s="1"/>
  <c r="BH13" i="5"/>
  <c r="AV26" i="5" s="1"/>
  <c r="BG14" i="5"/>
  <c r="AU27" i="5" s="1"/>
  <c r="BH14" i="5"/>
  <c r="AV27" i="5" s="1"/>
  <c r="BG15" i="5"/>
  <c r="AU28" i="5" s="1"/>
  <c r="BH15" i="5"/>
  <c r="AV28" i="5" s="1"/>
  <c r="BF17" i="5"/>
  <c r="BE17" i="5"/>
  <c r="BH17" i="5" l="1"/>
  <c r="BG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10D0C-741F-47AE-8235-787CEBC83414}" keepAlive="1" name="Consulta - Caminho" description="Conexão com a consulta 'Caminho' na pasta de trabalho." type="5" refreshedVersion="0" background="1">
    <dbPr connection="Provider=Microsoft.Mashup.OleDb.1;Data Source=$Workbook$;Location=Caminho;Extended Properties=&quot;&quot;" command="SELECT * FROM [Caminho]"/>
  </connection>
  <connection id="2" xr16:uid="{6E4178A1-2D4B-48A7-8AD5-512821461573}" keepAlive="1" name="Consulta - GERAL" description="Conexão com a consulta 'GERAL' na pasta de trabalho." type="5" refreshedVersion="8" background="1" saveData="1">
    <dbPr connection="Provider=Microsoft.Mashup.OleDb.1;Data Source=$Workbook$;Location=GERAL;Extended Properties=&quot;&quot;" command="SELECT * FROM [GERAL]"/>
  </connection>
  <connection id="3" xr16:uid="{4414ADAD-12A3-4056-ADCB-4E7479230DCF}" keepAlive="1" name="Consulta - GERAL (2)" description="Conexão com a consulta 'GERAL (2)' na pasta de trabalho." type="5" refreshedVersion="8" background="1" saveData="1">
    <dbPr connection="Provider=Microsoft.Mashup.OleDb.1;Data Source=$Workbook$;Location=&quot;GERAL (2)&quot;;Extended Properties=&quot;&quot;" command="SELECT * FROM [GERAL (2)]"/>
  </connection>
  <connection id="4" xr16:uid="{2A350FF0-23D5-472B-AEA1-D4895D74FE15}" keepAlive="1" name="Consulta - JOÃO_CARLOS" description="Conexão com a consulta 'JOÃO_CARLOS' na pasta de trabalho." type="5" refreshedVersion="0" background="1">
    <dbPr connection="Provider=Microsoft.Mashup.OleDb.1;Data Source=$Workbook$;Location=JOÃO_CARLOS;Extended Properties=&quot;&quot;" command="SELECT * FROM [JOÃO_CARLOS]"/>
  </connection>
  <connection id="5" xr16:uid="{0D9A175E-9F8D-4426-B1A9-BAAC579EF658}" keepAlive="1" name="Consulta - PANTANAL_BAIXO" description="Conexão com a consulta 'PANTANAL_BAIXO' na pasta de trabalho." type="5" refreshedVersion="0" background="1">
    <dbPr connection="Provider=Microsoft.Mashup.OleDb.1;Data Source=$Workbook$;Location=PANTANAL_BAIXO;Extended Properties=&quot;&quot;" command="SELECT * FROM [PANTANAL_BAIXO]"/>
  </connection>
  <connection id="6" xr16:uid="{05645A57-3961-45F9-815A-84A74828E190}" keepAlive="1" name="Consulta - SÃO_MANOEL" description="Conexão com a consulta 'SÃO_MANOEL' na pasta de trabalho." type="5" refreshedVersion="0" background="1">
    <dbPr connection="Provider=Microsoft.Mashup.OleDb.1;Data Source=$Workbook$;Location=SÃO_MANOEL;Extended Properties=&quot;&quot;" command="SELECT * FROM [SÃO_MANOEL]"/>
  </connection>
  <connection id="7" xr16:uid="{B152A114-C147-48A2-BD20-E0026CB799A0}" keepAlive="1" name="Consulta - VILA_CRIADORES" description="Conexão com a consulta 'VILA_CRIADORES' na pasta de trabalho." type="5" refreshedVersion="0" background="1">
    <dbPr connection="Provider=Microsoft.Mashup.OleDb.1;Data Source=$Workbook$;Location=VILA_CRIADORES;Extended Properties=&quot;&quot;" command="SELECT * FROM [VILA_CRIADORES]"/>
  </connection>
  <connection id="8" xr16:uid="{986B7596-75EF-4433-A8CD-38DAACC27913}" keepAlive="1" name="Consulta - VILA_ISRAEL" description="Conexão com a consulta 'VILA_ISRAEL' na pasta de trabalho." type="5" refreshedVersion="0" background="1">
    <dbPr connection="Provider=Microsoft.Mashup.OleDb.1;Data Source=$Workbook$;Location=VILA_ISRAEL;Extended Properties=&quot;&quot;" command="SELECT * FROM [VILA_ISRAE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<sst xmlns="http://schemas.openxmlformats.org/spreadsheetml/2006/main" count="9809" uniqueCount="320">
  <si>
    <t>Dia</t>
  </si>
  <si>
    <t>Dia Semana</t>
  </si>
  <si>
    <t>Mês</t>
  </si>
  <si>
    <t>Dia Útil</t>
  </si>
  <si>
    <t>Equipe</t>
  </si>
  <si>
    <t>Rua</t>
  </si>
  <si>
    <t>LA</t>
  </si>
  <si>
    <t>LE</t>
  </si>
  <si>
    <t>PRA</t>
  </si>
  <si>
    <t>PRE</t>
  </si>
  <si>
    <t>PV's</t>
  </si>
  <si>
    <t>LIE</t>
  </si>
  <si>
    <t>LIA</t>
  </si>
  <si>
    <t>IHM</t>
  </si>
  <si>
    <t>RHM</t>
  </si>
  <si>
    <t>Núcleo</t>
  </si>
  <si>
    <t>sábado</t>
  </si>
  <si>
    <t>NÃO</t>
  </si>
  <si>
    <t>Morro do Tetéu</t>
  </si>
  <si>
    <t>Semana 1</t>
  </si>
  <si>
    <t>Prazo_30</t>
  </si>
  <si>
    <t>domingo</t>
  </si>
  <si>
    <t>segunda-feira</t>
  </si>
  <si>
    <t>terça-feira</t>
  </si>
  <si>
    <t>quarta-feira</t>
  </si>
  <si>
    <t>quinta-feira</t>
  </si>
  <si>
    <t>sexta-feira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</si>
  <si>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</si>
  <si>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</si>
  <si>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</si>
  <si>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</si>
  <si>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</si>
  <si>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</si>
  <si>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</si>
  <si>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</si>
  <si>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</si>
  <si>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SIM</t>
  </si>
  <si>
    <t>∑ Equipe até 28/02 - MT</t>
  </si>
  <si>
    <t>Diversas até 28/02 - MT</t>
  </si>
  <si>
    <t>Semana 11</t>
  </si>
  <si>
    <t>Semana 12</t>
  </si>
  <si>
    <t>Semana 13</t>
  </si>
  <si>
    <t>Semana 14</t>
  </si>
  <si>
    <t>ZULU</t>
  </si>
  <si>
    <t>RUA DAS PEDRAS</t>
  </si>
  <si>
    <t>RUA TRAVESSA DA JUVENTUDE</t>
  </si>
  <si>
    <t>PITBULL</t>
  </si>
  <si>
    <t>CAMINHO DA ESPERANÇA</t>
  </si>
  <si>
    <t xml:space="preserve">TIM MAIA </t>
  </si>
  <si>
    <t xml:space="preserve">VIELA C </t>
  </si>
  <si>
    <t>JOÃO</t>
  </si>
  <si>
    <t xml:space="preserve">BEIRA RIO </t>
  </si>
  <si>
    <t xml:space="preserve">RUA DAS PEDRAS </t>
  </si>
  <si>
    <t xml:space="preserve">TRAVESSA DA JUVENTUDE </t>
  </si>
  <si>
    <t>TRAVESSA DA ESPERANÇA</t>
  </si>
  <si>
    <t>VIELA B</t>
  </si>
  <si>
    <t>VIELA A</t>
  </si>
  <si>
    <t xml:space="preserve">CHUVA </t>
  </si>
  <si>
    <t>TRAVESSA DA JUVENTUDI</t>
  </si>
  <si>
    <t xml:space="preserve">CAMINHO PARTICULAR SÃO JORGE </t>
  </si>
  <si>
    <t>TRAVESSA 3</t>
  </si>
  <si>
    <t>BECO 3</t>
  </si>
  <si>
    <t xml:space="preserve">BECO DO MOACIR </t>
  </si>
  <si>
    <t xml:space="preserve">BECO 3 </t>
  </si>
  <si>
    <t xml:space="preserve">RUADAS PEDRAS </t>
  </si>
  <si>
    <t>BECO 62</t>
  </si>
  <si>
    <t>BECO 72</t>
  </si>
  <si>
    <t>Pantanal Baixo</t>
  </si>
  <si>
    <t>∑ Equipe até 28/02 - PB</t>
  </si>
  <si>
    <t>Diversas até 28/02 - PB</t>
  </si>
  <si>
    <t>GILVAN</t>
  </si>
  <si>
    <t>BECO 14</t>
  </si>
  <si>
    <t>BECO 11</t>
  </si>
  <si>
    <t>LEANDRO</t>
  </si>
  <si>
    <t>BECO 18</t>
  </si>
  <si>
    <t>CASSIO</t>
  </si>
  <si>
    <t xml:space="preserve">CANANEIA </t>
  </si>
  <si>
    <t>BECO 19</t>
  </si>
  <si>
    <t>BECO 16</t>
  </si>
  <si>
    <t>CARAGUATATUBA</t>
  </si>
  <si>
    <t xml:space="preserve">BECO 11 </t>
  </si>
  <si>
    <t xml:space="preserve">BECO 14 </t>
  </si>
  <si>
    <t>PAULO</t>
  </si>
  <si>
    <t>BECO 10</t>
  </si>
  <si>
    <t>BECO 22</t>
  </si>
  <si>
    <t>BECO 21</t>
  </si>
  <si>
    <t xml:space="preserve">BECO 17 </t>
  </si>
  <si>
    <t xml:space="preserve">BECO 21 </t>
  </si>
  <si>
    <t>CHUVA</t>
  </si>
  <si>
    <t>RUA 10</t>
  </si>
  <si>
    <t>RUA 17</t>
  </si>
  <si>
    <t>RUA 14</t>
  </si>
  <si>
    <t>RUA 11</t>
  </si>
  <si>
    <t>RUA 18</t>
  </si>
  <si>
    <t>RUA 20</t>
  </si>
  <si>
    <t>RUA 16</t>
  </si>
  <si>
    <t xml:space="preserve">COLINA </t>
  </si>
  <si>
    <t>RUA CANANEIA</t>
  </si>
  <si>
    <t>BECO 20</t>
  </si>
  <si>
    <t>RUA 19</t>
  </si>
  <si>
    <t xml:space="preserve">RUA 14 </t>
  </si>
  <si>
    <t xml:space="preserve">CARAGUATATUBA </t>
  </si>
  <si>
    <t>RUA 22</t>
  </si>
  <si>
    <t>RUA 13</t>
  </si>
  <si>
    <t xml:space="preserve">RUA CANANEIA </t>
  </si>
  <si>
    <t xml:space="preserve">RUA CARAGUATATUBA </t>
  </si>
  <si>
    <t xml:space="preserve">CASSIO </t>
  </si>
  <si>
    <t xml:space="preserve">RUA COLINA </t>
  </si>
  <si>
    <t>RUA 21</t>
  </si>
  <si>
    <t>João Carlos</t>
  </si>
  <si>
    <t>∑ Equipe até 28/02 - JC</t>
  </si>
  <si>
    <t>Diversas até 28/02 - JC</t>
  </si>
  <si>
    <t>DOUGLAS</t>
  </si>
  <si>
    <t>BECO 9</t>
  </si>
  <si>
    <t>SANDRO</t>
  </si>
  <si>
    <t xml:space="preserve">JOÃO CARLOS DA SILVA </t>
  </si>
  <si>
    <t>JAMILTON</t>
  </si>
  <si>
    <t xml:space="preserve">BECO 12 </t>
  </si>
  <si>
    <t>BECO 17</t>
  </si>
  <si>
    <t>BECO 8</t>
  </si>
  <si>
    <t xml:space="preserve">SANDRO </t>
  </si>
  <si>
    <t>São Manoel</t>
  </si>
  <si>
    <t>∑ Equipe até 28/02 - SM</t>
  </si>
  <si>
    <t>Diversas até 28/02 - SM</t>
  </si>
  <si>
    <t>RICARDO</t>
  </si>
  <si>
    <t>CAMINHO SÃO MANOEL D</t>
  </si>
  <si>
    <t>MARIO</t>
  </si>
  <si>
    <t>BECO 3D</t>
  </si>
  <si>
    <t>ANDERSON</t>
  </si>
  <si>
    <t>BECO 1D</t>
  </si>
  <si>
    <t xml:space="preserve">IGOR </t>
  </si>
  <si>
    <t>BECO 4D</t>
  </si>
  <si>
    <t>PETRUCIO</t>
  </si>
  <si>
    <t>BECO 16D</t>
  </si>
  <si>
    <t xml:space="preserve">RENATO </t>
  </si>
  <si>
    <t>BECO 21D</t>
  </si>
  <si>
    <t xml:space="preserve">CARLENADRO </t>
  </si>
  <si>
    <t>BECO 21E</t>
  </si>
  <si>
    <t xml:space="preserve">RICARDO </t>
  </si>
  <si>
    <t>DANILO</t>
  </si>
  <si>
    <t>BECO 5D</t>
  </si>
  <si>
    <t xml:space="preserve">BECO 21E </t>
  </si>
  <si>
    <t xml:space="preserve">BECO 21 E </t>
  </si>
  <si>
    <t>JEFERSON</t>
  </si>
  <si>
    <t xml:space="preserve">BECO 18 D </t>
  </si>
  <si>
    <t xml:space="preserve">BECO 22 D </t>
  </si>
  <si>
    <t xml:space="preserve">BECO 20 D </t>
  </si>
  <si>
    <t>BECO 18D</t>
  </si>
  <si>
    <t>BECO 6D</t>
  </si>
  <si>
    <t xml:space="preserve">CARLEANDRO </t>
  </si>
  <si>
    <t xml:space="preserve">BECO 22 E </t>
  </si>
  <si>
    <t xml:space="preserve">BECO 23 E </t>
  </si>
  <si>
    <t>BECO 22 D</t>
  </si>
  <si>
    <t>BECO 22D</t>
  </si>
  <si>
    <t>BECO 4</t>
  </si>
  <si>
    <t>BECO 5 E</t>
  </si>
  <si>
    <t>BECO 6 E</t>
  </si>
  <si>
    <t>BECO 4 D</t>
  </si>
  <si>
    <t>BECO 5E</t>
  </si>
  <si>
    <t>BECO 19 D</t>
  </si>
  <si>
    <t>BECO 16 D</t>
  </si>
  <si>
    <t xml:space="preserve">BECO 5 E </t>
  </si>
  <si>
    <t>SÃO MANOEL</t>
  </si>
  <si>
    <t xml:space="preserve">BECO 19 D </t>
  </si>
  <si>
    <t xml:space="preserve">BECO 16 D </t>
  </si>
  <si>
    <t xml:space="preserve">BECO 17 D </t>
  </si>
  <si>
    <t xml:space="preserve">MARIO </t>
  </si>
  <si>
    <t>CLAYTON</t>
  </si>
  <si>
    <t xml:space="preserve">BECO 14 E </t>
  </si>
  <si>
    <t xml:space="preserve">BECO 6 D </t>
  </si>
  <si>
    <t>BECO 14 D</t>
  </si>
  <si>
    <t>BECO 11 D</t>
  </si>
  <si>
    <t xml:space="preserve">BECO 11 D </t>
  </si>
  <si>
    <t xml:space="preserve">BECO 14 D </t>
  </si>
  <si>
    <t xml:space="preserve">BECO 15 E </t>
  </si>
  <si>
    <t>BECO 9 E</t>
  </si>
  <si>
    <t>BECO 14D</t>
  </si>
  <si>
    <t xml:space="preserve">BECO 13 E </t>
  </si>
  <si>
    <t xml:space="preserve">BECO 18 E </t>
  </si>
  <si>
    <t>Vila Israel</t>
  </si>
  <si>
    <t>∑ Equipe até 28/02 - VI</t>
  </si>
  <si>
    <t>Diversas até 28/02 - VI</t>
  </si>
  <si>
    <t xml:space="preserve">VINICIUS </t>
  </si>
  <si>
    <t>ESCADARIA 8</t>
  </si>
  <si>
    <t xml:space="preserve">EDUARDO </t>
  </si>
  <si>
    <t>RUA PRINCIPAL</t>
  </si>
  <si>
    <t>ADILSIO</t>
  </si>
  <si>
    <t>ELOI</t>
  </si>
  <si>
    <t>ESCADRAIA 7</t>
  </si>
  <si>
    <t xml:space="preserve">AÇÃO POLICIAL </t>
  </si>
  <si>
    <t xml:space="preserve">ESCADARIA 7 </t>
  </si>
  <si>
    <t>CARLOS</t>
  </si>
  <si>
    <t xml:space="preserve">CAMINHO FAZENDINHA </t>
  </si>
  <si>
    <t xml:space="preserve">CARLOS </t>
  </si>
  <si>
    <t xml:space="preserve">ESCADARIA 8 </t>
  </si>
  <si>
    <t>ESCADARIA 6</t>
  </si>
  <si>
    <t>WILTON</t>
  </si>
  <si>
    <t>CAMINHO DO MICHEL</t>
  </si>
  <si>
    <t>CAMINHO MICHEL</t>
  </si>
  <si>
    <t>Vila dos Criadores</t>
  </si>
  <si>
    <t>∑ Equipe até 28/02 - VC</t>
  </si>
  <si>
    <t>Diversas até 28/02 - VC</t>
  </si>
  <si>
    <t>VICENTE</t>
  </si>
  <si>
    <t>BECO DO K9</t>
  </si>
  <si>
    <t xml:space="preserve">ALESSANDRO </t>
  </si>
  <si>
    <t xml:space="preserve">RUA A </t>
  </si>
  <si>
    <t xml:space="preserve">RUA H </t>
  </si>
  <si>
    <t>BRUNO</t>
  </si>
  <si>
    <t>BECO DA CAPOEIRA</t>
  </si>
  <si>
    <t>BECO K9</t>
  </si>
  <si>
    <t>TRAVESSA DO CAMPO</t>
  </si>
  <si>
    <t xml:space="preserve">BECO DA CAPOEIRA </t>
  </si>
  <si>
    <t>BECO  DO K9</t>
  </si>
  <si>
    <t>FUNDÃO DA B</t>
  </si>
  <si>
    <t>ALEX</t>
  </si>
  <si>
    <t xml:space="preserve">RUA DA CAPADÓCIA </t>
  </si>
  <si>
    <t xml:space="preserve">TRAVESSA DA KELLY </t>
  </si>
  <si>
    <t xml:space="preserve">TREVESSA DO CAMPO </t>
  </si>
  <si>
    <t xml:space="preserve">RUA </t>
  </si>
  <si>
    <t xml:space="preserve">PROJETA F </t>
  </si>
  <si>
    <t>FAMILIA BARROS</t>
  </si>
  <si>
    <t xml:space="preserve">ALEX </t>
  </si>
  <si>
    <t>RUA DA CAPADOCIA</t>
  </si>
  <si>
    <t xml:space="preserve">RUA CAPADÓCIA </t>
  </si>
  <si>
    <t>BECO SHEIK</t>
  </si>
  <si>
    <t xml:space="preserve">BECO DO SHEIK </t>
  </si>
  <si>
    <t xml:space="preserve">VICENTE </t>
  </si>
  <si>
    <t>PROJETO F</t>
  </si>
  <si>
    <t>RUA D</t>
  </si>
  <si>
    <t>PROJETADA F</t>
  </si>
  <si>
    <t>LUCAS</t>
  </si>
  <si>
    <t>GUAREJU</t>
  </si>
  <si>
    <t xml:space="preserve">CAPADÓCIA </t>
  </si>
  <si>
    <t xml:space="preserve">RUA D </t>
  </si>
  <si>
    <t xml:space="preserve">TRAVESSA DO LEANDRO </t>
  </si>
  <si>
    <t xml:space="preserve">LUCAS </t>
  </si>
  <si>
    <t xml:space="preserve">GUAREJU </t>
  </si>
  <si>
    <t>RUA C</t>
  </si>
  <si>
    <t xml:space="preserve">BECO DO LIBANES </t>
  </si>
  <si>
    <t>TRAVESSA DO PEDRINHO</t>
  </si>
  <si>
    <t xml:space="preserve">GUAJERU </t>
  </si>
  <si>
    <t xml:space="preserve">BECO DA PAZ </t>
  </si>
  <si>
    <t xml:space="preserve">RUA C </t>
  </si>
  <si>
    <t>BECO DA NEIDE</t>
  </si>
  <si>
    <t>Informar período</t>
  </si>
  <si>
    <t>SE LIGA NA REDE - SANTOS</t>
  </si>
  <si>
    <t>PRODUÇÃO POR EQUIPE</t>
  </si>
  <si>
    <t>DE</t>
  </si>
  <si>
    <t>ATÉ</t>
  </si>
  <si>
    <t>PERÍODO</t>
  </si>
  <si>
    <t>RUA</t>
  </si>
  <si>
    <t>DIAS ÚTEIS</t>
  </si>
  <si>
    <t>Ind. Prod. LA</t>
  </si>
  <si>
    <t>Ind Prod LE</t>
  </si>
  <si>
    <t>Ind Prod PRA</t>
  </si>
  <si>
    <t>Ind Prod PRE</t>
  </si>
  <si>
    <t>IND. PROD REDE</t>
  </si>
  <si>
    <t>IND. PROD LIG</t>
  </si>
  <si>
    <t>(vazio)</t>
  </si>
  <si>
    <t>PRODUTIVIDADE MÉDIA</t>
  </si>
  <si>
    <t>MÉDIA INTERNA</t>
  </si>
  <si>
    <t>PRODUÇÃO POR NÚCLEO - RUA</t>
  </si>
  <si>
    <t>PRODUÇÃO - META DOS 30 DIAS</t>
  </si>
  <si>
    <t>Data Atual:</t>
  </si>
  <si>
    <t>Dia da Semana:</t>
  </si>
  <si>
    <t>Semana:</t>
  </si>
  <si>
    <t>Data:</t>
  </si>
  <si>
    <t>NÚCLEO</t>
  </si>
  <si>
    <t>NO MÊS - ATÉ A DATA</t>
  </si>
  <si>
    <t>FEVEREIRO</t>
  </si>
  <si>
    <t>RESUMO SEMANAL</t>
  </si>
  <si>
    <t>SEMANA CORRENTE</t>
  </si>
  <si>
    <t>SEMANA ANTERIOR</t>
  </si>
  <si>
    <t>DESVIO PREV x REALIZ.</t>
  </si>
  <si>
    <t>PREVISTO</t>
  </si>
  <si>
    <t>REALIZADO</t>
  </si>
  <si>
    <t>ACUM SEMANA 1</t>
  </si>
  <si>
    <t>ACUM SEMANA 2</t>
  </si>
  <si>
    <t>ACUM SEMANA 3</t>
  </si>
  <si>
    <t>ACUM SEMANA 4</t>
  </si>
  <si>
    <t>ACUM SEMANA 5</t>
  </si>
  <si>
    <t>ACUM SEMANA 6</t>
  </si>
  <si>
    <t>ACUM SEMANA 7</t>
  </si>
  <si>
    <t>ACUM SEMANA</t>
  </si>
  <si>
    <t>DESVIO SEM.</t>
  </si>
  <si>
    <t>META MÊS</t>
  </si>
  <si>
    <t>%Rede</t>
  </si>
  <si>
    <t>%Lig</t>
  </si>
  <si>
    <t>META SEMANA</t>
  </si>
  <si>
    <t>META DIÁRIA</t>
  </si>
  <si>
    <t>SEGUNDA</t>
  </si>
  <si>
    <t>TERÇA</t>
  </si>
  <si>
    <t>QUARTA</t>
  </si>
  <si>
    <t>QUINTA</t>
  </si>
  <si>
    <t>SEXTA</t>
  </si>
  <si>
    <t>SÁBADO</t>
  </si>
  <si>
    <t>REDE</t>
  </si>
  <si>
    <t>LIG</t>
  </si>
  <si>
    <t>Equiv.</t>
  </si>
  <si>
    <t>CONTRATO</t>
  </si>
  <si>
    <t xml:space="preserve">ACUMULADO DA SEMANA </t>
  </si>
  <si>
    <t>Prometido SABESP</t>
  </si>
  <si>
    <t>Ligações</t>
  </si>
  <si>
    <t>Rede</t>
  </si>
  <si>
    <t>Dias úteis</t>
  </si>
  <si>
    <t>Lig_Água</t>
  </si>
  <si>
    <t>Lig_Esgoto</t>
  </si>
  <si>
    <t>Rede_Água</t>
  </si>
  <si>
    <t>Rede_Esgoto</t>
  </si>
  <si>
    <t>Ligações_Dia</t>
  </si>
  <si>
    <t>Rede_Dia</t>
  </si>
  <si>
    <t>Und</t>
  </si>
  <si>
    <t>m</t>
  </si>
  <si>
    <t>Data</t>
  </si>
  <si>
    <t>Período</t>
  </si>
  <si>
    <t>Ligações2</t>
  </si>
  <si>
    <t>Dia_semana</t>
  </si>
  <si>
    <t>Feriados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</si>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</sst>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  <font>
      <i/>
      <sz val="8"/>
      <color theme="1"/>
      <name val="Arial"/>
      <family val="2"/>
    </font>
    <font>
      <sz val="11"/>
      <color rgb="FFFF0000"/>
      <name val="Arial"/>
      <family val="2"/>
    </font>
    <font>
      <sz val="9"/>
      <color rgb="FFFF0000"/>
      <name val="Aptos Narrow"/>
      <family val="2"/>
      <scheme val="minor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medium">
        <color indexed="64"/>
      </bottom>
      <diagonal/>
    </border>
    <border>
      <left style="thick">
        <color theme="1"/>
      </left>
      <right/>
      <top/>
      <bottom/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 style="medium">
        <color indexed="64"/>
      </bottom>
      <diagonal/>
    </border>
    <border>
      <left/>
      <right style="thin">
        <color theme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14" fontId="0" fillId="0" borderId="0" xfId="0" applyNumberFormat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left" indent="5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9" xfId="0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43" fontId="0" fillId="0" borderId="9" xfId="0" applyNumberFormat="1" applyBorder="1" applyAlignment="1">
      <alignment horizontal="center"/>
    </xf>
    <xf numFmtId="164" fontId="0" fillId="0" borderId="9" xfId="0" applyNumberFormat="1" applyBorder="1"/>
    <xf numFmtId="43" fontId="0" fillId="0" borderId="9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0" fillId="4" borderId="0" xfId="0" applyFill="1"/>
    <xf numFmtId="0" fontId="2" fillId="5" borderId="10" xfId="0" applyFont="1" applyFill="1" applyBorder="1"/>
    <xf numFmtId="43" fontId="0" fillId="0" borderId="0" xfId="1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4" fontId="0" fillId="0" borderId="9" xfId="0" applyNumberFormat="1" applyBorder="1"/>
    <xf numFmtId="0" fontId="7" fillId="7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11" borderId="19" xfId="0" applyNumberFormat="1" applyFill="1" applyBorder="1" applyAlignment="1">
      <alignment horizontal="center" vertical="center"/>
    </xf>
    <xf numFmtId="3" fontId="0" fillId="11" borderId="17" xfId="0" applyNumberForma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23" xfId="0" applyNumberFormat="1" applyFill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11" borderId="31" xfId="0" applyNumberFormat="1" applyFill="1" applyBorder="1" applyAlignment="1">
      <alignment horizontal="center" vertical="center"/>
    </xf>
    <xf numFmtId="3" fontId="0" fillId="11" borderId="29" xfId="0" applyNumberFormat="1" applyFill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3" fontId="0" fillId="0" borderId="33" xfId="0" applyNumberFormat="1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3" fontId="0" fillId="11" borderId="36" xfId="0" applyNumberFormat="1" applyFill="1" applyBorder="1" applyAlignment="1">
      <alignment horizontal="center" vertical="center"/>
    </xf>
    <xf numFmtId="3" fontId="0" fillId="11" borderId="3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 applyAlignment="1">
      <alignment horizontal="left"/>
    </xf>
    <xf numFmtId="14" fontId="8" fillId="2" borderId="0" xfId="0" applyNumberFormat="1" applyFont="1" applyFill="1" applyAlignment="1">
      <alignment horizontal="left"/>
    </xf>
    <xf numFmtId="43" fontId="4" fillId="2" borderId="0" xfId="1" applyFont="1" applyFill="1"/>
    <xf numFmtId="164" fontId="0" fillId="0" borderId="19" xfId="1" applyNumberFormat="1" applyFont="1" applyBorder="1" applyAlignment="1">
      <alignment horizontal="center"/>
    </xf>
    <xf numFmtId="164" fontId="0" fillId="0" borderId="25" xfId="1" applyNumberFormat="1" applyFont="1" applyBorder="1" applyAlignment="1">
      <alignment horizontal="center"/>
    </xf>
    <xf numFmtId="164" fontId="0" fillId="0" borderId="31" xfId="1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20" xfId="1" applyNumberFormat="1" applyFont="1" applyBorder="1" applyAlignment="1">
      <alignment horizont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164" fontId="0" fillId="0" borderId="29" xfId="1" applyNumberFormat="1" applyFont="1" applyBorder="1" applyAlignment="1">
      <alignment horizontal="center"/>
    </xf>
    <xf numFmtId="164" fontId="0" fillId="0" borderId="30" xfId="1" applyNumberFormat="1" applyFont="1" applyBorder="1" applyAlignment="1">
      <alignment horizontal="center"/>
    </xf>
    <xf numFmtId="164" fontId="0" fillId="0" borderId="32" xfId="1" applyNumberFormat="1" applyFont="1" applyBorder="1" applyAlignment="1">
      <alignment horizontal="center"/>
    </xf>
    <xf numFmtId="164" fontId="0" fillId="0" borderId="19" xfId="1" applyNumberFormat="1" applyFont="1" applyFill="1" applyBorder="1" applyAlignment="1">
      <alignment horizontal="center"/>
    </xf>
    <xf numFmtId="0" fontId="7" fillId="7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9" fontId="0" fillId="0" borderId="39" xfId="2" applyFont="1" applyFill="1" applyBorder="1" applyAlignment="1">
      <alignment horizontal="center" vertical="center"/>
    </xf>
    <xf numFmtId="9" fontId="0" fillId="0" borderId="23" xfId="2" applyFont="1" applyFill="1" applyBorder="1" applyAlignment="1">
      <alignment horizontal="center" vertical="center"/>
    </xf>
    <xf numFmtId="9" fontId="0" fillId="0" borderId="40" xfId="2" applyFont="1" applyFill="1" applyBorder="1" applyAlignment="1">
      <alignment horizontal="center" vertical="center"/>
    </xf>
    <xf numFmtId="9" fontId="0" fillId="0" borderId="29" xfId="2" applyFont="1" applyFill="1" applyBorder="1" applyAlignment="1">
      <alignment horizontal="center" vertical="center"/>
    </xf>
    <xf numFmtId="9" fontId="0" fillId="0" borderId="41" xfId="2" applyFont="1" applyFill="1" applyBorder="1" applyAlignment="1">
      <alignment horizontal="center" vertical="center"/>
    </xf>
    <xf numFmtId="9" fontId="0" fillId="0" borderId="42" xfId="2" applyFont="1" applyFill="1" applyBorder="1" applyAlignment="1">
      <alignment horizontal="center" vertical="center"/>
    </xf>
    <xf numFmtId="3" fontId="0" fillId="0" borderId="36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0" fontId="10" fillId="13" borderId="0" xfId="0" applyFont="1" applyFill="1"/>
    <xf numFmtId="0" fontId="12" fillId="0" borderId="0" xfId="0" applyFont="1"/>
    <xf numFmtId="3" fontId="0" fillId="0" borderId="8" xfId="0" applyNumberFormat="1" applyBorder="1" applyAlignment="1">
      <alignment horizontal="center" vertical="center"/>
    </xf>
    <xf numFmtId="0" fontId="0" fillId="0" borderId="43" xfId="0" applyBorder="1"/>
    <xf numFmtId="2" fontId="0" fillId="0" borderId="0" xfId="0" applyNumberFormat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2" fontId="0" fillId="12" borderId="46" xfId="0" applyNumberFormat="1" applyFill="1" applyBorder="1" applyAlignment="1">
      <alignment horizontal="center" vertical="center"/>
    </xf>
    <xf numFmtId="14" fontId="11" fillId="12" borderId="47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0" fillId="12" borderId="0" xfId="0" applyFill="1"/>
    <xf numFmtId="0" fontId="10" fillId="12" borderId="0" xfId="0" applyFont="1" applyFill="1" applyAlignment="1">
      <alignment horizontal="left"/>
    </xf>
    <xf numFmtId="2" fontId="3" fillId="12" borderId="0" xfId="0" applyNumberFormat="1" applyFont="1" applyFill="1" applyAlignment="1">
      <alignment horizontal="center" vertical="center"/>
    </xf>
    <xf numFmtId="2" fontId="16" fillId="12" borderId="0" xfId="0" applyNumberFormat="1" applyFont="1" applyFill="1" applyAlignment="1">
      <alignment horizontal="center" vertical="center"/>
    </xf>
    <xf numFmtId="0" fontId="10" fillId="13" borderId="48" xfId="0" applyFont="1" applyFill="1" applyBorder="1" applyAlignment="1">
      <alignment horizontal="center"/>
    </xf>
    <xf numFmtId="0" fontId="10" fillId="13" borderId="49" xfId="0" applyFont="1" applyFill="1" applyBorder="1" applyAlignment="1">
      <alignment horizontal="center"/>
    </xf>
    <xf numFmtId="14" fontId="11" fillId="12" borderId="50" xfId="0" applyNumberFormat="1" applyFont="1" applyFill="1" applyBorder="1" applyAlignment="1">
      <alignment horizontal="center" vertical="center"/>
    </xf>
    <xf numFmtId="0" fontId="0" fillId="0" borderId="51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44" xfId="0" applyBorder="1"/>
    <xf numFmtId="0" fontId="13" fillId="0" borderId="52" xfId="0" applyFont="1" applyBorder="1" applyAlignment="1">
      <alignment horizontal="center" vertical="center"/>
    </xf>
    <xf numFmtId="0" fontId="2" fillId="13" borderId="53" xfId="0" applyFont="1" applyFill="1" applyBorder="1" applyAlignment="1">
      <alignment horizontal="center" vertical="center"/>
    </xf>
    <xf numFmtId="0" fontId="2" fillId="13" borderId="53" xfId="0" applyFont="1" applyFill="1" applyBorder="1" applyAlignment="1">
      <alignment horizontal="center" vertical="center" wrapText="1"/>
    </xf>
    <xf numFmtId="0" fontId="2" fillId="13" borderId="54" xfId="0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2" fontId="0" fillId="12" borderId="55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56" xfId="0" applyBorder="1"/>
    <xf numFmtId="0" fontId="0" fillId="0" borderId="56" xfId="0" applyBorder="1" applyAlignment="1">
      <alignment horizontal="center" vertical="center"/>
    </xf>
    <xf numFmtId="0" fontId="2" fillId="13" borderId="57" xfId="0" applyFont="1" applyFill="1" applyBorder="1" applyAlignment="1">
      <alignment horizontal="center" vertical="center" wrapText="1"/>
    </xf>
    <xf numFmtId="0" fontId="0" fillId="12" borderId="58" xfId="0" applyFill="1" applyBorder="1" applyAlignment="1">
      <alignment horizontal="center" vertical="center"/>
    </xf>
    <xf numFmtId="0" fontId="0" fillId="12" borderId="59" xfId="0" applyFill="1" applyBorder="1" applyAlignment="1">
      <alignment horizontal="center" vertical="center"/>
    </xf>
    <xf numFmtId="0" fontId="0" fillId="0" borderId="12" xfId="0" applyBorder="1"/>
    <xf numFmtId="0" fontId="2" fillId="13" borderId="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0" fontId="0" fillId="0" borderId="60" xfId="0" applyBorder="1"/>
    <xf numFmtId="0" fontId="0" fillId="0" borderId="47" xfId="0" applyBorder="1" applyAlignment="1">
      <alignment horizontal="center" vertical="center"/>
    </xf>
    <xf numFmtId="3" fontId="0" fillId="0" borderId="47" xfId="0" applyNumberFormat="1" applyBorder="1" applyAlignment="1">
      <alignment horizontal="center"/>
    </xf>
    <xf numFmtId="0" fontId="14" fillId="11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left"/>
    </xf>
    <xf numFmtId="0" fontId="7" fillId="14" borderId="47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left"/>
    </xf>
    <xf numFmtId="14" fontId="9" fillId="0" borderId="3" xfId="0" applyNumberFormat="1" applyFon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7" fillId="10" borderId="14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d/mm/yyyy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alignment vertical="center"/>
    </dxf>
    <dxf>
      <alignment horizontal="center"/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0"/>
        </patternFill>
      </fill>
    </dxf>
    <dxf>
      <border>
        <left style="medium">
          <color theme="1"/>
        </left>
      </border>
    </dxf>
    <dxf>
      <border>
        <left style="medium">
          <color theme="1"/>
        </left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z val="11"/>
      </font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vertic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alignment vertical="center"/>
    </dxf>
    <dxf>
      <alignment horizontal="center"/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0"/>
        </patternFill>
      </fill>
    </dxf>
    <dxf>
      <border>
        <left style="medium">
          <color theme="1"/>
        </left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z val="11"/>
      </font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vertic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rgb="FFFFFFD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2"/>
        <color theme="0"/>
        <name val="Arial"/>
        <family val="2"/>
        <scheme val="none"/>
      </font>
      <fill>
        <patternFill>
          <bgColor theme="1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Estilo de Tabela Dinâmica 1">
    <tableStyle name="Estilo de Segmentação de Dados 2" pivot="0" table="0" count="3" xr9:uid="{1BB0CC9B-BF44-4BB4-A6D8-EF1B1390C63E}">
      <tableStyleElement type="wholeTable" dxfId="112"/>
      <tableStyleElement type="headerRow" dxfId="111"/>
    </tableStyle>
    <tableStyle name="Estilo de Tabela Dinâmica 1" table="0" count="4" xr9:uid="{92D6A5DB-4C18-44E1-8202-0A03DD326B0E}">
      <tableStyleElement type="wholeTable" dxfId="110"/>
      <tableStyleElement type="firstColumnStripe" dxfId="109"/>
      <tableStyleElement type="pageFieldLabels" dxfId="108"/>
      <tableStyleElement type="pageFieldValues" dxfId="107"/>
    </tableStyle>
  </tableStyles>
  <colors>
    <mruColors>
      <color rgb="FFFFFFD1"/>
    </mruColors>
  </colors>
  <extLst>
    <ext xmlns:x14="http://schemas.microsoft.com/office/spreadsheetml/2009/9/main" uri="{46F421CA-312F-682f-3DD2-61675219B42D}">
      <x14:dxfs count="1">
        <dxf>
          <font>
            <b/>
            <i val="0"/>
            <sz val="12"/>
            <color theme="7" tint="0.39994506668294322"/>
            <name val="Arial"/>
            <family val="2"/>
            <scheme val="none"/>
          </font>
          <fill>
            <patternFill>
              <bgColor theme="3" tint="0.89996032593768116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3.wdp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142123</xdr:rowOff>
    </xdr:from>
    <xdr:to>
      <xdr:col>1</xdr:col>
      <xdr:colOff>257809</xdr:colOff>
      <xdr:row>5</xdr:row>
      <xdr:rowOff>35118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018D5F-4BA2-D20C-134B-12FE4F4E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123"/>
          <a:ext cx="929639" cy="893120"/>
        </a:xfrm>
        <a:prstGeom prst="rect">
          <a:avLst/>
        </a:prstGeom>
      </xdr:spPr>
    </xdr:pic>
    <xdr:clientData/>
  </xdr:twoCellAnchor>
  <xdr:twoCellAnchor editAs="oneCell">
    <xdr:from>
      <xdr:col>1</xdr:col>
      <xdr:colOff>206263</xdr:colOff>
      <xdr:row>2</xdr:row>
      <xdr:rowOff>48145</xdr:rowOff>
    </xdr:from>
    <xdr:to>
      <xdr:col>2</xdr:col>
      <xdr:colOff>58720</xdr:colOff>
      <xdr:row>4</xdr:row>
      <xdr:rowOff>40669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2A231B-E31B-CFF6-2472-08BD15B5F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3013" y="438670"/>
          <a:ext cx="1571102" cy="383049"/>
        </a:xfrm>
        <a:prstGeom prst="rect">
          <a:avLst/>
        </a:prstGeom>
      </xdr:spPr>
    </xdr:pic>
    <xdr:clientData/>
  </xdr:twoCellAnchor>
  <xdr:twoCellAnchor>
    <xdr:from>
      <xdr:col>17</xdr:col>
      <xdr:colOff>15240</xdr:colOff>
      <xdr:row>2</xdr:row>
      <xdr:rowOff>9525</xdr:rowOff>
    </xdr:from>
    <xdr:to>
      <xdr:col>17</xdr:col>
      <xdr:colOff>771525</xdr:colOff>
      <xdr:row>5</xdr:row>
      <xdr:rowOff>129540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4018712C-2654-44CC-9869-BE80DA397595}"/>
            </a:ext>
          </a:extLst>
        </xdr:cNvPr>
        <xdr:cNvCxnSpPr/>
      </xdr:nvCxnSpPr>
      <xdr:spPr>
        <a:xfrm flipH="1">
          <a:off x="14312265" y="400050"/>
          <a:ext cx="756285" cy="72961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171450</xdr:colOff>
      <xdr:row>6</xdr:row>
      <xdr:rowOff>22859</xdr:rowOff>
    </xdr:from>
    <xdr:to>
      <xdr:col>20</xdr:col>
      <xdr:colOff>360043</xdr:colOff>
      <xdr:row>17</xdr:row>
      <xdr:rowOff>6537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Núcleo">
              <a:extLst>
                <a:ext uri="{FF2B5EF4-FFF2-40B4-BE49-F238E27FC236}">
                  <a16:creationId xmlns:a16="http://schemas.microsoft.com/office/drawing/2014/main" id="{07568759-35AC-4B70-9E68-DA1F6802C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1203959"/>
              <a:ext cx="1520190" cy="20040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142123</xdr:rowOff>
    </xdr:from>
    <xdr:to>
      <xdr:col>1</xdr:col>
      <xdr:colOff>257809</xdr:colOff>
      <xdr:row>5</xdr:row>
      <xdr:rowOff>35118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DC4BFE-36E5-4093-AA53-CCB51C97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218"/>
          <a:ext cx="927734" cy="895025"/>
        </a:xfrm>
        <a:prstGeom prst="rect">
          <a:avLst/>
        </a:prstGeom>
      </xdr:spPr>
    </xdr:pic>
    <xdr:clientData/>
  </xdr:twoCellAnchor>
  <xdr:twoCellAnchor editAs="oneCell">
    <xdr:from>
      <xdr:col>1</xdr:col>
      <xdr:colOff>206263</xdr:colOff>
      <xdr:row>2</xdr:row>
      <xdr:rowOff>48145</xdr:rowOff>
    </xdr:from>
    <xdr:to>
      <xdr:col>2</xdr:col>
      <xdr:colOff>19050</xdr:colOff>
      <xdr:row>4</xdr:row>
      <xdr:rowOff>40669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72AF7E-8057-4BEA-B5AF-F5DC15184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823" y="440575"/>
          <a:ext cx="1563482" cy="381144"/>
        </a:xfrm>
        <a:prstGeom prst="rect">
          <a:avLst/>
        </a:prstGeom>
      </xdr:spPr>
    </xdr:pic>
    <xdr:clientData/>
  </xdr:twoCellAnchor>
  <xdr:twoCellAnchor editAs="oneCell">
    <xdr:from>
      <xdr:col>18</xdr:col>
      <xdr:colOff>167640</xdr:colOff>
      <xdr:row>6</xdr:row>
      <xdr:rowOff>19050</xdr:rowOff>
    </xdr:from>
    <xdr:to>
      <xdr:col>20</xdr:col>
      <xdr:colOff>361950</xdr:colOff>
      <xdr:row>15</xdr:row>
      <xdr:rowOff>55246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Núcleo 1">
              <a:extLst>
                <a:ext uri="{FF2B5EF4-FFF2-40B4-BE49-F238E27FC236}">
                  <a16:creationId xmlns:a16="http://schemas.microsoft.com/office/drawing/2014/main" id="{3B429979-7843-42F5-B82B-9D163DE1C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50" y="1196340"/>
              <a:ext cx="1524000" cy="19735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167640</xdr:colOff>
      <xdr:row>6</xdr:row>
      <xdr:rowOff>19050</xdr:rowOff>
    </xdr:from>
    <xdr:to>
      <xdr:col>20</xdr:col>
      <xdr:colOff>361950</xdr:colOff>
      <xdr:row>15</xdr:row>
      <xdr:rowOff>131446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úcleo 2">
              <a:extLst>
                <a:ext uri="{FF2B5EF4-FFF2-40B4-BE49-F238E27FC236}">
                  <a16:creationId xmlns:a16="http://schemas.microsoft.com/office/drawing/2014/main" id="{40099E76-BD8C-4DAC-A951-7653BC726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50" y="1203959"/>
              <a:ext cx="1524000" cy="1975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542925</xdr:colOff>
      <xdr:row>2</xdr:row>
      <xdr:rowOff>7620</xdr:rowOff>
    </xdr:from>
    <xdr:to>
      <xdr:col>17</xdr:col>
      <xdr:colOff>638175</xdr:colOff>
      <xdr:row>5</xdr:row>
      <xdr:rowOff>131445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95381E66-FA9B-4622-A70E-6BB223962866}"/>
            </a:ext>
          </a:extLst>
        </xdr:cNvPr>
        <xdr:cNvCxnSpPr/>
      </xdr:nvCxnSpPr>
      <xdr:spPr>
        <a:xfrm flipH="1">
          <a:off x="11458575" y="398145"/>
          <a:ext cx="762000" cy="7334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53340</xdr:rowOff>
    </xdr:from>
    <xdr:to>
      <xdr:col>1</xdr:col>
      <xdr:colOff>780261</xdr:colOff>
      <xdr:row>5</xdr:row>
      <xdr:rowOff>21782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B8300F-BAC0-4513-BC05-FB333B12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794231" cy="806642"/>
        </a:xfrm>
        <a:prstGeom prst="rect">
          <a:avLst/>
        </a:prstGeom>
      </xdr:spPr>
    </xdr:pic>
    <xdr:clientData/>
  </xdr:twoCellAnchor>
  <xdr:twoCellAnchor editAs="oneCell">
    <xdr:from>
      <xdr:col>1</xdr:col>
      <xdr:colOff>739663</xdr:colOff>
      <xdr:row>1</xdr:row>
      <xdr:rowOff>192925</xdr:rowOff>
    </xdr:from>
    <xdr:to>
      <xdr:col>3</xdr:col>
      <xdr:colOff>287655</xdr:colOff>
      <xdr:row>4</xdr:row>
      <xdr:rowOff>58449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2CF6FA-F0CD-4087-B6AD-22B6FF06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663" y="368185"/>
          <a:ext cx="1573007" cy="4668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ônica Fernandes" refreshedDate="46120.322295254628" backgroundQuery="1" createdVersion="8" refreshedVersion="8" minRefreshableVersion="3" recordCount="3176" xr:uid="{46B6FBE1-63A9-4F8C-A0F0-D3B4A4C8F4CE}">
  <cacheSource type="external" connectionId="3"/>
  <cacheFields count="16">
    <cacheField name="Dia" numFmtId="0">
      <sharedItems containsSemiMixedTypes="0" containsNonDate="0" containsDate="1" containsString="0" minDate="2025-11-01T00:00:00" maxDate="2027-02-16T00:00:00"/>
    </cacheField>
    <cacheField name="Dia Semana" numFmtId="0">
      <sharedItems count="7">
        <s v="sábado"/>
        <s v="domingo"/>
        <s v="segunda-feira"/>
        <s v="terça-feira"/>
        <s v="quarta-feira"/>
        <s v="quinta-feira"/>
        <s v="sexta-feira"/>
      </sharedItems>
    </cacheField>
    <cacheField name="Mês" numFmtId="0">
      <sharedItems containsSemiMixedTypes="0" containsNonDate="0" containsDate="1" containsString="0" minDate="2025-11-01T00:00:00" maxDate="2027-02-16T00:00:00"/>
    </cacheField>
    <cacheField name="Dia Útil" numFmtId="0">
      <sharedItems containsBlank="1" count="3">
        <s v="NÃO"/>
        <m/>
        <s v="SIM"/>
      </sharedItems>
    </cacheField>
    <cacheField name="Equipe" numFmtId="0">
      <sharedItems containsBlank="1" count="64">
        <m/>
        <s v="∑ Equipe até 28/02 - MT"/>
        <s v="ZULU"/>
        <s v="PITBULL"/>
        <s v="TIM MAIA "/>
        <s v="JOÃO"/>
        <s v="∑ Equipe até 28/02 - PB"/>
        <s v="GILVAN"/>
        <s v="LEANDRO"/>
        <s v="CASSIO"/>
        <s v="PAULO"/>
        <s v="CASSIO "/>
        <s v="∑ Equipe até 28/02 - JC"/>
        <s v="DOUGLAS"/>
        <s v="SANDRO"/>
        <s v="JAMILTON"/>
        <s v="SANDRO "/>
        <s v="∑ Equipe até 28/02 - SM"/>
        <s v="RICARDO"/>
        <s v="MARIO"/>
        <s v="ANDERSON"/>
        <s v="IGOR "/>
        <s v="PETRUCIO"/>
        <s v="RENATO "/>
        <s v="CARLENADRO "/>
        <s v="RICARDO "/>
        <s v="DANILO"/>
        <s v="JEFERSON"/>
        <s v="CARLEANDRO "/>
        <s v="MARIO "/>
        <s v="CLAYTON"/>
        <s v="∑ Equipe até 28/02 - VI"/>
        <s v="VINICIUS "/>
        <s v="EDUARDO "/>
        <s v="ADILSIO"/>
        <s v="ELOI"/>
        <s v="AÇÃO POLICIAL "/>
        <s v="CARLOS"/>
        <s v="CARLOS "/>
        <s v="WILTON"/>
        <s v="∑ Equipe até 28/02 - VC"/>
        <s v="VICENTE"/>
        <s v="ALESSANDRO "/>
        <s v="BRUNO"/>
        <s v="ALEX"/>
        <s v="ALEX "/>
        <s v="VICENTE "/>
        <s v="LUCAS"/>
        <s v="GUAREJU"/>
        <s v="LUCAS "/>
        <s v="GUAREJU "/>
        <s v="GUAJERU "/>
        <s v="∑ Equipe até 25/02 - MT" u="1"/>
        <s v="∑ Equipe até 25/02 - PB" u="1"/>
        <s v="∑ Equipe até 25/02 - JC" u="1"/>
        <s v="∑ Equipe até 25/02 - SM" u="1"/>
        <s v="∑ Equipe até 25/02 - VI" u="1"/>
        <s v="∑ Equipe até 25/02 - VC" u="1"/>
        <s v="∑ Equipe até 25/02" u="1"/>
        <s v="EQUIPE AA" u="1"/>
        <s v="EQUIPE AB" u="1"/>
        <s v="EQUIPE CC" u="1"/>
        <s v="EQUIPE DD" u="1"/>
        <s v="EQUIPE FF" u="1"/>
      </sharedItems>
    </cacheField>
    <cacheField name="Rua" numFmtId="0">
      <sharedItems containsBlank="1" count="158">
        <m/>
        <s v="Diversas até 28/02 - MT"/>
        <s v="RUA DAS PEDRAS"/>
        <s v="RUA TRAVESSA DA JUVENTUDE"/>
        <s v="CAMINHO DA ESPERANÇA"/>
        <s v="VIELA C "/>
        <s v="BEIRA RIO "/>
        <s v="RUA DAS PEDRAS "/>
        <s v="TRAVESSA DA JUVENTUDE "/>
        <s v="TRAVESSA DA ESPERANÇA"/>
        <s v="VIELA B"/>
        <s v="VIELA A"/>
        <s v="CHUVA "/>
        <s v="TRAVESSA DA JUVENTUDI"/>
        <s v="CAMINHO PARTICULAR SÃO JORGE "/>
        <s v="TRAVESSA 3"/>
        <s v="BECO 3"/>
        <s v="BECO DO MOACIR "/>
        <s v="BECO 3 "/>
        <s v="RUADAS PEDRAS "/>
        <s v="BECO 62"/>
        <s v="BECO 72"/>
        <s v="Diversas até 28/02 - PB"/>
        <s v="BECO 14"/>
        <s v="BECO 11"/>
        <s v="BECO 18"/>
        <s v="CANANEIA "/>
        <s v="BECO 19"/>
        <s v="BECO 16"/>
        <s v="CARAGUATATUBA"/>
        <s v="BECO 11 "/>
        <s v="BECO 14 "/>
        <s v="BECO 10"/>
        <s v="BECO 22"/>
        <s v="BECO 21"/>
        <s v="BECO 17 "/>
        <s v="BECO 21 "/>
        <s v="CHUVA"/>
        <s v="RUA 10"/>
        <s v="RUA 17"/>
        <s v="RUA 14"/>
        <s v="RUA 11"/>
        <s v="RUA 18"/>
        <s v="RUA 20"/>
        <s v="RUA 16"/>
        <s v="COLINA "/>
        <s v="RUA CANANEIA"/>
        <s v="BECO 20"/>
        <s v="RUA 19"/>
        <s v="RUA 14 "/>
        <s v="CARAGUATATUBA "/>
        <s v="RUA 22"/>
        <s v="RUA 13"/>
        <s v="RUA CANANEIA "/>
        <s v="RUA CARAGUATATUBA "/>
        <s v="RUA COLINA "/>
        <s v="RUA 21"/>
        <s v="Diversas até 28/02 - JC"/>
        <s v="BECO 9"/>
        <s v="JOÃO CARLOS DA SILVA "/>
        <s v="BECO 12 "/>
        <s v="BECO 17"/>
        <s v="BECO 8"/>
        <s v="Diversas até 28/02 - SM"/>
        <s v="CAMINHO SÃO MANOEL D"/>
        <s v="BECO 3D"/>
        <s v="BECO 1D"/>
        <s v="BECO 4D"/>
        <s v="BECO 16D"/>
        <s v="BECO 21D"/>
        <s v="BECO 21E"/>
        <s v="BECO 5D"/>
        <s v="BECO 21E "/>
        <s v="BECO 21 E "/>
        <s v="BECO 18 D "/>
        <s v="BECO 22 D "/>
        <s v="BECO 20 D "/>
        <s v="BECO 18D"/>
        <s v="BECO 6D"/>
        <s v="BECO 22 E "/>
        <s v="BECO 23 E "/>
        <s v="BECO 22 D"/>
        <s v="BECO 22D"/>
        <s v="BECO 4"/>
        <s v="BECO 5 E"/>
        <s v="BECO 6 E"/>
        <s v="BECO 4 D"/>
        <s v="BECO 5E"/>
        <s v="BECO 19 D"/>
        <s v="BECO 16 D"/>
        <s v="BECO 5 E "/>
        <s v="SÃO MANOEL"/>
        <s v="BECO 19 D "/>
        <s v="BECO 16 D "/>
        <s v="BECO 17 D "/>
        <s v="BECO 14 E "/>
        <s v="BECO 6 D "/>
        <s v="BECO 14 D"/>
        <s v="BECO 11 D"/>
        <s v="BECO 11 D "/>
        <s v="BECO 14 D "/>
        <s v="BECO 15 E "/>
        <s v="BECO 9 E"/>
        <s v="BECO 14D"/>
        <s v="BECO 13 E "/>
        <s v="BECO 18 E "/>
        <s v="Diversas até 28/02 - VI"/>
        <s v="ESCADARIA 8"/>
        <s v="RUA PRINCIPAL"/>
        <s v="ESCADRAIA 7"/>
        <s v="ESCADARIA 7 "/>
        <s v="CAMINHO FAZENDINHA "/>
        <s v="ESCADARIA 8 "/>
        <s v="ESCADARIA 6"/>
        <s v="CAMINHO DO MICHEL"/>
        <s v="CAMINHO MICHEL"/>
        <s v="Diversas até 28/02 - VC"/>
        <s v="BECO DO K9"/>
        <s v="RUA A "/>
        <s v="RUA H "/>
        <s v="BECO DA CAPOEIRA"/>
        <s v="BECO K9"/>
        <s v="TRAVESSA DO CAMPO"/>
        <s v="BECO DA CAPOEIRA "/>
        <s v="BECO  DO K9"/>
        <s v="FUNDÃO DA B"/>
        <s v="RUA DA CAPADÓCIA "/>
        <s v="TRAVESSA DA KELLY "/>
        <s v="TREVESSA DO CAMPO "/>
        <s v="RUA "/>
        <s v="PROJETA F "/>
        <s v="FAMILIA BARROS"/>
        <s v="RUA DA CAPADOCIA"/>
        <s v="RUA CAPADÓCIA "/>
        <s v="BECO SHEIK"/>
        <s v="BECO DO SHEIK "/>
        <s v="PROJETO F"/>
        <s v="RUA D"/>
        <s v="PROJETADA F"/>
        <s v="CAPADÓCIA "/>
        <s v="RUA D "/>
        <s v="TRAVESSA DO LEANDRO "/>
        <s v="RUA C"/>
        <s v="BECO DO LIBANES "/>
        <s v="TRAVESSA DO PEDRINHO"/>
        <s v="BECO DA PAZ "/>
        <s v="RUA C "/>
        <s v="BECO DA NEIDE"/>
        <s v="BECO 19 " u="1"/>
        <s v="TRAVESSA DA JUVENTUDO" u="1"/>
        <s v="Diversas até 25/02 - MT" u="1"/>
        <s v="Diversas até 25/02 - PB" u="1"/>
        <s v="Diversas até 25/02 - JC" u="1"/>
        <s v="Diversas até 25/02 - SM" u="1"/>
        <s v="Diversas até 25/02 - VI" u="1"/>
        <s v="Diversas até 25/02 - VC" u="1"/>
        <s v="Diversas até 25/02" u="1"/>
        <s v="RUA AA" u="1"/>
      </sharedItems>
    </cacheField>
    <cacheField name="LA" numFmtId="0">
      <sharedItems containsString="0" containsBlank="1" containsNumber="1" containsInteger="1" minValue="0" maxValue="34" count="19">
        <m/>
        <n v="6"/>
        <n v="5"/>
        <n v="11"/>
        <n v="8"/>
        <n v="9"/>
        <n v="7"/>
        <n v="4"/>
        <n v="3"/>
        <n v="16"/>
        <n v="2"/>
        <n v="1"/>
        <n v="15"/>
        <n v="10"/>
        <n v="0"/>
        <n v="23"/>
        <n v="13"/>
        <n v="18"/>
        <n v="34"/>
      </sharedItems>
    </cacheField>
    <cacheField name="LE" numFmtId="0">
      <sharedItems containsString="0" containsBlank="1" containsNumber="1" containsInteger="1" minValue="0" maxValue="28" count="20">
        <m/>
        <n v="6"/>
        <n v="13"/>
        <n v="15"/>
        <n v="8"/>
        <n v="11"/>
        <n v="2"/>
        <n v="3"/>
        <n v="10"/>
        <n v="7"/>
        <n v="9"/>
        <n v="5"/>
        <n v="17"/>
        <n v="12"/>
        <n v="4"/>
        <n v="1"/>
        <n v="0"/>
        <n v="22"/>
        <n v="28"/>
        <n v="25"/>
      </sharedItems>
    </cacheField>
    <cacheField name="PRA" numFmtId="0">
      <sharedItems containsString="0" containsBlank="1" containsNumber="1" minValue="0" maxValue="157"/>
    </cacheField>
    <cacheField name="PRE" numFmtId="0">
      <sharedItems containsString="0" containsBlank="1" containsNumber="1" minValue="0" maxValue="109"/>
    </cacheField>
    <cacheField name="PV's" numFmtId="0">
      <sharedItems containsString="0" containsBlank="1" containsNumber="1" containsInteger="1" minValue="0" maxValue="4" count="6">
        <m/>
        <n v="3"/>
        <n v="4"/>
        <n v="1"/>
        <n v="2"/>
        <n v="0"/>
      </sharedItems>
    </cacheField>
    <cacheField name="LIE" numFmtId="0">
      <sharedItems containsString="0" containsBlank="1" containsNumber="1" containsInteger="1" minValue="0" maxValue="12" count="13">
        <m/>
        <n v="9"/>
        <n v="2"/>
        <n v="0"/>
        <n v="4"/>
        <n v="8"/>
        <n v="6"/>
        <n v="12"/>
        <n v="7"/>
        <n v="1"/>
        <n v="3"/>
        <n v="5"/>
        <n v="10"/>
      </sharedItems>
    </cacheField>
    <cacheField name="LIA" numFmtId="0">
      <sharedItems containsString="0" containsBlank="1" containsNumber="1" containsInteger="1" minValue="0" maxValue="28" count="24">
        <m/>
        <n v="1"/>
        <n v="5"/>
        <n v="4"/>
        <n v="17"/>
        <n v="6"/>
        <n v="19"/>
        <n v="8"/>
        <n v="3"/>
        <n v="18"/>
        <n v="10"/>
        <n v="2"/>
        <n v="12"/>
        <n v="7"/>
        <n v="0"/>
        <n v="14"/>
        <n v="13"/>
        <n v="20"/>
        <n v="9"/>
        <n v="15"/>
        <n v="23"/>
        <n v="16"/>
        <n v="28"/>
        <n v="11"/>
      </sharedItems>
    </cacheField>
    <cacheField name="IHM" numFmtId="0">
      <sharedItems containsString="0" containsBlank="1" containsNumber="1" containsInteger="1" minValue="0" maxValue="28" count="17">
        <m/>
        <n v="17"/>
        <n v="23"/>
        <n v="28"/>
        <n v="1"/>
        <n v="11"/>
        <n v="8"/>
        <n v="4"/>
        <n v="5"/>
        <n v="15"/>
        <n v="2"/>
        <n v="10"/>
        <n v="3"/>
        <n v="0"/>
        <n v="9"/>
        <n v="7"/>
        <n v="6"/>
      </sharedItems>
    </cacheField>
    <cacheField name="RHM" numFmtId="0">
      <sharedItems containsString="0" containsBlank="1" containsNumber="1" containsInteger="1" minValue="0" maxValue="0" count="2">
        <m/>
        <n v="0"/>
      </sharedItems>
    </cacheField>
    <cacheField name="Núcleo" numFmtId="0">
      <sharedItems count="6">
        <s v="Morro do Tetéu"/>
        <s v="Pantanal Baixo"/>
        <s v="João Carlos"/>
        <s v="São Manoel"/>
        <s v="Vila Israel"/>
        <s v="Vila dos Criadores"/>
      </sharedItems>
    </cacheField>
  </cacheFields>
  <extLst>
    <ext xmlns:x14="http://schemas.microsoft.com/office/spreadsheetml/2009/9/main" uri="{725AE2AE-9491-48be-B2B4-4EB974FC3084}">
      <x14:pivotCacheDefinition pivotCacheId="74181311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deans da Silva Melo" refreshedDate="46134.427853819441" createdVersion="8" refreshedVersion="8" minRefreshableVersion="3" recordCount="3176" xr:uid="{D72E49BD-9034-49A3-85F2-9DE2323CEC52}">
  <cacheSource type="worksheet">
    <worksheetSource name="GERAL"/>
  </cacheSource>
  <cacheFields count="16">
    <cacheField name="Dia" numFmtId="14">
      <sharedItems containsSemiMixedTypes="0" containsNonDate="0" containsDate="1" containsString="0" minDate="2025-11-01T00:00:00" maxDate="2027-02-16T00:00:00"/>
    </cacheField>
    <cacheField name="Dia Semana" numFmtId="0">
      <sharedItems/>
    </cacheField>
    <cacheField name="Mês" numFmtId="14">
      <sharedItems containsSemiMixedTypes="0" containsNonDate="0" containsDate="1" containsString="0" minDate="2025-11-01T00:00:00" maxDate="2027-02-16T00:00:00"/>
    </cacheField>
    <cacheField name="Dia Útil" numFmtId="0">
      <sharedItems containsBlank="1"/>
    </cacheField>
    <cacheField name="Equipe" numFmtId="0">
      <sharedItems containsBlank="1" count="52">
        <m/>
        <s v="∑ Equipe até 28/02 - MT"/>
        <s v="ZULU"/>
        <s v="PITBULL"/>
        <s v="TIM MAIA "/>
        <s v="JOÃO"/>
        <s v="∑ Equipe até 28/02 - PB"/>
        <s v="GILVAN"/>
        <s v="LEANDRO"/>
        <s v="CASSIO"/>
        <s v="PAULO"/>
        <s v="CASSIO "/>
        <s v="∑ Equipe até 28/02 - JC"/>
        <s v="DOUGLAS"/>
        <s v="SANDRO"/>
        <s v="JAMILTON"/>
        <s v="SANDRO "/>
        <s v="∑ Equipe até 28/02 - SM"/>
        <s v="RICARDO"/>
        <s v="MARIO"/>
        <s v="ANDERSON"/>
        <s v="IGOR "/>
        <s v="PETRUCIO"/>
        <s v="RENATO "/>
        <s v="CARLENADRO "/>
        <s v="RICARDO "/>
        <s v="DANILO"/>
        <s v="JEFERSON"/>
        <s v="CARLEANDRO "/>
        <s v="MARIO "/>
        <s v="CLAYTON"/>
        <s v="∑ Equipe até 28/02 - VI"/>
        <s v="VINICIUS "/>
        <s v="EDUARDO "/>
        <s v="ADILSIO"/>
        <s v="ELOI"/>
        <s v="AÇÃO POLICIAL "/>
        <s v="CARLOS"/>
        <s v="CARLOS "/>
        <s v="WILTON"/>
        <s v="∑ Equipe até 28/02 - VC"/>
        <s v="VICENTE"/>
        <s v="ALESSANDRO "/>
        <s v="BRUNO"/>
        <s v="ALEX"/>
        <s v="ALEX "/>
        <s v="VICENTE "/>
        <s v="LUCAS"/>
        <s v="GUAREJU"/>
        <s v="LUCAS "/>
        <s v="GUAREJU "/>
        <s v="GUAJERU "/>
      </sharedItems>
    </cacheField>
    <cacheField name="Rua" numFmtId="0">
      <sharedItems containsBlank="1"/>
    </cacheField>
    <cacheField name="LA" numFmtId="0">
      <sharedItems containsString="0" containsBlank="1" containsNumber="1" containsInteger="1" minValue="0" maxValue="34"/>
    </cacheField>
    <cacheField name="LE" numFmtId="0">
      <sharedItems containsString="0" containsBlank="1" containsNumber="1" containsInteger="1" minValue="0" maxValue="28"/>
    </cacheField>
    <cacheField name="PRA" numFmtId="0">
      <sharedItems containsString="0" containsBlank="1" containsNumber="1" minValue="0" maxValue="157"/>
    </cacheField>
    <cacheField name="PRE" numFmtId="0">
      <sharedItems containsString="0" containsBlank="1" containsNumber="1" minValue="0" maxValue="109"/>
    </cacheField>
    <cacheField name="PV's" numFmtId="0">
      <sharedItems containsString="0" containsBlank="1" containsNumber="1" containsInteger="1" minValue="0" maxValue="4"/>
    </cacheField>
    <cacheField name="LIE" numFmtId="0">
      <sharedItems containsString="0" containsBlank="1" containsNumber="1" containsInteger="1" minValue="0" maxValue="12"/>
    </cacheField>
    <cacheField name="LIA" numFmtId="0">
      <sharedItems containsString="0" containsBlank="1" containsNumber="1" containsInteger="1" minValue="0" maxValue="28"/>
    </cacheField>
    <cacheField name="IHM" numFmtId="0">
      <sharedItems containsString="0" containsBlank="1" containsNumber="1" containsInteger="1" minValue="0" maxValue="28"/>
    </cacheField>
    <cacheField name="RHM" numFmtId="0">
      <sharedItems containsString="0" containsBlank="1" containsNumber="1" containsInteger="1" minValue="0" maxValue="0"/>
    </cacheField>
    <cacheField name="Núcle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6">
  <r>
    <d v="2025-11-01T00:00:00"/>
    <x v="0"/>
    <d v="2025-11-01T00:00:00"/>
    <x v="0"/>
    <x v="0"/>
    <x v="0"/>
    <x v="0"/>
    <x v="0"/>
    <m/>
    <m/>
    <x v="0"/>
    <x v="0"/>
    <x v="0"/>
    <x v="0"/>
    <x v="0"/>
    <x v="0"/>
  </r>
  <r>
    <d v="2025-11-02T00:00:00"/>
    <x v="1"/>
    <d v="2025-11-02T00:00:00"/>
    <x v="0"/>
    <x v="0"/>
    <x v="0"/>
    <x v="0"/>
    <x v="0"/>
    <m/>
    <m/>
    <x v="0"/>
    <x v="0"/>
    <x v="0"/>
    <x v="0"/>
    <x v="0"/>
    <x v="0"/>
  </r>
  <r>
    <d v="2025-11-03T00:00:00"/>
    <x v="2"/>
    <d v="2025-11-03T00:00:00"/>
    <x v="1"/>
    <x v="0"/>
    <x v="0"/>
    <x v="0"/>
    <x v="0"/>
    <m/>
    <m/>
    <x v="0"/>
    <x v="0"/>
    <x v="0"/>
    <x v="0"/>
    <x v="0"/>
    <x v="0"/>
  </r>
  <r>
    <d v="2025-11-04T00:00:00"/>
    <x v="3"/>
    <d v="2025-11-04T00:00:00"/>
    <x v="1"/>
    <x v="0"/>
    <x v="0"/>
    <x v="0"/>
    <x v="0"/>
    <m/>
    <m/>
    <x v="0"/>
    <x v="0"/>
    <x v="0"/>
    <x v="0"/>
    <x v="0"/>
    <x v="0"/>
  </r>
  <r>
    <d v="2025-11-05T00:00:00"/>
    <x v="4"/>
    <d v="2025-11-05T00:00:00"/>
    <x v="1"/>
    <x v="0"/>
    <x v="0"/>
    <x v="0"/>
    <x v="0"/>
    <m/>
    <m/>
    <x v="0"/>
    <x v="0"/>
    <x v="0"/>
    <x v="0"/>
    <x v="0"/>
    <x v="0"/>
  </r>
  <r>
    <d v="2025-11-06T00:00:00"/>
    <x v="5"/>
    <d v="2025-11-06T00:00:00"/>
    <x v="1"/>
    <x v="0"/>
    <x v="0"/>
    <x v="0"/>
    <x v="0"/>
    <m/>
    <m/>
    <x v="0"/>
    <x v="0"/>
    <x v="0"/>
    <x v="0"/>
    <x v="0"/>
    <x v="0"/>
  </r>
  <r>
    <d v="2025-11-07T00:00:00"/>
    <x v="6"/>
    <d v="2025-11-07T00:00:00"/>
    <x v="1"/>
    <x v="0"/>
    <x v="0"/>
    <x v="0"/>
    <x v="0"/>
    <m/>
    <m/>
    <x v="0"/>
    <x v="0"/>
    <x v="0"/>
    <x v="0"/>
    <x v="0"/>
    <x v="0"/>
  </r>
  <r>
    <d v="2025-11-08T00:00:00"/>
    <x v="0"/>
    <d v="2025-11-08T00:00:00"/>
    <x v="0"/>
    <x v="0"/>
    <x v="0"/>
    <x v="0"/>
    <x v="0"/>
    <m/>
    <m/>
    <x v="0"/>
    <x v="0"/>
    <x v="0"/>
    <x v="0"/>
    <x v="0"/>
    <x v="0"/>
  </r>
  <r>
    <d v="2025-11-09T00:00:00"/>
    <x v="1"/>
    <d v="2025-11-09T00:00:00"/>
    <x v="0"/>
    <x v="0"/>
    <x v="0"/>
    <x v="0"/>
    <x v="0"/>
    <m/>
    <m/>
    <x v="0"/>
    <x v="0"/>
    <x v="0"/>
    <x v="0"/>
    <x v="0"/>
    <x v="0"/>
  </r>
  <r>
    <d v="2025-11-10T00:00:00"/>
    <x v="2"/>
    <d v="2025-11-10T00:00:00"/>
    <x v="1"/>
    <x v="0"/>
    <x v="0"/>
    <x v="0"/>
    <x v="0"/>
    <m/>
    <m/>
    <x v="0"/>
    <x v="0"/>
    <x v="0"/>
    <x v="0"/>
    <x v="0"/>
    <x v="0"/>
  </r>
  <r>
    <d v="2025-11-11T00:00:00"/>
    <x v="3"/>
    <d v="2025-11-11T00:00:00"/>
    <x v="1"/>
    <x v="0"/>
    <x v="0"/>
    <x v="0"/>
    <x v="0"/>
    <m/>
    <m/>
    <x v="0"/>
    <x v="0"/>
    <x v="0"/>
    <x v="0"/>
    <x v="0"/>
    <x v="0"/>
  </r>
  <r>
    <d v="2025-11-12T00:00:00"/>
    <x v="4"/>
    <d v="2025-11-12T00:00:00"/>
    <x v="1"/>
    <x v="0"/>
    <x v="0"/>
    <x v="0"/>
    <x v="0"/>
    <m/>
    <m/>
    <x v="0"/>
    <x v="0"/>
    <x v="0"/>
    <x v="0"/>
    <x v="0"/>
    <x v="0"/>
  </r>
  <r>
    <d v="2025-11-13T00:00:00"/>
    <x v="5"/>
    <d v="2025-11-13T00:00:00"/>
    <x v="1"/>
    <x v="0"/>
    <x v="0"/>
    <x v="0"/>
    <x v="0"/>
    <m/>
    <m/>
    <x v="0"/>
    <x v="0"/>
    <x v="0"/>
    <x v="0"/>
    <x v="0"/>
    <x v="0"/>
  </r>
  <r>
    <d v="2025-11-14T00:00:00"/>
    <x v="6"/>
    <d v="2025-11-14T00:00:00"/>
    <x v="1"/>
    <x v="0"/>
    <x v="0"/>
    <x v="0"/>
    <x v="0"/>
    <m/>
    <m/>
    <x v="0"/>
    <x v="0"/>
    <x v="0"/>
    <x v="0"/>
    <x v="0"/>
    <x v="0"/>
  </r>
  <r>
    <d v="2025-11-15T00:00:00"/>
    <x v="0"/>
    <d v="2025-11-15T00:00:00"/>
    <x v="0"/>
    <x v="0"/>
    <x v="0"/>
    <x v="0"/>
    <x v="0"/>
    <m/>
    <m/>
    <x v="0"/>
    <x v="0"/>
    <x v="0"/>
    <x v="0"/>
    <x v="0"/>
    <x v="0"/>
  </r>
  <r>
    <d v="2025-11-16T00:00:00"/>
    <x v="1"/>
    <d v="2025-11-16T00:00:00"/>
    <x v="0"/>
    <x v="0"/>
    <x v="0"/>
    <x v="0"/>
    <x v="0"/>
    <m/>
    <m/>
    <x v="0"/>
    <x v="0"/>
    <x v="0"/>
    <x v="0"/>
    <x v="0"/>
    <x v="0"/>
  </r>
  <r>
    <d v="2025-11-17T00:00:00"/>
    <x v="2"/>
    <d v="2025-11-17T00:00:00"/>
    <x v="1"/>
    <x v="0"/>
    <x v="0"/>
    <x v="0"/>
    <x v="0"/>
    <m/>
    <m/>
    <x v="0"/>
    <x v="0"/>
    <x v="0"/>
    <x v="0"/>
    <x v="0"/>
    <x v="0"/>
  </r>
  <r>
    <d v="2025-11-18T00:00:00"/>
    <x v="3"/>
    <d v="2025-11-18T00:00:00"/>
    <x v="1"/>
    <x v="0"/>
    <x v="0"/>
    <x v="0"/>
    <x v="0"/>
    <m/>
    <m/>
    <x v="0"/>
    <x v="0"/>
    <x v="0"/>
    <x v="0"/>
    <x v="0"/>
    <x v="0"/>
  </r>
  <r>
    <d v="2025-11-19T00:00:00"/>
    <x v="4"/>
    <d v="2025-11-19T00:00:00"/>
    <x v="1"/>
    <x v="0"/>
    <x v="0"/>
    <x v="0"/>
    <x v="0"/>
    <m/>
    <m/>
    <x v="0"/>
    <x v="0"/>
    <x v="0"/>
    <x v="0"/>
    <x v="0"/>
    <x v="0"/>
  </r>
  <r>
    <d v="2025-11-20T00:00:00"/>
    <x v="5"/>
    <d v="2025-11-20T00:00:00"/>
    <x v="1"/>
    <x v="0"/>
    <x v="0"/>
    <x v="0"/>
    <x v="0"/>
    <m/>
    <m/>
    <x v="0"/>
    <x v="0"/>
    <x v="0"/>
    <x v="0"/>
    <x v="0"/>
    <x v="0"/>
  </r>
  <r>
    <d v="2025-11-21T00:00:00"/>
    <x v="6"/>
    <d v="2025-11-21T00:00:00"/>
    <x v="1"/>
    <x v="0"/>
    <x v="0"/>
    <x v="0"/>
    <x v="0"/>
    <m/>
    <m/>
    <x v="0"/>
    <x v="0"/>
    <x v="0"/>
    <x v="0"/>
    <x v="0"/>
    <x v="0"/>
  </r>
  <r>
    <d v="2025-11-22T00:00:00"/>
    <x v="0"/>
    <d v="2025-11-22T00:00:00"/>
    <x v="0"/>
    <x v="0"/>
    <x v="0"/>
    <x v="0"/>
    <x v="0"/>
    <m/>
    <m/>
    <x v="0"/>
    <x v="0"/>
    <x v="0"/>
    <x v="0"/>
    <x v="0"/>
    <x v="0"/>
  </r>
  <r>
    <d v="2025-11-23T00:00:00"/>
    <x v="1"/>
    <d v="2025-11-23T00:00:00"/>
    <x v="0"/>
    <x v="0"/>
    <x v="0"/>
    <x v="0"/>
    <x v="0"/>
    <m/>
    <m/>
    <x v="0"/>
    <x v="0"/>
    <x v="0"/>
    <x v="0"/>
    <x v="0"/>
    <x v="0"/>
  </r>
  <r>
    <d v="2025-11-24T00:00:00"/>
    <x v="2"/>
    <d v="2025-11-24T00:00:00"/>
    <x v="1"/>
    <x v="0"/>
    <x v="0"/>
    <x v="0"/>
    <x v="0"/>
    <m/>
    <m/>
    <x v="0"/>
    <x v="0"/>
    <x v="0"/>
    <x v="0"/>
    <x v="0"/>
    <x v="0"/>
  </r>
  <r>
    <d v="2025-11-25T00:00:00"/>
    <x v="3"/>
    <d v="2025-11-25T00:00:00"/>
    <x v="1"/>
    <x v="0"/>
    <x v="0"/>
    <x v="0"/>
    <x v="0"/>
    <m/>
    <m/>
    <x v="0"/>
    <x v="0"/>
    <x v="0"/>
    <x v="0"/>
    <x v="0"/>
    <x v="0"/>
  </r>
  <r>
    <d v="2025-11-26T00:00:00"/>
    <x v="4"/>
    <d v="2025-11-26T00:00:00"/>
    <x v="1"/>
    <x v="0"/>
    <x v="0"/>
    <x v="0"/>
    <x v="0"/>
    <m/>
    <m/>
    <x v="0"/>
    <x v="0"/>
    <x v="0"/>
    <x v="0"/>
    <x v="0"/>
    <x v="0"/>
  </r>
  <r>
    <d v="2025-11-27T00:00:00"/>
    <x v="5"/>
    <d v="2025-11-27T00:00:00"/>
    <x v="1"/>
    <x v="0"/>
    <x v="0"/>
    <x v="0"/>
    <x v="0"/>
    <m/>
    <m/>
    <x v="0"/>
    <x v="0"/>
    <x v="0"/>
    <x v="0"/>
    <x v="0"/>
    <x v="0"/>
  </r>
  <r>
    <d v="2025-11-28T00:00:00"/>
    <x v="6"/>
    <d v="2025-11-28T00:00:00"/>
    <x v="1"/>
    <x v="0"/>
    <x v="0"/>
    <x v="0"/>
    <x v="0"/>
    <m/>
    <m/>
    <x v="0"/>
    <x v="0"/>
    <x v="0"/>
    <x v="0"/>
    <x v="0"/>
    <x v="0"/>
  </r>
  <r>
    <d v="2025-11-29T00:00:00"/>
    <x v="0"/>
    <d v="2025-11-29T00:00:00"/>
    <x v="0"/>
    <x v="0"/>
    <x v="0"/>
    <x v="0"/>
    <x v="0"/>
    <m/>
    <m/>
    <x v="0"/>
    <x v="0"/>
    <x v="0"/>
    <x v="0"/>
    <x v="0"/>
    <x v="0"/>
  </r>
  <r>
    <d v="2025-11-30T00:00:00"/>
    <x v="1"/>
    <d v="2025-11-30T00:00:00"/>
    <x v="0"/>
    <x v="0"/>
    <x v="0"/>
    <x v="0"/>
    <x v="0"/>
    <m/>
    <m/>
    <x v="0"/>
    <x v="0"/>
    <x v="0"/>
    <x v="0"/>
    <x v="0"/>
    <x v="0"/>
  </r>
  <r>
    <d v="2025-12-01T00:00:00"/>
    <x v="2"/>
    <d v="2025-12-01T00:00:00"/>
    <x v="1"/>
    <x v="0"/>
    <x v="0"/>
    <x v="0"/>
    <x v="0"/>
    <m/>
    <m/>
    <x v="0"/>
    <x v="0"/>
    <x v="0"/>
    <x v="0"/>
    <x v="0"/>
    <x v="0"/>
  </r>
  <r>
    <d v="2025-12-02T00:00:00"/>
    <x v="3"/>
    <d v="2025-12-02T00:00:00"/>
    <x v="1"/>
    <x v="0"/>
    <x v="0"/>
    <x v="0"/>
    <x v="0"/>
    <m/>
    <m/>
    <x v="0"/>
    <x v="0"/>
    <x v="0"/>
    <x v="0"/>
    <x v="0"/>
    <x v="0"/>
  </r>
  <r>
    <d v="2025-12-03T00:00:00"/>
    <x v="4"/>
    <d v="2025-12-03T00:00:00"/>
    <x v="1"/>
    <x v="0"/>
    <x v="0"/>
    <x v="0"/>
    <x v="0"/>
    <m/>
    <m/>
    <x v="0"/>
    <x v="0"/>
    <x v="0"/>
    <x v="0"/>
    <x v="0"/>
    <x v="0"/>
  </r>
  <r>
    <d v="2025-12-04T00:00:00"/>
    <x v="5"/>
    <d v="2025-12-04T00:00:00"/>
    <x v="1"/>
    <x v="0"/>
    <x v="0"/>
    <x v="0"/>
    <x v="0"/>
    <m/>
    <m/>
    <x v="0"/>
    <x v="0"/>
    <x v="0"/>
    <x v="0"/>
    <x v="0"/>
    <x v="0"/>
  </r>
  <r>
    <d v="2025-12-05T00:00:00"/>
    <x v="6"/>
    <d v="2025-12-05T00:00:00"/>
    <x v="1"/>
    <x v="0"/>
    <x v="0"/>
    <x v="0"/>
    <x v="0"/>
    <m/>
    <m/>
    <x v="0"/>
    <x v="0"/>
    <x v="0"/>
    <x v="0"/>
    <x v="0"/>
    <x v="0"/>
  </r>
  <r>
    <d v="2025-12-06T00:00:00"/>
    <x v="0"/>
    <d v="2025-12-06T00:00:00"/>
    <x v="0"/>
    <x v="0"/>
    <x v="0"/>
    <x v="0"/>
    <x v="0"/>
    <m/>
    <m/>
    <x v="0"/>
    <x v="0"/>
    <x v="0"/>
    <x v="0"/>
    <x v="0"/>
    <x v="0"/>
  </r>
  <r>
    <d v="2025-12-07T00:00:00"/>
    <x v="1"/>
    <d v="2025-12-07T00:00:00"/>
    <x v="0"/>
    <x v="0"/>
    <x v="0"/>
    <x v="0"/>
    <x v="0"/>
    <m/>
    <m/>
    <x v="0"/>
    <x v="0"/>
    <x v="0"/>
    <x v="0"/>
    <x v="0"/>
    <x v="0"/>
  </r>
  <r>
    <d v="2025-12-08T00:00:00"/>
    <x v="2"/>
    <d v="2025-12-08T00:00:00"/>
    <x v="1"/>
    <x v="0"/>
    <x v="0"/>
    <x v="0"/>
    <x v="0"/>
    <m/>
    <m/>
    <x v="0"/>
    <x v="0"/>
    <x v="0"/>
    <x v="0"/>
    <x v="0"/>
    <x v="0"/>
  </r>
  <r>
    <d v="2025-12-09T00:00:00"/>
    <x v="3"/>
    <d v="2025-12-09T00:00:00"/>
    <x v="1"/>
    <x v="0"/>
    <x v="0"/>
    <x v="0"/>
    <x v="0"/>
    <m/>
    <m/>
    <x v="0"/>
    <x v="0"/>
    <x v="0"/>
    <x v="0"/>
    <x v="0"/>
    <x v="0"/>
  </r>
  <r>
    <d v="2025-12-10T00:00:00"/>
    <x v="4"/>
    <d v="2025-12-10T00:00:00"/>
    <x v="1"/>
    <x v="0"/>
    <x v="0"/>
    <x v="0"/>
    <x v="0"/>
    <m/>
    <m/>
    <x v="0"/>
    <x v="0"/>
    <x v="0"/>
    <x v="0"/>
    <x v="0"/>
    <x v="0"/>
  </r>
  <r>
    <d v="2025-12-11T00:00:00"/>
    <x v="5"/>
    <d v="2025-12-11T00:00:00"/>
    <x v="1"/>
    <x v="0"/>
    <x v="0"/>
    <x v="0"/>
    <x v="0"/>
    <m/>
    <m/>
    <x v="0"/>
    <x v="0"/>
    <x v="0"/>
    <x v="0"/>
    <x v="0"/>
    <x v="0"/>
  </r>
  <r>
    <d v="2025-12-12T00:00:00"/>
    <x v="6"/>
    <d v="2025-12-12T00:00:00"/>
    <x v="1"/>
    <x v="0"/>
    <x v="0"/>
    <x v="0"/>
    <x v="0"/>
    <m/>
    <m/>
    <x v="0"/>
    <x v="0"/>
    <x v="0"/>
    <x v="0"/>
    <x v="0"/>
    <x v="0"/>
  </r>
  <r>
    <d v="2025-12-13T00:00:00"/>
    <x v="0"/>
    <d v="2025-12-13T00:00:00"/>
    <x v="0"/>
    <x v="0"/>
    <x v="0"/>
    <x v="0"/>
    <x v="0"/>
    <m/>
    <m/>
    <x v="0"/>
    <x v="0"/>
    <x v="0"/>
    <x v="0"/>
    <x v="0"/>
    <x v="0"/>
  </r>
  <r>
    <d v="2025-12-14T00:00:00"/>
    <x v="1"/>
    <d v="2025-12-14T00:00:00"/>
    <x v="0"/>
    <x v="0"/>
    <x v="0"/>
    <x v="0"/>
    <x v="0"/>
    <m/>
    <m/>
    <x v="0"/>
    <x v="0"/>
    <x v="0"/>
    <x v="0"/>
    <x v="0"/>
    <x v="0"/>
  </r>
  <r>
    <d v="2025-12-15T00:00:00"/>
    <x v="2"/>
    <d v="2025-12-15T00:00:00"/>
    <x v="1"/>
    <x v="0"/>
    <x v="0"/>
    <x v="0"/>
    <x v="0"/>
    <m/>
    <m/>
    <x v="0"/>
    <x v="0"/>
    <x v="0"/>
    <x v="0"/>
    <x v="0"/>
    <x v="0"/>
  </r>
  <r>
    <d v="2025-12-16T00:00:00"/>
    <x v="3"/>
    <d v="2025-12-16T00:00:00"/>
    <x v="1"/>
    <x v="0"/>
    <x v="0"/>
    <x v="0"/>
    <x v="0"/>
    <m/>
    <m/>
    <x v="0"/>
    <x v="0"/>
    <x v="0"/>
    <x v="0"/>
    <x v="0"/>
    <x v="0"/>
  </r>
  <r>
    <d v="2025-12-17T00:00:00"/>
    <x v="4"/>
    <d v="2025-12-17T00:00:00"/>
    <x v="1"/>
    <x v="0"/>
    <x v="0"/>
    <x v="0"/>
    <x v="0"/>
    <m/>
    <m/>
    <x v="0"/>
    <x v="0"/>
    <x v="0"/>
    <x v="0"/>
    <x v="0"/>
    <x v="0"/>
  </r>
  <r>
    <d v="2025-12-18T00:00:00"/>
    <x v="5"/>
    <d v="2025-12-18T00:00:00"/>
    <x v="1"/>
    <x v="0"/>
    <x v="0"/>
    <x v="0"/>
    <x v="0"/>
    <m/>
    <m/>
    <x v="0"/>
    <x v="0"/>
    <x v="0"/>
    <x v="0"/>
    <x v="0"/>
    <x v="0"/>
  </r>
  <r>
    <d v="2025-12-19T00:00:00"/>
    <x v="6"/>
    <d v="2025-12-19T00:00:00"/>
    <x v="1"/>
    <x v="0"/>
    <x v="0"/>
    <x v="0"/>
    <x v="0"/>
    <m/>
    <m/>
    <x v="0"/>
    <x v="0"/>
    <x v="0"/>
    <x v="0"/>
    <x v="0"/>
    <x v="0"/>
  </r>
  <r>
    <d v="2025-12-20T00:00:00"/>
    <x v="0"/>
    <d v="2025-12-20T00:00:00"/>
    <x v="0"/>
    <x v="0"/>
    <x v="0"/>
    <x v="0"/>
    <x v="0"/>
    <m/>
    <m/>
    <x v="0"/>
    <x v="0"/>
    <x v="0"/>
    <x v="0"/>
    <x v="0"/>
    <x v="0"/>
  </r>
  <r>
    <d v="2025-12-21T00:00:00"/>
    <x v="1"/>
    <d v="2025-12-21T00:00:00"/>
    <x v="0"/>
    <x v="0"/>
    <x v="0"/>
    <x v="0"/>
    <x v="0"/>
    <m/>
    <m/>
    <x v="0"/>
    <x v="0"/>
    <x v="0"/>
    <x v="0"/>
    <x v="0"/>
    <x v="0"/>
  </r>
  <r>
    <d v="2025-12-22T00:00:00"/>
    <x v="2"/>
    <d v="2025-12-22T00:00:00"/>
    <x v="1"/>
    <x v="0"/>
    <x v="0"/>
    <x v="0"/>
    <x v="0"/>
    <m/>
    <m/>
    <x v="0"/>
    <x v="0"/>
    <x v="0"/>
    <x v="0"/>
    <x v="0"/>
    <x v="0"/>
  </r>
  <r>
    <d v="2025-12-23T00:00:00"/>
    <x v="3"/>
    <d v="2025-12-23T00:00:00"/>
    <x v="1"/>
    <x v="0"/>
    <x v="0"/>
    <x v="0"/>
    <x v="0"/>
    <m/>
    <m/>
    <x v="0"/>
    <x v="0"/>
    <x v="0"/>
    <x v="0"/>
    <x v="0"/>
    <x v="0"/>
  </r>
  <r>
    <d v="2025-12-24T00:00:00"/>
    <x v="4"/>
    <d v="2025-12-24T00:00:00"/>
    <x v="1"/>
    <x v="0"/>
    <x v="0"/>
    <x v="0"/>
    <x v="0"/>
    <m/>
    <m/>
    <x v="0"/>
    <x v="0"/>
    <x v="0"/>
    <x v="0"/>
    <x v="0"/>
    <x v="0"/>
  </r>
  <r>
    <d v="2025-12-25T00:00:00"/>
    <x v="5"/>
    <d v="2025-12-25T00:00:00"/>
    <x v="1"/>
    <x v="0"/>
    <x v="0"/>
    <x v="0"/>
    <x v="0"/>
    <m/>
    <m/>
    <x v="0"/>
    <x v="0"/>
    <x v="0"/>
    <x v="0"/>
    <x v="0"/>
    <x v="0"/>
  </r>
  <r>
    <d v="2025-12-26T00:00:00"/>
    <x v="6"/>
    <d v="2025-12-26T00:00:00"/>
    <x v="1"/>
    <x v="0"/>
    <x v="0"/>
    <x v="0"/>
    <x v="0"/>
    <m/>
    <m/>
    <x v="0"/>
    <x v="0"/>
    <x v="0"/>
    <x v="0"/>
    <x v="0"/>
    <x v="0"/>
  </r>
  <r>
    <d v="2025-12-27T00:00:00"/>
    <x v="0"/>
    <d v="2025-12-27T00:00:00"/>
    <x v="0"/>
    <x v="0"/>
    <x v="0"/>
    <x v="0"/>
    <x v="0"/>
    <m/>
    <m/>
    <x v="0"/>
    <x v="0"/>
    <x v="0"/>
    <x v="0"/>
    <x v="0"/>
    <x v="0"/>
  </r>
  <r>
    <d v="2025-12-28T00:00:00"/>
    <x v="1"/>
    <d v="2025-12-28T00:00:00"/>
    <x v="0"/>
    <x v="0"/>
    <x v="0"/>
    <x v="0"/>
    <x v="0"/>
    <m/>
    <m/>
    <x v="0"/>
    <x v="0"/>
    <x v="0"/>
    <x v="0"/>
    <x v="0"/>
    <x v="0"/>
  </r>
  <r>
    <d v="2025-12-29T00:00:00"/>
    <x v="2"/>
    <d v="2025-12-29T00:00:00"/>
    <x v="1"/>
    <x v="0"/>
    <x v="0"/>
    <x v="0"/>
    <x v="0"/>
    <m/>
    <m/>
    <x v="0"/>
    <x v="0"/>
    <x v="0"/>
    <x v="0"/>
    <x v="0"/>
    <x v="0"/>
  </r>
  <r>
    <d v="2025-12-30T00:00:00"/>
    <x v="3"/>
    <d v="2025-12-30T00:00:00"/>
    <x v="1"/>
    <x v="0"/>
    <x v="0"/>
    <x v="0"/>
    <x v="0"/>
    <m/>
    <m/>
    <x v="0"/>
    <x v="0"/>
    <x v="0"/>
    <x v="0"/>
    <x v="0"/>
    <x v="0"/>
  </r>
  <r>
    <d v="2025-12-31T00:00:00"/>
    <x v="4"/>
    <d v="2025-12-31T00:00:00"/>
    <x v="1"/>
    <x v="0"/>
    <x v="0"/>
    <x v="0"/>
    <x v="0"/>
    <m/>
    <m/>
    <x v="0"/>
    <x v="0"/>
    <x v="0"/>
    <x v="0"/>
    <x v="0"/>
    <x v="0"/>
  </r>
  <r>
    <d v="2026-01-01T00:00:00"/>
    <x v="5"/>
    <d v="2026-01-01T00:00:00"/>
    <x v="1"/>
    <x v="0"/>
    <x v="0"/>
    <x v="0"/>
    <x v="0"/>
    <m/>
    <m/>
    <x v="0"/>
    <x v="0"/>
    <x v="0"/>
    <x v="0"/>
    <x v="0"/>
    <x v="0"/>
  </r>
  <r>
    <d v="2026-01-02T00:00:00"/>
    <x v="6"/>
    <d v="2026-01-02T00:00:00"/>
    <x v="1"/>
    <x v="0"/>
    <x v="0"/>
    <x v="0"/>
    <x v="0"/>
    <m/>
    <m/>
    <x v="0"/>
    <x v="0"/>
    <x v="0"/>
    <x v="0"/>
    <x v="0"/>
    <x v="0"/>
  </r>
  <r>
    <d v="2026-01-03T00:00:00"/>
    <x v="0"/>
    <d v="2026-01-03T00:00:00"/>
    <x v="0"/>
    <x v="0"/>
    <x v="0"/>
    <x v="0"/>
    <x v="0"/>
    <m/>
    <m/>
    <x v="0"/>
    <x v="0"/>
    <x v="0"/>
    <x v="0"/>
    <x v="0"/>
    <x v="0"/>
  </r>
  <r>
    <d v="2026-01-04T00:00:00"/>
    <x v="1"/>
    <d v="2026-01-04T00:00:00"/>
    <x v="0"/>
    <x v="0"/>
    <x v="0"/>
    <x v="0"/>
    <x v="0"/>
    <m/>
    <m/>
    <x v="0"/>
    <x v="0"/>
    <x v="0"/>
    <x v="0"/>
    <x v="0"/>
    <x v="0"/>
  </r>
  <r>
    <d v="2026-01-05T00:00:00"/>
    <x v="2"/>
    <d v="2026-01-05T00:00:00"/>
    <x v="1"/>
    <x v="0"/>
    <x v="0"/>
    <x v="0"/>
    <x v="0"/>
    <m/>
    <m/>
    <x v="0"/>
    <x v="0"/>
    <x v="0"/>
    <x v="0"/>
    <x v="0"/>
    <x v="0"/>
  </r>
  <r>
    <d v="2026-01-06T00:00:00"/>
    <x v="3"/>
    <d v="2026-01-06T00:00:00"/>
    <x v="1"/>
    <x v="0"/>
    <x v="0"/>
    <x v="0"/>
    <x v="0"/>
    <m/>
    <m/>
    <x v="0"/>
    <x v="0"/>
    <x v="0"/>
    <x v="0"/>
    <x v="0"/>
    <x v="0"/>
  </r>
  <r>
    <d v="2026-01-07T00:00:00"/>
    <x v="4"/>
    <d v="2026-01-07T00:00:00"/>
    <x v="1"/>
    <x v="0"/>
    <x v="0"/>
    <x v="0"/>
    <x v="0"/>
    <m/>
    <m/>
    <x v="0"/>
    <x v="0"/>
    <x v="0"/>
    <x v="0"/>
    <x v="0"/>
    <x v="0"/>
  </r>
  <r>
    <d v="2026-01-08T00:00:00"/>
    <x v="5"/>
    <d v="2026-01-08T00:00:00"/>
    <x v="1"/>
    <x v="0"/>
    <x v="0"/>
    <x v="0"/>
    <x v="0"/>
    <m/>
    <m/>
    <x v="0"/>
    <x v="0"/>
    <x v="0"/>
    <x v="0"/>
    <x v="0"/>
    <x v="0"/>
  </r>
  <r>
    <d v="2026-01-09T00:00:00"/>
    <x v="6"/>
    <d v="2026-01-09T00:00:00"/>
    <x v="2"/>
    <x v="1"/>
    <x v="1"/>
    <x v="1"/>
    <x v="1"/>
    <m/>
    <n v="57"/>
    <x v="0"/>
    <x v="0"/>
    <x v="0"/>
    <x v="1"/>
    <x v="0"/>
    <x v="0"/>
  </r>
  <r>
    <d v="2026-01-10T00:00:00"/>
    <x v="0"/>
    <d v="2026-01-10T00:00:00"/>
    <x v="2"/>
    <x v="1"/>
    <x v="1"/>
    <x v="2"/>
    <x v="0"/>
    <n v="20"/>
    <n v="57"/>
    <x v="0"/>
    <x v="0"/>
    <x v="0"/>
    <x v="2"/>
    <x v="0"/>
    <x v="0"/>
  </r>
  <r>
    <d v="2026-01-11T00:00:00"/>
    <x v="1"/>
    <d v="2026-01-11T00:00:00"/>
    <x v="0"/>
    <x v="0"/>
    <x v="0"/>
    <x v="0"/>
    <x v="0"/>
    <m/>
    <m/>
    <x v="0"/>
    <x v="0"/>
    <x v="0"/>
    <x v="0"/>
    <x v="0"/>
    <x v="0"/>
  </r>
  <r>
    <d v="2026-01-12T00:00:00"/>
    <x v="2"/>
    <d v="2026-01-12T00:00:00"/>
    <x v="2"/>
    <x v="1"/>
    <x v="1"/>
    <x v="1"/>
    <x v="2"/>
    <n v="3"/>
    <n v="44"/>
    <x v="0"/>
    <x v="0"/>
    <x v="0"/>
    <x v="3"/>
    <x v="0"/>
    <x v="0"/>
  </r>
  <r>
    <d v="2026-01-13T00:00:00"/>
    <x v="3"/>
    <d v="2026-01-13T00:00:00"/>
    <x v="2"/>
    <x v="1"/>
    <x v="1"/>
    <x v="1"/>
    <x v="3"/>
    <n v="22"/>
    <n v="35"/>
    <x v="0"/>
    <x v="0"/>
    <x v="0"/>
    <x v="0"/>
    <x v="0"/>
    <x v="0"/>
  </r>
  <r>
    <d v="2026-01-14T00:00:00"/>
    <x v="4"/>
    <d v="2026-01-14T00:00:00"/>
    <x v="2"/>
    <x v="1"/>
    <x v="1"/>
    <x v="2"/>
    <x v="4"/>
    <m/>
    <n v="37"/>
    <x v="0"/>
    <x v="0"/>
    <x v="0"/>
    <x v="0"/>
    <x v="0"/>
    <x v="0"/>
  </r>
  <r>
    <d v="2026-01-15T00:00:00"/>
    <x v="5"/>
    <d v="2026-01-15T00:00:00"/>
    <x v="2"/>
    <x v="1"/>
    <x v="1"/>
    <x v="3"/>
    <x v="5"/>
    <n v="51"/>
    <n v="45"/>
    <x v="0"/>
    <x v="0"/>
    <x v="0"/>
    <x v="4"/>
    <x v="0"/>
    <x v="0"/>
  </r>
  <r>
    <d v="2026-01-16T00:00:00"/>
    <x v="6"/>
    <d v="2026-01-16T00:00:00"/>
    <x v="2"/>
    <x v="1"/>
    <x v="1"/>
    <x v="4"/>
    <x v="6"/>
    <n v="29"/>
    <n v="46"/>
    <x v="0"/>
    <x v="0"/>
    <x v="0"/>
    <x v="0"/>
    <x v="0"/>
    <x v="0"/>
  </r>
  <r>
    <d v="2026-01-17T00:00:00"/>
    <x v="0"/>
    <d v="2026-01-17T00:00:00"/>
    <x v="2"/>
    <x v="1"/>
    <x v="1"/>
    <x v="5"/>
    <x v="0"/>
    <m/>
    <m/>
    <x v="0"/>
    <x v="0"/>
    <x v="0"/>
    <x v="0"/>
    <x v="0"/>
    <x v="0"/>
  </r>
  <r>
    <d v="2026-01-18T00:00:00"/>
    <x v="1"/>
    <d v="2026-01-18T00:00:00"/>
    <x v="0"/>
    <x v="0"/>
    <x v="0"/>
    <x v="0"/>
    <x v="0"/>
    <m/>
    <m/>
    <x v="0"/>
    <x v="0"/>
    <x v="0"/>
    <x v="0"/>
    <x v="0"/>
    <x v="0"/>
  </r>
  <r>
    <d v="2026-01-19T00:00:00"/>
    <x v="2"/>
    <d v="2026-01-19T00:00:00"/>
    <x v="2"/>
    <x v="1"/>
    <x v="1"/>
    <x v="6"/>
    <x v="7"/>
    <m/>
    <n v="8"/>
    <x v="0"/>
    <x v="0"/>
    <x v="0"/>
    <x v="0"/>
    <x v="0"/>
    <x v="0"/>
  </r>
  <r>
    <d v="2026-01-20T00:00:00"/>
    <x v="3"/>
    <d v="2026-01-20T00:00:00"/>
    <x v="2"/>
    <x v="1"/>
    <x v="1"/>
    <x v="7"/>
    <x v="8"/>
    <n v="8"/>
    <n v="18"/>
    <x v="0"/>
    <x v="0"/>
    <x v="0"/>
    <x v="0"/>
    <x v="0"/>
    <x v="0"/>
  </r>
  <r>
    <d v="2026-01-21T00:00:00"/>
    <x v="4"/>
    <d v="2026-01-21T00:00:00"/>
    <x v="2"/>
    <x v="1"/>
    <x v="1"/>
    <x v="8"/>
    <x v="9"/>
    <m/>
    <n v="3"/>
    <x v="0"/>
    <x v="0"/>
    <x v="1"/>
    <x v="0"/>
    <x v="0"/>
    <x v="0"/>
  </r>
  <r>
    <d v="2026-01-22T00:00:00"/>
    <x v="5"/>
    <d v="2026-01-22T00:00:00"/>
    <x v="2"/>
    <x v="1"/>
    <x v="1"/>
    <x v="8"/>
    <x v="10"/>
    <m/>
    <n v="17.100000000000001"/>
    <x v="0"/>
    <x v="0"/>
    <x v="2"/>
    <x v="0"/>
    <x v="0"/>
    <x v="0"/>
  </r>
  <r>
    <d v="2026-01-23T00:00:00"/>
    <x v="6"/>
    <d v="2026-01-23T00:00:00"/>
    <x v="2"/>
    <x v="1"/>
    <x v="1"/>
    <x v="4"/>
    <x v="5"/>
    <n v="49"/>
    <n v="18"/>
    <x v="0"/>
    <x v="0"/>
    <x v="3"/>
    <x v="0"/>
    <x v="0"/>
    <x v="0"/>
  </r>
  <r>
    <d v="2026-01-24T00:00:00"/>
    <x v="0"/>
    <d v="2026-01-24T00:00:00"/>
    <x v="0"/>
    <x v="0"/>
    <x v="0"/>
    <x v="0"/>
    <x v="0"/>
    <m/>
    <m/>
    <x v="0"/>
    <x v="0"/>
    <x v="0"/>
    <x v="0"/>
    <x v="0"/>
    <x v="0"/>
  </r>
  <r>
    <d v="2026-01-25T00:00:00"/>
    <x v="1"/>
    <d v="2026-01-25T00:00:00"/>
    <x v="0"/>
    <x v="0"/>
    <x v="0"/>
    <x v="0"/>
    <x v="0"/>
    <m/>
    <m/>
    <x v="0"/>
    <x v="0"/>
    <x v="0"/>
    <x v="0"/>
    <x v="0"/>
    <x v="0"/>
  </r>
  <r>
    <d v="2026-01-26T00:00:00"/>
    <x v="2"/>
    <d v="2026-01-26T00:00:00"/>
    <x v="0"/>
    <x v="0"/>
    <x v="0"/>
    <x v="0"/>
    <x v="0"/>
    <m/>
    <m/>
    <x v="0"/>
    <x v="0"/>
    <x v="0"/>
    <x v="0"/>
    <x v="0"/>
    <x v="0"/>
  </r>
  <r>
    <d v="2026-01-27T00:00:00"/>
    <x v="3"/>
    <d v="2026-01-27T00:00:00"/>
    <x v="2"/>
    <x v="1"/>
    <x v="1"/>
    <x v="8"/>
    <x v="0"/>
    <n v="9"/>
    <n v="18"/>
    <x v="0"/>
    <x v="0"/>
    <x v="0"/>
    <x v="5"/>
    <x v="0"/>
    <x v="0"/>
  </r>
  <r>
    <d v="2026-01-28T00:00:00"/>
    <x v="4"/>
    <d v="2026-01-28T00:00:00"/>
    <x v="2"/>
    <x v="1"/>
    <x v="1"/>
    <x v="0"/>
    <x v="0"/>
    <n v="18"/>
    <n v="43"/>
    <x v="1"/>
    <x v="0"/>
    <x v="0"/>
    <x v="6"/>
    <x v="0"/>
    <x v="0"/>
  </r>
  <r>
    <d v="2026-01-29T00:00:00"/>
    <x v="5"/>
    <d v="2026-01-29T00:00:00"/>
    <x v="2"/>
    <x v="1"/>
    <x v="1"/>
    <x v="3"/>
    <x v="4"/>
    <n v="8"/>
    <n v="22"/>
    <x v="2"/>
    <x v="0"/>
    <x v="0"/>
    <x v="0"/>
    <x v="0"/>
    <x v="0"/>
  </r>
  <r>
    <d v="2026-01-30T00:00:00"/>
    <x v="6"/>
    <d v="2026-01-30T00:00:00"/>
    <x v="2"/>
    <x v="1"/>
    <x v="1"/>
    <x v="7"/>
    <x v="11"/>
    <n v="18"/>
    <n v="30"/>
    <x v="3"/>
    <x v="0"/>
    <x v="4"/>
    <x v="0"/>
    <x v="0"/>
    <x v="0"/>
  </r>
  <r>
    <d v="2026-01-31T00:00:00"/>
    <x v="0"/>
    <d v="2026-01-31T00:00:00"/>
    <x v="2"/>
    <x v="1"/>
    <x v="1"/>
    <x v="9"/>
    <x v="0"/>
    <n v="3"/>
    <m/>
    <x v="0"/>
    <x v="0"/>
    <x v="0"/>
    <x v="4"/>
    <x v="0"/>
    <x v="0"/>
  </r>
  <r>
    <d v="2026-02-01T00:00:00"/>
    <x v="1"/>
    <d v="2026-02-01T00:00:00"/>
    <x v="0"/>
    <x v="0"/>
    <x v="0"/>
    <x v="0"/>
    <x v="0"/>
    <m/>
    <m/>
    <x v="0"/>
    <x v="0"/>
    <x v="0"/>
    <x v="0"/>
    <x v="0"/>
    <x v="0"/>
  </r>
  <r>
    <d v="2026-02-02T00:00:00"/>
    <x v="2"/>
    <d v="2026-02-02T00:00:00"/>
    <x v="2"/>
    <x v="1"/>
    <x v="1"/>
    <x v="0"/>
    <x v="0"/>
    <n v="63"/>
    <n v="8"/>
    <x v="0"/>
    <x v="0"/>
    <x v="5"/>
    <x v="0"/>
    <x v="0"/>
    <x v="0"/>
  </r>
  <r>
    <d v="2026-02-03T00:00:00"/>
    <x v="3"/>
    <d v="2026-02-03T00:00:00"/>
    <x v="2"/>
    <x v="1"/>
    <x v="1"/>
    <x v="10"/>
    <x v="7"/>
    <n v="13"/>
    <n v="15"/>
    <x v="0"/>
    <x v="1"/>
    <x v="0"/>
    <x v="7"/>
    <x v="0"/>
    <x v="0"/>
  </r>
  <r>
    <d v="2026-02-04T00:00:00"/>
    <x v="4"/>
    <d v="2026-02-04T00:00:00"/>
    <x v="2"/>
    <x v="1"/>
    <x v="1"/>
    <x v="0"/>
    <x v="0"/>
    <n v="45"/>
    <m/>
    <x v="4"/>
    <x v="0"/>
    <x v="1"/>
    <x v="0"/>
    <x v="0"/>
    <x v="0"/>
  </r>
  <r>
    <d v="2026-02-05T00:00:00"/>
    <x v="5"/>
    <d v="2026-02-05T00:00:00"/>
    <x v="2"/>
    <x v="1"/>
    <x v="1"/>
    <x v="0"/>
    <x v="0"/>
    <m/>
    <m/>
    <x v="0"/>
    <x v="0"/>
    <x v="6"/>
    <x v="8"/>
    <x v="0"/>
    <x v="0"/>
  </r>
  <r>
    <d v="2026-02-06T00:00:00"/>
    <x v="6"/>
    <d v="2026-02-06T00:00:00"/>
    <x v="2"/>
    <x v="1"/>
    <x v="1"/>
    <x v="7"/>
    <x v="1"/>
    <m/>
    <m/>
    <x v="4"/>
    <x v="0"/>
    <x v="7"/>
    <x v="1"/>
    <x v="0"/>
    <x v="0"/>
  </r>
  <r>
    <d v="2026-02-07T00:00:00"/>
    <x v="0"/>
    <d v="2026-02-07T00:00:00"/>
    <x v="2"/>
    <x v="1"/>
    <x v="1"/>
    <x v="6"/>
    <x v="0"/>
    <n v="25"/>
    <m/>
    <x v="0"/>
    <x v="0"/>
    <x v="0"/>
    <x v="8"/>
    <x v="0"/>
    <x v="0"/>
  </r>
  <r>
    <d v="2026-02-08T00:00:00"/>
    <x v="1"/>
    <d v="2026-02-08T00:00:00"/>
    <x v="0"/>
    <x v="0"/>
    <x v="0"/>
    <x v="0"/>
    <x v="0"/>
    <m/>
    <m/>
    <x v="0"/>
    <x v="0"/>
    <x v="0"/>
    <x v="0"/>
    <x v="0"/>
    <x v="0"/>
  </r>
  <r>
    <d v="2026-02-09T00:00:00"/>
    <x v="2"/>
    <d v="2026-02-09T00:00:00"/>
    <x v="2"/>
    <x v="1"/>
    <x v="1"/>
    <x v="7"/>
    <x v="11"/>
    <m/>
    <n v="18"/>
    <x v="4"/>
    <x v="0"/>
    <x v="3"/>
    <x v="0"/>
    <x v="0"/>
    <x v="0"/>
  </r>
  <r>
    <d v="2026-02-10T00:00:00"/>
    <x v="3"/>
    <d v="2026-02-10T00:00:00"/>
    <x v="2"/>
    <x v="1"/>
    <x v="1"/>
    <x v="8"/>
    <x v="12"/>
    <n v="3"/>
    <n v="6"/>
    <x v="0"/>
    <x v="0"/>
    <x v="0"/>
    <x v="0"/>
    <x v="0"/>
    <x v="0"/>
  </r>
  <r>
    <d v="2026-02-11T00:00:00"/>
    <x v="4"/>
    <d v="2026-02-11T00:00:00"/>
    <x v="2"/>
    <x v="1"/>
    <x v="1"/>
    <x v="2"/>
    <x v="13"/>
    <n v="22"/>
    <n v="18"/>
    <x v="0"/>
    <x v="0"/>
    <x v="0"/>
    <x v="0"/>
    <x v="0"/>
    <x v="0"/>
  </r>
  <r>
    <d v="2026-02-12T00:00:00"/>
    <x v="5"/>
    <d v="2026-02-12T00:00:00"/>
    <x v="2"/>
    <x v="1"/>
    <x v="1"/>
    <x v="7"/>
    <x v="14"/>
    <n v="56"/>
    <m/>
    <x v="0"/>
    <x v="0"/>
    <x v="3"/>
    <x v="0"/>
    <x v="0"/>
    <x v="0"/>
  </r>
  <r>
    <d v="2026-02-13T00:00:00"/>
    <x v="6"/>
    <d v="2026-02-13T00:00:00"/>
    <x v="2"/>
    <x v="1"/>
    <x v="1"/>
    <x v="11"/>
    <x v="7"/>
    <n v="14"/>
    <n v="3"/>
    <x v="0"/>
    <x v="0"/>
    <x v="0"/>
    <x v="9"/>
    <x v="0"/>
    <x v="0"/>
  </r>
  <r>
    <d v="2026-02-14T00:00:00"/>
    <x v="0"/>
    <d v="2026-02-14T00:00:00"/>
    <x v="0"/>
    <x v="0"/>
    <x v="0"/>
    <x v="0"/>
    <x v="0"/>
    <m/>
    <m/>
    <x v="0"/>
    <x v="0"/>
    <x v="0"/>
    <x v="0"/>
    <x v="0"/>
    <x v="0"/>
  </r>
  <r>
    <d v="2026-02-15T00:00:00"/>
    <x v="1"/>
    <d v="2026-02-15T00:00:00"/>
    <x v="0"/>
    <x v="0"/>
    <x v="0"/>
    <x v="0"/>
    <x v="0"/>
    <m/>
    <m/>
    <x v="0"/>
    <x v="0"/>
    <x v="0"/>
    <x v="0"/>
    <x v="0"/>
    <x v="0"/>
  </r>
  <r>
    <d v="2026-02-16T00:00:00"/>
    <x v="2"/>
    <d v="2026-02-16T00:00:00"/>
    <x v="0"/>
    <x v="0"/>
    <x v="0"/>
    <x v="0"/>
    <x v="0"/>
    <m/>
    <m/>
    <x v="0"/>
    <x v="0"/>
    <x v="0"/>
    <x v="0"/>
    <x v="0"/>
    <x v="0"/>
  </r>
  <r>
    <d v="2026-02-17T00:00:00"/>
    <x v="3"/>
    <d v="2026-02-17T00:00:00"/>
    <x v="2"/>
    <x v="1"/>
    <x v="1"/>
    <x v="8"/>
    <x v="7"/>
    <n v="15.1"/>
    <m/>
    <x v="0"/>
    <x v="0"/>
    <x v="0"/>
    <x v="0"/>
    <x v="0"/>
    <x v="0"/>
  </r>
  <r>
    <d v="2026-02-18T00:00:00"/>
    <x v="4"/>
    <d v="2026-02-18T00:00:00"/>
    <x v="2"/>
    <x v="1"/>
    <x v="1"/>
    <x v="12"/>
    <x v="0"/>
    <n v="100"/>
    <m/>
    <x v="0"/>
    <x v="0"/>
    <x v="0"/>
    <x v="0"/>
    <x v="0"/>
    <x v="0"/>
  </r>
  <r>
    <d v="2026-02-19T00:00:00"/>
    <x v="5"/>
    <d v="2026-02-19T00:00:00"/>
    <x v="2"/>
    <x v="1"/>
    <x v="1"/>
    <x v="0"/>
    <x v="6"/>
    <n v="36"/>
    <m/>
    <x v="0"/>
    <x v="0"/>
    <x v="2"/>
    <x v="0"/>
    <x v="0"/>
    <x v="0"/>
  </r>
  <r>
    <d v="2026-02-20T00:00:00"/>
    <x v="6"/>
    <d v="2026-02-20T00:00:00"/>
    <x v="2"/>
    <x v="1"/>
    <x v="1"/>
    <x v="0"/>
    <x v="11"/>
    <n v="36"/>
    <n v="22"/>
    <x v="0"/>
    <x v="0"/>
    <x v="3"/>
    <x v="0"/>
    <x v="0"/>
    <x v="0"/>
  </r>
  <r>
    <d v="2026-02-21T00:00:00"/>
    <x v="0"/>
    <d v="2026-02-21T00:00:00"/>
    <x v="0"/>
    <x v="0"/>
    <x v="0"/>
    <x v="0"/>
    <x v="0"/>
    <m/>
    <m/>
    <x v="0"/>
    <x v="0"/>
    <x v="0"/>
    <x v="0"/>
    <x v="0"/>
    <x v="0"/>
  </r>
  <r>
    <d v="2026-02-22T00:00:00"/>
    <x v="1"/>
    <d v="2026-02-22T00:00:00"/>
    <x v="0"/>
    <x v="0"/>
    <x v="0"/>
    <x v="0"/>
    <x v="0"/>
    <m/>
    <m/>
    <x v="0"/>
    <x v="0"/>
    <x v="0"/>
    <x v="0"/>
    <x v="0"/>
    <x v="0"/>
  </r>
  <r>
    <d v="2026-02-23T00:00:00"/>
    <x v="2"/>
    <d v="2026-02-23T00:00:00"/>
    <x v="2"/>
    <x v="1"/>
    <x v="1"/>
    <x v="10"/>
    <x v="7"/>
    <n v="68"/>
    <n v="22"/>
    <x v="0"/>
    <x v="0"/>
    <x v="0"/>
    <x v="10"/>
    <x v="0"/>
    <x v="0"/>
  </r>
  <r>
    <d v="2026-02-24T00:00:00"/>
    <x v="3"/>
    <d v="2026-02-24T00:00:00"/>
    <x v="2"/>
    <x v="1"/>
    <x v="1"/>
    <x v="0"/>
    <x v="8"/>
    <n v="30"/>
    <m/>
    <x v="0"/>
    <x v="0"/>
    <x v="8"/>
    <x v="0"/>
    <x v="0"/>
    <x v="0"/>
  </r>
  <r>
    <d v="2026-02-25T00:00:00"/>
    <x v="4"/>
    <d v="2026-02-25T00:00:00"/>
    <x v="2"/>
    <x v="1"/>
    <x v="1"/>
    <x v="0"/>
    <x v="14"/>
    <n v="8"/>
    <m/>
    <x v="0"/>
    <x v="0"/>
    <x v="7"/>
    <x v="0"/>
    <x v="0"/>
    <x v="0"/>
  </r>
  <r>
    <d v="2026-02-26T00:00:00"/>
    <x v="5"/>
    <d v="2026-02-26T00:00:00"/>
    <x v="0"/>
    <x v="0"/>
    <x v="0"/>
    <x v="0"/>
    <x v="0"/>
    <m/>
    <m/>
    <x v="0"/>
    <x v="0"/>
    <x v="0"/>
    <x v="0"/>
    <x v="0"/>
    <x v="0"/>
  </r>
  <r>
    <d v="2026-02-27T00:00:00"/>
    <x v="6"/>
    <d v="2026-02-27T00:00:00"/>
    <x v="2"/>
    <x v="1"/>
    <x v="1"/>
    <x v="0"/>
    <x v="0"/>
    <m/>
    <m/>
    <x v="0"/>
    <x v="0"/>
    <x v="9"/>
    <x v="11"/>
    <x v="0"/>
    <x v="0"/>
  </r>
  <r>
    <d v="2026-02-28T00:00:00"/>
    <x v="0"/>
    <d v="2026-02-28T00:00:00"/>
    <x v="0"/>
    <x v="0"/>
    <x v="0"/>
    <x v="0"/>
    <x v="0"/>
    <m/>
    <m/>
    <x v="0"/>
    <x v="0"/>
    <x v="0"/>
    <x v="0"/>
    <x v="0"/>
    <x v="0"/>
  </r>
  <r>
    <d v="2026-03-01T00:00:00"/>
    <x v="1"/>
    <d v="2026-03-01T00:00:00"/>
    <x v="0"/>
    <x v="0"/>
    <x v="0"/>
    <x v="0"/>
    <x v="0"/>
    <m/>
    <m/>
    <x v="0"/>
    <x v="0"/>
    <x v="0"/>
    <x v="0"/>
    <x v="0"/>
    <x v="0"/>
  </r>
  <r>
    <d v="2026-03-02T00:00:00"/>
    <x v="2"/>
    <d v="2026-03-02T00:00:00"/>
    <x v="2"/>
    <x v="2"/>
    <x v="2"/>
    <x v="10"/>
    <x v="15"/>
    <m/>
    <m/>
    <x v="0"/>
    <x v="0"/>
    <x v="0"/>
    <x v="0"/>
    <x v="0"/>
    <x v="0"/>
  </r>
  <r>
    <d v="2026-03-02T00:00:00"/>
    <x v="2"/>
    <d v="2026-03-02T00:00:00"/>
    <x v="2"/>
    <x v="2"/>
    <x v="3"/>
    <x v="0"/>
    <x v="0"/>
    <m/>
    <m/>
    <x v="0"/>
    <x v="0"/>
    <x v="8"/>
    <x v="0"/>
    <x v="0"/>
    <x v="0"/>
  </r>
  <r>
    <d v="2026-03-02T00:00:00"/>
    <x v="2"/>
    <d v="2026-03-02T00:00:00"/>
    <x v="2"/>
    <x v="3"/>
    <x v="3"/>
    <x v="0"/>
    <x v="0"/>
    <m/>
    <m/>
    <x v="0"/>
    <x v="0"/>
    <x v="8"/>
    <x v="0"/>
    <x v="0"/>
    <x v="0"/>
  </r>
  <r>
    <d v="2026-03-02T00:00:00"/>
    <x v="2"/>
    <d v="2026-03-02T00:00:00"/>
    <x v="2"/>
    <x v="3"/>
    <x v="4"/>
    <x v="0"/>
    <x v="1"/>
    <m/>
    <n v="24"/>
    <x v="0"/>
    <x v="0"/>
    <x v="8"/>
    <x v="0"/>
    <x v="0"/>
    <x v="0"/>
  </r>
  <r>
    <d v="2026-03-02T00:00:00"/>
    <x v="2"/>
    <d v="2026-03-02T00:00:00"/>
    <x v="2"/>
    <x v="4"/>
    <x v="5"/>
    <x v="0"/>
    <x v="0"/>
    <m/>
    <m/>
    <x v="0"/>
    <x v="0"/>
    <x v="10"/>
    <x v="0"/>
    <x v="0"/>
    <x v="0"/>
  </r>
  <r>
    <d v="2026-03-02T00:00:00"/>
    <x v="2"/>
    <d v="2026-03-02T00:00:00"/>
    <x v="2"/>
    <x v="4"/>
    <x v="4"/>
    <x v="0"/>
    <x v="0"/>
    <m/>
    <m/>
    <x v="0"/>
    <x v="0"/>
    <x v="11"/>
    <x v="0"/>
    <x v="0"/>
    <x v="0"/>
  </r>
  <r>
    <d v="2026-03-02T00:00:00"/>
    <x v="2"/>
    <d v="2026-03-02T00:00:00"/>
    <x v="2"/>
    <x v="5"/>
    <x v="6"/>
    <x v="0"/>
    <x v="0"/>
    <m/>
    <n v="9"/>
    <x v="1"/>
    <x v="0"/>
    <x v="0"/>
    <x v="0"/>
    <x v="0"/>
    <x v="0"/>
  </r>
  <r>
    <d v="2026-03-03T00:00:00"/>
    <x v="3"/>
    <d v="2026-03-03T00:00:00"/>
    <x v="2"/>
    <x v="2"/>
    <x v="7"/>
    <x v="11"/>
    <x v="1"/>
    <m/>
    <n v="6"/>
    <x v="0"/>
    <x v="0"/>
    <x v="0"/>
    <x v="0"/>
    <x v="0"/>
    <x v="0"/>
  </r>
  <r>
    <d v="2026-03-03T00:00:00"/>
    <x v="3"/>
    <d v="2026-03-03T00:00:00"/>
    <x v="2"/>
    <x v="3"/>
    <x v="4"/>
    <x v="0"/>
    <x v="14"/>
    <m/>
    <n v="8"/>
    <x v="3"/>
    <x v="0"/>
    <x v="8"/>
    <x v="0"/>
    <x v="0"/>
    <x v="0"/>
  </r>
  <r>
    <d v="2026-03-03T00:00:00"/>
    <x v="3"/>
    <d v="2026-03-03T00:00:00"/>
    <x v="2"/>
    <x v="4"/>
    <x v="5"/>
    <x v="0"/>
    <x v="0"/>
    <m/>
    <m/>
    <x v="0"/>
    <x v="0"/>
    <x v="11"/>
    <x v="0"/>
    <x v="0"/>
    <x v="0"/>
  </r>
  <r>
    <d v="2026-03-03T00:00:00"/>
    <x v="3"/>
    <d v="2026-03-03T00:00:00"/>
    <x v="2"/>
    <x v="4"/>
    <x v="4"/>
    <x v="0"/>
    <x v="0"/>
    <m/>
    <m/>
    <x v="0"/>
    <x v="0"/>
    <x v="1"/>
    <x v="0"/>
    <x v="0"/>
    <x v="0"/>
  </r>
  <r>
    <d v="2026-03-03T00:00:00"/>
    <x v="3"/>
    <d v="2026-03-03T00:00:00"/>
    <x v="2"/>
    <x v="5"/>
    <x v="6"/>
    <x v="0"/>
    <x v="0"/>
    <m/>
    <n v="4"/>
    <x v="0"/>
    <x v="0"/>
    <x v="0"/>
    <x v="0"/>
    <x v="0"/>
    <x v="0"/>
  </r>
  <r>
    <d v="2026-03-03T00:00:00"/>
    <x v="3"/>
    <d v="2026-03-03T00:00:00"/>
    <x v="2"/>
    <x v="3"/>
    <x v="8"/>
    <x v="0"/>
    <x v="0"/>
    <n v="14"/>
    <m/>
    <x v="0"/>
    <x v="0"/>
    <x v="0"/>
    <x v="0"/>
    <x v="0"/>
    <x v="0"/>
  </r>
  <r>
    <d v="2026-03-04T00:00:00"/>
    <x v="4"/>
    <d v="2026-03-04T00:00:00"/>
    <x v="2"/>
    <x v="2"/>
    <x v="7"/>
    <x v="11"/>
    <x v="0"/>
    <m/>
    <m/>
    <x v="0"/>
    <x v="0"/>
    <x v="0"/>
    <x v="0"/>
    <x v="0"/>
    <x v="0"/>
  </r>
  <r>
    <d v="2026-03-04T00:00:00"/>
    <x v="4"/>
    <d v="2026-03-04T00:00:00"/>
    <x v="2"/>
    <x v="3"/>
    <x v="4"/>
    <x v="0"/>
    <x v="14"/>
    <m/>
    <n v="12"/>
    <x v="0"/>
    <x v="0"/>
    <x v="0"/>
    <x v="0"/>
    <x v="0"/>
    <x v="0"/>
  </r>
  <r>
    <d v="2026-03-04T00:00:00"/>
    <x v="4"/>
    <d v="2026-03-04T00:00:00"/>
    <x v="2"/>
    <x v="3"/>
    <x v="9"/>
    <x v="10"/>
    <x v="7"/>
    <m/>
    <n v="12"/>
    <x v="0"/>
    <x v="0"/>
    <x v="0"/>
    <x v="10"/>
    <x v="0"/>
    <x v="0"/>
  </r>
  <r>
    <d v="2026-03-04T00:00:00"/>
    <x v="4"/>
    <d v="2026-03-04T00:00:00"/>
    <x v="2"/>
    <x v="3"/>
    <x v="10"/>
    <x v="0"/>
    <x v="0"/>
    <m/>
    <m/>
    <x v="0"/>
    <x v="0"/>
    <x v="12"/>
    <x v="0"/>
    <x v="0"/>
    <x v="0"/>
  </r>
  <r>
    <d v="2026-03-05T00:00:00"/>
    <x v="5"/>
    <d v="2026-03-05T00:00:00"/>
    <x v="2"/>
    <x v="2"/>
    <x v="8"/>
    <x v="8"/>
    <x v="0"/>
    <n v="40"/>
    <m/>
    <x v="0"/>
    <x v="0"/>
    <x v="0"/>
    <x v="0"/>
    <x v="0"/>
    <x v="0"/>
  </r>
  <r>
    <d v="2026-03-05T00:00:00"/>
    <x v="5"/>
    <d v="2026-03-05T00:00:00"/>
    <x v="2"/>
    <x v="3"/>
    <x v="4"/>
    <x v="0"/>
    <x v="14"/>
    <m/>
    <n v="8"/>
    <x v="0"/>
    <x v="0"/>
    <x v="0"/>
    <x v="0"/>
    <x v="0"/>
    <x v="0"/>
  </r>
  <r>
    <d v="2026-03-05T00:00:00"/>
    <x v="5"/>
    <d v="2026-03-05T00:00:00"/>
    <x v="2"/>
    <x v="4"/>
    <x v="5"/>
    <x v="0"/>
    <x v="0"/>
    <m/>
    <m/>
    <x v="0"/>
    <x v="0"/>
    <x v="13"/>
    <x v="0"/>
    <x v="0"/>
    <x v="0"/>
  </r>
  <r>
    <d v="2026-03-06T00:00:00"/>
    <x v="6"/>
    <d v="2026-03-06T00:00:00"/>
    <x v="2"/>
    <x v="2"/>
    <x v="8"/>
    <x v="10"/>
    <x v="0"/>
    <n v="30"/>
    <m/>
    <x v="0"/>
    <x v="0"/>
    <x v="0"/>
    <x v="0"/>
    <x v="0"/>
    <x v="0"/>
  </r>
  <r>
    <d v="2026-03-06T00:00:00"/>
    <x v="6"/>
    <d v="2026-03-06T00:00:00"/>
    <x v="2"/>
    <x v="4"/>
    <x v="11"/>
    <x v="0"/>
    <x v="0"/>
    <m/>
    <m/>
    <x v="0"/>
    <x v="0"/>
    <x v="13"/>
    <x v="0"/>
    <x v="0"/>
    <x v="0"/>
  </r>
  <r>
    <d v="2026-03-06T00:00:00"/>
    <x v="6"/>
    <d v="2026-03-06T00:00:00"/>
    <x v="2"/>
    <x v="4"/>
    <x v="4"/>
    <x v="0"/>
    <x v="0"/>
    <m/>
    <m/>
    <x v="0"/>
    <x v="0"/>
    <x v="13"/>
    <x v="0"/>
    <x v="0"/>
    <x v="0"/>
  </r>
  <r>
    <d v="2026-03-07T00:00:00"/>
    <x v="0"/>
    <d v="2026-03-07T00:00:00"/>
    <x v="0"/>
    <x v="0"/>
    <x v="0"/>
    <x v="0"/>
    <x v="0"/>
    <m/>
    <m/>
    <x v="0"/>
    <x v="0"/>
    <x v="0"/>
    <x v="0"/>
    <x v="0"/>
    <x v="0"/>
  </r>
  <r>
    <d v="2026-03-08T00:00:00"/>
    <x v="1"/>
    <d v="2026-03-08T00:00:00"/>
    <x v="0"/>
    <x v="0"/>
    <x v="0"/>
    <x v="0"/>
    <x v="0"/>
    <m/>
    <m/>
    <x v="0"/>
    <x v="0"/>
    <x v="0"/>
    <x v="0"/>
    <x v="0"/>
    <x v="0"/>
  </r>
  <r>
    <d v="2026-03-09T00:00:00"/>
    <x v="2"/>
    <d v="2026-03-09T00:00:00"/>
    <x v="2"/>
    <x v="2"/>
    <x v="9"/>
    <x v="0"/>
    <x v="0"/>
    <m/>
    <m/>
    <x v="0"/>
    <x v="0"/>
    <x v="1"/>
    <x v="0"/>
    <x v="0"/>
    <x v="0"/>
  </r>
  <r>
    <d v="2026-03-10T00:00:00"/>
    <x v="3"/>
    <d v="2026-03-10T00:00:00"/>
    <x v="0"/>
    <x v="0"/>
    <x v="12"/>
    <x v="0"/>
    <x v="0"/>
    <m/>
    <m/>
    <x v="0"/>
    <x v="0"/>
    <x v="0"/>
    <x v="0"/>
    <x v="0"/>
    <x v="0"/>
  </r>
  <r>
    <d v="2026-03-11T00:00:00"/>
    <x v="4"/>
    <d v="2026-03-11T00:00:00"/>
    <x v="2"/>
    <x v="2"/>
    <x v="8"/>
    <x v="8"/>
    <x v="0"/>
    <n v="50"/>
    <m/>
    <x v="0"/>
    <x v="0"/>
    <x v="11"/>
    <x v="4"/>
    <x v="0"/>
    <x v="0"/>
  </r>
  <r>
    <d v="2026-03-11T00:00:00"/>
    <x v="4"/>
    <d v="2026-03-11T00:00:00"/>
    <x v="2"/>
    <x v="2"/>
    <x v="2"/>
    <x v="0"/>
    <x v="0"/>
    <m/>
    <m/>
    <x v="0"/>
    <x v="0"/>
    <x v="1"/>
    <x v="0"/>
    <x v="0"/>
    <x v="0"/>
  </r>
  <r>
    <d v="2026-03-11T00:00:00"/>
    <x v="4"/>
    <d v="2026-03-11T00:00:00"/>
    <x v="2"/>
    <x v="4"/>
    <x v="4"/>
    <x v="0"/>
    <x v="0"/>
    <m/>
    <m/>
    <x v="0"/>
    <x v="0"/>
    <x v="5"/>
    <x v="0"/>
    <x v="0"/>
    <x v="0"/>
  </r>
  <r>
    <d v="2026-03-11T00:00:00"/>
    <x v="4"/>
    <d v="2026-03-11T00:00:00"/>
    <x v="2"/>
    <x v="3"/>
    <x v="4"/>
    <x v="11"/>
    <x v="0"/>
    <m/>
    <m/>
    <x v="0"/>
    <x v="0"/>
    <x v="0"/>
    <x v="0"/>
    <x v="0"/>
    <x v="0"/>
  </r>
  <r>
    <d v="2026-03-12T00:00:00"/>
    <x v="5"/>
    <d v="2026-03-12T00:00:00"/>
    <x v="2"/>
    <x v="2"/>
    <x v="8"/>
    <x v="6"/>
    <x v="0"/>
    <m/>
    <m/>
    <x v="0"/>
    <x v="0"/>
    <x v="1"/>
    <x v="11"/>
    <x v="0"/>
    <x v="0"/>
  </r>
  <r>
    <d v="2026-03-12T00:00:00"/>
    <x v="5"/>
    <d v="2026-03-12T00:00:00"/>
    <x v="2"/>
    <x v="2"/>
    <x v="7"/>
    <x v="0"/>
    <x v="0"/>
    <m/>
    <m/>
    <x v="0"/>
    <x v="0"/>
    <x v="8"/>
    <x v="0"/>
    <x v="0"/>
    <x v="0"/>
  </r>
  <r>
    <d v="2026-03-13T00:00:00"/>
    <x v="6"/>
    <d v="2026-03-13T00:00:00"/>
    <x v="2"/>
    <x v="3"/>
    <x v="4"/>
    <x v="0"/>
    <x v="15"/>
    <m/>
    <n v="8.4"/>
    <x v="0"/>
    <x v="0"/>
    <x v="0"/>
    <x v="0"/>
    <x v="0"/>
    <x v="0"/>
  </r>
  <r>
    <d v="2026-03-13T00:00:00"/>
    <x v="6"/>
    <d v="2026-03-13T00:00:00"/>
    <x v="2"/>
    <x v="2"/>
    <x v="8"/>
    <x v="0"/>
    <x v="0"/>
    <n v="13"/>
    <m/>
    <x v="0"/>
    <x v="0"/>
    <x v="0"/>
    <x v="0"/>
    <x v="0"/>
    <x v="0"/>
  </r>
  <r>
    <d v="2026-03-14T00:00:00"/>
    <x v="0"/>
    <d v="2026-03-14T00:00:00"/>
    <x v="0"/>
    <x v="0"/>
    <x v="0"/>
    <x v="0"/>
    <x v="0"/>
    <m/>
    <m/>
    <x v="0"/>
    <x v="0"/>
    <x v="0"/>
    <x v="0"/>
    <x v="0"/>
    <x v="0"/>
  </r>
  <r>
    <d v="2026-03-15T00:00:00"/>
    <x v="1"/>
    <d v="2026-03-15T00:00:00"/>
    <x v="0"/>
    <x v="0"/>
    <x v="0"/>
    <x v="0"/>
    <x v="0"/>
    <m/>
    <m/>
    <x v="0"/>
    <x v="0"/>
    <x v="0"/>
    <x v="0"/>
    <x v="0"/>
    <x v="0"/>
  </r>
  <r>
    <d v="2026-03-16T00:00:00"/>
    <x v="2"/>
    <d v="2026-03-16T00:00:00"/>
    <x v="2"/>
    <x v="3"/>
    <x v="4"/>
    <x v="0"/>
    <x v="11"/>
    <m/>
    <n v="12"/>
    <x v="0"/>
    <x v="0"/>
    <x v="0"/>
    <x v="0"/>
    <x v="0"/>
    <x v="0"/>
  </r>
  <r>
    <d v="2026-03-16T00:00:00"/>
    <x v="2"/>
    <d v="2026-03-16T00:00:00"/>
    <x v="2"/>
    <x v="2"/>
    <x v="13"/>
    <x v="0"/>
    <x v="0"/>
    <n v="21"/>
    <m/>
    <x v="0"/>
    <x v="0"/>
    <x v="0"/>
    <x v="0"/>
    <x v="0"/>
    <x v="0"/>
  </r>
  <r>
    <d v="2026-03-17T00:00:00"/>
    <x v="3"/>
    <d v="2026-03-17T00:00:00"/>
    <x v="2"/>
    <x v="2"/>
    <x v="14"/>
    <x v="0"/>
    <x v="11"/>
    <n v="33"/>
    <m/>
    <x v="0"/>
    <x v="0"/>
    <x v="0"/>
    <x v="0"/>
    <x v="0"/>
    <x v="0"/>
  </r>
  <r>
    <d v="2026-03-17T00:00:00"/>
    <x v="3"/>
    <d v="2026-03-17T00:00:00"/>
    <x v="2"/>
    <x v="2"/>
    <x v="8"/>
    <x v="0"/>
    <x v="0"/>
    <n v="21"/>
    <m/>
    <x v="0"/>
    <x v="0"/>
    <x v="3"/>
    <x v="0"/>
    <x v="0"/>
    <x v="0"/>
  </r>
  <r>
    <d v="2026-03-17T00:00:00"/>
    <x v="3"/>
    <d v="2026-03-17T00:00:00"/>
    <x v="2"/>
    <x v="3"/>
    <x v="4"/>
    <x v="0"/>
    <x v="6"/>
    <m/>
    <n v="8"/>
    <x v="0"/>
    <x v="0"/>
    <x v="0"/>
    <x v="0"/>
    <x v="0"/>
    <x v="0"/>
  </r>
  <r>
    <d v="2026-03-18T00:00:00"/>
    <x v="4"/>
    <d v="2026-03-18T00:00:00"/>
    <x v="2"/>
    <x v="3"/>
    <x v="15"/>
    <x v="0"/>
    <x v="0"/>
    <n v="15"/>
    <m/>
    <x v="0"/>
    <x v="0"/>
    <x v="0"/>
    <x v="0"/>
    <x v="0"/>
    <x v="0"/>
  </r>
  <r>
    <d v="2026-03-18T00:00:00"/>
    <x v="4"/>
    <d v="2026-03-18T00:00:00"/>
    <x v="2"/>
    <x v="2"/>
    <x v="13"/>
    <x v="0"/>
    <x v="0"/>
    <m/>
    <m/>
    <x v="0"/>
    <x v="0"/>
    <x v="11"/>
    <x v="0"/>
    <x v="0"/>
    <x v="0"/>
  </r>
  <r>
    <d v="2026-03-18T00:00:00"/>
    <x v="4"/>
    <d v="2026-03-18T00:00:00"/>
    <x v="2"/>
    <x v="3"/>
    <x v="4"/>
    <x v="0"/>
    <x v="0"/>
    <m/>
    <n v="12"/>
    <x v="0"/>
    <x v="0"/>
    <x v="0"/>
    <x v="0"/>
    <x v="0"/>
    <x v="0"/>
  </r>
  <r>
    <d v="2026-03-19T00:00:00"/>
    <x v="5"/>
    <d v="2026-03-19T00:00:00"/>
    <x v="2"/>
    <x v="2"/>
    <x v="15"/>
    <x v="11"/>
    <x v="0"/>
    <n v="20"/>
    <m/>
    <x v="0"/>
    <x v="0"/>
    <x v="0"/>
    <x v="0"/>
    <x v="0"/>
    <x v="0"/>
  </r>
  <r>
    <d v="2026-03-20T00:00:00"/>
    <x v="6"/>
    <d v="2026-03-20T00:00:00"/>
    <x v="2"/>
    <x v="2"/>
    <x v="16"/>
    <x v="8"/>
    <x v="0"/>
    <m/>
    <m/>
    <x v="0"/>
    <x v="0"/>
    <x v="0"/>
    <x v="0"/>
    <x v="0"/>
    <x v="0"/>
  </r>
  <r>
    <d v="2026-03-21T00:00:00"/>
    <x v="0"/>
    <d v="2026-03-21T00:00:00"/>
    <x v="0"/>
    <x v="0"/>
    <x v="0"/>
    <x v="0"/>
    <x v="0"/>
    <m/>
    <m/>
    <x v="0"/>
    <x v="0"/>
    <x v="0"/>
    <x v="0"/>
    <x v="0"/>
    <x v="0"/>
  </r>
  <r>
    <d v="2026-03-22T00:00:00"/>
    <x v="1"/>
    <d v="2026-03-22T00:00:00"/>
    <x v="0"/>
    <x v="0"/>
    <x v="0"/>
    <x v="0"/>
    <x v="0"/>
    <m/>
    <m/>
    <x v="0"/>
    <x v="0"/>
    <x v="0"/>
    <x v="0"/>
    <x v="0"/>
    <x v="0"/>
  </r>
  <r>
    <d v="2026-03-23T00:00:00"/>
    <x v="2"/>
    <d v="2026-03-23T00:00:00"/>
    <x v="2"/>
    <x v="2"/>
    <x v="7"/>
    <x v="8"/>
    <x v="6"/>
    <m/>
    <n v="6"/>
    <x v="0"/>
    <x v="2"/>
    <x v="3"/>
    <x v="0"/>
    <x v="0"/>
    <x v="0"/>
  </r>
  <r>
    <d v="2026-03-24T00:00:00"/>
    <x v="3"/>
    <d v="2026-03-24T00:00:00"/>
    <x v="2"/>
    <x v="2"/>
    <x v="7"/>
    <x v="0"/>
    <x v="6"/>
    <m/>
    <n v="6"/>
    <x v="0"/>
    <x v="0"/>
    <x v="8"/>
    <x v="0"/>
    <x v="0"/>
    <x v="0"/>
  </r>
  <r>
    <d v="2026-03-24T00:00:00"/>
    <x v="3"/>
    <d v="2026-03-24T00:00:00"/>
    <x v="2"/>
    <x v="2"/>
    <x v="17"/>
    <x v="0"/>
    <x v="0"/>
    <m/>
    <m/>
    <x v="0"/>
    <x v="0"/>
    <x v="8"/>
    <x v="0"/>
    <x v="0"/>
    <x v="0"/>
  </r>
  <r>
    <d v="2026-03-24T00:00:00"/>
    <x v="3"/>
    <d v="2026-03-24T00:00:00"/>
    <x v="2"/>
    <x v="3"/>
    <x v="18"/>
    <x v="0"/>
    <x v="0"/>
    <n v="30"/>
    <m/>
    <x v="0"/>
    <x v="0"/>
    <x v="0"/>
    <x v="0"/>
    <x v="0"/>
    <x v="0"/>
  </r>
  <r>
    <d v="2026-03-24T00:00:00"/>
    <x v="3"/>
    <d v="2026-03-24T00:00:00"/>
    <x v="2"/>
    <x v="5"/>
    <x v="8"/>
    <x v="0"/>
    <x v="0"/>
    <n v="30"/>
    <m/>
    <x v="0"/>
    <x v="0"/>
    <x v="0"/>
    <x v="0"/>
    <x v="0"/>
    <x v="0"/>
  </r>
  <r>
    <d v="2026-03-25T00:00:00"/>
    <x v="4"/>
    <d v="2026-03-25T00:00:00"/>
    <x v="2"/>
    <x v="2"/>
    <x v="19"/>
    <x v="0"/>
    <x v="6"/>
    <m/>
    <n v="9"/>
    <x v="0"/>
    <x v="0"/>
    <x v="0"/>
    <x v="0"/>
    <x v="0"/>
    <x v="0"/>
  </r>
  <r>
    <d v="2026-03-25T00:00:00"/>
    <x v="4"/>
    <d v="2026-03-25T00:00:00"/>
    <x v="2"/>
    <x v="3"/>
    <x v="14"/>
    <x v="0"/>
    <x v="0"/>
    <n v="18"/>
    <n v="18"/>
    <x v="0"/>
    <x v="0"/>
    <x v="0"/>
    <x v="0"/>
    <x v="0"/>
    <x v="0"/>
  </r>
  <r>
    <d v="2026-03-25T00:00:00"/>
    <x v="4"/>
    <d v="2026-03-25T00:00:00"/>
    <x v="2"/>
    <x v="3"/>
    <x v="16"/>
    <x v="0"/>
    <x v="14"/>
    <m/>
    <m/>
    <x v="0"/>
    <x v="0"/>
    <x v="0"/>
    <x v="0"/>
    <x v="0"/>
    <x v="0"/>
  </r>
  <r>
    <d v="2026-03-25T00:00:00"/>
    <x v="4"/>
    <d v="2026-03-25T00:00:00"/>
    <x v="2"/>
    <x v="5"/>
    <x v="8"/>
    <x v="2"/>
    <x v="0"/>
    <n v="15"/>
    <m/>
    <x v="0"/>
    <x v="0"/>
    <x v="0"/>
    <x v="0"/>
    <x v="0"/>
    <x v="0"/>
  </r>
  <r>
    <d v="2026-03-26T00:00:00"/>
    <x v="5"/>
    <d v="2026-03-26T00:00:00"/>
    <x v="2"/>
    <x v="2"/>
    <x v="7"/>
    <x v="12"/>
    <x v="0"/>
    <n v="25"/>
    <m/>
    <x v="0"/>
    <x v="0"/>
    <x v="0"/>
    <x v="0"/>
    <x v="0"/>
    <x v="0"/>
  </r>
  <r>
    <d v="2026-03-26T00:00:00"/>
    <x v="5"/>
    <d v="2026-03-26T00:00:00"/>
    <x v="2"/>
    <x v="3"/>
    <x v="16"/>
    <x v="4"/>
    <x v="0"/>
    <m/>
    <m/>
    <x v="0"/>
    <x v="0"/>
    <x v="0"/>
    <x v="9"/>
    <x v="0"/>
    <x v="0"/>
  </r>
  <r>
    <d v="2026-03-26T00:00:00"/>
    <x v="5"/>
    <d v="2026-03-26T00:00:00"/>
    <x v="2"/>
    <x v="5"/>
    <x v="8"/>
    <x v="13"/>
    <x v="0"/>
    <m/>
    <m/>
    <x v="0"/>
    <x v="0"/>
    <x v="0"/>
    <x v="0"/>
    <x v="0"/>
    <x v="0"/>
  </r>
  <r>
    <d v="2026-03-26T00:00:00"/>
    <x v="5"/>
    <d v="2026-03-26T00:00:00"/>
    <x v="2"/>
    <x v="5"/>
    <x v="14"/>
    <x v="8"/>
    <x v="0"/>
    <m/>
    <m/>
    <x v="3"/>
    <x v="0"/>
    <x v="0"/>
    <x v="0"/>
    <x v="0"/>
    <x v="0"/>
  </r>
  <r>
    <d v="2026-03-27T00:00:00"/>
    <x v="6"/>
    <d v="2026-03-27T00:00:00"/>
    <x v="2"/>
    <x v="2"/>
    <x v="2"/>
    <x v="6"/>
    <x v="0"/>
    <n v="15"/>
    <m/>
    <x v="0"/>
    <x v="0"/>
    <x v="0"/>
    <x v="4"/>
    <x v="0"/>
    <x v="0"/>
  </r>
  <r>
    <d v="2026-03-27T00:00:00"/>
    <x v="6"/>
    <d v="2026-03-27T00:00:00"/>
    <x v="2"/>
    <x v="3"/>
    <x v="14"/>
    <x v="8"/>
    <x v="0"/>
    <n v="8"/>
    <n v="8"/>
    <x v="0"/>
    <x v="0"/>
    <x v="0"/>
    <x v="0"/>
    <x v="0"/>
    <x v="0"/>
  </r>
  <r>
    <d v="2026-03-28T00:00:00"/>
    <x v="0"/>
    <d v="2026-03-28T00:00:00"/>
    <x v="0"/>
    <x v="0"/>
    <x v="0"/>
    <x v="0"/>
    <x v="0"/>
    <m/>
    <m/>
    <x v="0"/>
    <x v="0"/>
    <x v="0"/>
    <x v="0"/>
    <x v="0"/>
    <x v="0"/>
  </r>
  <r>
    <d v="2026-03-29T00:00:00"/>
    <x v="1"/>
    <d v="2026-03-29T00:00:00"/>
    <x v="0"/>
    <x v="0"/>
    <x v="0"/>
    <x v="0"/>
    <x v="0"/>
    <m/>
    <m/>
    <x v="0"/>
    <x v="0"/>
    <x v="0"/>
    <x v="0"/>
    <x v="0"/>
    <x v="0"/>
  </r>
  <r>
    <d v="2026-03-30T00:00:00"/>
    <x v="2"/>
    <d v="2026-03-30T00:00:00"/>
    <x v="2"/>
    <x v="3"/>
    <x v="14"/>
    <x v="0"/>
    <x v="7"/>
    <n v="18"/>
    <n v="18"/>
    <x v="0"/>
    <x v="0"/>
    <x v="0"/>
    <x v="0"/>
    <x v="0"/>
    <x v="0"/>
  </r>
  <r>
    <d v="2026-03-30T00:00:00"/>
    <x v="2"/>
    <d v="2026-03-30T00:00:00"/>
    <x v="2"/>
    <x v="3"/>
    <x v="16"/>
    <x v="0"/>
    <x v="14"/>
    <m/>
    <m/>
    <x v="0"/>
    <x v="0"/>
    <x v="0"/>
    <x v="0"/>
    <x v="0"/>
    <x v="0"/>
  </r>
  <r>
    <d v="2026-03-31T00:00:00"/>
    <x v="3"/>
    <d v="2026-03-31T00:00:00"/>
    <x v="2"/>
    <x v="2"/>
    <x v="7"/>
    <x v="0"/>
    <x v="0"/>
    <m/>
    <m/>
    <x v="0"/>
    <x v="0"/>
    <x v="1"/>
    <x v="4"/>
    <x v="0"/>
    <x v="0"/>
  </r>
  <r>
    <d v="2026-03-31T00:00:00"/>
    <x v="3"/>
    <d v="2026-03-31T00:00:00"/>
    <x v="2"/>
    <x v="3"/>
    <x v="14"/>
    <x v="0"/>
    <x v="0"/>
    <m/>
    <n v="6"/>
    <x v="0"/>
    <x v="0"/>
    <x v="0"/>
    <x v="0"/>
    <x v="0"/>
    <x v="0"/>
  </r>
  <r>
    <d v="2026-04-01T00:00:00"/>
    <x v="4"/>
    <d v="2026-04-01T00:00:00"/>
    <x v="2"/>
    <x v="2"/>
    <x v="7"/>
    <x v="0"/>
    <x v="0"/>
    <m/>
    <m/>
    <x v="0"/>
    <x v="0"/>
    <x v="8"/>
    <x v="12"/>
    <x v="0"/>
    <x v="0"/>
  </r>
  <r>
    <d v="2026-04-01T00:00:00"/>
    <x v="4"/>
    <d v="2026-04-01T00:00:00"/>
    <x v="2"/>
    <x v="2"/>
    <x v="17"/>
    <x v="0"/>
    <x v="0"/>
    <m/>
    <m/>
    <x v="0"/>
    <x v="0"/>
    <x v="1"/>
    <x v="4"/>
    <x v="0"/>
    <x v="0"/>
  </r>
  <r>
    <d v="2026-04-01T00:00:00"/>
    <x v="4"/>
    <d v="2026-04-01T00:00:00"/>
    <x v="2"/>
    <x v="2"/>
    <x v="20"/>
    <x v="0"/>
    <x v="0"/>
    <m/>
    <m/>
    <x v="0"/>
    <x v="0"/>
    <x v="0"/>
    <x v="11"/>
    <x v="0"/>
    <x v="0"/>
  </r>
  <r>
    <d v="2026-04-01T00:00:00"/>
    <x v="4"/>
    <d v="2026-04-01T00:00:00"/>
    <x v="2"/>
    <x v="2"/>
    <x v="21"/>
    <x v="0"/>
    <x v="0"/>
    <m/>
    <m/>
    <x v="0"/>
    <x v="0"/>
    <x v="0"/>
    <x v="7"/>
    <x v="0"/>
    <x v="0"/>
  </r>
  <r>
    <d v="2026-04-01T00:00:00"/>
    <x v="4"/>
    <d v="2026-04-01T00:00:00"/>
    <x v="2"/>
    <x v="3"/>
    <x v="14"/>
    <x v="0"/>
    <x v="0"/>
    <n v="18"/>
    <n v="18"/>
    <x v="0"/>
    <x v="0"/>
    <x v="0"/>
    <x v="0"/>
    <x v="0"/>
    <x v="0"/>
  </r>
  <r>
    <d v="2026-04-02T00:00:00"/>
    <x v="5"/>
    <d v="2026-04-02T00:00:00"/>
    <x v="0"/>
    <x v="0"/>
    <x v="0"/>
    <x v="0"/>
    <x v="0"/>
    <m/>
    <m/>
    <x v="0"/>
    <x v="0"/>
    <x v="0"/>
    <x v="0"/>
    <x v="0"/>
    <x v="0"/>
  </r>
  <r>
    <d v="2026-04-03T00:00:00"/>
    <x v="6"/>
    <d v="2026-04-03T00:00:00"/>
    <x v="0"/>
    <x v="0"/>
    <x v="0"/>
    <x v="0"/>
    <x v="0"/>
    <m/>
    <m/>
    <x v="0"/>
    <x v="0"/>
    <x v="0"/>
    <x v="0"/>
    <x v="0"/>
    <x v="0"/>
  </r>
  <r>
    <d v="2026-04-04T00:00:00"/>
    <x v="0"/>
    <d v="2026-04-04T00:00:00"/>
    <x v="0"/>
    <x v="0"/>
    <x v="0"/>
    <x v="0"/>
    <x v="0"/>
    <m/>
    <m/>
    <x v="0"/>
    <x v="0"/>
    <x v="0"/>
    <x v="0"/>
    <x v="0"/>
    <x v="0"/>
  </r>
  <r>
    <d v="2026-04-05T00:00:00"/>
    <x v="1"/>
    <d v="2026-04-05T00:00:00"/>
    <x v="0"/>
    <x v="0"/>
    <x v="0"/>
    <x v="0"/>
    <x v="0"/>
    <m/>
    <m/>
    <x v="0"/>
    <x v="0"/>
    <x v="0"/>
    <x v="0"/>
    <x v="0"/>
    <x v="0"/>
  </r>
  <r>
    <d v="2026-04-06T00:00:00"/>
    <x v="2"/>
    <d v="2026-04-06T00:00:00"/>
    <x v="0"/>
    <x v="0"/>
    <x v="0"/>
    <x v="0"/>
    <x v="0"/>
    <m/>
    <m/>
    <x v="0"/>
    <x v="0"/>
    <x v="0"/>
    <x v="0"/>
    <x v="0"/>
    <x v="0"/>
  </r>
  <r>
    <d v="2026-04-07T00:00:00"/>
    <x v="3"/>
    <d v="2026-04-07T00:00:00"/>
    <x v="0"/>
    <x v="0"/>
    <x v="0"/>
    <x v="0"/>
    <x v="0"/>
    <m/>
    <m/>
    <x v="0"/>
    <x v="0"/>
    <x v="0"/>
    <x v="0"/>
    <x v="0"/>
    <x v="0"/>
  </r>
  <r>
    <d v="2026-04-08T00:00:00"/>
    <x v="4"/>
    <d v="2026-04-08T00:00:00"/>
    <x v="0"/>
    <x v="0"/>
    <x v="0"/>
    <x v="0"/>
    <x v="0"/>
    <m/>
    <m/>
    <x v="0"/>
    <x v="0"/>
    <x v="0"/>
    <x v="0"/>
    <x v="0"/>
    <x v="0"/>
  </r>
  <r>
    <d v="2026-04-09T00:00:00"/>
    <x v="5"/>
    <d v="2026-04-09T00:00:00"/>
    <x v="1"/>
    <x v="0"/>
    <x v="0"/>
    <x v="0"/>
    <x v="0"/>
    <m/>
    <m/>
    <x v="0"/>
    <x v="0"/>
    <x v="0"/>
    <x v="0"/>
    <x v="0"/>
    <x v="0"/>
  </r>
  <r>
    <d v="2026-04-10T00:00:00"/>
    <x v="6"/>
    <d v="2026-04-10T00:00:00"/>
    <x v="1"/>
    <x v="0"/>
    <x v="0"/>
    <x v="0"/>
    <x v="0"/>
    <m/>
    <m/>
    <x v="0"/>
    <x v="0"/>
    <x v="0"/>
    <x v="0"/>
    <x v="0"/>
    <x v="0"/>
  </r>
  <r>
    <d v="2026-04-11T00:00:00"/>
    <x v="0"/>
    <d v="2026-04-11T00:00:00"/>
    <x v="0"/>
    <x v="0"/>
    <x v="0"/>
    <x v="0"/>
    <x v="0"/>
    <m/>
    <m/>
    <x v="0"/>
    <x v="0"/>
    <x v="0"/>
    <x v="0"/>
    <x v="0"/>
    <x v="0"/>
  </r>
  <r>
    <d v="2026-04-12T00:00:00"/>
    <x v="1"/>
    <d v="2026-04-12T00:00:00"/>
    <x v="0"/>
    <x v="0"/>
    <x v="0"/>
    <x v="0"/>
    <x v="0"/>
    <m/>
    <m/>
    <x v="0"/>
    <x v="0"/>
    <x v="0"/>
    <x v="0"/>
    <x v="0"/>
    <x v="0"/>
  </r>
  <r>
    <d v="2026-04-13T00:00:00"/>
    <x v="2"/>
    <d v="2026-04-13T00:00:00"/>
    <x v="1"/>
    <x v="0"/>
    <x v="0"/>
    <x v="0"/>
    <x v="0"/>
    <m/>
    <m/>
    <x v="0"/>
    <x v="0"/>
    <x v="0"/>
    <x v="0"/>
    <x v="0"/>
    <x v="0"/>
  </r>
  <r>
    <d v="2026-04-14T00:00:00"/>
    <x v="3"/>
    <d v="2026-04-14T00:00:00"/>
    <x v="1"/>
    <x v="0"/>
    <x v="0"/>
    <x v="0"/>
    <x v="0"/>
    <m/>
    <m/>
    <x v="0"/>
    <x v="0"/>
    <x v="0"/>
    <x v="0"/>
    <x v="0"/>
    <x v="0"/>
  </r>
  <r>
    <d v="2026-04-15T00:00:00"/>
    <x v="4"/>
    <d v="2026-04-15T00:00:00"/>
    <x v="1"/>
    <x v="0"/>
    <x v="0"/>
    <x v="0"/>
    <x v="0"/>
    <m/>
    <m/>
    <x v="0"/>
    <x v="0"/>
    <x v="0"/>
    <x v="0"/>
    <x v="0"/>
    <x v="0"/>
  </r>
  <r>
    <d v="2026-04-16T00:00:00"/>
    <x v="5"/>
    <d v="2026-04-16T00:00:00"/>
    <x v="1"/>
    <x v="0"/>
    <x v="0"/>
    <x v="0"/>
    <x v="0"/>
    <m/>
    <m/>
    <x v="0"/>
    <x v="0"/>
    <x v="0"/>
    <x v="0"/>
    <x v="0"/>
    <x v="0"/>
  </r>
  <r>
    <d v="2026-04-17T00:00:00"/>
    <x v="6"/>
    <d v="2026-04-17T00:00:00"/>
    <x v="1"/>
    <x v="0"/>
    <x v="0"/>
    <x v="0"/>
    <x v="0"/>
    <m/>
    <m/>
    <x v="0"/>
    <x v="0"/>
    <x v="0"/>
    <x v="0"/>
    <x v="0"/>
    <x v="0"/>
  </r>
  <r>
    <d v="2026-04-18T00:00:00"/>
    <x v="0"/>
    <d v="2026-04-18T00:00:00"/>
    <x v="0"/>
    <x v="0"/>
    <x v="0"/>
    <x v="0"/>
    <x v="0"/>
    <m/>
    <m/>
    <x v="0"/>
    <x v="0"/>
    <x v="0"/>
    <x v="0"/>
    <x v="0"/>
    <x v="0"/>
  </r>
  <r>
    <d v="2026-04-19T00:00:00"/>
    <x v="1"/>
    <d v="2026-04-19T00:00:00"/>
    <x v="0"/>
    <x v="0"/>
    <x v="0"/>
    <x v="0"/>
    <x v="0"/>
    <m/>
    <m/>
    <x v="0"/>
    <x v="0"/>
    <x v="0"/>
    <x v="0"/>
    <x v="0"/>
    <x v="0"/>
  </r>
  <r>
    <d v="2026-04-20T00:00:00"/>
    <x v="2"/>
    <d v="2026-04-20T00:00:00"/>
    <x v="1"/>
    <x v="0"/>
    <x v="0"/>
    <x v="0"/>
    <x v="0"/>
    <m/>
    <m/>
    <x v="0"/>
    <x v="0"/>
    <x v="0"/>
    <x v="0"/>
    <x v="0"/>
    <x v="0"/>
  </r>
  <r>
    <d v="2026-04-21T00:00:00"/>
    <x v="3"/>
    <d v="2026-04-21T00:00:00"/>
    <x v="1"/>
    <x v="0"/>
    <x v="0"/>
    <x v="0"/>
    <x v="0"/>
    <m/>
    <m/>
    <x v="0"/>
    <x v="0"/>
    <x v="0"/>
    <x v="0"/>
    <x v="0"/>
    <x v="0"/>
  </r>
  <r>
    <d v="2026-04-22T00:00:00"/>
    <x v="4"/>
    <d v="2026-04-22T00:00:00"/>
    <x v="1"/>
    <x v="0"/>
    <x v="0"/>
    <x v="0"/>
    <x v="0"/>
    <m/>
    <m/>
    <x v="0"/>
    <x v="0"/>
    <x v="0"/>
    <x v="0"/>
    <x v="0"/>
    <x v="0"/>
  </r>
  <r>
    <d v="2026-04-23T00:00:00"/>
    <x v="5"/>
    <d v="2026-04-23T00:00:00"/>
    <x v="1"/>
    <x v="0"/>
    <x v="0"/>
    <x v="0"/>
    <x v="0"/>
    <m/>
    <m/>
    <x v="0"/>
    <x v="0"/>
    <x v="0"/>
    <x v="0"/>
    <x v="0"/>
    <x v="0"/>
  </r>
  <r>
    <d v="2026-04-24T00:00:00"/>
    <x v="6"/>
    <d v="2026-04-24T00:00:00"/>
    <x v="1"/>
    <x v="0"/>
    <x v="0"/>
    <x v="0"/>
    <x v="0"/>
    <m/>
    <m/>
    <x v="0"/>
    <x v="0"/>
    <x v="0"/>
    <x v="0"/>
    <x v="0"/>
    <x v="0"/>
  </r>
  <r>
    <d v="2026-04-25T00:00:00"/>
    <x v="0"/>
    <d v="2026-04-25T00:00:00"/>
    <x v="0"/>
    <x v="0"/>
    <x v="0"/>
    <x v="0"/>
    <x v="0"/>
    <m/>
    <m/>
    <x v="0"/>
    <x v="0"/>
    <x v="0"/>
    <x v="0"/>
    <x v="0"/>
    <x v="0"/>
  </r>
  <r>
    <d v="2026-04-26T00:00:00"/>
    <x v="1"/>
    <d v="2026-04-26T00:00:00"/>
    <x v="0"/>
    <x v="0"/>
    <x v="0"/>
    <x v="0"/>
    <x v="0"/>
    <m/>
    <m/>
    <x v="0"/>
    <x v="0"/>
    <x v="0"/>
    <x v="0"/>
    <x v="0"/>
    <x v="0"/>
  </r>
  <r>
    <d v="2026-04-27T00:00:00"/>
    <x v="2"/>
    <d v="2026-04-27T00:00:00"/>
    <x v="1"/>
    <x v="0"/>
    <x v="0"/>
    <x v="0"/>
    <x v="0"/>
    <m/>
    <m/>
    <x v="0"/>
    <x v="0"/>
    <x v="0"/>
    <x v="0"/>
    <x v="0"/>
    <x v="0"/>
  </r>
  <r>
    <d v="2026-04-28T00:00:00"/>
    <x v="3"/>
    <d v="2026-04-28T00:00:00"/>
    <x v="1"/>
    <x v="0"/>
    <x v="0"/>
    <x v="0"/>
    <x v="0"/>
    <m/>
    <m/>
    <x v="0"/>
    <x v="0"/>
    <x v="0"/>
    <x v="0"/>
    <x v="0"/>
    <x v="0"/>
  </r>
  <r>
    <d v="2026-04-29T00:00:00"/>
    <x v="4"/>
    <d v="2026-04-29T00:00:00"/>
    <x v="1"/>
    <x v="0"/>
    <x v="0"/>
    <x v="0"/>
    <x v="0"/>
    <m/>
    <m/>
    <x v="0"/>
    <x v="0"/>
    <x v="0"/>
    <x v="0"/>
    <x v="0"/>
    <x v="0"/>
  </r>
  <r>
    <d v="2026-04-30T00:00:00"/>
    <x v="5"/>
    <d v="2026-04-30T00:00:00"/>
    <x v="1"/>
    <x v="0"/>
    <x v="0"/>
    <x v="0"/>
    <x v="0"/>
    <m/>
    <m/>
    <x v="0"/>
    <x v="0"/>
    <x v="0"/>
    <x v="0"/>
    <x v="0"/>
    <x v="0"/>
  </r>
  <r>
    <d v="2026-05-01T00:00:00"/>
    <x v="6"/>
    <d v="2026-05-01T00:00:00"/>
    <x v="1"/>
    <x v="0"/>
    <x v="0"/>
    <x v="0"/>
    <x v="0"/>
    <m/>
    <m/>
    <x v="0"/>
    <x v="0"/>
    <x v="0"/>
    <x v="0"/>
    <x v="0"/>
    <x v="0"/>
  </r>
  <r>
    <d v="2026-05-02T00:00:00"/>
    <x v="0"/>
    <d v="2026-05-02T00:00:00"/>
    <x v="0"/>
    <x v="0"/>
    <x v="0"/>
    <x v="0"/>
    <x v="0"/>
    <m/>
    <m/>
    <x v="0"/>
    <x v="0"/>
    <x v="0"/>
    <x v="0"/>
    <x v="0"/>
    <x v="0"/>
  </r>
  <r>
    <d v="2026-05-03T00:00:00"/>
    <x v="1"/>
    <d v="2026-05-03T00:00:00"/>
    <x v="0"/>
    <x v="0"/>
    <x v="0"/>
    <x v="0"/>
    <x v="0"/>
    <m/>
    <m/>
    <x v="0"/>
    <x v="0"/>
    <x v="0"/>
    <x v="0"/>
    <x v="0"/>
    <x v="0"/>
  </r>
  <r>
    <d v="2026-05-04T00:00:00"/>
    <x v="2"/>
    <d v="2026-05-04T00:00:00"/>
    <x v="1"/>
    <x v="0"/>
    <x v="0"/>
    <x v="0"/>
    <x v="0"/>
    <m/>
    <m/>
    <x v="0"/>
    <x v="0"/>
    <x v="0"/>
    <x v="0"/>
    <x v="0"/>
    <x v="0"/>
  </r>
  <r>
    <d v="2026-05-05T00:00:00"/>
    <x v="3"/>
    <d v="2026-05-05T00:00:00"/>
    <x v="1"/>
    <x v="0"/>
    <x v="0"/>
    <x v="0"/>
    <x v="0"/>
    <m/>
    <m/>
    <x v="0"/>
    <x v="0"/>
    <x v="0"/>
    <x v="0"/>
    <x v="0"/>
    <x v="0"/>
  </r>
  <r>
    <d v="2026-05-06T00:00:00"/>
    <x v="4"/>
    <d v="2026-05-06T00:00:00"/>
    <x v="1"/>
    <x v="0"/>
    <x v="0"/>
    <x v="0"/>
    <x v="0"/>
    <m/>
    <m/>
    <x v="0"/>
    <x v="0"/>
    <x v="0"/>
    <x v="0"/>
    <x v="0"/>
    <x v="0"/>
  </r>
  <r>
    <d v="2026-05-07T00:00:00"/>
    <x v="5"/>
    <d v="2026-05-07T00:00:00"/>
    <x v="1"/>
    <x v="0"/>
    <x v="0"/>
    <x v="0"/>
    <x v="0"/>
    <m/>
    <m/>
    <x v="0"/>
    <x v="0"/>
    <x v="0"/>
    <x v="0"/>
    <x v="0"/>
    <x v="0"/>
  </r>
  <r>
    <d v="2026-05-08T00:00:00"/>
    <x v="6"/>
    <d v="2026-05-08T00:00:00"/>
    <x v="1"/>
    <x v="0"/>
    <x v="0"/>
    <x v="0"/>
    <x v="0"/>
    <m/>
    <m/>
    <x v="0"/>
    <x v="0"/>
    <x v="0"/>
    <x v="0"/>
    <x v="0"/>
    <x v="0"/>
  </r>
  <r>
    <d v="2026-05-09T00:00:00"/>
    <x v="0"/>
    <d v="2026-05-09T00:00:00"/>
    <x v="0"/>
    <x v="0"/>
    <x v="0"/>
    <x v="0"/>
    <x v="0"/>
    <m/>
    <m/>
    <x v="0"/>
    <x v="0"/>
    <x v="0"/>
    <x v="0"/>
    <x v="0"/>
    <x v="0"/>
  </r>
  <r>
    <d v="2026-05-10T00:00:00"/>
    <x v="1"/>
    <d v="2026-05-10T00:00:00"/>
    <x v="0"/>
    <x v="0"/>
    <x v="0"/>
    <x v="0"/>
    <x v="0"/>
    <m/>
    <m/>
    <x v="0"/>
    <x v="0"/>
    <x v="0"/>
    <x v="0"/>
    <x v="0"/>
    <x v="0"/>
  </r>
  <r>
    <d v="2026-05-11T00:00:00"/>
    <x v="2"/>
    <d v="2026-05-11T00:00:00"/>
    <x v="1"/>
    <x v="0"/>
    <x v="0"/>
    <x v="0"/>
    <x v="0"/>
    <m/>
    <m/>
    <x v="0"/>
    <x v="0"/>
    <x v="0"/>
    <x v="0"/>
    <x v="0"/>
    <x v="0"/>
  </r>
  <r>
    <d v="2026-05-12T00:00:00"/>
    <x v="3"/>
    <d v="2026-05-12T00:00:00"/>
    <x v="1"/>
    <x v="0"/>
    <x v="0"/>
    <x v="0"/>
    <x v="0"/>
    <m/>
    <m/>
    <x v="0"/>
    <x v="0"/>
    <x v="0"/>
    <x v="0"/>
    <x v="0"/>
    <x v="0"/>
  </r>
  <r>
    <d v="2026-05-13T00:00:00"/>
    <x v="4"/>
    <d v="2026-05-13T00:00:00"/>
    <x v="1"/>
    <x v="0"/>
    <x v="0"/>
    <x v="0"/>
    <x v="0"/>
    <m/>
    <m/>
    <x v="0"/>
    <x v="0"/>
    <x v="0"/>
    <x v="0"/>
    <x v="0"/>
    <x v="0"/>
  </r>
  <r>
    <d v="2026-05-14T00:00:00"/>
    <x v="5"/>
    <d v="2026-05-14T00:00:00"/>
    <x v="1"/>
    <x v="0"/>
    <x v="0"/>
    <x v="0"/>
    <x v="0"/>
    <m/>
    <m/>
    <x v="0"/>
    <x v="0"/>
    <x v="0"/>
    <x v="0"/>
    <x v="0"/>
    <x v="0"/>
  </r>
  <r>
    <d v="2026-05-15T00:00:00"/>
    <x v="6"/>
    <d v="2026-05-15T00:00:00"/>
    <x v="1"/>
    <x v="0"/>
    <x v="0"/>
    <x v="0"/>
    <x v="0"/>
    <m/>
    <m/>
    <x v="0"/>
    <x v="0"/>
    <x v="0"/>
    <x v="0"/>
    <x v="0"/>
    <x v="0"/>
  </r>
  <r>
    <d v="2026-05-16T00:00:00"/>
    <x v="0"/>
    <d v="2026-05-16T00:00:00"/>
    <x v="0"/>
    <x v="0"/>
    <x v="0"/>
    <x v="0"/>
    <x v="0"/>
    <m/>
    <m/>
    <x v="0"/>
    <x v="0"/>
    <x v="0"/>
    <x v="0"/>
    <x v="0"/>
    <x v="0"/>
  </r>
  <r>
    <d v="2026-05-17T00:00:00"/>
    <x v="1"/>
    <d v="2026-05-17T00:00:00"/>
    <x v="0"/>
    <x v="0"/>
    <x v="0"/>
    <x v="0"/>
    <x v="0"/>
    <m/>
    <m/>
    <x v="0"/>
    <x v="0"/>
    <x v="0"/>
    <x v="0"/>
    <x v="0"/>
    <x v="0"/>
  </r>
  <r>
    <d v="2026-05-18T00:00:00"/>
    <x v="2"/>
    <d v="2026-05-18T00:00:00"/>
    <x v="1"/>
    <x v="0"/>
    <x v="0"/>
    <x v="0"/>
    <x v="0"/>
    <m/>
    <m/>
    <x v="0"/>
    <x v="0"/>
    <x v="0"/>
    <x v="0"/>
    <x v="0"/>
    <x v="0"/>
  </r>
  <r>
    <d v="2026-05-19T00:00:00"/>
    <x v="3"/>
    <d v="2026-05-19T00:00:00"/>
    <x v="1"/>
    <x v="0"/>
    <x v="0"/>
    <x v="0"/>
    <x v="0"/>
    <m/>
    <m/>
    <x v="0"/>
    <x v="0"/>
    <x v="0"/>
    <x v="0"/>
    <x v="0"/>
    <x v="0"/>
  </r>
  <r>
    <d v="2026-05-20T00:00:00"/>
    <x v="4"/>
    <d v="2026-05-20T00:00:00"/>
    <x v="1"/>
    <x v="0"/>
    <x v="0"/>
    <x v="0"/>
    <x v="0"/>
    <m/>
    <m/>
    <x v="0"/>
    <x v="0"/>
    <x v="0"/>
    <x v="0"/>
    <x v="0"/>
    <x v="0"/>
  </r>
  <r>
    <d v="2026-05-21T00:00:00"/>
    <x v="5"/>
    <d v="2026-05-21T00:00:00"/>
    <x v="1"/>
    <x v="0"/>
    <x v="0"/>
    <x v="0"/>
    <x v="0"/>
    <m/>
    <m/>
    <x v="0"/>
    <x v="0"/>
    <x v="0"/>
    <x v="0"/>
    <x v="0"/>
    <x v="0"/>
  </r>
  <r>
    <d v="2026-05-22T00:00:00"/>
    <x v="6"/>
    <d v="2026-05-22T00:00:00"/>
    <x v="1"/>
    <x v="0"/>
    <x v="0"/>
    <x v="0"/>
    <x v="0"/>
    <m/>
    <m/>
    <x v="0"/>
    <x v="0"/>
    <x v="0"/>
    <x v="0"/>
    <x v="0"/>
    <x v="0"/>
  </r>
  <r>
    <d v="2026-05-23T00:00:00"/>
    <x v="0"/>
    <d v="2026-05-23T00:00:00"/>
    <x v="0"/>
    <x v="0"/>
    <x v="0"/>
    <x v="0"/>
    <x v="0"/>
    <m/>
    <m/>
    <x v="0"/>
    <x v="0"/>
    <x v="0"/>
    <x v="0"/>
    <x v="0"/>
    <x v="0"/>
  </r>
  <r>
    <d v="2026-05-24T00:00:00"/>
    <x v="1"/>
    <d v="2026-05-24T00:00:00"/>
    <x v="0"/>
    <x v="0"/>
    <x v="0"/>
    <x v="0"/>
    <x v="0"/>
    <m/>
    <m/>
    <x v="0"/>
    <x v="0"/>
    <x v="0"/>
    <x v="0"/>
    <x v="0"/>
    <x v="0"/>
  </r>
  <r>
    <d v="2026-05-25T00:00:00"/>
    <x v="2"/>
    <d v="2026-05-25T00:00:00"/>
    <x v="1"/>
    <x v="0"/>
    <x v="0"/>
    <x v="0"/>
    <x v="0"/>
    <m/>
    <m/>
    <x v="0"/>
    <x v="0"/>
    <x v="0"/>
    <x v="0"/>
    <x v="0"/>
    <x v="0"/>
  </r>
  <r>
    <d v="2026-05-26T00:00:00"/>
    <x v="3"/>
    <d v="2026-05-26T00:00:00"/>
    <x v="1"/>
    <x v="0"/>
    <x v="0"/>
    <x v="0"/>
    <x v="0"/>
    <m/>
    <m/>
    <x v="0"/>
    <x v="0"/>
    <x v="0"/>
    <x v="0"/>
    <x v="0"/>
    <x v="0"/>
  </r>
  <r>
    <d v="2026-05-27T00:00:00"/>
    <x v="4"/>
    <d v="2026-05-27T00:00:00"/>
    <x v="1"/>
    <x v="0"/>
    <x v="0"/>
    <x v="0"/>
    <x v="0"/>
    <m/>
    <m/>
    <x v="0"/>
    <x v="0"/>
    <x v="0"/>
    <x v="0"/>
    <x v="0"/>
    <x v="0"/>
  </r>
  <r>
    <d v="2026-05-28T00:00:00"/>
    <x v="5"/>
    <d v="2026-05-28T00:00:00"/>
    <x v="1"/>
    <x v="0"/>
    <x v="0"/>
    <x v="0"/>
    <x v="0"/>
    <m/>
    <m/>
    <x v="0"/>
    <x v="0"/>
    <x v="0"/>
    <x v="0"/>
    <x v="0"/>
    <x v="0"/>
  </r>
  <r>
    <d v="2026-05-29T00:00:00"/>
    <x v="6"/>
    <d v="2026-05-29T00:00:00"/>
    <x v="1"/>
    <x v="0"/>
    <x v="0"/>
    <x v="0"/>
    <x v="0"/>
    <m/>
    <m/>
    <x v="0"/>
    <x v="0"/>
    <x v="0"/>
    <x v="0"/>
    <x v="0"/>
    <x v="0"/>
  </r>
  <r>
    <d v="2026-05-30T00:00:00"/>
    <x v="0"/>
    <d v="2026-05-30T00:00:00"/>
    <x v="0"/>
    <x v="0"/>
    <x v="0"/>
    <x v="0"/>
    <x v="0"/>
    <m/>
    <m/>
    <x v="0"/>
    <x v="0"/>
    <x v="0"/>
    <x v="0"/>
    <x v="0"/>
    <x v="0"/>
  </r>
  <r>
    <d v="2026-05-31T00:00:00"/>
    <x v="1"/>
    <d v="2026-05-31T00:00:00"/>
    <x v="0"/>
    <x v="0"/>
    <x v="0"/>
    <x v="0"/>
    <x v="0"/>
    <m/>
    <m/>
    <x v="0"/>
    <x v="0"/>
    <x v="0"/>
    <x v="0"/>
    <x v="0"/>
    <x v="0"/>
  </r>
  <r>
    <d v="2026-06-01T00:00:00"/>
    <x v="2"/>
    <d v="2026-06-01T00:00:00"/>
    <x v="1"/>
    <x v="0"/>
    <x v="0"/>
    <x v="0"/>
    <x v="0"/>
    <m/>
    <m/>
    <x v="0"/>
    <x v="0"/>
    <x v="0"/>
    <x v="0"/>
    <x v="0"/>
    <x v="0"/>
  </r>
  <r>
    <d v="2026-06-02T00:00:00"/>
    <x v="3"/>
    <d v="2026-06-02T00:00:00"/>
    <x v="1"/>
    <x v="0"/>
    <x v="0"/>
    <x v="0"/>
    <x v="0"/>
    <m/>
    <m/>
    <x v="0"/>
    <x v="0"/>
    <x v="0"/>
    <x v="0"/>
    <x v="0"/>
    <x v="0"/>
  </r>
  <r>
    <d v="2026-06-03T00:00:00"/>
    <x v="4"/>
    <d v="2026-06-03T00:00:00"/>
    <x v="1"/>
    <x v="0"/>
    <x v="0"/>
    <x v="0"/>
    <x v="0"/>
    <m/>
    <m/>
    <x v="0"/>
    <x v="0"/>
    <x v="0"/>
    <x v="0"/>
    <x v="0"/>
    <x v="0"/>
  </r>
  <r>
    <d v="2026-06-04T00:00:00"/>
    <x v="5"/>
    <d v="2026-06-04T00:00:00"/>
    <x v="1"/>
    <x v="0"/>
    <x v="0"/>
    <x v="0"/>
    <x v="0"/>
    <m/>
    <m/>
    <x v="0"/>
    <x v="0"/>
    <x v="0"/>
    <x v="0"/>
    <x v="0"/>
    <x v="0"/>
  </r>
  <r>
    <d v="2026-06-05T00:00:00"/>
    <x v="6"/>
    <d v="2026-06-05T00:00:00"/>
    <x v="1"/>
    <x v="0"/>
    <x v="0"/>
    <x v="0"/>
    <x v="0"/>
    <m/>
    <m/>
    <x v="0"/>
    <x v="0"/>
    <x v="0"/>
    <x v="0"/>
    <x v="0"/>
    <x v="0"/>
  </r>
  <r>
    <d v="2026-06-06T00:00:00"/>
    <x v="0"/>
    <d v="2026-06-06T00:00:00"/>
    <x v="0"/>
    <x v="0"/>
    <x v="0"/>
    <x v="0"/>
    <x v="0"/>
    <m/>
    <m/>
    <x v="0"/>
    <x v="0"/>
    <x v="0"/>
    <x v="0"/>
    <x v="0"/>
    <x v="0"/>
  </r>
  <r>
    <d v="2026-06-07T00:00:00"/>
    <x v="1"/>
    <d v="2026-06-07T00:00:00"/>
    <x v="0"/>
    <x v="0"/>
    <x v="0"/>
    <x v="0"/>
    <x v="0"/>
    <m/>
    <m/>
    <x v="0"/>
    <x v="0"/>
    <x v="0"/>
    <x v="0"/>
    <x v="0"/>
    <x v="0"/>
  </r>
  <r>
    <d v="2026-06-08T00:00:00"/>
    <x v="2"/>
    <d v="2026-06-08T00:00:00"/>
    <x v="1"/>
    <x v="0"/>
    <x v="0"/>
    <x v="0"/>
    <x v="0"/>
    <m/>
    <m/>
    <x v="0"/>
    <x v="0"/>
    <x v="0"/>
    <x v="0"/>
    <x v="0"/>
    <x v="0"/>
  </r>
  <r>
    <d v="2026-06-09T00:00:00"/>
    <x v="3"/>
    <d v="2026-06-09T00:00:00"/>
    <x v="1"/>
    <x v="0"/>
    <x v="0"/>
    <x v="0"/>
    <x v="0"/>
    <m/>
    <m/>
    <x v="0"/>
    <x v="0"/>
    <x v="0"/>
    <x v="0"/>
    <x v="0"/>
    <x v="0"/>
  </r>
  <r>
    <d v="2026-06-10T00:00:00"/>
    <x v="4"/>
    <d v="2026-06-10T00:00:00"/>
    <x v="1"/>
    <x v="0"/>
    <x v="0"/>
    <x v="0"/>
    <x v="0"/>
    <m/>
    <m/>
    <x v="0"/>
    <x v="0"/>
    <x v="0"/>
    <x v="0"/>
    <x v="0"/>
    <x v="0"/>
  </r>
  <r>
    <d v="2026-06-11T00:00:00"/>
    <x v="5"/>
    <d v="2026-06-11T00:00:00"/>
    <x v="1"/>
    <x v="0"/>
    <x v="0"/>
    <x v="0"/>
    <x v="0"/>
    <m/>
    <m/>
    <x v="0"/>
    <x v="0"/>
    <x v="0"/>
    <x v="0"/>
    <x v="0"/>
    <x v="0"/>
  </r>
  <r>
    <d v="2026-06-12T00:00:00"/>
    <x v="6"/>
    <d v="2026-06-12T00:00:00"/>
    <x v="1"/>
    <x v="0"/>
    <x v="0"/>
    <x v="0"/>
    <x v="0"/>
    <m/>
    <m/>
    <x v="0"/>
    <x v="0"/>
    <x v="0"/>
    <x v="0"/>
    <x v="0"/>
    <x v="0"/>
  </r>
  <r>
    <d v="2026-06-13T00:00:00"/>
    <x v="0"/>
    <d v="2026-06-13T00:00:00"/>
    <x v="0"/>
    <x v="0"/>
    <x v="0"/>
    <x v="0"/>
    <x v="0"/>
    <m/>
    <m/>
    <x v="0"/>
    <x v="0"/>
    <x v="0"/>
    <x v="0"/>
    <x v="0"/>
    <x v="0"/>
  </r>
  <r>
    <d v="2026-06-14T00:00:00"/>
    <x v="1"/>
    <d v="2026-06-14T00:00:00"/>
    <x v="0"/>
    <x v="0"/>
    <x v="0"/>
    <x v="0"/>
    <x v="0"/>
    <m/>
    <m/>
    <x v="0"/>
    <x v="0"/>
    <x v="0"/>
    <x v="0"/>
    <x v="0"/>
    <x v="0"/>
  </r>
  <r>
    <d v="2026-06-15T00:00:00"/>
    <x v="2"/>
    <d v="2026-06-15T00:00:00"/>
    <x v="1"/>
    <x v="0"/>
    <x v="0"/>
    <x v="0"/>
    <x v="0"/>
    <m/>
    <m/>
    <x v="0"/>
    <x v="0"/>
    <x v="0"/>
    <x v="0"/>
    <x v="0"/>
    <x v="0"/>
  </r>
  <r>
    <d v="2026-06-16T00:00:00"/>
    <x v="3"/>
    <d v="2026-06-16T00:00:00"/>
    <x v="1"/>
    <x v="0"/>
    <x v="0"/>
    <x v="0"/>
    <x v="0"/>
    <m/>
    <m/>
    <x v="0"/>
    <x v="0"/>
    <x v="0"/>
    <x v="0"/>
    <x v="0"/>
    <x v="0"/>
  </r>
  <r>
    <d v="2026-06-17T00:00:00"/>
    <x v="4"/>
    <d v="2026-06-17T00:00:00"/>
    <x v="1"/>
    <x v="0"/>
    <x v="0"/>
    <x v="0"/>
    <x v="0"/>
    <m/>
    <m/>
    <x v="0"/>
    <x v="0"/>
    <x v="0"/>
    <x v="0"/>
    <x v="0"/>
    <x v="0"/>
  </r>
  <r>
    <d v="2026-06-18T00:00:00"/>
    <x v="5"/>
    <d v="2026-06-18T00:00:00"/>
    <x v="1"/>
    <x v="0"/>
    <x v="0"/>
    <x v="0"/>
    <x v="0"/>
    <m/>
    <m/>
    <x v="0"/>
    <x v="0"/>
    <x v="0"/>
    <x v="0"/>
    <x v="0"/>
    <x v="0"/>
  </r>
  <r>
    <d v="2026-06-19T00:00:00"/>
    <x v="6"/>
    <d v="2026-06-19T00:00:00"/>
    <x v="1"/>
    <x v="0"/>
    <x v="0"/>
    <x v="0"/>
    <x v="0"/>
    <m/>
    <m/>
    <x v="0"/>
    <x v="0"/>
    <x v="0"/>
    <x v="0"/>
    <x v="0"/>
    <x v="0"/>
  </r>
  <r>
    <d v="2026-06-20T00:00:00"/>
    <x v="0"/>
    <d v="2026-06-20T00:00:00"/>
    <x v="0"/>
    <x v="0"/>
    <x v="0"/>
    <x v="0"/>
    <x v="0"/>
    <m/>
    <m/>
    <x v="0"/>
    <x v="0"/>
    <x v="0"/>
    <x v="0"/>
    <x v="0"/>
    <x v="0"/>
  </r>
  <r>
    <d v="2026-06-21T00:00:00"/>
    <x v="1"/>
    <d v="2026-06-21T00:00:00"/>
    <x v="0"/>
    <x v="0"/>
    <x v="0"/>
    <x v="0"/>
    <x v="0"/>
    <m/>
    <m/>
    <x v="0"/>
    <x v="0"/>
    <x v="0"/>
    <x v="0"/>
    <x v="0"/>
    <x v="0"/>
  </r>
  <r>
    <d v="2026-06-22T00:00:00"/>
    <x v="2"/>
    <d v="2026-06-22T00:00:00"/>
    <x v="1"/>
    <x v="0"/>
    <x v="0"/>
    <x v="0"/>
    <x v="0"/>
    <m/>
    <m/>
    <x v="0"/>
    <x v="0"/>
    <x v="0"/>
    <x v="0"/>
    <x v="0"/>
    <x v="0"/>
  </r>
  <r>
    <d v="2026-06-23T00:00:00"/>
    <x v="3"/>
    <d v="2026-06-23T00:00:00"/>
    <x v="1"/>
    <x v="0"/>
    <x v="0"/>
    <x v="0"/>
    <x v="0"/>
    <m/>
    <m/>
    <x v="0"/>
    <x v="0"/>
    <x v="0"/>
    <x v="0"/>
    <x v="0"/>
    <x v="0"/>
  </r>
  <r>
    <d v="2026-06-24T00:00:00"/>
    <x v="4"/>
    <d v="2026-06-24T00:00:00"/>
    <x v="1"/>
    <x v="0"/>
    <x v="0"/>
    <x v="0"/>
    <x v="0"/>
    <m/>
    <m/>
    <x v="0"/>
    <x v="0"/>
    <x v="0"/>
    <x v="0"/>
    <x v="0"/>
    <x v="0"/>
  </r>
  <r>
    <d v="2026-06-25T00:00:00"/>
    <x v="5"/>
    <d v="2026-06-25T00:00:00"/>
    <x v="1"/>
    <x v="0"/>
    <x v="0"/>
    <x v="0"/>
    <x v="0"/>
    <m/>
    <m/>
    <x v="0"/>
    <x v="0"/>
    <x v="0"/>
    <x v="0"/>
    <x v="0"/>
    <x v="0"/>
  </r>
  <r>
    <d v="2026-06-26T00:00:00"/>
    <x v="6"/>
    <d v="2026-06-26T00:00:00"/>
    <x v="1"/>
    <x v="0"/>
    <x v="0"/>
    <x v="0"/>
    <x v="0"/>
    <m/>
    <m/>
    <x v="0"/>
    <x v="0"/>
    <x v="0"/>
    <x v="0"/>
    <x v="0"/>
    <x v="0"/>
  </r>
  <r>
    <d v="2026-06-27T00:00:00"/>
    <x v="0"/>
    <d v="2026-06-27T00:00:00"/>
    <x v="0"/>
    <x v="0"/>
    <x v="0"/>
    <x v="0"/>
    <x v="0"/>
    <m/>
    <m/>
    <x v="0"/>
    <x v="0"/>
    <x v="0"/>
    <x v="0"/>
    <x v="0"/>
    <x v="0"/>
  </r>
  <r>
    <d v="2026-06-28T00:00:00"/>
    <x v="1"/>
    <d v="2026-06-28T00:00:00"/>
    <x v="0"/>
    <x v="0"/>
    <x v="0"/>
    <x v="0"/>
    <x v="0"/>
    <m/>
    <m/>
    <x v="0"/>
    <x v="0"/>
    <x v="0"/>
    <x v="0"/>
    <x v="0"/>
    <x v="0"/>
  </r>
  <r>
    <d v="2026-06-29T00:00:00"/>
    <x v="2"/>
    <d v="2026-06-29T00:00:00"/>
    <x v="1"/>
    <x v="0"/>
    <x v="0"/>
    <x v="0"/>
    <x v="0"/>
    <m/>
    <m/>
    <x v="0"/>
    <x v="0"/>
    <x v="0"/>
    <x v="0"/>
    <x v="0"/>
    <x v="0"/>
  </r>
  <r>
    <d v="2026-06-30T00:00:00"/>
    <x v="3"/>
    <d v="2026-06-30T00:00:00"/>
    <x v="1"/>
    <x v="0"/>
    <x v="0"/>
    <x v="0"/>
    <x v="0"/>
    <m/>
    <m/>
    <x v="0"/>
    <x v="0"/>
    <x v="0"/>
    <x v="0"/>
    <x v="0"/>
    <x v="0"/>
  </r>
  <r>
    <d v="2026-07-01T00:00:00"/>
    <x v="4"/>
    <d v="2026-07-01T00:00:00"/>
    <x v="1"/>
    <x v="0"/>
    <x v="0"/>
    <x v="0"/>
    <x v="0"/>
    <m/>
    <m/>
    <x v="0"/>
    <x v="0"/>
    <x v="0"/>
    <x v="0"/>
    <x v="0"/>
    <x v="0"/>
  </r>
  <r>
    <d v="2026-07-02T00:00:00"/>
    <x v="5"/>
    <d v="2026-07-02T00:00:00"/>
    <x v="1"/>
    <x v="0"/>
    <x v="0"/>
    <x v="0"/>
    <x v="0"/>
    <m/>
    <m/>
    <x v="0"/>
    <x v="0"/>
    <x v="0"/>
    <x v="0"/>
    <x v="0"/>
    <x v="0"/>
  </r>
  <r>
    <d v="2026-07-03T00:00:00"/>
    <x v="6"/>
    <d v="2026-07-03T00:00:00"/>
    <x v="1"/>
    <x v="0"/>
    <x v="0"/>
    <x v="0"/>
    <x v="0"/>
    <m/>
    <m/>
    <x v="0"/>
    <x v="0"/>
    <x v="0"/>
    <x v="0"/>
    <x v="0"/>
    <x v="0"/>
  </r>
  <r>
    <d v="2026-07-04T00:00:00"/>
    <x v="0"/>
    <d v="2026-07-04T00:00:00"/>
    <x v="0"/>
    <x v="0"/>
    <x v="0"/>
    <x v="0"/>
    <x v="0"/>
    <m/>
    <m/>
    <x v="0"/>
    <x v="0"/>
    <x v="0"/>
    <x v="0"/>
    <x v="0"/>
    <x v="0"/>
  </r>
  <r>
    <d v="2026-07-05T00:00:00"/>
    <x v="1"/>
    <d v="2026-07-05T00:00:00"/>
    <x v="0"/>
    <x v="0"/>
    <x v="0"/>
    <x v="0"/>
    <x v="0"/>
    <m/>
    <m/>
    <x v="0"/>
    <x v="0"/>
    <x v="0"/>
    <x v="0"/>
    <x v="0"/>
    <x v="0"/>
  </r>
  <r>
    <d v="2026-07-06T00:00:00"/>
    <x v="2"/>
    <d v="2026-07-06T00:00:00"/>
    <x v="1"/>
    <x v="0"/>
    <x v="0"/>
    <x v="0"/>
    <x v="0"/>
    <m/>
    <m/>
    <x v="0"/>
    <x v="0"/>
    <x v="0"/>
    <x v="0"/>
    <x v="0"/>
    <x v="0"/>
  </r>
  <r>
    <d v="2026-07-07T00:00:00"/>
    <x v="3"/>
    <d v="2026-07-07T00:00:00"/>
    <x v="1"/>
    <x v="0"/>
    <x v="0"/>
    <x v="0"/>
    <x v="0"/>
    <m/>
    <m/>
    <x v="0"/>
    <x v="0"/>
    <x v="0"/>
    <x v="0"/>
    <x v="0"/>
    <x v="0"/>
  </r>
  <r>
    <d v="2026-07-08T00:00:00"/>
    <x v="4"/>
    <d v="2026-07-08T00:00:00"/>
    <x v="1"/>
    <x v="0"/>
    <x v="0"/>
    <x v="0"/>
    <x v="0"/>
    <m/>
    <m/>
    <x v="0"/>
    <x v="0"/>
    <x v="0"/>
    <x v="0"/>
    <x v="0"/>
    <x v="0"/>
  </r>
  <r>
    <d v="2026-07-09T00:00:00"/>
    <x v="5"/>
    <d v="2026-07-09T00:00:00"/>
    <x v="1"/>
    <x v="0"/>
    <x v="0"/>
    <x v="0"/>
    <x v="0"/>
    <m/>
    <m/>
    <x v="0"/>
    <x v="0"/>
    <x v="0"/>
    <x v="0"/>
    <x v="0"/>
    <x v="0"/>
  </r>
  <r>
    <d v="2026-07-10T00:00:00"/>
    <x v="6"/>
    <d v="2026-07-10T00:00:00"/>
    <x v="1"/>
    <x v="0"/>
    <x v="0"/>
    <x v="0"/>
    <x v="0"/>
    <m/>
    <m/>
    <x v="0"/>
    <x v="0"/>
    <x v="0"/>
    <x v="0"/>
    <x v="0"/>
    <x v="0"/>
  </r>
  <r>
    <d v="2026-07-11T00:00:00"/>
    <x v="0"/>
    <d v="2026-07-11T00:00:00"/>
    <x v="0"/>
    <x v="0"/>
    <x v="0"/>
    <x v="0"/>
    <x v="0"/>
    <m/>
    <m/>
    <x v="0"/>
    <x v="0"/>
    <x v="0"/>
    <x v="0"/>
    <x v="0"/>
    <x v="0"/>
  </r>
  <r>
    <d v="2026-07-12T00:00:00"/>
    <x v="1"/>
    <d v="2026-07-12T00:00:00"/>
    <x v="0"/>
    <x v="0"/>
    <x v="0"/>
    <x v="0"/>
    <x v="0"/>
    <m/>
    <m/>
    <x v="0"/>
    <x v="0"/>
    <x v="0"/>
    <x v="0"/>
    <x v="0"/>
    <x v="0"/>
  </r>
  <r>
    <d v="2026-07-13T00:00:00"/>
    <x v="2"/>
    <d v="2026-07-13T00:00:00"/>
    <x v="1"/>
    <x v="0"/>
    <x v="0"/>
    <x v="0"/>
    <x v="0"/>
    <m/>
    <m/>
    <x v="0"/>
    <x v="0"/>
    <x v="0"/>
    <x v="0"/>
    <x v="0"/>
    <x v="0"/>
  </r>
  <r>
    <d v="2026-07-14T00:00:00"/>
    <x v="3"/>
    <d v="2026-07-14T00:00:00"/>
    <x v="1"/>
    <x v="0"/>
    <x v="0"/>
    <x v="0"/>
    <x v="0"/>
    <m/>
    <m/>
    <x v="0"/>
    <x v="0"/>
    <x v="0"/>
    <x v="0"/>
    <x v="0"/>
    <x v="0"/>
  </r>
  <r>
    <d v="2026-07-15T00:00:00"/>
    <x v="4"/>
    <d v="2026-07-15T00:00:00"/>
    <x v="1"/>
    <x v="0"/>
    <x v="0"/>
    <x v="0"/>
    <x v="0"/>
    <m/>
    <m/>
    <x v="0"/>
    <x v="0"/>
    <x v="0"/>
    <x v="0"/>
    <x v="0"/>
    <x v="0"/>
  </r>
  <r>
    <d v="2026-07-16T00:00:00"/>
    <x v="5"/>
    <d v="2026-07-16T00:00:00"/>
    <x v="1"/>
    <x v="0"/>
    <x v="0"/>
    <x v="0"/>
    <x v="0"/>
    <m/>
    <m/>
    <x v="0"/>
    <x v="0"/>
    <x v="0"/>
    <x v="0"/>
    <x v="0"/>
    <x v="0"/>
  </r>
  <r>
    <d v="2026-07-17T00:00:00"/>
    <x v="6"/>
    <d v="2026-07-17T00:00:00"/>
    <x v="1"/>
    <x v="0"/>
    <x v="0"/>
    <x v="0"/>
    <x v="0"/>
    <m/>
    <m/>
    <x v="0"/>
    <x v="0"/>
    <x v="0"/>
    <x v="0"/>
    <x v="0"/>
    <x v="0"/>
  </r>
  <r>
    <d v="2026-07-18T00:00:00"/>
    <x v="0"/>
    <d v="2026-07-18T00:00:00"/>
    <x v="0"/>
    <x v="0"/>
    <x v="0"/>
    <x v="0"/>
    <x v="0"/>
    <m/>
    <m/>
    <x v="0"/>
    <x v="0"/>
    <x v="0"/>
    <x v="0"/>
    <x v="0"/>
    <x v="0"/>
  </r>
  <r>
    <d v="2026-07-19T00:00:00"/>
    <x v="1"/>
    <d v="2026-07-19T00:00:00"/>
    <x v="0"/>
    <x v="0"/>
    <x v="0"/>
    <x v="0"/>
    <x v="0"/>
    <m/>
    <m/>
    <x v="0"/>
    <x v="0"/>
    <x v="0"/>
    <x v="0"/>
    <x v="0"/>
    <x v="0"/>
  </r>
  <r>
    <d v="2026-07-20T00:00:00"/>
    <x v="2"/>
    <d v="2026-07-20T00:00:00"/>
    <x v="1"/>
    <x v="0"/>
    <x v="0"/>
    <x v="0"/>
    <x v="0"/>
    <m/>
    <m/>
    <x v="0"/>
    <x v="0"/>
    <x v="0"/>
    <x v="0"/>
    <x v="0"/>
    <x v="0"/>
  </r>
  <r>
    <d v="2026-07-21T00:00:00"/>
    <x v="3"/>
    <d v="2026-07-21T00:00:00"/>
    <x v="1"/>
    <x v="0"/>
    <x v="0"/>
    <x v="0"/>
    <x v="0"/>
    <m/>
    <m/>
    <x v="0"/>
    <x v="0"/>
    <x v="0"/>
    <x v="0"/>
    <x v="0"/>
    <x v="0"/>
  </r>
  <r>
    <d v="2026-07-22T00:00:00"/>
    <x v="4"/>
    <d v="2026-07-22T00:00:00"/>
    <x v="1"/>
    <x v="0"/>
    <x v="0"/>
    <x v="0"/>
    <x v="0"/>
    <m/>
    <m/>
    <x v="0"/>
    <x v="0"/>
    <x v="0"/>
    <x v="0"/>
    <x v="0"/>
    <x v="0"/>
  </r>
  <r>
    <d v="2026-07-23T00:00:00"/>
    <x v="5"/>
    <d v="2026-07-23T00:00:00"/>
    <x v="1"/>
    <x v="0"/>
    <x v="0"/>
    <x v="0"/>
    <x v="0"/>
    <m/>
    <m/>
    <x v="0"/>
    <x v="0"/>
    <x v="0"/>
    <x v="0"/>
    <x v="0"/>
    <x v="0"/>
  </r>
  <r>
    <d v="2026-07-24T00:00:00"/>
    <x v="6"/>
    <d v="2026-07-24T00:00:00"/>
    <x v="1"/>
    <x v="0"/>
    <x v="0"/>
    <x v="0"/>
    <x v="0"/>
    <m/>
    <m/>
    <x v="0"/>
    <x v="0"/>
    <x v="0"/>
    <x v="0"/>
    <x v="0"/>
    <x v="0"/>
  </r>
  <r>
    <d v="2026-07-25T00:00:00"/>
    <x v="0"/>
    <d v="2026-07-25T00:00:00"/>
    <x v="0"/>
    <x v="0"/>
    <x v="0"/>
    <x v="0"/>
    <x v="0"/>
    <m/>
    <m/>
    <x v="0"/>
    <x v="0"/>
    <x v="0"/>
    <x v="0"/>
    <x v="0"/>
    <x v="0"/>
  </r>
  <r>
    <d v="2026-07-26T00:00:00"/>
    <x v="1"/>
    <d v="2026-07-26T00:00:00"/>
    <x v="0"/>
    <x v="0"/>
    <x v="0"/>
    <x v="0"/>
    <x v="0"/>
    <m/>
    <m/>
    <x v="0"/>
    <x v="0"/>
    <x v="0"/>
    <x v="0"/>
    <x v="0"/>
    <x v="0"/>
  </r>
  <r>
    <d v="2026-07-27T00:00:00"/>
    <x v="2"/>
    <d v="2026-07-27T00:00:00"/>
    <x v="1"/>
    <x v="0"/>
    <x v="0"/>
    <x v="0"/>
    <x v="0"/>
    <m/>
    <m/>
    <x v="0"/>
    <x v="0"/>
    <x v="0"/>
    <x v="0"/>
    <x v="0"/>
    <x v="0"/>
  </r>
  <r>
    <d v="2026-07-28T00:00:00"/>
    <x v="3"/>
    <d v="2026-07-28T00:00:00"/>
    <x v="1"/>
    <x v="0"/>
    <x v="0"/>
    <x v="0"/>
    <x v="0"/>
    <m/>
    <m/>
    <x v="0"/>
    <x v="0"/>
    <x v="0"/>
    <x v="0"/>
    <x v="0"/>
    <x v="0"/>
  </r>
  <r>
    <d v="2026-07-29T00:00:00"/>
    <x v="4"/>
    <d v="2026-07-29T00:00:00"/>
    <x v="1"/>
    <x v="0"/>
    <x v="0"/>
    <x v="0"/>
    <x v="0"/>
    <m/>
    <m/>
    <x v="0"/>
    <x v="0"/>
    <x v="0"/>
    <x v="0"/>
    <x v="0"/>
    <x v="0"/>
  </r>
  <r>
    <d v="2026-07-30T00:00:00"/>
    <x v="5"/>
    <d v="2026-07-30T00:00:00"/>
    <x v="1"/>
    <x v="0"/>
    <x v="0"/>
    <x v="0"/>
    <x v="0"/>
    <m/>
    <m/>
    <x v="0"/>
    <x v="0"/>
    <x v="0"/>
    <x v="0"/>
    <x v="0"/>
    <x v="0"/>
  </r>
  <r>
    <d v="2026-07-31T00:00:00"/>
    <x v="6"/>
    <d v="2026-07-31T00:00:00"/>
    <x v="1"/>
    <x v="0"/>
    <x v="0"/>
    <x v="0"/>
    <x v="0"/>
    <m/>
    <m/>
    <x v="0"/>
    <x v="0"/>
    <x v="0"/>
    <x v="0"/>
    <x v="0"/>
    <x v="0"/>
  </r>
  <r>
    <d v="2026-08-01T00:00:00"/>
    <x v="0"/>
    <d v="2026-08-01T00:00:00"/>
    <x v="0"/>
    <x v="0"/>
    <x v="0"/>
    <x v="0"/>
    <x v="0"/>
    <m/>
    <m/>
    <x v="0"/>
    <x v="0"/>
    <x v="0"/>
    <x v="0"/>
    <x v="0"/>
    <x v="0"/>
  </r>
  <r>
    <d v="2026-08-02T00:00:00"/>
    <x v="1"/>
    <d v="2026-08-02T00:00:00"/>
    <x v="0"/>
    <x v="0"/>
    <x v="0"/>
    <x v="0"/>
    <x v="0"/>
    <m/>
    <m/>
    <x v="0"/>
    <x v="0"/>
    <x v="0"/>
    <x v="0"/>
    <x v="0"/>
    <x v="0"/>
  </r>
  <r>
    <d v="2026-08-03T00:00:00"/>
    <x v="2"/>
    <d v="2026-08-03T00:00:00"/>
    <x v="1"/>
    <x v="0"/>
    <x v="0"/>
    <x v="0"/>
    <x v="0"/>
    <m/>
    <m/>
    <x v="0"/>
    <x v="0"/>
    <x v="0"/>
    <x v="0"/>
    <x v="0"/>
    <x v="0"/>
  </r>
  <r>
    <d v="2026-08-04T00:00:00"/>
    <x v="3"/>
    <d v="2026-08-04T00:00:00"/>
    <x v="1"/>
    <x v="0"/>
    <x v="0"/>
    <x v="0"/>
    <x v="0"/>
    <m/>
    <m/>
    <x v="0"/>
    <x v="0"/>
    <x v="0"/>
    <x v="0"/>
    <x v="0"/>
    <x v="0"/>
  </r>
  <r>
    <d v="2026-08-05T00:00:00"/>
    <x v="4"/>
    <d v="2026-08-05T00:00:00"/>
    <x v="1"/>
    <x v="0"/>
    <x v="0"/>
    <x v="0"/>
    <x v="0"/>
    <m/>
    <m/>
    <x v="0"/>
    <x v="0"/>
    <x v="0"/>
    <x v="0"/>
    <x v="0"/>
    <x v="0"/>
  </r>
  <r>
    <d v="2026-08-06T00:00:00"/>
    <x v="5"/>
    <d v="2026-08-06T00:00:00"/>
    <x v="1"/>
    <x v="0"/>
    <x v="0"/>
    <x v="0"/>
    <x v="0"/>
    <m/>
    <m/>
    <x v="0"/>
    <x v="0"/>
    <x v="0"/>
    <x v="0"/>
    <x v="0"/>
    <x v="0"/>
  </r>
  <r>
    <d v="2026-08-07T00:00:00"/>
    <x v="6"/>
    <d v="2026-08-07T00:00:00"/>
    <x v="1"/>
    <x v="0"/>
    <x v="0"/>
    <x v="0"/>
    <x v="0"/>
    <m/>
    <m/>
    <x v="0"/>
    <x v="0"/>
    <x v="0"/>
    <x v="0"/>
    <x v="0"/>
    <x v="0"/>
  </r>
  <r>
    <d v="2026-08-08T00:00:00"/>
    <x v="0"/>
    <d v="2026-08-08T00:00:00"/>
    <x v="0"/>
    <x v="0"/>
    <x v="0"/>
    <x v="0"/>
    <x v="0"/>
    <m/>
    <m/>
    <x v="0"/>
    <x v="0"/>
    <x v="0"/>
    <x v="0"/>
    <x v="0"/>
    <x v="0"/>
  </r>
  <r>
    <d v="2026-08-09T00:00:00"/>
    <x v="1"/>
    <d v="2026-08-09T00:00:00"/>
    <x v="0"/>
    <x v="0"/>
    <x v="0"/>
    <x v="0"/>
    <x v="0"/>
    <m/>
    <m/>
    <x v="0"/>
    <x v="0"/>
    <x v="0"/>
    <x v="0"/>
    <x v="0"/>
    <x v="0"/>
  </r>
  <r>
    <d v="2026-08-10T00:00:00"/>
    <x v="2"/>
    <d v="2026-08-10T00:00:00"/>
    <x v="1"/>
    <x v="0"/>
    <x v="0"/>
    <x v="0"/>
    <x v="0"/>
    <m/>
    <m/>
    <x v="0"/>
    <x v="0"/>
    <x v="0"/>
    <x v="0"/>
    <x v="0"/>
    <x v="0"/>
  </r>
  <r>
    <d v="2026-08-11T00:00:00"/>
    <x v="3"/>
    <d v="2026-08-11T00:00:00"/>
    <x v="1"/>
    <x v="0"/>
    <x v="0"/>
    <x v="0"/>
    <x v="0"/>
    <m/>
    <m/>
    <x v="0"/>
    <x v="0"/>
    <x v="0"/>
    <x v="0"/>
    <x v="0"/>
    <x v="0"/>
  </r>
  <r>
    <d v="2026-08-12T00:00:00"/>
    <x v="4"/>
    <d v="2026-08-12T00:00:00"/>
    <x v="1"/>
    <x v="0"/>
    <x v="0"/>
    <x v="0"/>
    <x v="0"/>
    <m/>
    <m/>
    <x v="0"/>
    <x v="0"/>
    <x v="0"/>
    <x v="0"/>
    <x v="0"/>
    <x v="0"/>
  </r>
  <r>
    <d v="2026-08-13T00:00:00"/>
    <x v="5"/>
    <d v="2026-08-13T00:00:00"/>
    <x v="1"/>
    <x v="0"/>
    <x v="0"/>
    <x v="0"/>
    <x v="0"/>
    <m/>
    <m/>
    <x v="0"/>
    <x v="0"/>
    <x v="0"/>
    <x v="0"/>
    <x v="0"/>
    <x v="0"/>
  </r>
  <r>
    <d v="2026-08-14T00:00:00"/>
    <x v="6"/>
    <d v="2026-08-14T00:00:00"/>
    <x v="1"/>
    <x v="0"/>
    <x v="0"/>
    <x v="0"/>
    <x v="0"/>
    <m/>
    <m/>
    <x v="0"/>
    <x v="0"/>
    <x v="0"/>
    <x v="0"/>
    <x v="0"/>
    <x v="0"/>
  </r>
  <r>
    <d v="2026-08-15T00:00:00"/>
    <x v="0"/>
    <d v="2026-08-15T00:00:00"/>
    <x v="0"/>
    <x v="0"/>
    <x v="0"/>
    <x v="0"/>
    <x v="0"/>
    <m/>
    <m/>
    <x v="0"/>
    <x v="0"/>
    <x v="0"/>
    <x v="0"/>
    <x v="0"/>
    <x v="0"/>
  </r>
  <r>
    <d v="2026-08-16T00:00:00"/>
    <x v="1"/>
    <d v="2026-08-16T00:00:00"/>
    <x v="0"/>
    <x v="0"/>
    <x v="0"/>
    <x v="0"/>
    <x v="0"/>
    <m/>
    <m/>
    <x v="0"/>
    <x v="0"/>
    <x v="0"/>
    <x v="0"/>
    <x v="0"/>
    <x v="0"/>
  </r>
  <r>
    <d v="2026-08-17T00:00:00"/>
    <x v="2"/>
    <d v="2026-08-17T00:00:00"/>
    <x v="1"/>
    <x v="0"/>
    <x v="0"/>
    <x v="0"/>
    <x v="0"/>
    <m/>
    <m/>
    <x v="0"/>
    <x v="0"/>
    <x v="0"/>
    <x v="0"/>
    <x v="0"/>
    <x v="0"/>
  </r>
  <r>
    <d v="2026-08-18T00:00:00"/>
    <x v="3"/>
    <d v="2026-08-18T00:00:00"/>
    <x v="1"/>
    <x v="0"/>
    <x v="0"/>
    <x v="0"/>
    <x v="0"/>
    <m/>
    <m/>
    <x v="0"/>
    <x v="0"/>
    <x v="0"/>
    <x v="0"/>
    <x v="0"/>
    <x v="0"/>
  </r>
  <r>
    <d v="2026-08-19T00:00:00"/>
    <x v="4"/>
    <d v="2026-08-19T00:00:00"/>
    <x v="1"/>
    <x v="0"/>
    <x v="0"/>
    <x v="0"/>
    <x v="0"/>
    <m/>
    <m/>
    <x v="0"/>
    <x v="0"/>
    <x v="0"/>
    <x v="0"/>
    <x v="0"/>
    <x v="0"/>
  </r>
  <r>
    <d v="2026-08-20T00:00:00"/>
    <x v="5"/>
    <d v="2026-08-20T00:00:00"/>
    <x v="1"/>
    <x v="0"/>
    <x v="0"/>
    <x v="0"/>
    <x v="0"/>
    <m/>
    <m/>
    <x v="0"/>
    <x v="0"/>
    <x v="0"/>
    <x v="0"/>
    <x v="0"/>
    <x v="0"/>
  </r>
  <r>
    <d v="2026-08-21T00:00:00"/>
    <x v="6"/>
    <d v="2026-08-21T00:00:00"/>
    <x v="1"/>
    <x v="0"/>
    <x v="0"/>
    <x v="0"/>
    <x v="0"/>
    <m/>
    <m/>
    <x v="0"/>
    <x v="0"/>
    <x v="0"/>
    <x v="0"/>
    <x v="0"/>
    <x v="0"/>
  </r>
  <r>
    <d v="2026-08-22T00:00:00"/>
    <x v="0"/>
    <d v="2026-08-22T00:00:00"/>
    <x v="0"/>
    <x v="0"/>
    <x v="0"/>
    <x v="0"/>
    <x v="0"/>
    <m/>
    <m/>
    <x v="0"/>
    <x v="0"/>
    <x v="0"/>
    <x v="0"/>
    <x v="0"/>
    <x v="0"/>
  </r>
  <r>
    <d v="2026-08-23T00:00:00"/>
    <x v="1"/>
    <d v="2026-08-23T00:00:00"/>
    <x v="0"/>
    <x v="0"/>
    <x v="0"/>
    <x v="0"/>
    <x v="0"/>
    <m/>
    <m/>
    <x v="0"/>
    <x v="0"/>
    <x v="0"/>
    <x v="0"/>
    <x v="0"/>
    <x v="0"/>
  </r>
  <r>
    <d v="2026-08-24T00:00:00"/>
    <x v="2"/>
    <d v="2026-08-24T00:00:00"/>
    <x v="1"/>
    <x v="0"/>
    <x v="0"/>
    <x v="0"/>
    <x v="0"/>
    <m/>
    <m/>
    <x v="0"/>
    <x v="0"/>
    <x v="0"/>
    <x v="0"/>
    <x v="0"/>
    <x v="0"/>
  </r>
  <r>
    <d v="2026-08-25T00:00:00"/>
    <x v="3"/>
    <d v="2026-08-25T00:00:00"/>
    <x v="1"/>
    <x v="0"/>
    <x v="0"/>
    <x v="0"/>
    <x v="0"/>
    <m/>
    <m/>
    <x v="0"/>
    <x v="0"/>
    <x v="0"/>
    <x v="0"/>
    <x v="0"/>
    <x v="0"/>
  </r>
  <r>
    <d v="2026-08-26T00:00:00"/>
    <x v="4"/>
    <d v="2026-08-26T00:00:00"/>
    <x v="1"/>
    <x v="0"/>
    <x v="0"/>
    <x v="0"/>
    <x v="0"/>
    <m/>
    <m/>
    <x v="0"/>
    <x v="0"/>
    <x v="0"/>
    <x v="0"/>
    <x v="0"/>
    <x v="0"/>
  </r>
  <r>
    <d v="2026-08-27T00:00:00"/>
    <x v="5"/>
    <d v="2026-08-27T00:00:00"/>
    <x v="1"/>
    <x v="0"/>
    <x v="0"/>
    <x v="0"/>
    <x v="0"/>
    <m/>
    <m/>
    <x v="0"/>
    <x v="0"/>
    <x v="0"/>
    <x v="0"/>
    <x v="0"/>
    <x v="0"/>
  </r>
  <r>
    <d v="2026-08-28T00:00:00"/>
    <x v="6"/>
    <d v="2026-08-28T00:00:00"/>
    <x v="1"/>
    <x v="0"/>
    <x v="0"/>
    <x v="0"/>
    <x v="0"/>
    <m/>
    <m/>
    <x v="0"/>
    <x v="0"/>
    <x v="0"/>
    <x v="0"/>
    <x v="0"/>
    <x v="0"/>
  </r>
  <r>
    <d v="2026-08-29T00:00:00"/>
    <x v="0"/>
    <d v="2026-08-29T00:00:00"/>
    <x v="0"/>
    <x v="0"/>
    <x v="0"/>
    <x v="0"/>
    <x v="0"/>
    <m/>
    <m/>
    <x v="0"/>
    <x v="0"/>
    <x v="0"/>
    <x v="0"/>
    <x v="0"/>
    <x v="0"/>
  </r>
  <r>
    <d v="2026-08-30T00:00:00"/>
    <x v="1"/>
    <d v="2026-08-30T00:00:00"/>
    <x v="0"/>
    <x v="0"/>
    <x v="0"/>
    <x v="0"/>
    <x v="0"/>
    <m/>
    <m/>
    <x v="0"/>
    <x v="0"/>
    <x v="0"/>
    <x v="0"/>
    <x v="0"/>
    <x v="0"/>
  </r>
  <r>
    <d v="2026-08-31T00:00:00"/>
    <x v="2"/>
    <d v="2026-08-31T00:00:00"/>
    <x v="1"/>
    <x v="0"/>
    <x v="0"/>
    <x v="0"/>
    <x v="0"/>
    <m/>
    <m/>
    <x v="0"/>
    <x v="0"/>
    <x v="0"/>
    <x v="0"/>
    <x v="0"/>
    <x v="0"/>
  </r>
  <r>
    <d v="2026-09-01T00:00:00"/>
    <x v="3"/>
    <d v="2026-09-01T00:00:00"/>
    <x v="1"/>
    <x v="0"/>
    <x v="0"/>
    <x v="0"/>
    <x v="0"/>
    <m/>
    <m/>
    <x v="0"/>
    <x v="0"/>
    <x v="0"/>
    <x v="0"/>
    <x v="0"/>
    <x v="0"/>
  </r>
  <r>
    <d v="2026-09-02T00:00:00"/>
    <x v="4"/>
    <d v="2026-09-02T00:00:00"/>
    <x v="1"/>
    <x v="0"/>
    <x v="0"/>
    <x v="0"/>
    <x v="0"/>
    <m/>
    <m/>
    <x v="0"/>
    <x v="0"/>
    <x v="0"/>
    <x v="0"/>
    <x v="0"/>
    <x v="0"/>
  </r>
  <r>
    <d v="2026-09-03T00:00:00"/>
    <x v="5"/>
    <d v="2026-09-03T00:00:00"/>
    <x v="1"/>
    <x v="0"/>
    <x v="0"/>
    <x v="0"/>
    <x v="0"/>
    <m/>
    <m/>
    <x v="0"/>
    <x v="0"/>
    <x v="0"/>
    <x v="0"/>
    <x v="0"/>
    <x v="0"/>
  </r>
  <r>
    <d v="2026-09-04T00:00:00"/>
    <x v="6"/>
    <d v="2026-09-04T00:00:00"/>
    <x v="1"/>
    <x v="0"/>
    <x v="0"/>
    <x v="0"/>
    <x v="0"/>
    <m/>
    <m/>
    <x v="0"/>
    <x v="0"/>
    <x v="0"/>
    <x v="0"/>
    <x v="0"/>
    <x v="0"/>
  </r>
  <r>
    <d v="2026-09-05T00:00:00"/>
    <x v="0"/>
    <d v="2026-09-05T00:00:00"/>
    <x v="0"/>
    <x v="0"/>
    <x v="0"/>
    <x v="0"/>
    <x v="0"/>
    <m/>
    <m/>
    <x v="0"/>
    <x v="0"/>
    <x v="0"/>
    <x v="0"/>
    <x v="0"/>
    <x v="0"/>
  </r>
  <r>
    <d v="2026-09-06T00:00:00"/>
    <x v="1"/>
    <d v="2026-09-06T00:00:00"/>
    <x v="0"/>
    <x v="0"/>
    <x v="0"/>
    <x v="0"/>
    <x v="0"/>
    <m/>
    <m/>
    <x v="0"/>
    <x v="0"/>
    <x v="0"/>
    <x v="0"/>
    <x v="0"/>
    <x v="0"/>
  </r>
  <r>
    <d v="2026-09-07T00:00:00"/>
    <x v="2"/>
    <d v="2026-09-07T00:00:00"/>
    <x v="1"/>
    <x v="0"/>
    <x v="0"/>
    <x v="0"/>
    <x v="0"/>
    <m/>
    <m/>
    <x v="0"/>
    <x v="0"/>
    <x v="0"/>
    <x v="0"/>
    <x v="0"/>
    <x v="0"/>
  </r>
  <r>
    <d v="2026-09-08T00:00:00"/>
    <x v="3"/>
    <d v="2026-09-08T00:00:00"/>
    <x v="1"/>
    <x v="0"/>
    <x v="0"/>
    <x v="0"/>
    <x v="0"/>
    <m/>
    <m/>
    <x v="0"/>
    <x v="0"/>
    <x v="0"/>
    <x v="0"/>
    <x v="0"/>
    <x v="0"/>
  </r>
  <r>
    <d v="2026-09-09T00:00:00"/>
    <x v="4"/>
    <d v="2026-09-09T00:00:00"/>
    <x v="1"/>
    <x v="0"/>
    <x v="0"/>
    <x v="0"/>
    <x v="0"/>
    <m/>
    <m/>
    <x v="0"/>
    <x v="0"/>
    <x v="0"/>
    <x v="0"/>
    <x v="0"/>
    <x v="0"/>
  </r>
  <r>
    <d v="2026-09-10T00:00:00"/>
    <x v="5"/>
    <d v="2026-09-10T00:00:00"/>
    <x v="1"/>
    <x v="0"/>
    <x v="0"/>
    <x v="0"/>
    <x v="0"/>
    <m/>
    <m/>
    <x v="0"/>
    <x v="0"/>
    <x v="0"/>
    <x v="0"/>
    <x v="0"/>
    <x v="0"/>
  </r>
  <r>
    <d v="2026-09-11T00:00:00"/>
    <x v="6"/>
    <d v="2026-09-11T00:00:00"/>
    <x v="1"/>
    <x v="0"/>
    <x v="0"/>
    <x v="0"/>
    <x v="0"/>
    <m/>
    <m/>
    <x v="0"/>
    <x v="0"/>
    <x v="0"/>
    <x v="0"/>
    <x v="0"/>
    <x v="0"/>
  </r>
  <r>
    <d v="2026-09-12T00:00:00"/>
    <x v="0"/>
    <d v="2026-09-12T00:00:00"/>
    <x v="0"/>
    <x v="0"/>
    <x v="0"/>
    <x v="0"/>
    <x v="0"/>
    <m/>
    <m/>
    <x v="0"/>
    <x v="0"/>
    <x v="0"/>
    <x v="0"/>
    <x v="0"/>
    <x v="0"/>
  </r>
  <r>
    <d v="2026-09-13T00:00:00"/>
    <x v="1"/>
    <d v="2026-09-13T00:00:00"/>
    <x v="0"/>
    <x v="0"/>
    <x v="0"/>
    <x v="0"/>
    <x v="0"/>
    <m/>
    <m/>
    <x v="0"/>
    <x v="0"/>
    <x v="0"/>
    <x v="0"/>
    <x v="0"/>
    <x v="0"/>
  </r>
  <r>
    <d v="2026-09-14T00:00:00"/>
    <x v="2"/>
    <d v="2026-09-14T00:00:00"/>
    <x v="1"/>
    <x v="0"/>
    <x v="0"/>
    <x v="0"/>
    <x v="0"/>
    <m/>
    <m/>
    <x v="0"/>
    <x v="0"/>
    <x v="0"/>
    <x v="0"/>
    <x v="0"/>
    <x v="0"/>
  </r>
  <r>
    <d v="2026-09-15T00:00:00"/>
    <x v="3"/>
    <d v="2026-09-15T00:00:00"/>
    <x v="1"/>
    <x v="0"/>
    <x v="0"/>
    <x v="0"/>
    <x v="0"/>
    <m/>
    <m/>
    <x v="0"/>
    <x v="0"/>
    <x v="0"/>
    <x v="0"/>
    <x v="0"/>
    <x v="0"/>
  </r>
  <r>
    <d v="2026-09-16T00:00:00"/>
    <x v="4"/>
    <d v="2026-09-16T00:00:00"/>
    <x v="1"/>
    <x v="0"/>
    <x v="0"/>
    <x v="0"/>
    <x v="0"/>
    <m/>
    <m/>
    <x v="0"/>
    <x v="0"/>
    <x v="0"/>
    <x v="0"/>
    <x v="0"/>
    <x v="0"/>
  </r>
  <r>
    <d v="2026-09-17T00:00:00"/>
    <x v="5"/>
    <d v="2026-09-17T00:00:00"/>
    <x v="1"/>
    <x v="0"/>
    <x v="0"/>
    <x v="0"/>
    <x v="0"/>
    <m/>
    <m/>
    <x v="0"/>
    <x v="0"/>
    <x v="0"/>
    <x v="0"/>
    <x v="0"/>
    <x v="0"/>
  </r>
  <r>
    <d v="2026-09-18T00:00:00"/>
    <x v="6"/>
    <d v="2026-09-18T00:00:00"/>
    <x v="1"/>
    <x v="0"/>
    <x v="0"/>
    <x v="0"/>
    <x v="0"/>
    <m/>
    <m/>
    <x v="0"/>
    <x v="0"/>
    <x v="0"/>
    <x v="0"/>
    <x v="0"/>
    <x v="0"/>
  </r>
  <r>
    <d v="2026-09-19T00:00:00"/>
    <x v="0"/>
    <d v="2026-09-19T00:00:00"/>
    <x v="0"/>
    <x v="0"/>
    <x v="0"/>
    <x v="0"/>
    <x v="0"/>
    <m/>
    <m/>
    <x v="0"/>
    <x v="0"/>
    <x v="0"/>
    <x v="0"/>
    <x v="0"/>
    <x v="0"/>
  </r>
  <r>
    <d v="2026-09-20T00:00:00"/>
    <x v="1"/>
    <d v="2026-09-20T00:00:00"/>
    <x v="0"/>
    <x v="0"/>
    <x v="0"/>
    <x v="0"/>
    <x v="0"/>
    <m/>
    <m/>
    <x v="0"/>
    <x v="0"/>
    <x v="0"/>
    <x v="0"/>
    <x v="0"/>
    <x v="0"/>
  </r>
  <r>
    <d v="2026-09-21T00:00:00"/>
    <x v="2"/>
    <d v="2026-09-21T00:00:00"/>
    <x v="1"/>
    <x v="0"/>
    <x v="0"/>
    <x v="0"/>
    <x v="0"/>
    <m/>
    <m/>
    <x v="0"/>
    <x v="0"/>
    <x v="0"/>
    <x v="0"/>
    <x v="0"/>
    <x v="0"/>
  </r>
  <r>
    <d v="2026-09-22T00:00:00"/>
    <x v="3"/>
    <d v="2026-09-22T00:00:00"/>
    <x v="1"/>
    <x v="0"/>
    <x v="0"/>
    <x v="0"/>
    <x v="0"/>
    <m/>
    <m/>
    <x v="0"/>
    <x v="0"/>
    <x v="0"/>
    <x v="0"/>
    <x v="0"/>
    <x v="0"/>
  </r>
  <r>
    <d v="2026-09-23T00:00:00"/>
    <x v="4"/>
    <d v="2026-09-23T00:00:00"/>
    <x v="1"/>
    <x v="0"/>
    <x v="0"/>
    <x v="0"/>
    <x v="0"/>
    <m/>
    <m/>
    <x v="0"/>
    <x v="0"/>
    <x v="0"/>
    <x v="0"/>
    <x v="0"/>
    <x v="0"/>
  </r>
  <r>
    <d v="2026-09-24T00:00:00"/>
    <x v="5"/>
    <d v="2026-09-24T00:00:00"/>
    <x v="1"/>
    <x v="0"/>
    <x v="0"/>
    <x v="0"/>
    <x v="0"/>
    <m/>
    <m/>
    <x v="0"/>
    <x v="0"/>
    <x v="0"/>
    <x v="0"/>
    <x v="0"/>
    <x v="0"/>
  </r>
  <r>
    <d v="2026-09-25T00:00:00"/>
    <x v="6"/>
    <d v="2026-09-25T00:00:00"/>
    <x v="1"/>
    <x v="0"/>
    <x v="0"/>
    <x v="0"/>
    <x v="0"/>
    <m/>
    <m/>
    <x v="0"/>
    <x v="0"/>
    <x v="0"/>
    <x v="0"/>
    <x v="0"/>
    <x v="0"/>
  </r>
  <r>
    <d v="2026-09-26T00:00:00"/>
    <x v="0"/>
    <d v="2026-09-26T00:00:00"/>
    <x v="0"/>
    <x v="0"/>
    <x v="0"/>
    <x v="0"/>
    <x v="0"/>
    <m/>
    <m/>
    <x v="0"/>
    <x v="0"/>
    <x v="0"/>
    <x v="0"/>
    <x v="0"/>
    <x v="0"/>
  </r>
  <r>
    <d v="2026-09-27T00:00:00"/>
    <x v="1"/>
    <d v="2026-09-27T00:00:00"/>
    <x v="0"/>
    <x v="0"/>
    <x v="0"/>
    <x v="0"/>
    <x v="0"/>
    <m/>
    <m/>
    <x v="0"/>
    <x v="0"/>
    <x v="0"/>
    <x v="0"/>
    <x v="0"/>
    <x v="0"/>
  </r>
  <r>
    <d v="2026-09-28T00:00:00"/>
    <x v="2"/>
    <d v="2026-09-28T00:00:00"/>
    <x v="1"/>
    <x v="0"/>
    <x v="0"/>
    <x v="0"/>
    <x v="0"/>
    <m/>
    <m/>
    <x v="0"/>
    <x v="0"/>
    <x v="0"/>
    <x v="0"/>
    <x v="0"/>
    <x v="0"/>
  </r>
  <r>
    <d v="2026-09-29T00:00:00"/>
    <x v="3"/>
    <d v="2026-09-29T00:00:00"/>
    <x v="1"/>
    <x v="0"/>
    <x v="0"/>
    <x v="0"/>
    <x v="0"/>
    <m/>
    <m/>
    <x v="0"/>
    <x v="0"/>
    <x v="0"/>
    <x v="0"/>
    <x v="0"/>
    <x v="0"/>
  </r>
  <r>
    <d v="2026-09-30T00:00:00"/>
    <x v="4"/>
    <d v="2026-09-30T00:00:00"/>
    <x v="1"/>
    <x v="0"/>
    <x v="0"/>
    <x v="0"/>
    <x v="0"/>
    <m/>
    <m/>
    <x v="0"/>
    <x v="0"/>
    <x v="0"/>
    <x v="0"/>
    <x v="0"/>
    <x v="0"/>
  </r>
  <r>
    <d v="2026-10-01T00:00:00"/>
    <x v="5"/>
    <d v="2026-10-01T00:00:00"/>
    <x v="1"/>
    <x v="0"/>
    <x v="0"/>
    <x v="0"/>
    <x v="0"/>
    <m/>
    <m/>
    <x v="0"/>
    <x v="0"/>
    <x v="0"/>
    <x v="0"/>
    <x v="0"/>
    <x v="0"/>
  </r>
  <r>
    <d v="2026-10-02T00:00:00"/>
    <x v="6"/>
    <d v="2026-10-02T00:00:00"/>
    <x v="1"/>
    <x v="0"/>
    <x v="0"/>
    <x v="0"/>
    <x v="0"/>
    <m/>
    <m/>
    <x v="0"/>
    <x v="0"/>
    <x v="0"/>
    <x v="0"/>
    <x v="0"/>
    <x v="0"/>
  </r>
  <r>
    <d v="2026-10-03T00:00:00"/>
    <x v="0"/>
    <d v="2026-10-03T00:00:00"/>
    <x v="0"/>
    <x v="0"/>
    <x v="0"/>
    <x v="0"/>
    <x v="0"/>
    <m/>
    <m/>
    <x v="0"/>
    <x v="0"/>
    <x v="0"/>
    <x v="0"/>
    <x v="0"/>
    <x v="0"/>
  </r>
  <r>
    <d v="2026-10-04T00:00:00"/>
    <x v="1"/>
    <d v="2026-10-04T00:00:00"/>
    <x v="0"/>
    <x v="0"/>
    <x v="0"/>
    <x v="0"/>
    <x v="0"/>
    <m/>
    <m/>
    <x v="0"/>
    <x v="0"/>
    <x v="0"/>
    <x v="0"/>
    <x v="0"/>
    <x v="0"/>
  </r>
  <r>
    <d v="2026-10-05T00:00:00"/>
    <x v="2"/>
    <d v="2026-10-05T00:00:00"/>
    <x v="1"/>
    <x v="0"/>
    <x v="0"/>
    <x v="0"/>
    <x v="0"/>
    <m/>
    <m/>
    <x v="0"/>
    <x v="0"/>
    <x v="0"/>
    <x v="0"/>
    <x v="0"/>
    <x v="0"/>
  </r>
  <r>
    <d v="2026-10-06T00:00:00"/>
    <x v="3"/>
    <d v="2026-10-06T00:00:00"/>
    <x v="1"/>
    <x v="0"/>
    <x v="0"/>
    <x v="0"/>
    <x v="0"/>
    <m/>
    <m/>
    <x v="0"/>
    <x v="0"/>
    <x v="0"/>
    <x v="0"/>
    <x v="0"/>
    <x v="0"/>
  </r>
  <r>
    <d v="2026-10-07T00:00:00"/>
    <x v="4"/>
    <d v="2026-10-07T00:00:00"/>
    <x v="1"/>
    <x v="0"/>
    <x v="0"/>
    <x v="0"/>
    <x v="0"/>
    <m/>
    <m/>
    <x v="0"/>
    <x v="0"/>
    <x v="0"/>
    <x v="0"/>
    <x v="0"/>
    <x v="0"/>
  </r>
  <r>
    <d v="2026-10-08T00:00:00"/>
    <x v="5"/>
    <d v="2026-10-08T00:00:00"/>
    <x v="1"/>
    <x v="0"/>
    <x v="0"/>
    <x v="0"/>
    <x v="0"/>
    <m/>
    <m/>
    <x v="0"/>
    <x v="0"/>
    <x v="0"/>
    <x v="0"/>
    <x v="0"/>
    <x v="0"/>
  </r>
  <r>
    <d v="2026-10-09T00:00:00"/>
    <x v="6"/>
    <d v="2026-10-09T00:00:00"/>
    <x v="1"/>
    <x v="0"/>
    <x v="0"/>
    <x v="0"/>
    <x v="0"/>
    <m/>
    <m/>
    <x v="0"/>
    <x v="0"/>
    <x v="0"/>
    <x v="0"/>
    <x v="0"/>
    <x v="0"/>
  </r>
  <r>
    <d v="2026-10-10T00:00:00"/>
    <x v="0"/>
    <d v="2026-10-10T00:00:00"/>
    <x v="0"/>
    <x v="0"/>
    <x v="0"/>
    <x v="0"/>
    <x v="0"/>
    <m/>
    <m/>
    <x v="0"/>
    <x v="0"/>
    <x v="0"/>
    <x v="0"/>
    <x v="0"/>
    <x v="0"/>
  </r>
  <r>
    <d v="2026-10-11T00:00:00"/>
    <x v="1"/>
    <d v="2026-10-11T00:00:00"/>
    <x v="0"/>
    <x v="0"/>
    <x v="0"/>
    <x v="0"/>
    <x v="0"/>
    <m/>
    <m/>
    <x v="0"/>
    <x v="0"/>
    <x v="0"/>
    <x v="0"/>
    <x v="0"/>
    <x v="0"/>
  </r>
  <r>
    <d v="2026-10-12T00:00:00"/>
    <x v="2"/>
    <d v="2026-10-12T00:00:00"/>
    <x v="1"/>
    <x v="0"/>
    <x v="0"/>
    <x v="0"/>
    <x v="0"/>
    <m/>
    <m/>
    <x v="0"/>
    <x v="0"/>
    <x v="0"/>
    <x v="0"/>
    <x v="0"/>
    <x v="0"/>
  </r>
  <r>
    <d v="2026-10-13T00:00:00"/>
    <x v="3"/>
    <d v="2026-10-13T00:00:00"/>
    <x v="1"/>
    <x v="0"/>
    <x v="0"/>
    <x v="0"/>
    <x v="0"/>
    <m/>
    <m/>
    <x v="0"/>
    <x v="0"/>
    <x v="0"/>
    <x v="0"/>
    <x v="0"/>
    <x v="0"/>
  </r>
  <r>
    <d v="2026-10-14T00:00:00"/>
    <x v="4"/>
    <d v="2026-10-14T00:00:00"/>
    <x v="1"/>
    <x v="0"/>
    <x v="0"/>
    <x v="0"/>
    <x v="0"/>
    <m/>
    <m/>
    <x v="0"/>
    <x v="0"/>
    <x v="0"/>
    <x v="0"/>
    <x v="0"/>
    <x v="0"/>
  </r>
  <r>
    <d v="2026-10-15T00:00:00"/>
    <x v="5"/>
    <d v="2026-10-15T00:00:00"/>
    <x v="1"/>
    <x v="0"/>
    <x v="0"/>
    <x v="0"/>
    <x v="0"/>
    <m/>
    <m/>
    <x v="0"/>
    <x v="0"/>
    <x v="0"/>
    <x v="0"/>
    <x v="0"/>
    <x v="0"/>
  </r>
  <r>
    <d v="2026-10-16T00:00:00"/>
    <x v="6"/>
    <d v="2026-10-16T00:00:00"/>
    <x v="1"/>
    <x v="0"/>
    <x v="0"/>
    <x v="0"/>
    <x v="0"/>
    <m/>
    <m/>
    <x v="0"/>
    <x v="0"/>
    <x v="0"/>
    <x v="0"/>
    <x v="0"/>
    <x v="0"/>
  </r>
  <r>
    <d v="2026-10-17T00:00:00"/>
    <x v="0"/>
    <d v="2026-10-17T00:00:00"/>
    <x v="0"/>
    <x v="0"/>
    <x v="0"/>
    <x v="0"/>
    <x v="0"/>
    <m/>
    <m/>
    <x v="0"/>
    <x v="0"/>
    <x v="0"/>
    <x v="0"/>
    <x v="0"/>
    <x v="0"/>
  </r>
  <r>
    <d v="2026-10-18T00:00:00"/>
    <x v="1"/>
    <d v="2026-10-18T00:00:00"/>
    <x v="0"/>
    <x v="0"/>
    <x v="0"/>
    <x v="0"/>
    <x v="0"/>
    <m/>
    <m/>
    <x v="0"/>
    <x v="0"/>
    <x v="0"/>
    <x v="0"/>
    <x v="0"/>
    <x v="0"/>
  </r>
  <r>
    <d v="2026-10-19T00:00:00"/>
    <x v="2"/>
    <d v="2026-10-19T00:00:00"/>
    <x v="1"/>
    <x v="0"/>
    <x v="0"/>
    <x v="0"/>
    <x v="0"/>
    <m/>
    <m/>
    <x v="0"/>
    <x v="0"/>
    <x v="0"/>
    <x v="0"/>
    <x v="0"/>
    <x v="0"/>
  </r>
  <r>
    <d v="2026-10-20T00:00:00"/>
    <x v="3"/>
    <d v="2026-10-20T00:00:00"/>
    <x v="1"/>
    <x v="0"/>
    <x v="0"/>
    <x v="0"/>
    <x v="0"/>
    <m/>
    <m/>
    <x v="0"/>
    <x v="0"/>
    <x v="0"/>
    <x v="0"/>
    <x v="0"/>
    <x v="0"/>
  </r>
  <r>
    <d v="2026-10-21T00:00:00"/>
    <x v="4"/>
    <d v="2026-10-21T00:00:00"/>
    <x v="1"/>
    <x v="0"/>
    <x v="0"/>
    <x v="0"/>
    <x v="0"/>
    <m/>
    <m/>
    <x v="0"/>
    <x v="0"/>
    <x v="0"/>
    <x v="0"/>
    <x v="0"/>
    <x v="0"/>
  </r>
  <r>
    <d v="2026-10-22T00:00:00"/>
    <x v="5"/>
    <d v="2026-10-22T00:00:00"/>
    <x v="1"/>
    <x v="0"/>
    <x v="0"/>
    <x v="0"/>
    <x v="0"/>
    <m/>
    <m/>
    <x v="0"/>
    <x v="0"/>
    <x v="0"/>
    <x v="0"/>
    <x v="0"/>
    <x v="0"/>
  </r>
  <r>
    <d v="2026-10-23T00:00:00"/>
    <x v="6"/>
    <d v="2026-10-23T00:00:00"/>
    <x v="1"/>
    <x v="0"/>
    <x v="0"/>
    <x v="0"/>
    <x v="0"/>
    <m/>
    <m/>
    <x v="0"/>
    <x v="0"/>
    <x v="0"/>
    <x v="0"/>
    <x v="0"/>
    <x v="0"/>
  </r>
  <r>
    <d v="2026-10-24T00:00:00"/>
    <x v="0"/>
    <d v="2026-10-24T00:00:00"/>
    <x v="0"/>
    <x v="0"/>
    <x v="0"/>
    <x v="0"/>
    <x v="0"/>
    <m/>
    <m/>
    <x v="0"/>
    <x v="0"/>
    <x v="0"/>
    <x v="0"/>
    <x v="0"/>
    <x v="0"/>
  </r>
  <r>
    <d v="2026-10-25T00:00:00"/>
    <x v="1"/>
    <d v="2026-10-25T00:00:00"/>
    <x v="0"/>
    <x v="0"/>
    <x v="0"/>
    <x v="0"/>
    <x v="0"/>
    <m/>
    <m/>
    <x v="0"/>
    <x v="0"/>
    <x v="0"/>
    <x v="0"/>
    <x v="0"/>
    <x v="0"/>
  </r>
  <r>
    <d v="2026-10-26T00:00:00"/>
    <x v="2"/>
    <d v="2026-10-26T00:00:00"/>
    <x v="1"/>
    <x v="0"/>
    <x v="0"/>
    <x v="0"/>
    <x v="0"/>
    <m/>
    <m/>
    <x v="0"/>
    <x v="0"/>
    <x v="0"/>
    <x v="0"/>
    <x v="0"/>
    <x v="0"/>
  </r>
  <r>
    <d v="2026-10-27T00:00:00"/>
    <x v="3"/>
    <d v="2026-10-27T00:00:00"/>
    <x v="1"/>
    <x v="0"/>
    <x v="0"/>
    <x v="0"/>
    <x v="0"/>
    <m/>
    <m/>
    <x v="0"/>
    <x v="0"/>
    <x v="0"/>
    <x v="0"/>
    <x v="0"/>
    <x v="0"/>
  </r>
  <r>
    <d v="2026-10-28T00:00:00"/>
    <x v="4"/>
    <d v="2026-10-28T00:00:00"/>
    <x v="1"/>
    <x v="0"/>
    <x v="0"/>
    <x v="0"/>
    <x v="0"/>
    <m/>
    <m/>
    <x v="0"/>
    <x v="0"/>
    <x v="0"/>
    <x v="0"/>
    <x v="0"/>
    <x v="0"/>
  </r>
  <r>
    <d v="2026-10-29T00:00:00"/>
    <x v="5"/>
    <d v="2026-10-29T00:00:00"/>
    <x v="1"/>
    <x v="0"/>
    <x v="0"/>
    <x v="0"/>
    <x v="0"/>
    <m/>
    <m/>
    <x v="0"/>
    <x v="0"/>
    <x v="0"/>
    <x v="0"/>
    <x v="0"/>
    <x v="0"/>
  </r>
  <r>
    <d v="2026-10-30T00:00:00"/>
    <x v="6"/>
    <d v="2026-10-30T00:00:00"/>
    <x v="1"/>
    <x v="0"/>
    <x v="0"/>
    <x v="0"/>
    <x v="0"/>
    <m/>
    <m/>
    <x v="0"/>
    <x v="0"/>
    <x v="0"/>
    <x v="0"/>
    <x v="0"/>
    <x v="0"/>
  </r>
  <r>
    <d v="2026-10-31T00:00:00"/>
    <x v="0"/>
    <d v="2026-10-31T00:00:00"/>
    <x v="0"/>
    <x v="0"/>
    <x v="0"/>
    <x v="0"/>
    <x v="0"/>
    <m/>
    <m/>
    <x v="0"/>
    <x v="0"/>
    <x v="0"/>
    <x v="0"/>
    <x v="0"/>
    <x v="0"/>
  </r>
  <r>
    <d v="2026-11-01T00:00:00"/>
    <x v="1"/>
    <d v="2026-11-01T00:00:00"/>
    <x v="0"/>
    <x v="0"/>
    <x v="0"/>
    <x v="0"/>
    <x v="0"/>
    <m/>
    <m/>
    <x v="0"/>
    <x v="0"/>
    <x v="0"/>
    <x v="0"/>
    <x v="0"/>
    <x v="0"/>
  </r>
  <r>
    <d v="2026-11-02T00:00:00"/>
    <x v="2"/>
    <d v="2026-11-02T00:00:00"/>
    <x v="1"/>
    <x v="0"/>
    <x v="0"/>
    <x v="0"/>
    <x v="0"/>
    <m/>
    <m/>
    <x v="0"/>
    <x v="0"/>
    <x v="0"/>
    <x v="0"/>
    <x v="0"/>
    <x v="0"/>
  </r>
  <r>
    <d v="2026-11-03T00:00:00"/>
    <x v="3"/>
    <d v="2026-11-03T00:00:00"/>
    <x v="1"/>
    <x v="0"/>
    <x v="0"/>
    <x v="0"/>
    <x v="0"/>
    <m/>
    <m/>
    <x v="0"/>
    <x v="0"/>
    <x v="0"/>
    <x v="0"/>
    <x v="0"/>
    <x v="0"/>
  </r>
  <r>
    <d v="2026-11-04T00:00:00"/>
    <x v="4"/>
    <d v="2026-11-04T00:00:00"/>
    <x v="1"/>
    <x v="0"/>
    <x v="0"/>
    <x v="0"/>
    <x v="0"/>
    <m/>
    <m/>
    <x v="0"/>
    <x v="0"/>
    <x v="0"/>
    <x v="0"/>
    <x v="0"/>
    <x v="0"/>
  </r>
  <r>
    <d v="2026-11-05T00:00:00"/>
    <x v="5"/>
    <d v="2026-11-05T00:00:00"/>
    <x v="1"/>
    <x v="0"/>
    <x v="0"/>
    <x v="0"/>
    <x v="0"/>
    <m/>
    <m/>
    <x v="0"/>
    <x v="0"/>
    <x v="0"/>
    <x v="0"/>
    <x v="0"/>
    <x v="0"/>
  </r>
  <r>
    <d v="2026-11-06T00:00:00"/>
    <x v="6"/>
    <d v="2026-11-06T00:00:00"/>
    <x v="1"/>
    <x v="0"/>
    <x v="0"/>
    <x v="0"/>
    <x v="0"/>
    <m/>
    <m/>
    <x v="0"/>
    <x v="0"/>
    <x v="0"/>
    <x v="0"/>
    <x v="0"/>
    <x v="0"/>
  </r>
  <r>
    <d v="2026-11-07T00:00:00"/>
    <x v="0"/>
    <d v="2026-11-07T00:00:00"/>
    <x v="0"/>
    <x v="0"/>
    <x v="0"/>
    <x v="0"/>
    <x v="0"/>
    <m/>
    <m/>
    <x v="0"/>
    <x v="0"/>
    <x v="0"/>
    <x v="0"/>
    <x v="0"/>
    <x v="0"/>
  </r>
  <r>
    <d v="2026-11-08T00:00:00"/>
    <x v="1"/>
    <d v="2026-11-08T00:00:00"/>
    <x v="0"/>
    <x v="0"/>
    <x v="0"/>
    <x v="0"/>
    <x v="0"/>
    <m/>
    <m/>
    <x v="0"/>
    <x v="0"/>
    <x v="0"/>
    <x v="0"/>
    <x v="0"/>
    <x v="0"/>
  </r>
  <r>
    <d v="2026-11-09T00:00:00"/>
    <x v="2"/>
    <d v="2026-11-09T00:00:00"/>
    <x v="1"/>
    <x v="0"/>
    <x v="0"/>
    <x v="0"/>
    <x v="0"/>
    <m/>
    <m/>
    <x v="0"/>
    <x v="0"/>
    <x v="0"/>
    <x v="0"/>
    <x v="0"/>
    <x v="0"/>
  </r>
  <r>
    <d v="2026-11-10T00:00:00"/>
    <x v="3"/>
    <d v="2026-11-10T00:00:00"/>
    <x v="1"/>
    <x v="0"/>
    <x v="0"/>
    <x v="0"/>
    <x v="0"/>
    <m/>
    <m/>
    <x v="0"/>
    <x v="0"/>
    <x v="0"/>
    <x v="0"/>
    <x v="0"/>
    <x v="0"/>
  </r>
  <r>
    <d v="2026-11-11T00:00:00"/>
    <x v="4"/>
    <d v="2026-11-11T00:00:00"/>
    <x v="1"/>
    <x v="0"/>
    <x v="0"/>
    <x v="0"/>
    <x v="0"/>
    <m/>
    <m/>
    <x v="0"/>
    <x v="0"/>
    <x v="0"/>
    <x v="0"/>
    <x v="0"/>
    <x v="0"/>
  </r>
  <r>
    <d v="2026-11-12T00:00:00"/>
    <x v="5"/>
    <d v="2026-11-12T00:00:00"/>
    <x v="1"/>
    <x v="0"/>
    <x v="0"/>
    <x v="0"/>
    <x v="0"/>
    <m/>
    <m/>
    <x v="0"/>
    <x v="0"/>
    <x v="0"/>
    <x v="0"/>
    <x v="0"/>
    <x v="0"/>
  </r>
  <r>
    <d v="2026-11-13T00:00:00"/>
    <x v="6"/>
    <d v="2026-11-13T00:00:00"/>
    <x v="1"/>
    <x v="0"/>
    <x v="0"/>
    <x v="0"/>
    <x v="0"/>
    <m/>
    <m/>
    <x v="0"/>
    <x v="0"/>
    <x v="0"/>
    <x v="0"/>
    <x v="0"/>
    <x v="0"/>
  </r>
  <r>
    <d v="2026-11-14T00:00:00"/>
    <x v="0"/>
    <d v="2026-11-14T00:00:00"/>
    <x v="0"/>
    <x v="0"/>
    <x v="0"/>
    <x v="0"/>
    <x v="0"/>
    <m/>
    <m/>
    <x v="0"/>
    <x v="0"/>
    <x v="0"/>
    <x v="0"/>
    <x v="0"/>
    <x v="0"/>
  </r>
  <r>
    <d v="2026-11-15T00:00:00"/>
    <x v="1"/>
    <d v="2026-11-15T00:00:00"/>
    <x v="0"/>
    <x v="0"/>
    <x v="0"/>
    <x v="0"/>
    <x v="0"/>
    <m/>
    <m/>
    <x v="0"/>
    <x v="0"/>
    <x v="0"/>
    <x v="0"/>
    <x v="0"/>
    <x v="0"/>
  </r>
  <r>
    <d v="2026-11-16T00:00:00"/>
    <x v="2"/>
    <d v="2026-11-16T00:00:00"/>
    <x v="1"/>
    <x v="0"/>
    <x v="0"/>
    <x v="0"/>
    <x v="0"/>
    <m/>
    <m/>
    <x v="0"/>
    <x v="0"/>
    <x v="0"/>
    <x v="0"/>
    <x v="0"/>
    <x v="0"/>
  </r>
  <r>
    <d v="2026-11-17T00:00:00"/>
    <x v="3"/>
    <d v="2026-11-17T00:00:00"/>
    <x v="1"/>
    <x v="0"/>
    <x v="0"/>
    <x v="0"/>
    <x v="0"/>
    <m/>
    <m/>
    <x v="0"/>
    <x v="0"/>
    <x v="0"/>
    <x v="0"/>
    <x v="0"/>
    <x v="0"/>
  </r>
  <r>
    <d v="2026-11-18T00:00:00"/>
    <x v="4"/>
    <d v="2026-11-18T00:00:00"/>
    <x v="1"/>
    <x v="0"/>
    <x v="0"/>
    <x v="0"/>
    <x v="0"/>
    <m/>
    <m/>
    <x v="0"/>
    <x v="0"/>
    <x v="0"/>
    <x v="0"/>
    <x v="0"/>
    <x v="0"/>
  </r>
  <r>
    <d v="2026-11-19T00:00:00"/>
    <x v="5"/>
    <d v="2026-11-19T00:00:00"/>
    <x v="1"/>
    <x v="0"/>
    <x v="0"/>
    <x v="0"/>
    <x v="0"/>
    <m/>
    <m/>
    <x v="0"/>
    <x v="0"/>
    <x v="0"/>
    <x v="0"/>
    <x v="0"/>
    <x v="0"/>
  </r>
  <r>
    <d v="2026-11-20T00:00:00"/>
    <x v="6"/>
    <d v="2026-11-20T00:00:00"/>
    <x v="1"/>
    <x v="0"/>
    <x v="0"/>
    <x v="0"/>
    <x v="0"/>
    <m/>
    <m/>
    <x v="0"/>
    <x v="0"/>
    <x v="0"/>
    <x v="0"/>
    <x v="0"/>
    <x v="0"/>
  </r>
  <r>
    <d v="2026-11-21T00:00:00"/>
    <x v="0"/>
    <d v="2026-11-21T00:00:00"/>
    <x v="0"/>
    <x v="0"/>
    <x v="0"/>
    <x v="0"/>
    <x v="0"/>
    <m/>
    <m/>
    <x v="0"/>
    <x v="0"/>
    <x v="0"/>
    <x v="0"/>
    <x v="0"/>
    <x v="0"/>
  </r>
  <r>
    <d v="2026-11-22T00:00:00"/>
    <x v="1"/>
    <d v="2026-11-22T00:00:00"/>
    <x v="0"/>
    <x v="0"/>
    <x v="0"/>
    <x v="0"/>
    <x v="0"/>
    <m/>
    <m/>
    <x v="0"/>
    <x v="0"/>
    <x v="0"/>
    <x v="0"/>
    <x v="0"/>
    <x v="0"/>
  </r>
  <r>
    <d v="2026-11-23T00:00:00"/>
    <x v="2"/>
    <d v="2026-11-23T00:00:00"/>
    <x v="1"/>
    <x v="0"/>
    <x v="0"/>
    <x v="0"/>
    <x v="0"/>
    <m/>
    <m/>
    <x v="0"/>
    <x v="0"/>
    <x v="0"/>
    <x v="0"/>
    <x v="0"/>
    <x v="0"/>
  </r>
  <r>
    <d v="2026-11-24T00:00:00"/>
    <x v="3"/>
    <d v="2026-11-24T00:00:00"/>
    <x v="1"/>
    <x v="0"/>
    <x v="0"/>
    <x v="0"/>
    <x v="0"/>
    <m/>
    <m/>
    <x v="0"/>
    <x v="0"/>
    <x v="0"/>
    <x v="0"/>
    <x v="0"/>
    <x v="0"/>
  </r>
  <r>
    <d v="2026-11-25T00:00:00"/>
    <x v="4"/>
    <d v="2026-11-25T00:00:00"/>
    <x v="1"/>
    <x v="0"/>
    <x v="0"/>
    <x v="0"/>
    <x v="0"/>
    <m/>
    <m/>
    <x v="0"/>
    <x v="0"/>
    <x v="0"/>
    <x v="0"/>
    <x v="0"/>
    <x v="0"/>
  </r>
  <r>
    <d v="2026-11-26T00:00:00"/>
    <x v="5"/>
    <d v="2026-11-26T00:00:00"/>
    <x v="1"/>
    <x v="0"/>
    <x v="0"/>
    <x v="0"/>
    <x v="0"/>
    <m/>
    <m/>
    <x v="0"/>
    <x v="0"/>
    <x v="0"/>
    <x v="0"/>
    <x v="0"/>
    <x v="0"/>
  </r>
  <r>
    <d v="2026-11-27T00:00:00"/>
    <x v="6"/>
    <d v="2026-11-27T00:00:00"/>
    <x v="1"/>
    <x v="0"/>
    <x v="0"/>
    <x v="0"/>
    <x v="0"/>
    <m/>
    <m/>
    <x v="0"/>
    <x v="0"/>
    <x v="0"/>
    <x v="0"/>
    <x v="0"/>
    <x v="0"/>
  </r>
  <r>
    <d v="2026-11-28T00:00:00"/>
    <x v="0"/>
    <d v="2026-11-28T00:00:00"/>
    <x v="0"/>
    <x v="0"/>
    <x v="0"/>
    <x v="0"/>
    <x v="0"/>
    <m/>
    <m/>
    <x v="0"/>
    <x v="0"/>
    <x v="0"/>
    <x v="0"/>
    <x v="0"/>
    <x v="0"/>
  </r>
  <r>
    <d v="2026-11-29T00:00:00"/>
    <x v="1"/>
    <d v="2026-11-29T00:00:00"/>
    <x v="0"/>
    <x v="0"/>
    <x v="0"/>
    <x v="0"/>
    <x v="0"/>
    <m/>
    <m/>
    <x v="0"/>
    <x v="0"/>
    <x v="0"/>
    <x v="0"/>
    <x v="0"/>
    <x v="0"/>
  </r>
  <r>
    <d v="2026-11-30T00:00:00"/>
    <x v="2"/>
    <d v="2026-11-30T00:00:00"/>
    <x v="1"/>
    <x v="0"/>
    <x v="0"/>
    <x v="0"/>
    <x v="0"/>
    <m/>
    <m/>
    <x v="0"/>
    <x v="0"/>
    <x v="0"/>
    <x v="0"/>
    <x v="0"/>
    <x v="0"/>
  </r>
  <r>
    <d v="2026-12-01T00:00:00"/>
    <x v="3"/>
    <d v="2026-12-01T00:00:00"/>
    <x v="1"/>
    <x v="0"/>
    <x v="0"/>
    <x v="0"/>
    <x v="0"/>
    <m/>
    <m/>
    <x v="0"/>
    <x v="0"/>
    <x v="0"/>
    <x v="0"/>
    <x v="0"/>
    <x v="0"/>
  </r>
  <r>
    <d v="2026-12-02T00:00:00"/>
    <x v="4"/>
    <d v="2026-12-02T00:00:00"/>
    <x v="1"/>
    <x v="0"/>
    <x v="0"/>
    <x v="0"/>
    <x v="0"/>
    <m/>
    <m/>
    <x v="0"/>
    <x v="0"/>
    <x v="0"/>
    <x v="0"/>
    <x v="0"/>
    <x v="0"/>
  </r>
  <r>
    <d v="2026-12-03T00:00:00"/>
    <x v="5"/>
    <d v="2026-12-03T00:00:00"/>
    <x v="1"/>
    <x v="0"/>
    <x v="0"/>
    <x v="0"/>
    <x v="0"/>
    <m/>
    <m/>
    <x v="0"/>
    <x v="0"/>
    <x v="0"/>
    <x v="0"/>
    <x v="0"/>
    <x v="0"/>
  </r>
  <r>
    <d v="2026-12-04T00:00:00"/>
    <x v="6"/>
    <d v="2026-12-04T00:00:00"/>
    <x v="1"/>
    <x v="0"/>
    <x v="0"/>
    <x v="0"/>
    <x v="0"/>
    <m/>
    <m/>
    <x v="0"/>
    <x v="0"/>
    <x v="0"/>
    <x v="0"/>
    <x v="0"/>
    <x v="0"/>
  </r>
  <r>
    <d v="2026-12-05T00:00:00"/>
    <x v="0"/>
    <d v="2026-12-05T00:00:00"/>
    <x v="0"/>
    <x v="0"/>
    <x v="0"/>
    <x v="0"/>
    <x v="0"/>
    <m/>
    <m/>
    <x v="0"/>
    <x v="0"/>
    <x v="0"/>
    <x v="0"/>
    <x v="0"/>
    <x v="0"/>
  </r>
  <r>
    <d v="2026-12-06T00:00:00"/>
    <x v="1"/>
    <d v="2026-12-06T00:00:00"/>
    <x v="0"/>
    <x v="0"/>
    <x v="0"/>
    <x v="0"/>
    <x v="0"/>
    <m/>
    <m/>
    <x v="0"/>
    <x v="0"/>
    <x v="0"/>
    <x v="0"/>
    <x v="0"/>
    <x v="0"/>
  </r>
  <r>
    <d v="2026-12-07T00:00:00"/>
    <x v="2"/>
    <d v="2026-12-07T00:00:00"/>
    <x v="1"/>
    <x v="0"/>
    <x v="0"/>
    <x v="0"/>
    <x v="0"/>
    <m/>
    <m/>
    <x v="0"/>
    <x v="0"/>
    <x v="0"/>
    <x v="0"/>
    <x v="0"/>
    <x v="0"/>
  </r>
  <r>
    <d v="2026-12-08T00:00:00"/>
    <x v="3"/>
    <d v="2026-12-08T00:00:00"/>
    <x v="1"/>
    <x v="0"/>
    <x v="0"/>
    <x v="0"/>
    <x v="0"/>
    <m/>
    <m/>
    <x v="0"/>
    <x v="0"/>
    <x v="0"/>
    <x v="0"/>
    <x v="0"/>
    <x v="0"/>
  </r>
  <r>
    <d v="2026-12-09T00:00:00"/>
    <x v="4"/>
    <d v="2026-12-09T00:00:00"/>
    <x v="1"/>
    <x v="0"/>
    <x v="0"/>
    <x v="0"/>
    <x v="0"/>
    <m/>
    <m/>
    <x v="0"/>
    <x v="0"/>
    <x v="0"/>
    <x v="0"/>
    <x v="0"/>
    <x v="0"/>
  </r>
  <r>
    <d v="2026-12-10T00:00:00"/>
    <x v="5"/>
    <d v="2026-12-10T00:00:00"/>
    <x v="1"/>
    <x v="0"/>
    <x v="0"/>
    <x v="0"/>
    <x v="0"/>
    <m/>
    <m/>
    <x v="0"/>
    <x v="0"/>
    <x v="0"/>
    <x v="0"/>
    <x v="0"/>
    <x v="0"/>
  </r>
  <r>
    <d v="2026-12-11T00:00:00"/>
    <x v="6"/>
    <d v="2026-12-11T00:00:00"/>
    <x v="1"/>
    <x v="0"/>
    <x v="0"/>
    <x v="0"/>
    <x v="0"/>
    <m/>
    <m/>
    <x v="0"/>
    <x v="0"/>
    <x v="0"/>
    <x v="0"/>
    <x v="0"/>
    <x v="0"/>
  </r>
  <r>
    <d v="2026-12-12T00:00:00"/>
    <x v="0"/>
    <d v="2026-12-12T00:00:00"/>
    <x v="0"/>
    <x v="0"/>
    <x v="0"/>
    <x v="0"/>
    <x v="0"/>
    <m/>
    <m/>
    <x v="0"/>
    <x v="0"/>
    <x v="0"/>
    <x v="0"/>
    <x v="0"/>
    <x v="0"/>
  </r>
  <r>
    <d v="2026-12-13T00:00:00"/>
    <x v="1"/>
    <d v="2026-12-13T00:00:00"/>
    <x v="0"/>
    <x v="0"/>
    <x v="0"/>
    <x v="0"/>
    <x v="0"/>
    <m/>
    <m/>
    <x v="0"/>
    <x v="0"/>
    <x v="0"/>
    <x v="0"/>
    <x v="0"/>
    <x v="0"/>
  </r>
  <r>
    <d v="2026-12-14T00:00:00"/>
    <x v="2"/>
    <d v="2026-12-14T00:00:00"/>
    <x v="1"/>
    <x v="0"/>
    <x v="0"/>
    <x v="0"/>
    <x v="0"/>
    <m/>
    <m/>
    <x v="0"/>
    <x v="0"/>
    <x v="0"/>
    <x v="0"/>
    <x v="0"/>
    <x v="0"/>
  </r>
  <r>
    <d v="2026-12-15T00:00:00"/>
    <x v="3"/>
    <d v="2026-12-15T00:00:00"/>
    <x v="1"/>
    <x v="0"/>
    <x v="0"/>
    <x v="0"/>
    <x v="0"/>
    <m/>
    <m/>
    <x v="0"/>
    <x v="0"/>
    <x v="0"/>
    <x v="0"/>
    <x v="0"/>
    <x v="0"/>
  </r>
  <r>
    <d v="2026-12-16T00:00:00"/>
    <x v="4"/>
    <d v="2026-12-16T00:00:00"/>
    <x v="1"/>
    <x v="0"/>
    <x v="0"/>
    <x v="0"/>
    <x v="0"/>
    <m/>
    <m/>
    <x v="0"/>
    <x v="0"/>
    <x v="0"/>
    <x v="0"/>
    <x v="0"/>
    <x v="0"/>
  </r>
  <r>
    <d v="2026-12-17T00:00:00"/>
    <x v="5"/>
    <d v="2026-12-17T00:00:00"/>
    <x v="1"/>
    <x v="0"/>
    <x v="0"/>
    <x v="0"/>
    <x v="0"/>
    <m/>
    <m/>
    <x v="0"/>
    <x v="0"/>
    <x v="0"/>
    <x v="0"/>
    <x v="0"/>
    <x v="0"/>
  </r>
  <r>
    <d v="2026-12-18T00:00:00"/>
    <x v="6"/>
    <d v="2026-12-18T00:00:00"/>
    <x v="1"/>
    <x v="0"/>
    <x v="0"/>
    <x v="0"/>
    <x v="0"/>
    <m/>
    <m/>
    <x v="0"/>
    <x v="0"/>
    <x v="0"/>
    <x v="0"/>
    <x v="0"/>
    <x v="0"/>
  </r>
  <r>
    <d v="2026-12-19T00:00:00"/>
    <x v="0"/>
    <d v="2026-12-19T00:00:00"/>
    <x v="0"/>
    <x v="0"/>
    <x v="0"/>
    <x v="0"/>
    <x v="0"/>
    <m/>
    <m/>
    <x v="0"/>
    <x v="0"/>
    <x v="0"/>
    <x v="0"/>
    <x v="0"/>
    <x v="0"/>
  </r>
  <r>
    <d v="2026-12-20T00:00:00"/>
    <x v="1"/>
    <d v="2026-12-20T00:00:00"/>
    <x v="0"/>
    <x v="0"/>
    <x v="0"/>
    <x v="0"/>
    <x v="0"/>
    <m/>
    <m/>
    <x v="0"/>
    <x v="0"/>
    <x v="0"/>
    <x v="0"/>
    <x v="0"/>
    <x v="0"/>
  </r>
  <r>
    <d v="2026-12-21T00:00:00"/>
    <x v="2"/>
    <d v="2026-12-21T00:00:00"/>
    <x v="1"/>
    <x v="0"/>
    <x v="0"/>
    <x v="0"/>
    <x v="0"/>
    <m/>
    <m/>
    <x v="0"/>
    <x v="0"/>
    <x v="0"/>
    <x v="0"/>
    <x v="0"/>
    <x v="0"/>
  </r>
  <r>
    <d v="2026-12-22T00:00:00"/>
    <x v="3"/>
    <d v="2026-12-22T00:00:00"/>
    <x v="1"/>
    <x v="0"/>
    <x v="0"/>
    <x v="0"/>
    <x v="0"/>
    <m/>
    <m/>
    <x v="0"/>
    <x v="0"/>
    <x v="0"/>
    <x v="0"/>
    <x v="0"/>
    <x v="0"/>
  </r>
  <r>
    <d v="2026-12-23T00:00:00"/>
    <x v="4"/>
    <d v="2026-12-23T00:00:00"/>
    <x v="1"/>
    <x v="0"/>
    <x v="0"/>
    <x v="0"/>
    <x v="0"/>
    <m/>
    <m/>
    <x v="0"/>
    <x v="0"/>
    <x v="0"/>
    <x v="0"/>
    <x v="0"/>
    <x v="0"/>
  </r>
  <r>
    <d v="2026-12-24T00:00:00"/>
    <x v="5"/>
    <d v="2026-12-24T00:00:00"/>
    <x v="1"/>
    <x v="0"/>
    <x v="0"/>
    <x v="0"/>
    <x v="0"/>
    <m/>
    <m/>
    <x v="0"/>
    <x v="0"/>
    <x v="0"/>
    <x v="0"/>
    <x v="0"/>
    <x v="0"/>
  </r>
  <r>
    <d v="2026-12-25T00:00:00"/>
    <x v="6"/>
    <d v="2026-12-25T00:00:00"/>
    <x v="1"/>
    <x v="0"/>
    <x v="0"/>
    <x v="0"/>
    <x v="0"/>
    <m/>
    <m/>
    <x v="0"/>
    <x v="0"/>
    <x v="0"/>
    <x v="0"/>
    <x v="0"/>
    <x v="0"/>
  </r>
  <r>
    <d v="2026-12-26T00:00:00"/>
    <x v="0"/>
    <d v="2026-12-26T00:00:00"/>
    <x v="0"/>
    <x v="0"/>
    <x v="0"/>
    <x v="0"/>
    <x v="0"/>
    <m/>
    <m/>
    <x v="0"/>
    <x v="0"/>
    <x v="0"/>
    <x v="0"/>
    <x v="0"/>
    <x v="0"/>
  </r>
  <r>
    <d v="2026-12-27T00:00:00"/>
    <x v="1"/>
    <d v="2026-12-27T00:00:00"/>
    <x v="0"/>
    <x v="0"/>
    <x v="0"/>
    <x v="0"/>
    <x v="0"/>
    <m/>
    <m/>
    <x v="0"/>
    <x v="0"/>
    <x v="0"/>
    <x v="0"/>
    <x v="0"/>
    <x v="0"/>
  </r>
  <r>
    <d v="2026-12-28T00:00:00"/>
    <x v="2"/>
    <d v="2026-12-28T00:00:00"/>
    <x v="1"/>
    <x v="0"/>
    <x v="0"/>
    <x v="0"/>
    <x v="0"/>
    <m/>
    <m/>
    <x v="0"/>
    <x v="0"/>
    <x v="0"/>
    <x v="0"/>
    <x v="0"/>
    <x v="0"/>
  </r>
  <r>
    <d v="2026-12-29T00:00:00"/>
    <x v="3"/>
    <d v="2026-12-29T00:00:00"/>
    <x v="1"/>
    <x v="0"/>
    <x v="0"/>
    <x v="0"/>
    <x v="0"/>
    <m/>
    <m/>
    <x v="0"/>
    <x v="0"/>
    <x v="0"/>
    <x v="0"/>
    <x v="0"/>
    <x v="0"/>
  </r>
  <r>
    <d v="2026-12-30T00:00:00"/>
    <x v="4"/>
    <d v="2026-12-30T00:00:00"/>
    <x v="1"/>
    <x v="0"/>
    <x v="0"/>
    <x v="0"/>
    <x v="0"/>
    <m/>
    <m/>
    <x v="0"/>
    <x v="0"/>
    <x v="0"/>
    <x v="0"/>
    <x v="0"/>
    <x v="0"/>
  </r>
  <r>
    <d v="2026-12-31T00:00:00"/>
    <x v="5"/>
    <d v="2026-12-31T00:00:00"/>
    <x v="1"/>
    <x v="0"/>
    <x v="0"/>
    <x v="0"/>
    <x v="0"/>
    <m/>
    <m/>
    <x v="0"/>
    <x v="0"/>
    <x v="0"/>
    <x v="0"/>
    <x v="0"/>
    <x v="0"/>
  </r>
  <r>
    <d v="2027-01-01T00:00:00"/>
    <x v="6"/>
    <d v="2027-01-01T00:00:00"/>
    <x v="1"/>
    <x v="0"/>
    <x v="0"/>
    <x v="0"/>
    <x v="0"/>
    <m/>
    <m/>
    <x v="0"/>
    <x v="0"/>
    <x v="0"/>
    <x v="0"/>
    <x v="0"/>
    <x v="0"/>
  </r>
  <r>
    <d v="2027-01-02T00:00:00"/>
    <x v="0"/>
    <d v="2027-01-02T00:00:00"/>
    <x v="0"/>
    <x v="0"/>
    <x v="0"/>
    <x v="0"/>
    <x v="0"/>
    <m/>
    <m/>
    <x v="0"/>
    <x v="0"/>
    <x v="0"/>
    <x v="0"/>
    <x v="0"/>
    <x v="0"/>
  </r>
  <r>
    <d v="2027-01-03T00:00:00"/>
    <x v="1"/>
    <d v="2027-01-03T00:00:00"/>
    <x v="0"/>
    <x v="0"/>
    <x v="0"/>
    <x v="0"/>
    <x v="0"/>
    <m/>
    <m/>
    <x v="0"/>
    <x v="0"/>
    <x v="0"/>
    <x v="0"/>
    <x v="0"/>
    <x v="0"/>
  </r>
  <r>
    <d v="2027-01-04T00:00:00"/>
    <x v="2"/>
    <d v="2027-01-04T00:00:00"/>
    <x v="1"/>
    <x v="0"/>
    <x v="0"/>
    <x v="0"/>
    <x v="0"/>
    <m/>
    <m/>
    <x v="0"/>
    <x v="0"/>
    <x v="0"/>
    <x v="0"/>
    <x v="0"/>
    <x v="0"/>
  </r>
  <r>
    <d v="2027-01-05T00:00:00"/>
    <x v="3"/>
    <d v="2027-01-05T00:00:00"/>
    <x v="1"/>
    <x v="0"/>
    <x v="0"/>
    <x v="0"/>
    <x v="0"/>
    <m/>
    <m/>
    <x v="0"/>
    <x v="0"/>
    <x v="0"/>
    <x v="0"/>
    <x v="0"/>
    <x v="0"/>
  </r>
  <r>
    <d v="2027-01-06T00:00:00"/>
    <x v="4"/>
    <d v="2027-01-06T00:00:00"/>
    <x v="1"/>
    <x v="0"/>
    <x v="0"/>
    <x v="0"/>
    <x v="0"/>
    <m/>
    <m/>
    <x v="0"/>
    <x v="0"/>
    <x v="0"/>
    <x v="0"/>
    <x v="0"/>
    <x v="0"/>
  </r>
  <r>
    <d v="2027-01-07T00:00:00"/>
    <x v="5"/>
    <d v="2027-01-07T00:00:00"/>
    <x v="1"/>
    <x v="0"/>
    <x v="0"/>
    <x v="0"/>
    <x v="0"/>
    <m/>
    <m/>
    <x v="0"/>
    <x v="0"/>
    <x v="0"/>
    <x v="0"/>
    <x v="0"/>
    <x v="0"/>
  </r>
  <r>
    <d v="2027-01-08T00:00:00"/>
    <x v="6"/>
    <d v="2027-01-08T00:00:00"/>
    <x v="1"/>
    <x v="0"/>
    <x v="0"/>
    <x v="0"/>
    <x v="0"/>
    <m/>
    <m/>
    <x v="0"/>
    <x v="0"/>
    <x v="0"/>
    <x v="0"/>
    <x v="0"/>
    <x v="0"/>
  </r>
  <r>
    <d v="2027-01-09T00:00:00"/>
    <x v="0"/>
    <d v="2027-01-09T00:00:00"/>
    <x v="0"/>
    <x v="0"/>
    <x v="0"/>
    <x v="0"/>
    <x v="0"/>
    <m/>
    <m/>
    <x v="0"/>
    <x v="0"/>
    <x v="0"/>
    <x v="0"/>
    <x v="0"/>
    <x v="0"/>
  </r>
  <r>
    <d v="2027-01-10T00:00:00"/>
    <x v="1"/>
    <d v="2027-01-10T00:00:00"/>
    <x v="0"/>
    <x v="0"/>
    <x v="0"/>
    <x v="0"/>
    <x v="0"/>
    <m/>
    <m/>
    <x v="0"/>
    <x v="0"/>
    <x v="0"/>
    <x v="0"/>
    <x v="0"/>
    <x v="0"/>
  </r>
  <r>
    <d v="2027-01-11T00:00:00"/>
    <x v="2"/>
    <d v="2027-01-11T00:00:00"/>
    <x v="1"/>
    <x v="0"/>
    <x v="0"/>
    <x v="0"/>
    <x v="0"/>
    <m/>
    <m/>
    <x v="0"/>
    <x v="0"/>
    <x v="0"/>
    <x v="0"/>
    <x v="0"/>
    <x v="0"/>
  </r>
  <r>
    <d v="2027-01-12T00:00:00"/>
    <x v="3"/>
    <d v="2027-01-12T00:00:00"/>
    <x v="1"/>
    <x v="0"/>
    <x v="0"/>
    <x v="0"/>
    <x v="0"/>
    <m/>
    <m/>
    <x v="0"/>
    <x v="0"/>
    <x v="0"/>
    <x v="0"/>
    <x v="0"/>
    <x v="0"/>
  </r>
  <r>
    <d v="2027-01-13T00:00:00"/>
    <x v="4"/>
    <d v="2027-01-13T00:00:00"/>
    <x v="1"/>
    <x v="0"/>
    <x v="0"/>
    <x v="0"/>
    <x v="0"/>
    <m/>
    <m/>
    <x v="0"/>
    <x v="0"/>
    <x v="0"/>
    <x v="0"/>
    <x v="0"/>
    <x v="0"/>
  </r>
  <r>
    <d v="2027-01-14T00:00:00"/>
    <x v="5"/>
    <d v="2027-01-14T00:00:00"/>
    <x v="1"/>
    <x v="0"/>
    <x v="0"/>
    <x v="0"/>
    <x v="0"/>
    <m/>
    <m/>
    <x v="0"/>
    <x v="0"/>
    <x v="0"/>
    <x v="0"/>
    <x v="0"/>
    <x v="0"/>
  </r>
  <r>
    <d v="2027-01-15T00:00:00"/>
    <x v="6"/>
    <d v="2027-01-15T00:00:00"/>
    <x v="1"/>
    <x v="0"/>
    <x v="0"/>
    <x v="0"/>
    <x v="0"/>
    <m/>
    <m/>
    <x v="0"/>
    <x v="0"/>
    <x v="0"/>
    <x v="0"/>
    <x v="0"/>
    <x v="0"/>
  </r>
  <r>
    <d v="2027-01-16T00:00:00"/>
    <x v="0"/>
    <d v="2027-01-16T00:00:00"/>
    <x v="0"/>
    <x v="0"/>
    <x v="0"/>
    <x v="0"/>
    <x v="0"/>
    <m/>
    <m/>
    <x v="0"/>
    <x v="0"/>
    <x v="0"/>
    <x v="0"/>
    <x v="0"/>
    <x v="0"/>
  </r>
  <r>
    <d v="2027-01-17T00:00:00"/>
    <x v="1"/>
    <d v="2027-01-17T00:00:00"/>
    <x v="0"/>
    <x v="0"/>
    <x v="0"/>
    <x v="0"/>
    <x v="0"/>
    <m/>
    <m/>
    <x v="0"/>
    <x v="0"/>
    <x v="0"/>
    <x v="0"/>
    <x v="0"/>
    <x v="0"/>
  </r>
  <r>
    <d v="2027-01-18T00:00:00"/>
    <x v="2"/>
    <d v="2027-01-18T00:00:00"/>
    <x v="1"/>
    <x v="0"/>
    <x v="0"/>
    <x v="0"/>
    <x v="0"/>
    <m/>
    <m/>
    <x v="0"/>
    <x v="0"/>
    <x v="0"/>
    <x v="0"/>
    <x v="0"/>
    <x v="0"/>
  </r>
  <r>
    <d v="2027-01-19T00:00:00"/>
    <x v="3"/>
    <d v="2027-01-19T00:00:00"/>
    <x v="1"/>
    <x v="0"/>
    <x v="0"/>
    <x v="0"/>
    <x v="0"/>
    <m/>
    <m/>
    <x v="0"/>
    <x v="0"/>
    <x v="0"/>
    <x v="0"/>
    <x v="0"/>
    <x v="0"/>
  </r>
  <r>
    <d v="2027-01-20T00:00:00"/>
    <x v="4"/>
    <d v="2027-01-20T00:00:00"/>
    <x v="1"/>
    <x v="0"/>
    <x v="0"/>
    <x v="0"/>
    <x v="0"/>
    <m/>
    <m/>
    <x v="0"/>
    <x v="0"/>
    <x v="0"/>
    <x v="0"/>
    <x v="0"/>
    <x v="0"/>
  </r>
  <r>
    <d v="2027-01-21T00:00:00"/>
    <x v="5"/>
    <d v="2027-01-21T00:00:00"/>
    <x v="1"/>
    <x v="0"/>
    <x v="0"/>
    <x v="0"/>
    <x v="0"/>
    <m/>
    <m/>
    <x v="0"/>
    <x v="0"/>
    <x v="0"/>
    <x v="0"/>
    <x v="0"/>
    <x v="0"/>
  </r>
  <r>
    <d v="2027-01-22T00:00:00"/>
    <x v="6"/>
    <d v="2027-01-22T00:00:00"/>
    <x v="1"/>
    <x v="0"/>
    <x v="0"/>
    <x v="0"/>
    <x v="0"/>
    <m/>
    <m/>
    <x v="0"/>
    <x v="0"/>
    <x v="0"/>
    <x v="0"/>
    <x v="0"/>
    <x v="0"/>
  </r>
  <r>
    <d v="2027-01-23T00:00:00"/>
    <x v="0"/>
    <d v="2027-01-23T00:00:00"/>
    <x v="0"/>
    <x v="0"/>
    <x v="0"/>
    <x v="0"/>
    <x v="0"/>
    <m/>
    <m/>
    <x v="0"/>
    <x v="0"/>
    <x v="0"/>
    <x v="0"/>
    <x v="0"/>
    <x v="0"/>
  </r>
  <r>
    <d v="2027-01-24T00:00:00"/>
    <x v="1"/>
    <d v="2027-01-24T00:00:00"/>
    <x v="0"/>
    <x v="0"/>
    <x v="0"/>
    <x v="0"/>
    <x v="0"/>
    <m/>
    <m/>
    <x v="0"/>
    <x v="0"/>
    <x v="0"/>
    <x v="0"/>
    <x v="0"/>
    <x v="0"/>
  </r>
  <r>
    <d v="2027-01-25T00:00:00"/>
    <x v="2"/>
    <d v="2027-01-25T00:00:00"/>
    <x v="1"/>
    <x v="0"/>
    <x v="0"/>
    <x v="0"/>
    <x v="0"/>
    <m/>
    <m/>
    <x v="0"/>
    <x v="0"/>
    <x v="0"/>
    <x v="0"/>
    <x v="0"/>
    <x v="0"/>
  </r>
  <r>
    <d v="2027-01-26T00:00:00"/>
    <x v="3"/>
    <d v="2027-01-26T00:00:00"/>
    <x v="1"/>
    <x v="0"/>
    <x v="0"/>
    <x v="0"/>
    <x v="0"/>
    <m/>
    <m/>
    <x v="0"/>
    <x v="0"/>
    <x v="0"/>
    <x v="0"/>
    <x v="0"/>
    <x v="0"/>
  </r>
  <r>
    <d v="2027-01-27T00:00:00"/>
    <x v="4"/>
    <d v="2027-01-27T00:00:00"/>
    <x v="1"/>
    <x v="0"/>
    <x v="0"/>
    <x v="0"/>
    <x v="0"/>
    <m/>
    <m/>
    <x v="0"/>
    <x v="0"/>
    <x v="0"/>
    <x v="0"/>
    <x v="0"/>
    <x v="0"/>
  </r>
  <r>
    <d v="2027-01-28T00:00:00"/>
    <x v="5"/>
    <d v="2027-01-28T00:00:00"/>
    <x v="1"/>
    <x v="0"/>
    <x v="0"/>
    <x v="0"/>
    <x v="0"/>
    <m/>
    <m/>
    <x v="0"/>
    <x v="0"/>
    <x v="0"/>
    <x v="0"/>
    <x v="0"/>
    <x v="0"/>
  </r>
  <r>
    <d v="2027-01-29T00:00:00"/>
    <x v="6"/>
    <d v="2027-01-29T00:00:00"/>
    <x v="1"/>
    <x v="0"/>
    <x v="0"/>
    <x v="0"/>
    <x v="0"/>
    <m/>
    <m/>
    <x v="0"/>
    <x v="0"/>
    <x v="0"/>
    <x v="0"/>
    <x v="0"/>
    <x v="0"/>
  </r>
  <r>
    <d v="2027-01-30T00:00:00"/>
    <x v="0"/>
    <d v="2027-01-30T00:00:00"/>
    <x v="0"/>
    <x v="0"/>
    <x v="0"/>
    <x v="0"/>
    <x v="0"/>
    <m/>
    <m/>
    <x v="0"/>
    <x v="0"/>
    <x v="0"/>
    <x v="0"/>
    <x v="0"/>
    <x v="0"/>
  </r>
  <r>
    <d v="2027-01-31T00:00:00"/>
    <x v="1"/>
    <d v="2027-01-31T00:00:00"/>
    <x v="0"/>
    <x v="0"/>
    <x v="0"/>
    <x v="0"/>
    <x v="0"/>
    <m/>
    <m/>
    <x v="0"/>
    <x v="0"/>
    <x v="0"/>
    <x v="0"/>
    <x v="0"/>
    <x v="0"/>
  </r>
  <r>
    <d v="2027-02-01T00:00:00"/>
    <x v="2"/>
    <d v="2027-02-01T00:00:00"/>
    <x v="1"/>
    <x v="0"/>
    <x v="0"/>
    <x v="0"/>
    <x v="0"/>
    <m/>
    <m/>
    <x v="0"/>
    <x v="0"/>
    <x v="0"/>
    <x v="0"/>
    <x v="0"/>
    <x v="0"/>
  </r>
  <r>
    <d v="2027-02-02T00:00:00"/>
    <x v="3"/>
    <d v="2027-02-02T00:00:00"/>
    <x v="1"/>
    <x v="0"/>
    <x v="0"/>
    <x v="0"/>
    <x v="0"/>
    <m/>
    <m/>
    <x v="0"/>
    <x v="0"/>
    <x v="0"/>
    <x v="0"/>
    <x v="0"/>
    <x v="0"/>
  </r>
  <r>
    <d v="2027-02-03T00:00:00"/>
    <x v="4"/>
    <d v="2027-02-03T00:00:00"/>
    <x v="1"/>
    <x v="0"/>
    <x v="0"/>
    <x v="0"/>
    <x v="0"/>
    <m/>
    <m/>
    <x v="0"/>
    <x v="0"/>
    <x v="0"/>
    <x v="0"/>
    <x v="0"/>
    <x v="0"/>
  </r>
  <r>
    <d v="2027-02-04T00:00:00"/>
    <x v="5"/>
    <d v="2027-02-04T00:00:00"/>
    <x v="1"/>
    <x v="0"/>
    <x v="0"/>
    <x v="0"/>
    <x v="0"/>
    <m/>
    <m/>
    <x v="0"/>
    <x v="0"/>
    <x v="0"/>
    <x v="0"/>
    <x v="0"/>
    <x v="0"/>
  </r>
  <r>
    <d v="2027-02-05T00:00:00"/>
    <x v="6"/>
    <d v="2027-02-05T00:00:00"/>
    <x v="1"/>
    <x v="0"/>
    <x v="0"/>
    <x v="0"/>
    <x v="0"/>
    <m/>
    <m/>
    <x v="0"/>
    <x v="0"/>
    <x v="0"/>
    <x v="0"/>
    <x v="0"/>
    <x v="0"/>
  </r>
  <r>
    <d v="2027-02-06T00:00:00"/>
    <x v="0"/>
    <d v="2027-02-06T00:00:00"/>
    <x v="0"/>
    <x v="0"/>
    <x v="0"/>
    <x v="0"/>
    <x v="0"/>
    <m/>
    <m/>
    <x v="0"/>
    <x v="0"/>
    <x v="0"/>
    <x v="0"/>
    <x v="0"/>
    <x v="0"/>
  </r>
  <r>
    <d v="2027-02-07T00:00:00"/>
    <x v="1"/>
    <d v="2027-02-07T00:00:00"/>
    <x v="0"/>
    <x v="0"/>
    <x v="0"/>
    <x v="0"/>
    <x v="0"/>
    <m/>
    <m/>
    <x v="0"/>
    <x v="0"/>
    <x v="0"/>
    <x v="0"/>
    <x v="0"/>
    <x v="0"/>
  </r>
  <r>
    <d v="2027-02-08T00:00:00"/>
    <x v="2"/>
    <d v="2027-02-08T00:00:00"/>
    <x v="1"/>
    <x v="0"/>
    <x v="0"/>
    <x v="0"/>
    <x v="0"/>
    <m/>
    <m/>
    <x v="0"/>
    <x v="0"/>
    <x v="0"/>
    <x v="0"/>
    <x v="0"/>
    <x v="0"/>
  </r>
  <r>
    <d v="2027-02-09T00:00:00"/>
    <x v="3"/>
    <d v="2027-02-09T00:00:00"/>
    <x v="1"/>
    <x v="0"/>
    <x v="0"/>
    <x v="0"/>
    <x v="0"/>
    <m/>
    <m/>
    <x v="0"/>
    <x v="0"/>
    <x v="0"/>
    <x v="0"/>
    <x v="0"/>
    <x v="0"/>
  </r>
  <r>
    <d v="2027-02-10T00:00:00"/>
    <x v="4"/>
    <d v="2027-02-10T00:00:00"/>
    <x v="1"/>
    <x v="0"/>
    <x v="0"/>
    <x v="0"/>
    <x v="0"/>
    <m/>
    <m/>
    <x v="0"/>
    <x v="0"/>
    <x v="0"/>
    <x v="0"/>
    <x v="0"/>
    <x v="0"/>
  </r>
  <r>
    <d v="2027-02-11T00:00:00"/>
    <x v="5"/>
    <d v="2027-02-11T00:00:00"/>
    <x v="1"/>
    <x v="0"/>
    <x v="0"/>
    <x v="0"/>
    <x v="0"/>
    <m/>
    <m/>
    <x v="0"/>
    <x v="0"/>
    <x v="0"/>
    <x v="0"/>
    <x v="0"/>
    <x v="0"/>
  </r>
  <r>
    <d v="2027-02-12T00:00:00"/>
    <x v="6"/>
    <d v="2027-02-12T00:00:00"/>
    <x v="1"/>
    <x v="0"/>
    <x v="0"/>
    <x v="0"/>
    <x v="0"/>
    <m/>
    <m/>
    <x v="0"/>
    <x v="0"/>
    <x v="0"/>
    <x v="0"/>
    <x v="0"/>
    <x v="0"/>
  </r>
  <r>
    <d v="2027-02-13T00:00:00"/>
    <x v="0"/>
    <d v="2027-02-13T00:00:00"/>
    <x v="0"/>
    <x v="0"/>
    <x v="0"/>
    <x v="0"/>
    <x v="0"/>
    <m/>
    <m/>
    <x v="0"/>
    <x v="0"/>
    <x v="0"/>
    <x v="0"/>
    <x v="0"/>
    <x v="0"/>
  </r>
  <r>
    <d v="2027-02-14T00:00:00"/>
    <x v="1"/>
    <d v="2027-02-14T00:00:00"/>
    <x v="0"/>
    <x v="0"/>
    <x v="0"/>
    <x v="0"/>
    <x v="0"/>
    <m/>
    <m/>
    <x v="0"/>
    <x v="0"/>
    <x v="0"/>
    <x v="0"/>
    <x v="0"/>
    <x v="0"/>
  </r>
  <r>
    <d v="2027-02-15T00:00:00"/>
    <x v="2"/>
    <d v="2027-02-15T00:00:00"/>
    <x v="1"/>
    <x v="0"/>
    <x v="0"/>
    <x v="0"/>
    <x v="0"/>
    <m/>
    <m/>
    <x v="0"/>
    <x v="0"/>
    <x v="0"/>
    <x v="0"/>
    <x v="0"/>
    <x v="0"/>
  </r>
  <r>
    <d v="2025-11-01T00:00:00"/>
    <x v="0"/>
    <d v="2025-11-01T00:00:00"/>
    <x v="0"/>
    <x v="0"/>
    <x v="0"/>
    <x v="0"/>
    <x v="0"/>
    <m/>
    <m/>
    <x v="0"/>
    <x v="0"/>
    <x v="0"/>
    <x v="0"/>
    <x v="0"/>
    <x v="1"/>
  </r>
  <r>
    <d v="2025-11-02T00:00:00"/>
    <x v="1"/>
    <d v="2025-11-02T00:00:00"/>
    <x v="0"/>
    <x v="0"/>
    <x v="0"/>
    <x v="0"/>
    <x v="0"/>
    <m/>
    <m/>
    <x v="0"/>
    <x v="0"/>
    <x v="0"/>
    <x v="0"/>
    <x v="0"/>
    <x v="1"/>
  </r>
  <r>
    <d v="2025-11-03T00:00:00"/>
    <x v="2"/>
    <d v="2025-11-03T00:00:00"/>
    <x v="1"/>
    <x v="0"/>
    <x v="0"/>
    <x v="0"/>
    <x v="0"/>
    <m/>
    <m/>
    <x v="0"/>
    <x v="0"/>
    <x v="0"/>
    <x v="0"/>
    <x v="0"/>
    <x v="1"/>
  </r>
  <r>
    <d v="2025-11-04T00:00:00"/>
    <x v="3"/>
    <d v="2025-11-04T00:00:00"/>
    <x v="1"/>
    <x v="0"/>
    <x v="0"/>
    <x v="0"/>
    <x v="0"/>
    <m/>
    <m/>
    <x v="0"/>
    <x v="0"/>
    <x v="0"/>
    <x v="0"/>
    <x v="0"/>
    <x v="1"/>
  </r>
  <r>
    <d v="2025-11-05T00:00:00"/>
    <x v="4"/>
    <d v="2025-11-05T00:00:00"/>
    <x v="1"/>
    <x v="0"/>
    <x v="0"/>
    <x v="0"/>
    <x v="0"/>
    <m/>
    <m/>
    <x v="0"/>
    <x v="0"/>
    <x v="0"/>
    <x v="0"/>
    <x v="0"/>
    <x v="1"/>
  </r>
  <r>
    <d v="2025-11-06T00:00:00"/>
    <x v="5"/>
    <d v="2025-11-06T00:00:00"/>
    <x v="1"/>
    <x v="0"/>
    <x v="0"/>
    <x v="0"/>
    <x v="0"/>
    <m/>
    <m/>
    <x v="0"/>
    <x v="0"/>
    <x v="0"/>
    <x v="0"/>
    <x v="0"/>
    <x v="1"/>
  </r>
  <r>
    <d v="2025-11-07T00:00:00"/>
    <x v="6"/>
    <d v="2025-11-07T00:00:00"/>
    <x v="1"/>
    <x v="0"/>
    <x v="0"/>
    <x v="0"/>
    <x v="0"/>
    <m/>
    <m/>
    <x v="0"/>
    <x v="0"/>
    <x v="0"/>
    <x v="0"/>
    <x v="0"/>
    <x v="1"/>
  </r>
  <r>
    <d v="2025-11-08T00:00:00"/>
    <x v="0"/>
    <d v="2025-11-08T00:00:00"/>
    <x v="0"/>
    <x v="0"/>
    <x v="0"/>
    <x v="0"/>
    <x v="0"/>
    <m/>
    <m/>
    <x v="0"/>
    <x v="0"/>
    <x v="0"/>
    <x v="0"/>
    <x v="0"/>
    <x v="1"/>
  </r>
  <r>
    <d v="2025-11-09T00:00:00"/>
    <x v="1"/>
    <d v="2025-11-09T00:00:00"/>
    <x v="0"/>
    <x v="0"/>
    <x v="0"/>
    <x v="0"/>
    <x v="0"/>
    <m/>
    <m/>
    <x v="0"/>
    <x v="0"/>
    <x v="0"/>
    <x v="0"/>
    <x v="0"/>
    <x v="1"/>
  </r>
  <r>
    <d v="2025-11-10T00:00:00"/>
    <x v="2"/>
    <d v="2025-11-10T00:00:00"/>
    <x v="1"/>
    <x v="0"/>
    <x v="0"/>
    <x v="0"/>
    <x v="0"/>
    <m/>
    <m/>
    <x v="0"/>
    <x v="0"/>
    <x v="0"/>
    <x v="0"/>
    <x v="0"/>
    <x v="1"/>
  </r>
  <r>
    <d v="2025-11-11T00:00:00"/>
    <x v="3"/>
    <d v="2025-11-11T00:00:00"/>
    <x v="1"/>
    <x v="0"/>
    <x v="0"/>
    <x v="0"/>
    <x v="0"/>
    <m/>
    <m/>
    <x v="0"/>
    <x v="0"/>
    <x v="0"/>
    <x v="0"/>
    <x v="0"/>
    <x v="1"/>
  </r>
  <r>
    <d v="2025-11-12T00:00:00"/>
    <x v="4"/>
    <d v="2025-11-12T00:00:00"/>
    <x v="1"/>
    <x v="0"/>
    <x v="0"/>
    <x v="0"/>
    <x v="0"/>
    <m/>
    <m/>
    <x v="0"/>
    <x v="0"/>
    <x v="0"/>
    <x v="0"/>
    <x v="0"/>
    <x v="1"/>
  </r>
  <r>
    <d v="2025-11-13T00:00:00"/>
    <x v="5"/>
    <d v="2025-11-13T00:00:00"/>
    <x v="1"/>
    <x v="0"/>
    <x v="0"/>
    <x v="0"/>
    <x v="0"/>
    <m/>
    <m/>
    <x v="0"/>
    <x v="0"/>
    <x v="0"/>
    <x v="0"/>
    <x v="0"/>
    <x v="1"/>
  </r>
  <r>
    <d v="2025-11-14T00:00:00"/>
    <x v="6"/>
    <d v="2025-11-14T00:00:00"/>
    <x v="1"/>
    <x v="0"/>
    <x v="0"/>
    <x v="0"/>
    <x v="0"/>
    <m/>
    <m/>
    <x v="0"/>
    <x v="0"/>
    <x v="0"/>
    <x v="0"/>
    <x v="0"/>
    <x v="1"/>
  </r>
  <r>
    <d v="2025-11-15T00:00:00"/>
    <x v="0"/>
    <d v="2025-11-15T00:00:00"/>
    <x v="0"/>
    <x v="0"/>
    <x v="0"/>
    <x v="0"/>
    <x v="0"/>
    <m/>
    <m/>
    <x v="0"/>
    <x v="0"/>
    <x v="0"/>
    <x v="0"/>
    <x v="0"/>
    <x v="1"/>
  </r>
  <r>
    <d v="2025-11-16T00:00:00"/>
    <x v="1"/>
    <d v="2025-11-16T00:00:00"/>
    <x v="0"/>
    <x v="0"/>
    <x v="0"/>
    <x v="0"/>
    <x v="0"/>
    <m/>
    <m/>
    <x v="0"/>
    <x v="0"/>
    <x v="0"/>
    <x v="0"/>
    <x v="0"/>
    <x v="1"/>
  </r>
  <r>
    <d v="2025-11-17T00:00:00"/>
    <x v="2"/>
    <d v="2025-11-17T00:00:00"/>
    <x v="1"/>
    <x v="0"/>
    <x v="0"/>
    <x v="0"/>
    <x v="0"/>
    <m/>
    <m/>
    <x v="0"/>
    <x v="0"/>
    <x v="0"/>
    <x v="0"/>
    <x v="0"/>
    <x v="1"/>
  </r>
  <r>
    <d v="2025-11-18T00:00:00"/>
    <x v="3"/>
    <d v="2025-11-18T00:00:00"/>
    <x v="1"/>
    <x v="0"/>
    <x v="0"/>
    <x v="0"/>
    <x v="0"/>
    <m/>
    <m/>
    <x v="0"/>
    <x v="0"/>
    <x v="0"/>
    <x v="0"/>
    <x v="0"/>
    <x v="1"/>
  </r>
  <r>
    <d v="2025-11-19T00:00:00"/>
    <x v="4"/>
    <d v="2025-11-19T00:00:00"/>
    <x v="1"/>
    <x v="0"/>
    <x v="0"/>
    <x v="0"/>
    <x v="0"/>
    <m/>
    <m/>
    <x v="0"/>
    <x v="0"/>
    <x v="0"/>
    <x v="0"/>
    <x v="0"/>
    <x v="1"/>
  </r>
  <r>
    <d v="2025-11-20T00:00:00"/>
    <x v="5"/>
    <d v="2025-11-20T00:00:00"/>
    <x v="1"/>
    <x v="0"/>
    <x v="0"/>
    <x v="0"/>
    <x v="0"/>
    <m/>
    <m/>
    <x v="0"/>
    <x v="0"/>
    <x v="0"/>
    <x v="0"/>
    <x v="0"/>
    <x v="1"/>
  </r>
  <r>
    <d v="2025-11-21T00:00:00"/>
    <x v="6"/>
    <d v="2025-11-21T00:00:00"/>
    <x v="1"/>
    <x v="0"/>
    <x v="0"/>
    <x v="0"/>
    <x v="0"/>
    <m/>
    <m/>
    <x v="0"/>
    <x v="0"/>
    <x v="0"/>
    <x v="0"/>
    <x v="0"/>
    <x v="1"/>
  </r>
  <r>
    <d v="2025-11-22T00:00:00"/>
    <x v="0"/>
    <d v="2025-11-22T00:00:00"/>
    <x v="0"/>
    <x v="0"/>
    <x v="0"/>
    <x v="0"/>
    <x v="0"/>
    <m/>
    <m/>
    <x v="0"/>
    <x v="0"/>
    <x v="0"/>
    <x v="0"/>
    <x v="0"/>
    <x v="1"/>
  </r>
  <r>
    <d v="2025-11-23T00:00:00"/>
    <x v="1"/>
    <d v="2025-11-23T00:00:00"/>
    <x v="0"/>
    <x v="0"/>
    <x v="0"/>
    <x v="0"/>
    <x v="0"/>
    <m/>
    <m/>
    <x v="0"/>
    <x v="0"/>
    <x v="0"/>
    <x v="0"/>
    <x v="0"/>
    <x v="1"/>
  </r>
  <r>
    <d v="2025-11-24T00:00:00"/>
    <x v="2"/>
    <d v="2025-11-24T00:00:00"/>
    <x v="1"/>
    <x v="0"/>
    <x v="0"/>
    <x v="0"/>
    <x v="0"/>
    <m/>
    <m/>
    <x v="0"/>
    <x v="0"/>
    <x v="0"/>
    <x v="0"/>
    <x v="0"/>
    <x v="1"/>
  </r>
  <r>
    <d v="2025-11-25T00:00:00"/>
    <x v="3"/>
    <d v="2025-11-25T00:00:00"/>
    <x v="1"/>
    <x v="0"/>
    <x v="0"/>
    <x v="0"/>
    <x v="0"/>
    <m/>
    <m/>
    <x v="0"/>
    <x v="0"/>
    <x v="0"/>
    <x v="0"/>
    <x v="0"/>
    <x v="1"/>
  </r>
  <r>
    <d v="2025-11-26T00:00:00"/>
    <x v="4"/>
    <d v="2025-11-26T00:00:00"/>
    <x v="1"/>
    <x v="0"/>
    <x v="0"/>
    <x v="0"/>
    <x v="0"/>
    <m/>
    <m/>
    <x v="0"/>
    <x v="0"/>
    <x v="0"/>
    <x v="0"/>
    <x v="0"/>
    <x v="1"/>
  </r>
  <r>
    <d v="2025-11-27T00:00:00"/>
    <x v="5"/>
    <d v="2025-11-27T00:00:00"/>
    <x v="1"/>
    <x v="0"/>
    <x v="0"/>
    <x v="0"/>
    <x v="0"/>
    <m/>
    <m/>
    <x v="0"/>
    <x v="0"/>
    <x v="0"/>
    <x v="0"/>
    <x v="0"/>
    <x v="1"/>
  </r>
  <r>
    <d v="2025-11-28T00:00:00"/>
    <x v="6"/>
    <d v="2025-11-28T00:00:00"/>
    <x v="1"/>
    <x v="0"/>
    <x v="0"/>
    <x v="0"/>
    <x v="0"/>
    <m/>
    <m/>
    <x v="0"/>
    <x v="0"/>
    <x v="0"/>
    <x v="0"/>
    <x v="0"/>
    <x v="1"/>
  </r>
  <r>
    <d v="2025-11-29T00:00:00"/>
    <x v="0"/>
    <d v="2025-11-29T00:00:00"/>
    <x v="0"/>
    <x v="0"/>
    <x v="0"/>
    <x v="0"/>
    <x v="0"/>
    <m/>
    <m/>
    <x v="0"/>
    <x v="0"/>
    <x v="0"/>
    <x v="0"/>
    <x v="0"/>
    <x v="1"/>
  </r>
  <r>
    <d v="2025-11-30T00:00:00"/>
    <x v="1"/>
    <d v="2025-11-30T00:00:00"/>
    <x v="0"/>
    <x v="0"/>
    <x v="0"/>
    <x v="0"/>
    <x v="0"/>
    <m/>
    <m/>
    <x v="0"/>
    <x v="0"/>
    <x v="0"/>
    <x v="0"/>
    <x v="0"/>
    <x v="1"/>
  </r>
  <r>
    <d v="2025-12-01T00:00:00"/>
    <x v="2"/>
    <d v="2025-12-01T00:00:00"/>
    <x v="1"/>
    <x v="0"/>
    <x v="0"/>
    <x v="0"/>
    <x v="0"/>
    <m/>
    <m/>
    <x v="0"/>
    <x v="0"/>
    <x v="0"/>
    <x v="0"/>
    <x v="0"/>
    <x v="1"/>
  </r>
  <r>
    <d v="2025-12-02T00:00:00"/>
    <x v="3"/>
    <d v="2025-12-02T00:00:00"/>
    <x v="1"/>
    <x v="0"/>
    <x v="0"/>
    <x v="0"/>
    <x v="0"/>
    <m/>
    <m/>
    <x v="0"/>
    <x v="0"/>
    <x v="0"/>
    <x v="0"/>
    <x v="0"/>
    <x v="1"/>
  </r>
  <r>
    <d v="2025-12-03T00:00:00"/>
    <x v="4"/>
    <d v="2025-12-03T00:00:00"/>
    <x v="1"/>
    <x v="0"/>
    <x v="0"/>
    <x v="0"/>
    <x v="0"/>
    <m/>
    <m/>
    <x v="0"/>
    <x v="0"/>
    <x v="0"/>
    <x v="0"/>
    <x v="0"/>
    <x v="1"/>
  </r>
  <r>
    <d v="2025-12-04T00:00:00"/>
    <x v="5"/>
    <d v="2025-12-04T00:00:00"/>
    <x v="1"/>
    <x v="0"/>
    <x v="0"/>
    <x v="0"/>
    <x v="0"/>
    <m/>
    <m/>
    <x v="0"/>
    <x v="0"/>
    <x v="0"/>
    <x v="0"/>
    <x v="0"/>
    <x v="1"/>
  </r>
  <r>
    <d v="2025-12-05T00:00:00"/>
    <x v="6"/>
    <d v="2025-12-05T00:00:00"/>
    <x v="1"/>
    <x v="0"/>
    <x v="0"/>
    <x v="0"/>
    <x v="0"/>
    <m/>
    <m/>
    <x v="0"/>
    <x v="0"/>
    <x v="0"/>
    <x v="0"/>
    <x v="0"/>
    <x v="1"/>
  </r>
  <r>
    <d v="2025-12-06T00:00:00"/>
    <x v="0"/>
    <d v="2025-12-06T00:00:00"/>
    <x v="0"/>
    <x v="0"/>
    <x v="0"/>
    <x v="0"/>
    <x v="0"/>
    <m/>
    <m/>
    <x v="0"/>
    <x v="0"/>
    <x v="0"/>
    <x v="0"/>
    <x v="0"/>
    <x v="1"/>
  </r>
  <r>
    <d v="2025-12-07T00:00:00"/>
    <x v="1"/>
    <d v="2025-12-07T00:00:00"/>
    <x v="0"/>
    <x v="0"/>
    <x v="0"/>
    <x v="0"/>
    <x v="0"/>
    <m/>
    <m/>
    <x v="0"/>
    <x v="0"/>
    <x v="0"/>
    <x v="0"/>
    <x v="0"/>
    <x v="1"/>
  </r>
  <r>
    <d v="2025-12-08T00:00:00"/>
    <x v="2"/>
    <d v="2025-12-08T00:00:00"/>
    <x v="1"/>
    <x v="0"/>
    <x v="0"/>
    <x v="0"/>
    <x v="0"/>
    <m/>
    <m/>
    <x v="0"/>
    <x v="0"/>
    <x v="0"/>
    <x v="0"/>
    <x v="0"/>
    <x v="1"/>
  </r>
  <r>
    <d v="2025-12-09T00:00:00"/>
    <x v="3"/>
    <d v="2025-12-09T00:00:00"/>
    <x v="1"/>
    <x v="0"/>
    <x v="0"/>
    <x v="0"/>
    <x v="0"/>
    <m/>
    <m/>
    <x v="0"/>
    <x v="0"/>
    <x v="0"/>
    <x v="0"/>
    <x v="0"/>
    <x v="1"/>
  </r>
  <r>
    <d v="2025-12-10T00:00:00"/>
    <x v="4"/>
    <d v="2025-12-10T00:00:00"/>
    <x v="1"/>
    <x v="0"/>
    <x v="0"/>
    <x v="0"/>
    <x v="0"/>
    <m/>
    <m/>
    <x v="0"/>
    <x v="0"/>
    <x v="0"/>
    <x v="0"/>
    <x v="0"/>
    <x v="1"/>
  </r>
  <r>
    <d v="2025-12-11T00:00:00"/>
    <x v="5"/>
    <d v="2025-12-11T00:00:00"/>
    <x v="1"/>
    <x v="0"/>
    <x v="0"/>
    <x v="0"/>
    <x v="0"/>
    <m/>
    <m/>
    <x v="0"/>
    <x v="0"/>
    <x v="0"/>
    <x v="0"/>
    <x v="0"/>
    <x v="1"/>
  </r>
  <r>
    <d v="2025-12-12T00:00:00"/>
    <x v="6"/>
    <d v="2025-12-12T00:00:00"/>
    <x v="1"/>
    <x v="0"/>
    <x v="0"/>
    <x v="0"/>
    <x v="0"/>
    <m/>
    <m/>
    <x v="0"/>
    <x v="0"/>
    <x v="0"/>
    <x v="0"/>
    <x v="0"/>
    <x v="1"/>
  </r>
  <r>
    <d v="2025-12-13T00:00:00"/>
    <x v="0"/>
    <d v="2025-12-13T00:00:00"/>
    <x v="0"/>
    <x v="0"/>
    <x v="0"/>
    <x v="0"/>
    <x v="0"/>
    <m/>
    <m/>
    <x v="0"/>
    <x v="0"/>
    <x v="0"/>
    <x v="0"/>
    <x v="0"/>
    <x v="1"/>
  </r>
  <r>
    <d v="2025-12-14T00:00:00"/>
    <x v="1"/>
    <d v="2025-12-14T00:00:00"/>
    <x v="0"/>
    <x v="0"/>
    <x v="0"/>
    <x v="0"/>
    <x v="0"/>
    <m/>
    <m/>
    <x v="0"/>
    <x v="0"/>
    <x v="0"/>
    <x v="0"/>
    <x v="0"/>
    <x v="1"/>
  </r>
  <r>
    <d v="2025-12-15T00:00:00"/>
    <x v="2"/>
    <d v="2025-12-15T00:00:00"/>
    <x v="1"/>
    <x v="0"/>
    <x v="0"/>
    <x v="0"/>
    <x v="0"/>
    <m/>
    <m/>
    <x v="0"/>
    <x v="0"/>
    <x v="0"/>
    <x v="0"/>
    <x v="0"/>
    <x v="1"/>
  </r>
  <r>
    <d v="2025-12-16T00:00:00"/>
    <x v="3"/>
    <d v="2025-12-16T00:00:00"/>
    <x v="1"/>
    <x v="0"/>
    <x v="0"/>
    <x v="0"/>
    <x v="0"/>
    <m/>
    <m/>
    <x v="0"/>
    <x v="0"/>
    <x v="0"/>
    <x v="0"/>
    <x v="0"/>
    <x v="1"/>
  </r>
  <r>
    <d v="2025-12-17T00:00:00"/>
    <x v="4"/>
    <d v="2025-12-17T00:00:00"/>
    <x v="1"/>
    <x v="0"/>
    <x v="0"/>
    <x v="0"/>
    <x v="0"/>
    <m/>
    <m/>
    <x v="0"/>
    <x v="0"/>
    <x v="0"/>
    <x v="0"/>
    <x v="0"/>
    <x v="1"/>
  </r>
  <r>
    <d v="2025-12-18T00:00:00"/>
    <x v="5"/>
    <d v="2025-12-18T00:00:00"/>
    <x v="1"/>
    <x v="0"/>
    <x v="0"/>
    <x v="0"/>
    <x v="0"/>
    <m/>
    <m/>
    <x v="0"/>
    <x v="0"/>
    <x v="0"/>
    <x v="0"/>
    <x v="0"/>
    <x v="1"/>
  </r>
  <r>
    <d v="2025-12-19T00:00:00"/>
    <x v="6"/>
    <d v="2025-12-19T00:00:00"/>
    <x v="1"/>
    <x v="0"/>
    <x v="0"/>
    <x v="0"/>
    <x v="0"/>
    <m/>
    <m/>
    <x v="0"/>
    <x v="0"/>
    <x v="0"/>
    <x v="0"/>
    <x v="0"/>
    <x v="1"/>
  </r>
  <r>
    <d v="2025-12-20T00:00:00"/>
    <x v="0"/>
    <d v="2025-12-20T00:00:00"/>
    <x v="0"/>
    <x v="0"/>
    <x v="0"/>
    <x v="0"/>
    <x v="0"/>
    <m/>
    <m/>
    <x v="0"/>
    <x v="0"/>
    <x v="0"/>
    <x v="0"/>
    <x v="0"/>
    <x v="1"/>
  </r>
  <r>
    <d v="2025-12-21T00:00:00"/>
    <x v="1"/>
    <d v="2025-12-21T00:00:00"/>
    <x v="0"/>
    <x v="0"/>
    <x v="0"/>
    <x v="0"/>
    <x v="0"/>
    <m/>
    <m/>
    <x v="0"/>
    <x v="0"/>
    <x v="0"/>
    <x v="0"/>
    <x v="0"/>
    <x v="1"/>
  </r>
  <r>
    <d v="2025-12-22T00:00:00"/>
    <x v="2"/>
    <d v="2025-12-22T00:00:00"/>
    <x v="1"/>
    <x v="0"/>
    <x v="0"/>
    <x v="0"/>
    <x v="0"/>
    <m/>
    <m/>
    <x v="0"/>
    <x v="0"/>
    <x v="0"/>
    <x v="0"/>
    <x v="0"/>
    <x v="1"/>
  </r>
  <r>
    <d v="2025-12-23T00:00:00"/>
    <x v="3"/>
    <d v="2025-12-23T00:00:00"/>
    <x v="1"/>
    <x v="0"/>
    <x v="0"/>
    <x v="0"/>
    <x v="0"/>
    <m/>
    <m/>
    <x v="0"/>
    <x v="0"/>
    <x v="0"/>
    <x v="0"/>
    <x v="0"/>
    <x v="1"/>
  </r>
  <r>
    <d v="2025-12-24T00:00:00"/>
    <x v="4"/>
    <d v="2025-12-24T00:00:00"/>
    <x v="1"/>
    <x v="0"/>
    <x v="0"/>
    <x v="0"/>
    <x v="0"/>
    <m/>
    <m/>
    <x v="0"/>
    <x v="0"/>
    <x v="0"/>
    <x v="0"/>
    <x v="0"/>
    <x v="1"/>
  </r>
  <r>
    <d v="2025-12-25T00:00:00"/>
    <x v="5"/>
    <d v="2025-12-25T00:00:00"/>
    <x v="1"/>
    <x v="0"/>
    <x v="0"/>
    <x v="0"/>
    <x v="0"/>
    <m/>
    <m/>
    <x v="0"/>
    <x v="0"/>
    <x v="0"/>
    <x v="0"/>
    <x v="0"/>
    <x v="1"/>
  </r>
  <r>
    <d v="2025-12-26T00:00:00"/>
    <x v="6"/>
    <d v="2025-12-26T00:00:00"/>
    <x v="1"/>
    <x v="0"/>
    <x v="0"/>
    <x v="0"/>
    <x v="0"/>
    <m/>
    <m/>
    <x v="0"/>
    <x v="0"/>
    <x v="0"/>
    <x v="0"/>
    <x v="0"/>
    <x v="1"/>
  </r>
  <r>
    <d v="2025-12-27T00:00:00"/>
    <x v="0"/>
    <d v="2025-12-27T00:00:00"/>
    <x v="0"/>
    <x v="0"/>
    <x v="0"/>
    <x v="0"/>
    <x v="0"/>
    <m/>
    <m/>
    <x v="0"/>
    <x v="0"/>
    <x v="0"/>
    <x v="0"/>
    <x v="0"/>
    <x v="1"/>
  </r>
  <r>
    <d v="2025-12-28T00:00:00"/>
    <x v="1"/>
    <d v="2025-12-28T00:00:00"/>
    <x v="0"/>
    <x v="0"/>
    <x v="0"/>
    <x v="0"/>
    <x v="0"/>
    <m/>
    <m/>
    <x v="0"/>
    <x v="0"/>
    <x v="0"/>
    <x v="0"/>
    <x v="0"/>
    <x v="1"/>
  </r>
  <r>
    <d v="2025-12-29T00:00:00"/>
    <x v="2"/>
    <d v="2025-12-29T00:00:00"/>
    <x v="1"/>
    <x v="0"/>
    <x v="0"/>
    <x v="0"/>
    <x v="0"/>
    <m/>
    <m/>
    <x v="0"/>
    <x v="0"/>
    <x v="0"/>
    <x v="0"/>
    <x v="0"/>
    <x v="1"/>
  </r>
  <r>
    <d v="2025-12-30T00:00:00"/>
    <x v="3"/>
    <d v="2025-12-30T00:00:00"/>
    <x v="1"/>
    <x v="0"/>
    <x v="0"/>
    <x v="0"/>
    <x v="0"/>
    <m/>
    <m/>
    <x v="0"/>
    <x v="0"/>
    <x v="0"/>
    <x v="0"/>
    <x v="0"/>
    <x v="1"/>
  </r>
  <r>
    <d v="2025-12-31T00:00:00"/>
    <x v="4"/>
    <d v="2025-12-31T00:00:00"/>
    <x v="1"/>
    <x v="0"/>
    <x v="0"/>
    <x v="0"/>
    <x v="0"/>
    <m/>
    <m/>
    <x v="0"/>
    <x v="0"/>
    <x v="0"/>
    <x v="0"/>
    <x v="0"/>
    <x v="1"/>
  </r>
  <r>
    <d v="2026-01-01T00:00:00"/>
    <x v="5"/>
    <d v="2026-01-01T00:00:00"/>
    <x v="1"/>
    <x v="0"/>
    <x v="0"/>
    <x v="0"/>
    <x v="0"/>
    <m/>
    <m/>
    <x v="0"/>
    <x v="0"/>
    <x v="0"/>
    <x v="0"/>
    <x v="0"/>
    <x v="1"/>
  </r>
  <r>
    <d v="2026-01-02T00:00:00"/>
    <x v="6"/>
    <d v="2026-01-02T00:00:00"/>
    <x v="1"/>
    <x v="0"/>
    <x v="0"/>
    <x v="0"/>
    <x v="0"/>
    <m/>
    <m/>
    <x v="0"/>
    <x v="0"/>
    <x v="0"/>
    <x v="0"/>
    <x v="0"/>
    <x v="1"/>
  </r>
  <r>
    <d v="2026-01-03T00:00:00"/>
    <x v="0"/>
    <d v="2026-01-03T00:00:00"/>
    <x v="0"/>
    <x v="0"/>
    <x v="0"/>
    <x v="0"/>
    <x v="0"/>
    <m/>
    <m/>
    <x v="0"/>
    <x v="0"/>
    <x v="0"/>
    <x v="0"/>
    <x v="0"/>
    <x v="1"/>
  </r>
  <r>
    <d v="2026-01-04T00:00:00"/>
    <x v="1"/>
    <d v="2026-01-04T00:00:00"/>
    <x v="0"/>
    <x v="0"/>
    <x v="0"/>
    <x v="0"/>
    <x v="0"/>
    <m/>
    <m/>
    <x v="0"/>
    <x v="0"/>
    <x v="0"/>
    <x v="0"/>
    <x v="0"/>
    <x v="1"/>
  </r>
  <r>
    <d v="2026-01-05T00:00:00"/>
    <x v="2"/>
    <d v="2026-01-05T00:00:00"/>
    <x v="2"/>
    <x v="6"/>
    <x v="22"/>
    <x v="14"/>
    <x v="16"/>
    <n v="3"/>
    <n v="3"/>
    <x v="5"/>
    <x v="3"/>
    <x v="14"/>
    <x v="13"/>
    <x v="1"/>
    <x v="1"/>
  </r>
  <r>
    <d v="2026-01-06T00:00:00"/>
    <x v="3"/>
    <d v="2026-01-06T00:00:00"/>
    <x v="2"/>
    <x v="6"/>
    <x v="22"/>
    <x v="14"/>
    <x v="16"/>
    <n v="3"/>
    <n v="3"/>
    <x v="5"/>
    <x v="3"/>
    <x v="14"/>
    <x v="13"/>
    <x v="1"/>
    <x v="1"/>
  </r>
  <r>
    <d v="2026-01-07T00:00:00"/>
    <x v="4"/>
    <d v="2026-01-07T00:00:00"/>
    <x v="2"/>
    <x v="6"/>
    <x v="22"/>
    <x v="14"/>
    <x v="16"/>
    <n v="3"/>
    <n v="3"/>
    <x v="5"/>
    <x v="3"/>
    <x v="14"/>
    <x v="13"/>
    <x v="1"/>
    <x v="1"/>
  </r>
  <r>
    <d v="2026-01-08T00:00:00"/>
    <x v="5"/>
    <d v="2026-01-08T00:00:00"/>
    <x v="2"/>
    <x v="6"/>
    <x v="22"/>
    <x v="5"/>
    <x v="16"/>
    <n v="3"/>
    <n v="3"/>
    <x v="5"/>
    <x v="3"/>
    <x v="14"/>
    <x v="13"/>
    <x v="1"/>
    <x v="1"/>
  </r>
  <r>
    <d v="2026-01-09T00:00:00"/>
    <x v="6"/>
    <d v="2026-01-09T00:00:00"/>
    <x v="2"/>
    <x v="6"/>
    <x v="22"/>
    <x v="5"/>
    <x v="16"/>
    <n v="3"/>
    <n v="3"/>
    <x v="5"/>
    <x v="3"/>
    <x v="14"/>
    <x v="13"/>
    <x v="1"/>
    <x v="1"/>
  </r>
  <r>
    <d v="2026-01-10T00:00:00"/>
    <x v="0"/>
    <d v="2026-01-10T00:00:00"/>
    <x v="2"/>
    <x v="6"/>
    <x v="22"/>
    <x v="5"/>
    <x v="16"/>
    <n v="3"/>
    <n v="0"/>
    <x v="5"/>
    <x v="3"/>
    <x v="14"/>
    <x v="13"/>
    <x v="1"/>
    <x v="1"/>
  </r>
  <r>
    <d v="2026-01-11T00:00:00"/>
    <x v="1"/>
    <d v="2026-01-11T00:00:00"/>
    <x v="0"/>
    <x v="0"/>
    <x v="0"/>
    <x v="0"/>
    <x v="0"/>
    <m/>
    <m/>
    <x v="0"/>
    <x v="0"/>
    <x v="0"/>
    <x v="0"/>
    <x v="0"/>
    <x v="1"/>
  </r>
  <r>
    <d v="2026-01-12T00:00:00"/>
    <x v="2"/>
    <d v="2026-01-12T00:00:00"/>
    <x v="2"/>
    <x v="6"/>
    <x v="22"/>
    <x v="5"/>
    <x v="16"/>
    <n v="3"/>
    <n v="3"/>
    <x v="5"/>
    <x v="3"/>
    <x v="14"/>
    <x v="13"/>
    <x v="1"/>
    <x v="1"/>
  </r>
  <r>
    <d v="2026-01-13T00:00:00"/>
    <x v="3"/>
    <d v="2026-01-13T00:00:00"/>
    <x v="2"/>
    <x v="6"/>
    <x v="22"/>
    <x v="5"/>
    <x v="16"/>
    <n v="3"/>
    <n v="3"/>
    <x v="5"/>
    <x v="3"/>
    <x v="14"/>
    <x v="13"/>
    <x v="1"/>
    <x v="1"/>
  </r>
  <r>
    <d v="2026-01-14T00:00:00"/>
    <x v="4"/>
    <d v="2026-01-14T00:00:00"/>
    <x v="2"/>
    <x v="6"/>
    <x v="22"/>
    <x v="5"/>
    <x v="16"/>
    <n v="3"/>
    <n v="18"/>
    <x v="5"/>
    <x v="3"/>
    <x v="14"/>
    <x v="13"/>
    <x v="1"/>
    <x v="1"/>
  </r>
  <r>
    <d v="2026-01-15T00:00:00"/>
    <x v="5"/>
    <d v="2026-01-15T00:00:00"/>
    <x v="2"/>
    <x v="6"/>
    <x v="22"/>
    <x v="14"/>
    <x v="16"/>
    <n v="3"/>
    <n v="18"/>
    <x v="3"/>
    <x v="3"/>
    <x v="14"/>
    <x v="13"/>
    <x v="1"/>
    <x v="1"/>
  </r>
  <r>
    <d v="2026-01-16T00:00:00"/>
    <x v="6"/>
    <d v="2026-01-16T00:00:00"/>
    <x v="2"/>
    <x v="6"/>
    <x v="22"/>
    <x v="14"/>
    <x v="16"/>
    <n v="0"/>
    <n v="6"/>
    <x v="3"/>
    <x v="3"/>
    <x v="14"/>
    <x v="13"/>
    <x v="1"/>
    <x v="1"/>
  </r>
  <r>
    <d v="2026-01-17T00:00:00"/>
    <x v="0"/>
    <d v="2026-01-17T00:00:00"/>
    <x v="0"/>
    <x v="0"/>
    <x v="0"/>
    <x v="0"/>
    <x v="0"/>
    <m/>
    <m/>
    <x v="0"/>
    <x v="0"/>
    <x v="0"/>
    <x v="0"/>
    <x v="0"/>
    <x v="1"/>
  </r>
  <r>
    <d v="2026-01-18T00:00:00"/>
    <x v="1"/>
    <d v="2026-01-18T00:00:00"/>
    <x v="0"/>
    <x v="0"/>
    <x v="0"/>
    <x v="0"/>
    <x v="0"/>
    <m/>
    <m/>
    <x v="0"/>
    <x v="0"/>
    <x v="0"/>
    <x v="0"/>
    <x v="0"/>
    <x v="1"/>
  </r>
  <r>
    <d v="2026-01-19T00:00:00"/>
    <x v="2"/>
    <d v="2026-01-19T00:00:00"/>
    <x v="0"/>
    <x v="6"/>
    <x v="22"/>
    <x v="0"/>
    <x v="0"/>
    <m/>
    <m/>
    <x v="0"/>
    <x v="0"/>
    <x v="0"/>
    <x v="0"/>
    <x v="0"/>
    <x v="1"/>
  </r>
  <r>
    <d v="2026-01-20T00:00:00"/>
    <x v="3"/>
    <d v="2026-01-20T00:00:00"/>
    <x v="2"/>
    <x v="6"/>
    <x v="22"/>
    <x v="14"/>
    <x v="16"/>
    <n v="0"/>
    <n v="24"/>
    <x v="5"/>
    <x v="3"/>
    <x v="14"/>
    <x v="13"/>
    <x v="1"/>
    <x v="1"/>
  </r>
  <r>
    <d v="2026-01-21T00:00:00"/>
    <x v="4"/>
    <d v="2026-01-21T00:00:00"/>
    <x v="2"/>
    <x v="6"/>
    <x v="22"/>
    <x v="13"/>
    <x v="16"/>
    <n v="11"/>
    <n v="18"/>
    <x v="5"/>
    <x v="3"/>
    <x v="14"/>
    <x v="13"/>
    <x v="1"/>
    <x v="1"/>
  </r>
  <r>
    <d v="2026-01-22T00:00:00"/>
    <x v="5"/>
    <d v="2026-01-22T00:00:00"/>
    <x v="2"/>
    <x v="6"/>
    <x v="22"/>
    <x v="14"/>
    <x v="16"/>
    <n v="30"/>
    <n v="12"/>
    <x v="3"/>
    <x v="3"/>
    <x v="14"/>
    <x v="13"/>
    <x v="1"/>
    <x v="1"/>
  </r>
  <r>
    <d v="2026-01-23T00:00:00"/>
    <x v="6"/>
    <d v="2026-01-23T00:00:00"/>
    <x v="2"/>
    <x v="6"/>
    <x v="22"/>
    <x v="14"/>
    <x v="16"/>
    <n v="8"/>
    <n v="18"/>
    <x v="5"/>
    <x v="3"/>
    <x v="14"/>
    <x v="13"/>
    <x v="1"/>
    <x v="1"/>
  </r>
  <r>
    <d v="2026-01-24T00:00:00"/>
    <x v="0"/>
    <d v="2026-01-24T00:00:00"/>
    <x v="0"/>
    <x v="0"/>
    <x v="0"/>
    <x v="0"/>
    <x v="0"/>
    <m/>
    <m/>
    <x v="0"/>
    <x v="0"/>
    <x v="0"/>
    <x v="0"/>
    <x v="0"/>
    <x v="1"/>
  </r>
  <r>
    <d v="2026-01-25T00:00:00"/>
    <x v="1"/>
    <d v="2026-01-25T00:00:00"/>
    <x v="0"/>
    <x v="0"/>
    <x v="0"/>
    <x v="0"/>
    <x v="0"/>
    <m/>
    <m/>
    <x v="0"/>
    <x v="0"/>
    <x v="0"/>
    <x v="0"/>
    <x v="0"/>
    <x v="1"/>
  </r>
  <r>
    <d v="2026-01-26T00:00:00"/>
    <x v="2"/>
    <d v="2026-01-26T00:00:00"/>
    <x v="0"/>
    <x v="0"/>
    <x v="0"/>
    <x v="0"/>
    <x v="0"/>
    <m/>
    <m/>
    <x v="0"/>
    <x v="0"/>
    <x v="0"/>
    <x v="0"/>
    <x v="0"/>
    <x v="1"/>
  </r>
  <r>
    <d v="2026-01-27T00:00:00"/>
    <x v="3"/>
    <d v="2026-01-27T00:00:00"/>
    <x v="2"/>
    <x v="6"/>
    <x v="22"/>
    <x v="13"/>
    <x v="14"/>
    <n v="20"/>
    <n v="12"/>
    <x v="5"/>
    <x v="3"/>
    <x v="14"/>
    <x v="13"/>
    <x v="1"/>
    <x v="1"/>
  </r>
  <r>
    <d v="2026-01-28T00:00:00"/>
    <x v="4"/>
    <d v="2026-01-28T00:00:00"/>
    <x v="2"/>
    <x v="6"/>
    <x v="22"/>
    <x v="4"/>
    <x v="16"/>
    <n v="37"/>
    <n v="29"/>
    <x v="5"/>
    <x v="3"/>
    <x v="14"/>
    <x v="6"/>
    <x v="1"/>
    <x v="1"/>
  </r>
  <r>
    <d v="2026-01-29T00:00:00"/>
    <x v="5"/>
    <d v="2026-01-29T00:00:00"/>
    <x v="2"/>
    <x v="6"/>
    <x v="22"/>
    <x v="6"/>
    <x v="7"/>
    <n v="6"/>
    <n v="17"/>
    <x v="5"/>
    <x v="3"/>
    <x v="14"/>
    <x v="14"/>
    <x v="1"/>
    <x v="1"/>
  </r>
  <r>
    <d v="2026-01-30T00:00:00"/>
    <x v="6"/>
    <d v="2026-01-30T00:00:00"/>
    <x v="2"/>
    <x v="6"/>
    <x v="22"/>
    <x v="14"/>
    <x v="16"/>
    <n v="15"/>
    <n v="9"/>
    <x v="5"/>
    <x v="3"/>
    <x v="15"/>
    <x v="11"/>
    <x v="1"/>
    <x v="1"/>
  </r>
  <r>
    <d v="2026-01-31T00:00:00"/>
    <x v="0"/>
    <d v="2026-01-31T00:00:00"/>
    <x v="2"/>
    <x v="6"/>
    <x v="22"/>
    <x v="1"/>
    <x v="6"/>
    <n v="20"/>
    <n v="6"/>
    <x v="5"/>
    <x v="3"/>
    <x v="14"/>
    <x v="8"/>
    <x v="1"/>
    <x v="1"/>
  </r>
  <r>
    <d v="2026-02-01T00:00:00"/>
    <x v="1"/>
    <d v="2026-02-01T00:00:00"/>
    <x v="0"/>
    <x v="0"/>
    <x v="0"/>
    <x v="0"/>
    <x v="0"/>
    <m/>
    <m/>
    <x v="0"/>
    <x v="0"/>
    <x v="0"/>
    <x v="0"/>
    <x v="0"/>
    <x v="1"/>
  </r>
  <r>
    <d v="2026-02-02T00:00:00"/>
    <x v="2"/>
    <d v="2026-02-02T00:00:00"/>
    <x v="2"/>
    <x v="6"/>
    <x v="22"/>
    <x v="1"/>
    <x v="16"/>
    <m/>
    <m/>
    <x v="0"/>
    <x v="0"/>
    <x v="14"/>
    <x v="13"/>
    <x v="1"/>
    <x v="1"/>
  </r>
  <r>
    <d v="2026-02-03T00:00:00"/>
    <x v="3"/>
    <d v="2026-02-03T00:00:00"/>
    <x v="2"/>
    <x v="6"/>
    <x v="22"/>
    <x v="13"/>
    <x v="16"/>
    <n v="0"/>
    <n v="0"/>
    <x v="5"/>
    <x v="3"/>
    <x v="14"/>
    <x v="13"/>
    <x v="1"/>
    <x v="1"/>
  </r>
  <r>
    <d v="2026-02-04T00:00:00"/>
    <x v="4"/>
    <d v="2026-02-04T00:00:00"/>
    <x v="2"/>
    <x v="6"/>
    <x v="22"/>
    <x v="14"/>
    <x v="16"/>
    <n v="0"/>
    <n v="0"/>
    <x v="5"/>
    <x v="3"/>
    <x v="14"/>
    <x v="13"/>
    <x v="1"/>
    <x v="1"/>
  </r>
  <r>
    <d v="2026-02-05T00:00:00"/>
    <x v="5"/>
    <d v="2026-02-05T00:00:00"/>
    <x v="0"/>
    <x v="0"/>
    <x v="0"/>
    <x v="14"/>
    <x v="16"/>
    <n v="0"/>
    <n v="0"/>
    <x v="5"/>
    <x v="3"/>
    <x v="14"/>
    <x v="13"/>
    <x v="1"/>
    <x v="1"/>
  </r>
  <r>
    <d v="2026-02-06T00:00:00"/>
    <x v="6"/>
    <d v="2026-02-06T00:00:00"/>
    <x v="2"/>
    <x v="6"/>
    <x v="22"/>
    <x v="13"/>
    <x v="0"/>
    <m/>
    <m/>
    <x v="0"/>
    <x v="3"/>
    <x v="14"/>
    <x v="13"/>
    <x v="1"/>
    <x v="1"/>
  </r>
  <r>
    <d v="2026-02-07T00:00:00"/>
    <x v="0"/>
    <d v="2026-02-07T00:00:00"/>
    <x v="2"/>
    <x v="6"/>
    <x v="22"/>
    <x v="10"/>
    <x v="15"/>
    <n v="12"/>
    <n v="0"/>
    <x v="5"/>
    <x v="3"/>
    <x v="14"/>
    <x v="12"/>
    <x v="1"/>
    <x v="1"/>
  </r>
  <r>
    <d v="2026-02-08T00:00:00"/>
    <x v="1"/>
    <d v="2026-02-08T00:00:00"/>
    <x v="0"/>
    <x v="0"/>
    <x v="0"/>
    <x v="0"/>
    <x v="0"/>
    <m/>
    <m/>
    <x v="0"/>
    <x v="0"/>
    <x v="0"/>
    <x v="0"/>
    <x v="0"/>
    <x v="1"/>
  </r>
  <r>
    <d v="2026-02-09T00:00:00"/>
    <x v="2"/>
    <d v="2026-02-09T00:00:00"/>
    <x v="2"/>
    <x v="6"/>
    <x v="22"/>
    <x v="1"/>
    <x v="7"/>
    <n v="21"/>
    <n v="13"/>
    <x v="5"/>
    <x v="3"/>
    <x v="14"/>
    <x v="13"/>
    <x v="1"/>
    <x v="1"/>
  </r>
  <r>
    <d v="2026-02-10T00:00:00"/>
    <x v="3"/>
    <d v="2026-02-10T00:00:00"/>
    <x v="2"/>
    <x v="6"/>
    <x v="22"/>
    <x v="15"/>
    <x v="14"/>
    <n v="0"/>
    <n v="12"/>
    <x v="5"/>
    <x v="3"/>
    <x v="14"/>
    <x v="10"/>
    <x v="1"/>
    <x v="1"/>
  </r>
  <r>
    <d v="2026-02-11T00:00:00"/>
    <x v="4"/>
    <d v="2026-02-11T00:00:00"/>
    <x v="2"/>
    <x v="6"/>
    <x v="22"/>
    <x v="14"/>
    <x v="9"/>
    <n v="0"/>
    <n v="6"/>
    <x v="3"/>
    <x v="3"/>
    <x v="14"/>
    <x v="8"/>
    <x v="1"/>
    <x v="1"/>
  </r>
  <r>
    <d v="2026-02-12T00:00:00"/>
    <x v="5"/>
    <d v="2026-02-12T00:00:00"/>
    <x v="2"/>
    <x v="6"/>
    <x v="22"/>
    <x v="8"/>
    <x v="16"/>
    <n v="0"/>
    <n v="24"/>
    <x v="4"/>
    <x v="3"/>
    <x v="7"/>
    <x v="7"/>
    <x v="1"/>
    <x v="1"/>
  </r>
  <r>
    <d v="2026-02-13T00:00:00"/>
    <x v="6"/>
    <d v="2026-02-13T00:00:00"/>
    <x v="2"/>
    <x v="6"/>
    <x v="22"/>
    <x v="16"/>
    <x v="11"/>
    <n v="10"/>
    <n v="28"/>
    <x v="5"/>
    <x v="3"/>
    <x v="14"/>
    <x v="13"/>
    <x v="1"/>
    <x v="1"/>
  </r>
  <r>
    <d v="2026-02-14T00:00:00"/>
    <x v="0"/>
    <d v="2026-02-14T00:00:00"/>
    <x v="0"/>
    <x v="0"/>
    <x v="0"/>
    <x v="0"/>
    <x v="0"/>
    <m/>
    <m/>
    <x v="0"/>
    <x v="0"/>
    <x v="0"/>
    <x v="0"/>
    <x v="0"/>
    <x v="1"/>
  </r>
  <r>
    <d v="2026-02-15T00:00:00"/>
    <x v="1"/>
    <d v="2026-02-15T00:00:00"/>
    <x v="0"/>
    <x v="0"/>
    <x v="0"/>
    <x v="0"/>
    <x v="0"/>
    <m/>
    <m/>
    <x v="0"/>
    <x v="0"/>
    <x v="0"/>
    <x v="0"/>
    <x v="0"/>
    <x v="1"/>
  </r>
  <r>
    <d v="2026-02-16T00:00:00"/>
    <x v="2"/>
    <d v="2026-02-16T00:00:00"/>
    <x v="2"/>
    <x v="6"/>
    <x v="22"/>
    <x v="14"/>
    <x v="16"/>
    <n v="0"/>
    <n v="16"/>
    <x v="5"/>
    <x v="3"/>
    <x v="14"/>
    <x v="10"/>
    <x v="1"/>
    <x v="1"/>
  </r>
  <r>
    <d v="2026-02-17T00:00:00"/>
    <x v="3"/>
    <d v="2026-02-17T00:00:00"/>
    <x v="2"/>
    <x v="6"/>
    <x v="22"/>
    <x v="14"/>
    <x v="16"/>
    <n v="0"/>
    <n v="0"/>
    <x v="5"/>
    <x v="3"/>
    <x v="2"/>
    <x v="13"/>
    <x v="1"/>
    <x v="1"/>
  </r>
  <r>
    <d v="2026-02-18T00:00:00"/>
    <x v="4"/>
    <d v="2026-02-18T00:00:00"/>
    <x v="2"/>
    <x v="6"/>
    <x v="22"/>
    <x v="14"/>
    <x v="11"/>
    <n v="97"/>
    <n v="10"/>
    <x v="3"/>
    <x v="3"/>
    <x v="16"/>
    <x v="13"/>
    <x v="1"/>
    <x v="1"/>
  </r>
  <r>
    <d v="2026-02-19T00:00:00"/>
    <x v="5"/>
    <d v="2026-02-19T00:00:00"/>
    <x v="2"/>
    <x v="6"/>
    <x v="22"/>
    <x v="14"/>
    <x v="7"/>
    <n v="0"/>
    <n v="0"/>
    <x v="5"/>
    <x v="3"/>
    <x v="14"/>
    <x v="13"/>
    <x v="1"/>
    <x v="1"/>
  </r>
  <r>
    <d v="2026-02-20T00:00:00"/>
    <x v="6"/>
    <d v="2026-02-20T00:00:00"/>
    <x v="2"/>
    <x v="6"/>
    <x v="22"/>
    <x v="14"/>
    <x v="7"/>
    <n v="0"/>
    <n v="22"/>
    <x v="5"/>
    <x v="3"/>
    <x v="17"/>
    <x v="13"/>
    <x v="1"/>
    <x v="1"/>
  </r>
  <r>
    <d v="2026-02-21T00:00:00"/>
    <x v="0"/>
    <d v="2026-02-21T00:00:00"/>
    <x v="0"/>
    <x v="0"/>
    <x v="0"/>
    <x v="0"/>
    <x v="0"/>
    <m/>
    <m/>
    <x v="0"/>
    <x v="0"/>
    <x v="0"/>
    <x v="0"/>
    <x v="0"/>
    <x v="1"/>
  </r>
  <r>
    <d v="2026-02-22T00:00:00"/>
    <x v="1"/>
    <d v="2026-02-22T00:00:00"/>
    <x v="0"/>
    <x v="0"/>
    <x v="0"/>
    <x v="0"/>
    <x v="0"/>
    <m/>
    <m/>
    <x v="0"/>
    <x v="0"/>
    <x v="0"/>
    <x v="0"/>
    <x v="0"/>
    <x v="1"/>
  </r>
  <r>
    <d v="2026-02-23T00:00:00"/>
    <x v="2"/>
    <d v="2026-02-23T00:00:00"/>
    <x v="2"/>
    <x v="6"/>
    <x v="22"/>
    <x v="2"/>
    <x v="11"/>
    <n v="38"/>
    <n v="27"/>
    <x v="5"/>
    <x v="3"/>
    <x v="14"/>
    <x v="13"/>
    <x v="1"/>
    <x v="1"/>
  </r>
  <r>
    <d v="2026-02-24T00:00:00"/>
    <x v="3"/>
    <d v="2026-02-24T00:00:00"/>
    <x v="2"/>
    <x v="6"/>
    <x v="22"/>
    <x v="14"/>
    <x v="11"/>
    <n v="6"/>
    <n v="12"/>
    <x v="3"/>
    <x v="3"/>
    <x v="14"/>
    <x v="13"/>
    <x v="1"/>
    <x v="1"/>
  </r>
  <r>
    <d v="2026-02-25T00:00:00"/>
    <x v="4"/>
    <d v="2026-02-25T00:00:00"/>
    <x v="2"/>
    <x v="6"/>
    <x v="22"/>
    <x v="8"/>
    <x v="6"/>
    <n v="6"/>
    <n v="30"/>
    <x v="5"/>
    <x v="3"/>
    <x v="14"/>
    <x v="13"/>
    <x v="1"/>
    <x v="1"/>
  </r>
  <r>
    <d v="2026-02-26T00:00:00"/>
    <x v="5"/>
    <d v="2026-02-26T00:00:00"/>
    <x v="0"/>
    <x v="0"/>
    <x v="0"/>
    <x v="0"/>
    <x v="0"/>
    <m/>
    <m/>
    <x v="0"/>
    <x v="0"/>
    <x v="0"/>
    <x v="0"/>
    <x v="0"/>
    <x v="1"/>
  </r>
  <r>
    <d v="2026-02-27T00:00:00"/>
    <x v="6"/>
    <d v="2026-02-27T00:00:00"/>
    <x v="2"/>
    <x v="6"/>
    <x v="22"/>
    <x v="0"/>
    <x v="5"/>
    <n v="22"/>
    <n v="42"/>
    <x v="3"/>
    <x v="0"/>
    <x v="0"/>
    <x v="0"/>
    <x v="0"/>
    <x v="1"/>
  </r>
  <r>
    <d v="2026-02-28T00:00:00"/>
    <x v="0"/>
    <d v="2026-02-28T00:00:00"/>
    <x v="2"/>
    <x v="6"/>
    <x v="22"/>
    <x v="0"/>
    <x v="17"/>
    <n v="0"/>
    <n v="26"/>
    <x v="4"/>
    <x v="0"/>
    <x v="0"/>
    <x v="0"/>
    <x v="0"/>
    <x v="1"/>
  </r>
  <r>
    <d v="2026-03-01T00:00:00"/>
    <x v="1"/>
    <d v="2026-03-01T00:00:00"/>
    <x v="0"/>
    <x v="0"/>
    <x v="0"/>
    <x v="0"/>
    <x v="0"/>
    <m/>
    <m/>
    <x v="0"/>
    <x v="0"/>
    <x v="0"/>
    <x v="0"/>
    <x v="0"/>
    <x v="1"/>
  </r>
  <r>
    <d v="2026-03-02T00:00:00"/>
    <x v="2"/>
    <d v="2026-03-02T00:00:00"/>
    <x v="2"/>
    <x v="7"/>
    <x v="23"/>
    <x v="0"/>
    <x v="0"/>
    <m/>
    <m/>
    <x v="3"/>
    <x v="0"/>
    <x v="0"/>
    <x v="0"/>
    <x v="0"/>
    <x v="1"/>
  </r>
  <r>
    <d v="2026-03-02T00:00:00"/>
    <x v="2"/>
    <d v="2026-03-02T00:00:00"/>
    <x v="2"/>
    <x v="7"/>
    <x v="24"/>
    <x v="0"/>
    <x v="0"/>
    <m/>
    <m/>
    <x v="3"/>
    <x v="0"/>
    <x v="0"/>
    <x v="0"/>
    <x v="0"/>
    <x v="1"/>
  </r>
  <r>
    <d v="2026-03-02T00:00:00"/>
    <x v="2"/>
    <d v="2026-03-02T00:00:00"/>
    <x v="2"/>
    <x v="8"/>
    <x v="25"/>
    <x v="0"/>
    <x v="0"/>
    <m/>
    <m/>
    <x v="4"/>
    <x v="0"/>
    <x v="0"/>
    <x v="0"/>
    <x v="0"/>
    <x v="1"/>
  </r>
  <r>
    <d v="2026-03-02T00:00:00"/>
    <x v="2"/>
    <d v="2026-03-02T00:00:00"/>
    <x v="2"/>
    <x v="9"/>
    <x v="26"/>
    <x v="0"/>
    <x v="11"/>
    <m/>
    <n v="6"/>
    <x v="0"/>
    <x v="0"/>
    <x v="0"/>
    <x v="0"/>
    <x v="0"/>
    <x v="1"/>
  </r>
  <r>
    <d v="2026-03-02T00:00:00"/>
    <x v="2"/>
    <d v="2026-03-02T00:00:00"/>
    <x v="2"/>
    <x v="9"/>
    <x v="27"/>
    <x v="0"/>
    <x v="6"/>
    <m/>
    <n v="6"/>
    <x v="4"/>
    <x v="0"/>
    <x v="0"/>
    <x v="0"/>
    <x v="0"/>
    <x v="1"/>
  </r>
  <r>
    <d v="2026-03-02T00:00:00"/>
    <x v="2"/>
    <d v="2026-03-02T00:00:00"/>
    <x v="2"/>
    <x v="9"/>
    <x v="28"/>
    <x v="0"/>
    <x v="0"/>
    <m/>
    <n v="6"/>
    <x v="0"/>
    <x v="0"/>
    <x v="0"/>
    <x v="0"/>
    <x v="0"/>
    <x v="1"/>
  </r>
  <r>
    <d v="2026-03-03T00:00:00"/>
    <x v="3"/>
    <d v="2026-03-03T00:00:00"/>
    <x v="2"/>
    <x v="8"/>
    <x v="29"/>
    <x v="0"/>
    <x v="0"/>
    <m/>
    <n v="3"/>
    <x v="0"/>
    <x v="0"/>
    <x v="0"/>
    <x v="0"/>
    <x v="0"/>
    <x v="1"/>
  </r>
  <r>
    <d v="2026-03-03T00:00:00"/>
    <x v="3"/>
    <d v="2026-03-03T00:00:00"/>
    <x v="2"/>
    <x v="7"/>
    <x v="30"/>
    <x v="0"/>
    <x v="0"/>
    <m/>
    <n v="6"/>
    <x v="0"/>
    <x v="0"/>
    <x v="0"/>
    <x v="0"/>
    <x v="0"/>
    <x v="1"/>
  </r>
  <r>
    <d v="2026-03-03T00:00:00"/>
    <x v="3"/>
    <d v="2026-03-03T00:00:00"/>
    <x v="2"/>
    <x v="7"/>
    <x v="31"/>
    <x v="0"/>
    <x v="0"/>
    <m/>
    <n v="12"/>
    <x v="3"/>
    <x v="0"/>
    <x v="0"/>
    <x v="0"/>
    <x v="0"/>
    <x v="1"/>
  </r>
  <r>
    <d v="2026-03-03T00:00:00"/>
    <x v="3"/>
    <d v="2026-03-03T00:00:00"/>
    <x v="2"/>
    <x v="9"/>
    <x v="26"/>
    <x v="0"/>
    <x v="9"/>
    <n v="20"/>
    <n v="6"/>
    <x v="0"/>
    <x v="0"/>
    <x v="0"/>
    <x v="0"/>
    <x v="0"/>
    <x v="1"/>
  </r>
  <r>
    <d v="2026-03-03T00:00:00"/>
    <x v="3"/>
    <d v="2026-03-03T00:00:00"/>
    <x v="2"/>
    <x v="9"/>
    <x v="28"/>
    <x v="0"/>
    <x v="6"/>
    <m/>
    <n v="6"/>
    <x v="0"/>
    <x v="0"/>
    <x v="0"/>
    <x v="0"/>
    <x v="0"/>
    <x v="1"/>
  </r>
  <r>
    <d v="2026-03-04T00:00:00"/>
    <x v="4"/>
    <d v="2026-03-04T00:00:00"/>
    <x v="2"/>
    <x v="10"/>
    <x v="32"/>
    <x v="0"/>
    <x v="0"/>
    <m/>
    <n v="12"/>
    <x v="0"/>
    <x v="0"/>
    <x v="0"/>
    <x v="0"/>
    <x v="0"/>
    <x v="1"/>
  </r>
  <r>
    <d v="2026-03-04T00:00:00"/>
    <x v="4"/>
    <d v="2026-03-04T00:00:00"/>
    <x v="2"/>
    <x v="10"/>
    <x v="23"/>
    <x v="0"/>
    <x v="0"/>
    <m/>
    <n v="6"/>
    <x v="0"/>
    <x v="0"/>
    <x v="0"/>
    <x v="0"/>
    <x v="0"/>
    <x v="1"/>
  </r>
  <r>
    <d v="2026-03-04T00:00:00"/>
    <x v="4"/>
    <d v="2026-03-04T00:00:00"/>
    <x v="2"/>
    <x v="10"/>
    <x v="24"/>
    <x v="0"/>
    <x v="0"/>
    <m/>
    <n v="12"/>
    <x v="3"/>
    <x v="0"/>
    <x v="0"/>
    <x v="0"/>
    <x v="0"/>
    <x v="1"/>
  </r>
  <r>
    <d v="2026-03-04T00:00:00"/>
    <x v="4"/>
    <d v="2026-03-04T00:00:00"/>
    <x v="2"/>
    <x v="9"/>
    <x v="26"/>
    <x v="0"/>
    <x v="1"/>
    <m/>
    <n v="6"/>
    <x v="0"/>
    <x v="0"/>
    <x v="0"/>
    <x v="0"/>
    <x v="0"/>
    <x v="1"/>
  </r>
  <r>
    <d v="2026-03-04T00:00:00"/>
    <x v="4"/>
    <d v="2026-03-04T00:00:00"/>
    <x v="2"/>
    <x v="9"/>
    <x v="28"/>
    <x v="0"/>
    <x v="1"/>
    <m/>
    <m/>
    <x v="0"/>
    <x v="0"/>
    <x v="0"/>
    <x v="0"/>
    <x v="0"/>
    <x v="1"/>
  </r>
  <r>
    <d v="2026-03-04T00:00:00"/>
    <x v="4"/>
    <d v="2026-03-04T00:00:00"/>
    <x v="2"/>
    <x v="9"/>
    <x v="33"/>
    <x v="0"/>
    <x v="15"/>
    <m/>
    <m/>
    <x v="0"/>
    <x v="0"/>
    <x v="0"/>
    <x v="0"/>
    <x v="0"/>
    <x v="1"/>
  </r>
  <r>
    <d v="2026-03-05T00:00:00"/>
    <x v="5"/>
    <d v="2026-03-05T00:00:00"/>
    <x v="2"/>
    <x v="9"/>
    <x v="26"/>
    <x v="11"/>
    <x v="9"/>
    <m/>
    <n v="12"/>
    <x v="0"/>
    <x v="0"/>
    <x v="1"/>
    <x v="0"/>
    <x v="0"/>
    <x v="1"/>
  </r>
  <r>
    <d v="2026-03-05T00:00:00"/>
    <x v="5"/>
    <d v="2026-03-05T00:00:00"/>
    <x v="2"/>
    <x v="9"/>
    <x v="28"/>
    <x v="0"/>
    <x v="0"/>
    <m/>
    <n v="6"/>
    <x v="0"/>
    <x v="0"/>
    <x v="0"/>
    <x v="0"/>
    <x v="0"/>
    <x v="1"/>
  </r>
  <r>
    <d v="2026-03-05T00:00:00"/>
    <x v="5"/>
    <d v="2026-03-05T00:00:00"/>
    <x v="2"/>
    <x v="9"/>
    <x v="34"/>
    <x v="0"/>
    <x v="15"/>
    <m/>
    <m/>
    <x v="0"/>
    <x v="0"/>
    <x v="0"/>
    <x v="0"/>
    <x v="0"/>
    <x v="1"/>
  </r>
  <r>
    <d v="2026-03-05T00:00:00"/>
    <x v="5"/>
    <d v="2026-03-05T00:00:00"/>
    <x v="2"/>
    <x v="10"/>
    <x v="32"/>
    <x v="0"/>
    <x v="0"/>
    <m/>
    <n v="9"/>
    <x v="0"/>
    <x v="0"/>
    <x v="0"/>
    <x v="0"/>
    <x v="0"/>
    <x v="1"/>
  </r>
  <r>
    <d v="2026-03-05T00:00:00"/>
    <x v="5"/>
    <d v="2026-03-05T00:00:00"/>
    <x v="2"/>
    <x v="10"/>
    <x v="23"/>
    <x v="0"/>
    <x v="0"/>
    <n v="56"/>
    <m/>
    <x v="0"/>
    <x v="0"/>
    <x v="0"/>
    <x v="0"/>
    <x v="0"/>
    <x v="1"/>
  </r>
  <r>
    <d v="2026-03-05T00:00:00"/>
    <x v="5"/>
    <d v="2026-03-05T00:00:00"/>
    <x v="2"/>
    <x v="10"/>
    <x v="24"/>
    <x v="0"/>
    <x v="0"/>
    <m/>
    <n v="5"/>
    <x v="0"/>
    <x v="0"/>
    <x v="0"/>
    <x v="0"/>
    <x v="0"/>
    <x v="1"/>
  </r>
  <r>
    <d v="2026-03-06T00:00:00"/>
    <x v="6"/>
    <d v="2026-03-06T00:00:00"/>
    <x v="2"/>
    <x v="9"/>
    <x v="26"/>
    <x v="2"/>
    <x v="0"/>
    <m/>
    <m/>
    <x v="0"/>
    <x v="0"/>
    <x v="1"/>
    <x v="0"/>
    <x v="0"/>
    <x v="1"/>
  </r>
  <r>
    <d v="2026-03-06T00:00:00"/>
    <x v="6"/>
    <d v="2026-03-06T00:00:00"/>
    <x v="2"/>
    <x v="9"/>
    <x v="27"/>
    <x v="0"/>
    <x v="15"/>
    <m/>
    <m/>
    <x v="4"/>
    <x v="0"/>
    <x v="0"/>
    <x v="0"/>
    <x v="0"/>
    <x v="1"/>
  </r>
  <r>
    <d v="2026-03-06T00:00:00"/>
    <x v="6"/>
    <d v="2026-03-06T00:00:00"/>
    <x v="2"/>
    <x v="9"/>
    <x v="28"/>
    <x v="0"/>
    <x v="11"/>
    <n v="60"/>
    <m/>
    <x v="3"/>
    <x v="0"/>
    <x v="0"/>
    <x v="0"/>
    <x v="0"/>
    <x v="1"/>
  </r>
  <r>
    <d v="2026-03-06T00:00:00"/>
    <x v="6"/>
    <d v="2026-03-06T00:00:00"/>
    <x v="2"/>
    <x v="10"/>
    <x v="24"/>
    <x v="6"/>
    <x v="0"/>
    <n v="60"/>
    <m/>
    <x v="0"/>
    <x v="0"/>
    <x v="0"/>
    <x v="0"/>
    <x v="0"/>
    <x v="1"/>
  </r>
  <r>
    <d v="2026-03-06T00:00:00"/>
    <x v="6"/>
    <d v="2026-03-06T00:00:00"/>
    <x v="2"/>
    <x v="10"/>
    <x v="32"/>
    <x v="0"/>
    <x v="0"/>
    <m/>
    <n v="5"/>
    <x v="0"/>
    <x v="0"/>
    <x v="0"/>
    <x v="0"/>
    <x v="0"/>
    <x v="1"/>
  </r>
  <r>
    <d v="2026-03-07T00:00:00"/>
    <x v="0"/>
    <d v="2026-03-07T00:00:00"/>
    <x v="0"/>
    <x v="0"/>
    <x v="0"/>
    <x v="0"/>
    <x v="0"/>
    <m/>
    <m/>
    <x v="0"/>
    <x v="0"/>
    <x v="0"/>
    <x v="0"/>
    <x v="0"/>
    <x v="1"/>
  </r>
  <r>
    <d v="2026-03-08T00:00:00"/>
    <x v="1"/>
    <d v="2026-03-08T00:00:00"/>
    <x v="0"/>
    <x v="0"/>
    <x v="0"/>
    <x v="0"/>
    <x v="0"/>
    <m/>
    <m/>
    <x v="0"/>
    <x v="0"/>
    <x v="0"/>
    <x v="0"/>
    <x v="0"/>
    <x v="1"/>
  </r>
  <r>
    <d v="2026-03-09T00:00:00"/>
    <x v="2"/>
    <d v="2026-03-09T00:00:00"/>
    <x v="2"/>
    <x v="10"/>
    <x v="35"/>
    <x v="0"/>
    <x v="11"/>
    <m/>
    <n v="12"/>
    <x v="0"/>
    <x v="0"/>
    <x v="0"/>
    <x v="0"/>
    <x v="0"/>
    <x v="1"/>
  </r>
  <r>
    <d v="2026-03-09T00:00:00"/>
    <x v="2"/>
    <d v="2026-03-09T00:00:00"/>
    <x v="2"/>
    <x v="10"/>
    <x v="31"/>
    <x v="0"/>
    <x v="11"/>
    <m/>
    <m/>
    <x v="0"/>
    <x v="0"/>
    <x v="0"/>
    <x v="0"/>
    <x v="0"/>
    <x v="1"/>
  </r>
  <r>
    <d v="2026-03-09T00:00:00"/>
    <x v="2"/>
    <d v="2026-03-09T00:00:00"/>
    <x v="2"/>
    <x v="10"/>
    <x v="32"/>
    <x v="0"/>
    <x v="15"/>
    <m/>
    <m/>
    <x v="0"/>
    <x v="0"/>
    <x v="0"/>
    <x v="0"/>
    <x v="0"/>
    <x v="1"/>
  </r>
  <r>
    <d v="2026-03-09T00:00:00"/>
    <x v="2"/>
    <d v="2026-03-09T00:00:00"/>
    <x v="2"/>
    <x v="9"/>
    <x v="26"/>
    <x v="0"/>
    <x v="15"/>
    <m/>
    <n v="6"/>
    <x v="3"/>
    <x v="0"/>
    <x v="11"/>
    <x v="0"/>
    <x v="0"/>
    <x v="1"/>
  </r>
  <r>
    <d v="2026-03-09T00:00:00"/>
    <x v="2"/>
    <d v="2026-03-09T00:00:00"/>
    <x v="2"/>
    <x v="9"/>
    <x v="36"/>
    <x v="10"/>
    <x v="0"/>
    <m/>
    <m/>
    <x v="0"/>
    <x v="0"/>
    <x v="0"/>
    <x v="0"/>
    <x v="0"/>
    <x v="1"/>
  </r>
  <r>
    <d v="2026-03-09T00:00:00"/>
    <x v="2"/>
    <d v="2026-03-09T00:00:00"/>
    <x v="2"/>
    <x v="9"/>
    <x v="28"/>
    <x v="0"/>
    <x v="0"/>
    <m/>
    <m/>
    <x v="3"/>
    <x v="0"/>
    <x v="0"/>
    <x v="0"/>
    <x v="0"/>
    <x v="1"/>
  </r>
  <r>
    <d v="2026-03-10T00:00:00"/>
    <x v="3"/>
    <d v="2026-03-10T00:00:00"/>
    <x v="0"/>
    <x v="0"/>
    <x v="37"/>
    <x v="0"/>
    <x v="0"/>
    <m/>
    <m/>
    <x v="0"/>
    <x v="0"/>
    <x v="0"/>
    <x v="0"/>
    <x v="0"/>
    <x v="1"/>
  </r>
  <r>
    <d v="2026-03-11T00:00:00"/>
    <x v="4"/>
    <d v="2026-03-11T00:00:00"/>
    <x v="2"/>
    <x v="9"/>
    <x v="26"/>
    <x v="0"/>
    <x v="15"/>
    <n v="23"/>
    <m/>
    <x v="3"/>
    <x v="0"/>
    <x v="0"/>
    <x v="0"/>
    <x v="0"/>
    <x v="1"/>
  </r>
  <r>
    <d v="2026-03-11T00:00:00"/>
    <x v="4"/>
    <d v="2026-03-11T00:00:00"/>
    <x v="2"/>
    <x v="9"/>
    <x v="34"/>
    <x v="2"/>
    <x v="0"/>
    <m/>
    <m/>
    <x v="0"/>
    <x v="0"/>
    <x v="0"/>
    <x v="0"/>
    <x v="0"/>
    <x v="1"/>
  </r>
  <r>
    <d v="2026-03-11T00:00:00"/>
    <x v="4"/>
    <d v="2026-03-11T00:00:00"/>
    <x v="2"/>
    <x v="9"/>
    <x v="28"/>
    <x v="0"/>
    <x v="0"/>
    <m/>
    <m/>
    <x v="3"/>
    <x v="0"/>
    <x v="0"/>
    <x v="0"/>
    <x v="0"/>
    <x v="1"/>
  </r>
  <r>
    <d v="2026-03-11T00:00:00"/>
    <x v="4"/>
    <d v="2026-03-11T00:00:00"/>
    <x v="2"/>
    <x v="9"/>
    <x v="27"/>
    <x v="2"/>
    <x v="0"/>
    <m/>
    <m/>
    <x v="0"/>
    <x v="0"/>
    <x v="0"/>
    <x v="0"/>
    <x v="0"/>
    <x v="1"/>
  </r>
  <r>
    <d v="2026-03-11T00:00:00"/>
    <x v="4"/>
    <d v="2026-03-11T00:00:00"/>
    <x v="2"/>
    <x v="10"/>
    <x v="38"/>
    <x v="0"/>
    <x v="7"/>
    <m/>
    <n v="3"/>
    <x v="0"/>
    <x v="0"/>
    <x v="0"/>
    <x v="0"/>
    <x v="0"/>
    <x v="1"/>
  </r>
  <r>
    <d v="2026-03-11T00:00:00"/>
    <x v="4"/>
    <d v="2026-03-11T00:00:00"/>
    <x v="2"/>
    <x v="10"/>
    <x v="39"/>
    <x v="0"/>
    <x v="7"/>
    <m/>
    <m/>
    <x v="0"/>
    <x v="0"/>
    <x v="0"/>
    <x v="0"/>
    <x v="0"/>
    <x v="1"/>
  </r>
  <r>
    <d v="2026-03-11T00:00:00"/>
    <x v="4"/>
    <d v="2026-03-11T00:00:00"/>
    <x v="2"/>
    <x v="10"/>
    <x v="40"/>
    <x v="0"/>
    <x v="0"/>
    <m/>
    <m/>
    <x v="3"/>
    <x v="0"/>
    <x v="0"/>
    <x v="0"/>
    <x v="0"/>
    <x v="1"/>
  </r>
  <r>
    <d v="2026-03-11T00:00:00"/>
    <x v="4"/>
    <d v="2026-03-11T00:00:00"/>
    <x v="2"/>
    <x v="10"/>
    <x v="41"/>
    <x v="13"/>
    <x v="14"/>
    <m/>
    <m/>
    <x v="0"/>
    <x v="0"/>
    <x v="0"/>
    <x v="11"/>
    <x v="0"/>
    <x v="1"/>
  </r>
  <r>
    <d v="2026-03-12T00:00:00"/>
    <x v="5"/>
    <d v="2026-03-12T00:00:00"/>
    <x v="0"/>
    <x v="0"/>
    <x v="37"/>
    <x v="0"/>
    <x v="0"/>
    <m/>
    <m/>
    <x v="0"/>
    <x v="0"/>
    <x v="0"/>
    <x v="0"/>
    <x v="0"/>
    <x v="1"/>
  </r>
  <r>
    <d v="2026-03-13T00:00:00"/>
    <x v="6"/>
    <d v="2026-03-13T00:00:00"/>
    <x v="2"/>
    <x v="10"/>
    <x v="38"/>
    <x v="0"/>
    <x v="1"/>
    <m/>
    <m/>
    <x v="0"/>
    <x v="0"/>
    <x v="0"/>
    <x v="0"/>
    <x v="0"/>
    <x v="1"/>
  </r>
  <r>
    <d v="2026-03-13T00:00:00"/>
    <x v="6"/>
    <d v="2026-03-13T00:00:00"/>
    <x v="2"/>
    <x v="10"/>
    <x v="42"/>
    <x v="0"/>
    <x v="0"/>
    <n v="5"/>
    <m/>
    <x v="0"/>
    <x v="0"/>
    <x v="0"/>
    <x v="0"/>
    <x v="0"/>
    <x v="1"/>
  </r>
  <r>
    <d v="2026-03-13T00:00:00"/>
    <x v="6"/>
    <d v="2026-03-13T00:00:00"/>
    <x v="2"/>
    <x v="10"/>
    <x v="39"/>
    <x v="0"/>
    <x v="7"/>
    <m/>
    <m/>
    <x v="0"/>
    <x v="0"/>
    <x v="0"/>
    <x v="0"/>
    <x v="0"/>
    <x v="1"/>
  </r>
  <r>
    <d v="2026-03-13T00:00:00"/>
    <x v="6"/>
    <d v="2026-03-13T00:00:00"/>
    <x v="2"/>
    <x v="10"/>
    <x v="41"/>
    <x v="0"/>
    <x v="6"/>
    <m/>
    <m/>
    <x v="0"/>
    <x v="0"/>
    <x v="0"/>
    <x v="0"/>
    <x v="0"/>
    <x v="1"/>
  </r>
  <r>
    <d v="2026-03-13T00:00:00"/>
    <x v="6"/>
    <d v="2026-03-13T00:00:00"/>
    <x v="2"/>
    <x v="10"/>
    <x v="40"/>
    <x v="0"/>
    <x v="7"/>
    <m/>
    <m/>
    <x v="0"/>
    <x v="0"/>
    <x v="0"/>
    <x v="0"/>
    <x v="0"/>
    <x v="1"/>
  </r>
  <r>
    <d v="2026-03-13T00:00:00"/>
    <x v="6"/>
    <d v="2026-03-13T00:00:00"/>
    <x v="2"/>
    <x v="9"/>
    <x v="42"/>
    <x v="0"/>
    <x v="15"/>
    <m/>
    <m/>
    <x v="0"/>
    <x v="0"/>
    <x v="5"/>
    <x v="0"/>
    <x v="0"/>
    <x v="1"/>
  </r>
  <r>
    <d v="2026-03-13T00:00:00"/>
    <x v="6"/>
    <d v="2026-03-13T00:00:00"/>
    <x v="2"/>
    <x v="9"/>
    <x v="43"/>
    <x v="10"/>
    <x v="0"/>
    <m/>
    <m/>
    <x v="0"/>
    <x v="0"/>
    <x v="0"/>
    <x v="0"/>
    <x v="0"/>
    <x v="1"/>
  </r>
  <r>
    <d v="2026-03-14T00:00:00"/>
    <x v="0"/>
    <d v="2026-03-14T00:00:00"/>
    <x v="2"/>
    <x v="9"/>
    <x v="43"/>
    <x v="10"/>
    <x v="0"/>
    <m/>
    <m/>
    <x v="0"/>
    <x v="0"/>
    <x v="0"/>
    <x v="0"/>
    <x v="0"/>
    <x v="1"/>
  </r>
  <r>
    <d v="2026-03-15T00:00:00"/>
    <x v="1"/>
    <d v="2026-03-15T00:00:00"/>
    <x v="0"/>
    <x v="0"/>
    <x v="0"/>
    <x v="0"/>
    <x v="0"/>
    <m/>
    <m/>
    <x v="0"/>
    <x v="0"/>
    <x v="0"/>
    <x v="0"/>
    <x v="0"/>
    <x v="1"/>
  </r>
  <r>
    <d v="2026-03-16T00:00:00"/>
    <x v="2"/>
    <d v="2026-03-16T00:00:00"/>
    <x v="2"/>
    <x v="9"/>
    <x v="43"/>
    <x v="10"/>
    <x v="0"/>
    <m/>
    <m/>
    <x v="0"/>
    <x v="0"/>
    <x v="3"/>
    <x v="0"/>
    <x v="0"/>
    <x v="1"/>
  </r>
  <r>
    <d v="2026-03-16T00:00:00"/>
    <x v="2"/>
    <d v="2026-03-16T00:00:00"/>
    <x v="2"/>
    <x v="9"/>
    <x v="44"/>
    <x v="0"/>
    <x v="0"/>
    <m/>
    <n v="6"/>
    <x v="0"/>
    <x v="0"/>
    <x v="0"/>
    <x v="0"/>
    <x v="0"/>
    <x v="1"/>
  </r>
  <r>
    <d v="2026-03-16T00:00:00"/>
    <x v="2"/>
    <d v="2026-03-16T00:00:00"/>
    <x v="2"/>
    <x v="10"/>
    <x v="40"/>
    <x v="0"/>
    <x v="0"/>
    <m/>
    <n v="6"/>
    <x v="0"/>
    <x v="0"/>
    <x v="0"/>
    <x v="0"/>
    <x v="0"/>
    <x v="1"/>
  </r>
  <r>
    <d v="2026-03-16T00:00:00"/>
    <x v="2"/>
    <d v="2026-03-16T00:00:00"/>
    <x v="2"/>
    <x v="10"/>
    <x v="41"/>
    <x v="0"/>
    <x v="0"/>
    <m/>
    <n v="9"/>
    <x v="0"/>
    <x v="0"/>
    <x v="0"/>
    <x v="0"/>
    <x v="0"/>
    <x v="1"/>
  </r>
  <r>
    <d v="2026-03-16T00:00:00"/>
    <x v="2"/>
    <d v="2026-03-16T00:00:00"/>
    <x v="2"/>
    <x v="10"/>
    <x v="38"/>
    <x v="0"/>
    <x v="0"/>
    <m/>
    <n v="6"/>
    <x v="0"/>
    <x v="0"/>
    <x v="0"/>
    <x v="0"/>
    <x v="0"/>
    <x v="1"/>
  </r>
  <r>
    <d v="2026-03-16T00:00:00"/>
    <x v="2"/>
    <d v="2026-03-16T00:00:00"/>
    <x v="2"/>
    <x v="10"/>
    <x v="42"/>
    <x v="0"/>
    <x v="0"/>
    <m/>
    <n v="18"/>
    <x v="0"/>
    <x v="0"/>
    <x v="0"/>
    <x v="0"/>
    <x v="0"/>
    <x v="1"/>
  </r>
  <r>
    <d v="2026-03-16T00:00:00"/>
    <x v="2"/>
    <d v="2026-03-16T00:00:00"/>
    <x v="2"/>
    <x v="10"/>
    <x v="45"/>
    <x v="0"/>
    <x v="0"/>
    <m/>
    <m/>
    <x v="0"/>
    <x v="0"/>
    <x v="0"/>
    <x v="11"/>
    <x v="0"/>
    <x v="1"/>
  </r>
  <r>
    <d v="2026-03-17T00:00:00"/>
    <x v="3"/>
    <d v="2026-03-17T00:00:00"/>
    <x v="2"/>
    <x v="9"/>
    <x v="43"/>
    <x v="11"/>
    <x v="0"/>
    <m/>
    <m/>
    <x v="0"/>
    <x v="0"/>
    <x v="1"/>
    <x v="0"/>
    <x v="0"/>
    <x v="1"/>
  </r>
  <r>
    <d v="2026-03-17T00:00:00"/>
    <x v="3"/>
    <d v="2026-03-17T00:00:00"/>
    <x v="2"/>
    <x v="9"/>
    <x v="46"/>
    <x v="0"/>
    <x v="0"/>
    <m/>
    <m/>
    <x v="0"/>
    <x v="0"/>
    <x v="1"/>
    <x v="0"/>
    <x v="0"/>
    <x v="1"/>
  </r>
  <r>
    <d v="2026-03-17T00:00:00"/>
    <x v="3"/>
    <d v="2026-03-17T00:00:00"/>
    <x v="2"/>
    <x v="9"/>
    <x v="44"/>
    <x v="0"/>
    <x v="0"/>
    <m/>
    <n v="6"/>
    <x v="0"/>
    <x v="0"/>
    <x v="0"/>
    <x v="0"/>
    <x v="0"/>
    <x v="1"/>
  </r>
  <r>
    <d v="2026-03-17T00:00:00"/>
    <x v="3"/>
    <d v="2026-03-17T00:00:00"/>
    <x v="2"/>
    <x v="10"/>
    <x v="40"/>
    <x v="0"/>
    <x v="0"/>
    <m/>
    <n v="12"/>
    <x v="0"/>
    <x v="0"/>
    <x v="0"/>
    <x v="0"/>
    <x v="0"/>
    <x v="1"/>
  </r>
  <r>
    <d v="2026-03-17T00:00:00"/>
    <x v="3"/>
    <d v="2026-03-17T00:00:00"/>
    <x v="2"/>
    <x v="10"/>
    <x v="41"/>
    <x v="0"/>
    <x v="0"/>
    <m/>
    <n v="6"/>
    <x v="0"/>
    <x v="0"/>
    <x v="0"/>
    <x v="0"/>
    <x v="0"/>
    <x v="1"/>
  </r>
  <r>
    <d v="2026-03-17T00:00:00"/>
    <x v="3"/>
    <d v="2026-03-17T00:00:00"/>
    <x v="2"/>
    <x v="10"/>
    <x v="38"/>
    <x v="0"/>
    <x v="0"/>
    <m/>
    <n v="6"/>
    <x v="0"/>
    <x v="0"/>
    <x v="0"/>
    <x v="0"/>
    <x v="0"/>
    <x v="1"/>
  </r>
  <r>
    <d v="2026-03-18T00:00:00"/>
    <x v="4"/>
    <d v="2026-03-18T00:00:00"/>
    <x v="2"/>
    <x v="9"/>
    <x v="47"/>
    <x v="11"/>
    <x v="0"/>
    <m/>
    <m/>
    <x v="0"/>
    <x v="0"/>
    <x v="0"/>
    <x v="0"/>
    <x v="0"/>
    <x v="1"/>
  </r>
  <r>
    <d v="2026-03-18T00:00:00"/>
    <x v="4"/>
    <d v="2026-03-18T00:00:00"/>
    <x v="2"/>
    <x v="9"/>
    <x v="28"/>
    <x v="0"/>
    <x v="14"/>
    <m/>
    <n v="12"/>
    <x v="0"/>
    <x v="0"/>
    <x v="0"/>
    <x v="0"/>
    <x v="0"/>
    <x v="1"/>
  </r>
  <r>
    <d v="2026-03-18T00:00:00"/>
    <x v="4"/>
    <d v="2026-03-18T00:00:00"/>
    <x v="2"/>
    <x v="9"/>
    <x v="26"/>
    <x v="11"/>
    <x v="0"/>
    <m/>
    <m/>
    <x v="0"/>
    <x v="0"/>
    <x v="1"/>
    <x v="0"/>
    <x v="0"/>
    <x v="1"/>
  </r>
  <r>
    <d v="2026-03-18T00:00:00"/>
    <x v="4"/>
    <d v="2026-03-18T00:00:00"/>
    <x v="2"/>
    <x v="9"/>
    <x v="48"/>
    <x v="0"/>
    <x v="0"/>
    <m/>
    <m/>
    <x v="0"/>
    <x v="0"/>
    <x v="1"/>
    <x v="0"/>
    <x v="0"/>
    <x v="1"/>
  </r>
  <r>
    <d v="2026-03-18T00:00:00"/>
    <x v="4"/>
    <d v="2026-03-18T00:00:00"/>
    <x v="2"/>
    <x v="10"/>
    <x v="41"/>
    <x v="0"/>
    <x v="0"/>
    <m/>
    <n v="15"/>
    <x v="0"/>
    <x v="0"/>
    <x v="0"/>
    <x v="0"/>
    <x v="0"/>
    <x v="1"/>
  </r>
  <r>
    <d v="2026-03-18T00:00:00"/>
    <x v="4"/>
    <d v="2026-03-18T00:00:00"/>
    <x v="2"/>
    <x v="10"/>
    <x v="40"/>
    <x v="0"/>
    <x v="0"/>
    <n v="54"/>
    <m/>
    <x v="0"/>
    <x v="0"/>
    <x v="0"/>
    <x v="0"/>
    <x v="0"/>
    <x v="1"/>
  </r>
  <r>
    <d v="2026-03-18T00:00:00"/>
    <x v="4"/>
    <d v="2026-03-18T00:00:00"/>
    <x v="2"/>
    <x v="10"/>
    <x v="38"/>
    <x v="0"/>
    <x v="0"/>
    <m/>
    <n v="6"/>
    <x v="3"/>
    <x v="0"/>
    <x v="0"/>
    <x v="0"/>
    <x v="0"/>
    <x v="1"/>
  </r>
  <r>
    <d v="2026-03-19T00:00:00"/>
    <x v="5"/>
    <d v="2026-03-19T00:00:00"/>
    <x v="2"/>
    <x v="9"/>
    <x v="44"/>
    <x v="0"/>
    <x v="0"/>
    <m/>
    <n v="12"/>
    <x v="0"/>
    <x v="0"/>
    <x v="0"/>
    <x v="0"/>
    <x v="0"/>
    <x v="1"/>
  </r>
  <r>
    <d v="2026-03-19T00:00:00"/>
    <x v="5"/>
    <d v="2026-03-19T00:00:00"/>
    <x v="2"/>
    <x v="9"/>
    <x v="26"/>
    <x v="8"/>
    <x v="0"/>
    <m/>
    <m/>
    <x v="0"/>
    <x v="0"/>
    <x v="11"/>
    <x v="0"/>
    <x v="0"/>
    <x v="1"/>
  </r>
  <r>
    <d v="2026-03-19T00:00:00"/>
    <x v="5"/>
    <d v="2026-03-19T00:00:00"/>
    <x v="2"/>
    <x v="10"/>
    <x v="41"/>
    <x v="0"/>
    <x v="0"/>
    <n v="37"/>
    <n v="6"/>
    <x v="0"/>
    <x v="0"/>
    <x v="0"/>
    <x v="0"/>
    <x v="0"/>
    <x v="1"/>
  </r>
  <r>
    <d v="2026-03-19T00:00:00"/>
    <x v="5"/>
    <d v="2026-03-19T00:00:00"/>
    <x v="2"/>
    <x v="10"/>
    <x v="49"/>
    <x v="0"/>
    <x v="0"/>
    <m/>
    <m/>
    <x v="0"/>
    <x v="0"/>
    <x v="18"/>
    <x v="0"/>
    <x v="0"/>
    <x v="1"/>
  </r>
  <r>
    <d v="2026-03-19T00:00:00"/>
    <x v="5"/>
    <d v="2026-03-19T00:00:00"/>
    <x v="2"/>
    <x v="10"/>
    <x v="38"/>
    <x v="0"/>
    <x v="0"/>
    <m/>
    <n v="6"/>
    <x v="0"/>
    <x v="0"/>
    <x v="11"/>
    <x v="0"/>
    <x v="0"/>
    <x v="1"/>
  </r>
  <r>
    <d v="2026-03-20T00:00:00"/>
    <x v="6"/>
    <d v="2026-03-20T00:00:00"/>
    <x v="2"/>
    <x v="9"/>
    <x v="44"/>
    <x v="0"/>
    <x v="0"/>
    <m/>
    <n v="12"/>
    <x v="3"/>
    <x v="0"/>
    <x v="0"/>
    <x v="0"/>
    <x v="0"/>
    <x v="1"/>
  </r>
  <r>
    <d v="2026-03-20T00:00:00"/>
    <x v="6"/>
    <d v="2026-03-20T00:00:00"/>
    <x v="2"/>
    <x v="9"/>
    <x v="48"/>
    <x v="11"/>
    <x v="0"/>
    <m/>
    <m/>
    <x v="0"/>
    <x v="0"/>
    <x v="0"/>
    <x v="0"/>
    <x v="0"/>
    <x v="1"/>
  </r>
  <r>
    <d v="2026-03-20T00:00:00"/>
    <x v="6"/>
    <d v="2026-03-20T00:00:00"/>
    <x v="2"/>
    <x v="10"/>
    <x v="38"/>
    <x v="0"/>
    <x v="1"/>
    <m/>
    <m/>
    <x v="0"/>
    <x v="0"/>
    <x v="0"/>
    <x v="0"/>
    <x v="0"/>
    <x v="1"/>
  </r>
  <r>
    <d v="2026-03-20T00:00:00"/>
    <x v="6"/>
    <d v="2026-03-20T00:00:00"/>
    <x v="2"/>
    <x v="10"/>
    <x v="40"/>
    <x v="5"/>
    <x v="0"/>
    <m/>
    <m/>
    <x v="0"/>
    <x v="0"/>
    <x v="0"/>
    <x v="0"/>
    <x v="0"/>
    <x v="1"/>
  </r>
  <r>
    <d v="2026-03-21T00:00:00"/>
    <x v="0"/>
    <d v="2026-03-21T00:00:00"/>
    <x v="0"/>
    <x v="0"/>
    <x v="0"/>
    <x v="0"/>
    <x v="0"/>
    <m/>
    <m/>
    <x v="0"/>
    <x v="0"/>
    <x v="0"/>
    <x v="0"/>
    <x v="0"/>
    <x v="1"/>
  </r>
  <r>
    <d v="2026-03-22T00:00:00"/>
    <x v="1"/>
    <d v="2026-03-22T00:00:00"/>
    <x v="0"/>
    <x v="0"/>
    <x v="0"/>
    <x v="0"/>
    <x v="0"/>
    <m/>
    <m/>
    <x v="0"/>
    <x v="0"/>
    <x v="0"/>
    <x v="0"/>
    <x v="0"/>
    <x v="1"/>
  </r>
  <r>
    <d v="2026-03-23T00:00:00"/>
    <x v="2"/>
    <d v="2026-03-23T00:00:00"/>
    <x v="2"/>
    <x v="10"/>
    <x v="50"/>
    <x v="0"/>
    <x v="0"/>
    <m/>
    <n v="6"/>
    <x v="0"/>
    <x v="0"/>
    <x v="0"/>
    <x v="0"/>
    <x v="0"/>
    <x v="1"/>
  </r>
  <r>
    <d v="2026-03-23T00:00:00"/>
    <x v="2"/>
    <d v="2026-03-23T00:00:00"/>
    <x v="2"/>
    <x v="10"/>
    <x v="40"/>
    <x v="2"/>
    <x v="0"/>
    <m/>
    <m/>
    <x v="0"/>
    <x v="0"/>
    <x v="0"/>
    <x v="0"/>
    <x v="0"/>
    <x v="1"/>
  </r>
  <r>
    <d v="2026-03-23T00:00:00"/>
    <x v="2"/>
    <d v="2026-03-23T00:00:00"/>
    <x v="2"/>
    <x v="10"/>
    <x v="41"/>
    <x v="0"/>
    <x v="0"/>
    <m/>
    <m/>
    <x v="3"/>
    <x v="0"/>
    <x v="0"/>
    <x v="0"/>
    <x v="0"/>
    <x v="1"/>
  </r>
  <r>
    <d v="2026-03-23T00:00:00"/>
    <x v="2"/>
    <d v="2026-03-23T00:00:00"/>
    <x v="2"/>
    <x v="9"/>
    <x v="44"/>
    <x v="0"/>
    <x v="0"/>
    <m/>
    <m/>
    <x v="3"/>
    <x v="0"/>
    <x v="0"/>
    <x v="0"/>
    <x v="0"/>
    <x v="1"/>
  </r>
  <r>
    <d v="2026-03-23T00:00:00"/>
    <x v="2"/>
    <d v="2026-03-23T00:00:00"/>
    <x v="2"/>
    <x v="9"/>
    <x v="48"/>
    <x v="11"/>
    <x v="0"/>
    <m/>
    <m/>
    <x v="0"/>
    <x v="0"/>
    <x v="0"/>
    <x v="0"/>
    <x v="0"/>
    <x v="1"/>
  </r>
  <r>
    <d v="2026-03-23T00:00:00"/>
    <x v="2"/>
    <d v="2026-03-23T00:00:00"/>
    <x v="2"/>
    <x v="9"/>
    <x v="51"/>
    <x v="11"/>
    <x v="0"/>
    <m/>
    <m/>
    <x v="0"/>
    <x v="0"/>
    <x v="0"/>
    <x v="0"/>
    <x v="0"/>
    <x v="1"/>
  </r>
  <r>
    <d v="2026-03-23T00:00:00"/>
    <x v="2"/>
    <d v="2026-03-23T00:00:00"/>
    <x v="2"/>
    <x v="9"/>
    <x v="26"/>
    <x v="11"/>
    <x v="0"/>
    <m/>
    <m/>
    <x v="0"/>
    <x v="0"/>
    <x v="0"/>
    <x v="0"/>
    <x v="0"/>
    <x v="1"/>
  </r>
  <r>
    <d v="2026-03-24T00:00:00"/>
    <x v="3"/>
    <d v="2026-03-24T00:00:00"/>
    <x v="2"/>
    <x v="10"/>
    <x v="52"/>
    <x v="0"/>
    <x v="0"/>
    <m/>
    <n v="6"/>
    <x v="0"/>
    <x v="0"/>
    <x v="0"/>
    <x v="0"/>
    <x v="0"/>
    <x v="1"/>
  </r>
  <r>
    <d v="2026-03-24T00:00:00"/>
    <x v="3"/>
    <d v="2026-03-24T00:00:00"/>
    <x v="2"/>
    <x v="10"/>
    <x v="38"/>
    <x v="0"/>
    <x v="0"/>
    <m/>
    <m/>
    <x v="3"/>
    <x v="0"/>
    <x v="0"/>
    <x v="0"/>
    <x v="0"/>
    <x v="1"/>
  </r>
  <r>
    <d v="2026-03-24T00:00:00"/>
    <x v="3"/>
    <d v="2026-03-24T00:00:00"/>
    <x v="2"/>
    <x v="9"/>
    <x v="53"/>
    <x v="10"/>
    <x v="0"/>
    <m/>
    <m/>
    <x v="0"/>
    <x v="0"/>
    <x v="0"/>
    <x v="0"/>
    <x v="0"/>
    <x v="1"/>
  </r>
  <r>
    <d v="2026-03-25T00:00:00"/>
    <x v="4"/>
    <d v="2026-03-25T00:00:00"/>
    <x v="2"/>
    <x v="10"/>
    <x v="38"/>
    <x v="0"/>
    <x v="0"/>
    <m/>
    <n v="8.5"/>
    <x v="0"/>
    <x v="0"/>
    <x v="0"/>
    <x v="0"/>
    <x v="0"/>
    <x v="1"/>
  </r>
  <r>
    <d v="2026-03-25T00:00:00"/>
    <x v="4"/>
    <d v="2026-03-25T00:00:00"/>
    <x v="2"/>
    <x v="10"/>
    <x v="40"/>
    <x v="0"/>
    <x v="0"/>
    <m/>
    <m/>
    <x v="3"/>
    <x v="0"/>
    <x v="0"/>
    <x v="0"/>
    <x v="0"/>
    <x v="1"/>
  </r>
  <r>
    <d v="2026-03-25T00:00:00"/>
    <x v="4"/>
    <d v="2026-03-25T00:00:00"/>
    <x v="2"/>
    <x v="10"/>
    <x v="54"/>
    <x v="0"/>
    <x v="0"/>
    <m/>
    <n v="6"/>
    <x v="0"/>
    <x v="0"/>
    <x v="0"/>
    <x v="0"/>
    <x v="0"/>
    <x v="1"/>
  </r>
  <r>
    <d v="2026-03-25T00:00:00"/>
    <x v="4"/>
    <d v="2026-03-25T00:00:00"/>
    <x v="2"/>
    <x v="11"/>
    <x v="44"/>
    <x v="11"/>
    <x v="6"/>
    <m/>
    <n v="12"/>
    <x v="3"/>
    <x v="0"/>
    <x v="0"/>
    <x v="0"/>
    <x v="0"/>
    <x v="1"/>
  </r>
  <r>
    <d v="2026-03-25T00:00:00"/>
    <x v="4"/>
    <d v="2026-03-25T00:00:00"/>
    <x v="2"/>
    <x v="9"/>
    <x v="48"/>
    <x v="11"/>
    <x v="0"/>
    <m/>
    <m/>
    <x v="0"/>
    <x v="0"/>
    <x v="0"/>
    <x v="0"/>
    <x v="0"/>
    <x v="1"/>
  </r>
  <r>
    <d v="2026-03-25T00:00:00"/>
    <x v="4"/>
    <d v="2026-03-25T00:00:00"/>
    <x v="2"/>
    <x v="9"/>
    <x v="53"/>
    <x v="10"/>
    <x v="6"/>
    <m/>
    <n v="6"/>
    <x v="0"/>
    <x v="0"/>
    <x v="0"/>
    <x v="0"/>
    <x v="0"/>
    <x v="1"/>
  </r>
  <r>
    <d v="2026-03-26T00:00:00"/>
    <x v="5"/>
    <d v="2026-03-26T00:00:00"/>
    <x v="2"/>
    <x v="10"/>
    <x v="55"/>
    <x v="0"/>
    <x v="0"/>
    <m/>
    <n v="6"/>
    <x v="0"/>
    <x v="0"/>
    <x v="0"/>
    <x v="0"/>
    <x v="0"/>
    <x v="1"/>
  </r>
  <r>
    <d v="2026-03-26T00:00:00"/>
    <x v="5"/>
    <d v="2026-03-26T00:00:00"/>
    <x v="2"/>
    <x v="9"/>
    <x v="44"/>
    <x v="0"/>
    <x v="6"/>
    <m/>
    <m/>
    <x v="4"/>
    <x v="0"/>
    <x v="0"/>
    <x v="0"/>
    <x v="0"/>
    <x v="1"/>
  </r>
  <r>
    <d v="2026-03-26T00:00:00"/>
    <x v="5"/>
    <d v="2026-03-26T00:00:00"/>
    <x v="2"/>
    <x v="9"/>
    <x v="48"/>
    <x v="0"/>
    <x v="0"/>
    <m/>
    <m/>
    <x v="0"/>
    <x v="0"/>
    <x v="1"/>
    <x v="0"/>
    <x v="0"/>
    <x v="1"/>
  </r>
  <r>
    <d v="2026-03-27T00:00:00"/>
    <x v="6"/>
    <d v="2026-03-27T00:00:00"/>
    <x v="2"/>
    <x v="10"/>
    <x v="52"/>
    <x v="0"/>
    <x v="0"/>
    <m/>
    <n v="6"/>
    <x v="0"/>
    <x v="0"/>
    <x v="0"/>
    <x v="0"/>
    <x v="0"/>
    <x v="1"/>
  </r>
  <r>
    <d v="2026-03-27T00:00:00"/>
    <x v="6"/>
    <d v="2026-03-27T00:00:00"/>
    <x v="2"/>
    <x v="10"/>
    <x v="54"/>
    <x v="0"/>
    <x v="0"/>
    <m/>
    <n v="6"/>
    <x v="0"/>
    <x v="0"/>
    <x v="0"/>
    <x v="0"/>
    <x v="0"/>
    <x v="1"/>
  </r>
  <r>
    <d v="2026-03-27T00:00:00"/>
    <x v="6"/>
    <d v="2026-03-27T00:00:00"/>
    <x v="2"/>
    <x v="9"/>
    <x v="44"/>
    <x v="0"/>
    <x v="0"/>
    <n v="30"/>
    <n v="6"/>
    <x v="0"/>
    <x v="0"/>
    <x v="0"/>
    <x v="0"/>
    <x v="0"/>
    <x v="1"/>
  </r>
  <r>
    <d v="2026-03-27T00:00:00"/>
    <x v="6"/>
    <d v="2026-03-27T00:00:00"/>
    <x v="2"/>
    <x v="9"/>
    <x v="53"/>
    <x v="0"/>
    <x v="0"/>
    <m/>
    <m/>
    <x v="0"/>
    <x v="0"/>
    <x v="11"/>
    <x v="0"/>
    <x v="0"/>
    <x v="1"/>
  </r>
  <r>
    <d v="2026-03-28T00:00:00"/>
    <x v="0"/>
    <d v="2026-03-28T00:00:00"/>
    <x v="2"/>
    <x v="9"/>
    <x v="44"/>
    <x v="0"/>
    <x v="0"/>
    <m/>
    <n v="6"/>
    <x v="0"/>
    <x v="0"/>
    <x v="0"/>
    <x v="0"/>
    <x v="0"/>
    <x v="1"/>
  </r>
  <r>
    <d v="2026-03-28T00:00:00"/>
    <x v="0"/>
    <d v="2026-03-28T00:00:00"/>
    <x v="2"/>
    <x v="9"/>
    <x v="46"/>
    <x v="0"/>
    <x v="0"/>
    <m/>
    <n v="6"/>
    <x v="0"/>
    <x v="0"/>
    <x v="0"/>
    <x v="0"/>
    <x v="0"/>
    <x v="1"/>
  </r>
  <r>
    <d v="2026-03-29T00:00:00"/>
    <x v="1"/>
    <d v="2026-03-29T00:00:00"/>
    <x v="0"/>
    <x v="0"/>
    <x v="0"/>
    <x v="0"/>
    <x v="0"/>
    <m/>
    <m/>
    <x v="0"/>
    <x v="0"/>
    <x v="0"/>
    <x v="0"/>
    <x v="0"/>
    <x v="1"/>
  </r>
  <r>
    <d v="2026-03-30T00:00:00"/>
    <x v="2"/>
    <d v="2026-03-30T00:00:00"/>
    <x v="2"/>
    <x v="9"/>
    <x v="44"/>
    <x v="0"/>
    <x v="6"/>
    <m/>
    <n v="6"/>
    <x v="3"/>
    <x v="0"/>
    <x v="0"/>
    <x v="0"/>
    <x v="0"/>
    <x v="1"/>
  </r>
  <r>
    <d v="2026-03-30T00:00:00"/>
    <x v="2"/>
    <d v="2026-03-30T00:00:00"/>
    <x v="2"/>
    <x v="9"/>
    <x v="53"/>
    <x v="10"/>
    <x v="0"/>
    <m/>
    <m/>
    <x v="0"/>
    <x v="0"/>
    <x v="0"/>
    <x v="0"/>
    <x v="0"/>
    <x v="1"/>
  </r>
  <r>
    <d v="2026-03-30T00:00:00"/>
    <x v="2"/>
    <d v="2026-03-30T00:00:00"/>
    <x v="2"/>
    <x v="10"/>
    <x v="52"/>
    <x v="0"/>
    <x v="0"/>
    <m/>
    <n v="8"/>
    <x v="0"/>
    <x v="0"/>
    <x v="0"/>
    <x v="0"/>
    <x v="0"/>
    <x v="1"/>
  </r>
  <r>
    <d v="2026-03-30T00:00:00"/>
    <x v="2"/>
    <d v="2026-03-30T00:00:00"/>
    <x v="2"/>
    <x v="10"/>
    <x v="54"/>
    <x v="0"/>
    <x v="0"/>
    <m/>
    <n v="2"/>
    <x v="3"/>
    <x v="0"/>
    <x v="0"/>
    <x v="0"/>
    <x v="0"/>
    <x v="1"/>
  </r>
  <r>
    <d v="2026-03-30T00:00:00"/>
    <x v="2"/>
    <d v="2026-03-30T00:00:00"/>
    <x v="2"/>
    <x v="10"/>
    <x v="38"/>
    <x v="0"/>
    <x v="0"/>
    <m/>
    <n v="6.5"/>
    <x v="0"/>
    <x v="0"/>
    <x v="0"/>
    <x v="0"/>
    <x v="0"/>
    <x v="1"/>
  </r>
  <r>
    <d v="2026-03-31T00:00:00"/>
    <x v="3"/>
    <d v="2026-03-31T00:00:00"/>
    <x v="2"/>
    <x v="9"/>
    <x v="44"/>
    <x v="0"/>
    <x v="15"/>
    <m/>
    <n v="6"/>
    <x v="3"/>
    <x v="0"/>
    <x v="0"/>
    <x v="0"/>
    <x v="0"/>
    <x v="1"/>
  </r>
  <r>
    <d v="2026-03-31T00:00:00"/>
    <x v="3"/>
    <d v="2026-03-31T00:00:00"/>
    <x v="2"/>
    <x v="9"/>
    <x v="46"/>
    <x v="10"/>
    <x v="0"/>
    <m/>
    <m/>
    <x v="0"/>
    <x v="0"/>
    <x v="0"/>
    <x v="0"/>
    <x v="0"/>
    <x v="1"/>
  </r>
  <r>
    <d v="2026-03-31T00:00:00"/>
    <x v="3"/>
    <d v="2026-03-31T00:00:00"/>
    <x v="2"/>
    <x v="9"/>
    <x v="56"/>
    <x v="8"/>
    <x v="0"/>
    <m/>
    <m/>
    <x v="0"/>
    <x v="0"/>
    <x v="0"/>
    <x v="0"/>
    <x v="0"/>
    <x v="1"/>
  </r>
  <r>
    <d v="2026-03-31T00:00:00"/>
    <x v="3"/>
    <d v="2026-03-31T00:00:00"/>
    <x v="2"/>
    <x v="9"/>
    <x v="48"/>
    <x v="11"/>
    <x v="0"/>
    <m/>
    <m/>
    <x v="0"/>
    <x v="0"/>
    <x v="0"/>
    <x v="0"/>
    <x v="0"/>
    <x v="1"/>
  </r>
  <r>
    <d v="2026-03-31T00:00:00"/>
    <x v="3"/>
    <d v="2026-03-31T00:00:00"/>
    <x v="2"/>
    <x v="10"/>
    <x v="54"/>
    <x v="0"/>
    <x v="0"/>
    <m/>
    <n v="8"/>
    <x v="0"/>
    <x v="0"/>
    <x v="0"/>
    <x v="0"/>
    <x v="0"/>
    <x v="1"/>
  </r>
  <r>
    <d v="2026-03-31T00:00:00"/>
    <x v="3"/>
    <d v="2026-03-31T00:00:00"/>
    <x v="2"/>
    <x v="10"/>
    <x v="48"/>
    <x v="0"/>
    <x v="0"/>
    <m/>
    <n v="6"/>
    <x v="0"/>
    <x v="0"/>
    <x v="0"/>
    <x v="0"/>
    <x v="0"/>
    <x v="1"/>
  </r>
  <r>
    <d v="2026-04-01T00:00:00"/>
    <x v="4"/>
    <d v="2026-04-01T00:00:00"/>
    <x v="2"/>
    <x v="10"/>
    <x v="52"/>
    <x v="0"/>
    <x v="0"/>
    <m/>
    <n v="6"/>
    <x v="0"/>
    <x v="0"/>
    <x v="0"/>
    <x v="0"/>
    <x v="0"/>
    <x v="1"/>
  </r>
  <r>
    <d v="2026-04-01T00:00:00"/>
    <x v="4"/>
    <d v="2026-04-01T00:00:00"/>
    <x v="2"/>
    <x v="10"/>
    <x v="38"/>
    <x v="0"/>
    <x v="0"/>
    <m/>
    <n v="12"/>
    <x v="0"/>
    <x v="0"/>
    <x v="0"/>
    <x v="0"/>
    <x v="0"/>
    <x v="1"/>
  </r>
  <r>
    <d v="2026-04-02T00:00:00"/>
    <x v="5"/>
    <d v="2026-04-02T00:00:00"/>
    <x v="2"/>
    <x v="9"/>
    <x v="44"/>
    <x v="0"/>
    <x v="0"/>
    <m/>
    <m/>
    <x v="4"/>
    <x v="0"/>
    <x v="0"/>
    <x v="0"/>
    <x v="0"/>
    <x v="1"/>
  </r>
  <r>
    <d v="2026-04-02T00:00:00"/>
    <x v="5"/>
    <d v="2026-04-02T00:00:00"/>
    <x v="2"/>
    <x v="9"/>
    <x v="53"/>
    <x v="0"/>
    <x v="0"/>
    <m/>
    <m/>
    <x v="0"/>
    <x v="0"/>
    <x v="1"/>
    <x v="0"/>
    <x v="0"/>
    <x v="1"/>
  </r>
  <r>
    <d v="2026-04-02T00:00:00"/>
    <x v="5"/>
    <d v="2026-04-02T00:00:00"/>
    <x v="2"/>
    <x v="9"/>
    <x v="48"/>
    <x v="10"/>
    <x v="0"/>
    <m/>
    <m/>
    <x v="0"/>
    <x v="0"/>
    <x v="0"/>
    <x v="0"/>
    <x v="0"/>
    <x v="1"/>
  </r>
  <r>
    <d v="2026-04-02T00:00:00"/>
    <x v="5"/>
    <d v="2026-04-02T00:00:00"/>
    <x v="2"/>
    <x v="10"/>
    <x v="52"/>
    <x v="0"/>
    <x v="0"/>
    <m/>
    <n v="6"/>
    <x v="0"/>
    <x v="0"/>
    <x v="0"/>
    <x v="0"/>
    <x v="0"/>
    <x v="1"/>
  </r>
  <r>
    <d v="2026-04-02T00:00:00"/>
    <x v="5"/>
    <d v="2026-04-02T00:00:00"/>
    <x v="2"/>
    <x v="10"/>
    <x v="38"/>
    <x v="0"/>
    <x v="0"/>
    <m/>
    <n v="4"/>
    <x v="0"/>
    <x v="0"/>
    <x v="0"/>
    <x v="0"/>
    <x v="0"/>
    <x v="1"/>
  </r>
  <r>
    <d v="2026-04-02T00:00:00"/>
    <x v="5"/>
    <d v="2026-04-02T00:00:00"/>
    <x v="2"/>
    <x v="10"/>
    <x v="54"/>
    <x v="0"/>
    <x v="0"/>
    <m/>
    <n v="6"/>
    <x v="0"/>
    <x v="0"/>
    <x v="0"/>
    <x v="0"/>
    <x v="0"/>
    <x v="1"/>
  </r>
  <r>
    <d v="2026-04-03T00:00:00"/>
    <x v="6"/>
    <d v="2026-04-03T00:00:00"/>
    <x v="0"/>
    <x v="0"/>
    <x v="0"/>
    <x v="0"/>
    <x v="0"/>
    <m/>
    <m/>
    <x v="0"/>
    <x v="0"/>
    <x v="0"/>
    <x v="0"/>
    <x v="0"/>
    <x v="1"/>
  </r>
  <r>
    <d v="2026-04-04T00:00:00"/>
    <x v="0"/>
    <d v="2026-04-04T00:00:00"/>
    <x v="0"/>
    <x v="0"/>
    <x v="0"/>
    <x v="0"/>
    <x v="0"/>
    <m/>
    <m/>
    <x v="0"/>
    <x v="0"/>
    <x v="0"/>
    <x v="0"/>
    <x v="0"/>
    <x v="1"/>
  </r>
  <r>
    <d v="2026-04-05T00:00:00"/>
    <x v="1"/>
    <d v="2026-04-05T00:00:00"/>
    <x v="0"/>
    <x v="0"/>
    <x v="0"/>
    <x v="0"/>
    <x v="0"/>
    <m/>
    <m/>
    <x v="0"/>
    <x v="0"/>
    <x v="0"/>
    <x v="0"/>
    <x v="0"/>
    <x v="1"/>
  </r>
  <r>
    <d v="2026-04-06T00:00:00"/>
    <x v="2"/>
    <d v="2026-04-06T00:00:00"/>
    <x v="0"/>
    <x v="0"/>
    <x v="0"/>
    <x v="0"/>
    <x v="0"/>
    <m/>
    <m/>
    <x v="0"/>
    <x v="0"/>
    <x v="0"/>
    <x v="0"/>
    <x v="0"/>
    <x v="1"/>
  </r>
  <r>
    <d v="2026-04-07T00:00:00"/>
    <x v="3"/>
    <d v="2026-04-07T00:00:00"/>
    <x v="0"/>
    <x v="0"/>
    <x v="0"/>
    <x v="0"/>
    <x v="0"/>
    <m/>
    <m/>
    <x v="0"/>
    <x v="0"/>
    <x v="0"/>
    <x v="0"/>
    <x v="0"/>
    <x v="1"/>
  </r>
  <r>
    <d v="2026-04-08T00:00:00"/>
    <x v="4"/>
    <d v="2026-04-08T00:00:00"/>
    <x v="0"/>
    <x v="0"/>
    <x v="0"/>
    <x v="0"/>
    <x v="0"/>
    <m/>
    <m/>
    <x v="0"/>
    <x v="0"/>
    <x v="0"/>
    <x v="0"/>
    <x v="0"/>
    <x v="1"/>
  </r>
  <r>
    <d v="2026-04-09T00:00:00"/>
    <x v="5"/>
    <d v="2026-04-09T00:00:00"/>
    <x v="1"/>
    <x v="0"/>
    <x v="0"/>
    <x v="0"/>
    <x v="0"/>
    <m/>
    <m/>
    <x v="0"/>
    <x v="0"/>
    <x v="0"/>
    <x v="0"/>
    <x v="0"/>
    <x v="1"/>
  </r>
  <r>
    <d v="2026-04-10T00:00:00"/>
    <x v="6"/>
    <d v="2026-04-10T00:00:00"/>
    <x v="1"/>
    <x v="0"/>
    <x v="0"/>
    <x v="0"/>
    <x v="0"/>
    <m/>
    <m/>
    <x v="0"/>
    <x v="0"/>
    <x v="0"/>
    <x v="0"/>
    <x v="0"/>
    <x v="1"/>
  </r>
  <r>
    <d v="2026-04-11T00:00:00"/>
    <x v="0"/>
    <d v="2026-04-11T00:00:00"/>
    <x v="0"/>
    <x v="0"/>
    <x v="0"/>
    <x v="0"/>
    <x v="0"/>
    <m/>
    <m/>
    <x v="0"/>
    <x v="0"/>
    <x v="0"/>
    <x v="0"/>
    <x v="0"/>
    <x v="1"/>
  </r>
  <r>
    <d v="2026-04-12T00:00:00"/>
    <x v="1"/>
    <d v="2026-04-12T00:00:00"/>
    <x v="0"/>
    <x v="0"/>
    <x v="0"/>
    <x v="0"/>
    <x v="0"/>
    <m/>
    <m/>
    <x v="0"/>
    <x v="0"/>
    <x v="0"/>
    <x v="0"/>
    <x v="0"/>
    <x v="1"/>
  </r>
  <r>
    <d v="2026-04-13T00:00:00"/>
    <x v="2"/>
    <d v="2026-04-13T00:00:00"/>
    <x v="1"/>
    <x v="0"/>
    <x v="0"/>
    <x v="0"/>
    <x v="0"/>
    <m/>
    <m/>
    <x v="0"/>
    <x v="0"/>
    <x v="0"/>
    <x v="0"/>
    <x v="0"/>
    <x v="1"/>
  </r>
  <r>
    <d v="2026-04-14T00:00:00"/>
    <x v="3"/>
    <d v="2026-04-14T00:00:00"/>
    <x v="1"/>
    <x v="0"/>
    <x v="0"/>
    <x v="0"/>
    <x v="0"/>
    <m/>
    <m/>
    <x v="0"/>
    <x v="0"/>
    <x v="0"/>
    <x v="0"/>
    <x v="0"/>
    <x v="1"/>
  </r>
  <r>
    <d v="2026-04-15T00:00:00"/>
    <x v="4"/>
    <d v="2026-04-15T00:00:00"/>
    <x v="1"/>
    <x v="0"/>
    <x v="0"/>
    <x v="0"/>
    <x v="0"/>
    <m/>
    <m/>
    <x v="0"/>
    <x v="0"/>
    <x v="0"/>
    <x v="0"/>
    <x v="0"/>
    <x v="1"/>
  </r>
  <r>
    <d v="2026-04-16T00:00:00"/>
    <x v="5"/>
    <d v="2026-04-16T00:00:00"/>
    <x v="1"/>
    <x v="0"/>
    <x v="0"/>
    <x v="0"/>
    <x v="0"/>
    <m/>
    <m/>
    <x v="0"/>
    <x v="0"/>
    <x v="0"/>
    <x v="0"/>
    <x v="0"/>
    <x v="1"/>
  </r>
  <r>
    <d v="2026-04-17T00:00:00"/>
    <x v="6"/>
    <d v="2026-04-17T00:00:00"/>
    <x v="1"/>
    <x v="0"/>
    <x v="0"/>
    <x v="0"/>
    <x v="0"/>
    <m/>
    <m/>
    <x v="0"/>
    <x v="0"/>
    <x v="0"/>
    <x v="0"/>
    <x v="0"/>
    <x v="1"/>
  </r>
  <r>
    <d v="2026-04-18T00:00:00"/>
    <x v="0"/>
    <d v="2026-04-18T00:00:00"/>
    <x v="0"/>
    <x v="0"/>
    <x v="0"/>
    <x v="0"/>
    <x v="0"/>
    <m/>
    <m/>
    <x v="0"/>
    <x v="0"/>
    <x v="0"/>
    <x v="0"/>
    <x v="0"/>
    <x v="1"/>
  </r>
  <r>
    <d v="2026-04-19T00:00:00"/>
    <x v="1"/>
    <d v="2026-04-19T00:00:00"/>
    <x v="0"/>
    <x v="0"/>
    <x v="0"/>
    <x v="0"/>
    <x v="0"/>
    <m/>
    <m/>
    <x v="0"/>
    <x v="0"/>
    <x v="0"/>
    <x v="0"/>
    <x v="0"/>
    <x v="1"/>
  </r>
  <r>
    <d v="2026-04-20T00:00:00"/>
    <x v="2"/>
    <d v="2026-04-20T00:00:00"/>
    <x v="1"/>
    <x v="0"/>
    <x v="0"/>
    <x v="0"/>
    <x v="0"/>
    <m/>
    <m/>
    <x v="0"/>
    <x v="0"/>
    <x v="0"/>
    <x v="0"/>
    <x v="0"/>
    <x v="1"/>
  </r>
  <r>
    <d v="2026-04-21T00:00:00"/>
    <x v="3"/>
    <d v="2026-04-21T00:00:00"/>
    <x v="1"/>
    <x v="0"/>
    <x v="0"/>
    <x v="0"/>
    <x v="0"/>
    <m/>
    <m/>
    <x v="0"/>
    <x v="0"/>
    <x v="0"/>
    <x v="0"/>
    <x v="0"/>
    <x v="1"/>
  </r>
  <r>
    <d v="2026-04-22T00:00:00"/>
    <x v="4"/>
    <d v="2026-04-22T00:00:00"/>
    <x v="1"/>
    <x v="0"/>
    <x v="0"/>
    <x v="0"/>
    <x v="0"/>
    <m/>
    <m/>
    <x v="0"/>
    <x v="0"/>
    <x v="0"/>
    <x v="0"/>
    <x v="0"/>
    <x v="1"/>
  </r>
  <r>
    <d v="2026-04-23T00:00:00"/>
    <x v="5"/>
    <d v="2026-04-23T00:00:00"/>
    <x v="1"/>
    <x v="0"/>
    <x v="0"/>
    <x v="0"/>
    <x v="0"/>
    <m/>
    <m/>
    <x v="0"/>
    <x v="0"/>
    <x v="0"/>
    <x v="0"/>
    <x v="0"/>
    <x v="1"/>
  </r>
  <r>
    <d v="2026-04-24T00:00:00"/>
    <x v="6"/>
    <d v="2026-04-24T00:00:00"/>
    <x v="1"/>
    <x v="0"/>
    <x v="0"/>
    <x v="0"/>
    <x v="0"/>
    <m/>
    <m/>
    <x v="0"/>
    <x v="0"/>
    <x v="0"/>
    <x v="0"/>
    <x v="0"/>
    <x v="1"/>
  </r>
  <r>
    <d v="2026-04-25T00:00:00"/>
    <x v="0"/>
    <d v="2026-04-25T00:00:00"/>
    <x v="0"/>
    <x v="0"/>
    <x v="0"/>
    <x v="0"/>
    <x v="0"/>
    <m/>
    <m/>
    <x v="0"/>
    <x v="0"/>
    <x v="0"/>
    <x v="0"/>
    <x v="0"/>
    <x v="1"/>
  </r>
  <r>
    <d v="2026-04-26T00:00:00"/>
    <x v="1"/>
    <d v="2026-04-26T00:00:00"/>
    <x v="0"/>
    <x v="0"/>
    <x v="0"/>
    <x v="0"/>
    <x v="0"/>
    <m/>
    <m/>
    <x v="0"/>
    <x v="0"/>
    <x v="0"/>
    <x v="0"/>
    <x v="0"/>
    <x v="1"/>
  </r>
  <r>
    <d v="2026-04-27T00:00:00"/>
    <x v="2"/>
    <d v="2026-04-27T00:00:00"/>
    <x v="1"/>
    <x v="0"/>
    <x v="0"/>
    <x v="0"/>
    <x v="0"/>
    <m/>
    <m/>
    <x v="0"/>
    <x v="0"/>
    <x v="0"/>
    <x v="0"/>
    <x v="0"/>
    <x v="1"/>
  </r>
  <r>
    <d v="2026-04-28T00:00:00"/>
    <x v="3"/>
    <d v="2026-04-28T00:00:00"/>
    <x v="1"/>
    <x v="0"/>
    <x v="0"/>
    <x v="0"/>
    <x v="0"/>
    <m/>
    <m/>
    <x v="0"/>
    <x v="0"/>
    <x v="0"/>
    <x v="0"/>
    <x v="0"/>
    <x v="1"/>
  </r>
  <r>
    <d v="2026-04-29T00:00:00"/>
    <x v="4"/>
    <d v="2026-04-29T00:00:00"/>
    <x v="1"/>
    <x v="0"/>
    <x v="0"/>
    <x v="0"/>
    <x v="0"/>
    <m/>
    <m/>
    <x v="0"/>
    <x v="0"/>
    <x v="0"/>
    <x v="0"/>
    <x v="0"/>
    <x v="1"/>
  </r>
  <r>
    <d v="2026-04-30T00:00:00"/>
    <x v="5"/>
    <d v="2026-04-30T00:00:00"/>
    <x v="1"/>
    <x v="0"/>
    <x v="0"/>
    <x v="0"/>
    <x v="0"/>
    <m/>
    <m/>
    <x v="0"/>
    <x v="0"/>
    <x v="0"/>
    <x v="0"/>
    <x v="0"/>
    <x v="1"/>
  </r>
  <r>
    <d v="2026-05-01T00:00:00"/>
    <x v="6"/>
    <d v="2026-05-01T00:00:00"/>
    <x v="1"/>
    <x v="0"/>
    <x v="0"/>
    <x v="0"/>
    <x v="0"/>
    <m/>
    <m/>
    <x v="0"/>
    <x v="0"/>
    <x v="0"/>
    <x v="0"/>
    <x v="0"/>
    <x v="1"/>
  </r>
  <r>
    <d v="2026-05-02T00:00:00"/>
    <x v="0"/>
    <d v="2026-05-02T00:00:00"/>
    <x v="0"/>
    <x v="0"/>
    <x v="0"/>
    <x v="0"/>
    <x v="0"/>
    <m/>
    <m/>
    <x v="0"/>
    <x v="0"/>
    <x v="0"/>
    <x v="0"/>
    <x v="0"/>
    <x v="1"/>
  </r>
  <r>
    <d v="2026-05-03T00:00:00"/>
    <x v="1"/>
    <d v="2026-05-03T00:00:00"/>
    <x v="0"/>
    <x v="0"/>
    <x v="0"/>
    <x v="0"/>
    <x v="0"/>
    <m/>
    <m/>
    <x v="0"/>
    <x v="0"/>
    <x v="0"/>
    <x v="0"/>
    <x v="0"/>
    <x v="1"/>
  </r>
  <r>
    <d v="2026-05-04T00:00:00"/>
    <x v="2"/>
    <d v="2026-05-04T00:00:00"/>
    <x v="1"/>
    <x v="0"/>
    <x v="0"/>
    <x v="0"/>
    <x v="0"/>
    <m/>
    <m/>
    <x v="0"/>
    <x v="0"/>
    <x v="0"/>
    <x v="0"/>
    <x v="0"/>
    <x v="1"/>
  </r>
  <r>
    <d v="2026-05-05T00:00:00"/>
    <x v="3"/>
    <d v="2026-05-05T00:00:00"/>
    <x v="1"/>
    <x v="0"/>
    <x v="0"/>
    <x v="0"/>
    <x v="0"/>
    <m/>
    <m/>
    <x v="0"/>
    <x v="0"/>
    <x v="0"/>
    <x v="0"/>
    <x v="0"/>
    <x v="1"/>
  </r>
  <r>
    <d v="2026-05-06T00:00:00"/>
    <x v="4"/>
    <d v="2026-05-06T00:00:00"/>
    <x v="1"/>
    <x v="0"/>
    <x v="0"/>
    <x v="0"/>
    <x v="0"/>
    <m/>
    <m/>
    <x v="0"/>
    <x v="0"/>
    <x v="0"/>
    <x v="0"/>
    <x v="0"/>
    <x v="1"/>
  </r>
  <r>
    <d v="2026-05-07T00:00:00"/>
    <x v="5"/>
    <d v="2026-05-07T00:00:00"/>
    <x v="1"/>
    <x v="0"/>
    <x v="0"/>
    <x v="0"/>
    <x v="0"/>
    <m/>
    <m/>
    <x v="0"/>
    <x v="0"/>
    <x v="0"/>
    <x v="0"/>
    <x v="0"/>
    <x v="1"/>
  </r>
  <r>
    <d v="2026-05-08T00:00:00"/>
    <x v="6"/>
    <d v="2026-05-08T00:00:00"/>
    <x v="1"/>
    <x v="0"/>
    <x v="0"/>
    <x v="0"/>
    <x v="0"/>
    <m/>
    <m/>
    <x v="0"/>
    <x v="0"/>
    <x v="0"/>
    <x v="0"/>
    <x v="0"/>
    <x v="1"/>
  </r>
  <r>
    <d v="2026-05-09T00:00:00"/>
    <x v="0"/>
    <d v="2026-05-09T00:00:00"/>
    <x v="0"/>
    <x v="0"/>
    <x v="0"/>
    <x v="0"/>
    <x v="0"/>
    <m/>
    <m/>
    <x v="0"/>
    <x v="0"/>
    <x v="0"/>
    <x v="0"/>
    <x v="0"/>
    <x v="1"/>
  </r>
  <r>
    <d v="2026-05-10T00:00:00"/>
    <x v="1"/>
    <d v="2026-05-10T00:00:00"/>
    <x v="0"/>
    <x v="0"/>
    <x v="0"/>
    <x v="0"/>
    <x v="0"/>
    <m/>
    <m/>
    <x v="0"/>
    <x v="0"/>
    <x v="0"/>
    <x v="0"/>
    <x v="0"/>
    <x v="1"/>
  </r>
  <r>
    <d v="2026-05-11T00:00:00"/>
    <x v="2"/>
    <d v="2026-05-11T00:00:00"/>
    <x v="1"/>
    <x v="0"/>
    <x v="0"/>
    <x v="0"/>
    <x v="0"/>
    <m/>
    <m/>
    <x v="0"/>
    <x v="0"/>
    <x v="0"/>
    <x v="0"/>
    <x v="0"/>
    <x v="1"/>
  </r>
  <r>
    <d v="2026-05-12T00:00:00"/>
    <x v="3"/>
    <d v="2026-05-12T00:00:00"/>
    <x v="1"/>
    <x v="0"/>
    <x v="0"/>
    <x v="0"/>
    <x v="0"/>
    <m/>
    <m/>
    <x v="0"/>
    <x v="0"/>
    <x v="0"/>
    <x v="0"/>
    <x v="0"/>
    <x v="1"/>
  </r>
  <r>
    <d v="2026-05-13T00:00:00"/>
    <x v="4"/>
    <d v="2026-05-13T00:00:00"/>
    <x v="1"/>
    <x v="0"/>
    <x v="0"/>
    <x v="0"/>
    <x v="0"/>
    <m/>
    <m/>
    <x v="0"/>
    <x v="0"/>
    <x v="0"/>
    <x v="0"/>
    <x v="0"/>
    <x v="1"/>
  </r>
  <r>
    <d v="2026-05-14T00:00:00"/>
    <x v="5"/>
    <d v="2026-05-14T00:00:00"/>
    <x v="1"/>
    <x v="0"/>
    <x v="0"/>
    <x v="0"/>
    <x v="0"/>
    <m/>
    <m/>
    <x v="0"/>
    <x v="0"/>
    <x v="0"/>
    <x v="0"/>
    <x v="0"/>
    <x v="1"/>
  </r>
  <r>
    <d v="2026-05-15T00:00:00"/>
    <x v="6"/>
    <d v="2026-05-15T00:00:00"/>
    <x v="1"/>
    <x v="0"/>
    <x v="0"/>
    <x v="0"/>
    <x v="0"/>
    <m/>
    <m/>
    <x v="0"/>
    <x v="0"/>
    <x v="0"/>
    <x v="0"/>
    <x v="0"/>
    <x v="1"/>
  </r>
  <r>
    <d v="2026-05-16T00:00:00"/>
    <x v="0"/>
    <d v="2026-05-16T00:00:00"/>
    <x v="0"/>
    <x v="0"/>
    <x v="0"/>
    <x v="0"/>
    <x v="0"/>
    <m/>
    <m/>
    <x v="0"/>
    <x v="0"/>
    <x v="0"/>
    <x v="0"/>
    <x v="0"/>
    <x v="1"/>
  </r>
  <r>
    <d v="2026-05-17T00:00:00"/>
    <x v="1"/>
    <d v="2026-05-17T00:00:00"/>
    <x v="0"/>
    <x v="0"/>
    <x v="0"/>
    <x v="0"/>
    <x v="0"/>
    <m/>
    <m/>
    <x v="0"/>
    <x v="0"/>
    <x v="0"/>
    <x v="0"/>
    <x v="0"/>
    <x v="1"/>
  </r>
  <r>
    <d v="2026-05-18T00:00:00"/>
    <x v="2"/>
    <d v="2026-05-18T00:00:00"/>
    <x v="1"/>
    <x v="0"/>
    <x v="0"/>
    <x v="0"/>
    <x v="0"/>
    <m/>
    <m/>
    <x v="0"/>
    <x v="0"/>
    <x v="0"/>
    <x v="0"/>
    <x v="0"/>
    <x v="1"/>
  </r>
  <r>
    <d v="2026-05-19T00:00:00"/>
    <x v="3"/>
    <d v="2026-05-19T00:00:00"/>
    <x v="1"/>
    <x v="0"/>
    <x v="0"/>
    <x v="0"/>
    <x v="0"/>
    <m/>
    <m/>
    <x v="0"/>
    <x v="0"/>
    <x v="0"/>
    <x v="0"/>
    <x v="0"/>
    <x v="1"/>
  </r>
  <r>
    <d v="2026-05-20T00:00:00"/>
    <x v="4"/>
    <d v="2026-05-20T00:00:00"/>
    <x v="1"/>
    <x v="0"/>
    <x v="0"/>
    <x v="0"/>
    <x v="0"/>
    <m/>
    <m/>
    <x v="0"/>
    <x v="0"/>
    <x v="0"/>
    <x v="0"/>
    <x v="0"/>
    <x v="1"/>
  </r>
  <r>
    <d v="2026-05-21T00:00:00"/>
    <x v="5"/>
    <d v="2026-05-21T00:00:00"/>
    <x v="1"/>
    <x v="0"/>
    <x v="0"/>
    <x v="0"/>
    <x v="0"/>
    <m/>
    <m/>
    <x v="0"/>
    <x v="0"/>
    <x v="0"/>
    <x v="0"/>
    <x v="0"/>
    <x v="1"/>
  </r>
  <r>
    <d v="2026-05-22T00:00:00"/>
    <x v="6"/>
    <d v="2026-05-22T00:00:00"/>
    <x v="1"/>
    <x v="0"/>
    <x v="0"/>
    <x v="0"/>
    <x v="0"/>
    <m/>
    <m/>
    <x v="0"/>
    <x v="0"/>
    <x v="0"/>
    <x v="0"/>
    <x v="0"/>
    <x v="1"/>
  </r>
  <r>
    <d v="2026-05-23T00:00:00"/>
    <x v="0"/>
    <d v="2026-05-23T00:00:00"/>
    <x v="0"/>
    <x v="0"/>
    <x v="0"/>
    <x v="0"/>
    <x v="0"/>
    <m/>
    <m/>
    <x v="0"/>
    <x v="0"/>
    <x v="0"/>
    <x v="0"/>
    <x v="0"/>
    <x v="1"/>
  </r>
  <r>
    <d v="2026-05-24T00:00:00"/>
    <x v="1"/>
    <d v="2026-05-24T00:00:00"/>
    <x v="0"/>
    <x v="0"/>
    <x v="0"/>
    <x v="0"/>
    <x v="0"/>
    <m/>
    <m/>
    <x v="0"/>
    <x v="0"/>
    <x v="0"/>
    <x v="0"/>
    <x v="0"/>
    <x v="1"/>
  </r>
  <r>
    <d v="2026-05-25T00:00:00"/>
    <x v="2"/>
    <d v="2026-05-25T00:00:00"/>
    <x v="1"/>
    <x v="0"/>
    <x v="0"/>
    <x v="0"/>
    <x v="0"/>
    <m/>
    <m/>
    <x v="0"/>
    <x v="0"/>
    <x v="0"/>
    <x v="0"/>
    <x v="0"/>
    <x v="1"/>
  </r>
  <r>
    <d v="2026-05-26T00:00:00"/>
    <x v="3"/>
    <d v="2026-05-26T00:00:00"/>
    <x v="1"/>
    <x v="0"/>
    <x v="0"/>
    <x v="0"/>
    <x v="0"/>
    <m/>
    <m/>
    <x v="0"/>
    <x v="0"/>
    <x v="0"/>
    <x v="0"/>
    <x v="0"/>
    <x v="1"/>
  </r>
  <r>
    <d v="2026-05-27T00:00:00"/>
    <x v="4"/>
    <d v="2026-05-27T00:00:00"/>
    <x v="1"/>
    <x v="0"/>
    <x v="0"/>
    <x v="0"/>
    <x v="0"/>
    <m/>
    <m/>
    <x v="0"/>
    <x v="0"/>
    <x v="0"/>
    <x v="0"/>
    <x v="0"/>
    <x v="1"/>
  </r>
  <r>
    <d v="2026-05-28T00:00:00"/>
    <x v="5"/>
    <d v="2026-05-28T00:00:00"/>
    <x v="1"/>
    <x v="0"/>
    <x v="0"/>
    <x v="0"/>
    <x v="0"/>
    <m/>
    <m/>
    <x v="0"/>
    <x v="0"/>
    <x v="0"/>
    <x v="0"/>
    <x v="0"/>
    <x v="1"/>
  </r>
  <r>
    <d v="2026-05-29T00:00:00"/>
    <x v="6"/>
    <d v="2026-05-29T00:00:00"/>
    <x v="1"/>
    <x v="0"/>
    <x v="0"/>
    <x v="0"/>
    <x v="0"/>
    <m/>
    <m/>
    <x v="0"/>
    <x v="0"/>
    <x v="0"/>
    <x v="0"/>
    <x v="0"/>
    <x v="1"/>
  </r>
  <r>
    <d v="2026-05-30T00:00:00"/>
    <x v="0"/>
    <d v="2026-05-30T00:00:00"/>
    <x v="0"/>
    <x v="0"/>
    <x v="0"/>
    <x v="0"/>
    <x v="0"/>
    <m/>
    <m/>
    <x v="0"/>
    <x v="0"/>
    <x v="0"/>
    <x v="0"/>
    <x v="0"/>
    <x v="1"/>
  </r>
  <r>
    <d v="2026-05-31T00:00:00"/>
    <x v="1"/>
    <d v="2026-05-31T00:00:00"/>
    <x v="0"/>
    <x v="0"/>
    <x v="0"/>
    <x v="0"/>
    <x v="0"/>
    <m/>
    <m/>
    <x v="0"/>
    <x v="0"/>
    <x v="0"/>
    <x v="0"/>
    <x v="0"/>
    <x v="1"/>
  </r>
  <r>
    <d v="2026-06-01T00:00:00"/>
    <x v="2"/>
    <d v="2026-06-01T00:00:00"/>
    <x v="1"/>
    <x v="0"/>
    <x v="0"/>
    <x v="0"/>
    <x v="0"/>
    <m/>
    <m/>
    <x v="0"/>
    <x v="0"/>
    <x v="0"/>
    <x v="0"/>
    <x v="0"/>
    <x v="1"/>
  </r>
  <r>
    <d v="2026-06-02T00:00:00"/>
    <x v="3"/>
    <d v="2026-06-02T00:00:00"/>
    <x v="1"/>
    <x v="0"/>
    <x v="0"/>
    <x v="0"/>
    <x v="0"/>
    <m/>
    <m/>
    <x v="0"/>
    <x v="0"/>
    <x v="0"/>
    <x v="0"/>
    <x v="0"/>
    <x v="1"/>
  </r>
  <r>
    <d v="2026-06-03T00:00:00"/>
    <x v="4"/>
    <d v="2026-06-03T00:00:00"/>
    <x v="1"/>
    <x v="0"/>
    <x v="0"/>
    <x v="0"/>
    <x v="0"/>
    <m/>
    <m/>
    <x v="0"/>
    <x v="0"/>
    <x v="0"/>
    <x v="0"/>
    <x v="0"/>
    <x v="1"/>
  </r>
  <r>
    <d v="2026-06-04T00:00:00"/>
    <x v="5"/>
    <d v="2026-06-04T00:00:00"/>
    <x v="1"/>
    <x v="0"/>
    <x v="0"/>
    <x v="0"/>
    <x v="0"/>
    <m/>
    <m/>
    <x v="0"/>
    <x v="0"/>
    <x v="0"/>
    <x v="0"/>
    <x v="0"/>
    <x v="1"/>
  </r>
  <r>
    <d v="2026-06-05T00:00:00"/>
    <x v="6"/>
    <d v="2026-06-05T00:00:00"/>
    <x v="1"/>
    <x v="0"/>
    <x v="0"/>
    <x v="0"/>
    <x v="0"/>
    <m/>
    <m/>
    <x v="0"/>
    <x v="0"/>
    <x v="0"/>
    <x v="0"/>
    <x v="0"/>
    <x v="1"/>
  </r>
  <r>
    <d v="2026-06-06T00:00:00"/>
    <x v="0"/>
    <d v="2026-06-06T00:00:00"/>
    <x v="0"/>
    <x v="0"/>
    <x v="0"/>
    <x v="0"/>
    <x v="0"/>
    <m/>
    <m/>
    <x v="0"/>
    <x v="0"/>
    <x v="0"/>
    <x v="0"/>
    <x v="0"/>
    <x v="1"/>
  </r>
  <r>
    <d v="2026-06-07T00:00:00"/>
    <x v="1"/>
    <d v="2026-06-07T00:00:00"/>
    <x v="0"/>
    <x v="0"/>
    <x v="0"/>
    <x v="0"/>
    <x v="0"/>
    <m/>
    <m/>
    <x v="0"/>
    <x v="0"/>
    <x v="0"/>
    <x v="0"/>
    <x v="0"/>
    <x v="1"/>
  </r>
  <r>
    <d v="2026-06-08T00:00:00"/>
    <x v="2"/>
    <d v="2026-06-08T00:00:00"/>
    <x v="1"/>
    <x v="0"/>
    <x v="0"/>
    <x v="0"/>
    <x v="0"/>
    <m/>
    <m/>
    <x v="0"/>
    <x v="0"/>
    <x v="0"/>
    <x v="0"/>
    <x v="0"/>
    <x v="1"/>
  </r>
  <r>
    <d v="2026-06-09T00:00:00"/>
    <x v="3"/>
    <d v="2026-06-09T00:00:00"/>
    <x v="1"/>
    <x v="0"/>
    <x v="0"/>
    <x v="0"/>
    <x v="0"/>
    <m/>
    <m/>
    <x v="0"/>
    <x v="0"/>
    <x v="0"/>
    <x v="0"/>
    <x v="0"/>
    <x v="1"/>
  </r>
  <r>
    <d v="2026-06-10T00:00:00"/>
    <x v="4"/>
    <d v="2026-06-10T00:00:00"/>
    <x v="1"/>
    <x v="0"/>
    <x v="0"/>
    <x v="0"/>
    <x v="0"/>
    <m/>
    <m/>
    <x v="0"/>
    <x v="0"/>
    <x v="0"/>
    <x v="0"/>
    <x v="0"/>
    <x v="1"/>
  </r>
  <r>
    <d v="2026-06-11T00:00:00"/>
    <x v="5"/>
    <d v="2026-06-11T00:00:00"/>
    <x v="1"/>
    <x v="0"/>
    <x v="0"/>
    <x v="0"/>
    <x v="0"/>
    <m/>
    <m/>
    <x v="0"/>
    <x v="0"/>
    <x v="0"/>
    <x v="0"/>
    <x v="0"/>
    <x v="1"/>
  </r>
  <r>
    <d v="2026-06-12T00:00:00"/>
    <x v="6"/>
    <d v="2026-06-12T00:00:00"/>
    <x v="1"/>
    <x v="0"/>
    <x v="0"/>
    <x v="0"/>
    <x v="0"/>
    <m/>
    <m/>
    <x v="0"/>
    <x v="0"/>
    <x v="0"/>
    <x v="0"/>
    <x v="0"/>
    <x v="1"/>
  </r>
  <r>
    <d v="2026-06-13T00:00:00"/>
    <x v="0"/>
    <d v="2026-06-13T00:00:00"/>
    <x v="0"/>
    <x v="0"/>
    <x v="0"/>
    <x v="0"/>
    <x v="0"/>
    <m/>
    <m/>
    <x v="0"/>
    <x v="0"/>
    <x v="0"/>
    <x v="0"/>
    <x v="0"/>
    <x v="1"/>
  </r>
  <r>
    <d v="2026-06-14T00:00:00"/>
    <x v="1"/>
    <d v="2026-06-14T00:00:00"/>
    <x v="0"/>
    <x v="0"/>
    <x v="0"/>
    <x v="0"/>
    <x v="0"/>
    <m/>
    <m/>
    <x v="0"/>
    <x v="0"/>
    <x v="0"/>
    <x v="0"/>
    <x v="0"/>
    <x v="1"/>
  </r>
  <r>
    <d v="2026-06-15T00:00:00"/>
    <x v="2"/>
    <d v="2026-06-15T00:00:00"/>
    <x v="1"/>
    <x v="0"/>
    <x v="0"/>
    <x v="0"/>
    <x v="0"/>
    <m/>
    <m/>
    <x v="0"/>
    <x v="0"/>
    <x v="0"/>
    <x v="0"/>
    <x v="0"/>
    <x v="1"/>
  </r>
  <r>
    <d v="2026-06-16T00:00:00"/>
    <x v="3"/>
    <d v="2026-06-16T00:00:00"/>
    <x v="1"/>
    <x v="0"/>
    <x v="0"/>
    <x v="0"/>
    <x v="0"/>
    <m/>
    <m/>
    <x v="0"/>
    <x v="0"/>
    <x v="0"/>
    <x v="0"/>
    <x v="0"/>
    <x v="1"/>
  </r>
  <r>
    <d v="2026-06-17T00:00:00"/>
    <x v="4"/>
    <d v="2026-06-17T00:00:00"/>
    <x v="1"/>
    <x v="0"/>
    <x v="0"/>
    <x v="0"/>
    <x v="0"/>
    <m/>
    <m/>
    <x v="0"/>
    <x v="0"/>
    <x v="0"/>
    <x v="0"/>
    <x v="0"/>
    <x v="1"/>
  </r>
  <r>
    <d v="2026-06-18T00:00:00"/>
    <x v="5"/>
    <d v="2026-06-18T00:00:00"/>
    <x v="1"/>
    <x v="0"/>
    <x v="0"/>
    <x v="0"/>
    <x v="0"/>
    <m/>
    <m/>
    <x v="0"/>
    <x v="0"/>
    <x v="0"/>
    <x v="0"/>
    <x v="0"/>
    <x v="1"/>
  </r>
  <r>
    <d v="2026-06-19T00:00:00"/>
    <x v="6"/>
    <d v="2026-06-19T00:00:00"/>
    <x v="1"/>
    <x v="0"/>
    <x v="0"/>
    <x v="0"/>
    <x v="0"/>
    <m/>
    <m/>
    <x v="0"/>
    <x v="0"/>
    <x v="0"/>
    <x v="0"/>
    <x v="0"/>
    <x v="1"/>
  </r>
  <r>
    <d v="2026-06-20T00:00:00"/>
    <x v="0"/>
    <d v="2026-06-20T00:00:00"/>
    <x v="0"/>
    <x v="0"/>
    <x v="0"/>
    <x v="0"/>
    <x v="0"/>
    <m/>
    <m/>
    <x v="0"/>
    <x v="0"/>
    <x v="0"/>
    <x v="0"/>
    <x v="0"/>
    <x v="1"/>
  </r>
  <r>
    <d v="2026-06-21T00:00:00"/>
    <x v="1"/>
    <d v="2026-06-21T00:00:00"/>
    <x v="0"/>
    <x v="0"/>
    <x v="0"/>
    <x v="0"/>
    <x v="0"/>
    <m/>
    <m/>
    <x v="0"/>
    <x v="0"/>
    <x v="0"/>
    <x v="0"/>
    <x v="0"/>
    <x v="1"/>
  </r>
  <r>
    <d v="2026-06-22T00:00:00"/>
    <x v="2"/>
    <d v="2026-06-22T00:00:00"/>
    <x v="1"/>
    <x v="0"/>
    <x v="0"/>
    <x v="0"/>
    <x v="0"/>
    <m/>
    <m/>
    <x v="0"/>
    <x v="0"/>
    <x v="0"/>
    <x v="0"/>
    <x v="0"/>
    <x v="1"/>
  </r>
  <r>
    <d v="2026-06-23T00:00:00"/>
    <x v="3"/>
    <d v="2026-06-23T00:00:00"/>
    <x v="1"/>
    <x v="0"/>
    <x v="0"/>
    <x v="0"/>
    <x v="0"/>
    <m/>
    <m/>
    <x v="0"/>
    <x v="0"/>
    <x v="0"/>
    <x v="0"/>
    <x v="0"/>
    <x v="1"/>
  </r>
  <r>
    <d v="2026-06-24T00:00:00"/>
    <x v="4"/>
    <d v="2026-06-24T00:00:00"/>
    <x v="1"/>
    <x v="0"/>
    <x v="0"/>
    <x v="0"/>
    <x v="0"/>
    <m/>
    <m/>
    <x v="0"/>
    <x v="0"/>
    <x v="0"/>
    <x v="0"/>
    <x v="0"/>
    <x v="1"/>
  </r>
  <r>
    <d v="2026-06-25T00:00:00"/>
    <x v="5"/>
    <d v="2026-06-25T00:00:00"/>
    <x v="1"/>
    <x v="0"/>
    <x v="0"/>
    <x v="0"/>
    <x v="0"/>
    <m/>
    <m/>
    <x v="0"/>
    <x v="0"/>
    <x v="0"/>
    <x v="0"/>
    <x v="0"/>
    <x v="1"/>
  </r>
  <r>
    <d v="2026-06-26T00:00:00"/>
    <x v="6"/>
    <d v="2026-06-26T00:00:00"/>
    <x v="1"/>
    <x v="0"/>
    <x v="0"/>
    <x v="0"/>
    <x v="0"/>
    <m/>
    <m/>
    <x v="0"/>
    <x v="0"/>
    <x v="0"/>
    <x v="0"/>
    <x v="0"/>
    <x v="1"/>
  </r>
  <r>
    <d v="2026-06-27T00:00:00"/>
    <x v="0"/>
    <d v="2026-06-27T00:00:00"/>
    <x v="0"/>
    <x v="0"/>
    <x v="0"/>
    <x v="0"/>
    <x v="0"/>
    <m/>
    <m/>
    <x v="0"/>
    <x v="0"/>
    <x v="0"/>
    <x v="0"/>
    <x v="0"/>
    <x v="1"/>
  </r>
  <r>
    <d v="2026-06-28T00:00:00"/>
    <x v="1"/>
    <d v="2026-06-28T00:00:00"/>
    <x v="0"/>
    <x v="0"/>
    <x v="0"/>
    <x v="0"/>
    <x v="0"/>
    <m/>
    <m/>
    <x v="0"/>
    <x v="0"/>
    <x v="0"/>
    <x v="0"/>
    <x v="0"/>
    <x v="1"/>
  </r>
  <r>
    <d v="2026-06-29T00:00:00"/>
    <x v="2"/>
    <d v="2026-06-29T00:00:00"/>
    <x v="1"/>
    <x v="0"/>
    <x v="0"/>
    <x v="0"/>
    <x v="0"/>
    <m/>
    <m/>
    <x v="0"/>
    <x v="0"/>
    <x v="0"/>
    <x v="0"/>
    <x v="0"/>
    <x v="1"/>
  </r>
  <r>
    <d v="2026-06-30T00:00:00"/>
    <x v="3"/>
    <d v="2026-06-30T00:00:00"/>
    <x v="1"/>
    <x v="0"/>
    <x v="0"/>
    <x v="0"/>
    <x v="0"/>
    <m/>
    <m/>
    <x v="0"/>
    <x v="0"/>
    <x v="0"/>
    <x v="0"/>
    <x v="0"/>
    <x v="1"/>
  </r>
  <r>
    <d v="2026-07-01T00:00:00"/>
    <x v="4"/>
    <d v="2026-07-01T00:00:00"/>
    <x v="1"/>
    <x v="0"/>
    <x v="0"/>
    <x v="0"/>
    <x v="0"/>
    <m/>
    <m/>
    <x v="0"/>
    <x v="0"/>
    <x v="0"/>
    <x v="0"/>
    <x v="0"/>
    <x v="1"/>
  </r>
  <r>
    <d v="2026-07-02T00:00:00"/>
    <x v="5"/>
    <d v="2026-07-02T00:00:00"/>
    <x v="1"/>
    <x v="0"/>
    <x v="0"/>
    <x v="0"/>
    <x v="0"/>
    <m/>
    <m/>
    <x v="0"/>
    <x v="0"/>
    <x v="0"/>
    <x v="0"/>
    <x v="0"/>
    <x v="1"/>
  </r>
  <r>
    <d v="2026-07-03T00:00:00"/>
    <x v="6"/>
    <d v="2026-07-03T00:00:00"/>
    <x v="1"/>
    <x v="0"/>
    <x v="0"/>
    <x v="0"/>
    <x v="0"/>
    <m/>
    <m/>
    <x v="0"/>
    <x v="0"/>
    <x v="0"/>
    <x v="0"/>
    <x v="0"/>
    <x v="1"/>
  </r>
  <r>
    <d v="2026-07-04T00:00:00"/>
    <x v="0"/>
    <d v="2026-07-04T00:00:00"/>
    <x v="0"/>
    <x v="0"/>
    <x v="0"/>
    <x v="0"/>
    <x v="0"/>
    <m/>
    <m/>
    <x v="0"/>
    <x v="0"/>
    <x v="0"/>
    <x v="0"/>
    <x v="0"/>
    <x v="1"/>
  </r>
  <r>
    <d v="2026-07-05T00:00:00"/>
    <x v="1"/>
    <d v="2026-07-05T00:00:00"/>
    <x v="0"/>
    <x v="0"/>
    <x v="0"/>
    <x v="0"/>
    <x v="0"/>
    <m/>
    <m/>
    <x v="0"/>
    <x v="0"/>
    <x v="0"/>
    <x v="0"/>
    <x v="0"/>
    <x v="1"/>
  </r>
  <r>
    <d v="2026-07-06T00:00:00"/>
    <x v="2"/>
    <d v="2026-07-06T00:00:00"/>
    <x v="1"/>
    <x v="0"/>
    <x v="0"/>
    <x v="0"/>
    <x v="0"/>
    <m/>
    <m/>
    <x v="0"/>
    <x v="0"/>
    <x v="0"/>
    <x v="0"/>
    <x v="0"/>
    <x v="1"/>
  </r>
  <r>
    <d v="2026-07-07T00:00:00"/>
    <x v="3"/>
    <d v="2026-07-07T00:00:00"/>
    <x v="1"/>
    <x v="0"/>
    <x v="0"/>
    <x v="0"/>
    <x v="0"/>
    <m/>
    <m/>
    <x v="0"/>
    <x v="0"/>
    <x v="0"/>
    <x v="0"/>
    <x v="0"/>
    <x v="1"/>
  </r>
  <r>
    <d v="2026-07-08T00:00:00"/>
    <x v="4"/>
    <d v="2026-07-08T00:00:00"/>
    <x v="1"/>
    <x v="0"/>
    <x v="0"/>
    <x v="0"/>
    <x v="0"/>
    <m/>
    <m/>
    <x v="0"/>
    <x v="0"/>
    <x v="0"/>
    <x v="0"/>
    <x v="0"/>
    <x v="1"/>
  </r>
  <r>
    <d v="2026-07-09T00:00:00"/>
    <x v="5"/>
    <d v="2026-07-09T00:00:00"/>
    <x v="1"/>
    <x v="0"/>
    <x v="0"/>
    <x v="0"/>
    <x v="0"/>
    <m/>
    <m/>
    <x v="0"/>
    <x v="0"/>
    <x v="0"/>
    <x v="0"/>
    <x v="0"/>
    <x v="1"/>
  </r>
  <r>
    <d v="2026-07-10T00:00:00"/>
    <x v="6"/>
    <d v="2026-07-10T00:00:00"/>
    <x v="1"/>
    <x v="0"/>
    <x v="0"/>
    <x v="0"/>
    <x v="0"/>
    <m/>
    <m/>
    <x v="0"/>
    <x v="0"/>
    <x v="0"/>
    <x v="0"/>
    <x v="0"/>
    <x v="1"/>
  </r>
  <r>
    <d v="2026-07-11T00:00:00"/>
    <x v="0"/>
    <d v="2026-07-11T00:00:00"/>
    <x v="0"/>
    <x v="0"/>
    <x v="0"/>
    <x v="0"/>
    <x v="0"/>
    <m/>
    <m/>
    <x v="0"/>
    <x v="0"/>
    <x v="0"/>
    <x v="0"/>
    <x v="0"/>
    <x v="1"/>
  </r>
  <r>
    <d v="2026-07-12T00:00:00"/>
    <x v="1"/>
    <d v="2026-07-12T00:00:00"/>
    <x v="0"/>
    <x v="0"/>
    <x v="0"/>
    <x v="0"/>
    <x v="0"/>
    <m/>
    <m/>
    <x v="0"/>
    <x v="0"/>
    <x v="0"/>
    <x v="0"/>
    <x v="0"/>
    <x v="1"/>
  </r>
  <r>
    <d v="2026-07-13T00:00:00"/>
    <x v="2"/>
    <d v="2026-07-13T00:00:00"/>
    <x v="1"/>
    <x v="0"/>
    <x v="0"/>
    <x v="0"/>
    <x v="0"/>
    <m/>
    <m/>
    <x v="0"/>
    <x v="0"/>
    <x v="0"/>
    <x v="0"/>
    <x v="0"/>
    <x v="1"/>
  </r>
  <r>
    <d v="2026-07-14T00:00:00"/>
    <x v="3"/>
    <d v="2026-07-14T00:00:00"/>
    <x v="1"/>
    <x v="0"/>
    <x v="0"/>
    <x v="0"/>
    <x v="0"/>
    <m/>
    <m/>
    <x v="0"/>
    <x v="0"/>
    <x v="0"/>
    <x v="0"/>
    <x v="0"/>
    <x v="1"/>
  </r>
  <r>
    <d v="2026-07-15T00:00:00"/>
    <x v="4"/>
    <d v="2026-07-15T00:00:00"/>
    <x v="1"/>
    <x v="0"/>
    <x v="0"/>
    <x v="0"/>
    <x v="0"/>
    <m/>
    <m/>
    <x v="0"/>
    <x v="0"/>
    <x v="0"/>
    <x v="0"/>
    <x v="0"/>
    <x v="1"/>
  </r>
  <r>
    <d v="2026-07-16T00:00:00"/>
    <x v="5"/>
    <d v="2026-07-16T00:00:00"/>
    <x v="1"/>
    <x v="0"/>
    <x v="0"/>
    <x v="0"/>
    <x v="0"/>
    <m/>
    <m/>
    <x v="0"/>
    <x v="0"/>
    <x v="0"/>
    <x v="0"/>
    <x v="0"/>
    <x v="1"/>
  </r>
  <r>
    <d v="2026-07-17T00:00:00"/>
    <x v="6"/>
    <d v="2026-07-17T00:00:00"/>
    <x v="1"/>
    <x v="0"/>
    <x v="0"/>
    <x v="0"/>
    <x v="0"/>
    <m/>
    <m/>
    <x v="0"/>
    <x v="0"/>
    <x v="0"/>
    <x v="0"/>
    <x v="0"/>
    <x v="1"/>
  </r>
  <r>
    <d v="2026-07-18T00:00:00"/>
    <x v="0"/>
    <d v="2026-07-18T00:00:00"/>
    <x v="0"/>
    <x v="0"/>
    <x v="0"/>
    <x v="0"/>
    <x v="0"/>
    <m/>
    <m/>
    <x v="0"/>
    <x v="0"/>
    <x v="0"/>
    <x v="0"/>
    <x v="0"/>
    <x v="1"/>
  </r>
  <r>
    <d v="2026-07-19T00:00:00"/>
    <x v="1"/>
    <d v="2026-07-19T00:00:00"/>
    <x v="0"/>
    <x v="0"/>
    <x v="0"/>
    <x v="0"/>
    <x v="0"/>
    <m/>
    <m/>
    <x v="0"/>
    <x v="0"/>
    <x v="0"/>
    <x v="0"/>
    <x v="0"/>
    <x v="1"/>
  </r>
  <r>
    <d v="2026-07-20T00:00:00"/>
    <x v="2"/>
    <d v="2026-07-20T00:00:00"/>
    <x v="1"/>
    <x v="0"/>
    <x v="0"/>
    <x v="0"/>
    <x v="0"/>
    <m/>
    <m/>
    <x v="0"/>
    <x v="0"/>
    <x v="0"/>
    <x v="0"/>
    <x v="0"/>
    <x v="1"/>
  </r>
  <r>
    <d v="2026-07-21T00:00:00"/>
    <x v="3"/>
    <d v="2026-07-21T00:00:00"/>
    <x v="1"/>
    <x v="0"/>
    <x v="0"/>
    <x v="0"/>
    <x v="0"/>
    <m/>
    <m/>
    <x v="0"/>
    <x v="0"/>
    <x v="0"/>
    <x v="0"/>
    <x v="0"/>
    <x v="1"/>
  </r>
  <r>
    <d v="2026-07-22T00:00:00"/>
    <x v="4"/>
    <d v="2026-07-22T00:00:00"/>
    <x v="1"/>
    <x v="0"/>
    <x v="0"/>
    <x v="0"/>
    <x v="0"/>
    <m/>
    <m/>
    <x v="0"/>
    <x v="0"/>
    <x v="0"/>
    <x v="0"/>
    <x v="0"/>
    <x v="1"/>
  </r>
  <r>
    <d v="2026-07-23T00:00:00"/>
    <x v="5"/>
    <d v="2026-07-23T00:00:00"/>
    <x v="1"/>
    <x v="0"/>
    <x v="0"/>
    <x v="0"/>
    <x v="0"/>
    <m/>
    <m/>
    <x v="0"/>
    <x v="0"/>
    <x v="0"/>
    <x v="0"/>
    <x v="0"/>
    <x v="1"/>
  </r>
  <r>
    <d v="2026-07-24T00:00:00"/>
    <x v="6"/>
    <d v="2026-07-24T00:00:00"/>
    <x v="1"/>
    <x v="0"/>
    <x v="0"/>
    <x v="0"/>
    <x v="0"/>
    <m/>
    <m/>
    <x v="0"/>
    <x v="0"/>
    <x v="0"/>
    <x v="0"/>
    <x v="0"/>
    <x v="1"/>
  </r>
  <r>
    <d v="2026-07-25T00:00:00"/>
    <x v="0"/>
    <d v="2026-07-25T00:00:00"/>
    <x v="0"/>
    <x v="0"/>
    <x v="0"/>
    <x v="0"/>
    <x v="0"/>
    <m/>
    <m/>
    <x v="0"/>
    <x v="0"/>
    <x v="0"/>
    <x v="0"/>
    <x v="0"/>
    <x v="1"/>
  </r>
  <r>
    <d v="2026-07-26T00:00:00"/>
    <x v="1"/>
    <d v="2026-07-26T00:00:00"/>
    <x v="0"/>
    <x v="0"/>
    <x v="0"/>
    <x v="0"/>
    <x v="0"/>
    <m/>
    <m/>
    <x v="0"/>
    <x v="0"/>
    <x v="0"/>
    <x v="0"/>
    <x v="0"/>
    <x v="1"/>
  </r>
  <r>
    <d v="2026-07-27T00:00:00"/>
    <x v="2"/>
    <d v="2026-07-27T00:00:00"/>
    <x v="1"/>
    <x v="0"/>
    <x v="0"/>
    <x v="0"/>
    <x v="0"/>
    <m/>
    <m/>
    <x v="0"/>
    <x v="0"/>
    <x v="0"/>
    <x v="0"/>
    <x v="0"/>
    <x v="1"/>
  </r>
  <r>
    <d v="2026-07-28T00:00:00"/>
    <x v="3"/>
    <d v="2026-07-28T00:00:00"/>
    <x v="1"/>
    <x v="0"/>
    <x v="0"/>
    <x v="0"/>
    <x v="0"/>
    <m/>
    <m/>
    <x v="0"/>
    <x v="0"/>
    <x v="0"/>
    <x v="0"/>
    <x v="0"/>
    <x v="1"/>
  </r>
  <r>
    <d v="2026-07-29T00:00:00"/>
    <x v="4"/>
    <d v="2026-07-29T00:00:00"/>
    <x v="1"/>
    <x v="0"/>
    <x v="0"/>
    <x v="0"/>
    <x v="0"/>
    <m/>
    <m/>
    <x v="0"/>
    <x v="0"/>
    <x v="0"/>
    <x v="0"/>
    <x v="0"/>
    <x v="1"/>
  </r>
  <r>
    <d v="2026-07-30T00:00:00"/>
    <x v="5"/>
    <d v="2026-07-30T00:00:00"/>
    <x v="1"/>
    <x v="0"/>
    <x v="0"/>
    <x v="0"/>
    <x v="0"/>
    <m/>
    <m/>
    <x v="0"/>
    <x v="0"/>
    <x v="0"/>
    <x v="0"/>
    <x v="0"/>
    <x v="1"/>
  </r>
  <r>
    <d v="2026-07-31T00:00:00"/>
    <x v="6"/>
    <d v="2026-07-31T00:00:00"/>
    <x v="1"/>
    <x v="0"/>
    <x v="0"/>
    <x v="0"/>
    <x v="0"/>
    <m/>
    <m/>
    <x v="0"/>
    <x v="0"/>
    <x v="0"/>
    <x v="0"/>
    <x v="0"/>
    <x v="1"/>
  </r>
  <r>
    <d v="2026-08-01T00:00:00"/>
    <x v="0"/>
    <d v="2026-08-01T00:00:00"/>
    <x v="0"/>
    <x v="0"/>
    <x v="0"/>
    <x v="0"/>
    <x v="0"/>
    <m/>
    <m/>
    <x v="0"/>
    <x v="0"/>
    <x v="0"/>
    <x v="0"/>
    <x v="0"/>
    <x v="1"/>
  </r>
  <r>
    <d v="2026-08-02T00:00:00"/>
    <x v="1"/>
    <d v="2026-08-02T00:00:00"/>
    <x v="0"/>
    <x v="0"/>
    <x v="0"/>
    <x v="0"/>
    <x v="0"/>
    <m/>
    <m/>
    <x v="0"/>
    <x v="0"/>
    <x v="0"/>
    <x v="0"/>
    <x v="0"/>
    <x v="1"/>
  </r>
  <r>
    <d v="2026-08-03T00:00:00"/>
    <x v="2"/>
    <d v="2026-08-03T00:00:00"/>
    <x v="1"/>
    <x v="0"/>
    <x v="0"/>
    <x v="0"/>
    <x v="0"/>
    <m/>
    <m/>
    <x v="0"/>
    <x v="0"/>
    <x v="0"/>
    <x v="0"/>
    <x v="0"/>
    <x v="1"/>
  </r>
  <r>
    <d v="2026-08-04T00:00:00"/>
    <x v="3"/>
    <d v="2026-08-04T00:00:00"/>
    <x v="1"/>
    <x v="0"/>
    <x v="0"/>
    <x v="0"/>
    <x v="0"/>
    <m/>
    <m/>
    <x v="0"/>
    <x v="0"/>
    <x v="0"/>
    <x v="0"/>
    <x v="0"/>
    <x v="1"/>
  </r>
  <r>
    <d v="2026-08-05T00:00:00"/>
    <x v="4"/>
    <d v="2026-08-05T00:00:00"/>
    <x v="1"/>
    <x v="0"/>
    <x v="0"/>
    <x v="0"/>
    <x v="0"/>
    <m/>
    <m/>
    <x v="0"/>
    <x v="0"/>
    <x v="0"/>
    <x v="0"/>
    <x v="0"/>
    <x v="1"/>
  </r>
  <r>
    <d v="2026-08-06T00:00:00"/>
    <x v="5"/>
    <d v="2026-08-06T00:00:00"/>
    <x v="1"/>
    <x v="0"/>
    <x v="0"/>
    <x v="0"/>
    <x v="0"/>
    <m/>
    <m/>
    <x v="0"/>
    <x v="0"/>
    <x v="0"/>
    <x v="0"/>
    <x v="0"/>
    <x v="1"/>
  </r>
  <r>
    <d v="2026-08-07T00:00:00"/>
    <x v="6"/>
    <d v="2026-08-07T00:00:00"/>
    <x v="1"/>
    <x v="0"/>
    <x v="0"/>
    <x v="0"/>
    <x v="0"/>
    <m/>
    <m/>
    <x v="0"/>
    <x v="0"/>
    <x v="0"/>
    <x v="0"/>
    <x v="0"/>
    <x v="1"/>
  </r>
  <r>
    <d v="2026-08-08T00:00:00"/>
    <x v="0"/>
    <d v="2026-08-08T00:00:00"/>
    <x v="0"/>
    <x v="0"/>
    <x v="0"/>
    <x v="0"/>
    <x v="0"/>
    <m/>
    <m/>
    <x v="0"/>
    <x v="0"/>
    <x v="0"/>
    <x v="0"/>
    <x v="0"/>
    <x v="1"/>
  </r>
  <r>
    <d v="2026-08-09T00:00:00"/>
    <x v="1"/>
    <d v="2026-08-09T00:00:00"/>
    <x v="0"/>
    <x v="0"/>
    <x v="0"/>
    <x v="0"/>
    <x v="0"/>
    <m/>
    <m/>
    <x v="0"/>
    <x v="0"/>
    <x v="0"/>
    <x v="0"/>
    <x v="0"/>
    <x v="1"/>
  </r>
  <r>
    <d v="2026-08-10T00:00:00"/>
    <x v="2"/>
    <d v="2026-08-10T00:00:00"/>
    <x v="1"/>
    <x v="0"/>
    <x v="0"/>
    <x v="0"/>
    <x v="0"/>
    <m/>
    <m/>
    <x v="0"/>
    <x v="0"/>
    <x v="0"/>
    <x v="0"/>
    <x v="0"/>
    <x v="1"/>
  </r>
  <r>
    <d v="2026-08-11T00:00:00"/>
    <x v="3"/>
    <d v="2026-08-11T00:00:00"/>
    <x v="1"/>
    <x v="0"/>
    <x v="0"/>
    <x v="0"/>
    <x v="0"/>
    <m/>
    <m/>
    <x v="0"/>
    <x v="0"/>
    <x v="0"/>
    <x v="0"/>
    <x v="0"/>
    <x v="1"/>
  </r>
  <r>
    <d v="2026-08-12T00:00:00"/>
    <x v="4"/>
    <d v="2026-08-12T00:00:00"/>
    <x v="1"/>
    <x v="0"/>
    <x v="0"/>
    <x v="0"/>
    <x v="0"/>
    <m/>
    <m/>
    <x v="0"/>
    <x v="0"/>
    <x v="0"/>
    <x v="0"/>
    <x v="0"/>
    <x v="1"/>
  </r>
  <r>
    <d v="2026-08-13T00:00:00"/>
    <x v="5"/>
    <d v="2026-08-13T00:00:00"/>
    <x v="1"/>
    <x v="0"/>
    <x v="0"/>
    <x v="0"/>
    <x v="0"/>
    <m/>
    <m/>
    <x v="0"/>
    <x v="0"/>
    <x v="0"/>
    <x v="0"/>
    <x v="0"/>
    <x v="1"/>
  </r>
  <r>
    <d v="2026-08-14T00:00:00"/>
    <x v="6"/>
    <d v="2026-08-14T00:00:00"/>
    <x v="1"/>
    <x v="0"/>
    <x v="0"/>
    <x v="0"/>
    <x v="0"/>
    <m/>
    <m/>
    <x v="0"/>
    <x v="0"/>
    <x v="0"/>
    <x v="0"/>
    <x v="0"/>
    <x v="1"/>
  </r>
  <r>
    <d v="2026-08-15T00:00:00"/>
    <x v="0"/>
    <d v="2026-08-15T00:00:00"/>
    <x v="0"/>
    <x v="0"/>
    <x v="0"/>
    <x v="0"/>
    <x v="0"/>
    <m/>
    <m/>
    <x v="0"/>
    <x v="0"/>
    <x v="0"/>
    <x v="0"/>
    <x v="0"/>
    <x v="1"/>
  </r>
  <r>
    <d v="2026-08-16T00:00:00"/>
    <x v="1"/>
    <d v="2026-08-16T00:00:00"/>
    <x v="0"/>
    <x v="0"/>
    <x v="0"/>
    <x v="0"/>
    <x v="0"/>
    <m/>
    <m/>
    <x v="0"/>
    <x v="0"/>
    <x v="0"/>
    <x v="0"/>
    <x v="0"/>
    <x v="1"/>
  </r>
  <r>
    <d v="2026-08-17T00:00:00"/>
    <x v="2"/>
    <d v="2026-08-17T00:00:00"/>
    <x v="1"/>
    <x v="0"/>
    <x v="0"/>
    <x v="0"/>
    <x v="0"/>
    <m/>
    <m/>
    <x v="0"/>
    <x v="0"/>
    <x v="0"/>
    <x v="0"/>
    <x v="0"/>
    <x v="1"/>
  </r>
  <r>
    <d v="2026-08-18T00:00:00"/>
    <x v="3"/>
    <d v="2026-08-18T00:00:00"/>
    <x v="1"/>
    <x v="0"/>
    <x v="0"/>
    <x v="0"/>
    <x v="0"/>
    <m/>
    <m/>
    <x v="0"/>
    <x v="0"/>
    <x v="0"/>
    <x v="0"/>
    <x v="0"/>
    <x v="1"/>
  </r>
  <r>
    <d v="2026-08-19T00:00:00"/>
    <x v="4"/>
    <d v="2026-08-19T00:00:00"/>
    <x v="1"/>
    <x v="0"/>
    <x v="0"/>
    <x v="0"/>
    <x v="0"/>
    <m/>
    <m/>
    <x v="0"/>
    <x v="0"/>
    <x v="0"/>
    <x v="0"/>
    <x v="0"/>
    <x v="1"/>
  </r>
  <r>
    <d v="2026-08-20T00:00:00"/>
    <x v="5"/>
    <d v="2026-08-20T00:00:00"/>
    <x v="1"/>
    <x v="0"/>
    <x v="0"/>
    <x v="0"/>
    <x v="0"/>
    <m/>
    <m/>
    <x v="0"/>
    <x v="0"/>
    <x v="0"/>
    <x v="0"/>
    <x v="0"/>
    <x v="1"/>
  </r>
  <r>
    <d v="2026-08-21T00:00:00"/>
    <x v="6"/>
    <d v="2026-08-21T00:00:00"/>
    <x v="1"/>
    <x v="0"/>
    <x v="0"/>
    <x v="0"/>
    <x v="0"/>
    <m/>
    <m/>
    <x v="0"/>
    <x v="0"/>
    <x v="0"/>
    <x v="0"/>
    <x v="0"/>
    <x v="1"/>
  </r>
  <r>
    <d v="2026-08-22T00:00:00"/>
    <x v="0"/>
    <d v="2026-08-22T00:00:00"/>
    <x v="0"/>
    <x v="0"/>
    <x v="0"/>
    <x v="0"/>
    <x v="0"/>
    <m/>
    <m/>
    <x v="0"/>
    <x v="0"/>
    <x v="0"/>
    <x v="0"/>
    <x v="0"/>
    <x v="1"/>
  </r>
  <r>
    <d v="2026-08-23T00:00:00"/>
    <x v="1"/>
    <d v="2026-08-23T00:00:00"/>
    <x v="0"/>
    <x v="0"/>
    <x v="0"/>
    <x v="0"/>
    <x v="0"/>
    <m/>
    <m/>
    <x v="0"/>
    <x v="0"/>
    <x v="0"/>
    <x v="0"/>
    <x v="0"/>
    <x v="1"/>
  </r>
  <r>
    <d v="2026-08-24T00:00:00"/>
    <x v="2"/>
    <d v="2026-08-24T00:00:00"/>
    <x v="1"/>
    <x v="0"/>
    <x v="0"/>
    <x v="0"/>
    <x v="0"/>
    <m/>
    <m/>
    <x v="0"/>
    <x v="0"/>
    <x v="0"/>
    <x v="0"/>
    <x v="0"/>
    <x v="1"/>
  </r>
  <r>
    <d v="2026-08-25T00:00:00"/>
    <x v="3"/>
    <d v="2026-08-25T00:00:00"/>
    <x v="1"/>
    <x v="0"/>
    <x v="0"/>
    <x v="0"/>
    <x v="0"/>
    <m/>
    <m/>
    <x v="0"/>
    <x v="0"/>
    <x v="0"/>
    <x v="0"/>
    <x v="0"/>
    <x v="1"/>
  </r>
  <r>
    <d v="2026-08-26T00:00:00"/>
    <x v="4"/>
    <d v="2026-08-26T00:00:00"/>
    <x v="1"/>
    <x v="0"/>
    <x v="0"/>
    <x v="0"/>
    <x v="0"/>
    <m/>
    <m/>
    <x v="0"/>
    <x v="0"/>
    <x v="0"/>
    <x v="0"/>
    <x v="0"/>
    <x v="1"/>
  </r>
  <r>
    <d v="2026-08-27T00:00:00"/>
    <x v="5"/>
    <d v="2026-08-27T00:00:00"/>
    <x v="1"/>
    <x v="0"/>
    <x v="0"/>
    <x v="0"/>
    <x v="0"/>
    <m/>
    <m/>
    <x v="0"/>
    <x v="0"/>
    <x v="0"/>
    <x v="0"/>
    <x v="0"/>
    <x v="1"/>
  </r>
  <r>
    <d v="2026-08-28T00:00:00"/>
    <x v="6"/>
    <d v="2026-08-28T00:00:00"/>
    <x v="1"/>
    <x v="0"/>
    <x v="0"/>
    <x v="0"/>
    <x v="0"/>
    <m/>
    <m/>
    <x v="0"/>
    <x v="0"/>
    <x v="0"/>
    <x v="0"/>
    <x v="0"/>
    <x v="1"/>
  </r>
  <r>
    <d v="2026-08-29T00:00:00"/>
    <x v="0"/>
    <d v="2026-08-29T00:00:00"/>
    <x v="0"/>
    <x v="0"/>
    <x v="0"/>
    <x v="0"/>
    <x v="0"/>
    <m/>
    <m/>
    <x v="0"/>
    <x v="0"/>
    <x v="0"/>
    <x v="0"/>
    <x v="0"/>
    <x v="1"/>
  </r>
  <r>
    <d v="2026-08-30T00:00:00"/>
    <x v="1"/>
    <d v="2026-08-30T00:00:00"/>
    <x v="0"/>
    <x v="0"/>
    <x v="0"/>
    <x v="0"/>
    <x v="0"/>
    <m/>
    <m/>
    <x v="0"/>
    <x v="0"/>
    <x v="0"/>
    <x v="0"/>
    <x v="0"/>
    <x v="1"/>
  </r>
  <r>
    <d v="2026-08-31T00:00:00"/>
    <x v="2"/>
    <d v="2026-08-31T00:00:00"/>
    <x v="1"/>
    <x v="0"/>
    <x v="0"/>
    <x v="0"/>
    <x v="0"/>
    <m/>
    <m/>
    <x v="0"/>
    <x v="0"/>
    <x v="0"/>
    <x v="0"/>
    <x v="0"/>
    <x v="1"/>
  </r>
  <r>
    <d v="2026-09-01T00:00:00"/>
    <x v="3"/>
    <d v="2026-09-01T00:00:00"/>
    <x v="1"/>
    <x v="0"/>
    <x v="0"/>
    <x v="0"/>
    <x v="0"/>
    <m/>
    <m/>
    <x v="0"/>
    <x v="0"/>
    <x v="0"/>
    <x v="0"/>
    <x v="0"/>
    <x v="1"/>
  </r>
  <r>
    <d v="2026-09-02T00:00:00"/>
    <x v="4"/>
    <d v="2026-09-02T00:00:00"/>
    <x v="1"/>
    <x v="0"/>
    <x v="0"/>
    <x v="0"/>
    <x v="0"/>
    <m/>
    <m/>
    <x v="0"/>
    <x v="0"/>
    <x v="0"/>
    <x v="0"/>
    <x v="0"/>
    <x v="1"/>
  </r>
  <r>
    <d v="2026-09-03T00:00:00"/>
    <x v="5"/>
    <d v="2026-09-03T00:00:00"/>
    <x v="1"/>
    <x v="0"/>
    <x v="0"/>
    <x v="0"/>
    <x v="0"/>
    <m/>
    <m/>
    <x v="0"/>
    <x v="0"/>
    <x v="0"/>
    <x v="0"/>
    <x v="0"/>
    <x v="1"/>
  </r>
  <r>
    <d v="2026-09-04T00:00:00"/>
    <x v="6"/>
    <d v="2026-09-04T00:00:00"/>
    <x v="1"/>
    <x v="0"/>
    <x v="0"/>
    <x v="0"/>
    <x v="0"/>
    <m/>
    <m/>
    <x v="0"/>
    <x v="0"/>
    <x v="0"/>
    <x v="0"/>
    <x v="0"/>
    <x v="1"/>
  </r>
  <r>
    <d v="2026-09-05T00:00:00"/>
    <x v="0"/>
    <d v="2026-09-05T00:00:00"/>
    <x v="0"/>
    <x v="0"/>
    <x v="0"/>
    <x v="0"/>
    <x v="0"/>
    <m/>
    <m/>
    <x v="0"/>
    <x v="0"/>
    <x v="0"/>
    <x v="0"/>
    <x v="0"/>
    <x v="1"/>
  </r>
  <r>
    <d v="2026-09-06T00:00:00"/>
    <x v="1"/>
    <d v="2026-09-06T00:00:00"/>
    <x v="0"/>
    <x v="0"/>
    <x v="0"/>
    <x v="0"/>
    <x v="0"/>
    <m/>
    <m/>
    <x v="0"/>
    <x v="0"/>
    <x v="0"/>
    <x v="0"/>
    <x v="0"/>
    <x v="1"/>
  </r>
  <r>
    <d v="2026-09-07T00:00:00"/>
    <x v="2"/>
    <d v="2026-09-07T00:00:00"/>
    <x v="1"/>
    <x v="0"/>
    <x v="0"/>
    <x v="0"/>
    <x v="0"/>
    <m/>
    <m/>
    <x v="0"/>
    <x v="0"/>
    <x v="0"/>
    <x v="0"/>
    <x v="0"/>
    <x v="1"/>
  </r>
  <r>
    <d v="2026-09-08T00:00:00"/>
    <x v="3"/>
    <d v="2026-09-08T00:00:00"/>
    <x v="1"/>
    <x v="0"/>
    <x v="0"/>
    <x v="0"/>
    <x v="0"/>
    <m/>
    <m/>
    <x v="0"/>
    <x v="0"/>
    <x v="0"/>
    <x v="0"/>
    <x v="0"/>
    <x v="1"/>
  </r>
  <r>
    <d v="2026-09-09T00:00:00"/>
    <x v="4"/>
    <d v="2026-09-09T00:00:00"/>
    <x v="1"/>
    <x v="0"/>
    <x v="0"/>
    <x v="0"/>
    <x v="0"/>
    <m/>
    <m/>
    <x v="0"/>
    <x v="0"/>
    <x v="0"/>
    <x v="0"/>
    <x v="0"/>
    <x v="1"/>
  </r>
  <r>
    <d v="2026-09-10T00:00:00"/>
    <x v="5"/>
    <d v="2026-09-10T00:00:00"/>
    <x v="1"/>
    <x v="0"/>
    <x v="0"/>
    <x v="0"/>
    <x v="0"/>
    <m/>
    <m/>
    <x v="0"/>
    <x v="0"/>
    <x v="0"/>
    <x v="0"/>
    <x v="0"/>
    <x v="1"/>
  </r>
  <r>
    <d v="2026-09-11T00:00:00"/>
    <x v="6"/>
    <d v="2026-09-11T00:00:00"/>
    <x v="1"/>
    <x v="0"/>
    <x v="0"/>
    <x v="0"/>
    <x v="0"/>
    <m/>
    <m/>
    <x v="0"/>
    <x v="0"/>
    <x v="0"/>
    <x v="0"/>
    <x v="0"/>
    <x v="1"/>
  </r>
  <r>
    <d v="2026-09-12T00:00:00"/>
    <x v="0"/>
    <d v="2026-09-12T00:00:00"/>
    <x v="0"/>
    <x v="0"/>
    <x v="0"/>
    <x v="0"/>
    <x v="0"/>
    <m/>
    <m/>
    <x v="0"/>
    <x v="0"/>
    <x v="0"/>
    <x v="0"/>
    <x v="0"/>
    <x v="1"/>
  </r>
  <r>
    <d v="2026-09-13T00:00:00"/>
    <x v="1"/>
    <d v="2026-09-13T00:00:00"/>
    <x v="0"/>
    <x v="0"/>
    <x v="0"/>
    <x v="0"/>
    <x v="0"/>
    <m/>
    <m/>
    <x v="0"/>
    <x v="0"/>
    <x v="0"/>
    <x v="0"/>
    <x v="0"/>
    <x v="1"/>
  </r>
  <r>
    <d v="2026-09-14T00:00:00"/>
    <x v="2"/>
    <d v="2026-09-14T00:00:00"/>
    <x v="1"/>
    <x v="0"/>
    <x v="0"/>
    <x v="0"/>
    <x v="0"/>
    <m/>
    <m/>
    <x v="0"/>
    <x v="0"/>
    <x v="0"/>
    <x v="0"/>
    <x v="0"/>
    <x v="1"/>
  </r>
  <r>
    <d v="2026-09-15T00:00:00"/>
    <x v="3"/>
    <d v="2026-09-15T00:00:00"/>
    <x v="1"/>
    <x v="0"/>
    <x v="0"/>
    <x v="0"/>
    <x v="0"/>
    <m/>
    <m/>
    <x v="0"/>
    <x v="0"/>
    <x v="0"/>
    <x v="0"/>
    <x v="0"/>
    <x v="1"/>
  </r>
  <r>
    <d v="2026-09-16T00:00:00"/>
    <x v="4"/>
    <d v="2026-09-16T00:00:00"/>
    <x v="1"/>
    <x v="0"/>
    <x v="0"/>
    <x v="0"/>
    <x v="0"/>
    <m/>
    <m/>
    <x v="0"/>
    <x v="0"/>
    <x v="0"/>
    <x v="0"/>
    <x v="0"/>
    <x v="1"/>
  </r>
  <r>
    <d v="2026-09-17T00:00:00"/>
    <x v="5"/>
    <d v="2026-09-17T00:00:00"/>
    <x v="1"/>
    <x v="0"/>
    <x v="0"/>
    <x v="0"/>
    <x v="0"/>
    <m/>
    <m/>
    <x v="0"/>
    <x v="0"/>
    <x v="0"/>
    <x v="0"/>
    <x v="0"/>
    <x v="1"/>
  </r>
  <r>
    <d v="2026-09-18T00:00:00"/>
    <x v="6"/>
    <d v="2026-09-18T00:00:00"/>
    <x v="1"/>
    <x v="0"/>
    <x v="0"/>
    <x v="0"/>
    <x v="0"/>
    <m/>
    <m/>
    <x v="0"/>
    <x v="0"/>
    <x v="0"/>
    <x v="0"/>
    <x v="0"/>
    <x v="1"/>
  </r>
  <r>
    <d v="2026-09-19T00:00:00"/>
    <x v="0"/>
    <d v="2026-09-19T00:00:00"/>
    <x v="0"/>
    <x v="0"/>
    <x v="0"/>
    <x v="0"/>
    <x v="0"/>
    <m/>
    <m/>
    <x v="0"/>
    <x v="0"/>
    <x v="0"/>
    <x v="0"/>
    <x v="0"/>
    <x v="1"/>
  </r>
  <r>
    <d v="2026-09-20T00:00:00"/>
    <x v="1"/>
    <d v="2026-09-20T00:00:00"/>
    <x v="0"/>
    <x v="0"/>
    <x v="0"/>
    <x v="0"/>
    <x v="0"/>
    <m/>
    <m/>
    <x v="0"/>
    <x v="0"/>
    <x v="0"/>
    <x v="0"/>
    <x v="0"/>
    <x v="1"/>
  </r>
  <r>
    <d v="2026-09-21T00:00:00"/>
    <x v="2"/>
    <d v="2026-09-21T00:00:00"/>
    <x v="1"/>
    <x v="0"/>
    <x v="0"/>
    <x v="0"/>
    <x v="0"/>
    <m/>
    <m/>
    <x v="0"/>
    <x v="0"/>
    <x v="0"/>
    <x v="0"/>
    <x v="0"/>
    <x v="1"/>
  </r>
  <r>
    <d v="2026-09-22T00:00:00"/>
    <x v="3"/>
    <d v="2026-09-22T00:00:00"/>
    <x v="1"/>
    <x v="0"/>
    <x v="0"/>
    <x v="0"/>
    <x v="0"/>
    <m/>
    <m/>
    <x v="0"/>
    <x v="0"/>
    <x v="0"/>
    <x v="0"/>
    <x v="0"/>
    <x v="1"/>
  </r>
  <r>
    <d v="2026-09-23T00:00:00"/>
    <x v="4"/>
    <d v="2026-09-23T00:00:00"/>
    <x v="1"/>
    <x v="0"/>
    <x v="0"/>
    <x v="0"/>
    <x v="0"/>
    <m/>
    <m/>
    <x v="0"/>
    <x v="0"/>
    <x v="0"/>
    <x v="0"/>
    <x v="0"/>
    <x v="1"/>
  </r>
  <r>
    <d v="2026-09-24T00:00:00"/>
    <x v="5"/>
    <d v="2026-09-24T00:00:00"/>
    <x v="1"/>
    <x v="0"/>
    <x v="0"/>
    <x v="0"/>
    <x v="0"/>
    <m/>
    <m/>
    <x v="0"/>
    <x v="0"/>
    <x v="0"/>
    <x v="0"/>
    <x v="0"/>
    <x v="1"/>
  </r>
  <r>
    <d v="2026-09-25T00:00:00"/>
    <x v="6"/>
    <d v="2026-09-25T00:00:00"/>
    <x v="1"/>
    <x v="0"/>
    <x v="0"/>
    <x v="0"/>
    <x v="0"/>
    <m/>
    <m/>
    <x v="0"/>
    <x v="0"/>
    <x v="0"/>
    <x v="0"/>
    <x v="0"/>
    <x v="1"/>
  </r>
  <r>
    <d v="2026-09-26T00:00:00"/>
    <x v="0"/>
    <d v="2026-09-26T00:00:00"/>
    <x v="0"/>
    <x v="0"/>
    <x v="0"/>
    <x v="0"/>
    <x v="0"/>
    <m/>
    <m/>
    <x v="0"/>
    <x v="0"/>
    <x v="0"/>
    <x v="0"/>
    <x v="0"/>
    <x v="1"/>
  </r>
  <r>
    <d v="2026-09-27T00:00:00"/>
    <x v="1"/>
    <d v="2026-09-27T00:00:00"/>
    <x v="0"/>
    <x v="0"/>
    <x v="0"/>
    <x v="0"/>
    <x v="0"/>
    <m/>
    <m/>
    <x v="0"/>
    <x v="0"/>
    <x v="0"/>
    <x v="0"/>
    <x v="0"/>
    <x v="1"/>
  </r>
  <r>
    <d v="2026-09-28T00:00:00"/>
    <x v="2"/>
    <d v="2026-09-28T00:00:00"/>
    <x v="1"/>
    <x v="0"/>
    <x v="0"/>
    <x v="0"/>
    <x v="0"/>
    <m/>
    <m/>
    <x v="0"/>
    <x v="0"/>
    <x v="0"/>
    <x v="0"/>
    <x v="0"/>
    <x v="1"/>
  </r>
  <r>
    <d v="2026-09-29T00:00:00"/>
    <x v="3"/>
    <d v="2026-09-29T00:00:00"/>
    <x v="1"/>
    <x v="0"/>
    <x v="0"/>
    <x v="0"/>
    <x v="0"/>
    <m/>
    <m/>
    <x v="0"/>
    <x v="0"/>
    <x v="0"/>
    <x v="0"/>
    <x v="0"/>
    <x v="1"/>
  </r>
  <r>
    <d v="2026-09-30T00:00:00"/>
    <x v="4"/>
    <d v="2026-09-30T00:00:00"/>
    <x v="1"/>
    <x v="0"/>
    <x v="0"/>
    <x v="0"/>
    <x v="0"/>
    <m/>
    <m/>
    <x v="0"/>
    <x v="0"/>
    <x v="0"/>
    <x v="0"/>
    <x v="0"/>
    <x v="1"/>
  </r>
  <r>
    <d v="2026-10-01T00:00:00"/>
    <x v="5"/>
    <d v="2026-10-01T00:00:00"/>
    <x v="1"/>
    <x v="0"/>
    <x v="0"/>
    <x v="0"/>
    <x v="0"/>
    <m/>
    <m/>
    <x v="0"/>
    <x v="0"/>
    <x v="0"/>
    <x v="0"/>
    <x v="0"/>
    <x v="1"/>
  </r>
  <r>
    <d v="2026-10-02T00:00:00"/>
    <x v="6"/>
    <d v="2026-10-02T00:00:00"/>
    <x v="1"/>
    <x v="0"/>
    <x v="0"/>
    <x v="0"/>
    <x v="0"/>
    <m/>
    <m/>
    <x v="0"/>
    <x v="0"/>
    <x v="0"/>
    <x v="0"/>
    <x v="0"/>
    <x v="1"/>
  </r>
  <r>
    <d v="2026-10-03T00:00:00"/>
    <x v="0"/>
    <d v="2026-10-03T00:00:00"/>
    <x v="0"/>
    <x v="0"/>
    <x v="0"/>
    <x v="0"/>
    <x v="0"/>
    <m/>
    <m/>
    <x v="0"/>
    <x v="0"/>
    <x v="0"/>
    <x v="0"/>
    <x v="0"/>
    <x v="1"/>
  </r>
  <r>
    <d v="2026-10-04T00:00:00"/>
    <x v="1"/>
    <d v="2026-10-04T00:00:00"/>
    <x v="0"/>
    <x v="0"/>
    <x v="0"/>
    <x v="0"/>
    <x v="0"/>
    <m/>
    <m/>
    <x v="0"/>
    <x v="0"/>
    <x v="0"/>
    <x v="0"/>
    <x v="0"/>
    <x v="1"/>
  </r>
  <r>
    <d v="2026-10-05T00:00:00"/>
    <x v="2"/>
    <d v="2026-10-05T00:00:00"/>
    <x v="1"/>
    <x v="0"/>
    <x v="0"/>
    <x v="0"/>
    <x v="0"/>
    <m/>
    <m/>
    <x v="0"/>
    <x v="0"/>
    <x v="0"/>
    <x v="0"/>
    <x v="0"/>
    <x v="1"/>
  </r>
  <r>
    <d v="2026-10-06T00:00:00"/>
    <x v="3"/>
    <d v="2026-10-06T00:00:00"/>
    <x v="1"/>
    <x v="0"/>
    <x v="0"/>
    <x v="0"/>
    <x v="0"/>
    <m/>
    <m/>
    <x v="0"/>
    <x v="0"/>
    <x v="0"/>
    <x v="0"/>
    <x v="0"/>
    <x v="1"/>
  </r>
  <r>
    <d v="2026-10-07T00:00:00"/>
    <x v="4"/>
    <d v="2026-10-07T00:00:00"/>
    <x v="1"/>
    <x v="0"/>
    <x v="0"/>
    <x v="0"/>
    <x v="0"/>
    <m/>
    <m/>
    <x v="0"/>
    <x v="0"/>
    <x v="0"/>
    <x v="0"/>
    <x v="0"/>
    <x v="1"/>
  </r>
  <r>
    <d v="2026-10-08T00:00:00"/>
    <x v="5"/>
    <d v="2026-10-08T00:00:00"/>
    <x v="1"/>
    <x v="0"/>
    <x v="0"/>
    <x v="0"/>
    <x v="0"/>
    <m/>
    <m/>
    <x v="0"/>
    <x v="0"/>
    <x v="0"/>
    <x v="0"/>
    <x v="0"/>
    <x v="1"/>
  </r>
  <r>
    <d v="2026-10-09T00:00:00"/>
    <x v="6"/>
    <d v="2026-10-09T00:00:00"/>
    <x v="1"/>
    <x v="0"/>
    <x v="0"/>
    <x v="0"/>
    <x v="0"/>
    <m/>
    <m/>
    <x v="0"/>
    <x v="0"/>
    <x v="0"/>
    <x v="0"/>
    <x v="0"/>
    <x v="1"/>
  </r>
  <r>
    <d v="2026-10-10T00:00:00"/>
    <x v="0"/>
    <d v="2026-10-10T00:00:00"/>
    <x v="0"/>
    <x v="0"/>
    <x v="0"/>
    <x v="0"/>
    <x v="0"/>
    <m/>
    <m/>
    <x v="0"/>
    <x v="0"/>
    <x v="0"/>
    <x v="0"/>
    <x v="0"/>
    <x v="1"/>
  </r>
  <r>
    <d v="2026-10-11T00:00:00"/>
    <x v="1"/>
    <d v="2026-10-11T00:00:00"/>
    <x v="0"/>
    <x v="0"/>
    <x v="0"/>
    <x v="0"/>
    <x v="0"/>
    <m/>
    <m/>
    <x v="0"/>
    <x v="0"/>
    <x v="0"/>
    <x v="0"/>
    <x v="0"/>
    <x v="1"/>
  </r>
  <r>
    <d v="2026-10-12T00:00:00"/>
    <x v="2"/>
    <d v="2026-10-12T00:00:00"/>
    <x v="1"/>
    <x v="0"/>
    <x v="0"/>
    <x v="0"/>
    <x v="0"/>
    <m/>
    <m/>
    <x v="0"/>
    <x v="0"/>
    <x v="0"/>
    <x v="0"/>
    <x v="0"/>
    <x v="1"/>
  </r>
  <r>
    <d v="2026-10-13T00:00:00"/>
    <x v="3"/>
    <d v="2026-10-13T00:00:00"/>
    <x v="1"/>
    <x v="0"/>
    <x v="0"/>
    <x v="0"/>
    <x v="0"/>
    <m/>
    <m/>
    <x v="0"/>
    <x v="0"/>
    <x v="0"/>
    <x v="0"/>
    <x v="0"/>
    <x v="1"/>
  </r>
  <r>
    <d v="2026-10-14T00:00:00"/>
    <x v="4"/>
    <d v="2026-10-14T00:00:00"/>
    <x v="1"/>
    <x v="0"/>
    <x v="0"/>
    <x v="0"/>
    <x v="0"/>
    <m/>
    <m/>
    <x v="0"/>
    <x v="0"/>
    <x v="0"/>
    <x v="0"/>
    <x v="0"/>
    <x v="1"/>
  </r>
  <r>
    <d v="2026-10-15T00:00:00"/>
    <x v="5"/>
    <d v="2026-10-15T00:00:00"/>
    <x v="1"/>
    <x v="0"/>
    <x v="0"/>
    <x v="0"/>
    <x v="0"/>
    <m/>
    <m/>
    <x v="0"/>
    <x v="0"/>
    <x v="0"/>
    <x v="0"/>
    <x v="0"/>
    <x v="1"/>
  </r>
  <r>
    <d v="2026-10-16T00:00:00"/>
    <x v="6"/>
    <d v="2026-10-16T00:00:00"/>
    <x v="1"/>
    <x v="0"/>
    <x v="0"/>
    <x v="0"/>
    <x v="0"/>
    <m/>
    <m/>
    <x v="0"/>
    <x v="0"/>
    <x v="0"/>
    <x v="0"/>
    <x v="0"/>
    <x v="1"/>
  </r>
  <r>
    <d v="2026-10-17T00:00:00"/>
    <x v="0"/>
    <d v="2026-10-17T00:00:00"/>
    <x v="0"/>
    <x v="0"/>
    <x v="0"/>
    <x v="0"/>
    <x v="0"/>
    <m/>
    <m/>
    <x v="0"/>
    <x v="0"/>
    <x v="0"/>
    <x v="0"/>
    <x v="0"/>
    <x v="1"/>
  </r>
  <r>
    <d v="2026-10-18T00:00:00"/>
    <x v="1"/>
    <d v="2026-10-18T00:00:00"/>
    <x v="0"/>
    <x v="0"/>
    <x v="0"/>
    <x v="0"/>
    <x v="0"/>
    <m/>
    <m/>
    <x v="0"/>
    <x v="0"/>
    <x v="0"/>
    <x v="0"/>
    <x v="0"/>
    <x v="1"/>
  </r>
  <r>
    <d v="2026-10-19T00:00:00"/>
    <x v="2"/>
    <d v="2026-10-19T00:00:00"/>
    <x v="1"/>
    <x v="0"/>
    <x v="0"/>
    <x v="0"/>
    <x v="0"/>
    <m/>
    <m/>
    <x v="0"/>
    <x v="0"/>
    <x v="0"/>
    <x v="0"/>
    <x v="0"/>
    <x v="1"/>
  </r>
  <r>
    <d v="2026-10-20T00:00:00"/>
    <x v="3"/>
    <d v="2026-10-20T00:00:00"/>
    <x v="1"/>
    <x v="0"/>
    <x v="0"/>
    <x v="0"/>
    <x v="0"/>
    <m/>
    <m/>
    <x v="0"/>
    <x v="0"/>
    <x v="0"/>
    <x v="0"/>
    <x v="0"/>
    <x v="1"/>
  </r>
  <r>
    <d v="2026-10-21T00:00:00"/>
    <x v="4"/>
    <d v="2026-10-21T00:00:00"/>
    <x v="1"/>
    <x v="0"/>
    <x v="0"/>
    <x v="0"/>
    <x v="0"/>
    <m/>
    <m/>
    <x v="0"/>
    <x v="0"/>
    <x v="0"/>
    <x v="0"/>
    <x v="0"/>
    <x v="1"/>
  </r>
  <r>
    <d v="2026-10-22T00:00:00"/>
    <x v="5"/>
    <d v="2026-10-22T00:00:00"/>
    <x v="1"/>
    <x v="0"/>
    <x v="0"/>
    <x v="0"/>
    <x v="0"/>
    <m/>
    <m/>
    <x v="0"/>
    <x v="0"/>
    <x v="0"/>
    <x v="0"/>
    <x v="0"/>
    <x v="1"/>
  </r>
  <r>
    <d v="2026-10-23T00:00:00"/>
    <x v="6"/>
    <d v="2026-10-23T00:00:00"/>
    <x v="1"/>
    <x v="0"/>
    <x v="0"/>
    <x v="0"/>
    <x v="0"/>
    <m/>
    <m/>
    <x v="0"/>
    <x v="0"/>
    <x v="0"/>
    <x v="0"/>
    <x v="0"/>
    <x v="1"/>
  </r>
  <r>
    <d v="2026-10-24T00:00:00"/>
    <x v="0"/>
    <d v="2026-10-24T00:00:00"/>
    <x v="0"/>
    <x v="0"/>
    <x v="0"/>
    <x v="0"/>
    <x v="0"/>
    <m/>
    <m/>
    <x v="0"/>
    <x v="0"/>
    <x v="0"/>
    <x v="0"/>
    <x v="0"/>
    <x v="1"/>
  </r>
  <r>
    <d v="2026-10-25T00:00:00"/>
    <x v="1"/>
    <d v="2026-10-25T00:00:00"/>
    <x v="0"/>
    <x v="0"/>
    <x v="0"/>
    <x v="0"/>
    <x v="0"/>
    <m/>
    <m/>
    <x v="0"/>
    <x v="0"/>
    <x v="0"/>
    <x v="0"/>
    <x v="0"/>
    <x v="1"/>
  </r>
  <r>
    <d v="2026-10-26T00:00:00"/>
    <x v="2"/>
    <d v="2026-10-26T00:00:00"/>
    <x v="1"/>
    <x v="0"/>
    <x v="0"/>
    <x v="0"/>
    <x v="0"/>
    <m/>
    <m/>
    <x v="0"/>
    <x v="0"/>
    <x v="0"/>
    <x v="0"/>
    <x v="0"/>
    <x v="1"/>
  </r>
  <r>
    <d v="2026-10-27T00:00:00"/>
    <x v="3"/>
    <d v="2026-10-27T00:00:00"/>
    <x v="1"/>
    <x v="0"/>
    <x v="0"/>
    <x v="0"/>
    <x v="0"/>
    <m/>
    <m/>
    <x v="0"/>
    <x v="0"/>
    <x v="0"/>
    <x v="0"/>
    <x v="0"/>
    <x v="1"/>
  </r>
  <r>
    <d v="2026-10-28T00:00:00"/>
    <x v="4"/>
    <d v="2026-10-28T00:00:00"/>
    <x v="1"/>
    <x v="0"/>
    <x v="0"/>
    <x v="0"/>
    <x v="0"/>
    <m/>
    <m/>
    <x v="0"/>
    <x v="0"/>
    <x v="0"/>
    <x v="0"/>
    <x v="0"/>
    <x v="1"/>
  </r>
  <r>
    <d v="2026-10-29T00:00:00"/>
    <x v="5"/>
    <d v="2026-10-29T00:00:00"/>
    <x v="1"/>
    <x v="0"/>
    <x v="0"/>
    <x v="0"/>
    <x v="0"/>
    <m/>
    <m/>
    <x v="0"/>
    <x v="0"/>
    <x v="0"/>
    <x v="0"/>
    <x v="0"/>
    <x v="1"/>
  </r>
  <r>
    <d v="2026-10-30T00:00:00"/>
    <x v="6"/>
    <d v="2026-10-30T00:00:00"/>
    <x v="1"/>
    <x v="0"/>
    <x v="0"/>
    <x v="0"/>
    <x v="0"/>
    <m/>
    <m/>
    <x v="0"/>
    <x v="0"/>
    <x v="0"/>
    <x v="0"/>
    <x v="0"/>
    <x v="1"/>
  </r>
  <r>
    <d v="2026-10-31T00:00:00"/>
    <x v="0"/>
    <d v="2026-10-31T00:00:00"/>
    <x v="0"/>
    <x v="0"/>
    <x v="0"/>
    <x v="0"/>
    <x v="0"/>
    <m/>
    <m/>
    <x v="0"/>
    <x v="0"/>
    <x v="0"/>
    <x v="0"/>
    <x v="0"/>
    <x v="1"/>
  </r>
  <r>
    <d v="2026-11-01T00:00:00"/>
    <x v="1"/>
    <d v="2026-11-01T00:00:00"/>
    <x v="0"/>
    <x v="0"/>
    <x v="0"/>
    <x v="0"/>
    <x v="0"/>
    <m/>
    <m/>
    <x v="0"/>
    <x v="0"/>
    <x v="0"/>
    <x v="0"/>
    <x v="0"/>
    <x v="1"/>
  </r>
  <r>
    <d v="2026-11-02T00:00:00"/>
    <x v="2"/>
    <d v="2026-11-02T00:00:00"/>
    <x v="1"/>
    <x v="0"/>
    <x v="0"/>
    <x v="0"/>
    <x v="0"/>
    <m/>
    <m/>
    <x v="0"/>
    <x v="0"/>
    <x v="0"/>
    <x v="0"/>
    <x v="0"/>
    <x v="1"/>
  </r>
  <r>
    <d v="2026-11-03T00:00:00"/>
    <x v="3"/>
    <d v="2026-11-03T00:00:00"/>
    <x v="1"/>
    <x v="0"/>
    <x v="0"/>
    <x v="0"/>
    <x v="0"/>
    <m/>
    <m/>
    <x v="0"/>
    <x v="0"/>
    <x v="0"/>
    <x v="0"/>
    <x v="0"/>
    <x v="1"/>
  </r>
  <r>
    <d v="2026-11-04T00:00:00"/>
    <x v="4"/>
    <d v="2026-11-04T00:00:00"/>
    <x v="1"/>
    <x v="0"/>
    <x v="0"/>
    <x v="0"/>
    <x v="0"/>
    <m/>
    <m/>
    <x v="0"/>
    <x v="0"/>
    <x v="0"/>
    <x v="0"/>
    <x v="0"/>
    <x v="1"/>
  </r>
  <r>
    <d v="2026-11-05T00:00:00"/>
    <x v="5"/>
    <d v="2026-11-05T00:00:00"/>
    <x v="1"/>
    <x v="0"/>
    <x v="0"/>
    <x v="0"/>
    <x v="0"/>
    <m/>
    <m/>
    <x v="0"/>
    <x v="0"/>
    <x v="0"/>
    <x v="0"/>
    <x v="0"/>
    <x v="1"/>
  </r>
  <r>
    <d v="2026-11-06T00:00:00"/>
    <x v="6"/>
    <d v="2026-11-06T00:00:00"/>
    <x v="1"/>
    <x v="0"/>
    <x v="0"/>
    <x v="0"/>
    <x v="0"/>
    <m/>
    <m/>
    <x v="0"/>
    <x v="0"/>
    <x v="0"/>
    <x v="0"/>
    <x v="0"/>
    <x v="1"/>
  </r>
  <r>
    <d v="2026-11-07T00:00:00"/>
    <x v="0"/>
    <d v="2026-11-07T00:00:00"/>
    <x v="0"/>
    <x v="0"/>
    <x v="0"/>
    <x v="0"/>
    <x v="0"/>
    <m/>
    <m/>
    <x v="0"/>
    <x v="0"/>
    <x v="0"/>
    <x v="0"/>
    <x v="0"/>
    <x v="1"/>
  </r>
  <r>
    <d v="2026-11-08T00:00:00"/>
    <x v="1"/>
    <d v="2026-11-08T00:00:00"/>
    <x v="0"/>
    <x v="0"/>
    <x v="0"/>
    <x v="0"/>
    <x v="0"/>
    <m/>
    <m/>
    <x v="0"/>
    <x v="0"/>
    <x v="0"/>
    <x v="0"/>
    <x v="0"/>
    <x v="1"/>
  </r>
  <r>
    <d v="2026-11-09T00:00:00"/>
    <x v="2"/>
    <d v="2026-11-09T00:00:00"/>
    <x v="1"/>
    <x v="0"/>
    <x v="0"/>
    <x v="0"/>
    <x v="0"/>
    <m/>
    <m/>
    <x v="0"/>
    <x v="0"/>
    <x v="0"/>
    <x v="0"/>
    <x v="0"/>
    <x v="1"/>
  </r>
  <r>
    <d v="2026-11-10T00:00:00"/>
    <x v="3"/>
    <d v="2026-11-10T00:00:00"/>
    <x v="1"/>
    <x v="0"/>
    <x v="0"/>
    <x v="0"/>
    <x v="0"/>
    <m/>
    <m/>
    <x v="0"/>
    <x v="0"/>
    <x v="0"/>
    <x v="0"/>
    <x v="0"/>
    <x v="1"/>
  </r>
  <r>
    <d v="2026-11-11T00:00:00"/>
    <x v="4"/>
    <d v="2026-11-11T00:00:00"/>
    <x v="1"/>
    <x v="0"/>
    <x v="0"/>
    <x v="0"/>
    <x v="0"/>
    <m/>
    <m/>
    <x v="0"/>
    <x v="0"/>
    <x v="0"/>
    <x v="0"/>
    <x v="0"/>
    <x v="1"/>
  </r>
  <r>
    <d v="2026-11-12T00:00:00"/>
    <x v="5"/>
    <d v="2026-11-12T00:00:00"/>
    <x v="1"/>
    <x v="0"/>
    <x v="0"/>
    <x v="0"/>
    <x v="0"/>
    <m/>
    <m/>
    <x v="0"/>
    <x v="0"/>
    <x v="0"/>
    <x v="0"/>
    <x v="0"/>
    <x v="1"/>
  </r>
  <r>
    <d v="2026-11-13T00:00:00"/>
    <x v="6"/>
    <d v="2026-11-13T00:00:00"/>
    <x v="1"/>
    <x v="0"/>
    <x v="0"/>
    <x v="0"/>
    <x v="0"/>
    <m/>
    <m/>
    <x v="0"/>
    <x v="0"/>
    <x v="0"/>
    <x v="0"/>
    <x v="0"/>
    <x v="1"/>
  </r>
  <r>
    <d v="2026-11-14T00:00:00"/>
    <x v="0"/>
    <d v="2026-11-14T00:00:00"/>
    <x v="0"/>
    <x v="0"/>
    <x v="0"/>
    <x v="0"/>
    <x v="0"/>
    <m/>
    <m/>
    <x v="0"/>
    <x v="0"/>
    <x v="0"/>
    <x v="0"/>
    <x v="0"/>
    <x v="1"/>
  </r>
  <r>
    <d v="2026-11-15T00:00:00"/>
    <x v="1"/>
    <d v="2026-11-15T00:00:00"/>
    <x v="0"/>
    <x v="0"/>
    <x v="0"/>
    <x v="0"/>
    <x v="0"/>
    <m/>
    <m/>
    <x v="0"/>
    <x v="0"/>
    <x v="0"/>
    <x v="0"/>
    <x v="0"/>
    <x v="1"/>
  </r>
  <r>
    <d v="2026-11-16T00:00:00"/>
    <x v="2"/>
    <d v="2026-11-16T00:00:00"/>
    <x v="1"/>
    <x v="0"/>
    <x v="0"/>
    <x v="0"/>
    <x v="0"/>
    <m/>
    <m/>
    <x v="0"/>
    <x v="0"/>
    <x v="0"/>
    <x v="0"/>
    <x v="0"/>
    <x v="1"/>
  </r>
  <r>
    <d v="2026-11-17T00:00:00"/>
    <x v="3"/>
    <d v="2026-11-17T00:00:00"/>
    <x v="1"/>
    <x v="0"/>
    <x v="0"/>
    <x v="0"/>
    <x v="0"/>
    <m/>
    <m/>
    <x v="0"/>
    <x v="0"/>
    <x v="0"/>
    <x v="0"/>
    <x v="0"/>
    <x v="1"/>
  </r>
  <r>
    <d v="2026-11-18T00:00:00"/>
    <x v="4"/>
    <d v="2026-11-18T00:00:00"/>
    <x v="1"/>
    <x v="0"/>
    <x v="0"/>
    <x v="0"/>
    <x v="0"/>
    <m/>
    <m/>
    <x v="0"/>
    <x v="0"/>
    <x v="0"/>
    <x v="0"/>
    <x v="0"/>
    <x v="1"/>
  </r>
  <r>
    <d v="2026-11-19T00:00:00"/>
    <x v="5"/>
    <d v="2026-11-19T00:00:00"/>
    <x v="1"/>
    <x v="0"/>
    <x v="0"/>
    <x v="0"/>
    <x v="0"/>
    <m/>
    <m/>
    <x v="0"/>
    <x v="0"/>
    <x v="0"/>
    <x v="0"/>
    <x v="0"/>
    <x v="1"/>
  </r>
  <r>
    <d v="2026-11-20T00:00:00"/>
    <x v="6"/>
    <d v="2026-11-20T00:00:00"/>
    <x v="1"/>
    <x v="0"/>
    <x v="0"/>
    <x v="0"/>
    <x v="0"/>
    <m/>
    <m/>
    <x v="0"/>
    <x v="0"/>
    <x v="0"/>
    <x v="0"/>
    <x v="0"/>
    <x v="1"/>
  </r>
  <r>
    <d v="2026-11-21T00:00:00"/>
    <x v="0"/>
    <d v="2026-11-21T00:00:00"/>
    <x v="0"/>
    <x v="0"/>
    <x v="0"/>
    <x v="0"/>
    <x v="0"/>
    <m/>
    <m/>
    <x v="0"/>
    <x v="0"/>
    <x v="0"/>
    <x v="0"/>
    <x v="0"/>
    <x v="1"/>
  </r>
  <r>
    <d v="2026-11-22T00:00:00"/>
    <x v="1"/>
    <d v="2026-11-22T00:00:00"/>
    <x v="0"/>
    <x v="0"/>
    <x v="0"/>
    <x v="0"/>
    <x v="0"/>
    <m/>
    <m/>
    <x v="0"/>
    <x v="0"/>
    <x v="0"/>
    <x v="0"/>
    <x v="0"/>
    <x v="1"/>
  </r>
  <r>
    <d v="2026-11-23T00:00:00"/>
    <x v="2"/>
    <d v="2026-11-23T00:00:00"/>
    <x v="1"/>
    <x v="0"/>
    <x v="0"/>
    <x v="0"/>
    <x v="0"/>
    <m/>
    <m/>
    <x v="0"/>
    <x v="0"/>
    <x v="0"/>
    <x v="0"/>
    <x v="0"/>
    <x v="1"/>
  </r>
  <r>
    <d v="2026-11-24T00:00:00"/>
    <x v="3"/>
    <d v="2026-11-24T00:00:00"/>
    <x v="1"/>
    <x v="0"/>
    <x v="0"/>
    <x v="0"/>
    <x v="0"/>
    <m/>
    <m/>
    <x v="0"/>
    <x v="0"/>
    <x v="0"/>
    <x v="0"/>
    <x v="0"/>
    <x v="1"/>
  </r>
  <r>
    <d v="2026-11-25T00:00:00"/>
    <x v="4"/>
    <d v="2026-11-25T00:00:00"/>
    <x v="1"/>
    <x v="0"/>
    <x v="0"/>
    <x v="0"/>
    <x v="0"/>
    <m/>
    <m/>
    <x v="0"/>
    <x v="0"/>
    <x v="0"/>
    <x v="0"/>
    <x v="0"/>
    <x v="1"/>
  </r>
  <r>
    <d v="2026-11-26T00:00:00"/>
    <x v="5"/>
    <d v="2026-11-26T00:00:00"/>
    <x v="1"/>
    <x v="0"/>
    <x v="0"/>
    <x v="0"/>
    <x v="0"/>
    <m/>
    <m/>
    <x v="0"/>
    <x v="0"/>
    <x v="0"/>
    <x v="0"/>
    <x v="0"/>
    <x v="1"/>
  </r>
  <r>
    <d v="2026-11-27T00:00:00"/>
    <x v="6"/>
    <d v="2026-11-27T00:00:00"/>
    <x v="1"/>
    <x v="0"/>
    <x v="0"/>
    <x v="0"/>
    <x v="0"/>
    <m/>
    <m/>
    <x v="0"/>
    <x v="0"/>
    <x v="0"/>
    <x v="0"/>
    <x v="0"/>
    <x v="1"/>
  </r>
  <r>
    <d v="2026-11-28T00:00:00"/>
    <x v="0"/>
    <d v="2026-11-28T00:00:00"/>
    <x v="0"/>
    <x v="0"/>
    <x v="0"/>
    <x v="0"/>
    <x v="0"/>
    <m/>
    <m/>
    <x v="0"/>
    <x v="0"/>
    <x v="0"/>
    <x v="0"/>
    <x v="0"/>
    <x v="1"/>
  </r>
  <r>
    <d v="2026-11-29T00:00:00"/>
    <x v="1"/>
    <d v="2026-11-29T00:00:00"/>
    <x v="0"/>
    <x v="0"/>
    <x v="0"/>
    <x v="0"/>
    <x v="0"/>
    <m/>
    <m/>
    <x v="0"/>
    <x v="0"/>
    <x v="0"/>
    <x v="0"/>
    <x v="0"/>
    <x v="1"/>
  </r>
  <r>
    <d v="2026-11-30T00:00:00"/>
    <x v="2"/>
    <d v="2026-11-30T00:00:00"/>
    <x v="1"/>
    <x v="0"/>
    <x v="0"/>
    <x v="0"/>
    <x v="0"/>
    <m/>
    <m/>
    <x v="0"/>
    <x v="0"/>
    <x v="0"/>
    <x v="0"/>
    <x v="0"/>
    <x v="1"/>
  </r>
  <r>
    <d v="2026-12-01T00:00:00"/>
    <x v="3"/>
    <d v="2026-12-01T00:00:00"/>
    <x v="1"/>
    <x v="0"/>
    <x v="0"/>
    <x v="0"/>
    <x v="0"/>
    <m/>
    <m/>
    <x v="0"/>
    <x v="0"/>
    <x v="0"/>
    <x v="0"/>
    <x v="0"/>
    <x v="1"/>
  </r>
  <r>
    <d v="2026-12-02T00:00:00"/>
    <x v="4"/>
    <d v="2026-12-02T00:00:00"/>
    <x v="1"/>
    <x v="0"/>
    <x v="0"/>
    <x v="0"/>
    <x v="0"/>
    <m/>
    <m/>
    <x v="0"/>
    <x v="0"/>
    <x v="0"/>
    <x v="0"/>
    <x v="0"/>
    <x v="1"/>
  </r>
  <r>
    <d v="2026-12-03T00:00:00"/>
    <x v="5"/>
    <d v="2026-12-03T00:00:00"/>
    <x v="1"/>
    <x v="0"/>
    <x v="0"/>
    <x v="0"/>
    <x v="0"/>
    <m/>
    <m/>
    <x v="0"/>
    <x v="0"/>
    <x v="0"/>
    <x v="0"/>
    <x v="0"/>
    <x v="1"/>
  </r>
  <r>
    <d v="2026-12-04T00:00:00"/>
    <x v="6"/>
    <d v="2026-12-04T00:00:00"/>
    <x v="1"/>
    <x v="0"/>
    <x v="0"/>
    <x v="0"/>
    <x v="0"/>
    <m/>
    <m/>
    <x v="0"/>
    <x v="0"/>
    <x v="0"/>
    <x v="0"/>
    <x v="0"/>
    <x v="1"/>
  </r>
  <r>
    <d v="2026-12-05T00:00:00"/>
    <x v="0"/>
    <d v="2026-12-05T00:00:00"/>
    <x v="0"/>
    <x v="0"/>
    <x v="0"/>
    <x v="0"/>
    <x v="0"/>
    <m/>
    <m/>
    <x v="0"/>
    <x v="0"/>
    <x v="0"/>
    <x v="0"/>
    <x v="0"/>
    <x v="1"/>
  </r>
  <r>
    <d v="2026-12-06T00:00:00"/>
    <x v="1"/>
    <d v="2026-12-06T00:00:00"/>
    <x v="0"/>
    <x v="0"/>
    <x v="0"/>
    <x v="0"/>
    <x v="0"/>
    <m/>
    <m/>
    <x v="0"/>
    <x v="0"/>
    <x v="0"/>
    <x v="0"/>
    <x v="0"/>
    <x v="1"/>
  </r>
  <r>
    <d v="2026-12-07T00:00:00"/>
    <x v="2"/>
    <d v="2026-12-07T00:00:00"/>
    <x v="1"/>
    <x v="0"/>
    <x v="0"/>
    <x v="0"/>
    <x v="0"/>
    <m/>
    <m/>
    <x v="0"/>
    <x v="0"/>
    <x v="0"/>
    <x v="0"/>
    <x v="0"/>
    <x v="1"/>
  </r>
  <r>
    <d v="2026-12-08T00:00:00"/>
    <x v="3"/>
    <d v="2026-12-08T00:00:00"/>
    <x v="1"/>
    <x v="0"/>
    <x v="0"/>
    <x v="0"/>
    <x v="0"/>
    <m/>
    <m/>
    <x v="0"/>
    <x v="0"/>
    <x v="0"/>
    <x v="0"/>
    <x v="0"/>
    <x v="1"/>
  </r>
  <r>
    <d v="2026-12-09T00:00:00"/>
    <x v="4"/>
    <d v="2026-12-09T00:00:00"/>
    <x v="1"/>
    <x v="0"/>
    <x v="0"/>
    <x v="0"/>
    <x v="0"/>
    <m/>
    <m/>
    <x v="0"/>
    <x v="0"/>
    <x v="0"/>
    <x v="0"/>
    <x v="0"/>
    <x v="1"/>
  </r>
  <r>
    <d v="2026-12-10T00:00:00"/>
    <x v="5"/>
    <d v="2026-12-10T00:00:00"/>
    <x v="1"/>
    <x v="0"/>
    <x v="0"/>
    <x v="0"/>
    <x v="0"/>
    <m/>
    <m/>
    <x v="0"/>
    <x v="0"/>
    <x v="0"/>
    <x v="0"/>
    <x v="0"/>
    <x v="1"/>
  </r>
  <r>
    <d v="2026-12-11T00:00:00"/>
    <x v="6"/>
    <d v="2026-12-11T00:00:00"/>
    <x v="1"/>
    <x v="0"/>
    <x v="0"/>
    <x v="0"/>
    <x v="0"/>
    <m/>
    <m/>
    <x v="0"/>
    <x v="0"/>
    <x v="0"/>
    <x v="0"/>
    <x v="0"/>
    <x v="1"/>
  </r>
  <r>
    <d v="2026-12-12T00:00:00"/>
    <x v="0"/>
    <d v="2026-12-12T00:00:00"/>
    <x v="0"/>
    <x v="0"/>
    <x v="0"/>
    <x v="0"/>
    <x v="0"/>
    <m/>
    <m/>
    <x v="0"/>
    <x v="0"/>
    <x v="0"/>
    <x v="0"/>
    <x v="0"/>
    <x v="1"/>
  </r>
  <r>
    <d v="2026-12-13T00:00:00"/>
    <x v="1"/>
    <d v="2026-12-13T00:00:00"/>
    <x v="0"/>
    <x v="0"/>
    <x v="0"/>
    <x v="0"/>
    <x v="0"/>
    <m/>
    <m/>
    <x v="0"/>
    <x v="0"/>
    <x v="0"/>
    <x v="0"/>
    <x v="0"/>
    <x v="1"/>
  </r>
  <r>
    <d v="2026-12-14T00:00:00"/>
    <x v="2"/>
    <d v="2026-12-14T00:00:00"/>
    <x v="1"/>
    <x v="0"/>
    <x v="0"/>
    <x v="0"/>
    <x v="0"/>
    <m/>
    <m/>
    <x v="0"/>
    <x v="0"/>
    <x v="0"/>
    <x v="0"/>
    <x v="0"/>
    <x v="1"/>
  </r>
  <r>
    <d v="2026-12-15T00:00:00"/>
    <x v="3"/>
    <d v="2026-12-15T00:00:00"/>
    <x v="1"/>
    <x v="0"/>
    <x v="0"/>
    <x v="0"/>
    <x v="0"/>
    <m/>
    <m/>
    <x v="0"/>
    <x v="0"/>
    <x v="0"/>
    <x v="0"/>
    <x v="0"/>
    <x v="1"/>
  </r>
  <r>
    <d v="2026-12-16T00:00:00"/>
    <x v="4"/>
    <d v="2026-12-16T00:00:00"/>
    <x v="1"/>
    <x v="0"/>
    <x v="0"/>
    <x v="0"/>
    <x v="0"/>
    <m/>
    <m/>
    <x v="0"/>
    <x v="0"/>
    <x v="0"/>
    <x v="0"/>
    <x v="0"/>
    <x v="1"/>
  </r>
  <r>
    <d v="2026-12-17T00:00:00"/>
    <x v="5"/>
    <d v="2026-12-17T00:00:00"/>
    <x v="1"/>
    <x v="0"/>
    <x v="0"/>
    <x v="0"/>
    <x v="0"/>
    <m/>
    <m/>
    <x v="0"/>
    <x v="0"/>
    <x v="0"/>
    <x v="0"/>
    <x v="0"/>
    <x v="1"/>
  </r>
  <r>
    <d v="2026-12-18T00:00:00"/>
    <x v="6"/>
    <d v="2026-12-18T00:00:00"/>
    <x v="1"/>
    <x v="0"/>
    <x v="0"/>
    <x v="0"/>
    <x v="0"/>
    <m/>
    <m/>
    <x v="0"/>
    <x v="0"/>
    <x v="0"/>
    <x v="0"/>
    <x v="0"/>
    <x v="1"/>
  </r>
  <r>
    <d v="2026-12-19T00:00:00"/>
    <x v="0"/>
    <d v="2026-12-19T00:00:00"/>
    <x v="0"/>
    <x v="0"/>
    <x v="0"/>
    <x v="0"/>
    <x v="0"/>
    <m/>
    <m/>
    <x v="0"/>
    <x v="0"/>
    <x v="0"/>
    <x v="0"/>
    <x v="0"/>
    <x v="1"/>
  </r>
  <r>
    <d v="2026-12-20T00:00:00"/>
    <x v="1"/>
    <d v="2026-12-20T00:00:00"/>
    <x v="0"/>
    <x v="0"/>
    <x v="0"/>
    <x v="0"/>
    <x v="0"/>
    <m/>
    <m/>
    <x v="0"/>
    <x v="0"/>
    <x v="0"/>
    <x v="0"/>
    <x v="0"/>
    <x v="1"/>
  </r>
  <r>
    <d v="2026-12-21T00:00:00"/>
    <x v="2"/>
    <d v="2026-12-21T00:00:00"/>
    <x v="1"/>
    <x v="0"/>
    <x v="0"/>
    <x v="0"/>
    <x v="0"/>
    <m/>
    <m/>
    <x v="0"/>
    <x v="0"/>
    <x v="0"/>
    <x v="0"/>
    <x v="0"/>
    <x v="1"/>
  </r>
  <r>
    <d v="2026-12-22T00:00:00"/>
    <x v="3"/>
    <d v="2026-12-22T00:00:00"/>
    <x v="1"/>
    <x v="0"/>
    <x v="0"/>
    <x v="0"/>
    <x v="0"/>
    <m/>
    <m/>
    <x v="0"/>
    <x v="0"/>
    <x v="0"/>
    <x v="0"/>
    <x v="0"/>
    <x v="1"/>
  </r>
  <r>
    <d v="2026-12-23T00:00:00"/>
    <x v="4"/>
    <d v="2026-12-23T00:00:00"/>
    <x v="1"/>
    <x v="0"/>
    <x v="0"/>
    <x v="0"/>
    <x v="0"/>
    <m/>
    <m/>
    <x v="0"/>
    <x v="0"/>
    <x v="0"/>
    <x v="0"/>
    <x v="0"/>
    <x v="1"/>
  </r>
  <r>
    <d v="2026-12-24T00:00:00"/>
    <x v="5"/>
    <d v="2026-12-24T00:00:00"/>
    <x v="1"/>
    <x v="0"/>
    <x v="0"/>
    <x v="0"/>
    <x v="0"/>
    <m/>
    <m/>
    <x v="0"/>
    <x v="0"/>
    <x v="0"/>
    <x v="0"/>
    <x v="0"/>
    <x v="1"/>
  </r>
  <r>
    <d v="2026-12-25T00:00:00"/>
    <x v="6"/>
    <d v="2026-12-25T00:00:00"/>
    <x v="1"/>
    <x v="0"/>
    <x v="0"/>
    <x v="0"/>
    <x v="0"/>
    <m/>
    <m/>
    <x v="0"/>
    <x v="0"/>
    <x v="0"/>
    <x v="0"/>
    <x v="0"/>
    <x v="1"/>
  </r>
  <r>
    <d v="2026-12-26T00:00:00"/>
    <x v="0"/>
    <d v="2026-12-26T00:00:00"/>
    <x v="0"/>
    <x v="0"/>
    <x v="0"/>
    <x v="0"/>
    <x v="0"/>
    <m/>
    <m/>
    <x v="0"/>
    <x v="0"/>
    <x v="0"/>
    <x v="0"/>
    <x v="0"/>
    <x v="1"/>
  </r>
  <r>
    <d v="2026-12-27T00:00:00"/>
    <x v="1"/>
    <d v="2026-12-27T00:00:00"/>
    <x v="0"/>
    <x v="0"/>
    <x v="0"/>
    <x v="0"/>
    <x v="0"/>
    <m/>
    <m/>
    <x v="0"/>
    <x v="0"/>
    <x v="0"/>
    <x v="0"/>
    <x v="0"/>
    <x v="1"/>
  </r>
  <r>
    <d v="2026-12-28T00:00:00"/>
    <x v="2"/>
    <d v="2026-12-28T00:00:00"/>
    <x v="1"/>
    <x v="0"/>
    <x v="0"/>
    <x v="0"/>
    <x v="0"/>
    <m/>
    <m/>
    <x v="0"/>
    <x v="0"/>
    <x v="0"/>
    <x v="0"/>
    <x v="0"/>
    <x v="1"/>
  </r>
  <r>
    <d v="2026-12-29T00:00:00"/>
    <x v="3"/>
    <d v="2026-12-29T00:00:00"/>
    <x v="1"/>
    <x v="0"/>
    <x v="0"/>
    <x v="0"/>
    <x v="0"/>
    <m/>
    <m/>
    <x v="0"/>
    <x v="0"/>
    <x v="0"/>
    <x v="0"/>
    <x v="0"/>
    <x v="1"/>
  </r>
  <r>
    <d v="2026-12-30T00:00:00"/>
    <x v="4"/>
    <d v="2026-12-30T00:00:00"/>
    <x v="1"/>
    <x v="0"/>
    <x v="0"/>
    <x v="0"/>
    <x v="0"/>
    <m/>
    <m/>
    <x v="0"/>
    <x v="0"/>
    <x v="0"/>
    <x v="0"/>
    <x v="0"/>
    <x v="1"/>
  </r>
  <r>
    <d v="2026-12-31T00:00:00"/>
    <x v="5"/>
    <d v="2026-12-31T00:00:00"/>
    <x v="1"/>
    <x v="0"/>
    <x v="0"/>
    <x v="0"/>
    <x v="0"/>
    <m/>
    <m/>
    <x v="0"/>
    <x v="0"/>
    <x v="0"/>
    <x v="0"/>
    <x v="0"/>
    <x v="1"/>
  </r>
  <r>
    <d v="2027-01-01T00:00:00"/>
    <x v="6"/>
    <d v="2027-01-01T00:00:00"/>
    <x v="1"/>
    <x v="0"/>
    <x v="0"/>
    <x v="0"/>
    <x v="0"/>
    <m/>
    <m/>
    <x v="0"/>
    <x v="0"/>
    <x v="0"/>
    <x v="0"/>
    <x v="0"/>
    <x v="1"/>
  </r>
  <r>
    <d v="2027-01-02T00:00:00"/>
    <x v="0"/>
    <d v="2027-01-02T00:00:00"/>
    <x v="0"/>
    <x v="0"/>
    <x v="0"/>
    <x v="0"/>
    <x v="0"/>
    <m/>
    <m/>
    <x v="0"/>
    <x v="0"/>
    <x v="0"/>
    <x v="0"/>
    <x v="0"/>
    <x v="1"/>
  </r>
  <r>
    <d v="2027-01-03T00:00:00"/>
    <x v="1"/>
    <d v="2027-01-03T00:00:00"/>
    <x v="0"/>
    <x v="0"/>
    <x v="0"/>
    <x v="0"/>
    <x v="0"/>
    <m/>
    <m/>
    <x v="0"/>
    <x v="0"/>
    <x v="0"/>
    <x v="0"/>
    <x v="0"/>
    <x v="1"/>
  </r>
  <r>
    <d v="2027-01-04T00:00:00"/>
    <x v="2"/>
    <d v="2027-01-04T00:00:00"/>
    <x v="1"/>
    <x v="0"/>
    <x v="0"/>
    <x v="0"/>
    <x v="0"/>
    <m/>
    <m/>
    <x v="0"/>
    <x v="0"/>
    <x v="0"/>
    <x v="0"/>
    <x v="0"/>
    <x v="1"/>
  </r>
  <r>
    <d v="2027-01-05T00:00:00"/>
    <x v="3"/>
    <d v="2027-01-05T00:00:00"/>
    <x v="1"/>
    <x v="0"/>
    <x v="0"/>
    <x v="0"/>
    <x v="0"/>
    <m/>
    <m/>
    <x v="0"/>
    <x v="0"/>
    <x v="0"/>
    <x v="0"/>
    <x v="0"/>
    <x v="1"/>
  </r>
  <r>
    <d v="2027-01-06T00:00:00"/>
    <x v="4"/>
    <d v="2027-01-06T00:00:00"/>
    <x v="1"/>
    <x v="0"/>
    <x v="0"/>
    <x v="0"/>
    <x v="0"/>
    <m/>
    <m/>
    <x v="0"/>
    <x v="0"/>
    <x v="0"/>
    <x v="0"/>
    <x v="0"/>
    <x v="1"/>
  </r>
  <r>
    <d v="2027-01-07T00:00:00"/>
    <x v="5"/>
    <d v="2027-01-07T00:00:00"/>
    <x v="1"/>
    <x v="0"/>
    <x v="0"/>
    <x v="0"/>
    <x v="0"/>
    <m/>
    <m/>
    <x v="0"/>
    <x v="0"/>
    <x v="0"/>
    <x v="0"/>
    <x v="0"/>
    <x v="1"/>
  </r>
  <r>
    <d v="2027-01-08T00:00:00"/>
    <x v="6"/>
    <d v="2027-01-08T00:00:00"/>
    <x v="1"/>
    <x v="0"/>
    <x v="0"/>
    <x v="0"/>
    <x v="0"/>
    <m/>
    <m/>
    <x v="0"/>
    <x v="0"/>
    <x v="0"/>
    <x v="0"/>
    <x v="0"/>
    <x v="1"/>
  </r>
  <r>
    <d v="2027-01-09T00:00:00"/>
    <x v="0"/>
    <d v="2027-01-09T00:00:00"/>
    <x v="0"/>
    <x v="0"/>
    <x v="0"/>
    <x v="0"/>
    <x v="0"/>
    <m/>
    <m/>
    <x v="0"/>
    <x v="0"/>
    <x v="0"/>
    <x v="0"/>
    <x v="0"/>
    <x v="1"/>
  </r>
  <r>
    <d v="2027-01-10T00:00:00"/>
    <x v="1"/>
    <d v="2027-01-10T00:00:00"/>
    <x v="0"/>
    <x v="0"/>
    <x v="0"/>
    <x v="0"/>
    <x v="0"/>
    <m/>
    <m/>
    <x v="0"/>
    <x v="0"/>
    <x v="0"/>
    <x v="0"/>
    <x v="0"/>
    <x v="1"/>
  </r>
  <r>
    <d v="2027-01-11T00:00:00"/>
    <x v="2"/>
    <d v="2027-01-11T00:00:00"/>
    <x v="1"/>
    <x v="0"/>
    <x v="0"/>
    <x v="0"/>
    <x v="0"/>
    <m/>
    <m/>
    <x v="0"/>
    <x v="0"/>
    <x v="0"/>
    <x v="0"/>
    <x v="0"/>
    <x v="1"/>
  </r>
  <r>
    <d v="2027-01-12T00:00:00"/>
    <x v="3"/>
    <d v="2027-01-12T00:00:00"/>
    <x v="1"/>
    <x v="0"/>
    <x v="0"/>
    <x v="0"/>
    <x v="0"/>
    <m/>
    <m/>
    <x v="0"/>
    <x v="0"/>
    <x v="0"/>
    <x v="0"/>
    <x v="0"/>
    <x v="1"/>
  </r>
  <r>
    <d v="2027-01-13T00:00:00"/>
    <x v="4"/>
    <d v="2027-01-13T00:00:00"/>
    <x v="1"/>
    <x v="0"/>
    <x v="0"/>
    <x v="0"/>
    <x v="0"/>
    <m/>
    <m/>
    <x v="0"/>
    <x v="0"/>
    <x v="0"/>
    <x v="0"/>
    <x v="0"/>
    <x v="1"/>
  </r>
  <r>
    <d v="2027-01-14T00:00:00"/>
    <x v="5"/>
    <d v="2027-01-14T00:00:00"/>
    <x v="1"/>
    <x v="0"/>
    <x v="0"/>
    <x v="0"/>
    <x v="0"/>
    <m/>
    <m/>
    <x v="0"/>
    <x v="0"/>
    <x v="0"/>
    <x v="0"/>
    <x v="0"/>
    <x v="1"/>
  </r>
  <r>
    <d v="2027-01-15T00:00:00"/>
    <x v="6"/>
    <d v="2027-01-15T00:00:00"/>
    <x v="1"/>
    <x v="0"/>
    <x v="0"/>
    <x v="0"/>
    <x v="0"/>
    <m/>
    <m/>
    <x v="0"/>
    <x v="0"/>
    <x v="0"/>
    <x v="0"/>
    <x v="0"/>
    <x v="1"/>
  </r>
  <r>
    <d v="2027-01-16T00:00:00"/>
    <x v="0"/>
    <d v="2027-01-16T00:00:00"/>
    <x v="0"/>
    <x v="0"/>
    <x v="0"/>
    <x v="0"/>
    <x v="0"/>
    <m/>
    <m/>
    <x v="0"/>
    <x v="0"/>
    <x v="0"/>
    <x v="0"/>
    <x v="0"/>
    <x v="1"/>
  </r>
  <r>
    <d v="2027-01-17T00:00:00"/>
    <x v="1"/>
    <d v="2027-01-17T00:00:00"/>
    <x v="0"/>
    <x v="0"/>
    <x v="0"/>
    <x v="0"/>
    <x v="0"/>
    <m/>
    <m/>
    <x v="0"/>
    <x v="0"/>
    <x v="0"/>
    <x v="0"/>
    <x v="0"/>
    <x v="1"/>
  </r>
  <r>
    <d v="2027-01-18T00:00:00"/>
    <x v="2"/>
    <d v="2027-01-18T00:00:00"/>
    <x v="1"/>
    <x v="0"/>
    <x v="0"/>
    <x v="0"/>
    <x v="0"/>
    <m/>
    <m/>
    <x v="0"/>
    <x v="0"/>
    <x v="0"/>
    <x v="0"/>
    <x v="0"/>
    <x v="1"/>
  </r>
  <r>
    <d v="2027-01-19T00:00:00"/>
    <x v="3"/>
    <d v="2027-01-19T00:00:00"/>
    <x v="1"/>
    <x v="0"/>
    <x v="0"/>
    <x v="0"/>
    <x v="0"/>
    <m/>
    <m/>
    <x v="0"/>
    <x v="0"/>
    <x v="0"/>
    <x v="0"/>
    <x v="0"/>
    <x v="1"/>
  </r>
  <r>
    <d v="2027-01-20T00:00:00"/>
    <x v="4"/>
    <d v="2027-01-20T00:00:00"/>
    <x v="1"/>
    <x v="0"/>
    <x v="0"/>
    <x v="0"/>
    <x v="0"/>
    <m/>
    <m/>
    <x v="0"/>
    <x v="0"/>
    <x v="0"/>
    <x v="0"/>
    <x v="0"/>
    <x v="1"/>
  </r>
  <r>
    <d v="2027-01-21T00:00:00"/>
    <x v="5"/>
    <d v="2027-01-21T00:00:00"/>
    <x v="1"/>
    <x v="0"/>
    <x v="0"/>
    <x v="0"/>
    <x v="0"/>
    <m/>
    <m/>
    <x v="0"/>
    <x v="0"/>
    <x v="0"/>
    <x v="0"/>
    <x v="0"/>
    <x v="1"/>
  </r>
  <r>
    <d v="2027-01-22T00:00:00"/>
    <x v="6"/>
    <d v="2027-01-22T00:00:00"/>
    <x v="1"/>
    <x v="0"/>
    <x v="0"/>
    <x v="0"/>
    <x v="0"/>
    <m/>
    <m/>
    <x v="0"/>
    <x v="0"/>
    <x v="0"/>
    <x v="0"/>
    <x v="0"/>
    <x v="1"/>
  </r>
  <r>
    <d v="2027-01-23T00:00:00"/>
    <x v="0"/>
    <d v="2027-01-23T00:00:00"/>
    <x v="0"/>
    <x v="0"/>
    <x v="0"/>
    <x v="0"/>
    <x v="0"/>
    <m/>
    <m/>
    <x v="0"/>
    <x v="0"/>
    <x v="0"/>
    <x v="0"/>
    <x v="0"/>
    <x v="1"/>
  </r>
  <r>
    <d v="2027-01-24T00:00:00"/>
    <x v="1"/>
    <d v="2027-01-24T00:00:00"/>
    <x v="0"/>
    <x v="0"/>
    <x v="0"/>
    <x v="0"/>
    <x v="0"/>
    <m/>
    <m/>
    <x v="0"/>
    <x v="0"/>
    <x v="0"/>
    <x v="0"/>
    <x v="0"/>
    <x v="1"/>
  </r>
  <r>
    <d v="2027-01-25T00:00:00"/>
    <x v="2"/>
    <d v="2027-01-25T00:00:00"/>
    <x v="1"/>
    <x v="0"/>
    <x v="0"/>
    <x v="0"/>
    <x v="0"/>
    <m/>
    <m/>
    <x v="0"/>
    <x v="0"/>
    <x v="0"/>
    <x v="0"/>
    <x v="0"/>
    <x v="1"/>
  </r>
  <r>
    <d v="2027-01-26T00:00:00"/>
    <x v="3"/>
    <d v="2027-01-26T00:00:00"/>
    <x v="1"/>
    <x v="0"/>
    <x v="0"/>
    <x v="0"/>
    <x v="0"/>
    <m/>
    <m/>
    <x v="0"/>
    <x v="0"/>
    <x v="0"/>
    <x v="0"/>
    <x v="0"/>
    <x v="1"/>
  </r>
  <r>
    <d v="2027-01-27T00:00:00"/>
    <x v="4"/>
    <d v="2027-01-27T00:00:00"/>
    <x v="1"/>
    <x v="0"/>
    <x v="0"/>
    <x v="0"/>
    <x v="0"/>
    <m/>
    <m/>
    <x v="0"/>
    <x v="0"/>
    <x v="0"/>
    <x v="0"/>
    <x v="0"/>
    <x v="1"/>
  </r>
  <r>
    <d v="2027-01-28T00:00:00"/>
    <x v="5"/>
    <d v="2027-01-28T00:00:00"/>
    <x v="1"/>
    <x v="0"/>
    <x v="0"/>
    <x v="0"/>
    <x v="0"/>
    <m/>
    <m/>
    <x v="0"/>
    <x v="0"/>
    <x v="0"/>
    <x v="0"/>
    <x v="0"/>
    <x v="1"/>
  </r>
  <r>
    <d v="2027-01-29T00:00:00"/>
    <x v="6"/>
    <d v="2027-01-29T00:00:00"/>
    <x v="1"/>
    <x v="0"/>
    <x v="0"/>
    <x v="0"/>
    <x v="0"/>
    <m/>
    <m/>
    <x v="0"/>
    <x v="0"/>
    <x v="0"/>
    <x v="0"/>
    <x v="0"/>
    <x v="1"/>
  </r>
  <r>
    <d v="2027-01-30T00:00:00"/>
    <x v="0"/>
    <d v="2027-01-30T00:00:00"/>
    <x v="0"/>
    <x v="0"/>
    <x v="0"/>
    <x v="0"/>
    <x v="0"/>
    <m/>
    <m/>
    <x v="0"/>
    <x v="0"/>
    <x v="0"/>
    <x v="0"/>
    <x v="0"/>
    <x v="1"/>
  </r>
  <r>
    <d v="2027-01-31T00:00:00"/>
    <x v="1"/>
    <d v="2027-01-31T00:00:00"/>
    <x v="0"/>
    <x v="0"/>
    <x v="0"/>
    <x v="0"/>
    <x v="0"/>
    <m/>
    <m/>
    <x v="0"/>
    <x v="0"/>
    <x v="0"/>
    <x v="0"/>
    <x v="0"/>
    <x v="1"/>
  </r>
  <r>
    <d v="2027-02-01T00:00:00"/>
    <x v="2"/>
    <d v="2027-02-01T00:00:00"/>
    <x v="1"/>
    <x v="0"/>
    <x v="0"/>
    <x v="0"/>
    <x v="0"/>
    <m/>
    <m/>
    <x v="0"/>
    <x v="0"/>
    <x v="0"/>
    <x v="0"/>
    <x v="0"/>
    <x v="1"/>
  </r>
  <r>
    <d v="2027-02-02T00:00:00"/>
    <x v="3"/>
    <d v="2027-02-02T00:00:00"/>
    <x v="1"/>
    <x v="0"/>
    <x v="0"/>
    <x v="0"/>
    <x v="0"/>
    <m/>
    <m/>
    <x v="0"/>
    <x v="0"/>
    <x v="0"/>
    <x v="0"/>
    <x v="0"/>
    <x v="1"/>
  </r>
  <r>
    <d v="2027-02-03T00:00:00"/>
    <x v="4"/>
    <d v="2027-02-03T00:00:00"/>
    <x v="1"/>
    <x v="0"/>
    <x v="0"/>
    <x v="0"/>
    <x v="0"/>
    <m/>
    <m/>
    <x v="0"/>
    <x v="0"/>
    <x v="0"/>
    <x v="0"/>
    <x v="0"/>
    <x v="1"/>
  </r>
  <r>
    <d v="2027-02-04T00:00:00"/>
    <x v="5"/>
    <d v="2027-02-04T00:00:00"/>
    <x v="1"/>
    <x v="0"/>
    <x v="0"/>
    <x v="0"/>
    <x v="0"/>
    <m/>
    <m/>
    <x v="0"/>
    <x v="0"/>
    <x v="0"/>
    <x v="0"/>
    <x v="0"/>
    <x v="1"/>
  </r>
  <r>
    <d v="2027-02-05T00:00:00"/>
    <x v="6"/>
    <d v="2027-02-05T00:00:00"/>
    <x v="1"/>
    <x v="0"/>
    <x v="0"/>
    <x v="0"/>
    <x v="0"/>
    <m/>
    <m/>
    <x v="0"/>
    <x v="0"/>
    <x v="0"/>
    <x v="0"/>
    <x v="0"/>
    <x v="1"/>
  </r>
  <r>
    <d v="2027-02-06T00:00:00"/>
    <x v="0"/>
    <d v="2027-02-06T00:00:00"/>
    <x v="0"/>
    <x v="0"/>
    <x v="0"/>
    <x v="0"/>
    <x v="0"/>
    <m/>
    <m/>
    <x v="0"/>
    <x v="0"/>
    <x v="0"/>
    <x v="0"/>
    <x v="0"/>
    <x v="1"/>
  </r>
  <r>
    <d v="2027-02-07T00:00:00"/>
    <x v="1"/>
    <d v="2027-02-07T00:00:00"/>
    <x v="0"/>
    <x v="0"/>
    <x v="0"/>
    <x v="0"/>
    <x v="0"/>
    <m/>
    <m/>
    <x v="0"/>
    <x v="0"/>
    <x v="0"/>
    <x v="0"/>
    <x v="0"/>
    <x v="1"/>
  </r>
  <r>
    <d v="2027-02-08T00:00:00"/>
    <x v="2"/>
    <d v="2027-02-08T00:00:00"/>
    <x v="1"/>
    <x v="0"/>
    <x v="0"/>
    <x v="0"/>
    <x v="0"/>
    <m/>
    <m/>
    <x v="0"/>
    <x v="0"/>
    <x v="0"/>
    <x v="0"/>
    <x v="0"/>
    <x v="1"/>
  </r>
  <r>
    <d v="2027-02-09T00:00:00"/>
    <x v="3"/>
    <d v="2027-02-09T00:00:00"/>
    <x v="1"/>
    <x v="0"/>
    <x v="0"/>
    <x v="0"/>
    <x v="0"/>
    <m/>
    <m/>
    <x v="0"/>
    <x v="0"/>
    <x v="0"/>
    <x v="0"/>
    <x v="0"/>
    <x v="1"/>
  </r>
  <r>
    <d v="2027-02-10T00:00:00"/>
    <x v="4"/>
    <d v="2027-02-10T00:00:00"/>
    <x v="1"/>
    <x v="0"/>
    <x v="0"/>
    <x v="0"/>
    <x v="0"/>
    <m/>
    <m/>
    <x v="0"/>
    <x v="0"/>
    <x v="0"/>
    <x v="0"/>
    <x v="0"/>
    <x v="1"/>
  </r>
  <r>
    <d v="2027-02-11T00:00:00"/>
    <x v="5"/>
    <d v="2027-02-11T00:00:00"/>
    <x v="1"/>
    <x v="0"/>
    <x v="0"/>
    <x v="0"/>
    <x v="0"/>
    <m/>
    <m/>
    <x v="0"/>
    <x v="0"/>
    <x v="0"/>
    <x v="0"/>
    <x v="0"/>
    <x v="1"/>
  </r>
  <r>
    <d v="2027-02-12T00:00:00"/>
    <x v="6"/>
    <d v="2027-02-12T00:00:00"/>
    <x v="1"/>
    <x v="0"/>
    <x v="0"/>
    <x v="0"/>
    <x v="0"/>
    <m/>
    <m/>
    <x v="0"/>
    <x v="0"/>
    <x v="0"/>
    <x v="0"/>
    <x v="0"/>
    <x v="1"/>
  </r>
  <r>
    <d v="2027-02-13T00:00:00"/>
    <x v="0"/>
    <d v="2027-02-13T00:00:00"/>
    <x v="0"/>
    <x v="0"/>
    <x v="0"/>
    <x v="0"/>
    <x v="0"/>
    <m/>
    <m/>
    <x v="0"/>
    <x v="0"/>
    <x v="0"/>
    <x v="0"/>
    <x v="0"/>
    <x v="1"/>
  </r>
  <r>
    <d v="2027-02-14T00:00:00"/>
    <x v="1"/>
    <d v="2027-02-14T00:00:00"/>
    <x v="0"/>
    <x v="0"/>
    <x v="0"/>
    <x v="0"/>
    <x v="0"/>
    <m/>
    <m/>
    <x v="0"/>
    <x v="0"/>
    <x v="0"/>
    <x v="0"/>
    <x v="0"/>
    <x v="1"/>
  </r>
  <r>
    <d v="2027-02-15T00:00:00"/>
    <x v="2"/>
    <d v="2027-02-15T00:00:00"/>
    <x v="1"/>
    <x v="0"/>
    <x v="0"/>
    <x v="0"/>
    <x v="0"/>
    <m/>
    <m/>
    <x v="0"/>
    <x v="0"/>
    <x v="0"/>
    <x v="0"/>
    <x v="0"/>
    <x v="1"/>
  </r>
  <r>
    <d v="2025-11-01T00:00:00"/>
    <x v="0"/>
    <d v="2025-11-01T00:00:00"/>
    <x v="0"/>
    <x v="0"/>
    <x v="0"/>
    <x v="0"/>
    <x v="0"/>
    <m/>
    <m/>
    <x v="0"/>
    <x v="0"/>
    <x v="0"/>
    <x v="0"/>
    <x v="0"/>
    <x v="2"/>
  </r>
  <r>
    <d v="2025-11-02T00:00:00"/>
    <x v="1"/>
    <d v="2025-11-02T00:00:00"/>
    <x v="0"/>
    <x v="0"/>
    <x v="0"/>
    <x v="0"/>
    <x v="0"/>
    <m/>
    <m/>
    <x v="0"/>
    <x v="0"/>
    <x v="0"/>
    <x v="0"/>
    <x v="0"/>
    <x v="2"/>
  </r>
  <r>
    <d v="2025-11-03T00:00:00"/>
    <x v="2"/>
    <d v="2025-11-03T00:00:00"/>
    <x v="1"/>
    <x v="0"/>
    <x v="0"/>
    <x v="0"/>
    <x v="0"/>
    <m/>
    <m/>
    <x v="0"/>
    <x v="0"/>
    <x v="0"/>
    <x v="0"/>
    <x v="0"/>
    <x v="2"/>
  </r>
  <r>
    <d v="2025-11-04T00:00:00"/>
    <x v="3"/>
    <d v="2025-11-04T00:00:00"/>
    <x v="1"/>
    <x v="0"/>
    <x v="0"/>
    <x v="0"/>
    <x v="0"/>
    <m/>
    <m/>
    <x v="0"/>
    <x v="0"/>
    <x v="0"/>
    <x v="0"/>
    <x v="0"/>
    <x v="2"/>
  </r>
  <r>
    <d v="2025-11-05T00:00:00"/>
    <x v="4"/>
    <d v="2025-11-05T00:00:00"/>
    <x v="1"/>
    <x v="0"/>
    <x v="0"/>
    <x v="0"/>
    <x v="0"/>
    <m/>
    <m/>
    <x v="0"/>
    <x v="0"/>
    <x v="0"/>
    <x v="0"/>
    <x v="0"/>
    <x v="2"/>
  </r>
  <r>
    <d v="2025-11-06T00:00:00"/>
    <x v="5"/>
    <d v="2025-11-06T00:00:00"/>
    <x v="1"/>
    <x v="0"/>
    <x v="0"/>
    <x v="0"/>
    <x v="0"/>
    <m/>
    <m/>
    <x v="0"/>
    <x v="0"/>
    <x v="0"/>
    <x v="0"/>
    <x v="0"/>
    <x v="2"/>
  </r>
  <r>
    <d v="2025-11-07T00:00:00"/>
    <x v="6"/>
    <d v="2025-11-07T00:00:00"/>
    <x v="1"/>
    <x v="0"/>
    <x v="0"/>
    <x v="0"/>
    <x v="0"/>
    <m/>
    <m/>
    <x v="0"/>
    <x v="0"/>
    <x v="0"/>
    <x v="0"/>
    <x v="0"/>
    <x v="2"/>
  </r>
  <r>
    <d v="2025-11-08T00:00:00"/>
    <x v="0"/>
    <d v="2025-11-08T00:00:00"/>
    <x v="0"/>
    <x v="0"/>
    <x v="0"/>
    <x v="0"/>
    <x v="0"/>
    <m/>
    <m/>
    <x v="0"/>
    <x v="0"/>
    <x v="0"/>
    <x v="0"/>
    <x v="0"/>
    <x v="2"/>
  </r>
  <r>
    <d v="2025-11-09T00:00:00"/>
    <x v="1"/>
    <d v="2025-11-09T00:00:00"/>
    <x v="0"/>
    <x v="0"/>
    <x v="0"/>
    <x v="0"/>
    <x v="0"/>
    <m/>
    <m/>
    <x v="0"/>
    <x v="0"/>
    <x v="0"/>
    <x v="0"/>
    <x v="0"/>
    <x v="2"/>
  </r>
  <r>
    <d v="2025-11-10T00:00:00"/>
    <x v="2"/>
    <d v="2025-11-10T00:00:00"/>
    <x v="1"/>
    <x v="0"/>
    <x v="0"/>
    <x v="0"/>
    <x v="0"/>
    <m/>
    <m/>
    <x v="0"/>
    <x v="0"/>
    <x v="0"/>
    <x v="0"/>
    <x v="0"/>
    <x v="2"/>
  </r>
  <r>
    <d v="2025-11-11T00:00:00"/>
    <x v="3"/>
    <d v="2025-11-11T00:00:00"/>
    <x v="1"/>
    <x v="0"/>
    <x v="0"/>
    <x v="0"/>
    <x v="0"/>
    <m/>
    <m/>
    <x v="0"/>
    <x v="0"/>
    <x v="0"/>
    <x v="0"/>
    <x v="0"/>
    <x v="2"/>
  </r>
  <r>
    <d v="2025-11-12T00:00:00"/>
    <x v="4"/>
    <d v="2025-11-12T00:00:00"/>
    <x v="1"/>
    <x v="0"/>
    <x v="0"/>
    <x v="0"/>
    <x v="0"/>
    <m/>
    <m/>
    <x v="0"/>
    <x v="0"/>
    <x v="0"/>
    <x v="0"/>
    <x v="0"/>
    <x v="2"/>
  </r>
  <r>
    <d v="2025-11-13T00:00:00"/>
    <x v="5"/>
    <d v="2025-11-13T00:00:00"/>
    <x v="1"/>
    <x v="0"/>
    <x v="0"/>
    <x v="0"/>
    <x v="0"/>
    <m/>
    <m/>
    <x v="0"/>
    <x v="0"/>
    <x v="0"/>
    <x v="0"/>
    <x v="0"/>
    <x v="2"/>
  </r>
  <r>
    <d v="2025-11-14T00:00:00"/>
    <x v="6"/>
    <d v="2025-11-14T00:00:00"/>
    <x v="1"/>
    <x v="0"/>
    <x v="0"/>
    <x v="0"/>
    <x v="0"/>
    <m/>
    <m/>
    <x v="0"/>
    <x v="0"/>
    <x v="0"/>
    <x v="0"/>
    <x v="0"/>
    <x v="2"/>
  </r>
  <r>
    <d v="2025-11-15T00:00:00"/>
    <x v="0"/>
    <d v="2025-11-15T00:00:00"/>
    <x v="0"/>
    <x v="0"/>
    <x v="0"/>
    <x v="0"/>
    <x v="0"/>
    <m/>
    <m/>
    <x v="0"/>
    <x v="0"/>
    <x v="0"/>
    <x v="0"/>
    <x v="0"/>
    <x v="2"/>
  </r>
  <r>
    <d v="2025-11-16T00:00:00"/>
    <x v="1"/>
    <d v="2025-11-16T00:00:00"/>
    <x v="0"/>
    <x v="0"/>
    <x v="0"/>
    <x v="0"/>
    <x v="0"/>
    <m/>
    <m/>
    <x v="0"/>
    <x v="0"/>
    <x v="0"/>
    <x v="0"/>
    <x v="0"/>
    <x v="2"/>
  </r>
  <r>
    <d v="2025-11-17T00:00:00"/>
    <x v="2"/>
    <d v="2025-11-17T00:00:00"/>
    <x v="1"/>
    <x v="0"/>
    <x v="0"/>
    <x v="0"/>
    <x v="0"/>
    <m/>
    <m/>
    <x v="0"/>
    <x v="0"/>
    <x v="0"/>
    <x v="0"/>
    <x v="0"/>
    <x v="2"/>
  </r>
  <r>
    <d v="2025-11-18T00:00:00"/>
    <x v="3"/>
    <d v="2025-11-18T00:00:00"/>
    <x v="1"/>
    <x v="0"/>
    <x v="0"/>
    <x v="0"/>
    <x v="0"/>
    <m/>
    <m/>
    <x v="0"/>
    <x v="0"/>
    <x v="0"/>
    <x v="0"/>
    <x v="0"/>
    <x v="2"/>
  </r>
  <r>
    <d v="2025-11-19T00:00:00"/>
    <x v="4"/>
    <d v="2025-11-19T00:00:00"/>
    <x v="1"/>
    <x v="0"/>
    <x v="0"/>
    <x v="0"/>
    <x v="0"/>
    <m/>
    <m/>
    <x v="0"/>
    <x v="0"/>
    <x v="0"/>
    <x v="0"/>
    <x v="0"/>
    <x v="2"/>
  </r>
  <r>
    <d v="2025-11-20T00:00:00"/>
    <x v="5"/>
    <d v="2025-11-20T00:00:00"/>
    <x v="1"/>
    <x v="0"/>
    <x v="0"/>
    <x v="0"/>
    <x v="0"/>
    <m/>
    <m/>
    <x v="0"/>
    <x v="0"/>
    <x v="0"/>
    <x v="0"/>
    <x v="0"/>
    <x v="2"/>
  </r>
  <r>
    <d v="2025-11-21T00:00:00"/>
    <x v="6"/>
    <d v="2025-11-21T00:00:00"/>
    <x v="1"/>
    <x v="0"/>
    <x v="0"/>
    <x v="0"/>
    <x v="0"/>
    <m/>
    <m/>
    <x v="0"/>
    <x v="0"/>
    <x v="0"/>
    <x v="0"/>
    <x v="0"/>
    <x v="2"/>
  </r>
  <r>
    <d v="2025-11-22T00:00:00"/>
    <x v="0"/>
    <d v="2025-11-22T00:00:00"/>
    <x v="0"/>
    <x v="0"/>
    <x v="0"/>
    <x v="0"/>
    <x v="0"/>
    <m/>
    <m/>
    <x v="0"/>
    <x v="0"/>
    <x v="0"/>
    <x v="0"/>
    <x v="0"/>
    <x v="2"/>
  </r>
  <r>
    <d v="2025-11-23T00:00:00"/>
    <x v="1"/>
    <d v="2025-11-23T00:00:00"/>
    <x v="0"/>
    <x v="0"/>
    <x v="0"/>
    <x v="0"/>
    <x v="0"/>
    <m/>
    <m/>
    <x v="0"/>
    <x v="0"/>
    <x v="0"/>
    <x v="0"/>
    <x v="0"/>
    <x v="2"/>
  </r>
  <r>
    <d v="2025-11-24T00:00:00"/>
    <x v="2"/>
    <d v="2025-11-24T00:00:00"/>
    <x v="1"/>
    <x v="0"/>
    <x v="0"/>
    <x v="0"/>
    <x v="0"/>
    <m/>
    <m/>
    <x v="0"/>
    <x v="0"/>
    <x v="0"/>
    <x v="0"/>
    <x v="0"/>
    <x v="2"/>
  </r>
  <r>
    <d v="2025-11-25T00:00:00"/>
    <x v="3"/>
    <d v="2025-11-25T00:00:00"/>
    <x v="1"/>
    <x v="0"/>
    <x v="0"/>
    <x v="0"/>
    <x v="0"/>
    <m/>
    <m/>
    <x v="0"/>
    <x v="0"/>
    <x v="0"/>
    <x v="0"/>
    <x v="0"/>
    <x v="2"/>
  </r>
  <r>
    <d v="2025-11-26T00:00:00"/>
    <x v="4"/>
    <d v="2025-11-26T00:00:00"/>
    <x v="1"/>
    <x v="0"/>
    <x v="0"/>
    <x v="0"/>
    <x v="0"/>
    <m/>
    <m/>
    <x v="0"/>
    <x v="0"/>
    <x v="0"/>
    <x v="0"/>
    <x v="0"/>
    <x v="2"/>
  </r>
  <r>
    <d v="2025-11-27T00:00:00"/>
    <x v="5"/>
    <d v="2025-11-27T00:00:00"/>
    <x v="1"/>
    <x v="0"/>
    <x v="0"/>
    <x v="0"/>
    <x v="0"/>
    <m/>
    <m/>
    <x v="0"/>
    <x v="0"/>
    <x v="0"/>
    <x v="0"/>
    <x v="0"/>
    <x v="2"/>
  </r>
  <r>
    <d v="2025-11-28T00:00:00"/>
    <x v="6"/>
    <d v="2025-11-28T00:00:00"/>
    <x v="1"/>
    <x v="0"/>
    <x v="0"/>
    <x v="0"/>
    <x v="0"/>
    <m/>
    <m/>
    <x v="0"/>
    <x v="0"/>
    <x v="0"/>
    <x v="0"/>
    <x v="0"/>
    <x v="2"/>
  </r>
  <r>
    <d v="2025-11-29T00:00:00"/>
    <x v="0"/>
    <d v="2025-11-29T00:00:00"/>
    <x v="0"/>
    <x v="0"/>
    <x v="0"/>
    <x v="0"/>
    <x v="0"/>
    <m/>
    <m/>
    <x v="0"/>
    <x v="0"/>
    <x v="0"/>
    <x v="0"/>
    <x v="0"/>
    <x v="2"/>
  </r>
  <r>
    <d v="2025-11-30T00:00:00"/>
    <x v="1"/>
    <d v="2025-11-30T00:00:00"/>
    <x v="0"/>
    <x v="0"/>
    <x v="0"/>
    <x v="0"/>
    <x v="0"/>
    <m/>
    <m/>
    <x v="0"/>
    <x v="0"/>
    <x v="0"/>
    <x v="0"/>
    <x v="0"/>
    <x v="2"/>
  </r>
  <r>
    <d v="2025-12-01T00:00:00"/>
    <x v="2"/>
    <d v="2025-12-01T00:00:00"/>
    <x v="1"/>
    <x v="0"/>
    <x v="0"/>
    <x v="0"/>
    <x v="0"/>
    <m/>
    <m/>
    <x v="0"/>
    <x v="0"/>
    <x v="0"/>
    <x v="0"/>
    <x v="0"/>
    <x v="2"/>
  </r>
  <r>
    <d v="2025-12-02T00:00:00"/>
    <x v="3"/>
    <d v="2025-12-02T00:00:00"/>
    <x v="1"/>
    <x v="0"/>
    <x v="0"/>
    <x v="0"/>
    <x v="0"/>
    <m/>
    <m/>
    <x v="0"/>
    <x v="0"/>
    <x v="0"/>
    <x v="0"/>
    <x v="0"/>
    <x v="2"/>
  </r>
  <r>
    <d v="2025-12-03T00:00:00"/>
    <x v="4"/>
    <d v="2025-12-03T00:00:00"/>
    <x v="1"/>
    <x v="0"/>
    <x v="0"/>
    <x v="0"/>
    <x v="0"/>
    <m/>
    <m/>
    <x v="0"/>
    <x v="0"/>
    <x v="0"/>
    <x v="0"/>
    <x v="0"/>
    <x v="2"/>
  </r>
  <r>
    <d v="2025-12-04T00:00:00"/>
    <x v="5"/>
    <d v="2025-12-04T00:00:00"/>
    <x v="1"/>
    <x v="0"/>
    <x v="0"/>
    <x v="0"/>
    <x v="0"/>
    <m/>
    <m/>
    <x v="0"/>
    <x v="0"/>
    <x v="0"/>
    <x v="0"/>
    <x v="0"/>
    <x v="2"/>
  </r>
  <r>
    <d v="2025-12-05T00:00:00"/>
    <x v="6"/>
    <d v="2025-12-05T00:00:00"/>
    <x v="1"/>
    <x v="0"/>
    <x v="0"/>
    <x v="0"/>
    <x v="0"/>
    <m/>
    <m/>
    <x v="0"/>
    <x v="0"/>
    <x v="0"/>
    <x v="0"/>
    <x v="0"/>
    <x v="2"/>
  </r>
  <r>
    <d v="2025-12-06T00:00:00"/>
    <x v="0"/>
    <d v="2025-12-06T00:00:00"/>
    <x v="0"/>
    <x v="0"/>
    <x v="0"/>
    <x v="0"/>
    <x v="0"/>
    <m/>
    <m/>
    <x v="0"/>
    <x v="0"/>
    <x v="0"/>
    <x v="0"/>
    <x v="0"/>
    <x v="2"/>
  </r>
  <r>
    <d v="2025-12-07T00:00:00"/>
    <x v="1"/>
    <d v="2025-12-07T00:00:00"/>
    <x v="0"/>
    <x v="0"/>
    <x v="0"/>
    <x v="0"/>
    <x v="0"/>
    <m/>
    <m/>
    <x v="0"/>
    <x v="0"/>
    <x v="0"/>
    <x v="0"/>
    <x v="0"/>
    <x v="2"/>
  </r>
  <r>
    <d v="2025-12-08T00:00:00"/>
    <x v="2"/>
    <d v="2025-12-08T00:00:00"/>
    <x v="1"/>
    <x v="0"/>
    <x v="0"/>
    <x v="0"/>
    <x v="0"/>
    <m/>
    <m/>
    <x v="0"/>
    <x v="0"/>
    <x v="0"/>
    <x v="0"/>
    <x v="0"/>
    <x v="2"/>
  </r>
  <r>
    <d v="2025-12-09T00:00:00"/>
    <x v="3"/>
    <d v="2025-12-09T00:00:00"/>
    <x v="1"/>
    <x v="0"/>
    <x v="0"/>
    <x v="0"/>
    <x v="0"/>
    <m/>
    <m/>
    <x v="0"/>
    <x v="0"/>
    <x v="0"/>
    <x v="0"/>
    <x v="0"/>
    <x v="2"/>
  </r>
  <r>
    <d v="2025-12-10T00:00:00"/>
    <x v="4"/>
    <d v="2025-12-10T00:00:00"/>
    <x v="1"/>
    <x v="0"/>
    <x v="0"/>
    <x v="0"/>
    <x v="0"/>
    <m/>
    <m/>
    <x v="0"/>
    <x v="0"/>
    <x v="0"/>
    <x v="0"/>
    <x v="0"/>
    <x v="2"/>
  </r>
  <r>
    <d v="2025-12-11T00:00:00"/>
    <x v="5"/>
    <d v="2025-12-11T00:00:00"/>
    <x v="1"/>
    <x v="0"/>
    <x v="0"/>
    <x v="0"/>
    <x v="0"/>
    <m/>
    <m/>
    <x v="0"/>
    <x v="0"/>
    <x v="0"/>
    <x v="0"/>
    <x v="0"/>
    <x v="2"/>
  </r>
  <r>
    <d v="2025-12-12T00:00:00"/>
    <x v="6"/>
    <d v="2025-12-12T00:00:00"/>
    <x v="1"/>
    <x v="0"/>
    <x v="0"/>
    <x v="0"/>
    <x v="0"/>
    <m/>
    <m/>
    <x v="0"/>
    <x v="0"/>
    <x v="0"/>
    <x v="0"/>
    <x v="0"/>
    <x v="2"/>
  </r>
  <r>
    <d v="2025-12-13T00:00:00"/>
    <x v="0"/>
    <d v="2025-12-13T00:00:00"/>
    <x v="0"/>
    <x v="0"/>
    <x v="0"/>
    <x v="0"/>
    <x v="0"/>
    <m/>
    <m/>
    <x v="0"/>
    <x v="0"/>
    <x v="0"/>
    <x v="0"/>
    <x v="0"/>
    <x v="2"/>
  </r>
  <r>
    <d v="2025-12-14T00:00:00"/>
    <x v="1"/>
    <d v="2025-12-14T00:00:00"/>
    <x v="0"/>
    <x v="0"/>
    <x v="0"/>
    <x v="0"/>
    <x v="0"/>
    <m/>
    <m/>
    <x v="0"/>
    <x v="0"/>
    <x v="0"/>
    <x v="0"/>
    <x v="0"/>
    <x v="2"/>
  </r>
  <r>
    <d v="2025-12-15T00:00:00"/>
    <x v="2"/>
    <d v="2025-12-15T00:00:00"/>
    <x v="1"/>
    <x v="0"/>
    <x v="0"/>
    <x v="0"/>
    <x v="0"/>
    <m/>
    <m/>
    <x v="0"/>
    <x v="0"/>
    <x v="0"/>
    <x v="0"/>
    <x v="0"/>
    <x v="2"/>
  </r>
  <r>
    <d v="2025-12-16T00:00:00"/>
    <x v="3"/>
    <d v="2025-12-16T00:00:00"/>
    <x v="1"/>
    <x v="0"/>
    <x v="0"/>
    <x v="0"/>
    <x v="0"/>
    <m/>
    <m/>
    <x v="0"/>
    <x v="0"/>
    <x v="0"/>
    <x v="0"/>
    <x v="0"/>
    <x v="2"/>
  </r>
  <r>
    <d v="2025-12-17T00:00:00"/>
    <x v="4"/>
    <d v="2025-12-17T00:00:00"/>
    <x v="1"/>
    <x v="0"/>
    <x v="0"/>
    <x v="0"/>
    <x v="0"/>
    <m/>
    <m/>
    <x v="0"/>
    <x v="0"/>
    <x v="0"/>
    <x v="0"/>
    <x v="0"/>
    <x v="2"/>
  </r>
  <r>
    <d v="2025-12-18T00:00:00"/>
    <x v="5"/>
    <d v="2025-12-18T00:00:00"/>
    <x v="1"/>
    <x v="0"/>
    <x v="0"/>
    <x v="0"/>
    <x v="0"/>
    <m/>
    <m/>
    <x v="0"/>
    <x v="0"/>
    <x v="0"/>
    <x v="0"/>
    <x v="0"/>
    <x v="2"/>
  </r>
  <r>
    <d v="2025-12-19T00:00:00"/>
    <x v="6"/>
    <d v="2025-12-19T00:00:00"/>
    <x v="1"/>
    <x v="0"/>
    <x v="0"/>
    <x v="0"/>
    <x v="0"/>
    <m/>
    <m/>
    <x v="0"/>
    <x v="0"/>
    <x v="0"/>
    <x v="0"/>
    <x v="0"/>
    <x v="2"/>
  </r>
  <r>
    <d v="2025-12-20T00:00:00"/>
    <x v="0"/>
    <d v="2025-12-20T00:00:00"/>
    <x v="0"/>
    <x v="0"/>
    <x v="0"/>
    <x v="0"/>
    <x v="0"/>
    <m/>
    <m/>
    <x v="0"/>
    <x v="0"/>
    <x v="0"/>
    <x v="0"/>
    <x v="0"/>
    <x v="2"/>
  </r>
  <r>
    <d v="2025-12-21T00:00:00"/>
    <x v="1"/>
    <d v="2025-12-21T00:00:00"/>
    <x v="0"/>
    <x v="0"/>
    <x v="0"/>
    <x v="0"/>
    <x v="0"/>
    <m/>
    <m/>
    <x v="0"/>
    <x v="0"/>
    <x v="0"/>
    <x v="0"/>
    <x v="0"/>
    <x v="2"/>
  </r>
  <r>
    <d v="2025-12-22T00:00:00"/>
    <x v="2"/>
    <d v="2025-12-22T00:00:00"/>
    <x v="1"/>
    <x v="0"/>
    <x v="0"/>
    <x v="0"/>
    <x v="0"/>
    <m/>
    <m/>
    <x v="0"/>
    <x v="0"/>
    <x v="0"/>
    <x v="0"/>
    <x v="0"/>
    <x v="2"/>
  </r>
  <r>
    <d v="2025-12-23T00:00:00"/>
    <x v="3"/>
    <d v="2025-12-23T00:00:00"/>
    <x v="1"/>
    <x v="0"/>
    <x v="0"/>
    <x v="0"/>
    <x v="0"/>
    <m/>
    <m/>
    <x v="0"/>
    <x v="0"/>
    <x v="0"/>
    <x v="0"/>
    <x v="0"/>
    <x v="2"/>
  </r>
  <r>
    <d v="2025-12-24T00:00:00"/>
    <x v="4"/>
    <d v="2025-12-24T00:00:00"/>
    <x v="1"/>
    <x v="0"/>
    <x v="0"/>
    <x v="0"/>
    <x v="0"/>
    <m/>
    <m/>
    <x v="0"/>
    <x v="0"/>
    <x v="0"/>
    <x v="0"/>
    <x v="0"/>
    <x v="2"/>
  </r>
  <r>
    <d v="2025-12-25T00:00:00"/>
    <x v="5"/>
    <d v="2025-12-25T00:00:00"/>
    <x v="1"/>
    <x v="0"/>
    <x v="0"/>
    <x v="0"/>
    <x v="0"/>
    <m/>
    <m/>
    <x v="0"/>
    <x v="0"/>
    <x v="0"/>
    <x v="0"/>
    <x v="0"/>
    <x v="2"/>
  </r>
  <r>
    <d v="2025-12-26T00:00:00"/>
    <x v="6"/>
    <d v="2025-12-26T00:00:00"/>
    <x v="1"/>
    <x v="0"/>
    <x v="0"/>
    <x v="0"/>
    <x v="0"/>
    <m/>
    <m/>
    <x v="0"/>
    <x v="0"/>
    <x v="0"/>
    <x v="0"/>
    <x v="0"/>
    <x v="2"/>
  </r>
  <r>
    <d v="2025-12-27T00:00:00"/>
    <x v="0"/>
    <d v="2025-12-27T00:00:00"/>
    <x v="0"/>
    <x v="0"/>
    <x v="0"/>
    <x v="0"/>
    <x v="0"/>
    <m/>
    <m/>
    <x v="0"/>
    <x v="0"/>
    <x v="0"/>
    <x v="0"/>
    <x v="0"/>
    <x v="2"/>
  </r>
  <r>
    <d v="2025-12-28T00:00:00"/>
    <x v="1"/>
    <d v="2025-12-28T00:00:00"/>
    <x v="0"/>
    <x v="0"/>
    <x v="0"/>
    <x v="0"/>
    <x v="0"/>
    <m/>
    <m/>
    <x v="0"/>
    <x v="0"/>
    <x v="0"/>
    <x v="0"/>
    <x v="0"/>
    <x v="2"/>
  </r>
  <r>
    <d v="2025-12-29T00:00:00"/>
    <x v="2"/>
    <d v="2025-12-29T00:00:00"/>
    <x v="1"/>
    <x v="0"/>
    <x v="0"/>
    <x v="0"/>
    <x v="0"/>
    <m/>
    <m/>
    <x v="0"/>
    <x v="0"/>
    <x v="0"/>
    <x v="0"/>
    <x v="0"/>
    <x v="2"/>
  </r>
  <r>
    <d v="2025-12-30T00:00:00"/>
    <x v="3"/>
    <d v="2025-12-30T00:00:00"/>
    <x v="1"/>
    <x v="0"/>
    <x v="0"/>
    <x v="0"/>
    <x v="0"/>
    <m/>
    <m/>
    <x v="0"/>
    <x v="0"/>
    <x v="0"/>
    <x v="0"/>
    <x v="0"/>
    <x v="2"/>
  </r>
  <r>
    <d v="2025-12-31T00:00:00"/>
    <x v="4"/>
    <d v="2025-12-31T00:00:00"/>
    <x v="1"/>
    <x v="0"/>
    <x v="0"/>
    <x v="0"/>
    <x v="0"/>
    <m/>
    <m/>
    <x v="0"/>
    <x v="0"/>
    <x v="0"/>
    <x v="0"/>
    <x v="0"/>
    <x v="2"/>
  </r>
  <r>
    <d v="2026-01-01T00:00:00"/>
    <x v="5"/>
    <d v="2026-01-01T00:00:00"/>
    <x v="1"/>
    <x v="0"/>
    <x v="0"/>
    <x v="0"/>
    <x v="0"/>
    <m/>
    <m/>
    <x v="0"/>
    <x v="0"/>
    <x v="0"/>
    <x v="0"/>
    <x v="0"/>
    <x v="2"/>
  </r>
  <r>
    <d v="2026-01-02T00:00:00"/>
    <x v="6"/>
    <d v="2026-01-02T00:00:00"/>
    <x v="1"/>
    <x v="0"/>
    <x v="0"/>
    <x v="0"/>
    <x v="0"/>
    <m/>
    <m/>
    <x v="0"/>
    <x v="0"/>
    <x v="0"/>
    <x v="0"/>
    <x v="0"/>
    <x v="2"/>
  </r>
  <r>
    <d v="2026-01-03T00:00:00"/>
    <x v="0"/>
    <d v="2026-01-03T00:00:00"/>
    <x v="0"/>
    <x v="0"/>
    <x v="0"/>
    <x v="0"/>
    <x v="0"/>
    <m/>
    <m/>
    <x v="0"/>
    <x v="0"/>
    <x v="0"/>
    <x v="0"/>
    <x v="0"/>
    <x v="2"/>
  </r>
  <r>
    <d v="2026-01-04T00:00:00"/>
    <x v="1"/>
    <d v="2026-01-04T00:00:00"/>
    <x v="0"/>
    <x v="0"/>
    <x v="0"/>
    <x v="0"/>
    <x v="0"/>
    <m/>
    <m/>
    <x v="0"/>
    <x v="0"/>
    <x v="0"/>
    <x v="0"/>
    <x v="0"/>
    <x v="2"/>
  </r>
  <r>
    <d v="2026-01-05T00:00:00"/>
    <x v="2"/>
    <d v="2026-01-05T00:00:00"/>
    <x v="1"/>
    <x v="0"/>
    <x v="0"/>
    <x v="0"/>
    <x v="0"/>
    <m/>
    <m/>
    <x v="0"/>
    <x v="0"/>
    <x v="0"/>
    <x v="0"/>
    <x v="0"/>
    <x v="2"/>
  </r>
  <r>
    <d v="2026-01-06T00:00:00"/>
    <x v="3"/>
    <d v="2026-01-06T00:00:00"/>
    <x v="1"/>
    <x v="0"/>
    <x v="0"/>
    <x v="0"/>
    <x v="0"/>
    <m/>
    <m/>
    <x v="0"/>
    <x v="0"/>
    <x v="0"/>
    <x v="0"/>
    <x v="0"/>
    <x v="2"/>
  </r>
  <r>
    <d v="2026-01-07T00:00:00"/>
    <x v="4"/>
    <d v="2026-01-07T00:00:00"/>
    <x v="1"/>
    <x v="0"/>
    <x v="0"/>
    <x v="0"/>
    <x v="0"/>
    <m/>
    <m/>
    <x v="0"/>
    <x v="0"/>
    <x v="0"/>
    <x v="0"/>
    <x v="0"/>
    <x v="2"/>
  </r>
  <r>
    <d v="2026-01-08T00:00:00"/>
    <x v="5"/>
    <d v="2026-01-08T00:00:00"/>
    <x v="1"/>
    <x v="0"/>
    <x v="0"/>
    <x v="0"/>
    <x v="0"/>
    <m/>
    <m/>
    <x v="0"/>
    <x v="0"/>
    <x v="0"/>
    <x v="0"/>
    <x v="0"/>
    <x v="2"/>
  </r>
  <r>
    <d v="2026-01-09T00:00:00"/>
    <x v="6"/>
    <d v="2026-01-09T00:00:00"/>
    <x v="1"/>
    <x v="0"/>
    <x v="0"/>
    <x v="0"/>
    <x v="0"/>
    <m/>
    <m/>
    <x v="0"/>
    <x v="0"/>
    <x v="0"/>
    <x v="0"/>
    <x v="0"/>
    <x v="2"/>
  </r>
  <r>
    <d v="2026-01-10T00:00:00"/>
    <x v="0"/>
    <d v="2026-01-10T00:00:00"/>
    <x v="0"/>
    <x v="0"/>
    <x v="0"/>
    <x v="0"/>
    <x v="0"/>
    <m/>
    <m/>
    <x v="0"/>
    <x v="0"/>
    <x v="0"/>
    <x v="0"/>
    <x v="0"/>
    <x v="2"/>
  </r>
  <r>
    <d v="2026-01-11T00:00:00"/>
    <x v="1"/>
    <d v="2026-01-11T00:00:00"/>
    <x v="0"/>
    <x v="0"/>
    <x v="0"/>
    <x v="0"/>
    <x v="0"/>
    <m/>
    <m/>
    <x v="0"/>
    <x v="0"/>
    <x v="0"/>
    <x v="0"/>
    <x v="0"/>
    <x v="2"/>
  </r>
  <r>
    <d v="2026-01-12T00:00:00"/>
    <x v="2"/>
    <d v="2026-01-12T00:00:00"/>
    <x v="2"/>
    <x v="12"/>
    <x v="57"/>
    <x v="14"/>
    <x v="16"/>
    <n v="48"/>
    <n v="6"/>
    <x v="5"/>
    <x v="3"/>
    <x v="14"/>
    <x v="13"/>
    <x v="1"/>
    <x v="2"/>
  </r>
  <r>
    <d v="2026-01-13T00:00:00"/>
    <x v="3"/>
    <d v="2026-01-13T00:00:00"/>
    <x v="2"/>
    <x v="12"/>
    <x v="57"/>
    <x v="14"/>
    <x v="16"/>
    <n v="58"/>
    <n v="6"/>
    <x v="5"/>
    <x v="3"/>
    <x v="14"/>
    <x v="13"/>
    <x v="1"/>
    <x v="2"/>
  </r>
  <r>
    <d v="2026-01-14T00:00:00"/>
    <x v="4"/>
    <d v="2026-01-14T00:00:00"/>
    <x v="2"/>
    <x v="12"/>
    <x v="57"/>
    <x v="14"/>
    <x v="16"/>
    <n v="40"/>
    <n v="0"/>
    <x v="3"/>
    <x v="3"/>
    <x v="14"/>
    <x v="13"/>
    <x v="1"/>
    <x v="2"/>
  </r>
  <r>
    <d v="2026-01-15T00:00:00"/>
    <x v="5"/>
    <d v="2026-01-15T00:00:00"/>
    <x v="2"/>
    <x v="12"/>
    <x v="57"/>
    <x v="14"/>
    <x v="16"/>
    <n v="30"/>
    <n v="0"/>
    <x v="3"/>
    <x v="3"/>
    <x v="14"/>
    <x v="13"/>
    <x v="1"/>
    <x v="2"/>
  </r>
  <r>
    <d v="2026-01-16T00:00:00"/>
    <x v="6"/>
    <d v="2026-01-16T00:00:00"/>
    <x v="2"/>
    <x v="12"/>
    <x v="57"/>
    <x v="14"/>
    <x v="16"/>
    <n v="0"/>
    <n v="0"/>
    <x v="2"/>
    <x v="3"/>
    <x v="14"/>
    <x v="13"/>
    <x v="1"/>
    <x v="2"/>
  </r>
  <r>
    <d v="2026-01-17T00:00:00"/>
    <x v="0"/>
    <d v="2026-01-17T00:00:00"/>
    <x v="2"/>
    <x v="12"/>
    <x v="57"/>
    <x v="14"/>
    <x v="16"/>
    <n v="6"/>
    <n v="6"/>
    <x v="3"/>
    <x v="3"/>
    <x v="14"/>
    <x v="13"/>
    <x v="1"/>
    <x v="2"/>
  </r>
  <r>
    <d v="2026-01-18T00:00:00"/>
    <x v="1"/>
    <d v="2026-01-18T00:00:00"/>
    <x v="0"/>
    <x v="0"/>
    <x v="0"/>
    <x v="0"/>
    <x v="0"/>
    <m/>
    <m/>
    <x v="0"/>
    <x v="0"/>
    <x v="0"/>
    <x v="0"/>
    <x v="0"/>
    <x v="2"/>
  </r>
  <r>
    <d v="2026-01-19T00:00:00"/>
    <x v="2"/>
    <d v="2026-01-19T00:00:00"/>
    <x v="2"/>
    <x v="12"/>
    <x v="57"/>
    <x v="14"/>
    <x v="16"/>
    <n v="13"/>
    <n v="0"/>
    <x v="3"/>
    <x v="3"/>
    <x v="14"/>
    <x v="13"/>
    <x v="1"/>
    <x v="2"/>
  </r>
  <r>
    <d v="2026-01-20T00:00:00"/>
    <x v="3"/>
    <d v="2026-01-20T00:00:00"/>
    <x v="2"/>
    <x v="12"/>
    <x v="57"/>
    <x v="14"/>
    <x v="16"/>
    <n v="15"/>
    <n v="0"/>
    <x v="5"/>
    <x v="3"/>
    <x v="14"/>
    <x v="13"/>
    <x v="1"/>
    <x v="2"/>
  </r>
  <r>
    <d v="2026-01-21T00:00:00"/>
    <x v="4"/>
    <d v="2026-01-21T00:00:00"/>
    <x v="2"/>
    <x v="12"/>
    <x v="57"/>
    <x v="14"/>
    <x v="16"/>
    <n v="28"/>
    <n v="0"/>
    <x v="3"/>
    <x v="3"/>
    <x v="14"/>
    <x v="13"/>
    <x v="1"/>
    <x v="2"/>
  </r>
  <r>
    <d v="2026-01-22T00:00:00"/>
    <x v="5"/>
    <d v="2026-01-22T00:00:00"/>
    <x v="2"/>
    <x v="12"/>
    <x v="57"/>
    <x v="14"/>
    <x v="16"/>
    <n v="12"/>
    <n v="6"/>
    <x v="5"/>
    <x v="3"/>
    <x v="14"/>
    <x v="13"/>
    <x v="1"/>
    <x v="2"/>
  </r>
  <r>
    <d v="2026-01-23T00:00:00"/>
    <x v="6"/>
    <d v="2026-01-23T00:00:00"/>
    <x v="2"/>
    <x v="12"/>
    <x v="57"/>
    <x v="14"/>
    <x v="16"/>
    <n v="12"/>
    <n v="6"/>
    <x v="3"/>
    <x v="3"/>
    <x v="14"/>
    <x v="13"/>
    <x v="1"/>
    <x v="2"/>
  </r>
  <r>
    <d v="2026-01-24T00:00:00"/>
    <x v="0"/>
    <d v="2026-01-24T00:00:00"/>
    <x v="2"/>
    <x v="12"/>
    <x v="57"/>
    <x v="14"/>
    <x v="16"/>
    <n v="12"/>
    <n v="0"/>
    <x v="4"/>
    <x v="3"/>
    <x v="14"/>
    <x v="13"/>
    <x v="1"/>
    <x v="2"/>
  </r>
  <r>
    <d v="2026-01-25T00:00:00"/>
    <x v="1"/>
    <d v="2026-01-25T00:00:00"/>
    <x v="0"/>
    <x v="0"/>
    <x v="0"/>
    <x v="0"/>
    <x v="0"/>
    <m/>
    <m/>
    <x v="0"/>
    <x v="0"/>
    <x v="0"/>
    <x v="0"/>
    <x v="0"/>
    <x v="2"/>
  </r>
  <r>
    <d v="2026-01-26T00:00:00"/>
    <x v="2"/>
    <d v="2026-01-26T00:00:00"/>
    <x v="2"/>
    <x v="12"/>
    <x v="57"/>
    <x v="14"/>
    <x v="16"/>
    <n v="0"/>
    <n v="6"/>
    <x v="5"/>
    <x v="3"/>
    <x v="14"/>
    <x v="13"/>
    <x v="1"/>
    <x v="2"/>
  </r>
  <r>
    <d v="2026-01-27T00:00:00"/>
    <x v="3"/>
    <d v="2026-01-27T00:00:00"/>
    <x v="2"/>
    <x v="12"/>
    <x v="57"/>
    <x v="14"/>
    <x v="16"/>
    <n v="6"/>
    <n v="6"/>
    <x v="5"/>
    <x v="3"/>
    <x v="14"/>
    <x v="13"/>
    <x v="1"/>
    <x v="2"/>
  </r>
  <r>
    <d v="2026-01-28T00:00:00"/>
    <x v="4"/>
    <d v="2026-01-28T00:00:00"/>
    <x v="2"/>
    <x v="12"/>
    <x v="57"/>
    <x v="14"/>
    <x v="16"/>
    <n v="10"/>
    <n v="18"/>
    <x v="5"/>
    <x v="3"/>
    <x v="14"/>
    <x v="13"/>
    <x v="1"/>
    <x v="2"/>
  </r>
  <r>
    <d v="2026-01-29T00:00:00"/>
    <x v="5"/>
    <d v="2026-01-29T00:00:00"/>
    <x v="2"/>
    <x v="12"/>
    <x v="57"/>
    <x v="14"/>
    <x v="16"/>
    <n v="0"/>
    <n v="12"/>
    <x v="5"/>
    <x v="3"/>
    <x v="14"/>
    <x v="13"/>
    <x v="1"/>
    <x v="2"/>
  </r>
  <r>
    <d v="2026-01-30T00:00:00"/>
    <x v="6"/>
    <d v="2026-01-30T00:00:00"/>
    <x v="2"/>
    <x v="12"/>
    <x v="57"/>
    <x v="14"/>
    <x v="16"/>
    <n v="0"/>
    <n v="10"/>
    <x v="5"/>
    <x v="3"/>
    <x v="14"/>
    <x v="13"/>
    <x v="1"/>
    <x v="2"/>
  </r>
  <r>
    <d v="2026-01-31T00:00:00"/>
    <x v="0"/>
    <d v="2026-01-31T00:00:00"/>
    <x v="2"/>
    <x v="12"/>
    <x v="57"/>
    <x v="14"/>
    <x v="16"/>
    <n v="42"/>
    <n v="4"/>
    <x v="4"/>
    <x v="3"/>
    <x v="14"/>
    <x v="13"/>
    <x v="1"/>
    <x v="2"/>
  </r>
  <r>
    <d v="2026-02-01T00:00:00"/>
    <x v="1"/>
    <d v="2026-02-01T00:00:00"/>
    <x v="0"/>
    <x v="0"/>
    <x v="0"/>
    <x v="0"/>
    <x v="0"/>
    <m/>
    <m/>
    <x v="0"/>
    <x v="0"/>
    <x v="0"/>
    <x v="0"/>
    <x v="0"/>
    <x v="2"/>
  </r>
  <r>
    <d v="2026-02-02T00:00:00"/>
    <x v="2"/>
    <d v="2026-02-02T00:00:00"/>
    <x v="2"/>
    <x v="12"/>
    <x v="57"/>
    <x v="14"/>
    <x v="16"/>
    <n v="30"/>
    <n v="30"/>
    <x v="3"/>
    <x v="3"/>
    <x v="14"/>
    <x v="13"/>
    <x v="1"/>
    <x v="2"/>
  </r>
  <r>
    <d v="2026-02-03T00:00:00"/>
    <x v="3"/>
    <d v="2026-02-03T00:00:00"/>
    <x v="2"/>
    <x v="12"/>
    <x v="57"/>
    <x v="14"/>
    <x v="7"/>
    <n v="0"/>
    <n v="6"/>
    <x v="3"/>
    <x v="3"/>
    <x v="13"/>
    <x v="15"/>
    <x v="1"/>
    <x v="2"/>
  </r>
  <r>
    <d v="2026-02-04T00:00:00"/>
    <x v="4"/>
    <d v="2026-02-04T00:00:00"/>
    <x v="2"/>
    <x v="12"/>
    <x v="57"/>
    <x v="14"/>
    <x v="6"/>
    <n v="22"/>
    <n v="0"/>
    <x v="5"/>
    <x v="3"/>
    <x v="19"/>
    <x v="13"/>
    <x v="1"/>
    <x v="2"/>
  </r>
  <r>
    <d v="2026-02-05T00:00:00"/>
    <x v="5"/>
    <d v="2026-02-05T00:00:00"/>
    <x v="2"/>
    <x v="12"/>
    <x v="57"/>
    <x v="14"/>
    <x v="16"/>
    <n v="0"/>
    <n v="0"/>
    <x v="3"/>
    <x v="3"/>
    <x v="12"/>
    <x v="13"/>
    <x v="1"/>
    <x v="2"/>
  </r>
  <r>
    <d v="2026-02-06T00:00:00"/>
    <x v="6"/>
    <d v="2026-02-06T00:00:00"/>
    <x v="2"/>
    <x v="12"/>
    <x v="57"/>
    <x v="13"/>
    <x v="16"/>
    <n v="0"/>
    <n v="30"/>
    <x v="3"/>
    <x v="3"/>
    <x v="14"/>
    <x v="13"/>
    <x v="1"/>
    <x v="2"/>
  </r>
  <r>
    <d v="2026-02-07T00:00:00"/>
    <x v="0"/>
    <d v="2026-02-07T00:00:00"/>
    <x v="2"/>
    <x v="12"/>
    <x v="57"/>
    <x v="14"/>
    <x v="16"/>
    <n v="30"/>
    <n v="0"/>
    <x v="5"/>
    <x v="3"/>
    <x v="14"/>
    <x v="13"/>
    <x v="1"/>
    <x v="2"/>
  </r>
  <r>
    <d v="2026-02-08T00:00:00"/>
    <x v="1"/>
    <d v="2026-02-08T00:00:00"/>
    <x v="0"/>
    <x v="0"/>
    <x v="0"/>
    <x v="0"/>
    <x v="0"/>
    <m/>
    <m/>
    <x v="0"/>
    <x v="0"/>
    <x v="0"/>
    <x v="0"/>
    <x v="0"/>
    <x v="2"/>
  </r>
  <r>
    <d v="2026-02-09T00:00:00"/>
    <x v="2"/>
    <d v="2026-02-09T00:00:00"/>
    <x v="2"/>
    <x v="12"/>
    <x v="57"/>
    <x v="14"/>
    <x v="16"/>
    <n v="0"/>
    <n v="16"/>
    <x v="5"/>
    <x v="3"/>
    <x v="14"/>
    <x v="13"/>
    <x v="1"/>
    <x v="2"/>
  </r>
  <r>
    <d v="2026-02-10T00:00:00"/>
    <x v="3"/>
    <d v="2026-02-10T00:00:00"/>
    <x v="2"/>
    <x v="12"/>
    <x v="57"/>
    <x v="2"/>
    <x v="14"/>
    <n v="0"/>
    <n v="0"/>
    <x v="4"/>
    <x v="3"/>
    <x v="14"/>
    <x v="13"/>
    <x v="1"/>
    <x v="2"/>
  </r>
  <r>
    <d v="2026-02-11T00:00:00"/>
    <x v="4"/>
    <d v="2026-02-11T00:00:00"/>
    <x v="2"/>
    <x v="12"/>
    <x v="57"/>
    <x v="14"/>
    <x v="16"/>
    <n v="12"/>
    <n v="12"/>
    <x v="5"/>
    <x v="3"/>
    <x v="20"/>
    <x v="13"/>
    <x v="1"/>
    <x v="2"/>
  </r>
  <r>
    <d v="2026-02-12T00:00:00"/>
    <x v="5"/>
    <d v="2026-02-12T00:00:00"/>
    <x v="2"/>
    <x v="12"/>
    <x v="57"/>
    <x v="14"/>
    <x v="16"/>
    <n v="0"/>
    <n v="0"/>
    <x v="5"/>
    <x v="3"/>
    <x v="21"/>
    <x v="13"/>
    <x v="1"/>
    <x v="2"/>
  </r>
  <r>
    <d v="2026-02-13T00:00:00"/>
    <x v="6"/>
    <d v="2026-02-13T00:00:00"/>
    <x v="2"/>
    <x v="12"/>
    <x v="57"/>
    <x v="14"/>
    <x v="16"/>
    <n v="0"/>
    <n v="0"/>
    <x v="3"/>
    <x v="3"/>
    <x v="16"/>
    <x v="13"/>
    <x v="1"/>
    <x v="2"/>
  </r>
  <r>
    <d v="2026-02-14T00:00:00"/>
    <x v="0"/>
    <d v="2026-02-14T00:00:00"/>
    <x v="0"/>
    <x v="0"/>
    <x v="0"/>
    <x v="0"/>
    <x v="0"/>
    <m/>
    <m/>
    <x v="0"/>
    <x v="0"/>
    <x v="0"/>
    <x v="0"/>
    <x v="0"/>
    <x v="2"/>
  </r>
  <r>
    <d v="2026-02-15T00:00:00"/>
    <x v="1"/>
    <d v="2026-02-15T00:00:00"/>
    <x v="0"/>
    <x v="0"/>
    <x v="0"/>
    <x v="0"/>
    <x v="0"/>
    <m/>
    <m/>
    <x v="0"/>
    <x v="0"/>
    <x v="0"/>
    <x v="0"/>
    <x v="0"/>
    <x v="2"/>
  </r>
  <r>
    <d v="2026-02-16T00:00:00"/>
    <x v="2"/>
    <d v="2026-02-16T00:00:00"/>
    <x v="2"/>
    <x v="12"/>
    <x v="57"/>
    <x v="1"/>
    <x v="15"/>
    <n v="0"/>
    <n v="0"/>
    <x v="5"/>
    <x v="3"/>
    <x v="14"/>
    <x v="16"/>
    <x v="1"/>
    <x v="2"/>
  </r>
  <r>
    <d v="2026-02-17T00:00:00"/>
    <x v="3"/>
    <d v="2026-02-17T00:00:00"/>
    <x v="2"/>
    <x v="12"/>
    <x v="57"/>
    <x v="2"/>
    <x v="15"/>
    <n v="0"/>
    <n v="0"/>
    <x v="3"/>
    <x v="3"/>
    <x v="14"/>
    <x v="13"/>
    <x v="1"/>
    <x v="2"/>
  </r>
  <r>
    <d v="2026-02-18T00:00:00"/>
    <x v="4"/>
    <d v="2026-02-18T00:00:00"/>
    <x v="2"/>
    <x v="12"/>
    <x v="57"/>
    <x v="7"/>
    <x v="16"/>
    <n v="0"/>
    <n v="0"/>
    <x v="5"/>
    <x v="3"/>
    <x v="15"/>
    <x v="13"/>
    <x v="1"/>
    <x v="2"/>
  </r>
  <r>
    <d v="2026-02-19T00:00:00"/>
    <x v="5"/>
    <d v="2026-02-19T00:00:00"/>
    <x v="2"/>
    <x v="12"/>
    <x v="57"/>
    <x v="1"/>
    <x v="16"/>
    <n v="0"/>
    <n v="6"/>
    <x v="5"/>
    <x v="3"/>
    <x v="3"/>
    <x v="16"/>
    <x v="1"/>
    <x v="2"/>
  </r>
  <r>
    <d v="2026-02-20T00:00:00"/>
    <x v="6"/>
    <d v="2026-02-20T00:00:00"/>
    <x v="0"/>
    <x v="0"/>
    <x v="0"/>
    <x v="0"/>
    <x v="0"/>
    <m/>
    <m/>
    <x v="0"/>
    <x v="0"/>
    <x v="0"/>
    <x v="0"/>
    <x v="0"/>
    <x v="2"/>
  </r>
  <r>
    <d v="2026-02-21T00:00:00"/>
    <x v="0"/>
    <d v="2026-02-21T00:00:00"/>
    <x v="2"/>
    <x v="12"/>
    <x v="57"/>
    <x v="14"/>
    <x v="16"/>
    <n v="0"/>
    <n v="30"/>
    <x v="5"/>
    <x v="3"/>
    <x v="18"/>
    <x v="13"/>
    <x v="1"/>
    <x v="2"/>
  </r>
  <r>
    <d v="2026-02-22T00:00:00"/>
    <x v="1"/>
    <d v="2026-02-22T00:00:00"/>
    <x v="0"/>
    <x v="0"/>
    <x v="0"/>
    <x v="0"/>
    <x v="0"/>
    <m/>
    <m/>
    <x v="0"/>
    <x v="0"/>
    <x v="0"/>
    <x v="0"/>
    <x v="0"/>
    <x v="2"/>
  </r>
  <r>
    <d v="2026-02-23T00:00:00"/>
    <x v="2"/>
    <d v="2026-02-23T00:00:00"/>
    <x v="2"/>
    <x v="12"/>
    <x v="57"/>
    <x v="8"/>
    <x v="4"/>
    <n v="30"/>
    <n v="0"/>
    <x v="5"/>
    <x v="4"/>
    <x v="14"/>
    <x v="15"/>
    <x v="1"/>
    <x v="2"/>
  </r>
  <r>
    <d v="2026-02-24T00:00:00"/>
    <x v="3"/>
    <d v="2026-02-24T00:00:00"/>
    <x v="2"/>
    <x v="12"/>
    <x v="57"/>
    <x v="2"/>
    <x v="7"/>
    <n v="30"/>
    <n v="0"/>
    <x v="5"/>
    <x v="3"/>
    <x v="13"/>
    <x v="13"/>
    <x v="1"/>
    <x v="2"/>
  </r>
  <r>
    <d v="2026-02-25T00:00:00"/>
    <x v="4"/>
    <d v="2026-02-25T00:00:00"/>
    <x v="2"/>
    <x v="12"/>
    <x v="57"/>
    <x v="13"/>
    <x v="7"/>
    <n v="35"/>
    <n v="0"/>
    <x v="5"/>
    <x v="3"/>
    <x v="5"/>
    <x v="13"/>
    <x v="1"/>
    <x v="2"/>
  </r>
  <r>
    <d v="2026-02-26T00:00:00"/>
    <x v="5"/>
    <d v="2026-02-26T00:00:00"/>
    <x v="0"/>
    <x v="0"/>
    <x v="0"/>
    <x v="0"/>
    <x v="0"/>
    <m/>
    <m/>
    <x v="0"/>
    <x v="0"/>
    <x v="0"/>
    <x v="0"/>
    <x v="0"/>
    <x v="2"/>
  </r>
  <r>
    <d v="2026-02-27T00:00:00"/>
    <x v="6"/>
    <d v="2026-02-27T00:00:00"/>
    <x v="2"/>
    <x v="12"/>
    <x v="57"/>
    <x v="12"/>
    <x v="1"/>
    <n v="0"/>
    <n v="0"/>
    <x v="5"/>
    <x v="3"/>
    <x v="1"/>
    <x v="13"/>
    <x v="1"/>
    <x v="2"/>
  </r>
  <r>
    <d v="2026-02-28T00:00:00"/>
    <x v="0"/>
    <d v="2026-02-28T00:00:00"/>
    <x v="2"/>
    <x v="12"/>
    <x v="57"/>
    <x v="7"/>
    <x v="6"/>
    <n v="0"/>
    <n v="0"/>
    <x v="4"/>
    <x v="3"/>
    <x v="14"/>
    <x v="13"/>
    <x v="1"/>
    <x v="2"/>
  </r>
  <r>
    <d v="2026-03-01T00:00:00"/>
    <x v="1"/>
    <d v="2026-03-01T00:00:00"/>
    <x v="0"/>
    <x v="0"/>
    <x v="0"/>
    <x v="0"/>
    <x v="0"/>
    <m/>
    <m/>
    <x v="0"/>
    <x v="0"/>
    <x v="0"/>
    <x v="0"/>
    <x v="0"/>
    <x v="2"/>
  </r>
  <r>
    <d v="2026-03-02T00:00:00"/>
    <x v="2"/>
    <d v="2026-03-02T00:00:00"/>
    <x v="2"/>
    <x v="13"/>
    <x v="24"/>
    <x v="0"/>
    <x v="7"/>
    <m/>
    <m/>
    <x v="0"/>
    <x v="0"/>
    <x v="0"/>
    <x v="0"/>
    <x v="0"/>
    <x v="2"/>
  </r>
  <r>
    <d v="2026-03-02T00:00:00"/>
    <x v="2"/>
    <d v="2026-03-02T00:00:00"/>
    <x v="2"/>
    <x v="13"/>
    <x v="58"/>
    <x v="0"/>
    <x v="6"/>
    <m/>
    <m/>
    <x v="0"/>
    <x v="0"/>
    <x v="0"/>
    <x v="0"/>
    <x v="0"/>
    <x v="2"/>
  </r>
  <r>
    <d v="2026-03-02T00:00:00"/>
    <x v="2"/>
    <d v="2026-03-02T00:00:00"/>
    <x v="2"/>
    <x v="14"/>
    <x v="59"/>
    <x v="0"/>
    <x v="0"/>
    <n v="35"/>
    <m/>
    <x v="0"/>
    <x v="0"/>
    <x v="0"/>
    <x v="0"/>
    <x v="0"/>
    <x v="2"/>
  </r>
  <r>
    <d v="2026-03-02T00:00:00"/>
    <x v="2"/>
    <d v="2026-03-02T00:00:00"/>
    <x v="2"/>
    <x v="15"/>
    <x v="32"/>
    <x v="0"/>
    <x v="15"/>
    <m/>
    <m/>
    <x v="0"/>
    <x v="0"/>
    <x v="0"/>
    <x v="0"/>
    <x v="0"/>
    <x v="2"/>
  </r>
  <r>
    <d v="2026-03-02T00:00:00"/>
    <x v="2"/>
    <d v="2026-03-02T00:00:00"/>
    <x v="2"/>
    <x v="15"/>
    <x v="59"/>
    <x v="0"/>
    <x v="0"/>
    <m/>
    <m/>
    <x v="0"/>
    <x v="0"/>
    <x v="11"/>
    <x v="0"/>
    <x v="0"/>
    <x v="2"/>
  </r>
  <r>
    <d v="2026-03-03T00:00:00"/>
    <x v="3"/>
    <d v="2026-03-03T00:00:00"/>
    <x v="2"/>
    <x v="15"/>
    <x v="59"/>
    <x v="0"/>
    <x v="0"/>
    <n v="35"/>
    <m/>
    <x v="0"/>
    <x v="0"/>
    <x v="0"/>
    <x v="0"/>
    <x v="0"/>
    <x v="2"/>
  </r>
  <r>
    <d v="2026-03-03T00:00:00"/>
    <x v="3"/>
    <d v="2026-03-03T00:00:00"/>
    <x v="2"/>
    <x v="13"/>
    <x v="60"/>
    <x v="0"/>
    <x v="9"/>
    <m/>
    <m/>
    <x v="0"/>
    <x v="0"/>
    <x v="0"/>
    <x v="0"/>
    <x v="0"/>
    <x v="2"/>
  </r>
  <r>
    <d v="2026-03-03T00:00:00"/>
    <x v="3"/>
    <d v="2026-03-03T00:00:00"/>
    <x v="2"/>
    <x v="14"/>
    <x v="32"/>
    <x v="0"/>
    <x v="6"/>
    <m/>
    <m/>
    <x v="0"/>
    <x v="0"/>
    <x v="0"/>
    <x v="0"/>
    <x v="0"/>
    <x v="2"/>
  </r>
  <r>
    <d v="2026-03-04T00:00:00"/>
    <x v="4"/>
    <d v="2026-03-04T00:00:00"/>
    <x v="2"/>
    <x v="15"/>
    <x v="59"/>
    <x v="0"/>
    <x v="0"/>
    <n v="50"/>
    <m/>
    <x v="0"/>
    <x v="0"/>
    <x v="0"/>
    <x v="0"/>
    <x v="0"/>
    <x v="2"/>
  </r>
  <r>
    <d v="2026-03-04T00:00:00"/>
    <x v="4"/>
    <d v="2026-03-04T00:00:00"/>
    <x v="2"/>
    <x v="13"/>
    <x v="28"/>
    <x v="0"/>
    <x v="7"/>
    <m/>
    <m/>
    <x v="0"/>
    <x v="0"/>
    <x v="0"/>
    <x v="0"/>
    <x v="0"/>
    <x v="2"/>
  </r>
  <r>
    <d v="2026-03-04T00:00:00"/>
    <x v="4"/>
    <d v="2026-03-04T00:00:00"/>
    <x v="2"/>
    <x v="13"/>
    <x v="24"/>
    <x v="0"/>
    <x v="7"/>
    <m/>
    <m/>
    <x v="0"/>
    <x v="0"/>
    <x v="0"/>
    <x v="0"/>
    <x v="0"/>
    <x v="2"/>
  </r>
  <r>
    <d v="2026-03-04T00:00:00"/>
    <x v="4"/>
    <d v="2026-03-04T00:00:00"/>
    <x v="2"/>
    <x v="13"/>
    <x v="61"/>
    <x v="0"/>
    <x v="6"/>
    <m/>
    <m/>
    <x v="0"/>
    <x v="0"/>
    <x v="0"/>
    <x v="0"/>
    <x v="0"/>
    <x v="2"/>
  </r>
  <r>
    <d v="2026-03-05T00:00:00"/>
    <x v="5"/>
    <d v="2026-03-05T00:00:00"/>
    <x v="2"/>
    <x v="15"/>
    <x v="59"/>
    <x v="0"/>
    <x v="0"/>
    <n v="40"/>
    <m/>
    <x v="0"/>
    <x v="0"/>
    <x v="0"/>
    <x v="0"/>
    <x v="0"/>
    <x v="2"/>
  </r>
  <r>
    <d v="2026-03-05T00:00:00"/>
    <x v="5"/>
    <d v="2026-03-05T00:00:00"/>
    <x v="2"/>
    <x v="13"/>
    <x v="28"/>
    <x v="0"/>
    <x v="14"/>
    <m/>
    <m/>
    <x v="0"/>
    <x v="0"/>
    <x v="0"/>
    <x v="0"/>
    <x v="0"/>
    <x v="2"/>
  </r>
  <r>
    <d v="2026-03-06T00:00:00"/>
    <x v="6"/>
    <d v="2026-03-06T00:00:00"/>
    <x v="2"/>
    <x v="13"/>
    <x v="30"/>
    <x v="0"/>
    <x v="7"/>
    <m/>
    <m/>
    <x v="0"/>
    <x v="0"/>
    <x v="0"/>
    <x v="0"/>
    <x v="0"/>
    <x v="2"/>
  </r>
  <r>
    <d v="2026-03-05T00:00:00"/>
    <x v="5"/>
    <d v="2026-03-05T00:00:00"/>
    <x v="2"/>
    <x v="13"/>
    <x v="23"/>
    <x v="0"/>
    <x v="6"/>
    <m/>
    <m/>
    <x v="0"/>
    <x v="0"/>
    <x v="0"/>
    <x v="0"/>
    <x v="0"/>
    <x v="2"/>
  </r>
  <r>
    <d v="2026-03-06T00:00:00"/>
    <x v="6"/>
    <d v="2026-03-06T00:00:00"/>
    <x v="2"/>
    <x v="14"/>
    <x v="59"/>
    <x v="17"/>
    <x v="0"/>
    <m/>
    <m/>
    <x v="0"/>
    <x v="0"/>
    <x v="0"/>
    <x v="0"/>
    <x v="0"/>
    <x v="2"/>
  </r>
  <r>
    <d v="2026-03-06T00:00:00"/>
    <x v="6"/>
    <d v="2026-03-06T00:00:00"/>
    <x v="2"/>
    <x v="13"/>
    <x v="23"/>
    <x v="0"/>
    <x v="9"/>
    <m/>
    <m/>
    <x v="0"/>
    <x v="0"/>
    <x v="0"/>
    <x v="0"/>
    <x v="0"/>
    <x v="2"/>
  </r>
  <r>
    <d v="2026-03-06T00:00:00"/>
    <x v="6"/>
    <d v="2026-03-06T00:00:00"/>
    <x v="2"/>
    <x v="13"/>
    <x v="59"/>
    <x v="8"/>
    <x v="0"/>
    <m/>
    <m/>
    <x v="0"/>
    <x v="0"/>
    <x v="0"/>
    <x v="0"/>
    <x v="0"/>
    <x v="2"/>
  </r>
  <r>
    <d v="2026-03-06T00:00:00"/>
    <x v="6"/>
    <d v="2026-03-06T00:00:00"/>
    <x v="2"/>
    <x v="15"/>
    <x v="59"/>
    <x v="0"/>
    <x v="0"/>
    <n v="15"/>
    <m/>
    <x v="0"/>
    <x v="0"/>
    <x v="0"/>
    <x v="0"/>
    <x v="0"/>
    <x v="2"/>
  </r>
  <r>
    <d v="2026-03-07T00:00:00"/>
    <x v="0"/>
    <d v="2026-03-07T00:00:00"/>
    <x v="2"/>
    <x v="13"/>
    <x v="59"/>
    <x v="2"/>
    <x v="0"/>
    <m/>
    <m/>
    <x v="0"/>
    <x v="0"/>
    <x v="0"/>
    <x v="0"/>
    <x v="0"/>
    <x v="2"/>
  </r>
  <r>
    <d v="2026-03-08T00:00:00"/>
    <x v="1"/>
    <d v="2026-03-08T00:00:00"/>
    <x v="0"/>
    <x v="0"/>
    <x v="0"/>
    <x v="0"/>
    <x v="0"/>
    <m/>
    <m/>
    <x v="0"/>
    <x v="0"/>
    <x v="0"/>
    <x v="0"/>
    <x v="0"/>
    <x v="2"/>
  </r>
  <r>
    <d v="2026-03-09T00:00:00"/>
    <x v="2"/>
    <d v="2026-03-09T00:00:00"/>
    <x v="2"/>
    <x v="13"/>
    <x v="23"/>
    <x v="0"/>
    <x v="14"/>
    <m/>
    <m/>
    <x v="0"/>
    <x v="0"/>
    <x v="0"/>
    <x v="0"/>
    <x v="0"/>
    <x v="2"/>
  </r>
  <r>
    <d v="2026-03-09T00:00:00"/>
    <x v="2"/>
    <d v="2026-03-09T00:00:00"/>
    <x v="2"/>
    <x v="14"/>
    <x v="59"/>
    <x v="2"/>
    <x v="0"/>
    <m/>
    <m/>
    <x v="0"/>
    <x v="0"/>
    <x v="0"/>
    <x v="0"/>
    <x v="0"/>
    <x v="2"/>
  </r>
  <r>
    <d v="2026-03-09T00:00:00"/>
    <x v="2"/>
    <d v="2026-03-09T00:00:00"/>
    <x v="2"/>
    <x v="15"/>
    <x v="59"/>
    <x v="1"/>
    <x v="0"/>
    <m/>
    <m/>
    <x v="0"/>
    <x v="0"/>
    <x v="0"/>
    <x v="0"/>
    <x v="0"/>
    <x v="2"/>
  </r>
  <r>
    <d v="2026-03-10T00:00:00"/>
    <x v="3"/>
    <d v="2026-03-10T00:00:00"/>
    <x v="0"/>
    <x v="0"/>
    <x v="37"/>
    <x v="0"/>
    <x v="0"/>
    <m/>
    <m/>
    <x v="0"/>
    <x v="0"/>
    <x v="0"/>
    <x v="0"/>
    <x v="0"/>
    <x v="2"/>
  </r>
  <r>
    <d v="2026-03-11T00:00:00"/>
    <x v="4"/>
    <d v="2026-03-11T00:00:00"/>
    <x v="2"/>
    <x v="13"/>
    <x v="59"/>
    <x v="0"/>
    <x v="0"/>
    <m/>
    <m/>
    <x v="0"/>
    <x v="0"/>
    <x v="13"/>
    <x v="0"/>
    <x v="0"/>
    <x v="2"/>
  </r>
  <r>
    <d v="2026-03-11T00:00:00"/>
    <x v="4"/>
    <d v="2026-03-11T00:00:00"/>
    <x v="2"/>
    <x v="15"/>
    <x v="59"/>
    <x v="0"/>
    <x v="0"/>
    <m/>
    <m/>
    <x v="0"/>
    <x v="0"/>
    <x v="13"/>
    <x v="0"/>
    <x v="0"/>
    <x v="2"/>
  </r>
  <r>
    <d v="2026-03-11T00:00:00"/>
    <x v="4"/>
    <d v="2026-03-11T00:00:00"/>
    <x v="2"/>
    <x v="14"/>
    <x v="59"/>
    <x v="0"/>
    <x v="0"/>
    <m/>
    <m/>
    <x v="0"/>
    <x v="0"/>
    <x v="13"/>
    <x v="0"/>
    <x v="0"/>
    <x v="2"/>
  </r>
  <r>
    <d v="2026-03-12T00:00:00"/>
    <x v="5"/>
    <d v="2026-03-12T00:00:00"/>
    <x v="2"/>
    <x v="13"/>
    <x v="59"/>
    <x v="0"/>
    <x v="0"/>
    <m/>
    <m/>
    <x v="0"/>
    <x v="0"/>
    <x v="2"/>
    <x v="0"/>
    <x v="0"/>
    <x v="2"/>
  </r>
  <r>
    <d v="2026-03-12T00:00:00"/>
    <x v="5"/>
    <d v="2026-03-12T00:00:00"/>
    <x v="2"/>
    <x v="14"/>
    <x v="59"/>
    <x v="0"/>
    <x v="0"/>
    <m/>
    <m/>
    <x v="0"/>
    <x v="0"/>
    <x v="8"/>
    <x v="0"/>
    <x v="0"/>
    <x v="2"/>
  </r>
  <r>
    <d v="2026-03-12T00:00:00"/>
    <x v="5"/>
    <d v="2026-03-12T00:00:00"/>
    <x v="2"/>
    <x v="15"/>
    <x v="59"/>
    <x v="0"/>
    <x v="0"/>
    <m/>
    <m/>
    <x v="0"/>
    <x v="0"/>
    <x v="3"/>
    <x v="0"/>
    <x v="0"/>
    <x v="2"/>
  </r>
  <r>
    <d v="2026-03-13T00:00:00"/>
    <x v="6"/>
    <d v="2026-03-13T00:00:00"/>
    <x v="2"/>
    <x v="13"/>
    <x v="59"/>
    <x v="0"/>
    <x v="0"/>
    <m/>
    <m/>
    <x v="3"/>
    <x v="0"/>
    <x v="0"/>
    <x v="0"/>
    <x v="0"/>
    <x v="2"/>
  </r>
  <r>
    <d v="2026-03-13T00:00:00"/>
    <x v="6"/>
    <d v="2026-03-13T00:00:00"/>
    <x v="2"/>
    <x v="14"/>
    <x v="59"/>
    <x v="0"/>
    <x v="0"/>
    <m/>
    <m/>
    <x v="3"/>
    <x v="0"/>
    <x v="0"/>
    <x v="0"/>
    <x v="0"/>
    <x v="2"/>
  </r>
  <r>
    <d v="2026-03-13T00:00:00"/>
    <x v="6"/>
    <d v="2026-03-13T00:00:00"/>
    <x v="2"/>
    <x v="15"/>
    <x v="59"/>
    <x v="0"/>
    <x v="0"/>
    <m/>
    <m/>
    <x v="3"/>
    <x v="0"/>
    <x v="0"/>
    <x v="0"/>
    <x v="0"/>
    <x v="2"/>
  </r>
  <r>
    <d v="2026-03-14T00:00:00"/>
    <x v="0"/>
    <d v="2026-03-14T00:00:00"/>
    <x v="2"/>
    <x v="13"/>
    <x v="59"/>
    <x v="0"/>
    <x v="0"/>
    <m/>
    <m/>
    <x v="3"/>
    <x v="0"/>
    <x v="0"/>
    <x v="0"/>
    <x v="0"/>
    <x v="2"/>
  </r>
  <r>
    <d v="2026-03-14T00:00:00"/>
    <x v="0"/>
    <d v="2026-03-14T00:00:00"/>
    <x v="2"/>
    <x v="14"/>
    <x v="59"/>
    <x v="0"/>
    <x v="0"/>
    <m/>
    <m/>
    <x v="3"/>
    <x v="0"/>
    <x v="0"/>
    <x v="0"/>
    <x v="0"/>
    <x v="2"/>
  </r>
  <r>
    <d v="2026-03-14T00:00:00"/>
    <x v="0"/>
    <d v="2026-03-14T00:00:00"/>
    <x v="2"/>
    <x v="15"/>
    <x v="59"/>
    <x v="0"/>
    <x v="0"/>
    <m/>
    <m/>
    <x v="3"/>
    <x v="0"/>
    <x v="0"/>
    <x v="0"/>
    <x v="0"/>
    <x v="2"/>
  </r>
  <r>
    <d v="2026-03-15T00:00:00"/>
    <x v="1"/>
    <d v="2026-03-15T00:00:00"/>
    <x v="2"/>
    <x v="13"/>
    <x v="59"/>
    <x v="0"/>
    <x v="0"/>
    <m/>
    <m/>
    <x v="3"/>
    <x v="0"/>
    <x v="0"/>
    <x v="0"/>
    <x v="0"/>
    <x v="2"/>
  </r>
  <r>
    <d v="2026-03-16T00:00:00"/>
    <x v="2"/>
    <d v="2026-03-16T00:00:00"/>
    <x v="2"/>
    <x v="13"/>
    <x v="59"/>
    <x v="0"/>
    <x v="7"/>
    <m/>
    <m/>
    <x v="0"/>
    <x v="0"/>
    <x v="0"/>
    <x v="0"/>
    <x v="0"/>
    <x v="2"/>
  </r>
  <r>
    <d v="2026-03-16T00:00:00"/>
    <x v="2"/>
    <d v="2026-03-16T00:00:00"/>
    <x v="2"/>
    <x v="14"/>
    <x v="59"/>
    <x v="0"/>
    <x v="0"/>
    <n v="30"/>
    <m/>
    <x v="0"/>
    <x v="0"/>
    <x v="0"/>
    <x v="0"/>
    <x v="0"/>
    <x v="2"/>
  </r>
  <r>
    <d v="2026-03-16T00:00:00"/>
    <x v="2"/>
    <d v="2026-03-16T00:00:00"/>
    <x v="2"/>
    <x v="15"/>
    <x v="59"/>
    <x v="0"/>
    <x v="0"/>
    <n v="30"/>
    <m/>
    <x v="0"/>
    <x v="0"/>
    <x v="0"/>
    <x v="0"/>
    <x v="0"/>
    <x v="2"/>
  </r>
  <r>
    <d v="2026-03-17T00:00:00"/>
    <x v="3"/>
    <d v="2026-03-17T00:00:00"/>
    <x v="2"/>
    <x v="13"/>
    <x v="62"/>
    <x v="0"/>
    <x v="15"/>
    <m/>
    <m/>
    <x v="0"/>
    <x v="0"/>
    <x v="0"/>
    <x v="0"/>
    <x v="0"/>
    <x v="2"/>
  </r>
  <r>
    <d v="2026-03-17T00:00:00"/>
    <x v="3"/>
    <d v="2026-03-17T00:00:00"/>
    <x v="2"/>
    <x v="14"/>
    <x v="59"/>
    <x v="0"/>
    <x v="0"/>
    <n v="40"/>
    <m/>
    <x v="0"/>
    <x v="0"/>
    <x v="0"/>
    <x v="0"/>
    <x v="0"/>
    <x v="2"/>
  </r>
  <r>
    <d v="2026-03-17T00:00:00"/>
    <x v="3"/>
    <d v="2026-03-17T00:00:00"/>
    <x v="2"/>
    <x v="15"/>
    <x v="59"/>
    <x v="0"/>
    <x v="0"/>
    <n v="45"/>
    <m/>
    <x v="0"/>
    <x v="0"/>
    <x v="0"/>
    <x v="0"/>
    <x v="0"/>
    <x v="2"/>
  </r>
  <r>
    <d v="2026-03-18T00:00:00"/>
    <x v="4"/>
    <d v="2026-03-18T00:00:00"/>
    <x v="2"/>
    <x v="15"/>
    <x v="59"/>
    <x v="0"/>
    <x v="0"/>
    <n v="12"/>
    <m/>
    <x v="0"/>
    <x v="0"/>
    <x v="0"/>
    <x v="0"/>
    <x v="0"/>
    <x v="2"/>
  </r>
  <r>
    <d v="2026-03-19T00:00:00"/>
    <x v="5"/>
    <d v="2026-03-19T00:00:00"/>
    <x v="2"/>
    <x v="13"/>
    <x v="58"/>
    <x v="0"/>
    <x v="6"/>
    <m/>
    <m/>
    <x v="0"/>
    <x v="0"/>
    <x v="0"/>
    <x v="0"/>
    <x v="0"/>
    <x v="2"/>
  </r>
  <r>
    <d v="2026-03-19T00:00:00"/>
    <x v="5"/>
    <d v="2026-03-19T00:00:00"/>
    <x v="2"/>
    <x v="13"/>
    <x v="59"/>
    <x v="8"/>
    <x v="0"/>
    <m/>
    <m/>
    <x v="0"/>
    <x v="0"/>
    <x v="0"/>
    <x v="12"/>
    <x v="0"/>
    <x v="2"/>
  </r>
  <r>
    <d v="2026-03-19T00:00:00"/>
    <x v="5"/>
    <d v="2026-03-19T00:00:00"/>
    <x v="2"/>
    <x v="14"/>
    <x v="59"/>
    <x v="6"/>
    <x v="0"/>
    <m/>
    <m/>
    <x v="0"/>
    <x v="0"/>
    <x v="0"/>
    <x v="15"/>
    <x v="0"/>
    <x v="2"/>
  </r>
  <r>
    <d v="2026-03-19T00:00:00"/>
    <x v="5"/>
    <d v="2026-03-19T00:00:00"/>
    <x v="2"/>
    <x v="15"/>
    <x v="59"/>
    <x v="7"/>
    <x v="0"/>
    <n v="8"/>
    <m/>
    <x v="0"/>
    <x v="0"/>
    <x v="0"/>
    <x v="7"/>
    <x v="0"/>
    <x v="2"/>
  </r>
  <r>
    <d v="2026-03-20T00:00:00"/>
    <x v="6"/>
    <d v="2026-03-20T00:00:00"/>
    <x v="2"/>
    <x v="13"/>
    <x v="58"/>
    <x v="0"/>
    <x v="14"/>
    <m/>
    <m/>
    <x v="0"/>
    <x v="0"/>
    <x v="0"/>
    <x v="0"/>
    <x v="0"/>
    <x v="2"/>
  </r>
  <r>
    <d v="2026-03-20T00:00:00"/>
    <x v="6"/>
    <d v="2026-03-20T00:00:00"/>
    <x v="2"/>
    <x v="15"/>
    <x v="59"/>
    <x v="7"/>
    <x v="0"/>
    <m/>
    <m/>
    <x v="0"/>
    <x v="0"/>
    <x v="0"/>
    <x v="7"/>
    <x v="0"/>
    <x v="2"/>
  </r>
  <r>
    <d v="2026-03-21T00:00:00"/>
    <x v="0"/>
    <d v="2026-03-21T00:00:00"/>
    <x v="0"/>
    <x v="0"/>
    <x v="0"/>
    <x v="0"/>
    <x v="0"/>
    <m/>
    <m/>
    <x v="0"/>
    <x v="0"/>
    <x v="0"/>
    <x v="0"/>
    <x v="0"/>
    <x v="2"/>
  </r>
  <r>
    <d v="2026-03-22T00:00:00"/>
    <x v="1"/>
    <d v="2026-03-22T00:00:00"/>
    <x v="0"/>
    <x v="0"/>
    <x v="0"/>
    <x v="0"/>
    <x v="0"/>
    <m/>
    <m/>
    <x v="0"/>
    <x v="0"/>
    <x v="0"/>
    <x v="0"/>
    <x v="0"/>
    <x v="2"/>
  </r>
  <r>
    <d v="2026-03-23T00:00:00"/>
    <x v="2"/>
    <d v="2026-03-23T00:00:00"/>
    <x v="2"/>
    <x v="14"/>
    <x v="59"/>
    <x v="0"/>
    <x v="0"/>
    <m/>
    <m/>
    <x v="0"/>
    <x v="0"/>
    <x v="7"/>
    <x v="0"/>
    <x v="0"/>
    <x v="2"/>
  </r>
  <r>
    <d v="2026-03-23T00:00:00"/>
    <x v="2"/>
    <d v="2026-03-23T00:00:00"/>
    <x v="2"/>
    <x v="15"/>
    <x v="59"/>
    <x v="0"/>
    <x v="0"/>
    <m/>
    <m/>
    <x v="0"/>
    <x v="0"/>
    <x v="7"/>
    <x v="0"/>
    <x v="0"/>
    <x v="2"/>
  </r>
  <r>
    <d v="2026-03-24T00:00:00"/>
    <x v="3"/>
    <d v="2026-03-24T00:00:00"/>
    <x v="2"/>
    <x v="14"/>
    <x v="59"/>
    <x v="0"/>
    <x v="0"/>
    <m/>
    <m/>
    <x v="0"/>
    <x v="0"/>
    <x v="5"/>
    <x v="0"/>
    <x v="0"/>
    <x v="2"/>
  </r>
  <r>
    <d v="2026-03-24T00:00:00"/>
    <x v="3"/>
    <d v="2026-03-24T00:00:00"/>
    <x v="2"/>
    <x v="15"/>
    <x v="59"/>
    <x v="0"/>
    <x v="0"/>
    <m/>
    <m/>
    <x v="0"/>
    <x v="0"/>
    <x v="5"/>
    <x v="0"/>
    <x v="0"/>
    <x v="2"/>
  </r>
  <r>
    <d v="2026-03-25T00:00:00"/>
    <x v="4"/>
    <d v="2026-03-25T00:00:00"/>
    <x v="2"/>
    <x v="14"/>
    <x v="59"/>
    <x v="0"/>
    <x v="0"/>
    <m/>
    <m/>
    <x v="0"/>
    <x v="5"/>
    <x v="0"/>
    <x v="0"/>
    <x v="0"/>
    <x v="2"/>
  </r>
  <r>
    <d v="2026-03-25T00:00:00"/>
    <x v="4"/>
    <d v="2026-03-25T00:00:00"/>
    <x v="2"/>
    <x v="15"/>
    <x v="59"/>
    <x v="0"/>
    <x v="0"/>
    <m/>
    <m/>
    <x v="0"/>
    <x v="5"/>
    <x v="0"/>
    <x v="0"/>
    <x v="0"/>
    <x v="2"/>
  </r>
  <r>
    <d v="2026-03-26T00:00:00"/>
    <x v="5"/>
    <d v="2026-03-26T00:00:00"/>
    <x v="2"/>
    <x v="14"/>
    <x v="59"/>
    <x v="0"/>
    <x v="0"/>
    <m/>
    <m/>
    <x v="0"/>
    <x v="5"/>
    <x v="0"/>
    <x v="0"/>
    <x v="0"/>
    <x v="2"/>
  </r>
  <r>
    <d v="2026-03-26T00:00:00"/>
    <x v="5"/>
    <d v="2026-03-26T00:00:00"/>
    <x v="2"/>
    <x v="15"/>
    <x v="23"/>
    <x v="0"/>
    <x v="14"/>
    <m/>
    <m/>
    <x v="0"/>
    <x v="0"/>
    <x v="0"/>
    <x v="0"/>
    <x v="0"/>
    <x v="2"/>
  </r>
  <r>
    <d v="2026-03-27T00:00:00"/>
    <x v="6"/>
    <d v="2026-03-27T00:00:00"/>
    <x v="2"/>
    <x v="14"/>
    <x v="59"/>
    <x v="0"/>
    <x v="0"/>
    <m/>
    <m/>
    <x v="0"/>
    <x v="0"/>
    <x v="2"/>
    <x v="0"/>
    <x v="0"/>
    <x v="2"/>
  </r>
  <r>
    <d v="2026-03-27T00:00:00"/>
    <x v="6"/>
    <d v="2026-03-27T00:00:00"/>
    <x v="2"/>
    <x v="15"/>
    <x v="16"/>
    <x v="0"/>
    <x v="14"/>
    <m/>
    <m/>
    <x v="0"/>
    <x v="0"/>
    <x v="0"/>
    <x v="0"/>
    <x v="0"/>
    <x v="2"/>
  </r>
  <r>
    <d v="2026-03-28T00:00:00"/>
    <x v="0"/>
    <d v="2026-03-28T00:00:00"/>
    <x v="0"/>
    <x v="0"/>
    <x v="0"/>
    <x v="0"/>
    <x v="0"/>
    <m/>
    <m/>
    <x v="0"/>
    <x v="0"/>
    <x v="0"/>
    <x v="0"/>
    <x v="0"/>
    <x v="2"/>
  </r>
  <r>
    <d v="2026-03-29T00:00:00"/>
    <x v="1"/>
    <d v="2026-03-29T00:00:00"/>
    <x v="0"/>
    <x v="0"/>
    <x v="0"/>
    <x v="0"/>
    <x v="0"/>
    <m/>
    <m/>
    <x v="0"/>
    <x v="0"/>
    <x v="0"/>
    <x v="0"/>
    <x v="0"/>
    <x v="2"/>
  </r>
  <r>
    <d v="2026-03-30T00:00:00"/>
    <x v="2"/>
    <d v="2026-03-30T00:00:00"/>
    <x v="2"/>
    <x v="13"/>
    <x v="60"/>
    <x v="0"/>
    <x v="0"/>
    <m/>
    <m/>
    <x v="4"/>
    <x v="0"/>
    <x v="0"/>
    <x v="0"/>
    <x v="0"/>
    <x v="2"/>
  </r>
  <r>
    <d v="2026-03-30T00:00:00"/>
    <x v="2"/>
    <d v="2026-03-30T00:00:00"/>
    <x v="2"/>
    <x v="16"/>
    <x v="59"/>
    <x v="7"/>
    <x v="0"/>
    <m/>
    <m/>
    <x v="0"/>
    <x v="0"/>
    <x v="3"/>
    <x v="7"/>
    <x v="0"/>
    <x v="2"/>
  </r>
  <r>
    <d v="2026-03-31T00:00:00"/>
    <x v="3"/>
    <d v="2026-03-31T00:00:00"/>
    <x v="2"/>
    <x v="13"/>
    <x v="60"/>
    <x v="0"/>
    <x v="0"/>
    <m/>
    <n v="3"/>
    <x v="0"/>
    <x v="0"/>
    <x v="0"/>
    <x v="0"/>
    <x v="0"/>
    <x v="2"/>
  </r>
  <r>
    <d v="2026-03-31T00:00:00"/>
    <x v="3"/>
    <d v="2026-03-31T00:00:00"/>
    <x v="2"/>
    <x v="14"/>
    <x v="59"/>
    <x v="7"/>
    <x v="0"/>
    <m/>
    <m/>
    <x v="0"/>
    <x v="0"/>
    <x v="3"/>
    <x v="7"/>
    <x v="0"/>
    <x v="2"/>
  </r>
  <r>
    <d v="2026-03-31T00:00:00"/>
    <x v="3"/>
    <d v="2026-03-31T00:00:00"/>
    <x v="2"/>
    <x v="14"/>
    <x v="24"/>
    <x v="0"/>
    <x v="7"/>
    <m/>
    <m/>
    <x v="0"/>
    <x v="0"/>
    <x v="0"/>
    <x v="0"/>
    <x v="0"/>
    <x v="2"/>
  </r>
  <r>
    <d v="2026-04-01T00:00:00"/>
    <x v="4"/>
    <d v="2026-04-01T00:00:00"/>
    <x v="2"/>
    <x v="13"/>
    <x v="35"/>
    <x v="0"/>
    <x v="6"/>
    <m/>
    <m/>
    <x v="0"/>
    <x v="0"/>
    <x v="0"/>
    <x v="0"/>
    <x v="0"/>
    <x v="2"/>
  </r>
  <r>
    <d v="2026-04-01T00:00:00"/>
    <x v="4"/>
    <d v="2026-04-01T00:00:00"/>
    <x v="2"/>
    <x v="13"/>
    <x v="24"/>
    <x v="0"/>
    <x v="7"/>
    <m/>
    <m/>
    <x v="0"/>
    <x v="0"/>
    <x v="0"/>
    <x v="0"/>
    <x v="0"/>
    <x v="2"/>
  </r>
  <r>
    <d v="2026-04-01T00:00:00"/>
    <x v="4"/>
    <d v="2026-04-01T00:00:00"/>
    <x v="2"/>
    <x v="13"/>
    <x v="35"/>
    <x v="0"/>
    <x v="6"/>
    <m/>
    <m/>
    <x v="0"/>
    <x v="0"/>
    <x v="0"/>
    <x v="0"/>
    <x v="0"/>
    <x v="2"/>
  </r>
  <r>
    <d v="2026-04-02T00:00:00"/>
    <x v="5"/>
    <d v="2026-04-02T00:00:00"/>
    <x v="2"/>
    <x v="13"/>
    <x v="35"/>
    <x v="0"/>
    <x v="6"/>
    <m/>
    <m/>
    <x v="0"/>
    <x v="0"/>
    <x v="0"/>
    <x v="0"/>
    <x v="0"/>
    <x v="2"/>
  </r>
  <r>
    <d v="2026-04-02T00:00:00"/>
    <x v="5"/>
    <d v="2026-04-02T00:00:00"/>
    <x v="2"/>
    <x v="13"/>
    <x v="24"/>
    <x v="0"/>
    <x v="6"/>
    <m/>
    <m/>
    <x v="0"/>
    <x v="0"/>
    <x v="0"/>
    <x v="0"/>
    <x v="0"/>
    <x v="2"/>
  </r>
  <r>
    <d v="2026-04-02T00:00:00"/>
    <x v="5"/>
    <d v="2026-04-02T00:00:00"/>
    <x v="2"/>
    <x v="13"/>
    <x v="35"/>
    <x v="0"/>
    <x v="15"/>
    <m/>
    <m/>
    <x v="0"/>
    <x v="0"/>
    <x v="0"/>
    <x v="0"/>
    <x v="0"/>
    <x v="2"/>
  </r>
  <r>
    <d v="2026-04-02T00:00:00"/>
    <x v="5"/>
    <d v="2026-04-02T00:00:00"/>
    <x v="2"/>
    <x v="14"/>
    <x v="59"/>
    <x v="8"/>
    <x v="0"/>
    <m/>
    <m/>
    <x v="0"/>
    <x v="0"/>
    <x v="8"/>
    <x v="12"/>
    <x v="0"/>
    <x v="2"/>
  </r>
  <r>
    <d v="2026-04-03T00:00:00"/>
    <x v="6"/>
    <d v="2026-04-03T00:00:00"/>
    <x v="0"/>
    <x v="0"/>
    <x v="0"/>
    <x v="0"/>
    <x v="0"/>
    <m/>
    <m/>
    <x v="0"/>
    <x v="0"/>
    <x v="0"/>
    <x v="0"/>
    <x v="0"/>
    <x v="2"/>
  </r>
  <r>
    <d v="2026-04-04T00:00:00"/>
    <x v="0"/>
    <d v="2026-04-04T00:00:00"/>
    <x v="0"/>
    <x v="0"/>
    <x v="0"/>
    <x v="0"/>
    <x v="0"/>
    <m/>
    <m/>
    <x v="0"/>
    <x v="0"/>
    <x v="0"/>
    <x v="0"/>
    <x v="0"/>
    <x v="2"/>
  </r>
  <r>
    <d v="2026-04-05T00:00:00"/>
    <x v="1"/>
    <d v="2026-04-05T00:00:00"/>
    <x v="0"/>
    <x v="0"/>
    <x v="0"/>
    <x v="0"/>
    <x v="0"/>
    <m/>
    <m/>
    <x v="0"/>
    <x v="0"/>
    <x v="0"/>
    <x v="0"/>
    <x v="0"/>
    <x v="2"/>
  </r>
  <r>
    <d v="2026-04-06T00:00:00"/>
    <x v="2"/>
    <d v="2026-04-06T00:00:00"/>
    <x v="0"/>
    <x v="0"/>
    <x v="0"/>
    <x v="0"/>
    <x v="0"/>
    <m/>
    <m/>
    <x v="0"/>
    <x v="0"/>
    <x v="0"/>
    <x v="0"/>
    <x v="0"/>
    <x v="2"/>
  </r>
  <r>
    <d v="2026-04-07T00:00:00"/>
    <x v="3"/>
    <d v="2026-04-07T00:00:00"/>
    <x v="0"/>
    <x v="0"/>
    <x v="0"/>
    <x v="0"/>
    <x v="0"/>
    <m/>
    <m/>
    <x v="0"/>
    <x v="0"/>
    <x v="0"/>
    <x v="0"/>
    <x v="0"/>
    <x v="2"/>
  </r>
  <r>
    <d v="2026-04-08T00:00:00"/>
    <x v="4"/>
    <d v="2026-04-08T00:00:00"/>
    <x v="0"/>
    <x v="0"/>
    <x v="0"/>
    <x v="0"/>
    <x v="0"/>
    <m/>
    <m/>
    <x v="0"/>
    <x v="0"/>
    <x v="0"/>
    <x v="0"/>
    <x v="0"/>
    <x v="2"/>
  </r>
  <r>
    <d v="2026-04-09T00:00:00"/>
    <x v="5"/>
    <d v="2026-04-09T00:00:00"/>
    <x v="1"/>
    <x v="0"/>
    <x v="0"/>
    <x v="0"/>
    <x v="0"/>
    <m/>
    <m/>
    <x v="0"/>
    <x v="0"/>
    <x v="0"/>
    <x v="0"/>
    <x v="0"/>
    <x v="2"/>
  </r>
  <r>
    <d v="2026-04-10T00:00:00"/>
    <x v="6"/>
    <d v="2026-04-10T00:00:00"/>
    <x v="1"/>
    <x v="0"/>
    <x v="0"/>
    <x v="0"/>
    <x v="0"/>
    <m/>
    <m/>
    <x v="0"/>
    <x v="0"/>
    <x v="0"/>
    <x v="0"/>
    <x v="0"/>
    <x v="2"/>
  </r>
  <r>
    <d v="2026-04-11T00:00:00"/>
    <x v="0"/>
    <d v="2026-04-11T00:00:00"/>
    <x v="0"/>
    <x v="0"/>
    <x v="0"/>
    <x v="0"/>
    <x v="0"/>
    <m/>
    <m/>
    <x v="0"/>
    <x v="0"/>
    <x v="0"/>
    <x v="0"/>
    <x v="0"/>
    <x v="2"/>
  </r>
  <r>
    <d v="2026-04-12T00:00:00"/>
    <x v="1"/>
    <d v="2026-04-12T00:00:00"/>
    <x v="0"/>
    <x v="0"/>
    <x v="0"/>
    <x v="0"/>
    <x v="0"/>
    <m/>
    <m/>
    <x v="0"/>
    <x v="0"/>
    <x v="0"/>
    <x v="0"/>
    <x v="0"/>
    <x v="2"/>
  </r>
  <r>
    <d v="2026-04-13T00:00:00"/>
    <x v="2"/>
    <d v="2026-04-13T00:00:00"/>
    <x v="1"/>
    <x v="0"/>
    <x v="0"/>
    <x v="0"/>
    <x v="0"/>
    <m/>
    <m/>
    <x v="0"/>
    <x v="0"/>
    <x v="0"/>
    <x v="0"/>
    <x v="0"/>
    <x v="2"/>
  </r>
  <r>
    <d v="2026-04-14T00:00:00"/>
    <x v="3"/>
    <d v="2026-04-14T00:00:00"/>
    <x v="1"/>
    <x v="0"/>
    <x v="0"/>
    <x v="0"/>
    <x v="0"/>
    <m/>
    <m/>
    <x v="0"/>
    <x v="0"/>
    <x v="0"/>
    <x v="0"/>
    <x v="0"/>
    <x v="2"/>
  </r>
  <r>
    <d v="2026-04-15T00:00:00"/>
    <x v="4"/>
    <d v="2026-04-15T00:00:00"/>
    <x v="1"/>
    <x v="0"/>
    <x v="0"/>
    <x v="0"/>
    <x v="0"/>
    <m/>
    <m/>
    <x v="0"/>
    <x v="0"/>
    <x v="0"/>
    <x v="0"/>
    <x v="0"/>
    <x v="2"/>
  </r>
  <r>
    <d v="2026-04-16T00:00:00"/>
    <x v="5"/>
    <d v="2026-04-16T00:00:00"/>
    <x v="1"/>
    <x v="0"/>
    <x v="0"/>
    <x v="0"/>
    <x v="0"/>
    <m/>
    <m/>
    <x v="0"/>
    <x v="0"/>
    <x v="0"/>
    <x v="0"/>
    <x v="0"/>
    <x v="2"/>
  </r>
  <r>
    <d v="2026-04-17T00:00:00"/>
    <x v="6"/>
    <d v="2026-04-17T00:00:00"/>
    <x v="1"/>
    <x v="0"/>
    <x v="0"/>
    <x v="0"/>
    <x v="0"/>
    <m/>
    <m/>
    <x v="0"/>
    <x v="0"/>
    <x v="0"/>
    <x v="0"/>
    <x v="0"/>
    <x v="2"/>
  </r>
  <r>
    <d v="2026-04-18T00:00:00"/>
    <x v="0"/>
    <d v="2026-04-18T00:00:00"/>
    <x v="0"/>
    <x v="0"/>
    <x v="0"/>
    <x v="0"/>
    <x v="0"/>
    <m/>
    <m/>
    <x v="0"/>
    <x v="0"/>
    <x v="0"/>
    <x v="0"/>
    <x v="0"/>
    <x v="2"/>
  </r>
  <r>
    <d v="2026-04-19T00:00:00"/>
    <x v="1"/>
    <d v="2026-04-19T00:00:00"/>
    <x v="0"/>
    <x v="0"/>
    <x v="0"/>
    <x v="0"/>
    <x v="0"/>
    <m/>
    <m/>
    <x v="0"/>
    <x v="0"/>
    <x v="0"/>
    <x v="0"/>
    <x v="0"/>
    <x v="2"/>
  </r>
  <r>
    <d v="2026-04-20T00:00:00"/>
    <x v="2"/>
    <d v="2026-04-20T00:00:00"/>
    <x v="1"/>
    <x v="0"/>
    <x v="0"/>
    <x v="0"/>
    <x v="0"/>
    <m/>
    <m/>
    <x v="0"/>
    <x v="0"/>
    <x v="0"/>
    <x v="0"/>
    <x v="0"/>
    <x v="2"/>
  </r>
  <r>
    <d v="2026-04-21T00:00:00"/>
    <x v="3"/>
    <d v="2026-04-21T00:00:00"/>
    <x v="1"/>
    <x v="0"/>
    <x v="0"/>
    <x v="0"/>
    <x v="0"/>
    <m/>
    <m/>
    <x v="0"/>
    <x v="0"/>
    <x v="0"/>
    <x v="0"/>
    <x v="0"/>
    <x v="2"/>
  </r>
  <r>
    <d v="2026-04-22T00:00:00"/>
    <x v="4"/>
    <d v="2026-04-22T00:00:00"/>
    <x v="1"/>
    <x v="0"/>
    <x v="0"/>
    <x v="0"/>
    <x v="0"/>
    <m/>
    <m/>
    <x v="0"/>
    <x v="0"/>
    <x v="0"/>
    <x v="0"/>
    <x v="0"/>
    <x v="2"/>
  </r>
  <r>
    <d v="2026-04-23T00:00:00"/>
    <x v="5"/>
    <d v="2026-04-23T00:00:00"/>
    <x v="1"/>
    <x v="0"/>
    <x v="0"/>
    <x v="0"/>
    <x v="0"/>
    <m/>
    <m/>
    <x v="0"/>
    <x v="0"/>
    <x v="0"/>
    <x v="0"/>
    <x v="0"/>
    <x v="2"/>
  </r>
  <r>
    <d v="2026-04-24T00:00:00"/>
    <x v="6"/>
    <d v="2026-04-24T00:00:00"/>
    <x v="1"/>
    <x v="0"/>
    <x v="0"/>
    <x v="0"/>
    <x v="0"/>
    <m/>
    <m/>
    <x v="0"/>
    <x v="0"/>
    <x v="0"/>
    <x v="0"/>
    <x v="0"/>
    <x v="2"/>
  </r>
  <r>
    <d v="2026-04-25T00:00:00"/>
    <x v="0"/>
    <d v="2026-04-25T00:00:00"/>
    <x v="0"/>
    <x v="0"/>
    <x v="0"/>
    <x v="0"/>
    <x v="0"/>
    <m/>
    <m/>
    <x v="0"/>
    <x v="0"/>
    <x v="0"/>
    <x v="0"/>
    <x v="0"/>
    <x v="2"/>
  </r>
  <r>
    <d v="2026-04-26T00:00:00"/>
    <x v="1"/>
    <d v="2026-04-26T00:00:00"/>
    <x v="0"/>
    <x v="0"/>
    <x v="0"/>
    <x v="0"/>
    <x v="0"/>
    <m/>
    <m/>
    <x v="0"/>
    <x v="0"/>
    <x v="0"/>
    <x v="0"/>
    <x v="0"/>
    <x v="2"/>
  </r>
  <r>
    <d v="2026-04-27T00:00:00"/>
    <x v="2"/>
    <d v="2026-04-27T00:00:00"/>
    <x v="1"/>
    <x v="0"/>
    <x v="0"/>
    <x v="0"/>
    <x v="0"/>
    <m/>
    <m/>
    <x v="0"/>
    <x v="0"/>
    <x v="0"/>
    <x v="0"/>
    <x v="0"/>
    <x v="2"/>
  </r>
  <r>
    <d v="2026-04-28T00:00:00"/>
    <x v="3"/>
    <d v="2026-04-28T00:00:00"/>
    <x v="1"/>
    <x v="0"/>
    <x v="0"/>
    <x v="0"/>
    <x v="0"/>
    <m/>
    <m/>
    <x v="0"/>
    <x v="0"/>
    <x v="0"/>
    <x v="0"/>
    <x v="0"/>
    <x v="2"/>
  </r>
  <r>
    <d v="2026-04-29T00:00:00"/>
    <x v="4"/>
    <d v="2026-04-29T00:00:00"/>
    <x v="1"/>
    <x v="0"/>
    <x v="0"/>
    <x v="0"/>
    <x v="0"/>
    <m/>
    <m/>
    <x v="0"/>
    <x v="0"/>
    <x v="0"/>
    <x v="0"/>
    <x v="0"/>
    <x v="2"/>
  </r>
  <r>
    <d v="2026-04-30T00:00:00"/>
    <x v="5"/>
    <d v="2026-04-30T00:00:00"/>
    <x v="1"/>
    <x v="0"/>
    <x v="0"/>
    <x v="0"/>
    <x v="0"/>
    <m/>
    <m/>
    <x v="0"/>
    <x v="0"/>
    <x v="0"/>
    <x v="0"/>
    <x v="0"/>
    <x v="2"/>
  </r>
  <r>
    <d v="2026-05-01T00:00:00"/>
    <x v="6"/>
    <d v="2026-05-01T00:00:00"/>
    <x v="1"/>
    <x v="0"/>
    <x v="0"/>
    <x v="0"/>
    <x v="0"/>
    <m/>
    <m/>
    <x v="0"/>
    <x v="0"/>
    <x v="0"/>
    <x v="0"/>
    <x v="0"/>
    <x v="2"/>
  </r>
  <r>
    <d v="2026-05-02T00:00:00"/>
    <x v="0"/>
    <d v="2026-05-02T00:00:00"/>
    <x v="0"/>
    <x v="0"/>
    <x v="0"/>
    <x v="0"/>
    <x v="0"/>
    <m/>
    <m/>
    <x v="0"/>
    <x v="0"/>
    <x v="0"/>
    <x v="0"/>
    <x v="0"/>
    <x v="2"/>
  </r>
  <r>
    <d v="2026-05-03T00:00:00"/>
    <x v="1"/>
    <d v="2026-05-03T00:00:00"/>
    <x v="0"/>
    <x v="0"/>
    <x v="0"/>
    <x v="0"/>
    <x v="0"/>
    <m/>
    <m/>
    <x v="0"/>
    <x v="0"/>
    <x v="0"/>
    <x v="0"/>
    <x v="0"/>
    <x v="2"/>
  </r>
  <r>
    <d v="2026-05-04T00:00:00"/>
    <x v="2"/>
    <d v="2026-05-04T00:00:00"/>
    <x v="1"/>
    <x v="0"/>
    <x v="0"/>
    <x v="0"/>
    <x v="0"/>
    <m/>
    <m/>
    <x v="0"/>
    <x v="0"/>
    <x v="0"/>
    <x v="0"/>
    <x v="0"/>
    <x v="2"/>
  </r>
  <r>
    <d v="2026-05-05T00:00:00"/>
    <x v="3"/>
    <d v="2026-05-05T00:00:00"/>
    <x v="1"/>
    <x v="0"/>
    <x v="0"/>
    <x v="0"/>
    <x v="0"/>
    <m/>
    <m/>
    <x v="0"/>
    <x v="0"/>
    <x v="0"/>
    <x v="0"/>
    <x v="0"/>
    <x v="2"/>
  </r>
  <r>
    <d v="2026-05-06T00:00:00"/>
    <x v="4"/>
    <d v="2026-05-06T00:00:00"/>
    <x v="1"/>
    <x v="0"/>
    <x v="0"/>
    <x v="0"/>
    <x v="0"/>
    <m/>
    <m/>
    <x v="0"/>
    <x v="0"/>
    <x v="0"/>
    <x v="0"/>
    <x v="0"/>
    <x v="2"/>
  </r>
  <r>
    <d v="2026-05-07T00:00:00"/>
    <x v="5"/>
    <d v="2026-05-07T00:00:00"/>
    <x v="1"/>
    <x v="0"/>
    <x v="0"/>
    <x v="0"/>
    <x v="0"/>
    <m/>
    <m/>
    <x v="0"/>
    <x v="0"/>
    <x v="0"/>
    <x v="0"/>
    <x v="0"/>
    <x v="2"/>
  </r>
  <r>
    <d v="2026-05-08T00:00:00"/>
    <x v="6"/>
    <d v="2026-05-08T00:00:00"/>
    <x v="1"/>
    <x v="0"/>
    <x v="0"/>
    <x v="0"/>
    <x v="0"/>
    <m/>
    <m/>
    <x v="0"/>
    <x v="0"/>
    <x v="0"/>
    <x v="0"/>
    <x v="0"/>
    <x v="2"/>
  </r>
  <r>
    <d v="2026-05-09T00:00:00"/>
    <x v="0"/>
    <d v="2026-05-09T00:00:00"/>
    <x v="0"/>
    <x v="0"/>
    <x v="0"/>
    <x v="0"/>
    <x v="0"/>
    <m/>
    <m/>
    <x v="0"/>
    <x v="0"/>
    <x v="0"/>
    <x v="0"/>
    <x v="0"/>
    <x v="2"/>
  </r>
  <r>
    <d v="2026-05-10T00:00:00"/>
    <x v="1"/>
    <d v="2026-05-10T00:00:00"/>
    <x v="0"/>
    <x v="0"/>
    <x v="0"/>
    <x v="0"/>
    <x v="0"/>
    <m/>
    <m/>
    <x v="0"/>
    <x v="0"/>
    <x v="0"/>
    <x v="0"/>
    <x v="0"/>
    <x v="2"/>
  </r>
  <r>
    <d v="2026-05-11T00:00:00"/>
    <x v="2"/>
    <d v="2026-05-11T00:00:00"/>
    <x v="1"/>
    <x v="0"/>
    <x v="0"/>
    <x v="0"/>
    <x v="0"/>
    <m/>
    <m/>
    <x v="0"/>
    <x v="0"/>
    <x v="0"/>
    <x v="0"/>
    <x v="0"/>
    <x v="2"/>
  </r>
  <r>
    <d v="2026-05-12T00:00:00"/>
    <x v="3"/>
    <d v="2026-05-12T00:00:00"/>
    <x v="1"/>
    <x v="0"/>
    <x v="0"/>
    <x v="0"/>
    <x v="0"/>
    <m/>
    <m/>
    <x v="0"/>
    <x v="0"/>
    <x v="0"/>
    <x v="0"/>
    <x v="0"/>
    <x v="2"/>
  </r>
  <r>
    <d v="2026-05-13T00:00:00"/>
    <x v="4"/>
    <d v="2026-05-13T00:00:00"/>
    <x v="1"/>
    <x v="0"/>
    <x v="0"/>
    <x v="0"/>
    <x v="0"/>
    <m/>
    <m/>
    <x v="0"/>
    <x v="0"/>
    <x v="0"/>
    <x v="0"/>
    <x v="0"/>
    <x v="2"/>
  </r>
  <r>
    <d v="2026-05-14T00:00:00"/>
    <x v="5"/>
    <d v="2026-05-14T00:00:00"/>
    <x v="1"/>
    <x v="0"/>
    <x v="0"/>
    <x v="0"/>
    <x v="0"/>
    <m/>
    <m/>
    <x v="0"/>
    <x v="0"/>
    <x v="0"/>
    <x v="0"/>
    <x v="0"/>
    <x v="2"/>
  </r>
  <r>
    <d v="2026-05-15T00:00:00"/>
    <x v="6"/>
    <d v="2026-05-15T00:00:00"/>
    <x v="1"/>
    <x v="0"/>
    <x v="0"/>
    <x v="0"/>
    <x v="0"/>
    <m/>
    <m/>
    <x v="0"/>
    <x v="0"/>
    <x v="0"/>
    <x v="0"/>
    <x v="0"/>
    <x v="2"/>
  </r>
  <r>
    <d v="2026-05-16T00:00:00"/>
    <x v="0"/>
    <d v="2026-05-16T00:00:00"/>
    <x v="0"/>
    <x v="0"/>
    <x v="0"/>
    <x v="0"/>
    <x v="0"/>
    <m/>
    <m/>
    <x v="0"/>
    <x v="0"/>
    <x v="0"/>
    <x v="0"/>
    <x v="0"/>
    <x v="2"/>
  </r>
  <r>
    <d v="2026-05-17T00:00:00"/>
    <x v="1"/>
    <d v="2026-05-17T00:00:00"/>
    <x v="0"/>
    <x v="0"/>
    <x v="0"/>
    <x v="0"/>
    <x v="0"/>
    <m/>
    <m/>
    <x v="0"/>
    <x v="0"/>
    <x v="0"/>
    <x v="0"/>
    <x v="0"/>
    <x v="2"/>
  </r>
  <r>
    <d v="2026-05-18T00:00:00"/>
    <x v="2"/>
    <d v="2026-05-18T00:00:00"/>
    <x v="1"/>
    <x v="0"/>
    <x v="0"/>
    <x v="0"/>
    <x v="0"/>
    <m/>
    <m/>
    <x v="0"/>
    <x v="0"/>
    <x v="0"/>
    <x v="0"/>
    <x v="0"/>
    <x v="2"/>
  </r>
  <r>
    <d v="2026-05-19T00:00:00"/>
    <x v="3"/>
    <d v="2026-05-19T00:00:00"/>
    <x v="1"/>
    <x v="0"/>
    <x v="0"/>
    <x v="0"/>
    <x v="0"/>
    <m/>
    <m/>
    <x v="0"/>
    <x v="0"/>
    <x v="0"/>
    <x v="0"/>
    <x v="0"/>
    <x v="2"/>
  </r>
  <r>
    <d v="2026-05-20T00:00:00"/>
    <x v="4"/>
    <d v="2026-05-20T00:00:00"/>
    <x v="1"/>
    <x v="0"/>
    <x v="0"/>
    <x v="0"/>
    <x v="0"/>
    <m/>
    <m/>
    <x v="0"/>
    <x v="0"/>
    <x v="0"/>
    <x v="0"/>
    <x v="0"/>
    <x v="2"/>
  </r>
  <r>
    <d v="2026-05-21T00:00:00"/>
    <x v="5"/>
    <d v="2026-05-21T00:00:00"/>
    <x v="1"/>
    <x v="0"/>
    <x v="0"/>
    <x v="0"/>
    <x v="0"/>
    <m/>
    <m/>
    <x v="0"/>
    <x v="0"/>
    <x v="0"/>
    <x v="0"/>
    <x v="0"/>
    <x v="2"/>
  </r>
  <r>
    <d v="2026-05-22T00:00:00"/>
    <x v="6"/>
    <d v="2026-05-22T00:00:00"/>
    <x v="1"/>
    <x v="0"/>
    <x v="0"/>
    <x v="0"/>
    <x v="0"/>
    <m/>
    <m/>
    <x v="0"/>
    <x v="0"/>
    <x v="0"/>
    <x v="0"/>
    <x v="0"/>
    <x v="2"/>
  </r>
  <r>
    <d v="2026-05-23T00:00:00"/>
    <x v="0"/>
    <d v="2026-05-23T00:00:00"/>
    <x v="0"/>
    <x v="0"/>
    <x v="0"/>
    <x v="0"/>
    <x v="0"/>
    <m/>
    <m/>
    <x v="0"/>
    <x v="0"/>
    <x v="0"/>
    <x v="0"/>
    <x v="0"/>
    <x v="2"/>
  </r>
  <r>
    <d v="2026-05-24T00:00:00"/>
    <x v="1"/>
    <d v="2026-05-24T00:00:00"/>
    <x v="0"/>
    <x v="0"/>
    <x v="0"/>
    <x v="0"/>
    <x v="0"/>
    <m/>
    <m/>
    <x v="0"/>
    <x v="0"/>
    <x v="0"/>
    <x v="0"/>
    <x v="0"/>
    <x v="2"/>
  </r>
  <r>
    <d v="2026-05-25T00:00:00"/>
    <x v="2"/>
    <d v="2026-05-25T00:00:00"/>
    <x v="1"/>
    <x v="0"/>
    <x v="0"/>
    <x v="0"/>
    <x v="0"/>
    <m/>
    <m/>
    <x v="0"/>
    <x v="0"/>
    <x v="0"/>
    <x v="0"/>
    <x v="0"/>
    <x v="2"/>
  </r>
  <r>
    <d v="2026-05-26T00:00:00"/>
    <x v="3"/>
    <d v="2026-05-26T00:00:00"/>
    <x v="1"/>
    <x v="0"/>
    <x v="0"/>
    <x v="0"/>
    <x v="0"/>
    <m/>
    <m/>
    <x v="0"/>
    <x v="0"/>
    <x v="0"/>
    <x v="0"/>
    <x v="0"/>
    <x v="2"/>
  </r>
  <r>
    <d v="2026-05-27T00:00:00"/>
    <x v="4"/>
    <d v="2026-05-27T00:00:00"/>
    <x v="1"/>
    <x v="0"/>
    <x v="0"/>
    <x v="0"/>
    <x v="0"/>
    <m/>
    <m/>
    <x v="0"/>
    <x v="0"/>
    <x v="0"/>
    <x v="0"/>
    <x v="0"/>
    <x v="2"/>
  </r>
  <r>
    <d v="2026-05-28T00:00:00"/>
    <x v="5"/>
    <d v="2026-05-28T00:00:00"/>
    <x v="1"/>
    <x v="0"/>
    <x v="0"/>
    <x v="0"/>
    <x v="0"/>
    <m/>
    <m/>
    <x v="0"/>
    <x v="0"/>
    <x v="0"/>
    <x v="0"/>
    <x v="0"/>
    <x v="2"/>
  </r>
  <r>
    <d v="2026-05-29T00:00:00"/>
    <x v="6"/>
    <d v="2026-05-29T00:00:00"/>
    <x v="1"/>
    <x v="0"/>
    <x v="0"/>
    <x v="0"/>
    <x v="0"/>
    <m/>
    <m/>
    <x v="0"/>
    <x v="0"/>
    <x v="0"/>
    <x v="0"/>
    <x v="0"/>
    <x v="2"/>
  </r>
  <r>
    <d v="2026-05-30T00:00:00"/>
    <x v="0"/>
    <d v="2026-05-30T00:00:00"/>
    <x v="0"/>
    <x v="0"/>
    <x v="0"/>
    <x v="0"/>
    <x v="0"/>
    <m/>
    <m/>
    <x v="0"/>
    <x v="0"/>
    <x v="0"/>
    <x v="0"/>
    <x v="0"/>
    <x v="2"/>
  </r>
  <r>
    <d v="2026-05-31T00:00:00"/>
    <x v="1"/>
    <d v="2026-05-31T00:00:00"/>
    <x v="0"/>
    <x v="0"/>
    <x v="0"/>
    <x v="0"/>
    <x v="0"/>
    <m/>
    <m/>
    <x v="0"/>
    <x v="0"/>
    <x v="0"/>
    <x v="0"/>
    <x v="0"/>
    <x v="2"/>
  </r>
  <r>
    <d v="2026-06-01T00:00:00"/>
    <x v="2"/>
    <d v="2026-06-01T00:00:00"/>
    <x v="1"/>
    <x v="0"/>
    <x v="0"/>
    <x v="0"/>
    <x v="0"/>
    <m/>
    <m/>
    <x v="0"/>
    <x v="0"/>
    <x v="0"/>
    <x v="0"/>
    <x v="0"/>
    <x v="2"/>
  </r>
  <r>
    <d v="2026-06-02T00:00:00"/>
    <x v="3"/>
    <d v="2026-06-02T00:00:00"/>
    <x v="1"/>
    <x v="0"/>
    <x v="0"/>
    <x v="0"/>
    <x v="0"/>
    <m/>
    <m/>
    <x v="0"/>
    <x v="0"/>
    <x v="0"/>
    <x v="0"/>
    <x v="0"/>
    <x v="2"/>
  </r>
  <r>
    <d v="2026-06-03T00:00:00"/>
    <x v="4"/>
    <d v="2026-06-03T00:00:00"/>
    <x v="1"/>
    <x v="0"/>
    <x v="0"/>
    <x v="0"/>
    <x v="0"/>
    <m/>
    <m/>
    <x v="0"/>
    <x v="0"/>
    <x v="0"/>
    <x v="0"/>
    <x v="0"/>
    <x v="2"/>
  </r>
  <r>
    <d v="2026-06-04T00:00:00"/>
    <x v="5"/>
    <d v="2026-06-04T00:00:00"/>
    <x v="1"/>
    <x v="0"/>
    <x v="0"/>
    <x v="0"/>
    <x v="0"/>
    <m/>
    <m/>
    <x v="0"/>
    <x v="0"/>
    <x v="0"/>
    <x v="0"/>
    <x v="0"/>
    <x v="2"/>
  </r>
  <r>
    <d v="2026-06-05T00:00:00"/>
    <x v="6"/>
    <d v="2026-06-05T00:00:00"/>
    <x v="1"/>
    <x v="0"/>
    <x v="0"/>
    <x v="0"/>
    <x v="0"/>
    <m/>
    <m/>
    <x v="0"/>
    <x v="0"/>
    <x v="0"/>
    <x v="0"/>
    <x v="0"/>
    <x v="2"/>
  </r>
  <r>
    <d v="2026-06-06T00:00:00"/>
    <x v="0"/>
    <d v="2026-06-06T00:00:00"/>
    <x v="0"/>
    <x v="0"/>
    <x v="0"/>
    <x v="0"/>
    <x v="0"/>
    <m/>
    <m/>
    <x v="0"/>
    <x v="0"/>
    <x v="0"/>
    <x v="0"/>
    <x v="0"/>
    <x v="2"/>
  </r>
  <r>
    <d v="2026-06-07T00:00:00"/>
    <x v="1"/>
    <d v="2026-06-07T00:00:00"/>
    <x v="0"/>
    <x v="0"/>
    <x v="0"/>
    <x v="0"/>
    <x v="0"/>
    <m/>
    <m/>
    <x v="0"/>
    <x v="0"/>
    <x v="0"/>
    <x v="0"/>
    <x v="0"/>
    <x v="2"/>
  </r>
  <r>
    <d v="2026-06-08T00:00:00"/>
    <x v="2"/>
    <d v="2026-06-08T00:00:00"/>
    <x v="1"/>
    <x v="0"/>
    <x v="0"/>
    <x v="0"/>
    <x v="0"/>
    <m/>
    <m/>
    <x v="0"/>
    <x v="0"/>
    <x v="0"/>
    <x v="0"/>
    <x v="0"/>
    <x v="2"/>
  </r>
  <r>
    <d v="2026-06-09T00:00:00"/>
    <x v="3"/>
    <d v="2026-06-09T00:00:00"/>
    <x v="1"/>
    <x v="0"/>
    <x v="0"/>
    <x v="0"/>
    <x v="0"/>
    <m/>
    <m/>
    <x v="0"/>
    <x v="0"/>
    <x v="0"/>
    <x v="0"/>
    <x v="0"/>
    <x v="2"/>
  </r>
  <r>
    <d v="2026-06-10T00:00:00"/>
    <x v="4"/>
    <d v="2026-06-10T00:00:00"/>
    <x v="1"/>
    <x v="0"/>
    <x v="0"/>
    <x v="0"/>
    <x v="0"/>
    <m/>
    <m/>
    <x v="0"/>
    <x v="0"/>
    <x v="0"/>
    <x v="0"/>
    <x v="0"/>
    <x v="2"/>
  </r>
  <r>
    <d v="2026-06-11T00:00:00"/>
    <x v="5"/>
    <d v="2026-06-11T00:00:00"/>
    <x v="1"/>
    <x v="0"/>
    <x v="0"/>
    <x v="0"/>
    <x v="0"/>
    <m/>
    <m/>
    <x v="0"/>
    <x v="0"/>
    <x v="0"/>
    <x v="0"/>
    <x v="0"/>
    <x v="2"/>
  </r>
  <r>
    <d v="2026-06-12T00:00:00"/>
    <x v="6"/>
    <d v="2026-06-12T00:00:00"/>
    <x v="1"/>
    <x v="0"/>
    <x v="0"/>
    <x v="0"/>
    <x v="0"/>
    <m/>
    <m/>
    <x v="0"/>
    <x v="0"/>
    <x v="0"/>
    <x v="0"/>
    <x v="0"/>
    <x v="2"/>
  </r>
  <r>
    <d v="2026-06-13T00:00:00"/>
    <x v="0"/>
    <d v="2026-06-13T00:00:00"/>
    <x v="0"/>
    <x v="0"/>
    <x v="0"/>
    <x v="0"/>
    <x v="0"/>
    <m/>
    <m/>
    <x v="0"/>
    <x v="0"/>
    <x v="0"/>
    <x v="0"/>
    <x v="0"/>
    <x v="2"/>
  </r>
  <r>
    <d v="2026-06-14T00:00:00"/>
    <x v="1"/>
    <d v="2026-06-14T00:00:00"/>
    <x v="0"/>
    <x v="0"/>
    <x v="0"/>
    <x v="0"/>
    <x v="0"/>
    <m/>
    <m/>
    <x v="0"/>
    <x v="0"/>
    <x v="0"/>
    <x v="0"/>
    <x v="0"/>
    <x v="2"/>
  </r>
  <r>
    <d v="2026-06-15T00:00:00"/>
    <x v="2"/>
    <d v="2026-06-15T00:00:00"/>
    <x v="1"/>
    <x v="0"/>
    <x v="0"/>
    <x v="0"/>
    <x v="0"/>
    <m/>
    <m/>
    <x v="0"/>
    <x v="0"/>
    <x v="0"/>
    <x v="0"/>
    <x v="0"/>
    <x v="2"/>
  </r>
  <r>
    <d v="2026-06-16T00:00:00"/>
    <x v="3"/>
    <d v="2026-06-16T00:00:00"/>
    <x v="1"/>
    <x v="0"/>
    <x v="0"/>
    <x v="0"/>
    <x v="0"/>
    <m/>
    <m/>
    <x v="0"/>
    <x v="0"/>
    <x v="0"/>
    <x v="0"/>
    <x v="0"/>
    <x v="2"/>
  </r>
  <r>
    <d v="2026-06-17T00:00:00"/>
    <x v="4"/>
    <d v="2026-06-17T00:00:00"/>
    <x v="1"/>
    <x v="0"/>
    <x v="0"/>
    <x v="0"/>
    <x v="0"/>
    <m/>
    <m/>
    <x v="0"/>
    <x v="0"/>
    <x v="0"/>
    <x v="0"/>
    <x v="0"/>
    <x v="2"/>
  </r>
  <r>
    <d v="2026-06-18T00:00:00"/>
    <x v="5"/>
    <d v="2026-06-18T00:00:00"/>
    <x v="1"/>
    <x v="0"/>
    <x v="0"/>
    <x v="0"/>
    <x v="0"/>
    <m/>
    <m/>
    <x v="0"/>
    <x v="0"/>
    <x v="0"/>
    <x v="0"/>
    <x v="0"/>
    <x v="2"/>
  </r>
  <r>
    <d v="2026-06-19T00:00:00"/>
    <x v="6"/>
    <d v="2026-06-19T00:00:00"/>
    <x v="1"/>
    <x v="0"/>
    <x v="0"/>
    <x v="0"/>
    <x v="0"/>
    <m/>
    <m/>
    <x v="0"/>
    <x v="0"/>
    <x v="0"/>
    <x v="0"/>
    <x v="0"/>
    <x v="2"/>
  </r>
  <r>
    <d v="2026-06-20T00:00:00"/>
    <x v="0"/>
    <d v="2026-06-20T00:00:00"/>
    <x v="0"/>
    <x v="0"/>
    <x v="0"/>
    <x v="0"/>
    <x v="0"/>
    <m/>
    <m/>
    <x v="0"/>
    <x v="0"/>
    <x v="0"/>
    <x v="0"/>
    <x v="0"/>
    <x v="2"/>
  </r>
  <r>
    <d v="2026-06-21T00:00:00"/>
    <x v="1"/>
    <d v="2026-06-21T00:00:00"/>
    <x v="0"/>
    <x v="0"/>
    <x v="0"/>
    <x v="0"/>
    <x v="0"/>
    <m/>
    <m/>
    <x v="0"/>
    <x v="0"/>
    <x v="0"/>
    <x v="0"/>
    <x v="0"/>
    <x v="2"/>
  </r>
  <r>
    <d v="2026-06-22T00:00:00"/>
    <x v="2"/>
    <d v="2026-06-22T00:00:00"/>
    <x v="1"/>
    <x v="0"/>
    <x v="0"/>
    <x v="0"/>
    <x v="0"/>
    <m/>
    <m/>
    <x v="0"/>
    <x v="0"/>
    <x v="0"/>
    <x v="0"/>
    <x v="0"/>
    <x v="2"/>
  </r>
  <r>
    <d v="2026-06-23T00:00:00"/>
    <x v="3"/>
    <d v="2026-06-23T00:00:00"/>
    <x v="1"/>
    <x v="0"/>
    <x v="0"/>
    <x v="0"/>
    <x v="0"/>
    <m/>
    <m/>
    <x v="0"/>
    <x v="0"/>
    <x v="0"/>
    <x v="0"/>
    <x v="0"/>
    <x v="2"/>
  </r>
  <r>
    <d v="2026-06-24T00:00:00"/>
    <x v="4"/>
    <d v="2026-06-24T00:00:00"/>
    <x v="1"/>
    <x v="0"/>
    <x v="0"/>
    <x v="0"/>
    <x v="0"/>
    <m/>
    <m/>
    <x v="0"/>
    <x v="0"/>
    <x v="0"/>
    <x v="0"/>
    <x v="0"/>
    <x v="2"/>
  </r>
  <r>
    <d v="2026-06-25T00:00:00"/>
    <x v="5"/>
    <d v="2026-06-25T00:00:00"/>
    <x v="1"/>
    <x v="0"/>
    <x v="0"/>
    <x v="0"/>
    <x v="0"/>
    <m/>
    <m/>
    <x v="0"/>
    <x v="0"/>
    <x v="0"/>
    <x v="0"/>
    <x v="0"/>
    <x v="2"/>
  </r>
  <r>
    <d v="2026-06-26T00:00:00"/>
    <x v="6"/>
    <d v="2026-06-26T00:00:00"/>
    <x v="1"/>
    <x v="0"/>
    <x v="0"/>
    <x v="0"/>
    <x v="0"/>
    <m/>
    <m/>
    <x v="0"/>
    <x v="0"/>
    <x v="0"/>
    <x v="0"/>
    <x v="0"/>
    <x v="2"/>
  </r>
  <r>
    <d v="2026-06-27T00:00:00"/>
    <x v="0"/>
    <d v="2026-06-27T00:00:00"/>
    <x v="0"/>
    <x v="0"/>
    <x v="0"/>
    <x v="0"/>
    <x v="0"/>
    <m/>
    <m/>
    <x v="0"/>
    <x v="0"/>
    <x v="0"/>
    <x v="0"/>
    <x v="0"/>
    <x v="2"/>
  </r>
  <r>
    <d v="2026-06-28T00:00:00"/>
    <x v="1"/>
    <d v="2026-06-28T00:00:00"/>
    <x v="0"/>
    <x v="0"/>
    <x v="0"/>
    <x v="0"/>
    <x v="0"/>
    <m/>
    <m/>
    <x v="0"/>
    <x v="0"/>
    <x v="0"/>
    <x v="0"/>
    <x v="0"/>
    <x v="2"/>
  </r>
  <r>
    <d v="2026-06-29T00:00:00"/>
    <x v="2"/>
    <d v="2026-06-29T00:00:00"/>
    <x v="1"/>
    <x v="0"/>
    <x v="0"/>
    <x v="0"/>
    <x v="0"/>
    <m/>
    <m/>
    <x v="0"/>
    <x v="0"/>
    <x v="0"/>
    <x v="0"/>
    <x v="0"/>
    <x v="2"/>
  </r>
  <r>
    <d v="2026-06-30T00:00:00"/>
    <x v="3"/>
    <d v="2026-06-30T00:00:00"/>
    <x v="1"/>
    <x v="0"/>
    <x v="0"/>
    <x v="0"/>
    <x v="0"/>
    <m/>
    <m/>
    <x v="0"/>
    <x v="0"/>
    <x v="0"/>
    <x v="0"/>
    <x v="0"/>
    <x v="2"/>
  </r>
  <r>
    <d v="2026-07-01T00:00:00"/>
    <x v="4"/>
    <d v="2026-07-01T00:00:00"/>
    <x v="1"/>
    <x v="0"/>
    <x v="0"/>
    <x v="0"/>
    <x v="0"/>
    <m/>
    <m/>
    <x v="0"/>
    <x v="0"/>
    <x v="0"/>
    <x v="0"/>
    <x v="0"/>
    <x v="2"/>
  </r>
  <r>
    <d v="2026-07-02T00:00:00"/>
    <x v="5"/>
    <d v="2026-07-02T00:00:00"/>
    <x v="1"/>
    <x v="0"/>
    <x v="0"/>
    <x v="0"/>
    <x v="0"/>
    <m/>
    <m/>
    <x v="0"/>
    <x v="0"/>
    <x v="0"/>
    <x v="0"/>
    <x v="0"/>
    <x v="2"/>
  </r>
  <r>
    <d v="2026-07-03T00:00:00"/>
    <x v="6"/>
    <d v="2026-07-03T00:00:00"/>
    <x v="1"/>
    <x v="0"/>
    <x v="0"/>
    <x v="0"/>
    <x v="0"/>
    <m/>
    <m/>
    <x v="0"/>
    <x v="0"/>
    <x v="0"/>
    <x v="0"/>
    <x v="0"/>
    <x v="2"/>
  </r>
  <r>
    <d v="2026-07-04T00:00:00"/>
    <x v="0"/>
    <d v="2026-07-04T00:00:00"/>
    <x v="0"/>
    <x v="0"/>
    <x v="0"/>
    <x v="0"/>
    <x v="0"/>
    <m/>
    <m/>
    <x v="0"/>
    <x v="0"/>
    <x v="0"/>
    <x v="0"/>
    <x v="0"/>
    <x v="2"/>
  </r>
  <r>
    <d v="2026-07-05T00:00:00"/>
    <x v="1"/>
    <d v="2026-07-05T00:00:00"/>
    <x v="0"/>
    <x v="0"/>
    <x v="0"/>
    <x v="0"/>
    <x v="0"/>
    <m/>
    <m/>
    <x v="0"/>
    <x v="0"/>
    <x v="0"/>
    <x v="0"/>
    <x v="0"/>
    <x v="2"/>
  </r>
  <r>
    <d v="2026-07-06T00:00:00"/>
    <x v="2"/>
    <d v="2026-07-06T00:00:00"/>
    <x v="1"/>
    <x v="0"/>
    <x v="0"/>
    <x v="0"/>
    <x v="0"/>
    <m/>
    <m/>
    <x v="0"/>
    <x v="0"/>
    <x v="0"/>
    <x v="0"/>
    <x v="0"/>
    <x v="2"/>
  </r>
  <r>
    <d v="2026-07-07T00:00:00"/>
    <x v="3"/>
    <d v="2026-07-07T00:00:00"/>
    <x v="1"/>
    <x v="0"/>
    <x v="0"/>
    <x v="0"/>
    <x v="0"/>
    <m/>
    <m/>
    <x v="0"/>
    <x v="0"/>
    <x v="0"/>
    <x v="0"/>
    <x v="0"/>
    <x v="2"/>
  </r>
  <r>
    <d v="2026-07-08T00:00:00"/>
    <x v="4"/>
    <d v="2026-07-08T00:00:00"/>
    <x v="1"/>
    <x v="0"/>
    <x v="0"/>
    <x v="0"/>
    <x v="0"/>
    <m/>
    <m/>
    <x v="0"/>
    <x v="0"/>
    <x v="0"/>
    <x v="0"/>
    <x v="0"/>
    <x v="2"/>
  </r>
  <r>
    <d v="2026-07-09T00:00:00"/>
    <x v="5"/>
    <d v="2026-07-09T00:00:00"/>
    <x v="1"/>
    <x v="0"/>
    <x v="0"/>
    <x v="0"/>
    <x v="0"/>
    <m/>
    <m/>
    <x v="0"/>
    <x v="0"/>
    <x v="0"/>
    <x v="0"/>
    <x v="0"/>
    <x v="2"/>
  </r>
  <r>
    <d v="2026-07-10T00:00:00"/>
    <x v="6"/>
    <d v="2026-07-10T00:00:00"/>
    <x v="1"/>
    <x v="0"/>
    <x v="0"/>
    <x v="0"/>
    <x v="0"/>
    <m/>
    <m/>
    <x v="0"/>
    <x v="0"/>
    <x v="0"/>
    <x v="0"/>
    <x v="0"/>
    <x v="2"/>
  </r>
  <r>
    <d v="2026-07-11T00:00:00"/>
    <x v="0"/>
    <d v="2026-07-11T00:00:00"/>
    <x v="0"/>
    <x v="0"/>
    <x v="0"/>
    <x v="0"/>
    <x v="0"/>
    <m/>
    <m/>
    <x v="0"/>
    <x v="0"/>
    <x v="0"/>
    <x v="0"/>
    <x v="0"/>
    <x v="2"/>
  </r>
  <r>
    <d v="2026-07-12T00:00:00"/>
    <x v="1"/>
    <d v="2026-07-12T00:00:00"/>
    <x v="0"/>
    <x v="0"/>
    <x v="0"/>
    <x v="0"/>
    <x v="0"/>
    <m/>
    <m/>
    <x v="0"/>
    <x v="0"/>
    <x v="0"/>
    <x v="0"/>
    <x v="0"/>
    <x v="2"/>
  </r>
  <r>
    <d v="2026-07-13T00:00:00"/>
    <x v="2"/>
    <d v="2026-07-13T00:00:00"/>
    <x v="1"/>
    <x v="0"/>
    <x v="0"/>
    <x v="0"/>
    <x v="0"/>
    <m/>
    <m/>
    <x v="0"/>
    <x v="0"/>
    <x v="0"/>
    <x v="0"/>
    <x v="0"/>
    <x v="2"/>
  </r>
  <r>
    <d v="2026-07-14T00:00:00"/>
    <x v="3"/>
    <d v="2026-07-14T00:00:00"/>
    <x v="1"/>
    <x v="0"/>
    <x v="0"/>
    <x v="0"/>
    <x v="0"/>
    <m/>
    <m/>
    <x v="0"/>
    <x v="0"/>
    <x v="0"/>
    <x v="0"/>
    <x v="0"/>
    <x v="2"/>
  </r>
  <r>
    <d v="2026-07-15T00:00:00"/>
    <x v="4"/>
    <d v="2026-07-15T00:00:00"/>
    <x v="1"/>
    <x v="0"/>
    <x v="0"/>
    <x v="0"/>
    <x v="0"/>
    <m/>
    <m/>
    <x v="0"/>
    <x v="0"/>
    <x v="0"/>
    <x v="0"/>
    <x v="0"/>
    <x v="2"/>
  </r>
  <r>
    <d v="2026-07-16T00:00:00"/>
    <x v="5"/>
    <d v="2026-07-16T00:00:00"/>
    <x v="1"/>
    <x v="0"/>
    <x v="0"/>
    <x v="0"/>
    <x v="0"/>
    <m/>
    <m/>
    <x v="0"/>
    <x v="0"/>
    <x v="0"/>
    <x v="0"/>
    <x v="0"/>
    <x v="2"/>
  </r>
  <r>
    <d v="2026-07-17T00:00:00"/>
    <x v="6"/>
    <d v="2026-07-17T00:00:00"/>
    <x v="1"/>
    <x v="0"/>
    <x v="0"/>
    <x v="0"/>
    <x v="0"/>
    <m/>
    <m/>
    <x v="0"/>
    <x v="0"/>
    <x v="0"/>
    <x v="0"/>
    <x v="0"/>
    <x v="2"/>
  </r>
  <r>
    <d v="2026-07-18T00:00:00"/>
    <x v="0"/>
    <d v="2026-07-18T00:00:00"/>
    <x v="0"/>
    <x v="0"/>
    <x v="0"/>
    <x v="0"/>
    <x v="0"/>
    <m/>
    <m/>
    <x v="0"/>
    <x v="0"/>
    <x v="0"/>
    <x v="0"/>
    <x v="0"/>
    <x v="2"/>
  </r>
  <r>
    <d v="2026-07-19T00:00:00"/>
    <x v="1"/>
    <d v="2026-07-19T00:00:00"/>
    <x v="0"/>
    <x v="0"/>
    <x v="0"/>
    <x v="0"/>
    <x v="0"/>
    <m/>
    <m/>
    <x v="0"/>
    <x v="0"/>
    <x v="0"/>
    <x v="0"/>
    <x v="0"/>
    <x v="2"/>
  </r>
  <r>
    <d v="2026-07-20T00:00:00"/>
    <x v="2"/>
    <d v="2026-07-20T00:00:00"/>
    <x v="1"/>
    <x v="0"/>
    <x v="0"/>
    <x v="0"/>
    <x v="0"/>
    <m/>
    <m/>
    <x v="0"/>
    <x v="0"/>
    <x v="0"/>
    <x v="0"/>
    <x v="0"/>
    <x v="2"/>
  </r>
  <r>
    <d v="2026-07-21T00:00:00"/>
    <x v="3"/>
    <d v="2026-07-21T00:00:00"/>
    <x v="1"/>
    <x v="0"/>
    <x v="0"/>
    <x v="0"/>
    <x v="0"/>
    <m/>
    <m/>
    <x v="0"/>
    <x v="0"/>
    <x v="0"/>
    <x v="0"/>
    <x v="0"/>
    <x v="2"/>
  </r>
  <r>
    <d v="2026-07-22T00:00:00"/>
    <x v="4"/>
    <d v="2026-07-22T00:00:00"/>
    <x v="1"/>
    <x v="0"/>
    <x v="0"/>
    <x v="0"/>
    <x v="0"/>
    <m/>
    <m/>
    <x v="0"/>
    <x v="0"/>
    <x v="0"/>
    <x v="0"/>
    <x v="0"/>
    <x v="2"/>
  </r>
  <r>
    <d v="2026-07-23T00:00:00"/>
    <x v="5"/>
    <d v="2026-07-23T00:00:00"/>
    <x v="1"/>
    <x v="0"/>
    <x v="0"/>
    <x v="0"/>
    <x v="0"/>
    <m/>
    <m/>
    <x v="0"/>
    <x v="0"/>
    <x v="0"/>
    <x v="0"/>
    <x v="0"/>
    <x v="2"/>
  </r>
  <r>
    <d v="2026-07-24T00:00:00"/>
    <x v="6"/>
    <d v="2026-07-24T00:00:00"/>
    <x v="1"/>
    <x v="0"/>
    <x v="0"/>
    <x v="0"/>
    <x v="0"/>
    <m/>
    <m/>
    <x v="0"/>
    <x v="0"/>
    <x v="0"/>
    <x v="0"/>
    <x v="0"/>
    <x v="2"/>
  </r>
  <r>
    <d v="2026-07-25T00:00:00"/>
    <x v="0"/>
    <d v="2026-07-25T00:00:00"/>
    <x v="0"/>
    <x v="0"/>
    <x v="0"/>
    <x v="0"/>
    <x v="0"/>
    <m/>
    <m/>
    <x v="0"/>
    <x v="0"/>
    <x v="0"/>
    <x v="0"/>
    <x v="0"/>
    <x v="2"/>
  </r>
  <r>
    <d v="2026-07-26T00:00:00"/>
    <x v="1"/>
    <d v="2026-07-26T00:00:00"/>
    <x v="0"/>
    <x v="0"/>
    <x v="0"/>
    <x v="0"/>
    <x v="0"/>
    <m/>
    <m/>
    <x v="0"/>
    <x v="0"/>
    <x v="0"/>
    <x v="0"/>
    <x v="0"/>
    <x v="2"/>
  </r>
  <r>
    <d v="2026-07-27T00:00:00"/>
    <x v="2"/>
    <d v="2026-07-27T00:00:00"/>
    <x v="1"/>
    <x v="0"/>
    <x v="0"/>
    <x v="0"/>
    <x v="0"/>
    <m/>
    <m/>
    <x v="0"/>
    <x v="0"/>
    <x v="0"/>
    <x v="0"/>
    <x v="0"/>
    <x v="2"/>
  </r>
  <r>
    <d v="2026-07-28T00:00:00"/>
    <x v="3"/>
    <d v="2026-07-28T00:00:00"/>
    <x v="1"/>
    <x v="0"/>
    <x v="0"/>
    <x v="0"/>
    <x v="0"/>
    <m/>
    <m/>
    <x v="0"/>
    <x v="0"/>
    <x v="0"/>
    <x v="0"/>
    <x v="0"/>
    <x v="2"/>
  </r>
  <r>
    <d v="2026-07-29T00:00:00"/>
    <x v="4"/>
    <d v="2026-07-29T00:00:00"/>
    <x v="1"/>
    <x v="0"/>
    <x v="0"/>
    <x v="0"/>
    <x v="0"/>
    <m/>
    <m/>
    <x v="0"/>
    <x v="0"/>
    <x v="0"/>
    <x v="0"/>
    <x v="0"/>
    <x v="2"/>
  </r>
  <r>
    <d v="2026-07-30T00:00:00"/>
    <x v="5"/>
    <d v="2026-07-30T00:00:00"/>
    <x v="1"/>
    <x v="0"/>
    <x v="0"/>
    <x v="0"/>
    <x v="0"/>
    <m/>
    <m/>
    <x v="0"/>
    <x v="0"/>
    <x v="0"/>
    <x v="0"/>
    <x v="0"/>
    <x v="2"/>
  </r>
  <r>
    <d v="2026-07-31T00:00:00"/>
    <x v="6"/>
    <d v="2026-07-31T00:00:00"/>
    <x v="1"/>
    <x v="0"/>
    <x v="0"/>
    <x v="0"/>
    <x v="0"/>
    <m/>
    <m/>
    <x v="0"/>
    <x v="0"/>
    <x v="0"/>
    <x v="0"/>
    <x v="0"/>
    <x v="2"/>
  </r>
  <r>
    <d v="2026-08-01T00:00:00"/>
    <x v="0"/>
    <d v="2026-08-01T00:00:00"/>
    <x v="0"/>
    <x v="0"/>
    <x v="0"/>
    <x v="0"/>
    <x v="0"/>
    <m/>
    <m/>
    <x v="0"/>
    <x v="0"/>
    <x v="0"/>
    <x v="0"/>
    <x v="0"/>
    <x v="2"/>
  </r>
  <r>
    <d v="2026-08-02T00:00:00"/>
    <x v="1"/>
    <d v="2026-08-02T00:00:00"/>
    <x v="0"/>
    <x v="0"/>
    <x v="0"/>
    <x v="0"/>
    <x v="0"/>
    <m/>
    <m/>
    <x v="0"/>
    <x v="0"/>
    <x v="0"/>
    <x v="0"/>
    <x v="0"/>
    <x v="2"/>
  </r>
  <r>
    <d v="2026-08-03T00:00:00"/>
    <x v="2"/>
    <d v="2026-08-03T00:00:00"/>
    <x v="1"/>
    <x v="0"/>
    <x v="0"/>
    <x v="0"/>
    <x v="0"/>
    <m/>
    <m/>
    <x v="0"/>
    <x v="0"/>
    <x v="0"/>
    <x v="0"/>
    <x v="0"/>
    <x v="2"/>
  </r>
  <r>
    <d v="2026-08-04T00:00:00"/>
    <x v="3"/>
    <d v="2026-08-04T00:00:00"/>
    <x v="1"/>
    <x v="0"/>
    <x v="0"/>
    <x v="0"/>
    <x v="0"/>
    <m/>
    <m/>
    <x v="0"/>
    <x v="0"/>
    <x v="0"/>
    <x v="0"/>
    <x v="0"/>
    <x v="2"/>
  </r>
  <r>
    <d v="2026-08-05T00:00:00"/>
    <x v="4"/>
    <d v="2026-08-05T00:00:00"/>
    <x v="1"/>
    <x v="0"/>
    <x v="0"/>
    <x v="0"/>
    <x v="0"/>
    <m/>
    <m/>
    <x v="0"/>
    <x v="0"/>
    <x v="0"/>
    <x v="0"/>
    <x v="0"/>
    <x v="2"/>
  </r>
  <r>
    <d v="2026-08-06T00:00:00"/>
    <x v="5"/>
    <d v="2026-08-06T00:00:00"/>
    <x v="1"/>
    <x v="0"/>
    <x v="0"/>
    <x v="0"/>
    <x v="0"/>
    <m/>
    <m/>
    <x v="0"/>
    <x v="0"/>
    <x v="0"/>
    <x v="0"/>
    <x v="0"/>
    <x v="2"/>
  </r>
  <r>
    <d v="2026-08-07T00:00:00"/>
    <x v="6"/>
    <d v="2026-08-07T00:00:00"/>
    <x v="1"/>
    <x v="0"/>
    <x v="0"/>
    <x v="0"/>
    <x v="0"/>
    <m/>
    <m/>
    <x v="0"/>
    <x v="0"/>
    <x v="0"/>
    <x v="0"/>
    <x v="0"/>
    <x v="2"/>
  </r>
  <r>
    <d v="2026-08-08T00:00:00"/>
    <x v="0"/>
    <d v="2026-08-08T00:00:00"/>
    <x v="0"/>
    <x v="0"/>
    <x v="0"/>
    <x v="0"/>
    <x v="0"/>
    <m/>
    <m/>
    <x v="0"/>
    <x v="0"/>
    <x v="0"/>
    <x v="0"/>
    <x v="0"/>
    <x v="2"/>
  </r>
  <r>
    <d v="2026-08-09T00:00:00"/>
    <x v="1"/>
    <d v="2026-08-09T00:00:00"/>
    <x v="0"/>
    <x v="0"/>
    <x v="0"/>
    <x v="0"/>
    <x v="0"/>
    <m/>
    <m/>
    <x v="0"/>
    <x v="0"/>
    <x v="0"/>
    <x v="0"/>
    <x v="0"/>
    <x v="2"/>
  </r>
  <r>
    <d v="2026-08-10T00:00:00"/>
    <x v="2"/>
    <d v="2026-08-10T00:00:00"/>
    <x v="1"/>
    <x v="0"/>
    <x v="0"/>
    <x v="0"/>
    <x v="0"/>
    <m/>
    <m/>
    <x v="0"/>
    <x v="0"/>
    <x v="0"/>
    <x v="0"/>
    <x v="0"/>
    <x v="2"/>
  </r>
  <r>
    <d v="2026-08-11T00:00:00"/>
    <x v="3"/>
    <d v="2026-08-11T00:00:00"/>
    <x v="1"/>
    <x v="0"/>
    <x v="0"/>
    <x v="0"/>
    <x v="0"/>
    <m/>
    <m/>
    <x v="0"/>
    <x v="0"/>
    <x v="0"/>
    <x v="0"/>
    <x v="0"/>
    <x v="2"/>
  </r>
  <r>
    <d v="2026-08-12T00:00:00"/>
    <x v="4"/>
    <d v="2026-08-12T00:00:00"/>
    <x v="1"/>
    <x v="0"/>
    <x v="0"/>
    <x v="0"/>
    <x v="0"/>
    <m/>
    <m/>
    <x v="0"/>
    <x v="0"/>
    <x v="0"/>
    <x v="0"/>
    <x v="0"/>
    <x v="2"/>
  </r>
  <r>
    <d v="2026-08-13T00:00:00"/>
    <x v="5"/>
    <d v="2026-08-13T00:00:00"/>
    <x v="1"/>
    <x v="0"/>
    <x v="0"/>
    <x v="0"/>
    <x v="0"/>
    <m/>
    <m/>
    <x v="0"/>
    <x v="0"/>
    <x v="0"/>
    <x v="0"/>
    <x v="0"/>
    <x v="2"/>
  </r>
  <r>
    <d v="2026-08-14T00:00:00"/>
    <x v="6"/>
    <d v="2026-08-14T00:00:00"/>
    <x v="1"/>
    <x v="0"/>
    <x v="0"/>
    <x v="0"/>
    <x v="0"/>
    <m/>
    <m/>
    <x v="0"/>
    <x v="0"/>
    <x v="0"/>
    <x v="0"/>
    <x v="0"/>
    <x v="2"/>
  </r>
  <r>
    <d v="2026-08-15T00:00:00"/>
    <x v="0"/>
    <d v="2026-08-15T00:00:00"/>
    <x v="0"/>
    <x v="0"/>
    <x v="0"/>
    <x v="0"/>
    <x v="0"/>
    <m/>
    <m/>
    <x v="0"/>
    <x v="0"/>
    <x v="0"/>
    <x v="0"/>
    <x v="0"/>
    <x v="2"/>
  </r>
  <r>
    <d v="2026-08-16T00:00:00"/>
    <x v="1"/>
    <d v="2026-08-16T00:00:00"/>
    <x v="0"/>
    <x v="0"/>
    <x v="0"/>
    <x v="0"/>
    <x v="0"/>
    <m/>
    <m/>
    <x v="0"/>
    <x v="0"/>
    <x v="0"/>
    <x v="0"/>
    <x v="0"/>
    <x v="2"/>
  </r>
  <r>
    <d v="2026-08-17T00:00:00"/>
    <x v="2"/>
    <d v="2026-08-17T00:00:00"/>
    <x v="1"/>
    <x v="0"/>
    <x v="0"/>
    <x v="0"/>
    <x v="0"/>
    <m/>
    <m/>
    <x v="0"/>
    <x v="0"/>
    <x v="0"/>
    <x v="0"/>
    <x v="0"/>
    <x v="2"/>
  </r>
  <r>
    <d v="2026-08-18T00:00:00"/>
    <x v="3"/>
    <d v="2026-08-18T00:00:00"/>
    <x v="1"/>
    <x v="0"/>
    <x v="0"/>
    <x v="0"/>
    <x v="0"/>
    <m/>
    <m/>
    <x v="0"/>
    <x v="0"/>
    <x v="0"/>
    <x v="0"/>
    <x v="0"/>
    <x v="2"/>
  </r>
  <r>
    <d v="2026-08-19T00:00:00"/>
    <x v="4"/>
    <d v="2026-08-19T00:00:00"/>
    <x v="1"/>
    <x v="0"/>
    <x v="0"/>
    <x v="0"/>
    <x v="0"/>
    <m/>
    <m/>
    <x v="0"/>
    <x v="0"/>
    <x v="0"/>
    <x v="0"/>
    <x v="0"/>
    <x v="2"/>
  </r>
  <r>
    <d v="2026-08-20T00:00:00"/>
    <x v="5"/>
    <d v="2026-08-20T00:00:00"/>
    <x v="1"/>
    <x v="0"/>
    <x v="0"/>
    <x v="0"/>
    <x v="0"/>
    <m/>
    <m/>
    <x v="0"/>
    <x v="0"/>
    <x v="0"/>
    <x v="0"/>
    <x v="0"/>
    <x v="2"/>
  </r>
  <r>
    <d v="2026-08-21T00:00:00"/>
    <x v="6"/>
    <d v="2026-08-21T00:00:00"/>
    <x v="1"/>
    <x v="0"/>
    <x v="0"/>
    <x v="0"/>
    <x v="0"/>
    <m/>
    <m/>
    <x v="0"/>
    <x v="0"/>
    <x v="0"/>
    <x v="0"/>
    <x v="0"/>
    <x v="2"/>
  </r>
  <r>
    <d v="2026-08-22T00:00:00"/>
    <x v="0"/>
    <d v="2026-08-22T00:00:00"/>
    <x v="0"/>
    <x v="0"/>
    <x v="0"/>
    <x v="0"/>
    <x v="0"/>
    <m/>
    <m/>
    <x v="0"/>
    <x v="0"/>
    <x v="0"/>
    <x v="0"/>
    <x v="0"/>
    <x v="2"/>
  </r>
  <r>
    <d v="2026-08-23T00:00:00"/>
    <x v="1"/>
    <d v="2026-08-23T00:00:00"/>
    <x v="0"/>
    <x v="0"/>
    <x v="0"/>
    <x v="0"/>
    <x v="0"/>
    <m/>
    <m/>
    <x v="0"/>
    <x v="0"/>
    <x v="0"/>
    <x v="0"/>
    <x v="0"/>
    <x v="2"/>
  </r>
  <r>
    <d v="2026-08-24T00:00:00"/>
    <x v="2"/>
    <d v="2026-08-24T00:00:00"/>
    <x v="1"/>
    <x v="0"/>
    <x v="0"/>
    <x v="0"/>
    <x v="0"/>
    <m/>
    <m/>
    <x v="0"/>
    <x v="0"/>
    <x v="0"/>
    <x v="0"/>
    <x v="0"/>
    <x v="2"/>
  </r>
  <r>
    <d v="2026-08-25T00:00:00"/>
    <x v="3"/>
    <d v="2026-08-25T00:00:00"/>
    <x v="1"/>
    <x v="0"/>
    <x v="0"/>
    <x v="0"/>
    <x v="0"/>
    <m/>
    <m/>
    <x v="0"/>
    <x v="0"/>
    <x v="0"/>
    <x v="0"/>
    <x v="0"/>
    <x v="2"/>
  </r>
  <r>
    <d v="2026-08-26T00:00:00"/>
    <x v="4"/>
    <d v="2026-08-26T00:00:00"/>
    <x v="1"/>
    <x v="0"/>
    <x v="0"/>
    <x v="0"/>
    <x v="0"/>
    <m/>
    <m/>
    <x v="0"/>
    <x v="0"/>
    <x v="0"/>
    <x v="0"/>
    <x v="0"/>
    <x v="2"/>
  </r>
  <r>
    <d v="2026-08-27T00:00:00"/>
    <x v="5"/>
    <d v="2026-08-27T00:00:00"/>
    <x v="1"/>
    <x v="0"/>
    <x v="0"/>
    <x v="0"/>
    <x v="0"/>
    <m/>
    <m/>
    <x v="0"/>
    <x v="0"/>
    <x v="0"/>
    <x v="0"/>
    <x v="0"/>
    <x v="2"/>
  </r>
  <r>
    <d v="2026-08-28T00:00:00"/>
    <x v="6"/>
    <d v="2026-08-28T00:00:00"/>
    <x v="1"/>
    <x v="0"/>
    <x v="0"/>
    <x v="0"/>
    <x v="0"/>
    <m/>
    <m/>
    <x v="0"/>
    <x v="0"/>
    <x v="0"/>
    <x v="0"/>
    <x v="0"/>
    <x v="2"/>
  </r>
  <r>
    <d v="2026-08-29T00:00:00"/>
    <x v="0"/>
    <d v="2026-08-29T00:00:00"/>
    <x v="0"/>
    <x v="0"/>
    <x v="0"/>
    <x v="0"/>
    <x v="0"/>
    <m/>
    <m/>
    <x v="0"/>
    <x v="0"/>
    <x v="0"/>
    <x v="0"/>
    <x v="0"/>
    <x v="2"/>
  </r>
  <r>
    <d v="2026-08-30T00:00:00"/>
    <x v="1"/>
    <d v="2026-08-30T00:00:00"/>
    <x v="0"/>
    <x v="0"/>
    <x v="0"/>
    <x v="0"/>
    <x v="0"/>
    <m/>
    <m/>
    <x v="0"/>
    <x v="0"/>
    <x v="0"/>
    <x v="0"/>
    <x v="0"/>
    <x v="2"/>
  </r>
  <r>
    <d v="2026-08-31T00:00:00"/>
    <x v="2"/>
    <d v="2026-08-31T00:00:00"/>
    <x v="1"/>
    <x v="0"/>
    <x v="0"/>
    <x v="0"/>
    <x v="0"/>
    <m/>
    <m/>
    <x v="0"/>
    <x v="0"/>
    <x v="0"/>
    <x v="0"/>
    <x v="0"/>
    <x v="2"/>
  </r>
  <r>
    <d v="2026-09-01T00:00:00"/>
    <x v="3"/>
    <d v="2026-09-01T00:00:00"/>
    <x v="1"/>
    <x v="0"/>
    <x v="0"/>
    <x v="0"/>
    <x v="0"/>
    <m/>
    <m/>
    <x v="0"/>
    <x v="0"/>
    <x v="0"/>
    <x v="0"/>
    <x v="0"/>
    <x v="2"/>
  </r>
  <r>
    <d v="2026-09-02T00:00:00"/>
    <x v="4"/>
    <d v="2026-09-02T00:00:00"/>
    <x v="1"/>
    <x v="0"/>
    <x v="0"/>
    <x v="0"/>
    <x v="0"/>
    <m/>
    <m/>
    <x v="0"/>
    <x v="0"/>
    <x v="0"/>
    <x v="0"/>
    <x v="0"/>
    <x v="2"/>
  </r>
  <r>
    <d v="2026-09-03T00:00:00"/>
    <x v="5"/>
    <d v="2026-09-03T00:00:00"/>
    <x v="1"/>
    <x v="0"/>
    <x v="0"/>
    <x v="0"/>
    <x v="0"/>
    <m/>
    <m/>
    <x v="0"/>
    <x v="0"/>
    <x v="0"/>
    <x v="0"/>
    <x v="0"/>
    <x v="2"/>
  </r>
  <r>
    <d v="2026-09-04T00:00:00"/>
    <x v="6"/>
    <d v="2026-09-04T00:00:00"/>
    <x v="1"/>
    <x v="0"/>
    <x v="0"/>
    <x v="0"/>
    <x v="0"/>
    <m/>
    <m/>
    <x v="0"/>
    <x v="0"/>
    <x v="0"/>
    <x v="0"/>
    <x v="0"/>
    <x v="2"/>
  </r>
  <r>
    <d v="2026-09-05T00:00:00"/>
    <x v="0"/>
    <d v="2026-09-05T00:00:00"/>
    <x v="0"/>
    <x v="0"/>
    <x v="0"/>
    <x v="0"/>
    <x v="0"/>
    <m/>
    <m/>
    <x v="0"/>
    <x v="0"/>
    <x v="0"/>
    <x v="0"/>
    <x v="0"/>
    <x v="2"/>
  </r>
  <r>
    <d v="2026-09-06T00:00:00"/>
    <x v="1"/>
    <d v="2026-09-06T00:00:00"/>
    <x v="0"/>
    <x v="0"/>
    <x v="0"/>
    <x v="0"/>
    <x v="0"/>
    <m/>
    <m/>
    <x v="0"/>
    <x v="0"/>
    <x v="0"/>
    <x v="0"/>
    <x v="0"/>
    <x v="2"/>
  </r>
  <r>
    <d v="2026-09-07T00:00:00"/>
    <x v="2"/>
    <d v="2026-09-07T00:00:00"/>
    <x v="1"/>
    <x v="0"/>
    <x v="0"/>
    <x v="0"/>
    <x v="0"/>
    <m/>
    <m/>
    <x v="0"/>
    <x v="0"/>
    <x v="0"/>
    <x v="0"/>
    <x v="0"/>
    <x v="2"/>
  </r>
  <r>
    <d v="2026-09-08T00:00:00"/>
    <x v="3"/>
    <d v="2026-09-08T00:00:00"/>
    <x v="1"/>
    <x v="0"/>
    <x v="0"/>
    <x v="0"/>
    <x v="0"/>
    <m/>
    <m/>
    <x v="0"/>
    <x v="0"/>
    <x v="0"/>
    <x v="0"/>
    <x v="0"/>
    <x v="2"/>
  </r>
  <r>
    <d v="2026-09-09T00:00:00"/>
    <x v="4"/>
    <d v="2026-09-09T00:00:00"/>
    <x v="1"/>
    <x v="0"/>
    <x v="0"/>
    <x v="0"/>
    <x v="0"/>
    <m/>
    <m/>
    <x v="0"/>
    <x v="0"/>
    <x v="0"/>
    <x v="0"/>
    <x v="0"/>
    <x v="2"/>
  </r>
  <r>
    <d v="2026-09-10T00:00:00"/>
    <x v="5"/>
    <d v="2026-09-10T00:00:00"/>
    <x v="1"/>
    <x v="0"/>
    <x v="0"/>
    <x v="0"/>
    <x v="0"/>
    <m/>
    <m/>
    <x v="0"/>
    <x v="0"/>
    <x v="0"/>
    <x v="0"/>
    <x v="0"/>
    <x v="2"/>
  </r>
  <r>
    <d v="2026-09-11T00:00:00"/>
    <x v="6"/>
    <d v="2026-09-11T00:00:00"/>
    <x v="1"/>
    <x v="0"/>
    <x v="0"/>
    <x v="0"/>
    <x v="0"/>
    <m/>
    <m/>
    <x v="0"/>
    <x v="0"/>
    <x v="0"/>
    <x v="0"/>
    <x v="0"/>
    <x v="2"/>
  </r>
  <r>
    <d v="2026-09-12T00:00:00"/>
    <x v="0"/>
    <d v="2026-09-12T00:00:00"/>
    <x v="0"/>
    <x v="0"/>
    <x v="0"/>
    <x v="0"/>
    <x v="0"/>
    <m/>
    <m/>
    <x v="0"/>
    <x v="0"/>
    <x v="0"/>
    <x v="0"/>
    <x v="0"/>
    <x v="2"/>
  </r>
  <r>
    <d v="2026-09-13T00:00:00"/>
    <x v="1"/>
    <d v="2026-09-13T00:00:00"/>
    <x v="0"/>
    <x v="0"/>
    <x v="0"/>
    <x v="0"/>
    <x v="0"/>
    <m/>
    <m/>
    <x v="0"/>
    <x v="0"/>
    <x v="0"/>
    <x v="0"/>
    <x v="0"/>
    <x v="2"/>
  </r>
  <r>
    <d v="2026-09-14T00:00:00"/>
    <x v="2"/>
    <d v="2026-09-14T00:00:00"/>
    <x v="1"/>
    <x v="0"/>
    <x v="0"/>
    <x v="0"/>
    <x v="0"/>
    <m/>
    <m/>
    <x v="0"/>
    <x v="0"/>
    <x v="0"/>
    <x v="0"/>
    <x v="0"/>
    <x v="2"/>
  </r>
  <r>
    <d v="2026-09-15T00:00:00"/>
    <x v="3"/>
    <d v="2026-09-15T00:00:00"/>
    <x v="1"/>
    <x v="0"/>
    <x v="0"/>
    <x v="0"/>
    <x v="0"/>
    <m/>
    <m/>
    <x v="0"/>
    <x v="0"/>
    <x v="0"/>
    <x v="0"/>
    <x v="0"/>
    <x v="2"/>
  </r>
  <r>
    <d v="2026-09-16T00:00:00"/>
    <x v="4"/>
    <d v="2026-09-16T00:00:00"/>
    <x v="1"/>
    <x v="0"/>
    <x v="0"/>
    <x v="0"/>
    <x v="0"/>
    <m/>
    <m/>
    <x v="0"/>
    <x v="0"/>
    <x v="0"/>
    <x v="0"/>
    <x v="0"/>
    <x v="2"/>
  </r>
  <r>
    <d v="2026-09-17T00:00:00"/>
    <x v="5"/>
    <d v="2026-09-17T00:00:00"/>
    <x v="1"/>
    <x v="0"/>
    <x v="0"/>
    <x v="0"/>
    <x v="0"/>
    <m/>
    <m/>
    <x v="0"/>
    <x v="0"/>
    <x v="0"/>
    <x v="0"/>
    <x v="0"/>
    <x v="2"/>
  </r>
  <r>
    <d v="2026-09-18T00:00:00"/>
    <x v="6"/>
    <d v="2026-09-18T00:00:00"/>
    <x v="1"/>
    <x v="0"/>
    <x v="0"/>
    <x v="0"/>
    <x v="0"/>
    <m/>
    <m/>
    <x v="0"/>
    <x v="0"/>
    <x v="0"/>
    <x v="0"/>
    <x v="0"/>
    <x v="2"/>
  </r>
  <r>
    <d v="2026-09-19T00:00:00"/>
    <x v="0"/>
    <d v="2026-09-19T00:00:00"/>
    <x v="0"/>
    <x v="0"/>
    <x v="0"/>
    <x v="0"/>
    <x v="0"/>
    <m/>
    <m/>
    <x v="0"/>
    <x v="0"/>
    <x v="0"/>
    <x v="0"/>
    <x v="0"/>
    <x v="2"/>
  </r>
  <r>
    <d v="2026-09-20T00:00:00"/>
    <x v="1"/>
    <d v="2026-09-20T00:00:00"/>
    <x v="0"/>
    <x v="0"/>
    <x v="0"/>
    <x v="0"/>
    <x v="0"/>
    <m/>
    <m/>
    <x v="0"/>
    <x v="0"/>
    <x v="0"/>
    <x v="0"/>
    <x v="0"/>
    <x v="2"/>
  </r>
  <r>
    <d v="2026-09-21T00:00:00"/>
    <x v="2"/>
    <d v="2026-09-21T00:00:00"/>
    <x v="1"/>
    <x v="0"/>
    <x v="0"/>
    <x v="0"/>
    <x v="0"/>
    <m/>
    <m/>
    <x v="0"/>
    <x v="0"/>
    <x v="0"/>
    <x v="0"/>
    <x v="0"/>
    <x v="2"/>
  </r>
  <r>
    <d v="2026-09-22T00:00:00"/>
    <x v="3"/>
    <d v="2026-09-22T00:00:00"/>
    <x v="1"/>
    <x v="0"/>
    <x v="0"/>
    <x v="0"/>
    <x v="0"/>
    <m/>
    <m/>
    <x v="0"/>
    <x v="0"/>
    <x v="0"/>
    <x v="0"/>
    <x v="0"/>
    <x v="2"/>
  </r>
  <r>
    <d v="2026-09-23T00:00:00"/>
    <x v="4"/>
    <d v="2026-09-23T00:00:00"/>
    <x v="1"/>
    <x v="0"/>
    <x v="0"/>
    <x v="0"/>
    <x v="0"/>
    <m/>
    <m/>
    <x v="0"/>
    <x v="0"/>
    <x v="0"/>
    <x v="0"/>
    <x v="0"/>
    <x v="2"/>
  </r>
  <r>
    <d v="2026-09-24T00:00:00"/>
    <x v="5"/>
    <d v="2026-09-24T00:00:00"/>
    <x v="1"/>
    <x v="0"/>
    <x v="0"/>
    <x v="0"/>
    <x v="0"/>
    <m/>
    <m/>
    <x v="0"/>
    <x v="0"/>
    <x v="0"/>
    <x v="0"/>
    <x v="0"/>
    <x v="2"/>
  </r>
  <r>
    <d v="2026-09-25T00:00:00"/>
    <x v="6"/>
    <d v="2026-09-25T00:00:00"/>
    <x v="1"/>
    <x v="0"/>
    <x v="0"/>
    <x v="0"/>
    <x v="0"/>
    <m/>
    <m/>
    <x v="0"/>
    <x v="0"/>
    <x v="0"/>
    <x v="0"/>
    <x v="0"/>
    <x v="2"/>
  </r>
  <r>
    <d v="2026-09-26T00:00:00"/>
    <x v="0"/>
    <d v="2026-09-26T00:00:00"/>
    <x v="0"/>
    <x v="0"/>
    <x v="0"/>
    <x v="0"/>
    <x v="0"/>
    <m/>
    <m/>
    <x v="0"/>
    <x v="0"/>
    <x v="0"/>
    <x v="0"/>
    <x v="0"/>
    <x v="2"/>
  </r>
  <r>
    <d v="2026-09-27T00:00:00"/>
    <x v="1"/>
    <d v="2026-09-27T00:00:00"/>
    <x v="0"/>
    <x v="0"/>
    <x v="0"/>
    <x v="0"/>
    <x v="0"/>
    <m/>
    <m/>
    <x v="0"/>
    <x v="0"/>
    <x v="0"/>
    <x v="0"/>
    <x v="0"/>
    <x v="2"/>
  </r>
  <r>
    <d v="2026-09-28T00:00:00"/>
    <x v="2"/>
    <d v="2026-09-28T00:00:00"/>
    <x v="1"/>
    <x v="0"/>
    <x v="0"/>
    <x v="0"/>
    <x v="0"/>
    <m/>
    <m/>
    <x v="0"/>
    <x v="0"/>
    <x v="0"/>
    <x v="0"/>
    <x v="0"/>
    <x v="2"/>
  </r>
  <r>
    <d v="2026-09-29T00:00:00"/>
    <x v="3"/>
    <d v="2026-09-29T00:00:00"/>
    <x v="1"/>
    <x v="0"/>
    <x v="0"/>
    <x v="0"/>
    <x v="0"/>
    <m/>
    <m/>
    <x v="0"/>
    <x v="0"/>
    <x v="0"/>
    <x v="0"/>
    <x v="0"/>
    <x v="2"/>
  </r>
  <r>
    <d v="2026-09-30T00:00:00"/>
    <x v="4"/>
    <d v="2026-09-30T00:00:00"/>
    <x v="1"/>
    <x v="0"/>
    <x v="0"/>
    <x v="0"/>
    <x v="0"/>
    <m/>
    <m/>
    <x v="0"/>
    <x v="0"/>
    <x v="0"/>
    <x v="0"/>
    <x v="0"/>
    <x v="2"/>
  </r>
  <r>
    <d v="2026-10-01T00:00:00"/>
    <x v="5"/>
    <d v="2026-10-01T00:00:00"/>
    <x v="1"/>
    <x v="0"/>
    <x v="0"/>
    <x v="0"/>
    <x v="0"/>
    <m/>
    <m/>
    <x v="0"/>
    <x v="0"/>
    <x v="0"/>
    <x v="0"/>
    <x v="0"/>
    <x v="2"/>
  </r>
  <r>
    <d v="2026-10-02T00:00:00"/>
    <x v="6"/>
    <d v="2026-10-02T00:00:00"/>
    <x v="1"/>
    <x v="0"/>
    <x v="0"/>
    <x v="0"/>
    <x v="0"/>
    <m/>
    <m/>
    <x v="0"/>
    <x v="0"/>
    <x v="0"/>
    <x v="0"/>
    <x v="0"/>
    <x v="2"/>
  </r>
  <r>
    <d v="2026-10-03T00:00:00"/>
    <x v="0"/>
    <d v="2026-10-03T00:00:00"/>
    <x v="0"/>
    <x v="0"/>
    <x v="0"/>
    <x v="0"/>
    <x v="0"/>
    <m/>
    <m/>
    <x v="0"/>
    <x v="0"/>
    <x v="0"/>
    <x v="0"/>
    <x v="0"/>
    <x v="2"/>
  </r>
  <r>
    <d v="2026-10-04T00:00:00"/>
    <x v="1"/>
    <d v="2026-10-04T00:00:00"/>
    <x v="0"/>
    <x v="0"/>
    <x v="0"/>
    <x v="0"/>
    <x v="0"/>
    <m/>
    <m/>
    <x v="0"/>
    <x v="0"/>
    <x v="0"/>
    <x v="0"/>
    <x v="0"/>
    <x v="2"/>
  </r>
  <r>
    <d v="2026-10-05T00:00:00"/>
    <x v="2"/>
    <d v="2026-10-05T00:00:00"/>
    <x v="1"/>
    <x v="0"/>
    <x v="0"/>
    <x v="0"/>
    <x v="0"/>
    <m/>
    <m/>
    <x v="0"/>
    <x v="0"/>
    <x v="0"/>
    <x v="0"/>
    <x v="0"/>
    <x v="2"/>
  </r>
  <r>
    <d v="2026-10-06T00:00:00"/>
    <x v="3"/>
    <d v="2026-10-06T00:00:00"/>
    <x v="1"/>
    <x v="0"/>
    <x v="0"/>
    <x v="0"/>
    <x v="0"/>
    <m/>
    <m/>
    <x v="0"/>
    <x v="0"/>
    <x v="0"/>
    <x v="0"/>
    <x v="0"/>
    <x v="2"/>
  </r>
  <r>
    <d v="2026-10-07T00:00:00"/>
    <x v="4"/>
    <d v="2026-10-07T00:00:00"/>
    <x v="1"/>
    <x v="0"/>
    <x v="0"/>
    <x v="0"/>
    <x v="0"/>
    <m/>
    <m/>
    <x v="0"/>
    <x v="0"/>
    <x v="0"/>
    <x v="0"/>
    <x v="0"/>
    <x v="2"/>
  </r>
  <r>
    <d v="2026-10-08T00:00:00"/>
    <x v="5"/>
    <d v="2026-10-08T00:00:00"/>
    <x v="1"/>
    <x v="0"/>
    <x v="0"/>
    <x v="0"/>
    <x v="0"/>
    <m/>
    <m/>
    <x v="0"/>
    <x v="0"/>
    <x v="0"/>
    <x v="0"/>
    <x v="0"/>
    <x v="2"/>
  </r>
  <r>
    <d v="2026-10-09T00:00:00"/>
    <x v="6"/>
    <d v="2026-10-09T00:00:00"/>
    <x v="1"/>
    <x v="0"/>
    <x v="0"/>
    <x v="0"/>
    <x v="0"/>
    <m/>
    <m/>
    <x v="0"/>
    <x v="0"/>
    <x v="0"/>
    <x v="0"/>
    <x v="0"/>
    <x v="2"/>
  </r>
  <r>
    <d v="2026-10-10T00:00:00"/>
    <x v="0"/>
    <d v="2026-10-10T00:00:00"/>
    <x v="0"/>
    <x v="0"/>
    <x v="0"/>
    <x v="0"/>
    <x v="0"/>
    <m/>
    <m/>
    <x v="0"/>
    <x v="0"/>
    <x v="0"/>
    <x v="0"/>
    <x v="0"/>
    <x v="2"/>
  </r>
  <r>
    <d v="2026-10-11T00:00:00"/>
    <x v="1"/>
    <d v="2026-10-11T00:00:00"/>
    <x v="0"/>
    <x v="0"/>
    <x v="0"/>
    <x v="0"/>
    <x v="0"/>
    <m/>
    <m/>
    <x v="0"/>
    <x v="0"/>
    <x v="0"/>
    <x v="0"/>
    <x v="0"/>
    <x v="2"/>
  </r>
  <r>
    <d v="2026-10-12T00:00:00"/>
    <x v="2"/>
    <d v="2026-10-12T00:00:00"/>
    <x v="1"/>
    <x v="0"/>
    <x v="0"/>
    <x v="0"/>
    <x v="0"/>
    <m/>
    <m/>
    <x v="0"/>
    <x v="0"/>
    <x v="0"/>
    <x v="0"/>
    <x v="0"/>
    <x v="2"/>
  </r>
  <r>
    <d v="2026-10-13T00:00:00"/>
    <x v="3"/>
    <d v="2026-10-13T00:00:00"/>
    <x v="1"/>
    <x v="0"/>
    <x v="0"/>
    <x v="0"/>
    <x v="0"/>
    <m/>
    <m/>
    <x v="0"/>
    <x v="0"/>
    <x v="0"/>
    <x v="0"/>
    <x v="0"/>
    <x v="2"/>
  </r>
  <r>
    <d v="2026-10-14T00:00:00"/>
    <x v="4"/>
    <d v="2026-10-14T00:00:00"/>
    <x v="1"/>
    <x v="0"/>
    <x v="0"/>
    <x v="0"/>
    <x v="0"/>
    <m/>
    <m/>
    <x v="0"/>
    <x v="0"/>
    <x v="0"/>
    <x v="0"/>
    <x v="0"/>
    <x v="2"/>
  </r>
  <r>
    <d v="2026-10-15T00:00:00"/>
    <x v="5"/>
    <d v="2026-10-15T00:00:00"/>
    <x v="1"/>
    <x v="0"/>
    <x v="0"/>
    <x v="0"/>
    <x v="0"/>
    <m/>
    <m/>
    <x v="0"/>
    <x v="0"/>
    <x v="0"/>
    <x v="0"/>
    <x v="0"/>
    <x v="2"/>
  </r>
  <r>
    <d v="2026-10-16T00:00:00"/>
    <x v="6"/>
    <d v="2026-10-16T00:00:00"/>
    <x v="1"/>
    <x v="0"/>
    <x v="0"/>
    <x v="0"/>
    <x v="0"/>
    <m/>
    <m/>
    <x v="0"/>
    <x v="0"/>
    <x v="0"/>
    <x v="0"/>
    <x v="0"/>
    <x v="2"/>
  </r>
  <r>
    <d v="2026-10-17T00:00:00"/>
    <x v="0"/>
    <d v="2026-10-17T00:00:00"/>
    <x v="0"/>
    <x v="0"/>
    <x v="0"/>
    <x v="0"/>
    <x v="0"/>
    <m/>
    <m/>
    <x v="0"/>
    <x v="0"/>
    <x v="0"/>
    <x v="0"/>
    <x v="0"/>
    <x v="2"/>
  </r>
  <r>
    <d v="2026-10-18T00:00:00"/>
    <x v="1"/>
    <d v="2026-10-18T00:00:00"/>
    <x v="0"/>
    <x v="0"/>
    <x v="0"/>
    <x v="0"/>
    <x v="0"/>
    <m/>
    <m/>
    <x v="0"/>
    <x v="0"/>
    <x v="0"/>
    <x v="0"/>
    <x v="0"/>
    <x v="2"/>
  </r>
  <r>
    <d v="2026-10-19T00:00:00"/>
    <x v="2"/>
    <d v="2026-10-19T00:00:00"/>
    <x v="1"/>
    <x v="0"/>
    <x v="0"/>
    <x v="0"/>
    <x v="0"/>
    <m/>
    <m/>
    <x v="0"/>
    <x v="0"/>
    <x v="0"/>
    <x v="0"/>
    <x v="0"/>
    <x v="2"/>
  </r>
  <r>
    <d v="2026-10-20T00:00:00"/>
    <x v="3"/>
    <d v="2026-10-20T00:00:00"/>
    <x v="1"/>
    <x v="0"/>
    <x v="0"/>
    <x v="0"/>
    <x v="0"/>
    <m/>
    <m/>
    <x v="0"/>
    <x v="0"/>
    <x v="0"/>
    <x v="0"/>
    <x v="0"/>
    <x v="2"/>
  </r>
  <r>
    <d v="2026-10-21T00:00:00"/>
    <x v="4"/>
    <d v="2026-10-21T00:00:00"/>
    <x v="1"/>
    <x v="0"/>
    <x v="0"/>
    <x v="0"/>
    <x v="0"/>
    <m/>
    <m/>
    <x v="0"/>
    <x v="0"/>
    <x v="0"/>
    <x v="0"/>
    <x v="0"/>
    <x v="2"/>
  </r>
  <r>
    <d v="2026-10-22T00:00:00"/>
    <x v="5"/>
    <d v="2026-10-22T00:00:00"/>
    <x v="1"/>
    <x v="0"/>
    <x v="0"/>
    <x v="0"/>
    <x v="0"/>
    <m/>
    <m/>
    <x v="0"/>
    <x v="0"/>
    <x v="0"/>
    <x v="0"/>
    <x v="0"/>
    <x v="2"/>
  </r>
  <r>
    <d v="2026-10-23T00:00:00"/>
    <x v="6"/>
    <d v="2026-10-23T00:00:00"/>
    <x v="1"/>
    <x v="0"/>
    <x v="0"/>
    <x v="0"/>
    <x v="0"/>
    <m/>
    <m/>
    <x v="0"/>
    <x v="0"/>
    <x v="0"/>
    <x v="0"/>
    <x v="0"/>
    <x v="2"/>
  </r>
  <r>
    <d v="2026-10-24T00:00:00"/>
    <x v="0"/>
    <d v="2026-10-24T00:00:00"/>
    <x v="0"/>
    <x v="0"/>
    <x v="0"/>
    <x v="0"/>
    <x v="0"/>
    <m/>
    <m/>
    <x v="0"/>
    <x v="0"/>
    <x v="0"/>
    <x v="0"/>
    <x v="0"/>
    <x v="2"/>
  </r>
  <r>
    <d v="2026-10-25T00:00:00"/>
    <x v="1"/>
    <d v="2026-10-25T00:00:00"/>
    <x v="0"/>
    <x v="0"/>
    <x v="0"/>
    <x v="0"/>
    <x v="0"/>
    <m/>
    <m/>
    <x v="0"/>
    <x v="0"/>
    <x v="0"/>
    <x v="0"/>
    <x v="0"/>
    <x v="2"/>
  </r>
  <r>
    <d v="2026-10-26T00:00:00"/>
    <x v="2"/>
    <d v="2026-10-26T00:00:00"/>
    <x v="1"/>
    <x v="0"/>
    <x v="0"/>
    <x v="0"/>
    <x v="0"/>
    <m/>
    <m/>
    <x v="0"/>
    <x v="0"/>
    <x v="0"/>
    <x v="0"/>
    <x v="0"/>
    <x v="2"/>
  </r>
  <r>
    <d v="2026-10-27T00:00:00"/>
    <x v="3"/>
    <d v="2026-10-27T00:00:00"/>
    <x v="1"/>
    <x v="0"/>
    <x v="0"/>
    <x v="0"/>
    <x v="0"/>
    <m/>
    <m/>
    <x v="0"/>
    <x v="0"/>
    <x v="0"/>
    <x v="0"/>
    <x v="0"/>
    <x v="2"/>
  </r>
  <r>
    <d v="2026-10-28T00:00:00"/>
    <x v="4"/>
    <d v="2026-10-28T00:00:00"/>
    <x v="1"/>
    <x v="0"/>
    <x v="0"/>
    <x v="0"/>
    <x v="0"/>
    <m/>
    <m/>
    <x v="0"/>
    <x v="0"/>
    <x v="0"/>
    <x v="0"/>
    <x v="0"/>
    <x v="2"/>
  </r>
  <r>
    <d v="2026-10-29T00:00:00"/>
    <x v="5"/>
    <d v="2026-10-29T00:00:00"/>
    <x v="1"/>
    <x v="0"/>
    <x v="0"/>
    <x v="0"/>
    <x v="0"/>
    <m/>
    <m/>
    <x v="0"/>
    <x v="0"/>
    <x v="0"/>
    <x v="0"/>
    <x v="0"/>
    <x v="2"/>
  </r>
  <r>
    <d v="2026-10-30T00:00:00"/>
    <x v="6"/>
    <d v="2026-10-30T00:00:00"/>
    <x v="1"/>
    <x v="0"/>
    <x v="0"/>
    <x v="0"/>
    <x v="0"/>
    <m/>
    <m/>
    <x v="0"/>
    <x v="0"/>
    <x v="0"/>
    <x v="0"/>
    <x v="0"/>
    <x v="2"/>
  </r>
  <r>
    <d v="2026-10-31T00:00:00"/>
    <x v="0"/>
    <d v="2026-10-31T00:00:00"/>
    <x v="0"/>
    <x v="0"/>
    <x v="0"/>
    <x v="0"/>
    <x v="0"/>
    <m/>
    <m/>
    <x v="0"/>
    <x v="0"/>
    <x v="0"/>
    <x v="0"/>
    <x v="0"/>
    <x v="2"/>
  </r>
  <r>
    <d v="2026-11-01T00:00:00"/>
    <x v="1"/>
    <d v="2026-11-01T00:00:00"/>
    <x v="0"/>
    <x v="0"/>
    <x v="0"/>
    <x v="0"/>
    <x v="0"/>
    <m/>
    <m/>
    <x v="0"/>
    <x v="0"/>
    <x v="0"/>
    <x v="0"/>
    <x v="0"/>
    <x v="2"/>
  </r>
  <r>
    <d v="2026-11-02T00:00:00"/>
    <x v="2"/>
    <d v="2026-11-02T00:00:00"/>
    <x v="1"/>
    <x v="0"/>
    <x v="0"/>
    <x v="0"/>
    <x v="0"/>
    <m/>
    <m/>
    <x v="0"/>
    <x v="0"/>
    <x v="0"/>
    <x v="0"/>
    <x v="0"/>
    <x v="2"/>
  </r>
  <r>
    <d v="2026-11-03T00:00:00"/>
    <x v="3"/>
    <d v="2026-11-03T00:00:00"/>
    <x v="1"/>
    <x v="0"/>
    <x v="0"/>
    <x v="0"/>
    <x v="0"/>
    <m/>
    <m/>
    <x v="0"/>
    <x v="0"/>
    <x v="0"/>
    <x v="0"/>
    <x v="0"/>
    <x v="2"/>
  </r>
  <r>
    <d v="2026-11-04T00:00:00"/>
    <x v="4"/>
    <d v="2026-11-04T00:00:00"/>
    <x v="1"/>
    <x v="0"/>
    <x v="0"/>
    <x v="0"/>
    <x v="0"/>
    <m/>
    <m/>
    <x v="0"/>
    <x v="0"/>
    <x v="0"/>
    <x v="0"/>
    <x v="0"/>
    <x v="2"/>
  </r>
  <r>
    <d v="2026-11-05T00:00:00"/>
    <x v="5"/>
    <d v="2026-11-05T00:00:00"/>
    <x v="1"/>
    <x v="0"/>
    <x v="0"/>
    <x v="0"/>
    <x v="0"/>
    <m/>
    <m/>
    <x v="0"/>
    <x v="0"/>
    <x v="0"/>
    <x v="0"/>
    <x v="0"/>
    <x v="2"/>
  </r>
  <r>
    <d v="2026-11-06T00:00:00"/>
    <x v="6"/>
    <d v="2026-11-06T00:00:00"/>
    <x v="1"/>
    <x v="0"/>
    <x v="0"/>
    <x v="0"/>
    <x v="0"/>
    <m/>
    <m/>
    <x v="0"/>
    <x v="0"/>
    <x v="0"/>
    <x v="0"/>
    <x v="0"/>
    <x v="2"/>
  </r>
  <r>
    <d v="2026-11-07T00:00:00"/>
    <x v="0"/>
    <d v="2026-11-07T00:00:00"/>
    <x v="0"/>
    <x v="0"/>
    <x v="0"/>
    <x v="0"/>
    <x v="0"/>
    <m/>
    <m/>
    <x v="0"/>
    <x v="0"/>
    <x v="0"/>
    <x v="0"/>
    <x v="0"/>
    <x v="2"/>
  </r>
  <r>
    <d v="2026-11-08T00:00:00"/>
    <x v="1"/>
    <d v="2026-11-08T00:00:00"/>
    <x v="0"/>
    <x v="0"/>
    <x v="0"/>
    <x v="0"/>
    <x v="0"/>
    <m/>
    <m/>
    <x v="0"/>
    <x v="0"/>
    <x v="0"/>
    <x v="0"/>
    <x v="0"/>
    <x v="2"/>
  </r>
  <r>
    <d v="2026-11-09T00:00:00"/>
    <x v="2"/>
    <d v="2026-11-09T00:00:00"/>
    <x v="1"/>
    <x v="0"/>
    <x v="0"/>
    <x v="0"/>
    <x v="0"/>
    <m/>
    <m/>
    <x v="0"/>
    <x v="0"/>
    <x v="0"/>
    <x v="0"/>
    <x v="0"/>
    <x v="2"/>
  </r>
  <r>
    <d v="2026-11-10T00:00:00"/>
    <x v="3"/>
    <d v="2026-11-10T00:00:00"/>
    <x v="1"/>
    <x v="0"/>
    <x v="0"/>
    <x v="0"/>
    <x v="0"/>
    <m/>
    <m/>
    <x v="0"/>
    <x v="0"/>
    <x v="0"/>
    <x v="0"/>
    <x v="0"/>
    <x v="2"/>
  </r>
  <r>
    <d v="2026-11-11T00:00:00"/>
    <x v="4"/>
    <d v="2026-11-11T00:00:00"/>
    <x v="1"/>
    <x v="0"/>
    <x v="0"/>
    <x v="0"/>
    <x v="0"/>
    <m/>
    <m/>
    <x v="0"/>
    <x v="0"/>
    <x v="0"/>
    <x v="0"/>
    <x v="0"/>
    <x v="2"/>
  </r>
  <r>
    <d v="2026-11-12T00:00:00"/>
    <x v="5"/>
    <d v="2026-11-12T00:00:00"/>
    <x v="1"/>
    <x v="0"/>
    <x v="0"/>
    <x v="0"/>
    <x v="0"/>
    <m/>
    <m/>
    <x v="0"/>
    <x v="0"/>
    <x v="0"/>
    <x v="0"/>
    <x v="0"/>
    <x v="2"/>
  </r>
  <r>
    <d v="2026-11-13T00:00:00"/>
    <x v="6"/>
    <d v="2026-11-13T00:00:00"/>
    <x v="1"/>
    <x v="0"/>
    <x v="0"/>
    <x v="0"/>
    <x v="0"/>
    <m/>
    <m/>
    <x v="0"/>
    <x v="0"/>
    <x v="0"/>
    <x v="0"/>
    <x v="0"/>
    <x v="2"/>
  </r>
  <r>
    <d v="2026-11-14T00:00:00"/>
    <x v="0"/>
    <d v="2026-11-14T00:00:00"/>
    <x v="0"/>
    <x v="0"/>
    <x v="0"/>
    <x v="0"/>
    <x v="0"/>
    <m/>
    <m/>
    <x v="0"/>
    <x v="0"/>
    <x v="0"/>
    <x v="0"/>
    <x v="0"/>
    <x v="2"/>
  </r>
  <r>
    <d v="2026-11-15T00:00:00"/>
    <x v="1"/>
    <d v="2026-11-15T00:00:00"/>
    <x v="0"/>
    <x v="0"/>
    <x v="0"/>
    <x v="0"/>
    <x v="0"/>
    <m/>
    <m/>
    <x v="0"/>
    <x v="0"/>
    <x v="0"/>
    <x v="0"/>
    <x v="0"/>
    <x v="2"/>
  </r>
  <r>
    <d v="2026-11-16T00:00:00"/>
    <x v="2"/>
    <d v="2026-11-16T00:00:00"/>
    <x v="1"/>
    <x v="0"/>
    <x v="0"/>
    <x v="0"/>
    <x v="0"/>
    <m/>
    <m/>
    <x v="0"/>
    <x v="0"/>
    <x v="0"/>
    <x v="0"/>
    <x v="0"/>
    <x v="2"/>
  </r>
  <r>
    <d v="2026-11-17T00:00:00"/>
    <x v="3"/>
    <d v="2026-11-17T00:00:00"/>
    <x v="1"/>
    <x v="0"/>
    <x v="0"/>
    <x v="0"/>
    <x v="0"/>
    <m/>
    <m/>
    <x v="0"/>
    <x v="0"/>
    <x v="0"/>
    <x v="0"/>
    <x v="0"/>
    <x v="2"/>
  </r>
  <r>
    <d v="2026-11-18T00:00:00"/>
    <x v="4"/>
    <d v="2026-11-18T00:00:00"/>
    <x v="1"/>
    <x v="0"/>
    <x v="0"/>
    <x v="0"/>
    <x v="0"/>
    <m/>
    <m/>
    <x v="0"/>
    <x v="0"/>
    <x v="0"/>
    <x v="0"/>
    <x v="0"/>
    <x v="2"/>
  </r>
  <r>
    <d v="2026-11-19T00:00:00"/>
    <x v="5"/>
    <d v="2026-11-19T00:00:00"/>
    <x v="1"/>
    <x v="0"/>
    <x v="0"/>
    <x v="0"/>
    <x v="0"/>
    <m/>
    <m/>
    <x v="0"/>
    <x v="0"/>
    <x v="0"/>
    <x v="0"/>
    <x v="0"/>
    <x v="2"/>
  </r>
  <r>
    <d v="2026-11-20T00:00:00"/>
    <x v="6"/>
    <d v="2026-11-20T00:00:00"/>
    <x v="1"/>
    <x v="0"/>
    <x v="0"/>
    <x v="0"/>
    <x v="0"/>
    <m/>
    <m/>
    <x v="0"/>
    <x v="0"/>
    <x v="0"/>
    <x v="0"/>
    <x v="0"/>
    <x v="2"/>
  </r>
  <r>
    <d v="2026-11-21T00:00:00"/>
    <x v="0"/>
    <d v="2026-11-21T00:00:00"/>
    <x v="0"/>
    <x v="0"/>
    <x v="0"/>
    <x v="0"/>
    <x v="0"/>
    <m/>
    <m/>
    <x v="0"/>
    <x v="0"/>
    <x v="0"/>
    <x v="0"/>
    <x v="0"/>
    <x v="2"/>
  </r>
  <r>
    <d v="2026-11-22T00:00:00"/>
    <x v="1"/>
    <d v="2026-11-22T00:00:00"/>
    <x v="0"/>
    <x v="0"/>
    <x v="0"/>
    <x v="0"/>
    <x v="0"/>
    <m/>
    <m/>
    <x v="0"/>
    <x v="0"/>
    <x v="0"/>
    <x v="0"/>
    <x v="0"/>
    <x v="2"/>
  </r>
  <r>
    <d v="2026-11-23T00:00:00"/>
    <x v="2"/>
    <d v="2026-11-23T00:00:00"/>
    <x v="1"/>
    <x v="0"/>
    <x v="0"/>
    <x v="0"/>
    <x v="0"/>
    <m/>
    <m/>
    <x v="0"/>
    <x v="0"/>
    <x v="0"/>
    <x v="0"/>
    <x v="0"/>
    <x v="2"/>
  </r>
  <r>
    <d v="2026-11-24T00:00:00"/>
    <x v="3"/>
    <d v="2026-11-24T00:00:00"/>
    <x v="1"/>
    <x v="0"/>
    <x v="0"/>
    <x v="0"/>
    <x v="0"/>
    <m/>
    <m/>
    <x v="0"/>
    <x v="0"/>
    <x v="0"/>
    <x v="0"/>
    <x v="0"/>
    <x v="2"/>
  </r>
  <r>
    <d v="2026-11-25T00:00:00"/>
    <x v="4"/>
    <d v="2026-11-25T00:00:00"/>
    <x v="1"/>
    <x v="0"/>
    <x v="0"/>
    <x v="0"/>
    <x v="0"/>
    <m/>
    <m/>
    <x v="0"/>
    <x v="0"/>
    <x v="0"/>
    <x v="0"/>
    <x v="0"/>
    <x v="2"/>
  </r>
  <r>
    <d v="2026-11-26T00:00:00"/>
    <x v="5"/>
    <d v="2026-11-26T00:00:00"/>
    <x v="1"/>
    <x v="0"/>
    <x v="0"/>
    <x v="0"/>
    <x v="0"/>
    <m/>
    <m/>
    <x v="0"/>
    <x v="0"/>
    <x v="0"/>
    <x v="0"/>
    <x v="0"/>
    <x v="2"/>
  </r>
  <r>
    <d v="2026-11-27T00:00:00"/>
    <x v="6"/>
    <d v="2026-11-27T00:00:00"/>
    <x v="1"/>
    <x v="0"/>
    <x v="0"/>
    <x v="0"/>
    <x v="0"/>
    <m/>
    <m/>
    <x v="0"/>
    <x v="0"/>
    <x v="0"/>
    <x v="0"/>
    <x v="0"/>
    <x v="2"/>
  </r>
  <r>
    <d v="2026-11-28T00:00:00"/>
    <x v="0"/>
    <d v="2026-11-28T00:00:00"/>
    <x v="0"/>
    <x v="0"/>
    <x v="0"/>
    <x v="0"/>
    <x v="0"/>
    <m/>
    <m/>
    <x v="0"/>
    <x v="0"/>
    <x v="0"/>
    <x v="0"/>
    <x v="0"/>
    <x v="2"/>
  </r>
  <r>
    <d v="2026-11-29T00:00:00"/>
    <x v="1"/>
    <d v="2026-11-29T00:00:00"/>
    <x v="0"/>
    <x v="0"/>
    <x v="0"/>
    <x v="0"/>
    <x v="0"/>
    <m/>
    <m/>
    <x v="0"/>
    <x v="0"/>
    <x v="0"/>
    <x v="0"/>
    <x v="0"/>
    <x v="2"/>
  </r>
  <r>
    <d v="2026-11-30T00:00:00"/>
    <x v="2"/>
    <d v="2026-11-30T00:00:00"/>
    <x v="1"/>
    <x v="0"/>
    <x v="0"/>
    <x v="0"/>
    <x v="0"/>
    <m/>
    <m/>
    <x v="0"/>
    <x v="0"/>
    <x v="0"/>
    <x v="0"/>
    <x v="0"/>
    <x v="2"/>
  </r>
  <r>
    <d v="2026-12-01T00:00:00"/>
    <x v="3"/>
    <d v="2026-12-01T00:00:00"/>
    <x v="1"/>
    <x v="0"/>
    <x v="0"/>
    <x v="0"/>
    <x v="0"/>
    <m/>
    <m/>
    <x v="0"/>
    <x v="0"/>
    <x v="0"/>
    <x v="0"/>
    <x v="0"/>
    <x v="2"/>
  </r>
  <r>
    <d v="2026-12-02T00:00:00"/>
    <x v="4"/>
    <d v="2026-12-02T00:00:00"/>
    <x v="1"/>
    <x v="0"/>
    <x v="0"/>
    <x v="0"/>
    <x v="0"/>
    <m/>
    <m/>
    <x v="0"/>
    <x v="0"/>
    <x v="0"/>
    <x v="0"/>
    <x v="0"/>
    <x v="2"/>
  </r>
  <r>
    <d v="2026-12-03T00:00:00"/>
    <x v="5"/>
    <d v="2026-12-03T00:00:00"/>
    <x v="1"/>
    <x v="0"/>
    <x v="0"/>
    <x v="0"/>
    <x v="0"/>
    <m/>
    <m/>
    <x v="0"/>
    <x v="0"/>
    <x v="0"/>
    <x v="0"/>
    <x v="0"/>
    <x v="2"/>
  </r>
  <r>
    <d v="2026-12-04T00:00:00"/>
    <x v="6"/>
    <d v="2026-12-04T00:00:00"/>
    <x v="1"/>
    <x v="0"/>
    <x v="0"/>
    <x v="0"/>
    <x v="0"/>
    <m/>
    <m/>
    <x v="0"/>
    <x v="0"/>
    <x v="0"/>
    <x v="0"/>
    <x v="0"/>
    <x v="2"/>
  </r>
  <r>
    <d v="2026-12-05T00:00:00"/>
    <x v="0"/>
    <d v="2026-12-05T00:00:00"/>
    <x v="0"/>
    <x v="0"/>
    <x v="0"/>
    <x v="0"/>
    <x v="0"/>
    <m/>
    <m/>
    <x v="0"/>
    <x v="0"/>
    <x v="0"/>
    <x v="0"/>
    <x v="0"/>
    <x v="2"/>
  </r>
  <r>
    <d v="2026-12-06T00:00:00"/>
    <x v="1"/>
    <d v="2026-12-06T00:00:00"/>
    <x v="0"/>
    <x v="0"/>
    <x v="0"/>
    <x v="0"/>
    <x v="0"/>
    <m/>
    <m/>
    <x v="0"/>
    <x v="0"/>
    <x v="0"/>
    <x v="0"/>
    <x v="0"/>
    <x v="2"/>
  </r>
  <r>
    <d v="2026-12-07T00:00:00"/>
    <x v="2"/>
    <d v="2026-12-07T00:00:00"/>
    <x v="1"/>
    <x v="0"/>
    <x v="0"/>
    <x v="0"/>
    <x v="0"/>
    <m/>
    <m/>
    <x v="0"/>
    <x v="0"/>
    <x v="0"/>
    <x v="0"/>
    <x v="0"/>
    <x v="2"/>
  </r>
  <r>
    <d v="2026-12-08T00:00:00"/>
    <x v="3"/>
    <d v="2026-12-08T00:00:00"/>
    <x v="1"/>
    <x v="0"/>
    <x v="0"/>
    <x v="0"/>
    <x v="0"/>
    <m/>
    <m/>
    <x v="0"/>
    <x v="0"/>
    <x v="0"/>
    <x v="0"/>
    <x v="0"/>
    <x v="2"/>
  </r>
  <r>
    <d v="2026-12-09T00:00:00"/>
    <x v="4"/>
    <d v="2026-12-09T00:00:00"/>
    <x v="1"/>
    <x v="0"/>
    <x v="0"/>
    <x v="0"/>
    <x v="0"/>
    <m/>
    <m/>
    <x v="0"/>
    <x v="0"/>
    <x v="0"/>
    <x v="0"/>
    <x v="0"/>
    <x v="2"/>
  </r>
  <r>
    <d v="2026-12-10T00:00:00"/>
    <x v="5"/>
    <d v="2026-12-10T00:00:00"/>
    <x v="1"/>
    <x v="0"/>
    <x v="0"/>
    <x v="0"/>
    <x v="0"/>
    <m/>
    <m/>
    <x v="0"/>
    <x v="0"/>
    <x v="0"/>
    <x v="0"/>
    <x v="0"/>
    <x v="2"/>
  </r>
  <r>
    <d v="2026-12-11T00:00:00"/>
    <x v="6"/>
    <d v="2026-12-11T00:00:00"/>
    <x v="1"/>
    <x v="0"/>
    <x v="0"/>
    <x v="0"/>
    <x v="0"/>
    <m/>
    <m/>
    <x v="0"/>
    <x v="0"/>
    <x v="0"/>
    <x v="0"/>
    <x v="0"/>
    <x v="2"/>
  </r>
  <r>
    <d v="2026-12-12T00:00:00"/>
    <x v="0"/>
    <d v="2026-12-12T00:00:00"/>
    <x v="0"/>
    <x v="0"/>
    <x v="0"/>
    <x v="0"/>
    <x v="0"/>
    <m/>
    <m/>
    <x v="0"/>
    <x v="0"/>
    <x v="0"/>
    <x v="0"/>
    <x v="0"/>
    <x v="2"/>
  </r>
  <r>
    <d v="2026-12-13T00:00:00"/>
    <x v="1"/>
    <d v="2026-12-13T00:00:00"/>
    <x v="0"/>
    <x v="0"/>
    <x v="0"/>
    <x v="0"/>
    <x v="0"/>
    <m/>
    <m/>
    <x v="0"/>
    <x v="0"/>
    <x v="0"/>
    <x v="0"/>
    <x v="0"/>
    <x v="2"/>
  </r>
  <r>
    <d v="2026-12-14T00:00:00"/>
    <x v="2"/>
    <d v="2026-12-14T00:00:00"/>
    <x v="1"/>
    <x v="0"/>
    <x v="0"/>
    <x v="0"/>
    <x v="0"/>
    <m/>
    <m/>
    <x v="0"/>
    <x v="0"/>
    <x v="0"/>
    <x v="0"/>
    <x v="0"/>
    <x v="2"/>
  </r>
  <r>
    <d v="2026-12-15T00:00:00"/>
    <x v="3"/>
    <d v="2026-12-15T00:00:00"/>
    <x v="1"/>
    <x v="0"/>
    <x v="0"/>
    <x v="0"/>
    <x v="0"/>
    <m/>
    <m/>
    <x v="0"/>
    <x v="0"/>
    <x v="0"/>
    <x v="0"/>
    <x v="0"/>
    <x v="2"/>
  </r>
  <r>
    <d v="2026-12-16T00:00:00"/>
    <x v="4"/>
    <d v="2026-12-16T00:00:00"/>
    <x v="1"/>
    <x v="0"/>
    <x v="0"/>
    <x v="0"/>
    <x v="0"/>
    <m/>
    <m/>
    <x v="0"/>
    <x v="0"/>
    <x v="0"/>
    <x v="0"/>
    <x v="0"/>
    <x v="2"/>
  </r>
  <r>
    <d v="2026-12-17T00:00:00"/>
    <x v="5"/>
    <d v="2026-12-17T00:00:00"/>
    <x v="1"/>
    <x v="0"/>
    <x v="0"/>
    <x v="0"/>
    <x v="0"/>
    <m/>
    <m/>
    <x v="0"/>
    <x v="0"/>
    <x v="0"/>
    <x v="0"/>
    <x v="0"/>
    <x v="2"/>
  </r>
  <r>
    <d v="2026-12-18T00:00:00"/>
    <x v="6"/>
    <d v="2026-12-18T00:00:00"/>
    <x v="1"/>
    <x v="0"/>
    <x v="0"/>
    <x v="0"/>
    <x v="0"/>
    <m/>
    <m/>
    <x v="0"/>
    <x v="0"/>
    <x v="0"/>
    <x v="0"/>
    <x v="0"/>
    <x v="2"/>
  </r>
  <r>
    <d v="2026-12-19T00:00:00"/>
    <x v="0"/>
    <d v="2026-12-19T00:00:00"/>
    <x v="0"/>
    <x v="0"/>
    <x v="0"/>
    <x v="0"/>
    <x v="0"/>
    <m/>
    <m/>
    <x v="0"/>
    <x v="0"/>
    <x v="0"/>
    <x v="0"/>
    <x v="0"/>
    <x v="2"/>
  </r>
  <r>
    <d v="2026-12-20T00:00:00"/>
    <x v="1"/>
    <d v="2026-12-20T00:00:00"/>
    <x v="0"/>
    <x v="0"/>
    <x v="0"/>
    <x v="0"/>
    <x v="0"/>
    <m/>
    <m/>
    <x v="0"/>
    <x v="0"/>
    <x v="0"/>
    <x v="0"/>
    <x v="0"/>
    <x v="2"/>
  </r>
  <r>
    <d v="2026-12-21T00:00:00"/>
    <x v="2"/>
    <d v="2026-12-21T00:00:00"/>
    <x v="1"/>
    <x v="0"/>
    <x v="0"/>
    <x v="0"/>
    <x v="0"/>
    <m/>
    <m/>
    <x v="0"/>
    <x v="0"/>
    <x v="0"/>
    <x v="0"/>
    <x v="0"/>
    <x v="2"/>
  </r>
  <r>
    <d v="2026-12-22T00:00:00"/>
    <x v="3"/>
    <d v="2026-12-22T00:00:00"/>
    <x v="1"/>
    <x v="0"/>
    <x v="0"/>
    <x v="0"/>
    <x v="0"/>
    <m/>
    <m/>
    <x v="0"/>
    <x v="0"/>
    <x v="0"/>
    <x v="0"/>
    <x v="0"/>
    <x v="2"/>
  </r>
  <r>
    <d v="2026-12-23T00:00:00"/>
    <x v="4"/>
    <d v="2026-12-23T00:00:00"/>
    <x v="1"/>
    <x v="0"/>
    <x v="0"/>
    <x v="0"/>
    <x v="0"/>
    <m/>
    <m/>
    <x v="0"/>
    <x v="0"/>
    <x v="0"/>
    <x v="0"/>
    <x v="0"/>
    <x v="2"/>
  </r>
  <r>
    <d v="2026-12-24T00:00:00"/>
    <x v="5"/>
    <d v="2026-12-24T00:00:00"/>
    <x v="1"/>
    <x v="0"/>
    <x v="0"/>
    <x v="0"/>
    <x v="0"/>
    <m/>
    <m/>
    <x v="0"/>
    <x v="0"/>
    <x v="0"/>
    <x v="0"/>
    <x v="0"/>
    <x v="2"/>
  </r>
  <r>
    <d v="2026-12-25T00:00:00"/>
    <x v="6"/>
    <d v="2026-12-25T00:00:00"/>
    <x v="1"/>
    <x v="0"/>
    <x v="0"/>
    <x v="0"/>
    <x v="0"/>
    <m/>
    <m/>
    <x v="0"/>
    <x v="0"/>
    <x v="0"/>
    <x v="0"/>
    <x v="0"/>
    <x v="2"/>
  </r>
  <r>
    <d v="2026-12-26T00:00:00"/>
    <x v="0"/>
    <d v="2026-12-26T00:00:00"/>
    <x v="0"/>
    <x v="0"/>
    <x v="0"/>
    <x v="0"/>
    <x v="0"/>
    <m/>
    <m/>
    <x v="0"/>
    <x v="0"/>
    <x v="0"/>
    <x v="0"/>
    <x v="0"/>
    <x v="2"/>
  </r>
  <r>
    <d v="2026-12-27T00:00:00"/>
    <x v="1"/>
    <d v="2026-12-27T00:00:00"/>
    <x v="0"/>
    <x v="0"/>
    <x v="0"/>
    <x v="0"/>
    <x v="0"/>
    <m/>
    <m/>
    <x v="0"/>
    <x v="0"/>
    <x v="0"/>
    <x v="0"/>
    <x v="0"/>
    <x v="2"/>
  </r>
  <r>
    <d v="2026-12-28T00:00:00"/>
    <x v="2"/>
    <d v="2026-12-28T00:00:00"/>
    <x v="1"/>
    <x v="0"/>
    <x v="0"/>
    <x v="0"/>
    <x v="0"/>
    <m/>
    <m/>
    <x v="0"/>
    <x v="0"/>
    <x v="0"/>
    <x v="0"/>
    <x v="0"/>
    <x v="2"/>
  </r>
  <r>
    <d v="2026-12-29T00:00:00"/>
    <x v="3"/>
    <d v="2026-12-29T00:00:00"/>
    <x v="1"/>
    <x v="0"/>
    <x v="0"/>
    <x v="0"/>
    <x v="0"/>
    <m/>
    <m/>
    <x v="0"/>
    <x v="0"/>
    <x v="0"/>
    <x v="0"/>
    <x v="0"/>
    <x v="2"/>
  </r>
  <r>
    <d v="2026-12-30T00:00:00"/>
    <x v="4"/>
    <d v="2026-12-30T00:00:00"/>
    <x v="1"/>
    <x v="0"/>
    <x v="0"/>
    <x v="0"/>
    <x v="0"/>
    <m/>
    <m/>
    <x v="0"/>
    <x v="0"/>
    <x v="0"/>
    <x v="0"/>
    <x v="0"/>
    <x v="2"/>
  </r>
  <r>
    <d v="2026-12-31T00:00:00"/>
    <x v="5"/>
    <d v="2026-12-31T00:00:00"/>
    <x v="1"/>
    <x v="0"/>
    <x v="0"/>
    <x v="0"/>
    <x v="0"/>
    <m/>
    <m/>
    <x v="0"/>
    <x v="0"/>
    <x v="0"/>
    <x v="0"/>
    <x v="0"/>
    <x v="2"/>
  </r>
  <r>
    <d v="2027-01-01T00:00:00"/>
    <x v="6"/>
    <d v="2027-01-01T00:00:00"/>
    <x v="1"/>
    <x v="0"/>
    <x v="0"/>
    <x v="0"/>
    <x v="0"/>
    <m/>
    <m/>
    <x v="0"/>
    <x v="0"/>
    <x v="0"/>
    <x v="0"/>
    <x v="0"/>
    <x v="2"/>
  </r>
  <r>
    <d v="2027-01-02T00:00:00"/>
    <x v="0"/>
    <d v="2027-01-02T00:00:00"/>
    <x v="0"/>
    <x v="0"/>
    <x v="0"/>
    <x v="0"/>
    <x v="0"/>
    <m/>
    <m/>
    <x v="0"/>
    <x v="0"/>
    <x v="0"/>
    <x v="0"/>
    <x v="0"/>
    <x v="2"/>
  </r>
  <r>
    <d v="2027-01-03T00:00:00"/>
    <x v="1"/>
    <d v="2027-01-03T00:00:00"/>
    <x v="0"/>
    <x v="0"/>
    <x v="0"/>
    <x v="0"/>
    <x v="0"/>
    <m/>
    <m/>
    <x v="0"/>
    <x v="0"/>
    <x v="0"/>
    <x v="0"/>
    <x v="0"/>
    <x v="2"/>
  </r>
  <r>
    <d v="2027-01-04T00:00:00"/>
    <x v="2"/>
    <d v="2027-01-04T00:00:00"/>
    <x v="1"/>
    <x v="0"/>
    <x v="0"/>
    <x v="0"/>
    <x v="0"/>
    <m/>
    <m/>
    <x v="0"/>
    <x v="0"/>
    <x v="0"/>
    <x v="0"/>
    <x v="0"/>
    <x v="2"/>
  </r>
  <r>
    <d v="2027-01-05T00:00:00"/>
    <x v="3"/>
    <d v="2027-01-05T00:00:00"/>
    <x v="1"/>
    <x v="0"/>
    <x v="0"/>
    <x v="0"/>
    <x v="0"/>
    <m/>
    <m/>
    <x v="0"/>
    <x v="0"/>
    <x v="0"/>
    <x v="0"/>
    <x v="0"/>
    <x v="2"/>
  </r>
  <r>
    <d v="2027-01-06T00:00:00"/>
    <x v="4"/>
    <d v="2027-01-06T00:00:00"/>
    <x v="1"/>
    <x v="0"/>
    <x v="0"/>
    <x v="0"/>
    <x v="0"/>
    <m/>
    <m/>
    <x v="0"/>
    <x v="0"/>
    <x v="0"/>
    <x v="0"/>
    <x v="0"/>
    <x v="2"/>
  </r>
  <r>
    <d v="2027-01-07T00:00:00"/>
    <x v="5"/>
    <d v="2027-01-07T00:00:00"/>
    <x v="1"/>
    <x v="0"/>
    <x v="0"/>
    <x v="0"/>
    <x v="0"/>
    <m/>
    <m/>
    <x v="0"/>
    <x v="0"/>
    <x v="0"/>
    <x v="0"/>
    <x v="0"/>
    <x v="2"/>
  </r>
  <r>
    <d v="2027-01-08T00:00:00"/>
    <x v="6"/>
    <d v="2027-01-08T00:00:00"/>
    <x v="1"/>
    <x v="0"/>
    <x v="0"/>
    <x v="0"/>
    <x v="0"/>
    <m/>
    <m/>
    <x v="0"/>
    <x v="0"/>
    <x v="0"/>
    <x v="0"/>
    <x v="0"/>
    <x v="2"/>
  </r>
  <r>
    <d v="2027-01-09T00:00:00"/>
    <x v="0"/>
    <d v="2027-01-09T00:00:00"/>
    <x v="0"/>
    <x v="0"/>
    <x v="0"/>
    <x v="0"/>
    <x v="0"/>
    <m/>
    <m/>
    <x v="0"/>
    <x v="0"/>
    <x v="0"/>
    <x v="0"/>
    <x v="0"/>
    <x v="2"/>
  </r>
  <r>
    <d v="2027-01-10T00:00:00"/>
    <x v="1"/>
    <d v="2027-01-10T00:00:00"/>
    <x v="0"/>
    <x v="0"/>
    <x v="0"/>
    <x v="0"/>
    <x v="0"/>
    <m/>
    <m/>
    <x v="0"/>
    <x v="0"/>
    <x v="0"/>
    <x v="0"/>
    <x v="0"/>
    <x v="2"/>
  </r>
  <r>
    <d v="2027-01-11T00:00:00"/>
    <x v="2"/>
    <d v="2027-01-11T00:00:00"/>
    <x v="1"/>
    <x v="0"/>
    <x v="0"/>
    <x v="0"/>
    <x v="0"/>
    <m/>
    <m/>
    <x v="0"/>
    <x v="0"/>
    <x v="0"/>
    <x v="0"/>
    <x v="0"/>
    <x v="2"/>
  </r>
  <r>
    <d v="2027-01-12T00:00:00"/>
    <x v="3"/>
    <d v="2027-01-12T00:00:00"/>
    <x v="1"/>
    <x v="0"/>
    <x v="0"/>
    <x v="0"/>
    <x v="0"/>
    <m/>
    <m/>
    <x v="0"/>
    <x v="0"/>
    <x v="0"/>
    <x v="0"/>
    <x v="0"/>
    <x v="2"/>
  </r>
  <r>
    <d v="2027-01-13T00:00:00"/>
    <x v="4"/>
    <d v="2027-01-13T00:00:00"/>
    <x v="1"/>
    <x v="0"/>
    <x v="0"/>
    <x v="0"/>
    <x v="0"/>
    <m/>
    <m/>
    <x v="0"/>
    <x v="0"/>
    <x v="0"/>
    <x v="0"/>
    <x v="0"/>
    <x v="2"/>
  </r>
  <r>
    <d v="2027-01-14T00:00:00"/>
    <x v="5"/>
    <d v="2027-01-14T00:00:00"/>
    <x v="1"/>
    <x v="0"/>
    <x v="0"/>
    <x v="0"/>
    <x v="0"/>
    <m/>
    <m/>
    <x v="0"/>
    <x v="0"/>
    <x v="0"/>
    <x v="0"/>
    <x v="0"/>
    <x v="2"/>
  </r>
  <r>
    <d v="2027-01-15T00:00:00"/>
    <x v="6"/>
    <d v="2027-01-15T00:00:00"/>
    <x v="1"/>
    <x v="0"/>
    <x v="0"/>
    <x v="0"/>
    <x v="0"/>
    <m/>
    <m/>
    <x v="0"/>
    <x v="0"/>
    <x v="0"/>
    <x v="0"/>
    <x v="0"/>
    <x v="2"/>
  </r>
  <r>
    <d v="2027-01-16T00:00:00"/>
    <x v="0"/>
    <d v="2027-01-16T00:00:00"/>
    <x v="0"/>
    <x v="0"/>
    <x v="0"/>
    <x v="0"/>
    <x v="0"/>
    <m/>
    <m/>
    <x v="0"/>
    <x v="0"/>
    <x v="0"/>
    <x v="0"/>
    <x v="0"/>
    <x v="2"/>
  </r>
  <r>
    <d v="2027-01-17T00:00:00"/>
    <x v="1"/>
    <d v="2027-01-17T00:00:00"/>
    <x v="0"/>
    <x v="0"/>
    <x v="0"/>
    <x v="0"/>
    <x v="0"/>
    <m/>
    <m/>
    <x v="0"/>
    <x v="0"/>
    <x v="0"/>
    <x v="0"/>
    <x v="0"/>
    <x v="2"/>
  </r>
  <r>
    <d v="2027-01-18T00:00:00"/>
    <x v="2"/>
    <d v="2027-01-18T00:00:00"/>
    <x v="1"/>
    <x v="0"/>
    <x v="0"/>
    <x v="0"/>
    <x v="0"/>
    <m/>
    <m/>
    <x v="0"/>
    <x v="0"/>
    <x v="0"/>
    <x v="0"/>
    <x v="0"/>
    <x v="2"/>
  </r>
  <r>
    <d v="2027-01-19T00:00:00"/>
    <x v="3"/>
    <d v="2027-01-19T00:00:00"/>
    <x v="1"/>
    <x v="0"/>
    <x v="0"/>
    <x v="0"/>
    <x v="0"/>
    <m/>
    <m/>
    <x v="0"/>
    <x v="0"/>
    <x v="0"/>
    <x v="0"/>
    <x v="0"/>
    <x v="2"/>
  </r>
  <r>
    <d v="2027-01-20T00:00:00"/>
    <x v="4"/>
    <d v="2027-01-20T00:00:00"/>
    <x v="1"/>
    <x v="0"/>
    <x v="0"/>
    <x v="0"/>
    <x v="0"/>
    <m/>
    <m/>
    <x v="0"/>
    <x v="0"/>
    <x v="0"/>
    <x v="0"/>
    <x v="0"/>
    <x v="2"/>
  </r>
  <r>
    <d v="2027-01-21T00:00:00"/>
    <x v="5"/>
    <d v="2027-01-21T00:00:00"/>
    <x v="1"/>
    <x v="0"/>
    <x v="0"/>
    <x v="0"/>
    <x v="0"/>
    <m/>
    <m/>
    <x v="0"/>
    <x v="0"/>
    <x v="0"/>
    <x v="0"/>
    <x v="0"/>
    <x v="2"/>
  </r>
  <r>
    <d v="2027-01-22T00:00:00"/>
    <x v="6"/>
    <d v="2027-01-22T00:00:00"/>
    <x v="1"/>
    <x v="0"/>
    <x v="0"/>
    <x v="0"/>
    <x v="0"/>
    <m/>
    <m/>
    <x v="0"/>
    <x v="0"/>
    <x v="0"/>
    <x v="0"/>
    <x v="0"/>
    <x v="2"/>
  </r>
  <r>
    <d v="2027-01-23T00:00:00"/>
    <x v="0"/>
    <d v="2027-01-23T00:00:00"/>
    <x v="0"/>
    <x v="0"/>
    <x v="0"/>
    <x v="0"/>
    <x v="0"/>
    <m/>
    <m/>
    <x v="0"/>
    <x v="0"/>
    <x v="0"/>
    <x v="0"/>
    <x v="0"/>
    <x v="2"/>
  </r>
  <r>
    <d v="2027-01-24T00:00:00"/>
    <x v="1"/>
    <d v="2027-01-24T00:00:00"/>
    <x v="0"/>
    <x v="0"/>
    <x v="0"/>
    <x v="0"/>
    <x v="0"/>
    <m/>
    <m/>
    <x v="0"/>
    <x v="0"/>
    <x v="0"/>
    <x v="0"/>
    <x v="0"/>
    <x v="2"/>
  </r>
  <r>
    <d v="2027-01-25T00:00:00"/>
    <x v="2"/>
    <d v="2027-01-25T00:00:00"/>
    <x v="1"/>
    <x v="0"/>
    <x v="0"/>
    <x v="0"/>
    <x v="0"/>
    <m/>
    <m/>
    <x v="0"/>
    <x v="0"/>
    <x v="0"/>
    <x v="0"/>
    <x v="0"/>
    <x v="2"/>
  </r>
  <r>
    <d v="2027-01-26T00:00:00"/>
    <x v="3"/>
    <d v="2027-01-26T00:00:00"/>
    <x v="1"/>
    <x v="0"/>
    <x v="0"/>
    <x v="0"/>
    <x v="0"/>
    <m/>
    <m/>
    <x v="0"/>
    <x v="0"/>
    <x v="0"/>
    <x v="0"/>
    <x v="0"/>
    <x v="2"/>
  </r>
  <r>
    <d v="2027-01-27T00:00:00"/>
    <x v="4"/>
    <d v="2027-01-27T00:00:00"/>
    <x v="1"/>
    <x v="0"/>
    <x v="0"/>
    <x v="0"/>
    <x v="0"/>
    <m/>
    <m/>
    <x v="0"/>
    <x v="0"/>
    <x v="0"/>
    <x v="0"/>
    <x v="0"/>
    <x v="2"/>
  </r>
  <r>
    <d v="2027-01-28T00:00:00"/>
    <x v="5"/>
    <d v="2027-01-28T00:00:00"/>
    <x v="1"/>
    <x v="0"/>
    <x v="0"/>
    <x v="0"/>
    <x v="0"/>
    <m/>
    <m/>
    <x v="0"/>
    <x v="0"/>
    <x v="0"/>
    <x v="0"/>
    <x v="0"/>
    <x v="2"/>
  </r>
  <r>
    <d v="2027-01-29T00:00:00"/>
    <x v="6"/>
    <d v="2027-01-29T00:00:00"/>
    <x v="1"/>
    <x v="0"/>
    <x v="0"/>
    <x v="0"/>
    <x v="0"/>
    <m/>
    <m/>
    <x v="0"/>
    <x v="0"/>
    <x v="0"/>
    <x v="0"/>
    <x v="0"/>
    <x v="2"/>
  </r>
  <r>
    <d v="2027-01-30T00:00:00"/>
    <x v="0"/>
    <d v="2027-01-30T00:00:00"/>
    <x v="0"/>
    <x v="0"/>
    <x v="0"/>
    <x v="0"/>
    <x v="0"/>
    <m/>
    <m/>
    <x v="0"/>
    <x v="0"/>
    <x v="0"/>
    <x v="0"/>
    <x v="0"/>
    <x v="2"/>
  </r>
  <r>
    <d v="2027-01-31T00:00:00"/>
    <x v="1"/>
    <d v="2027-01-31T00:00:00"/>
    <x v="0"/>
    <x v="0"/>
    <x v="0"/>
    <x v="0"/>
    <x v="0"/>
    <m/>
    <m/>
    <x v="0"/>
    <x v="0"/>
    <x v="0"/>
    <x v="0"/>
    <x v="0"/>
    <x v="2"/>
  </r>
  <r>
    <d v="2027-02-01T00:00:00"/>
    <x v="2"/>
    <d v="2027-02-01T00:00:00"/>
    <x v="1"/>
    <x v="0"/>
    <x v="0"/>
    <x v="0"/>
    <x v="0"/>
    <m/>
    <m/>
    <x v="0"/>
    <x v="0"/>
    <x v="0"/>
    <x v="0"/>
    <x v="0"/>
    <x v="2"/>
  </r>
  <r>
    <d v="2027-02-02T00:00:00"/>
    <x v="3"/>
    <d v="2027-02-02T00:00:00"/>
    <x v="1"/>
    <x v="0"/>
    <x v="0"/>
    <x v="0"/>
    <x v="0"/>
    <m/>
    <m/>
    <x v="0"/>
    <x v="0"/>
    <x v="0"/>
    <x v="0"/>
    <x v="0"/>
    <x v="2"/>
  </r>
  <r>
    <d v="2027-02-03T00:00:00"/>
    <x v="4"/>
    <d v="2027-02-03T00:00:00"/>
    <x v="1"/>
    <x v="0"/>
    <x v="0"/>
    <x v="0"/>
    <x v="0"/>
    <m/>
    <m/>
    <x v="0"/>
    <x v="0"/>
    <x v="0"/>
    <x v="0"/>
    <x v="0"/>
    <x v="2"/>
  </r>
  <r>
    <d v="2027-02-04T00:00:00"/>
    <x v="5"/>
    <d v="2027-02-04T00:00:00"/>
    <x v="1"/>
    <x v="0"/>
    <x v="0"/>
    <x v="0"/>
    <x v="0"/>
    <m/>
    <m/>
    <x v="0"/>
    <x v="0"/>
    <x v="0"/>
    <x v="0"/>
    <x v="0"/>
    <x v="2"/>
  </r>
  <r>
    <d v="2027-02-05T00:00:00"/>
    <x v="6"/>
    <d v="2027-02-05T00:00:00"/>
    <x v="1"/>
    <x v="0"/>
    <x v="0"/>
    <x v="0"/>
    <x v="0"/>
    <m/>
    <m/>
    <x v="0"/>
    <x v="0"/>
    <x v="0"/>
    <x v="0"/>
    <x v="0"/>
    <x v="2"/>
  </r>
  <r>
    <d v="2027-02-06T00:00:00"/>
    <x v="0"/>
    <d v="2027-02-06T00:00:00"/>
    <x v="0"/>
    <x v="0"/>
    <x v="0"/>
    <x v="0"/>
    <x v="0"/>
    <m/>
    <m/>
    <x v="0"/>
    <x v="0"/>
    <x v="0"/>
    <x v="0"/>
    <x v="0"/>
    <x v="2"/>
  </r>
  <r>
    <d v="2027-02-07T00:00:00"/>
    <x v="1"/>
    <d v="2027-02-07T00:00:00"/>
    <x v="0"/>
    <x v="0"/>
    <x v="0"/>
    <x v="0"/>
    <x v="0"/>
    <m/>
    <m/>
    <x v="0"/>
    <x v="0"/>
    <x v="0"/>
    <x v="0"/>
    <x v="0"/>
    <x v="2"/>
  </r>
  <r>
    <d v="2027-02-08T00:00:00"/>
    <x v="2"/>
    <d v="2027-02-08T00:00:00"/>
    <x v="1"/>
    <x v="0"/>
    <x v="0"/>
    <x v="0"/>
    <x v="0"/>
    <m/>
    <m/>
    <x v="0"/>
    <x v="0"/>
    <x v="0"/>
    <x v="0"/>
    <x v="0"/>
    <x v="2"/>
  </r>
  <r>
    <d v="2027-02-09T00:00:00"/>
    <x v="3"/>
    <d v="2027-02-09T00:00:00"/>
    <x v="1"/>
    <x v="0"/>
    <x v="0"/>
    <x v="0"/>
    <x v="0"/>
    <m/>
    <m/>
    <x v="0"/>
    <x v="0"/>
    <x v="0"/>
    <x v="0"/>
    <x v="0"/>
    <x v="2"/>
  </r>
  <r>
    <d v="2027-02-10T00:00:00"/>
    <x v="4"/>
    <d v="2027-02-10T00:00:00"/>
    <x v="1"/>
    <x v="0"/>
    <x v="0"/>
    <x v="0"/>
    <x v="0"/>
    <m/>
    <m/>
    <x v="0"/>
    <x v="0"/>
    <x v="0"/>
    <x v="0"/>
    <x v="0"/>
    <x v="2"/>
  </r>
  <r>
    <d v="2027-02-11T00:00:00"/>
    <x v="5"/>
    <d v="2027-02-11T00:00:00"/>
    <x v="1"/>
    <x v="0"/>
    <x v="0"/>
    <x v="0"/>
    <x v="0"/>
    <m/>
    <m/>
    <x v="0"/>
    <x v="0"/>
    <x v="0"/>
    <x v="0"/>
    <x v="0"/>
    <x v="2"/>
  </r>
  <r>
    <d v="2027-02-12T00:00:00"/>
    <x v="6"/>
    <d v="2027-02-12T00:00:00"/>
    <x v="1"/>
    <x v="0"/>
    <x v="0"/>
    <x v="0"/>
    <x v="0"/>
    <m/>
    <m/>
    <x v="0"/>
    <x v="0"/>
    <x v="0"/>
    <x v="0"/>
    <x v="0"/>
    <x v="2"/>
  </r>
  <r>
    <d v="2027-02-13T00:00:00"/>
    <x v="0"/>
    <d v="2027-02-13T00:00:00"/>
    <x v="0"/>
    <x v="0"/>
    <x v="0"/>
    <x v="0"/>
    <x v="0"/>
    <m/>
    <m/>
    <x v="0"/>
    <x v="0"/>
    <x v="0"/>
    <x v="0"/>
    <x v="0"/>
    <x v="2"/>
  </r>
  <r>
    <d v="2027-02-14T00:00:00"/>
    <x v="1"/>
    <d v="2027-02-14T00:00:00"/>
    <x v="0"/>
    <x v="0"/>
    <x v="0"/>
    <x v="0"/>
    <x v="0"/>
    <m/>
    <m/>
    <x v="0"/>
    <x v="0"/>
    <x v="0"/>
    <x v="0"/>
    <x v="0"/>
    <x v="2"/>
  </r>
  <r>
    <d v="2027-02-15T00:00:00"/>
    <x v="2"/>
    <d v="2027-02-15T00:00:00"/>
    <x v="1"/>
    <x v="0"/>
    <x v="0"/>
    <x v="0"/>
    <x v="0"/>
    <m/>
    <m/>
    <x v="0"/>
    <x v="0"/>
    <x v="0"/>
    <x v="0"/>
    <x v="0"/>
    <x v="2"/>
  </r>
  <r>
    <d v="2025-11-01T00:00:00"/>
    <x v="0"/>
    <d v="2025-11-01T00:00:00"/>
    <x v="0"/>
    <x v="0"/>
    <x v="0"/>
    <x v="0"/>
    <x v="0"/>
    <m/>
    <m/>
    <x v="0"/>
    <x v="0"/>
    <x v="0"/>
    <x v="0"/>
    <x v="0"/>
    <x v="3"/>
  </r>
  <r>
    <d v="2025-11-02T00:00:00"/>
    <x v="1"/>
    <d v="2025-11-02T00:00:00"/>
    <x v="0"/>
    <x v="0"/>
    <x v="0"/>
    <x v="0"/>
    <x v="0"/>
    <m/>
    <m/>
    <x v="0"/>
    <x v="0"/>
    <x v="0"/>
    <x v="0"/>
    <x v="0"/>
    <x v="3"/>
  </r>
  <r>
    <d v="2025-11-03T00:00:00"/>
    <x v="2"/>
    <d v="2025-11-03T00:00:00"/>
    <x v="1"/>
    <x v="0"/>
    <x v="0"/>
    <x v="0"/>
    <x v="0"/>
    <m/>
    <m/>
    <x v="0"/>
    <x v="0"/>
    <x v="0"/>
    <x v="0"/>
    <x v="0"/>
    <x v="3"/>
  </r>
  <r>
    <d v="2025-11-04T00:00:00"/>
    <x v="3"/>
    <d v="2025-11-04T00:00:00"/>
    <x v="1"/>
    <x v="0"/>
    <x v="0"/>
    <x v="0"/>
    <x v="0"/>
    <m/>
    <m/>
    <x v="0"/>
    <x v="0"/>
    <x v="0"/>
    <x v="0"/>
    <x v="0"/>
    <x v="3"/>
  </r>
  <r>
    <d v="2025-11-05T00:00:00"/>
    <x v="4"/>
    <d v="2025-11-05T00:00:00"/>
    <x v="1"/>
    <x v="0"/>
    <x v="0"/>
    <x v="0"/>
    <x v="0"/>
    <m/>
    <m/>
    <x v="0"/>
    <x v="0"/>
    <x v="0"/>
    <x v="0"/>
    <x v="0"/>
    <x v="3"/>
  </r>
  <r>
    <d v="2025-11-06T00:00:00"/>
    <x v="5"/>
    <d v="2025-11-06T00:00:00"/>
    <x v="1"/>
    <x v="0"/>
    <x v="0"/>
    <x v="0"/>
    <x v="0"/>
    <m/>
    <m/>
    <x v="0"/>
    <x v="0"/>
    <x v="0"/>
    <x v="0"/>
    <x v="0"/>
    <x v="3"/>
  </r>
  <r>
    <d v="2025-11-07T00:00:00"/>
    <x v="6"/>
    <d v="2025-11-07T00:00:00"/>
    <x v="1"/>
    <x v="0"/>
    <x v="0"/>
    <x v="0"/>
    <x v="0"/>
    <m/>
    <m/>
    <x v="0"/>
    <x v="0"/>
    <x v="0"/>
    <x v="0"/>
    <x v="0"/>
    <x v="3"/>
  </r>
  <r>
    <d v="2025-11-08T00:00:00"/>
    <x v="0"/>
    <d v="2025-11-08T00:00:00"/>
    <x v="0"/>
    <x v="0"/>
    <x v="0"/>
    <x v="0"/>
    <x v="0"/>
    <m/>
    <m/>
    <x v="0"/>
    <x v="0"/>
    <x v="0"/>
    <x v="0"/>
    <x v="0"/>
    <x v="3"/>
  </r>
  <r>
    <d v="2025-11-09T00:00:00"/>
    <x v="1"/>
    <d v="2025-11-09T00:00:00"/>
    <x v="0"/>
    <x v="0"/>
    <x v="0"/>
    <x v="0"/>
    <x v="0"/>
    <m/>
    <m/>
    <x v="0"/>
    <x v="0"/>
    <x v="0"/>
    <x v="0"/>
    <x v="0"/>
    <x v="3"/>
  </r>
  <r>
    <d v="2025-11-10T00:00:00"/>
    <x v="2"/>
    <d v="2025-11-10T00:00:00"/>
    <x v="1"/>
    <x v="0"/>
    <x v="0"/>
    <x v="0"/>
    <x v="0"/>
    <m/>
    <m/>
    <x v="0"/>
    <x v="0"/>
    <x v="0"/>
    <x v="0"/>
    <x v="0"/>
    <x v="3"/>
  </r>
  <r>
    <d v="2025-11-11T00:00:00"/>
    <x v="3"/>
    <d v="2025-11-11T00:00:00"/>
    <x v="1"/>
    <x v="0"/>
    <x v="0"/>
    <x v="0"/>
    <x v="0"/>
    <m/>
    <m/>
    <x v="0"/>
    <x v="0"/>
    <x v="0"/>
    <x v="0"/>
    <x v="0"/>
    <x v="3"/>
  </r>
  <r>
    <d v="2025-11-12T00:00:00"/>
    <x v="4"/>
    <d v="2025-11-12T00:00:00"/>
    <x v="1"/>
    <x v="0"/>
    <x v="0"/>
    <x v="0"/>
    <x v="0"/>
    <m/>
    <m/>
    <x v="0"/>
    <x v="0"/>
    <x v="0"/>
    <x v="0"/>
    <x v="0"/>
    <x v="3"/>
  </r>
  <r>
    <d v="2025-11-13T00:00:00"/>
    <x v="5"/>
    <d v="2025-11-13T00:00:00"/>
    <x v="1"/>
    <x v="0"/>
    <x v="0"/>
    <x v="0"/>
    <x v="0"/>
    <m/>
    <m/>
    <x v="0"/>
    <x v="0"/>
    <x v="0"/>
    <x v="0"/>
    <x v="0"/>
    <x v="3"/>
  </r>
  <r>
    <d v="2025-11-14T00:00:00"/>
    <x v="6"/>
    <d v="2025-11-14T00:00:00"/>
    <x v="1"/>
    <x v="0"/>
    <x v="0"/>
    <x v="0"/>
    <x v="0"/>
    <m/>
    <m/>
    <x v="0"/>
    <x v="0"/>
    <x v="0"/>
    <x v="0"/>
    <x v="0"/>
    <x v="3"/>
  </r>
  <r>
    <d v="2025-11-15T00:00:00"/>
    <x v="0"/>
    <d v="2025-11-15T00:00:00"/>
    <x v="0"/>
    <x v="0"/>
    <x v="0"/>
    <x v="0"/>
    <x v="0"/>
    <m/>
    <m/>
    <x v="0"/>
    <x v="0"/>
    <x v="0"/>
    <x v="0"/>
    <x v="0"/>
    <x v="3"/>
  </r>
  <r>
    <d v="2025-11-16T00:00:00"/>
    <x v="1"/>
    <d v="2025-11-16T00:00:00"/>
    <x v="0"/>
    <x v="0"/>
    <x v="0"/>
    <x v="0"/>
    <x v="0"/>
    <m/>
    <m/>
    <x v="0"/>
    <x v="0"/>
    <x v="0"/>
    <x v="0"/>
    <x v="0"/>
    <x v="3"/>
  </r>
  <r>
    <d v="2025-11-17T00:00:00"/>
    <x v="2"/>
    <d v="2025-11-17T00:00:00"/>
    <x v="1"/>
    <x v="0"/>
    <x v="0"/>
    <x v="0"/>
    <x v="0"/>
    <m/>
    <m/>
    <x v="0"/>
    <x v="0"/>
    <x v="0"/>
    <x v="0"/>
    <x v="0"/>
    <x v="3"/>
  </r>
  <r>
    <d v="2025-11-18T00:00:00"/>
    <x v="3"/>
    <d v="2025-11-18T00:00:00"/>
    <x v="1"/>
    <x v="0"/>
    <x v="0"/>
    <x v="0"/>
    <x v="0"/>
    <m/>
    <m/>
    <x v="0"/>
    <x v="0"/>
    <x v="0"/>
    <x v="0"/>
    <x v="0"/>
    <x v="3"/>
  </r>
  <r>
    <d v="2025-11-19T00:00:00"/>
    <x v="4"/>
    <d v="2025-11-19T00:00:00"/>
    <x v="1"/>
    <x v="0"/>
    <x v="0"/>
    <x v="0"/>
    <x v="0"/>
    <m/>
    <m/>
    <x v="0"/>
    <x v="0"/>
    <x v="0"/>
    <x v="0"/>
    <x v="0"/>
    <x v="3"/>
  </r>
  <r>
    <d v="2025-11-20T00:00:00"/>
    <x v="5"/>
    <d v="2025-11-20T00:00:00"/>
    <x v="1"/>
    <x v="0"/>
    <x v="0"/>
    <x v="0"/>
    <x v="0"/>
    <m/>
    <m/>
    <x v="0"/>
    <x v="0"/>
    <x v="0"/>
    <x v="0"/>
    <x v="0"/>
    <x v="3"/>
  </r>
  <r>
    <d v="2025-11-21T00:00:00"/>
    <x v="6"/>
    <d v="2025-11-21T00:00:00"/>
    <x v="1"/>
    <x v="0"/>
    <x v="0"/>
    <x v="0"/>
    <x v="0"/>
    <m/>
    <m/>
    <x v="0"/>
    <x v="0"/>
    <x v="0"/>
    <x v="0"/>
    <x v="0"/>
    <x v="3"/>
  </r>
  <r>
    <d v="2025-11-22T00:00:00"/>
    <x v="0"/>
    <d v="2025-11-22T00:00:00"/>
    <x v="0"/>
    <x v="0"/>
    <x v="0"/>
    <x v="0"/>
    <x v="0"/>
    <m/>
    <m/>
    <x v="0"/>
    <x v="0"/>
    <x v="0"/>
    <x v="0"/>
    <x v="0"/>
    <x v="3"/>
  </r>
  <r>
    <d v="2025-11-23T00:00:00"/>
    <x v="1"/>
    <d v="2025-11-23T00:00:00"/>
    <x v="0"/>
    <x v="0"/>
    <x v="0"/>
    <x v="0"/>
    <x v="0"/>
    <m/>
    <m/>
    <x v="0"/>
    <x v="0"/>
    <x v="0"/>
    <x v="0"/>
    <x v="0"/>
    <x v="3"/>
  </r>
  <r>
    <d v="2025-11-24T00:00:00"/>
    <x v="2"/>
    <d v="2025-11-24T00:00:00"/>
    <x v="1"/>
    <x v="0"/>
    <x v="0"/>
    <x v="0"/>
    <x v="0"/>
    <m/>
    <m/>
    <x v="0"/>
    <x v="0"/>
    <x v="0"/>
    <x v="0"/>
    <x v="0"/>
    <x v="3"/>
  </r>
  <r>
    <d v="2025-11-25T00:00:00"/>
    <x v="3"/>
    <d v="2025-11-25T00:00:00"/>
    <x v="1"/>
    <x v="0"/>
    <x v="0"/>
    <x v="0"/>
    <x v="0"/>
    <m/>
    <m/>
    <x v="0"/>
    <x v="0"/>
    <x v="0"/>
    <x v="0"/>
    <x v="0"/>
    <x v="3"/>
  </r>
  <r>
    <d v="2025-11-26T00:00:00"/>
    <x v="4"/>
    <d v="2025-11-26T00:00:00"/>
    <x v="1"/>
    <x v="0"/>
    <x v="0"/>
    <x v="0"/>
    <x v="0"/>
    <m/>
    <m/>
    <x v="0"/>
    <x v="0"/>
    <x v="0"/>
    <x v="0"/>
    <x v="0"/>
    <x v="3"/>
  </r>
  <r>
    <d v="2025-11-27T00:00:00"/>
    <x v="5"/>
    <d v="2025-11-27T00:00:00"/>
    <x v="1"/>
    <x v="0"/>
    <x v="0"/>
    <x v="0"/>
    <x v="0"/>
    <m/>
    <m/>
    <x v="0"/>
    <x v="0"/>
    <x v="0"/>
    <x v="0"/>
    <x v="0"/>
    <x v="3"/>
  </r>
  <r>
    <d v="2025-11-28T00:00:00"/>
    <x v="6"/>
    <d v="2025-11-28T00:00:00"/>
    <x v="1"/>
    <x v="0"/>
    <x v="0"/>
    <x v="0"/>
    <x v="0"/>
    <m/>
    <m/>
    <x v="0"/>
    <x v="0"/>
    <x v="0"/>
    <x v="0"/>
    <x v="0"/>
    <x v="3"/>
  </r>
  <r>
    <d v="2025-11-29T00:00:00"/>
    <x v="0"/>
    <d v="2025-11-29T00:00:00"/>
    <x v="0"/>
    <x v="0"/>
    <x v="0"/>
    <x v="0"/>
    <x v="0"/>
    <m/>
    <m/>
    <x v="0"/>
    <x v="0"/>
    <x v="0"/>
    <x v="0"/>
    <x v="0"/>
    <x v="3"/>
  </r>
  <r>
    <d v="2025-11-30T00:00:00"/>
    <x v="1"/>
    <d v="2025-11-30T00:00:00"/>
    <x v="0"/>
    <x v="0"/>
    <x v="0"/>
    <x v="0"/>
    <x v="0"/>
    <m/>
    <m/>
    <x v="0"/>
    <x v="0"/>
    <x v="0"/>
    <x v="0"/>
    <x v="0"/>
    <x v="3"/>
  </r>
  <r>
    <d v="2025-12-01T00:00:00"/>
    <x v="2"/>
    <d v="2025-12-01T00:00:00"/>
    <x v="1"/>
    <x v="0"/>
    <x v="0"/>
    <x v="0"/>
    <x v="0"/>
    <m/>
    <m/>
    <x v="0"/>
    <x v="0"/>
    <x v="0"/>
    <x v="0"/>
    <x v="0"/>
    <x v="3"/>
  </r>
  <r>
    <d v="2025-12-02T00:00:00"/>
    <x v="3"/>
    <d v="2025-12-02T00:00:00"/>
    <x v="1"/>
    <x v="0"/>
    <x v="0"/>
    <x v="0"/>
    <x v="0"/>
    <m/>
    <m/>
    <x v="0"/>
    <x v="0"/>
    <x v="0"/>
    <x v="0"/>
    <x v="0"/>
    <x v="3"/>
  </r>
  <r>
    <d v="2025-12-03T00:00:00"/>
    <x v="4"/>
    <d v="2025-12-03T00:00:00"/>
    <x v="1"/>
    <x v="0"/>
    <x v="0"/>
    <x v="0"/>
    <x v="0"/>
    <m/>
    <m/>
    <x v="0"/>
    <x v="0"/>
    <x v="0"/>
    <x v="0"/>
    <x v="0"/>
    <x v="3"/>
  </r>
  <r>
    <d v="2025-12-04T00:00:00"/>
    <x v="5"/>
    <d v="2025-12-04T00:00:00"/>
    <x v="1"/>
    <x v="0"/>
    <x v="0"/>
    <x v="0"/>
    <x v="0"/>
    <m/>
    <m/>
    <x v="0"/>
    <x v="0"/>
    <x v="0"/>
    <x v="0"/>
    <x v="0"/>
    <x v="3"/>
  </r>
  <r>
    <d v="2025-12-05T00:00:00"/>
    <x v="6"/>
    <d v="2025-12-05T00:00:00"/>
    <x v="1"/>
    <x v="0"/>
    <x v="0"/>
    <x v="0"/>
    <x v="0"/>
    <m/>
    <m/>
    <x v="0"/>
    <x v="0"/>
    <x v="0"/>
    <x v="0"/>
    <x v="0"/>
    <x v="3"/>
  </r>
  <r>
    <d v="2025-12-06T00:00:00"/>
    <x v="0"/>
    <d v="2025-12-06T00:00:00"/>
    <x v="0"/>
    <x v="0"/>
    <x v="0"/>
    <x v="0"/>
    <x v="0"/>
    <m/>
    <m/>
    <x v="0"/>
    <x v="0"/>
    <x v="0"/>
    <x v="0"/>
    <x v="0"/>
    <x v="3"/>
  </r>
  <r>
    <d v="2025-12-07T00:00:00"/>
    <x v="1"/>
    <d v="2025-12-07T00:00:00"/>
    <x v="0"/>
    <x v="0"/>
    <x v="0"/>
    <x v="0"/>
    <x v="0"/>
    <m/>
    <m/>
    <x v="0"/>
    <x v="0"/>
    <x v="0"/>
    <x v="0"/>
    <x v="0"/>
    <x v="3"/>
  </r>
  <r>
    <d v="2025-12-08T00:00:00"/>
    <x v="2"/>
    <d v="2025-12-08T00:00:00"/>
    <x v="1"/>
    <x v="0"/>
    <x v="0"/>
    <x v="0"/>
    <x v="0"/>
    <m/>
    <m/>
    <x v="0"/>
    <x v="0"/>
    <x v="0"/>
    <x v="0"/>
    <x v="0"/>
    <x v="3"/>
  </r>
  <r>
    <d v="2025-12-09T00:00:00"/>
    <x v="3"/>
    <d v="2025-12-09T00:00:00"/>
    <x v="1"/>
    <x v="0"/>
    <x v="0"/>
    <x v="0"/>
    <x v="0"/>
    <m/>
    <m/>
    <x v="0"/>
    <x v="0"/>
    <x v="0"/>
    <x v="0"/>
    <x v="0"/>
    <x v="3"/>
  </r>
  <r>
    <d v="2025-12-10T00:00:00"/>
    <x v="4"/>
    <d v="2025-12-10T00:00:00"/>
    <x v="1"/>
    <x v="0"/>
    <x v="0"/>
    <x v="0"/>
    <x v="0"/>
    <m/>
    <m/>
    <x v="0"/>
    <x v="0"/>
    <x v="0"/>
    <x v="0"/>
    <x v="0"/>
    <x v="3"/>
  </r>
  <r>
    <d v="2025-12-11T00:00:00"/>
    <x v="5"/>
    <d v="2025-12-11T00:00:00"/>
    <x v="1"/>
    <x v="0"/>
    <x v="0"/>
    <x v="0"/>
    <x v="0"/>
    <m/>
    <m/>
    <x v="0"/>
    <x v="0"/>
    <x v="0"/>
    <x v="0"/>
    <x v="0"/>
    <x v="3"/>
  </r>
  <r>
    <d v="2025-12-12T00:00:00"/>
    <x v="6"/>
    <d v="2025-12-12T00:00:00"/>
    <x v="1"/>
    <x v="0"/>
    <x v="0"/>
    <x v="0"/>
    <x v="0"/>
    <m/>
    <m/>
    <x v="0"/>
    <x v="0"/>
    <x v="0"/>
    <x v="0"/>
    <x v="0"/>
    <x v="3"/>
  </r>
  <r>
    <d v="2025-12-13T00:00:00"/>
    <x v="0"/>
    <d v="2025-12-13T00:00:00"/>
    <x v="0"/>
    <x v="0"/>
    <x v="0"/>
    <x v="0"/>
    <x v="0"/>
    <m/>
    <m/>
    <x v="0"/>
    <x v="0"/>
    <x v="0"/>
    <x v="0"/>
    <x v="0"/>
    <x v="3"/>
  </r>
  <r>
    <d v="2025-12-14T00:00:00"/>
    <x v="1"/>
    <d v="2025-12-14T00:00:00"/>
    <x v="0"/>
    <x v="0"/>
    <x v="0"/>
    <x v="0"/>
    <x v="0"/>
    <m/>
    <m/>
    <x v="0"/>
    <x v="0"/>
    <x v="0"/>
    <x v="0"/>
    <x v="0"/>
    <x v="3"/>
  </r>
  <r>
    <d v="2025-12-15T00:00:00"/>
    <x v="2"/>
    <d v="2025-12-15T00:00:00"/>
    <x v="1"/>
    <x v="0"/>
    <x v="0"/>
    <x v="0"/>
    <x v="0"/>
    <m/>
    <m/>
    <x v="0"/>
    <x v="0"/>
    <x v="0"/>
    <x v="0"/>
    <x v="0"/>
    <x v="3"/>
  </r>
  <r>
    <d v="2025-12-16T00:00:00"/>
    <x v="3"/>
    <d v="2025-12-16T00:00:00"/>
    <x v="1"/>
    <x v="0"/>
    <x v="0"/>
    <x v="0"/>
    <x v="0"/>
    <m/>
    <m/>
    <x v="0"/>
    <x v="0"/>
    <x v="0"/>
    <x v="0"/>
    <x v="0"/>
    <x v="3"/>
  </r>
  <r>
    <d v="2025-12-17T00:00:00"/>
    <x v="4"/>
    <d v="2025-12-17T00:00:00"/>
    <x v="1"/>
    <x v="0"/>
    <x v="0"/>
    <x v="0"/>
    <x v="0"/>
    <m/>
    <m/>
    <x v="0"/>
    <x v="0"/>
    <x v="0"/>
    <x v="0"/>
    <x v="0"/>
    <x v="3"/>
  </r>
  <r>
    <d v="2025-12-18T00:00:00"/>
    <x v="5"/>
    <d v="2025-12-18T00:00:00"/>
    <x v="1"/>
    <x v="0"/>
    <x v="0"/>
    <x v="0"/>
    <x v="0"/>
    <m/>
    <m/>
    <x v="0"/>
    <x v="0"/>
    <x v="0"/>
    <x v="0"/>
    <x v="0"/>
    <x v="3"/>
  </r>
  <r>
    <d v="2025-12-19T00:00:00"/>
    <x v="6"/>
    <d v="2025-12-19T00:00:00"/>
    <x v="1"/>
    <x v="0"/>
    <x v="0"/>
    <x v="0"/>
    <x v="0"/>
    <m/>
    <m/>
    <x v="0"/>
    <x v="0"/>
    <x v="0"/>
    <x v="0"/>
    <x v="0"/>
    <x v="3"/>
  </r>
  <r>
    <d v="2025-12-20T00:00:00"/>
    <x v="0"/>
    <d v="2025-12-20T00:00:00"/>
    <x v="0"/>
    <x v="0"/>
    <x v="0"/>
    <x v="0"/>
    <x v="0"/>
    <m/>
    <m/>
    <x v="0"/>
    <x v="0"/>
    <x v="0"/>
    <x v="0"/>
    <x v="0"/>
    <x v="3"/>
  </r>
  <r>
    <d v="2025-12-21T00:00:00"/>
    <x v="1"/>
    <d v="2025-12-21T00:00:00"/>
    <x v="0"/>
    <x v="0"/>
    <x v="0"/>
    <x v="0"/>
    <x v="0"/>
    <m/>
    <m/>
    <x v="0"/>
    <x v="0"/>
    <x v="0"/>
    <x v="0"/>
    <x v="0"/>
    <x v="3"/>
  </r>
  <r>
    <d v="2025-12-22T00:00:00"/>
    <x v="2"/>
    <d v="2025-12-22T00:00:00"/>
    <x v="1"/>
    <x v="0"/>
    <x v="0"/>
    <x v="0"/>
    <x v="0"/>
    <m/>
    <m/>
    <x v="0"/>
    <x v="0"/>
    <x v="0"/>
    <x v="0"/>
    <x v="0"/>
    <x v="3"/>
  </r>
  <r>
    <d v="2025-12-23T00:00:00"/>
    <x v="3"/>
    <d v="2025-12-23T00:00:00"/>
    <x v="1"/>
    <x v="0"/>
    <x v="0"/>
    <x v="0"/>
    <x v="0"/>
    <m/>
    <m/>
    <x v="0"/>
    <x v="0"/>
    <x v="0"/>
    <x v="0"/>
    <x v="0"/>
    <x v="3"/>
  </r>
  <r>
    <d v="2025-12-24T00:00:00"/>
    <x v="4"/>
    <d v="2025-12-24T00:00:00"/>
    <x v="1"/>
    <x v="0"/>
    <x v="0"/>
    <x v="0"/>
    <x v="0"/>
    <m/>
    <m/>
    <x v="0"/>
    <x v="0"/>
    <x v="0"/>
    <x v="0"/>
    <x v="0"/>
    <x v="3"/>
  </r>
  <r>
    <d v="2025-12-25T00:00:00"/>
    <x v="5"/>
    <d v="2025-12-25T00:00:00"/>
    <x v="1"/>
    <x v="0"/>
    <x v="0"/>
    <x v="0"/>
    <x v="0"/>
    <m/>
    <m/>
    <x v="0"/>
    <x v="0"/>
    <x v="0"/>
    <x v="0"/>
    <x v="0"/>
    <x v="3"/>
  </r>
  <r>
    <d v="2025-12-26T00:00:00"/>
    <x v="6"/>
    <d v="2025-12-26T00:00:00"/>
    <x v="1"/>
    <x v="0"/>
    <x v="0"/>
    <x v="0"/>
    <x v="0"/>
    <m/>
    <m/>
    <x v="0"/>
    <x v="0"/>
    <x v="0"/>
    <x v="0"/>
    <x v="0"/>
    <x v="3"/>
  </r>
  <r>
    <d v="2025-12-27T00:00:00"/>
    <x v="0"/>
    <d v="2025-12-27T00:00:00"/>
    <x v="0"/>
    <x v="0"/>
    <x v="0"/>
    <x v="0"/>
    <x v="0"/>
    <m/>
    <m/>
    <x v="0"/>
    <x v="0"/>
    <x v="0"/>
    <x v="0"/>
    <x v="0"/>
    <x v="3"/>
  </r>
  <r>
    <d v="2025-12-28T00:00:00"/>
    <x v="1"/>
    <d v="2025-12-28T00:00:00"/>
    <x v="0"/>
    <x v="0"/>
    <x v="0"/>
    <x v="0"/>
    <x v="0"/>
    <m/>
    <m/>
    <x v="0"/>
    <x v="0"/>
    <x v="0"/>
    <x v="0"/>
    <x v="0"/>
    <x v="3"/>
  </r>
  <r>
    <d v="2025-12-29T00:00:00"/>
    <x v="2"/>
    <d v="2025-12-29T00:00:00"/>
    <x v="1"/>
    <x v="0"/>
    <x v="0"/>
    <x v="0"/>
    <x v="0"/>
    <m/>
    <m/>
    <x v="0"/>
    <x v="0"/>
    <x v="0"/>
    <x v="0"/>
    <x v="0"/>
    <x v="3"/>
  </r>
  <r>
    <d v="2025-12-30T00:00:00"/>
    <x v="3"/>
    <d v="2025-12-30T00:00:00"/>
    <x v="1"/>
    <x v="0"/>
    <x v="0"/>
    <x v="0"/>
    <x v="0"/>
    <m/>
    <m/>
    <x v="0"/>
    <x v="0"/>
    <x v="0"/>
    <x v="0"/>
    <x v="0"/>
    <x v="3"/>
  </r>
  <r>
    <d v="2025-12-31T00:00:00"/>
    <x v="4"/>
    <d v="2025-12-31T00:00:00"/>
    <x v="1"/>
    <x v="0"/>
    <x v="0"/>
    <x v="0"/>
    <x v="0"/>
    <m/>
    <m/>
    <x v="0"/>
    <x v="0"/>
    <x v="0"/>
    <x v="0"/>
    <x v="0"/>
    <x v="3"/>
  </r>
  <r>
    <d v="2026-01-01T00:00:00"/>
    <x v="5"/>
    <d v="2026-01-01T00:00:00"/>
    <x v="1"/>
    <x v="0"/>
    <x v="0"/>
    <x v="0"/>
    <x v="0"/>
    <m/>
    <m/>
    <x v="0"/>
    <x v="0"/>
    <x v="0"/>
    <x v="0"/>
    <x v="0"/>
    <x v="3"/>
  </r>
  <r>
    <d v="2026-01-02T00:00:00"/>
    <x v="6"/>
    <d v="2026-01-02T00:00:00"/>
    <x v="1"/>
    <x v="0"/>
    <x v="0"/>
    <x v="0"/>
    <x v="0"/>
    <m/>
    <m/>
    <x v="0"/>
    <x v="0"/>
    <x v="0"/>
    <x v="0"/>
    <x v="0"/>
    <x v="3"/>
  </r>
  <r>
    <d v="2026-01-03T00:00:00"/>
    <x v="0"/>
    <d v="2026-01-03T00:00:00"/>
    <x v="0"/>
    <x v="0"/>
    <x v="0"/>
    <x v="0"/>
    <x v="0"/>
    <m/>
    <m/>
    <x v="0"/>
    <x v="0"/>
    <x v="0"/>
    <x v="0"/>
    <x v="0"/>
    <x v="3"/>
  </r>
  <r>
    <d v="2026-01-04T00:00:00"/>
    <x v="1"/>
    <d v="2026-01-04T00:00:00"/>
    <x v="0"/>
    <x v="0"/>
    <x v="0"/>
    <x v="0"/>
    <x v="0"/>
    <m/>
    <m/>
    <x v="0"/>
    <x v="0"/>
    <x v="0"/>
    <x v="0"/>
    <x v="0"/>
    <x v="3"/>
  </r>
  <r>
    <d v="2026-01-05T00:00:00"/>
    <x v="2"/>
    <d v="2026-01-05T00:00:00"/>
    <x v="1"/>
    <x v="0"/>
    <x v="0"/>
    <x v="0"/>
    <x v="0"/>
    <m/>
    <m/>
    <x v="0"/>
    <x v="0"/>
    <x v="0"/>
    <x v="0"/>
    <x v="0"/>
    <x v="3"/>
  </r>
  <r>
    <d v="2026-01-06T00:00:00"/>
    <x v="3"/>
    <d v="2026-01-06T00:00:00"/>
    <x v="1"/>
    <x v="0"/>
    <x v="0"/>
    <x v="0"/>
    <x v="0"/>
    <m/>
    <m/>
    <x v="0"/>
    <x v="0"/>
    <x v="0"/>
    <x v="0"/>
    <x v="0"/>
    <x v="3"/>
  </r>
  <r>
    <d v="2026-01-07T00:00:00"/>
    <x v="4"/>
    <d v="2026-01-07T00:00:00"/>
    <x v="1"/>
    <x v="0"/>
    <x v="0"/>
    <x v="0"/>
    <x v="0"/>
    <m/>
    <m/>
    <x v="0"/>
    <x v="0"/>
    <x v="0"/>
    <x v="0"/>
    <x v="0"/>
    <x v="3"/>
  </r>
  <r>
    <d v="2026-01-08T00:00:00"/>
    <x v="5"/>
    <d v="2026-01-08T00:00:00"/>
    <x v="2"/>
    <x v="17"/>
    <x v="63"/>
    <x v="14"/>
    <x v="16"/>
    <n v="0.02"/>
    <n v="18.010000000000002"/>
    <x v="5"/>
    <x v="3"/>
    <x v="14"/>
    <x v="13"/>
    <x v="1"/>
    <x v="3"/>
  </r>
  <r>
    <d v="2026-01-09T00:00:00"/>
    <x v="6"/>
    <d v="2026-01-09T00:00:00"/>
    <x v="2"/>
    <x v="17"/>
    <x v="63"/>
    <x v="14"/>
    <x v="10"/>
    <n v="0.01"/>
    <n v="36.020000000000003"/>
    <x v="5"/>
    <x v="3"/>
    <x v="14"/>
    <x v="13"/>
    <x v="1"/>
    <x v="3"/>
  </r>
  <r>
    <d v="2026-01-10T00:00:00"/>
    <x v="0"/>
    <d v="2026-01-10T00:00:00"/>
    <x v="2"/>
    <x v="17"/>
    <x v="63"/>
    <x v="0"/>
    <x v="5"/>
    <m/>
    <n v="18"/>
    <x v="5"/>
    <x v="3"/>
    <x v="14"/>
    <x v="13"/>
    <x v="1"/>
    <x v="3"/>
  </r>
  <r>
    <d v="2026-01-11T00:00:00"/>
    <x v="1"/>
    <d v="2026-01-11T00:00:00"/>
    <x v="0"/>
    <x v="0"/>
    <x v="0"/>
    <x v="0"/>
    <x v="0"/>
    <m/>
    <m/>
    <x v="0"/>
    <x v="0"/>
    <x v="0"/>
    <x v="0"/>
    <x v="0"/>
    <x v="3"/>
  </r>
  <r>
    <d v="2026-01-12T00:00:00"/>
    <x v="2"/>
    <d v="2026-01-12T00:00:00"/>
    <x v="2"/>
    <x v="17"/>
    <x v="63"/>
    <x v="14"/>
    <x v="5"/>
    <n v="0.03"/>
    <n v="12"/>
    <x v="5"/>
    <x v="3"/>
    <x v="14"/>
    <x v="0"/>
    <x v="0"/>
    <x v="3"/>
  </r>
  <r>
    <d v="2026-01-13T00:00:00"/>
    <x v="3"/>
    <d v="2026-01-13T00:00:00"/>
    <x v="2"/>
    <x v="17"/>
    <x v="63"/>
    <x v="0"/>
    <x v="0"/>
    <n v="24"/>
    <n v="60"/>
    <x v="0"/>
    <x v="0"/>
    <x v="14"/>
    <x v="0"/>
    <x v="0"/>
    <x v="3"/>
  </r>
  <r>
    <d v="2026-01-14T00:00:00"/>
    <x v="4"/>
    <d v="2026-01-14T00:00:00"/>
    <x v="2"/>
    <x v="17"/>
    <x v="63"/>
    <x v="14"/>
    <x v="16"/>
    <n v="0.01"/>
    <n v="30"/>
    <x v="5"/>
    <x v="3"/>
    <x v="12"/>
    <x v="13"/>
    <x v="1"/>
    <x v="3"/>
  </r>
  <r>
    <d v="2026-01-15T00:00:00"/>
    <x v="5"/>
    <d v="2026-01-15T00:00:00"/>
    <x v="2"/>
    <x v="17"/>
    <x v="63"/>
    <x v="14"/>
    <x v="16"/>
    <n v="0.01"/>
    <n v="30"/>
    <x v="5"/>
    <x v="3"/>
    <x v="11"/>
    <x v="13"/>
    <x v="0"/>
    <x v="3"/>
  </r>
  <r>
    <d v="2026-01-16T00:00:00"/>
    <x v="6"/>
    <d v="2026-01-16T00:00:00"/>
    <x v="2"/>
    <x v="17"/>
    <x v="63"/>
    <x v="14"/>
    <x v="1"/>
    <n v="0.01"/>
    <n v="30"/>
    <x v="5"/>
    <x v="3"/>
    <x v="11"/>
    <x v="13"/>
    <x v="1"/>
    <x v="3"/>
  </r>
  <r>
    <d v="2026-01-17T00:00:00"/>
    <x v="0"/>
    <d v="2026-01-17T00:00:00"/>
    <x v="2"/>
    <x v="17"/>
    <x v="63"/>
    <x v="14"/>
    <x v="16"/>
    <n v="0"/>
    <n v="6"/>
    <x v="5"/>
    <x v="3"/>
    <x v="14"/>
    <x v="13"/>
    <x v="1"/>
    <x v="3"/>
  </r>
  <r>
    <d v="2026-01-18T00:00:00"/>
    <x v="1"/>
    <d v="2026-01-18T00:00:00"/>
    <x v="0"/>
    <x v="0"/>
    <x v="0"/>
    <x v="0"/>
    <x v="0"/>
    <m/>
    <m/>
    <x v="0"/>
    <x v="0"/>
    <x v="0"/>
    <x v="0"/>
    <x v="0"/>
    <x v="3"/>
  </r>
  <r>
    <d v="2026-01-19T00:00:00"/>
    <x v="2"/>
    <d v="2026-01-19T00:00:00"/>
    <x v="2"/>
    <x v="17"/>
    <x v="63"/>
    <x v="14"/>
    <x v="16"/>
    <n v="0.01"/>
    <n v="60.01"/>
    <x v="5"/>
    <x v="3"/>
    <x v="14"/>
    <x v="13"/>
    <x v="1"/>
    <x v="3"/>
  </r>
  <r>
    <d v="2026-01-20T00:00:00"/>
    <x v="3"/>
    <d v="2026-01-20T00:00:00"/>
    <x v="2"/>
    <x v="17"/>
    <x v="63"/>
    <x v="8"/>
    <x v="6"/>
    <n v="58"/>
    <n v="6"/>
    <x v="5"/>
    <x v="3"/>
    <x v="14"/>
    <x v="13"/>
    <x v="1"/>
    <x v="3"/>
  </r>
  <r>
    <d v="2026-01-21T00:00:00"/>
    <x v="4"/>
    <d v="2026-01-21T00:00:00"/>
    <x v="2"/>
    <x v="17"/>
    <x v="63"/>
    <x v="10"/>
    <x v="7"/>
    <n v="70.02000000000001"/>
    <n v="64"/>
    <x v="5"/>
    <x v="3"/>
    <x v="14"/>
    <x v="13"/>
    <x v="1"/>
    <x v="3"/>
  </r>
  <r>
    <d v="2026-01-22T00:00:00"/>
    <x v="5"/>
    <d v="2026-01-22T00:00:00"/>
    <x v="2"/>
    <x v="17"/>
    <x v="63"/>
    <x v="14"/>
    <x v="16"/>
    <n v="20.020000000000003"/>
    <n v="6.0299999999999994"/>
    <x v="5"/>
    <x v="3"/>
    <x v="14"/>
    <x v="13"/>
    <x v="1"/>
    <x v="3"/>
  </r>
  <r>
    <d v="2026-01-23T00:00:00"/>
    <x v="6"/>
    <d v="2026-01-23T00:00:00"/>
    <x v="2"/>
    <x v="17"/>
    <x v="63"/>
    <x v="8"/>
    <x v="16"/>
    <n v="30.020000000000003"/>
    <n v="60"/>
    <x v="5"/>
    <x v="3"/>
    <x v="14"/>
    <x v="13"/>
    <x v="1"/>
    <x v="3"/>
  </r>
  <r>
    <d v="2026-01-24T00:00:00"/>
    <x v="0"/>
    <d v="2026-01-24T00:00:00"/>
    <x v="2"/>
    <x v="17"/>
    <x v="63"/>
    <x v="14"/>
    <x v="16"/>
    <n v="55"/>
    <n v="9"/>
    <x v="5"/>
    <x v="3"/>
    <x v="14"/>
    <x v="13"/>
    <x v="1"/>
    <x v="3"/>
  </r>
  <r>
    <d v="2026-01-25T00:00:00"/>
    <x v="1"/>
    <d v="2026-01-25T00:00:00"/>
    <x v="0"/>
    <x v="0"/>
    <x v="0"/>
    <x v="0"/>
    <x v="0"/>
    <m/>
    <m/>
    <x v="0"/>
    <x v="0"/>
    <x v="0"/>
    <x v="0"/>
    <x v="0"/>
    <x v="3"/>
  </r>
  <r>
    <d v="2026-01-26T00:00:00"/>
    <x v="2"/>
    <d v="2026-01-26T00:00:00"/>
    <x v="0"/>
    <x v="0"/>
    <x v="0"/>
    <x v="0"/>
    <x v="0"/>
    <m/>
    <m/>
    <x v="0"/>
    <x v="0"/>
    <x v="0"/>
    <x v="0"/>
    <x v="0"/>
    <x v="3"/>
  </r>
  <r>
    <d v="2026-01-27T00:00:00"/>
    <x v="3"/>
    <d v="2026-01-27T00:00:00"/>
    <x v="0"/>
    <x v="0"/>
    <x v="0"/>
    <x v="0"/>
    <x v="0"/>
    <m/>
    <m/>
    <x v="0"/>
    <x v="0"/>
    <x v="0"/>
    <x v="0"/>
    <x v="0"/>
    <x v="3"/>
  </r>
  <r>
    <d v="2026-01-28T00:00:00"/>
    <x v="4"/>
    <d v="2026-01-28T00:00:00"/>
    <x v="2"/>
    <x v="17"/>
    <x v="63"/>
    <x v="10"/>
    <x v="6"/>
    <n v="113"/>
    <n v="48"/>
    <x v="5"/>
    <x v="6"/>
    <x v="11"/>
    <x v="13"/>
    <x v="1"/>
    <x v="3"/>
  </r>
  <r>
    <d v="2026-01-29T00:00:00"/>
    <x v="5"/>
    <d v="2026-01-29T00:00:00"/>
    <x v="2"/>
    <x v="17"/>
    <x v="63"/>
    <x v="14"/>
    <x v="16"/>
    <n v="6"/>
    <n v="8"/>
    <x v="3"/>
    <x v="3"/>
    <x v="22"/>
    <x v="13"/>
    <x v="1"/>
    <x v="3"/>
  </r>
  <r>
    <d v="2026-01-30T00:00:00"/>
    <x v="6"/>
    <d v="2026-01-30T00:00:00"/>
    <x v="2"/>
    <x v="17"/>
    <x v="63"/>
    <x v="14"/>
    <x v="11"/>
    <n v="42"/>
    <n v="6"/>
    <x v="5"/>
    <x v="3"/>
    <x v="14"/>
    <x v="13"/>
    <x v="1"/>
    <x v="3"/>
  </r>
  <r>
    <d v="2026-01-31T00:00:00"/>
    <x v="0"/>
    <d v="2026-01-31T00:00:00"/>
    <x v="2"/>
    <x v="17"/>
    <x v="63"/>
    <x v="14"/>
    <x v="16"/>
    <n v="30"/>
    <n v="6"/>
    <x v="5"/>
    <x v="3"/>
    <x v="13"/>
    <x v="13"/>
    <x v="1"/>
    <x v="3"/>
  </r>
  <r>
    <d v="2026-02-01T00:00:00"/>
    <x v="1"/>
    <d v="2026-02-01T00:00:00"/>
    <x v="0"/>
    <x v="0"/>
    <x v="0"/>
    <x v="0"/>
    <x v="0"/>
    <m/>
    <m/>
    <x v="0"/>
    <x v="0"/>
    <x v="0"/>
    <x v="0"/>
    <x v="0"/>
    <x v="3"/>
  </r>
  <r>
    <d v="2026-02-02T00:00:00"/>
    <x v="2"/>
    <d v="2026-02-02T00:00:00"/>
    <x v="2"/>
    <x v="17"/>
    <x v="63"/>
    <x v="7"/>
    <x v="1"/>
    <n v="0"/>
    <n v="12"/>
    <x v="4"/>
    <x v="3"/>
    <x v="6"/>
    <x v="13"/>
    <x v="1"/>
    <x v="3"/>
  </r>
  <r>
    <d v="2026-02-03T00:00:00"/>
    <x v="3"/>
    <d v="2026-02-03T00:00:00"/>
    <x v="2"/>
    <x v="17"/>
    <x v="63"/>
    <x v="11"/>
    <x v="9"/>
    <n v="30"/>
    <n v="6"/>
    <x v="5"/>
    <x v="3"/>
    <x v="16"/>
    <x v="13"/>
    <x v="1"/>
    <x v="3"/>
  </r>
  <r>
    <d v="2026-02-04T00:00:00"/>
    <x v="4"/>
    <d v="2026-02-04T00:00:00"/>
    <x v="2"/>
    <x v="17"/>
    <x v="63"/>
    <x v="14"/>
    <x v="7"/>
    <n v="85"/>
    <n v="20"/>
    <x v="5"/>
    <x v="3"/>
    <x v="3"/>
    <x v="13"/>
    <x v="1"/>
    <x v="3"/>
  </r>
  <r>
    <d v="2026-02-05T00:00:00"/>
    <x v="5"/>
    <d v="2026-02-05T00:00:00"/>
    <x v="2"/>
    <x v="17"/>
    <x v="63"/>
    <x v="14"/>
    <x v="16"/>
    <n v="53"/>
    <n v="0"/>
    <x v="5"/>
    <x v="2"/>
    <x v="3"/>
    <x v="13"/>
    <x v="1"/>
    <x v="3"/>
  </r>
  <r>
    <d v="2026-02-06T00:00:00"/>
    <x v="6"/>
    <d v="2026-02-06T00:00:00"/>
    <x v="2"/>
    <x v="17"/>
    <x v="63"/>
    <x v="14"/>
    <x v="7"/>
    <n v="96"/>
    <n v="6"/>
    <x v="5"/>
    <x v="7"/>
    <x v="14"/>
    <x v="13"/>
    <x v="1"/>
    <x v="3"/>
  </r>
  <r>
    <d v="2026-02-07T00:00:00"/>
    <x v="0"/>
    <d v="2026-02-07T00:00:00"/>
    <x v="0"/>
    <x v="0"/>
    <x v="0"/>
    <x v="0"/>
    <x v="0"/>
    <m/>
    <m/>
    <x v="0"/>
    <x v="0"/>
    <x v="0"/>
    <x v="0"/>
    <x v="0"/>
    <x v="3"/>
  </r>
  <r>
    <d v="2026-02-08T00:00:00"/>
    <x v="1"/>
    <d v="2026-02-08T00:00:00"/>
    <x v="0"/>
    <x v="0"/>
    <x v="0"/>
    <x v="0"/>
    <x v="0"/>
    <m/>
    <m/>
    <x v="0"/>
    <x v="0"/>
    <x v="0"/>
    <x v="0"/>
    <x v="0"/>
    <x v="3"/>
  </r>
  <r>
    <d v="2026-02-09T00:00:00"/>
    <x v="2"/>
    <d v="2026-02-09T00:00:00"/>
    <x v="2"/>
    <x v="17"/>
    <x v="63"/>
    <x v="8"/>
    <x v="14"/>
    <n v="55"/>
    <n v="42.5"/>
    <x v="4"/>
    <x v="3"/>
    <x v="14"/>
    <x v="13"/>
    <x v="1"/>
    <x v="3"/>
  </r>
  <r>
    <d v="2026-02-10T00:00:00"/>
    <x v="3"/>
    <d v="2026-02-10T00:00:00"/>
    <x v="2"/>
    <x v="17"/>
    <x v="63"/>
    <x v="13"/>
    <x v="14"/>
    <n v="8"/>
    <n v="72"/>
    <x v="3"/>
    <x v="3"/>
    <x v="14"/>
    <x v="13"/>
    <x v="1"/>
    <x v="3"/>
  </r>
  <r>
    <d v="2026-02-11T00:00:00"/>
    <x v="4"/>
    <d v="2026-02-11T00:00:00"/>
    <x v="2"/>
    <x v="17"/>
    <x v="63"/>
    <x v="14"/>
    <x v="14"/>
    <n v="18"/>
    <n v="51.5"/>
    <x v="5"/>
    <x v="3"/>
    <x v="13"/>
    <x v="13"/>
    <x v="1"/>
    <x v="3"/>
  </r>
  <r>
    <d v="2026-02-12T00:00:00"/>
    <x v="5"/>
    <d v="2026-02-12T00:00:00"/>
    <x v="2"/>
    <x v="17"/>
    <x v="63"/>
    <x v="2"/>
    <x v="14"/>
    <n v="12"/>
    <n v="48"/>
    <x v="5"/>
    <x v="3"/>
    <x v="14"/>
    <x v="13"/>
    <x v="1"/>
    <x v="3"/>
  </r>
  <r>
    <d v="2026-02-13T00:00:00"/>
    <x v="6"/>
    <d v="2026-02-13T00:00:00"/>
    <x v="2"/>
    <x v="17"/>
    <x v="63"/>
    <x v="14"/>
    <x v="16"/>
    <n v="25"/>
    <n v="12"/>
    <x v="3"/>
    <x v="3"/>
    <x v="14"/>
    <x v="13"/>
    <x v="1"/>
    <x v="3"/>
  </r>
  <r>
    <d v="2026-02-14T00:00:00"/>
    <x v="0"/>
    <d v="2026-02-14T00:00:00"/>
    <x v="0"/>
    <x v="0"/>
    <x v="0"/>
    <x v="0"/>
    <x v="0"/>
    <m/>
    <m/>
    <x v="0"/>
    <x v="0"/>
    <x v="0"/>
    <x v="0"/>
    <x v="0"/>
    <x v="3"/>
  </r>
  <r>
    <d v="2026-02-15T00:00:00"/>
    <x v="1"/>
    <d v="2026-02-15T00:00:00"/>
    <x v="0"/>
    <x v="0"/>
    <x v="0"/>
    <x v="0"/>
    <x v="0"/>
    <m/>
    <m/>
    <x v="0"/>
    <x v="0"/>
    <x v="0"/>
    <x v="0"/>
    <x v="0"/>
    <x v="3"/>
  </r>
  <r>
    <d v="2026-02-16T00:00:00"/>
    <x v="2"/>
    <d v="2026-02-16T00:00:00"/>
    <x v="0"/>
    <x v="0"/>
    <x v="0"/>
    <x v="0"/>
    <x v="0"/>
    <m/>
    <m/>
    <x v="0"/>
    <x v="0"/>
    <x v="0"/>
    <x v="0"/>
    <x v="0"/>
    <x v="3"/>
  </r>
  <r>
    <d v="2026-02-17T00:00:00"/>
    <x v="3"/>
    <d v="2026-02-17T00:00:00"/>
    <x v="0"/>
    <x v="0"/>
    <x v="0"/>
    <x v="0"/>
    <x v="0"/>
    <m/>
    <m/>
    <x v="0"/>
    <x v="0"/>
    <x v="0"/>
    <x v="0"/>
    <x v="0"/>
    <x v="3"/>
  </r>
  <r>
    <d v="2026-02-18T00:00:00"/>
    <x v="4"/>
    <d v="2026-02-18T00:00:00"/>
    <x v="2"/>
    <x v="17"/>
    <x v="63"/>
    <x v="2"/>
    <x v="16"/>
    <n v="37"/>
    <n v="18"/>
    <x v="5"/>
    <x v="3"/>
    <x v="14"/>
    <x v="13"/>
    <x v="1"/>
    <x v="3"/>
  </r>
  <r>
    <d v="2026-02-19T00:00:00"/>
    <x v="5"/>
    <d v="2026-02-19T00:00:00"/>
    <x v="2"/>
    <x v="17"/>
    <x v="63"/>
    <x v="14"/>
    <x v="11"/>
    <n v="36"/>
    <n v="66"/>
    <x v="4"/>
    <x v="3"/>
    <x v="14"/>
    <x v="13"/>
    <x v="1"/>
    <x v="3"/>
  </r>
  <r>
    <d v="2026-02-20T00:00:00"/>
    <x v="6"/>
    <d v="2026-02-20T00:00:00"/>
    <x v="2"/>
    <x v="17"/>
    <x v="63"/>
    <x v="2"/>
    <x v="16"/>
    <n v="24"/>
    <n v="66"/>
    <x v="4"/>
    <x v="3"/>
    <x v="14"/>
    <x v="13"/>
    <x v="1"/>
    <x v="3"/>
  </r>
  <r>
    <d v="2026-02-21T00:00:00"/>
    <x v="0"/>
    <d v="2026-02-21T00:00:00"/>
    <x v="0"/>
    <x v="0"/>
    <x v="0"/>
    <x v="0"/>
    <x v="0"/>
    <m/>
    <m/>
    <x v="0"/>
    <x v="0"/>
    <x v="0"/>
    <x v="0"/>
    <x v="0"/>
    <x v="3"/>
  </r>
  <r>
    <d v="2026-02-22T00:00:00"/>
    <x v="1"/>
    <d v="2026-02-22T00:00:00"/>
    <x v="0"/>
    <x v="0"/>
    <x v="0"/>
    <x v="0"/>
    <x v="0"/>
    <m/>
    <m/>
    <x v="0"/>
    <x v="0"/>
    <x v="0"/>
    <x v="0"/>
    <x v="0"/>
    <x v="3"/>
  </r>
  <r>
    <d v="2026-02-23T00:00:00"/>
    <x v="2"/>
    <d v="2026-02-23T00:00:00"/>
    <x v="2"/>
    <x v="17"/>
    <x v="63"/>
    <x v="1"/>
    <x v="18"/>
    <n v="12"/>
    <n v="32"/>
    <x v="5"/>
    <x v="3"/>
    <x v="14"/>
    <x v="13"/>
    <x v="1"/>
    <x v="3"/>
  </r>
  <r>
    <d v="2026-02-24T00:00:00"/>
    <x v="3"/>
    <d v="2026-02-24T00:00:00"/>
    <x v="2"/>
    <x v="17"/>
    <x v="63"/>
    <x v="1"/>
    <x v="1"/>
    <n v="88"/>
    <n v="22"/>
    <x v="4"/>
    <x v="8"/>
    <x v="14"/>
    <x v="0"/>
    <x v="0"/>
    <x v="3"/>
  </r>
  <r>
    <d v="2026-02-25T00:00:00"/>
    <x v="4"/>
    <d v="2026-02-25T00:00:00"/>
    <x v="2"/>
    <x v="17"/>
    <x v="63"/>
    <x v="14"/>
    <x v="2"/>
    <n v="42"/>
    <n v="26"/>
    <x v="3"/>
    <x v="3"/>
    <x v="14"/>
    <x v="13"/>
    <x v="1"/>
    <x v="3"/>
  </r>
  <r>
    <d v="2026-02-26T00:00:00"/>
    <x v="5"/>
    <d v="2026-02-26T00:00:00"/>
    <x v="0"/>
    <x v="0"/>
    <x v="0"/>
    <x v="0"/>
    <x v="0"/>
    <m/>
    <m/>
    <x v="0"/>
    <x v="0"/>
    <x v="0"/>
    <x v="0"/>
    <x v="0"/>
    <x v="3"/>
  </r>
  <r>
    <d v="2026-02-27T00:00:00"/>
    <x v="6"/>
    <d v="2026-02-27T00:00:00"/>
    <x v="2"/>
    <x v="17"/>
    <x v="63"/>
    <x v="10"/>
    <x v="19"/>
    <n v="0"/>
    <n v="0"/>
    <x v="5"/>
    <x v="3"/>
    <x v="14"/>
    <x v="13"/>
    <x v="1"/>
    <x v="3"/>
  </r>
  <r>
    <d v="2026-02-28T00:00:00"/>
    <x v="0"/>
    <d v="2026-02-28T00:00:00"/>
    <x v="2"/>
    <x v="17"/>
    <x v="63"/>
    <x v="14"/>
    <x v="1"/>
    <n v="0"/>
    <n v="6"/>
    <x v="5"/>
    <x v="3"/>
    <x v="14"/>
    <x v="13"/>
    <x v="1"/>
    <x v="3"/>
  </r>
  <r>
    <d v="2026-03-01T00:00:00"/>
    <x v="1"/>
    <d v="2026-03-01T00:00:00"/>
    <x v="0"/>
    <x v="0"/>
    <x v="0"/>
    <x v="0"/>
    <x v="0"/>
    <m/>
    <m/>
    <x v="0"/>
    <x v="0"/>
    <x v="0"/>
    <x v="0"/>
    <x v="0"/>
    <x v="3"/>
  </r>
  <r>
    <d v="2026-03-02T00:00:00"/>
    <x v="2"/>
    <d v="2026-03-02T00:00:00"/>
    <x v="2"/>
    <x v="18"/>
    <x v="64"/>
    <x v="0"/>
    <x v="10"/>
    <m/>
    <m/>
    <x v="0"/>
    <x v="0"/>
    <x v="0"/>
    <x v="0"/>
    <x v="0"/>
    <x v="3"/>
  </r>
  <r>
    <d v="2026-03-02T00:00:00"/>
    <x v="2"/>
    <d v="2026-03-02T00:00:00"/>
    <x v="2"/>
    <x v="19"/>
    <x v="65"/>
    <x v="0"/>
    <x v="0"/>
    <m/>
    <n v="6"/>
    <x v="0"/>
    <x v="0"/>
    <x v="0"/>
    <x v="0"/>
    <x v="0"/>
    <x v="3"/>
  </r>
  <r>
    <d v="2026-03-02T00:00:00"/>
    <x v="2"/>
    <d v="2026-03-02T00:00:00"/>
    <x v="2"/>
    <x v="20"/>
    <x v="66"/>
    <x v="0"/>
    <x v="14"/>
    <m/>
    <m/>
    <x v="0"/>
    <x v="0"/>
    <x v="0"/>
    <x v="0"/>
    <x v="0"/>
    <x v="3"/>
  </r>
  <r>
    <d v="2026-03-02T00:00:00"/>
    <x v="2"/>
    <d v="2026-03-02T00:00:00"/>
    <x v="2"/>
    <x v="21"/>
    <x v="67"/>
    <x v="0"/>
    <x v="0"/>
    <m/>
    <n v="6"/>
    <x v="0"/>
    <x v="0"/>
    <x v="0"/>
    <x v="0"/>
    <x v="0"/>
    <x v="3"/>
  </r>
  <r>
    <d v="2026-03-02T00:00:00"/>
    <x v="2"/>
    <d v="2026-03-02T00:00:00"/>
    <x v="2"/>
    <x v="22"/>
    <x v="68"/>
    <x v="0"/>
    <x v="0"/>
    <m/>
    <m/>
    <x v="4"/>
    <x v="0"/>
    <x v="0"/>
    <x v="0"/>
    <x v="0"/>
    <x v="3"/>
  </r>
  <r>
    <d v="2026-03-02T00:00:00"/>
    <x v="2"/>
    <d v="2026-03-02T00:00:00"/>
    <x v="2"/>
    <x v="23"/>
    <x v="69"/>
    <x v="0"/>
    <x v="0"/>
    <n v="40"/>
    <m/>
    <x v="3"/>
    <x v="0"/>
    <x v="0"/>
    <x v="0"/>
    <x v="0"/>
    <x v="3"/>
  </r>
  <r>
    <d v="2026-03-02T00:00:00"/>
    <x v="2"/>
    <d v="2026-03-02T00:00:00"/>
    <x v="2"/>
    <x v="24"/>
    <x v="70"/>
    <x v="0"/>
    <x v="6"/>
    <m/>
    <n v="6"/>
    <x v="0"/>
    <x v="0"/>
    <x v="0"/>
    <x v="0"/>
    <x v="0"/>
    <x v="3"/>
  </r>
  <r>
    <d v="2026-03-03T00:00:00"/>
    <x v="3"/>
    <d v="2026-03-03T00:00:00"/>
    <x v="2"/>
    <x v="25"/>
    <x v="64"/>
    <x v="0"/>
    <x v="9"/>
    <m/>
    <m/>
    <x v="0"/>
    <x v="0"/>
    <x v="0"/>
    <x v="0"/>
    <x v="0"/>
    <x v="3"/>
  </r>
  <r>
    <d v="2026-03-03T00:00:00"/>
    <x v="3"/>
    <d v="2026-03-03T00:00:00"/>
    <x v="2"/>
    <x v="26"/>
    <x v="71"/>
    <x v="0"/>
    <x v="15"/>
    <m/>
    <n v="3.7"/>
    <x v="0"/>
    <x v="0"/>
    <x v="0"/>
    <x v="0"/>
    <x v="0"/>
    <x v="3"/>
  </r>
  <r>
    <d v="2026-03-03T00:00:00"/>
    <x v="3"/>
    <d v="2026-03-03T00:00:00"/>
    <x v="2"/>
    <x v="26"/>
    <x v="71"/>
    <x v="0"/>
    <x v="7"/>
    <m/>
    <m/>
    <x v="0"/>
    <x v="0"/>
    <x v="0"/>
    <x v="0"/>
    <x v="0"/>
    <x v="3"/>
  </r>
  <r>
    <d v="2026-03-03T00:00:00"/>
    <x v="3"/>
    <d v="2026-03-03T00:00:00"/>
    <x v="2"/>
    <x v="21"/>
    <x v="71"/>
    <x v="0"/>
    <x v="6"/>
    <m/>
    <m/>
    <x v="0"/>
    <x v="0"/>
    <x v="0"/>
    <x v="0"/>
    <x v="0"/>
    <x v="3"/>
  </r>
  <r>
    <d v="2026-03-03T00:00:00"/>
    <x v="3"/>
    <d v="2026-03-03T00:00:00"/>
    <x v="2"/>
    <x v="22"/>
    <x v="65"/>
    <x v="0"/>
    <x v="14"/>
    <m/>
    <m/>
    <x v="0"/>
    <x v="0"/>
    <x v="0"/>
    <x v="0"/>
    <x v="0"/>
    <x v="3"/>
  </r>
  <r>
    <d v="2026-03-03T00:00:00"/>
    <x v="3"/>
    <d v="2026-03-03T00:00:00"/>
    <x v="2"/>
    <x v="23"/>
    <x v="72"/>
    <x v="10"/>
    <x v="0"/>
    <n v="40"/>
    <m/>
    <x v="0"/>
    <x v="0"/>
    <x v="0"/>
    <x v="0"/>
    <x v="0"/>
    <x v="3"/>
  </r>
  <r>
    <d v="2026-03-03T00:00:00"/>
    <x v="3"/>
    <d v="2026-03-03T00:00:00"/>
    <x v="2"/>
    <x v="24"/>
    <x v="73"/>
    <x v="0"/>
    <x v="0"/>
    <m/>
    <n v="9"/>
    <x v="0"/>
    <x v="0"/>
    <x v="0"/>
    <x v="0"/>
    <x v="0"/>
    <x v="3"/>
  </r>
  <r>
    <d v="2026-03-04T00:00:00"/>
    <x v="4"/>
    <d v="2026-03-04T00:00:00"/>
    <x v="2"/>
    <x v="18"/>
    <x v="65"/>
    <x v="0"/>
    <x v="1"/>
    <m/>
    <m/>
    <x v="0"/>
    <x v="0"/>
    <x v="0"/>
    <x v="0"/>
    <x v="0"/>
    <x v="3"/>
  </r>
  <r>
    <d v="2026-03-04T00:00:00"/>
    <x v="4"/>
    <d v="2026-03-04T00:00:00"/>
    <x v="2"/>
    <x v="24"/>
    <x v="73"/>
    <x v="7"/>
    <x v="0"/>
    <m/>
    <m/>
    <x v="3"/>
    <x v="0"/>
    <x v="0"/>
    <x v="0"/>
    <x v="0"/>
    <x v="3"/>
  </r>
  <r>
    <d v="2026-03-05T00:00:00"/>
    <x v="5"/>
    <d v="2026-03-05T00:00:00"/>
    <x v="2"/>
    <x v="18"/>
    <x v="64"/>
    <x v="0"/>
    <x v="7"/>
    <m/>
    <n v="6"/>
    <x v="0"/>
    <x v="0"/>
    <x v="0"/>
    <x v="0"/>
    <x v="0"/>
    <x v="3"/>
  </r>
  <r>
    <d v="2026-03-05T00:00:00"/>
    <x v="5"/>
    <d v="2026-03-05T00:00:00"/>
    <x v="2"/>
    <x v="27"/>
    <x v="74"/>
    <x v="0"/>
    <x v="6"/>
    <n v="6"/>
    <n v="6"/>
    <x v="0"/>
    <x v="0"/>
    <x v="0"/>
    <x v="0"/>
    <x v="0"/>
    <x v="3"/>
  </r>
  <r>
    <d v="2026-03-05T00:00:00"/>
    <x v="5"/>
    <d v="2026-03-05T00:00:00"/>
    <x v="2"/>
    <x v="23"/>
    <x v="75"/>
    <x v="0"/>
    <x v="0"/>
    <m/>
    <n v="6"/>
    <x v="0"/>
    <x v="0"/>
    <x v="0"/>
    <x v="0"/>
    <x v="0"/>
    <x v="3"/>
  </r>
  <r>
    <d v="2026-03-05T00:00:00"/>
    <x v="5"/>
    <d v="2026-03-05T00:00:00"/>
    <x v="2"/>
    <x v="24"/>
    <x v="76"/>
    <x v="18"/>
    <x v="0"/>
    <m/>
    <m/>
    <x v="0"/>
    <x v="0"/>
    <x v="0"/>
    <x v="0"/>
    <x v="0"/>
    <x v="3"/>
  </r>
  <r>
    <d v="2026-03-06T00:00:00"/>
    <x v="6"/>
    <d v="2026-03-06T00:00:00"/>
    <x v="2"/>
    <x v="18"/>
    <x v="64"/>
    <x v="0"/>
    <x v="6"/>
    <m/>
    <m/>
    <x v="0"/>
    <x v="0"/>
    <x v="0"/>
    <x v="0"/>
    <x v="0"/>
    <x v="3"/>
  </r>
  <r>
    <d v="2026-03-06T00:00:00"/>
    <x v="6"/>
    <d v="2026-03-06T00:00:00"/>
    <x v="2"/>
    <x v="20"/>
    <x v="65"/>
    <x v="0"/>
    <x v="6"/>
    <m/>
    <m/>
    <x v="0"/>
    <x v="0"/>
    <x v="0"/>
    <x v="0"/>
    <x v="0"/>
    <x v="3"/>
  </r>
  <r>
    <d v="2026-03-06T00:00:00"/>
    <x v="6"/>
    <d v="2026-03-06T00:00:00"/>
    <x v="2"/>
    <x v="22"/>
    <x v="65"/>
    <x v="0"/>
    <x v="6"/>
    <m/>
    <m/>
    <x v="0"/>
    <x v="0"/>
    <x v="0"/>
    <x v="0"/>
    <x v="0"/>
    <x v="3"/>
  </r>
  <r>
    <d v="2026-03-06T00:00:00"/>
    <x v="6"/>
    <d v="2026-03-06T00:00:00"/>
    <x v="2"/>
    <x v="26"/>
    <x v="77"/>
    <x v="0"/>
    <x v="0"/>
    <m/>
    <n v="6"/>
    <x v="0"/>
    <x v="0"/>
    <x v="0"/>
    <x v="0"/>
    <x v="0"/>
    <x v="3"/>
  </r>
  <r>
    <d v="2026-03-06T00:00:00"/>
    <x v="6"/>
    <d v="2026-03-06T00:00:00"/>
    <x v="2"/>
    <x v="19"/>
    <x v="78"/>
    <x v="0"/>
    <x v="0"/>
    <m/>
    <n v="6"/>
    <x v="0"/>
    <x v="0"/>
    <x v="0"/>
    <x v="0"/>
    <x v="0"/>
    <x v="3"/>
  </r>
  <r>
    <d v="2026-03-06T00:00:00"/>
    <x v="6"/>
    <d v="2026-03-06T00:00:00"/>
    <x v="2"/>
    <x v="23"/>
    <x v="75"/>
    <x v="0"/>
    <x v="0"/>
    <m/>
    <n v="6"/>
    <x v="3"/>
    <x v="0"/>
    <x v="0"/>
    <x v="0"/>
    <x v="0"/>
    <x v="3"/>
  </r>
  <r>
    <d v="2026-03-06T00:00:00"/>
    <x v="6"/>
    <d v="2026-03-06T00:00:00"/>
    <x v="2"/>
    <x v="28"/>
    <x v="73"/>
    <x v="6"/>
    <x v="0"/>
    <n v="45"/>
    <m/>
    <x v="0"/>
    <x v="0"/>
    <x v="0"/>
    <x v="0"/>
    <x v="0"/>
    <x v="3"/>
  </r>
  <r>
    <d v="2026-03-07T00:00:00"/>
    <x v="0"/>
    <d v="2026-03-07T00:00:00"/>
    <x v="0"/>
    <x v="0"/>
    <x v="0"/>
    <x v="0"/>
    <x v="0"/>
    <m/>
    <m/>
    <x v="0"/>
    <x v="0"/>
    <x v="0"/>
    <x v="0"/>
    <x v="0"/>
    <x v="3"/>
  </r>
  <r>
    <d v="2026-03-08T00:00:00"/>
    <x v="1"/>
    <d v="2026-03-08T00:00:00"/>
    <x v="0"/>
    <x v="0"/>
    <x v="0"/>
    <x v="0"/>
    <x v="0"/>
    <m/>
    <m/>
    <x v="0"/>
    <x v="0"/>
    <x v="0"/>
    <x v="0"/>
    <x v="0"/>
    <x v="3"/>
  </r>
  <r>
    <d v="2026-03-09T00:00:00"/>
    <x v="2"/>
    <d v="2026-03-09T00:00:00"/>
    <x v="2"/>
    <x v="23"/>
    <x v="75"/>
    <x v="0"/>
    <x v="0"/>
    <m/>
    <n v="6"/>
    <x v="0"/>
    <x v="0"/>
    <x v="0"/>
    <x v="0"/>
    <x v="0"/>
    <x v="3"/>
  </r>
  <r>
    <d v="2026-03-09T00:00:00"/>
    <x v="2"/>
    <d v="2026-03-09T00:00:00"/>
    <x v="2"/>
    <x v="28"/>
    <x v="79"/>
    <x v="11"/>
    <x v="0"/>
    <m/>
    <m/>
    <x v="0"/>
    <x v="0"/>
    <x v="0"/>
    <x v="0"/>
    <x v="0"/>
    <x v="3"/>
  </r>
  <r>
    <d v="2026-03-10T00:00:00"/>
    <x v="3"/>
    <d v="2026-03-10T00:00:00"/>
    <x v="0"/>
    <x v="0"/>
    <x v="37"/>
    <x v="0"/>
    <x v="0"/>
    <m/>
    <m/>
    <x v="0"/>
    <x v="0"/>
    <x v="0"/>
    <x v="0"/>
    <x v="0"/>
    <x v="3"/>
  </r>
  <r>
    <d v="2026-03-11T00:00:00"/>
    <x v="4"/>
    <d v="2026-03-11T00:00:00"/>
    <x v="2"/>
    <x v="28"/>
    <x v="80"/>
    <x v="0"/>
    <x v="0"/>
    <m/>
    <n v="6"/>
    <x v="0"/>
    <x v="0"/>
    <x v="0"/>
    <x v="0"/>
    <x v="0"/>
    <x v="3"/>
  </r>
  <r>
    <d v="2026-03-11T00:00:00"/>
    <x v="4"/>
    <d v="2026-03-11T00:00:00"/>
    <x v="2"/>
    <x v="28"/>
    <x v="81"/>
    <x v="11"/>
    <x v="0"/>
    <m/>
    <m/>
    <x v="0"/>
    <x v="0"/>
    <x v="0"/>
    <x v="0"/>
    <x v="0"/>
    <x v="3"/>
  </r>
  <r>
    <d v="2026-03-12T00:00:00"/>
    <x v="5"/>
    <d v="2026-03-12T00:00:00"/>
    <x v="0"/>
    <x v="0"/>
    <x v="37"/>
    <x v="0"/>
    <x v="0"/>
    <m/>
    <m/>
    <x v="0"/>
    <x v="0"/>
    <x v="0"/>
    <x v="0"/>
    <x v="0"/>
    <x v="3"/>
  </r>
  <r>
    <d v="2026-03-13T00:00:00"/>
    <x v="6"/>
    <d v="2026-03-13T00:00:00"/>
    <x v="2"/>
    <x v="28"/>
    <x v="82"/>
    <x v="0"/>
    <x v="6"/>
    <m/>
    <n v="6"/>
    <x v="0"/>
    <x v="0"/>
    <x v="0"/>
    <x v="0"/>
    <x v="0"/>
    <x v="3"/>
  </r>
  <r>
    <d v="2026-03-13T00:00:00"/>
    <x v="6"/>
    <d v="2026-03-13T00:00:00"/>
    <x v="2"/>
    <x v="23"/>
    <x v="83"/>
    <x v="0"/>
    <x v="0"/>
    <m/>
    <n v="27"/>
    <x v="0"/>
    <x v="0"/>
    <x v="0"/>
    <x v="0"/>
    <x v="0"/>
    <x v="3"/>
  </r>
  <r>
    <d v="2026-03-13T00:00:00"/>
    <x v="6"/>
    <d v="2026-03-13T00:00:00"/>
    <x v="2"/>
    <x v="23"/>
    <x v="84"/>
    <x v="0"/>
    <x v="0"/>
    <m/>
    <n v="15"/>
    <x v="0"/>
    <x v="0"/>
    <x v="0"/>
    <x v="0"/>
    <x v="0"/>
    <x v="3"/>
  </r>
  <r>
    <d v="2026-03-14T00:00:00"/>
    <x v="0"/>
    <d v="2026-03-14T00:00:00"/>
    <x v="2"/>
    <x v="28"/>
    <x v="85"/>
    <x v="0"/>
    <x v="0"/>
    <m/>
    <n v="6"/>
    <x v="0"/>
    <x v="0"/>
    <x v="0"/>
    <x v="0"/>
    <x v="0"/>
    <x v="3"/>
  </r>
  <r>
    <d v="2026-03-14T00:00:00"/>
    <x v="0"/>
    <d v="2026-03-14T00:00:00"/>
    <x v="2"/>
    <x v="23"/>
    <x v="65"/>
    <x v="0"/>
    <x v="0"/>
    <m/>
    <n v="3"/>
    <x v="3"/>
    <x v="0"/>
    <x v="0"/>
    <x v="0"/>
    <x v="0"/>
    <x v="3"/>
  </r>
  <r>
    <d v="2026-03-14T00:00:00"/>
    <x v="0"/>
    <d v="2026-03-14T00:00:00"/>
    <x v="2"/>
    <x v="23"/>
    <x v="86"/>
    <x v="0"/>
    <x v="0"/>
    <m/>
    <n v="3"/>
    <x v="3"/>
    <x v="0"/>
    <x v="0"/>
    <x v="0"/>
    <x v="0"/>
    <x v="3"/>
  </r>
  <r>
    <d v="2026-03-15T00:00:00"/>
    <x v="1"/>
    <d v="2026-03-15T00:00:00"/>
    <x v="2"/>
    <x v="23"/>
    <x v="87"/>
    <x v="0"/>
    <x v="0"/>
    <m/>
    <n v="3"/>
    <x v="3"/>
    <x v="0"/>
    <x v="0"/>
    <x v="0"/>
    <x v="0"/>
    <x v="3"/>
  </r>
  <r>
    <d v="2026-03-15T00:00:00"/>
    <x v="1"/>
    <d v="2026-03-15T00:00:00"/>
    <x v="2"/>
    <x v="23"/>
    <x v="85"/>
    <x v="0"/>
    <x v="0"/>
    <m/>
    <n v="6"/>
    <x v="0"/>
    <x v="0"/>
    <x v="0"/>
    <x v="0"/>
    <x v="0"/>
    <x v="3"/>
  </r>
  <r>
    <d v="2026-03-16T00:00:00"/>
    <x v="2"/>
    <d v="2026-03-16T00:00:00"/>
    <x v="2"/>
    <x v="20"/>
    <x v="88"/>
    <x v="0"/>
    <x v="0"/>
    <n v="6"/>
    <n v="6"/>
    <x v="0"/>
    <x v="0"/>
    <x v="0"/>
    <x v="0"/>
    <x v="0"/>
    <x v="3"/>
  </r>
  <r>
    <d v="2026-03-16T00:00:00"/>
    <x v="2"/>
    <d v="2026-03-16T00:00:00"/>
    <x v="2"/>
    <x v="19"/>
    <x v="89"/>
    <x v="0"/>
    <x v="0"/>
    <m/>
    <n v="6"/>
    <x v="0"/>
    <x v="0"/>
    <x v="0"/>
    <x v="0"/>
    <x v="0"/>
    <x v="3"/>
  </r>
  <r>
    <d v="2026-03-16T00:00:00"/>
    <x v="2"/>
    <d v="2026-03-16T00:00:00"/>
    <x v="2"/>
    <x v="23"/>
    <x v="90"/>
    <x v="0"/>
    <x v="0"/>
    <m/>
    <m/>
    <x v="3"/>
    <x v="0"/>
    <x v="0"/>
    <x v="0"/>
    <x v="0"/>
    <x v="3"/>
  </r>
  <r>
    <d v="2026-03-16T00:00:00"/>
    <x v="2"/>
    <d v="2026-03-16T00:00:00"/>
    <x v="2"/>
    <x v="23"/>
    <x v="91"/>
    <x v="0"/>
    <x v="0"/>
    <m/>
    <n v="6"/>
    <x v="0"/>
    <x v="0"/>
    <x v="0"/>
    <x v="0"/>
    <x v="0"/>
    <x v="3"/>
  </r>
  <r>
    <d v="2026-03-17T00:00:00"/>
    <x v="3"/>
    <d v="2026-03-17T00:00:00"/>
    <x v="2"/>
    <x v="20"/>
    <x v="92"/>
    <x v="0"/>
    <x v="0"/>
    <n v="10"/>
    <n v="10"/>
    <x v="0"/>
    <x v="0"/>
    <x v="0"/>
    <x v="0"/>
    <x v="0"/>
    <x v="3"/>
  </r>
  <r>
    <d v="2026-03-17T00:00:00"/>
    <x v="3"/>
    <d v="2026-03-17T00:00:00"/>
    <x v="2"/>
    <x v="19"/>
    <x v="93"/>
    <x v="0"/>
    <x v="0"/>
    <n v="6"/>
    <n v="6"/>
    <x v="0"/>
    <x v="0"/>
    <x v="0"/>
    <x v="0"/>
    <x v="0"/>
    <x v="3"/>
  </r>
  <r>
    <d v="2026-03-17T00:00:00"/>
    <x v="3"/>
    <d v="2026-03-17T00:00:00"/>
    <x v="2"/>
    <x v="27"/>
    <x v="94"/>
    <x v="0"/>
    <x v="0"/>
    <m/>
    <n v="6"/>
    <x v="0"/>
    <x v="0"/>
    <x v="0"/>
    <x v="0"/>
    <x v="0"/>
    <x v="3"/>
  </r>
  <r>
    <d v="2026-03-17T00:00:00"/>
    <x v="3"/>
    <d v="2026-03-17T00:00:00"/>
    <x v="2"/>
    <x v="23"/>
    <x v="82"/>
    <x v="0"/>
    <x v="0"/>
    <m/>
    <n v="6"/>
    <x v="0"/>
    <x v="0"/>
    <x v="0"/>
    <x v="0"/>
    <x v="0"/>
    <x v="3"/>
  </r>
  <r>
    <d v="2026-03-17T00:00:00"/>
    <x v="3"/>
    <d v="2026-03-17T00:00:00"/>
    <x v="2"/>
    <x v="23"/>
    <x v="91"/>
    <x v="0"/>
    <x v="0"/>
    <m/>
    <n v="6"/>
    <x v="0"/>
    <x v="0"/>
    <x v="0"/>
    <x v="0"/>
    <x v="0"/>
    <x v="3"/>
  </r>
  <r>
    <d v="2026-03-18T00:00:00"/>
    <x v="4"/>
    <d v="2026-03-18T00:00:00"/>
    <x v="2"/>
    <x v="20"/>
    <x v="92"/>
    <x v="0"/>
    <x v="0"/>
    <n v="6"/>
    <m/>
    <x v="0"/>
    <x v="0"/>
    <x v="0"/>
    <x v="0"/>
    <x v="0"/>
    <x v="3"/>
  </r>
  <r>
    <d v="2026-03-18T00:00:00"/>
    <x v="4"/>
    <d v="2026-03-18T00:00:00"/>
    <x v="2"/>
    <x v="29"/>
    <x v="78"/>
    <x v="0"/>
    <x v="0"/>
    <m/>
    <n v="6"/>
    <x v="0"/>
    <x v="0"/>
    <x v="0"/>
    <x v="0"/>
    <x v="0"/>
    <x v="3"/>
  </r>
  <r>
    <d v="2026-03-18T00:00:00"/>
    <x v="4"/>
    <d v="2026-03-18T00:00:00"/>
    <x v="2"/>
    <x v="30"/>
    <x v="94"/>
    <x v="0"/>
    <x v="0"/>
    <n v="8"/>
    <n v="8"/>
    <x v="0"/>
    <x v="0"/>
    <x v="0"/>
    <x v="0"/>
    <x v="0"/>
    <x v="3"/>
  </r>
  <r>
    <d v="2026-03-18T00:00:00"/>
    <x v="4"/>
    <d v="2026-03-18T00:00:00"/>
    <x v="2"/>
    <x v="28"/>
    <x v="75"/>
    <x v="0"/>
    <x v="0"/>
    <m/>
    <n v="4"/>
    <x v="0"/>
    <x v="0"/>
    <x v="0"/>
    <x v="0"/>
    <x v="0"/>
    <x v="3"/>
  </r>
  <r>
    <d v="2026-03-19T00:00:00"/>
    <x v="5"/>
    <d v="2026-03-19T00:00:00"/>
    <x v="2"/>
    <x v="20"/>
    <x v="92"/>
    <x v="0"/>
    <x v="0"/>
    <n v="6"/>
    <n v="6"/>
    <x v="0"/>
    <x v="0"/>
    <x v="0"/>
    <x v="0"/>
    <x v="0"/>
    <x v="3"/>
  </r>
  <r>
    <d v="2026-03-19T00:00:00"/>
    <x v="5"/>
    <d v="2026-03-19T00:00:00"/>
    <x v="2"/>
    <x v="19"/>
    <x v="78"/>
    <x v="0"/>
    <x v="0"/>
    <m/>
    <n v="6"/>
    <x v="0"/>
    <x v="0"/>
    <x v="0"/>
    <x v="0"/>
    <x v="0"/>
    <x v="3"/>
  </r>
  <r>
    <d v="2026-03-19T00:00:00"/>
    <x v="5"/>
    <d v="2026-03-19T00:00:00"/>
    <x v="2"/>
    <x v="30"/>
    <x v="94"/>
    <x v="0"/>
    <x v="0"/>
    <n v="6"/>
    <n v="8"/>
    <x v="0"/>
    <x v="0"/>
    <x v="0"/>
    <x v="0"/>
    <x v="0"/>
    <x v="3"/>
  </r>
  <r>
    <d v="2026-03-19T00:00:00"/>
    <x v="5"/>
    <d v="2026-03-19T00:00:00"/>
    <x v="2"/>
    <x v="28"/>
    <x v="91"/>
    <x v="2"/>
    <x v="0"/>
    <n v="36"/>
    <m/>
    <x v="0"/>
    <x v="0"/>
    <x v="0"/>
    <x v="0"/>
    <x v="0"/>
    <x v="3"/>
  </r>
  <r>
    <d v="2026-03-19T00:00:00"/>
    <x v="5"/>
    <d v="2026-03-19T00:00:00"/>
    <x v="2"/>
    <x v="23"/>
    <x v="75"/>
    <x v="0"/>
    <x v="0"/>
    <m/>
    <n v="6"/>
    <x v="0"/>
    <x v="0"/>
    <x v="0"/>
    <x v="0"/>
    <x v="0"/>
    <x v="3"/>
  </r>
  <r>
    <d v="2026-03-20T00:00:00"/>
    <x v="6"/>
    <d v="2026-03-20T00:00:00"/>
    <x v="2"/>
    <x v="20"/>
    <x v="92"/>
    <x v="0"/>
    <x v="0"/>
    <m/>
    <n v="15"/>
    <x v="0"/>
    <x v="0"/>
    <x v="0"/>
    <x v="0"/>
    <x v="0"/>
    <x v="3"/>
  </r>
  <r>
    <d v="2026-03-20T00:00:00"/>
    <x v="6"/>
    <d v="2026-03-20T00:00:00"/>
    <x v="2"/>
    <x v="27"/>
    <x v="95"/>
    <x v="8"/>
    <x v="0"/>
    <m/>
    <m/>
    <x v="0"/>
    <x v="0"/>
    <x v="0"/>
    <x v="0"/>
    <x v="0"/>
    <x v="3"/>
  </r>
  <r>
    <d v="2026-03-20T00:00:00"/>
    <x v="6"/>
    <d v="2026-03-20T00:00:00"/>
    <x v="2"/>
    <x v="30"/>
    <x v="94"/>
    <x v="0"/>
    <x v="0"/>
    <m/>
    <n v="18"/>
    <x v="0"/>
    <x v="0"/>
    <x v="0"/>
    <x v="0"/>
    <x v="0"/>
    <x v="3"/>
  </r>
  <r>
    <d v="2026-03-20T00:00:00"/>
    <x v="6"/>
    <d v="2026-03-20T00:00:00"/>
    <x v="2"/>
    <x v="19"/>
    <x v="96"/>
    <x v="0"/>
    <x v="0"/>
    <m/>
    <n v="6"/>
    <x v="0"/>
    <x v="0"/>
    <x v="0"/>
    <x v="0"/>
    <x v="0"/>
    <x v="3"/>
  </r>
  <r>
    <d v="2026-03-20T00:00:00"/>
    <x v="6"/>
    <d v="2026-03-20T00:00:00"/>
    <x v="2"/>
    <x v="28"/>
    <x v="91"/>
    <x v="0"/>
    <x v="0"/>
    <n v="36"/>
    <n v="6"/>
    <x v="0"/>
    <x v="0"/>
    <x v="0"/>
    <x v="0"/>
    <x v="0"/>
    <x v="3"/>
  </r>
  <r>
    <d v="2026-03-21T00:00:00"/>
    <x v="0"/>
    <d v="2026-03-21T00:00:00"/>
    <x v="0"/>
    <x v="0"/>
    <x v="0"/>
    <x v="0"/>
    <x v="0"/>
    <m/>
    <m/>
    <x v="0"/>
    <x v="0"/>
    <x v="0"/>
    <x v="0"/>
    <x v="0"/>
    <x v="3"/>
  </r>
  <r>
    <d v="2026-03-22T00:00:00"/>
    <x v="1"/>
    <d v="2026-03-22T00:00:00"/>
    <x v="0"/>
    <x v="0"/>
    <x v="0"/>
    <x v="0"/>
    <x v="0"/>
    <m/>
    <m/>
    <x v="0"/>
    <x v="0"/>
    <x v="0"/>
    <x v="0"/>
    <x v="0"/>
    <x v="3"/>
  </r>
  <r>
    <d v="2026-03-23T00:00:00"/>
    <x v="2"/>
    <d v="2026-03-23T00:00:00"/>
    <x v="2"/>
    <x v="30"/>
    <x v="97"/>
    <x v="0"/>
    <x v="0"/>
    <m/>
    <n v="6"/>
    <x v="0"/>
    <x v="0"/>
    <x v="0"/>
    <x v="0"/>
    <x v="0"/>
    <x v="3"/>
  </r>
  <r>
    <d v="2026-03-23T00:00:00"/>
    <x v="2"/>
    <d v="2026-03-23T00:00:00"/>
    <x v="2"/>
    <x v="19"/>
    <x v="98"/>
    <x v="0"/>
    <x v="0"/>
    <m/>
    <n v="6"/>
    <x v="0"/>
    <x v="0"/>
    <x v="0"/>
    <x v="0"/>
    <x v="0"/>
    <x v="3"/>
  </r>
  <r>
    <d v="2026-03-23T00:00:00"/>
    <x v="2"/>
    <d v="2026-03-23T00:00:00"/>
    <x v="2"/>
    <x v="28"/>
    <x v="75"/>
    <x v="7"/>
    <x v="0"/>
    <n v="57"/>
    <n v="4"/>
    <x v="0"/>
    <x v="0"/>
    <x v="0"/>
    <x v="0"/>
    <x v="0"/>
    <x v="3"/>
  </r>
  <r>
    <d v="2026-03-23T00:00:00"/>
    <x v="2"/>
    <d v="2026-03-23T00:00:00"/>
    <x v="2"/>
    <x v="28"/>
    <x v="91"/>
    <x v="6"/>
    <x v="0"/>
    <n v="36"/>
    <m/>
    <x v="0"/>
    <x v="0"/>
    <x v="0"/>
    <x v="0"/>
    <x v="0"/>
    <x v="3"/>
  </r>
  <r>
    <d v="2026-03-24T00:00:00"/>
    <x v="3"/>
    <d v="2026-03-24T00:00:00"/>
    <x v="2"/>
    <x v="30"/>
    <x v="97"/>
    <x v="0"/>
    <x v="0"/>
    <m/>
    <n v="6"/>
    <x v="0"/>
    <x v="0"/>
    <x v="0"/>
    <x v="0"/>
    <x v="0"/>
    <x v="3"/>
  </r>
  <r>
    <d v="2026-03-24T00:00:00"/>
    <x v="3"/>
    <d v="2026-03-24T00:00:00"/>
    <x v="2"/>
    <x v="29"/>
    <x v="99"/>
    <x v="0"/>
    <x v="0"/>
    <m/>
    <n v="6"/>
    <x v="0"/>
    <x v="0"/>
    <x v="0"/>
    <x v="0"/>
    <x v="0"/>
    <x v="3"/>
  </r>
  <r>
    <d v="2026-03-24T00:00:00"/>
    <x v="3"/>
    <d v="2026-03-24T00:00:00"/>
    <x v="2"/>
    <x v="19"/>
    <x v="93"/>
    <x v="0"/>
    <x v="0"/>
    <m/>
    <n v="6"/>
    <x v="0"/>
    <x v="0"/>
    <x v="0"/>
    <x v="0"/>
    <x v="0"/>
    <x v="3"/>
  </r>
  <r>
    <d v="2026-03-24T00:00:00"/>
    <x v="3"/>
    <d v="2026-03-24T00:00:00"/>
    <x v="2"/>
    <x v="28"/>
    <x v="75"/>
    <x v="0"/>
    <x v="0"/>
    <n v="57"/>
    <m/>
    <x v="0"/>
    <x v="0"/>
    <x v="0"/>
    <x v="0"/>
    <x v="0"/>
    <x v="3"/>
  </r>
  <r>
    <d v="2026-03-24T00:00:00"/>
    <x v="3"/>
    <d v="2026-03-24T00:00:00"/>
    <x v="2"/>
    <x v="28"/>
    <x v="91"/>
    <x v="6"/>
    <x v="0"/>
    <n v="36"/>
    <m/>
    <x v="0"/>
    <x v="0"/>
    <x v="0"/>
    <x v="0"/>
    <x v="0"/>
    <x v="3"/>
  </r>
  <r>
    <d v="2026-03-25T00:00:00"/>
    <x v="4"/>
    <d v="2026-03-25T00:00:00"/>
    <x v="2"/>
    <x v="30"/>
    <x v="100"/>
    <x v="0"/>
    <x v="0"/>
    <m/>
    <n v="6"/>
    <x v="0"/>
    <x v="0"/>
    <x v="0"/>
    <x v="0"/>
    <x v="0"/>
    <x v="3"/>
  </r>
  <r>
    <d v="2026-03-25T00:00:00"/>
    <x v="4"/>
    <d v="2026-03-25T00:00:00"/>
    <x v="2"/>
    <x v="19"/>
    <x v="101"/>
    <x v="0"/>
    <x v="0"/>
    <m/>
    <n v="18"/>
    <x v="0"/>
    <x v="0"/>
    <x v="0"/>
    <x v="0"/>
    <x v="0"/>
    <x v="3"/>
  </r>
  <r>
    <d v="2026-03-25T00:00:00"/>
    <x v="4"/>
    <d v="2026-03-25T00:00:00"/>
    <x v="2"/>
    <x v="28"/>
    <x v="91"/>
    <x v="4"/>
    <x v="0"/>
    <m/>
    <m/>
    <x v="0"/>
    <x v="0"/>
    <x v="0"/>
    <x v="0"/>
    <x v="0"/>
    <x v="3"/>
  </r>
  <r>
    <d v="2026-03-26T00:00:00"/>
    <x v="5"/>
    <d v="2026-03-26T00:00:00"/>
    <x v="2"/>
    <x v="30"/>
    <x v="78"/>
    <x v="0"/>
    <x v="11"/>
    <m/>
    <n v="6"/>
    <x v="0"/>
    <x v="0"/>
    <x v="0"/>
    <x v="0"/>
    <x v="0"/>
    <x v="3"/>
  </r>
  <r>
    <d v="2026-03-26T00:00:00"/>
    <x v="5"/>
    <d v="2026-03-26T00:00:00"/>
    <x v="2"/>
    <x v="19"/>
    <x v="101"/>
    <x v="0"/>
    <x v="0"/>
    <m/>
    <n v="12"/>
    <x v="0"/>
    <x v="0"/>
    <x v="0"/>
    <x v="0"/>
    <x v="0"/>
    <x v="3"/>
  </r>
  <r>
    <d v="2026-03-26T00:00:00"/>
    <x v="5"/>
    <d v="2026-03-26T00:00:00"/>
    <x v="2"/>
    <x v="27"/>
    <x v="102"/>
    <x v="0"/>
    <x v="0"/>
    <m/>
    <n v="12"/>
    <x v="0"/>
    <x v="0"/>
    <x v="0"/>
    <x v="0"/>
    <x v="0"/>
    <x v="3"/>
  </r>
  <r>
    <d v="2026-03-26T00:00:00"/>
    <x v="5"/>
    <d v="2026-03-26T00:00:00"/>
    <x v="2"/>
    <x v="28"/>
    <x v="97"/>
    <x v="0"/>
    <x v="0"/>
    <m/>
    <n v="6"/>
    <x v="0"/>
    <x v="0"/>
    <x v="0"/>
    <x v="0"/>
    <x v="0"/>
    <x v="3"/>
  </r>
  <r>
    <d v="2026-03-26T00:00:00"/>
    <x v="5"/>
    <d v="2026-03-26T00:00:00"/>
    <x v="2"/>
    <x v="28"/>
    <x v="91"/>
    <x v="8"/>
    <x v="0"/>
    <m/>
    <m/>
    <x v="0"/>
    <x v="0"/>
    <x v="0"/>
    <x v="0"/>
    <x v="0"/>
    <x v="3"/>
  </r>
  <r>
    <d v="2026-03-27T00:00:00"/>
    <x v="6"/>
    <d v="2026-03-27T00:00:00"/>
    <x v="0"/>
    <x v="0"/>
    <x v="0"/>
    <x v="0"/>
    <x v="0"/>
    <m/>
    <m/>
    <x v="0"/>
    <x v="0"/>
    <x v="0"/>
    <x v="0"/>
    <x v="0"/>
    <x v="3"/>
  </r>
  <r>
    <d v="2026-03-28T00:00:00"/>
    <x v="0"/>
    <d v="2026-03-28T00:00:00"/>
    <x v="0"/>
    <x v="0"/>
    <x v="0"/>
    <x v="0"/>
    <x v="0"/>
    <m/>
    <m/>
    <x v="0"/>
    <x v="0"/>
    <x v="0"/>
    <x v="0"/>
    <x v="0"/>
    <x v="3"/>
  </r>
  <r>
    <d v="2026-03-29T00:00:00"/>
    <x v="1"/>
    <d v="2026-03-29T00:00:00"/>
    <x v="0"/>
    <x v="0"/>
    <x v="0"/>
    <x v="0"/>
    <x v="0"/>
    <m/>
    <m/>
    <x v="0"/>
    <x v="0"/>
    <x v="0"/>
    <x v="0"/>
    <x v="0"/>
    <x v="3"/>
  </r>
  <r>
    <d v="2026-03-30T00:00:00"/>
    <x v="2"/>
    <d v="2026-03-30T00:00:00"/>
    <x v="2"/>
    <x v="30"/>
    <x v="103"/>
    <x v="0"/>
    <x v="0"/>
    <m/>
    <n v="6"/>
    <x v="0"/>
    <x v="0"/>
    <x v="0"/>
    <x v="0"/>
    <x v="0"/>
    <x v="3"/>
  </r>
  <r>
    <d v="2026-03-30T00:00:00"/>
    <x v="2"/>
    <d v="2026-03-30T00:00:00"/>
    <x v="2"/>
    <x v="19"/>
    <x v="104"/>
    <x v="0"/>
    <x v="0"/>
    <m/>
    <n v="12"/>
    <x v="0"/>
    <x v="0"/>
    <x v="0"/>
    <x v="0"/>
    <x v="0"/>
    <x v="3"/>
  </r>
  <r>
    <d v="2026-03-30T00:00:00"/>
    <x v="2"/>
    <d v="2026-03-30T00:00:00"/>
    <x v="2"/>
    <x v="20"/>
    <x v="88"/>
    <x v="0"/>
    <x v="0"/>
    <m/>
    <n v="6"/>
    <x v="0"/>
    <x v="0"/>
    <x v="0"/>
    <x v="0"/>
    <x v="0"/>
    <x v="3"/>
  </r>
  <r>
    <d v="2026-03-30T00:00:00"/>
    <x v="2"/>
    <d v="2026-03-30T00:00:00"/>
    <x v="2"/>
    <x v="28"/>
    <x v="100"/>
    <x v="0"/>
    <x v="0"/>
    <m/>
    <n v="6"/>
    <x v="0"/>
    <x v="0"/>
    <x v="0"/>
    <x v="0"/>
    <x v="0"/>
    <x v="3"/>
  </r>
  <r>
    <d v="2026-03-30T00:00:00"/>
    <x v="2"/>
    <d v="2026-03-30T00:00:00"/>
    <x v="2"/>
    <x v="28"/>
    <x v="75"/>
    <x v="2"/>
    <x v="0"/>
    <m/>
    <m/>
    <x v="0"/>
    <x v="0"/>
    <x v="0"/>
    <x v="0"/>
    <x v="0"/>
    <x v="3"/>
  </r>
  <r>
    <d v="2026-03-31T00:00:00"/>
    <x v="3"/>
    <d v="2026-03-31T00:00:00"/>
    <x v="2"/>
    <x v="30"/>
    <x v="105"/>
    <x v="0"/>
    <x v="0"/>
    <m/>
    <n v="6"/>
    <x v="0"/>
    <x v="0"/>
    <x v="0"/>
    <x v="0"/>
    <x v="0"/>
    <x v="3"/>
  </r>
  <r>
    <d v="2026-03-31T00:00:00"/>
    <x v="3"/>
    <d v="2026-03-31T00:00:00"/>
    <x v="2"/>
    <x v="19"/>
    <x v="104"/>
    <x v="0"/>
    <x v="0"/>
    <m/>
    <n v="6"/>
    <x v="0"/>
    <x v="0"/>
    <x v="0"/>
    <x v="0"/>
    <x v="0"/>
    <x v="3"/>
  </r>
  <r>
    <d v="2026-03-31T00:00:00"/>
    <x v="3"/>
    <d v="2026-03-31T00:00:00"/>
    <x v="2"/>
    <x v="20"/>
    <x v="93"/>
    <x v="0"/>
    <x v="0"/>
    <m/>
    <n v="6"/>
    <x v="0"/>
    <x v="0"/>
    <x v="0"/>
    <x v="0"/>
    <x v="0"/>
    <x v="3"/>
  </r>
  <r>
    <d v="2026-03-31T00:00:00"/>
    <x v="3"/>
    <d v="2026-03-31T00:00:00"/>
    <x v="2"/>
    <x v="23"/>
    <x v="91"/>
    <x v="11"/>
    <x v="0"/>
    <m/>
    <m/>
    <x v="0"/>
    <x v="0"/>
    <x v="0"/>
    <x v="0"/>
    <x v="0"/>
    <x v="3"/>
  </r>
  <r>
    <d v="2026-03-31T00:00:00"/>
    <x v="3"/>
    <d v="2026-03-31T00:00:00"/>
    <x v="2"/>
    <x v="28"/>
    <x v="75"/>
    <x v="2"/>
    <x v="0"/>
    <m/>
    <m/>
    <x v="0"/>
    <x v="0"/>
    <x v="0"/>
    <x v="0"/>
    <x v="0"/>
    <x v="3"/>
  </r>
  <r>
    <d v="2026-04-01T00:00:00"/>
    <x v="4"/>
    <d v="2026-04-01T00:00:00"/>
    <x v="0"/>
    <x v="0"/>
    <x v="0"/>
    <x v="0"/>
    <x v="0"/>
    <m/>
    <m/>
    <x v="0"/>
    <x v="0"/>
    <x v="0"/>
    <x v="0"/>
    <x v="0"/>
    <x v="3"/>
  </r>
  <r>
    <d v="2026-04-02T00:00:00"/>
    <x v="5"/>
    <d v="2026-04-02T00:00:00"/>
    <x v="0"/>
    <x v="0"/>
    <x v="0"/>
    <x v="0"/>
    <x v="0"/>
    <m/>
    <m/>
    <x v="0"/>
    <x v="0"/>
    <x v="0"/>
    <x v="0"/>
    <x v="0"/>
    <x v="3"/>
  </r>
  <r>
    <d v="2026-04-03T00:00:00"/>
    <x v="6"/>
    <d v="2026-04-03T00:00:00"/>
    <x v="0"/>
    <x v="0"/>
    <x v="0"/>
    <x v="0"/>
    <x v="0"/>
    <m/>
    <m/>
    <x v="0"/>
    <x v="0"/>
    <x v="0"/>
    <x v="0"/>
    <x v="0"/>
    <x v="3"/>
  </r>
  <r>
    <d v="2026-04-04T00:00:00"/>
    <x v="0"/>
    <d v="2026-04-04T00:00:00"/>
    <x v="0"/>
    <x v="0"/>
    <x v="0"/>
    <x v="0"/>
    <x v="0"/>
    <m/>
    <m/>
    <x v="0"/>
    <x v="0"/>
    <x v="0"/>
    <x v="0"/>
    <x v="0"/>
    <x v="3"/>
  </r>
  <r>
    <d v="2026-04-05T00:00:00"/>
    <x v="1"/>
    <d v="2026-04-05T00:00:00"/>
    <x v="0"/>
    <x v="0"/>
    <x v="0"/>
    <x v="0"/>
    <x v="0"/>
    <m/>
    <m/>
    <x v="0"/>
    <x v="0"/>
    <x v="0"/>
    <x v="0"/>
    <x v="0"/>
    <x v="3"/>
  </r>
  <r>
    <d v="2026-04-06T00:00:00"/>
    <x v="2"/>
    <d v="2026-04-06T00:00:00"/>
    <x v="0"/>
    <x v="0"/>
    <x v="0"/>
    <x v="0"/>
    <x v="0"/>
    <m/>
    <m/>
    <x v="0"/>
    <x v="0"/>
    <x v="0"/>
    <x v="0"/>
    <x v="0"/>
    <x v="3"/>
  </r>
  <r>
    <d v="2026-04-07T00:00:00"/>
    <x v="3"/>
    <d v="2026-04-07T00:00:00"/>
    <x v="0"/>
    <x v="0"/>
    <x v="0"/>
    <x v="0"/>
    <x v="0"/>
    <m/>
    <m/>
    <x v="0"/>
    <x v="0"/>
    <x v="0"/>
    <x v="0"/>
    <x v="0"/>
    <x v="3"/>
  </r>
  <r>
    <d v="2026-04-08T00:00:00"/>
    <x v="4"/>
    <d v="2026-04-08T00:00:00"/>
    <x v="0"/>
    <x v="0"/>
    <x v="0"/>
    <x v="0"/>
    <x v="0"/>
    <m/>
    <m/>
    <x v="0"/>
    <x v="0"/>
    <x v="0"/>
    <x v="0"/>
    <x v="0"/>
    <x v="3"/>
  </r>
  <r>
    <d v="2026-04-09T00:00:00"/>
    <x v="5"/>
    <d v="2026-04-09T00:00:00"/>
    <x v="1"/>
    <x v="0"/>
    <x v="0"/>
    <x v="0"/>
    <x v="0"/>
    <m/>
    <m/>
    <x v="0"/>
    <x v="0"/>
    <x v="0"/>
    <x v="0"/>
    <x v="0"/>
    <x v="3"/>
  </r>
  <r>
    <d v="2026-04-10T00:00:00"/>
    <x v="6"/>
    <d v="2026-04-10T00:00:00"/>
    <x v="1"/>
    <x v="0"/>
    <x v="0"/>
    <x v="0"/>
    <x v="0"/>
    <m/>
    <m/>
    <x v="0"/>
    <x v="0"/>
    <x v="0"/>
    <x v="0"/>
    <x v="0"/>
    <x v="3"/>
  </r>
  <r>
    <d v="2026-04-11T00:00:00"/>
    <x v="0"/>
    <d v="2026-04-11T00:00:00"/>
    <x v="0"/>
    <x v="0"/>
    <x v="0"/>
    <x v="0"/>
    <x v="0"/>
    <m/>
    <m/>
    <x v="0"/>
    <x v="0"/>
    <x v="0"/>
    <x v="0"/>
    <x v="0"/>
    <x v="3"/>
  </r>
  <r>
    <d v="2026-04-12T00:00:00"/>
    <x v="1"/>
    <d v="2026-04-12T00:00:00"/>
    <x v="0"/>
    <x v="0"/>
    <x v="0"/>
    <x v="0"/>
    <x v="0"/>
    <m/>
    <m/>
    <x v="0"/>
    <x v="0"/>
    <x v="0"/>
    <x v="0"/>
    <x v="0"/>
    <x v="3"/>
  </r>
  <r>
    <d v="2026-04-13T00:00:00"/>
    <x v="2"/>
    <d v="2026-04-13T00:00:00"/>
    <x v="1"/>
    <x v="0"/>
    <x v="0"/>
    <x v="0"/>
    <x v="0"/>
    <m/>
    <m/>
    <x v="0"/>
    <x v="0"/>
    <x v="0"/>
    <x v="0"/>
    <x v="0"/>
    <x v="3"/>
  </r>
  <r>
    <d v="2026-04-14T00:00:00"/>
    <x v="3"/>
    <d v="2026-04-14T00:00:00"/>
    <x v="1"/>
    <x v="0"/>
    <x v="0"/>
    <x v="0"/>
    <x v="0"/>
    <m/>
    <m/>
    <x v="0"/>
    <x v="0"/>
    <x v="0"/>
    <x v="0"/>
    <x v="0"/>
    <x v="3"/>
  </r>
  <r>
    <d v="2026-04-15T00:00:00"/>
    <x v="4"/>
    <d v="2026-04-15T00:00:00"/>
    <x v="1"/>
    <x v="0"/>
    <x v="0"/>
    <x v="0"/>
    <x v="0"/>
    <m/>
    <m/>
    <x v="0"/>
    <x v="0"/>
    <x v="0"/>
    <x v="0"/>
    <x v="0"/>
    <x v="3"/>
  </r>
  <r>
    <d v="2026-04-16T00:00:00"/>
    <x v="5"/>
    <d v="2026-04-16T00:00:00"/>
    <x v="1"/>
    <x v="0"/>
    <x v="0"/>
    <x v="0"/>
    <x v="0"/>
    <m/>
    <m/>
    <x v="0"/>
    <x v="0"/>
    <x v="0"/>
    <x v="0"/>
    <x v="0"/>
    <x v="3"/>
  </r>
  <r>
    <d v="2026-04-17T00:00:00"/>
    <x v="6"/>
    <d v="2026-04-17T00:00:00"/>
    <x v="1"/>
    <x v="0"/>
    <x v="0"/>
    <x v="0"/>
    <x v="0"/>
    <m/>
    <m/>
    <x v="0"/>
    <x v="0"/>
    <x v="0"/>
    <x v="0"/>
    <x v="0"/>
    <x v="3"/>
  </r>
  <r>
    <d v="2026-04-18T00:00:00"/>
    <x v="0"/>
    <d v="2026-04-18T00:00:00"/>
    <x v="0"/>
    <x v="0"/>
    <x v="0"/>
    <x v="0"/>
    <x v="0"/>
    <m/>
    <m/>
    <x v="0"/>
    <x v="0"/>
    <x v="0"/>
    <x v="0"/>
    <x v="0"/>
    <x v="3"/>
  </r>
  <r>
    <d v="2026-04-19T00:00:00"/>
    <x v="1"/>
    <d v="2026-04-19T00:00:00"/>
    <x v="0"/>
    <x v="0"/>
    <x v="0"/>
    <x v="0"/>
    <x v="0"/>
    <m/>
    <m/>
    <x v="0"/>
    <x v="0"/>
    <x v="0"/>
    <x v="0"/>
    <x v="0"/>
    <x v="3"/>
  </r>
  <r>
    <d v="2026-04-20T00:00:00"/>
    <x v="2"/>
    <d v="2026-04-20T00:00:00"/>
    <x v="1"/>
    <x v="0"/>
    <x v="0"/>
    <x v="0"/>
    <x v="0"/>
    <m/>
    <m/>
    <x v="0"/>
    <x v="0"/>
    <x v="0"/>
    <x v="0"/>
    <x v="0"/>
    <x v="3"/>
  </r>
  <r>
    <d v="2026-04-21T00:00:00"/>
    <x v="3"/>
    <d v="2026-04-21T00:00:00"/>
    <x v="1"/>
    <x v="0"/>
    <x v="0"/>
    <x v="0"/>
    <x v="0"/>
    <m/>
    <m/>
    <x v="0"/>
    <x v="0"/>
    <x v="0"/>
    <x v="0"/>
    <x v="0"/>
    <x v="3"/>
  </r>
  <r>
    <d v="2026-04-22T00:00:00"/>
    <x v="4"/>
    <d v="2026-04-22T00:00:00"/>
    <x v="1"/>
    <x v="0"/>
    <x v="0"/>
    <x v="0"/>
    <x v="0"/>
    <m/>
    <m/>
    <x v="0"/>
    <x v="0"/>
    <x v="0"/>
    <x v="0"/>
    <x v="0"/>
    <x v="3"/>
  </r>
  <r>
    <d v="2026-04-23T00:00:00"/>
    <x v="5"/>
    <d v="2026-04-23T00:00:00"/>
    <x v="1"/>
    <x v="0"/>
    <x v="0"/>
    <x v="0"/>
    <x v="0"/>
    <m/>
    <m/>
    <x v="0"/>
    <x v="0"/>
    <x v="0"/>
    <x v="0"/>
    <x v="0"/>
    <x v="3"/>
  </r>
  <r>
    <d v="2026-04-24T00:00:00"/>
    <x v="6"/>
    <d v="2026-04-24T00:00:00"/>
    <x v="1"/>
    <x v="0"/>
    <x v="0"/>
    <x v="0"/>
    <x v="0"/>
    <m/>
    <m/>
    <x v="0"/>
    <x v="0"/>
    <x v="0"/>
    <x v="0"/>
    <x v="0"/>
    <x v="3"/>
  </r>
  <r>
    <d v="2026-04-25T00:00:00"/>
    <x v="0"/>
    <d v="2026-04-25T00:00:00"/>
    <x v="0"/>
    <x v="0"/>
    <x v="0"/>
    <x v="0"/>
    <x v="0"/>
    <m/>
    <m/>
    <x v="0"/>
    <x v="0"/>
    <x v="0"/>
    <x v="0"/>
    <x v="0"/>
    <x v="3"/>
  </r>
  <r>
    <d v="2026-04-26T00:00:00"/>
    <x v="1"/>
    <d v="2026-04-26T00:00:00"/>
    <x v="0"/>
    <x v="0"/>
    <x v="0"/>
    <x v="0"/>
    <x v="0"/>
    <m/>
    <m/>
    <x v="0"/>
    <x v="0"/>
    <x v="0"/>
    <x v="0"/>
    <x v="0"/>
    <x v="3"/>
  </r>
  <r>
    <d v="2026-04-27T00:00:00"/>
    <x v="2"/>
    <d v="2026-04-27T00:00:00"/>
    <x v="1"/>
    <x v="0"/>
    <x v="0"/>
    <x v="0"/>
    <x v="0"/>
    <m/>
    <m/>
    <x v="0"/>
    <x v="0"/>
    <x v="0"/>
    <x v="0"/>
    <x v="0"/>
    <x v="3"/>
  </r>
  <r>
    <d v="2026-04-28T00:00:00"/>
    <x v="3"/>
    <d v="2026-04-28T00:00:00"/>
    <x v="1"/>
    <x v="0"/>
    <x v="0"/>
    <x v="0"/>
    <x v="0"/>
    <m/>
    <m/>
    <x v="0"/>
    <x v="0"/>
    <x v="0"/>
    <x v="0"/>
    <x v="0"/>
    <x v="3"/>
  </r>
  <r>
    <d v="2026-04-29T00:00:00"/>
    <x v="4"/>
    <d v="2026-04-29T00:00:00"/>
    <x v="1"/>
    <x v="0"/>
    <x v="0"/>
    <x v="0"/>
    <x v="0"/>
    <m/>
    <m/>
    <x v="0"/>
    <x v="0"/>
    <x v="0"/>
    <x v="0"/>
    <x v="0"/>
    <x v="3"/>
  </r>
  <r>
    <d v="2026-04-30T00:00:00"/>
    <x v="5"/>
    <d v="2026-04-30T00:00:00"/>
    <x v="1"/>
    <x v="0"/>
    <x v="0"/>
    <x v="0"/>
    <x v="0"/>
    <m/>
    <m/>
    <x v="0"/>
    <x v="0"/>
    <x v="0"/>
    <x v="0"/>
    <x v="0"/>
    <x v="3"/>
  </r>
  <r>
    <d v="2026-05-01T00:00:00"/>
    <x v="6"/>
    <d v="2026-05-01T00:00:00"/>
    <x v="1"/>
    <x v="0"/>
    <x v="0"/>
    <x v="0"/>
    <x v="0"/>
    <m/>
    <m/>
    <x v="0"/>
    <x v="0"/>
    <x v="0"/>
    <x v="0"/>
    <x v="0"/>
    <x v="3"/>
  </r>
  <r>
    <d v="2026-05-02T00:00:00"/>
    <x v="0"/>
    <d v="2026-05-02T00:00:00"/>
    <x v="0"/>
    <x v="0"/>
    <x v="0"/>
    <x v="0"/>
    <x v="0"/>
    <m/>
    <m/>
    <x v="0"/>
    <x v="0"/>
    <x v="0"/>
    <x v="0"/>
    <x v="0"/>
    <x v="3"/>
  </r>
  <r>
    <d v="2026-05-03T00:00:00"/>
    <x v="1"/>
    <d v="2026-05-03T00:00:00"/>
    <x v="0"/>
    <x v="0"/>
    <x v="0"/>
    <x v="0"/>
    <x v="0"/>
    <m/>
    <m/>
    <x v="0"/>
    <x v="0"/>
    <x v="0"/>
    <x v="0"/>
    <x v="0"/>
    <x v="3"/>
  </r>
  <r>
    <d v="2026-05-04T00:00:00"/>
    <x v="2"/>
    <d v="2026-05-04T00:00:00"/>
    <x v="1"/>
    <x v="0"/>
    <x v="0"/>
    <x v="0"/>
    <x v="0"/>
    <m/>
    <m/>
    <x v="0"/>
    <x v="0"/>
    <x v="0"/>
    <x v="0"/>
    <x v="0"/>
    <x v="3"/>
  </r>
  <r>
    <d v="2026-05-05T00:00:00"/>
    <x v="3"/>
    <d v="2026-05-05T00:00:00"/>
    <x v="1"/>
    <x v="0"/>
    <x v="0"/>
    <x v="0"/>
    <x v="0"/>
    <m/>
    <m/>
    <x v="0"/>
    <x v="0"/>
    <x v="0"/>
    <x v="0"/>
    <x v="0"/>
    <x v="3"/>
  </r>
  <r>
    <d v="2026-05-06T00:00:00"/>
    <x v="4"/>
    <d v="2026-05-06T00:00:00"/>
    <x v="1"/>
    <x v="0"/>
    <x v="0"/>
    <x v="0"/>
    <x v="0"/>
    <m/>
    <m/>
    <x v="0"/>
    <x v="0"/>
    <x v="0"/>
    <x v="0"/>
    <x v="0"/>
    <x v="3"/>
  </r>
  <r>
    <d v="2026-05-07T00:00:00"/>
    <x v="5"/>
    <d v="2026-05-07T00:00:00"/>
    <x v="1"/>
    <x v="0"/>
    <x v="0"/>
    <x v="0"/>
    <x v="0"/>
    <m/>
    <m/>
    <x v="0"/>
    <x v="0"/>
    <x v="0"/>
    <x v="0"/>
    <x v="0"/>
    <x v="3"/>
  </r>
  <r>
    <d v="2026-05-08T00:00:00"/>
    <x v="6"/>
    <d v="2026-05-08T00:00:00"/>
    <x v="1"/>
    <x v="0"/>
    <x v="0"/>
    <x v="0"/>
    <x v="0"/>
    <m/>
    <m/>
    <x v="0"/>
    <x v="0"/>
    <x v="0"/>
    <x v="0"/>
    <x v="0"/>
    <x v="3"/>
  </r>
  <r>
    <d v="2026-05-09T00:00:00"/>
    <x v="0"/>
    <d v="2026-05-09T00:00:00"/>
    <x v="0"/>
    <x v="0"/>
    <x v="0"/>
    <x v="0"/>
    <x v="0"/>
    <m/>
    <m/>
    <x v="0"/>
    <x v="0"/>
    <x v="0"/>
    <x v="0"/>
    <x v="0"/>
    <x v="3"/>
  </r>
  <r>
    <d v="2026-05-10T00:00:00"/>
    <x v="1"/>
    <d v="2026-05-10T00:00:00"/>
    <x v="0"/>
    <x v="0"/>
    <x v="0"/>
    <x v="0"/>
    <x v="0"/>
    <m/>
    <m/>
    <x v="0"/>
    <x v="0"/>
    <x v="0"/>
    <x v="0"/>
    <x v="0"/>
    <x v="3"/>
  </r>
  <r>
    <d v="2026-05-11T00:00:00"/>
    <x v="2"/>
    <d v="2026-05-11T00:00:00"/>
    <x v="1"/>
    <x v="0"/>
    <x v="0"/>
    <x v="0"/>
    <x v="0"/>
    <m/>
    <m/>
    <x v="0"/>
    <x v="0"/>
    <x v="0"/>
    <x v="0"/>
    <x v="0"/>
    <x v="3"/>
  </r>
  <r>
    <d v="2026-05-12T00:00:00"/>
    <x v="3"/>
    <d v="2026-05-12T00:00:00"/>
    <x v="1"/>
    <x v="0"/>
    <x v="0"/>
    <x v="0"/>
    <x v="0"/>
    <m/>
    <m/>
    <x v="0"/>
    <x v="0"/>
    <x v="0"/>
    <x v="0"/>
    <x v="0"/>
    <x v="3"/>
  </r>
  <r>
    <d v="2026-05-13T00:00:00"/>
    <x v="4"/>
    <d v="2026-05-13T00:00:00"/>
    <x v="1"/>
    <x v="0"/>
    <x v="0"/>
    <x v="0"/>
    <x v="0"/>
    <m/>
    <m/>
    <x v="0"/>
    <x v="0"/>
    <x v="0"/>
    <x v="0"/>
    <x v="0"/>
    <x v="3"/>
  </r>
  <r>
    <d v="2026-05-14T00:00:00"/>
    <x v="5"/>
    <d v="2026-05-14T00:00:00"/>
    <x v="1"/>
    <x v="0"/>
    <x v="0"/>
    <x v="0"/>
    <x v="0"/>
    <m/>
    <m/>
    <x v="0"/>
    <x v="0"/>
    <x v="0"/>
    <x v="0"/>
    <x v="0"/>
    <x v="3"/>
  </r>
  <r>
    <d v="2026-05-15T00:00:00"/>
    <x v="6"/>
    <d v="2026-05-15T00:00:00"/>
    <x v="1"/>
    <x v="0"/>
    <x v="0"/>
    <x v="0"/>
    <x v="0"/>
    <m/>
    <m/>
    <x v="0"/>
    <x v="0"/>
    <x v="0"/>
    <x v="0"/>
    <x v="0"/>
    <x v="3"/>
  </r>
  <r>
    <d v="2026-05-16T00:00:00"/>
    <x v="0"/>
    <d v="2026-05-16T00:00:00"/>
    <x v="0"/>
    <x v="0"/>
    <x v="0"/>
    <x v="0"/>
    <x v="0"/>
    <m/>
    <m/>
    <x v="0"/>
    <x v="0"/>
    <x v="0"/>
    <x v="0"/>
    <x v="0"/>
    <x v="3"/>
  </r>
  <r>
    <d v="2026-05-17T00:00:00"/>
    <x v="1"/>
    <d v="2026-05-17T00:00:00"/>
    <x v="0"/>
    <x v="0"/>
    <x v="0"/>
    <x v="0"/>
    <x v="0"/>
    <m/>
    <m/>
    <x v="0"/>
    <x v="0"/>
    <x v="0"/>
    <x v="0"/>
    <x v="0"/>
    <x v="3"/>
  </r>
  <r>
    <d v="2026-05-18T00:00:00"/>
    <x v="2"/>
    <d v="2026-05-18T00:00:00"/>
    <x v="1"/>
    <x v="0"/>
    <x v="0"/>
    <x v="0"/>
    <x v="0"/>
    <m/>
    <m/>
    <x v="0"/>
    <x v="0"/>
    <x v="0"/>
    <x v="0"/>
    <x v="0"/>
    <x v="3"/>
  </r>
  <r>
    <d v="2026-05-19T00:00:00"/>
    <x v="3"/>
    <d v="2026-05-19T00:00:00"/>
    <x v="1"/>
    <x v="0"/>
    <x v="0"/>
    <x v="0"/>
    <x v="0"/>
    <m/>
    <m/>
    <x v="0"/>
    <x v="0"/>
    <x v="0"/>
    <x v="0"/>
    <x v="0"/>
    <x v="3"/>
  </r>
  <r>
    <d v="2026-05-20T00:00:00"/>
    <x v="4"/>
    <d v="2026-05-20T00:00:00"/>
    <x v="1"/>
    <x v="0"/>
    <x v="0"/>
    <x v="0"/>
    <x v="0"/>
    <m/>
    <m/>
    <x v="0"/>
    <x v="0"/>
    <x v="0"/>
    <x v="0"/>
    <x v="0"/>
    <x v="3"/>
  </r>
  <r>
    <d v="2026-05-21T00:00:00"/>
    <x v="5"/>
    <d v="2026-05-21T00:00:00"/>
    <x v="1"/>
    <x v="0"/>
    <x v="0"/>
    <x v="0"/>
    <x v="0"/>
    <m/>
    <m/>
    <x v="0"/>
    <x v="0"/>
    <x v="0"/>
    <x v="0"/>
    <x v="0"/>
    <x v="3"/>
  </r>
  <r>
    <d v="2026-05-22T00:00:00"/>
    <x v="6"/>
    <d v="2026-05-22T00:00:00"/>
    <x v="1"/>
    <x v="0"/>
    <x v="0"/>
    <x v="0"/>
    <x v="0"/>
    <m/>
    <m/>
    <x v="0"/>
    <x v="0"/>
    <x v="0"/>
    <x v="0"/>
    <x v="0"/>
    <x v="3"/>
  </r>
  <r>
    <d v="2026-05-23T00:00:00"/>
    <x v="0"/>
    <d v="2026-05-23T00:00:00"/>
    <x v="0"/>
    <x v="0"/>
    <x v="0"/>
    <x v="0"/>
    <x v="0"/>
    <m/>
    <m/>
    <x v="0"/>
    <x v="0"/>
    <x v="0"/>
    <x v="0"/>
    <x v="0"/>
    <x v="3"/>
  </r>
  <r>
    <d v="2026-05-24T00:00:00"/>
    <x v="1"/>
    <d v="2026-05-24T00:00:00"/>
    <x v="0"/>
    <x v="0"/>
    <x v="0"/>
    <x v="0"/>
    <x v="0"/>
    <m/>
    <m/>
    <x v="0"/>
    <x v="0"/>
    <x v="0"/>
    <x v="0"/>
    <x v="0"/>
    <x v="3"/>
  </r>
  <r>
    <d v="2026-05-25T00:00:00"/>
    <x v="2"/>
    <d v="2026-05-25T00:00:00"/>
    <x v="1"/>
    <x v="0"/>
    <x v="0"/>
    <x v="0"/>
    <x v="0"/>
    <m/>
    <m/>
    <x v="0"/>
    <x v="0"/>
    <x v="0"/>
    <x v="0"/>
    <x v="0"/>
    <x v="3"/>
  </r>
  <r>
    <d v="2026-05-26T00:00:00"/>
    <x v="3"/>
    <d v="2026-05-26T00:00:00"/>
    <x v="1"/>
    <x v="0"/>
    <x v="0"/>
    <x v="0"/>
    <x v="0"/>
    <m/>
    <m/>
    <x v="0"/>
    <x v="0"/>
    <x v="0"/>
    <x v="0"/>
    <x v="0"/>
    <x v="3"/>
  </r>
  <r>
    <d v="2026-05-27T00:00:00"/>
    <x v="4"/>
    <d v="2026-05-27T00:00:00"/>
    <x v="1"/>
    <x v="0"/>
    <x v="0"/>
    <x v="0"/>
    <x v="0"/>
    <m/>
    <m/>
    <x v="0"/>
    <x v="0"/>
    <x v="0"/>
    <x v="0"/>
    <x v="0"/>
    <x v="3"/>
  </r>
  <r>
    <d v="2026-05-28T00:00:00"/>
    <x v="5"/>
    <d v="2026-05-28T00:00:00"/>
    <x v="1"/>
    <x v="0"/>
    <x v="0"/>
    <x v="0"/>
    <x v="0"/>
    <m/>
    <m/>
    <x v="0"/>
    <x v="0"/>
    <x v="0"/>
    <x v="0"/>
    <x v="0"/>
    <x v="3"/>
  </r>
  <r>
    <d v="2026-05-29T00:00:00"/>
    <x v="6"/>
    <d v="2026-05-29T00:00:00"/>
    <x v="1"/>
    <x v="0"/>
    <x v="0"/>
    <x v="0"/>
    <x v="0"/>
    <m/>
    <m/>
    <x v="0"/>
    <x v="0"/>
    <x v="0"/>
    <x v="0"/>
    <x v="0"/>
    <x v="3"/>
  </r>
  <r>
    <d v="2026-05-30T00:00:00"/>
    <x v="0"/>
    <d v="2026-05-30T00:00:00"/>
    <x v="0"/>
    <x v="0"/>
    <x v="0"/>
    <x v="0"/>
    <x v="0"/>
    <m/>
    <m/>
    <x v="0"/>
    <x v="0"/>
    <x v="0"/>
    <x v="0"/>
    <x v="0"/>
    <x v="3"/>
  </r>
  <r>
    <d v="2026-05-31T00:00:00"/>
    <x v="1"/>
    <d v="2026-05-31T00:00:00"/>
    <x v="0"/>
    <x v="0"/>
    <x v="0"/>
    <x v="0"/>
    <x v="0"/>
    <m/>
    <m/>
    <x v="0"/>
    <x v="0"/>
    <x v="0"/>
    <x v="0"/>
    <x v="0"/>
    <x v="3"/>
  </r>
  <r>
    <d v="2026-06-01T00:00:00"/>
    <x v="2"/>
    <d v="2026-06-01T00:00:00"/>
    <x v="1"/>
    <x v="0"/>
    <x v="0"/>
    <x v="0"/>
    <x v="0"/>
    <m/>
    <m/>
    <x v="0"/>
    <x v="0"/>
    <x v="0"/>
    <x v="0"/>
    <x v="0"/>
    <x v="3"/>
  </r>
  <r>
    <d v="2026-06-02T00:00:00"/>
    <x v="3"/>
    <d v="2026-06-02T00:00:00"/>
    <x v="1"/>
    <x v="0"/>
    <x v="0"/>
    <x v="0"/>
    <x v="0"/>
    <m/>
    <m/>
    <x v="0"/>
    <x v="0"/>
    <x v="0"/>
    <x v="0"/>
    <x v="0"/>
    <x v="3"/>
  </r>
  <r>
    <d v="2026-06-03T00:00:00"/>
    <x v="4"/>
    <d v="2026-06-03T00:00:00"/>
    <x v="1"/>
    <x v="0"/>
    <x v="0"/>
    <x v="0"/>
    <x v="0"/>
    <m/>
    <m/>
    <x v="0"/>
    <x v="0"/>
    <x v="0"/>
    <x v="0"/>
    <x v="0"/>
    <x v="3"/>
  </r>
  <r>
    <d v="2026-06-04T00:00:00"/>
    <x v="5"/>
    <d v="2026-06-04T00:00:00"/>
    <x v="1"/>
    <x v="0"/>
    <x v="0"/>
    <x v="0"/>
    <x v="0"/>
    <m/>
    <m/>
    <x v="0"/>
    <x v="0"/>
    <x v="0"/>
    <x v="0"/>
    <x v="0"/>
    <x v="3"/>
  </r>
  <r>
    <d v="2026-06-05T00:00:00"/>
    <x v="6"/>
    <d v="2026-06-05T00:00:00"/>
    <x v="1"/>
    <x v="0"/>
    <x v="0"/>
    <x v="0"/>
    <x v="0"/>
    <m/>
    <m/>
    <x v="0"/>
    <x v="0"/>
    <x v="0"/>
    <x v="0"/>
    <x v="0"/>
    <x v="3"/>
  </r>
  <r>
    <d v="2026-06-06T00:00:00"/>
    <x v="0"/>
    <d v="2026-06-06T00:00:00"/>
    <x v="0"/>
    <x v="0"/>
    <x v="0"/>
    <x v="0"/>
    <x v="0"/>
    <m/>
    <m/>
    <x v="0"/>
    <x v="0"/>
    <x v="0"/>
    <x v="0"/>
    <x v="0"/>
    <x v="3"/>
  </r>
  <r>
    <d v="2026-06-07T00:00:00"/>
    <x v="1"/>
    <d v="2026-06-07T00:00:00"/>
    <x v="0"/>
    <x v="0"/>
    <x v="0"/>
    <x v="0"/>
    <x v="0"/>
    <m/>
    <m/>
    <x v="0"/>
    <x v="0"/>
    <x v="0"/>
    <x v="0"/>
    <x v="0"/>
    <x v="3"/>
  </r>
  <r>
    <d v="2026-06-08T00:00:00"/>
    <x v="2"/>
    <d v="2026-06-08T00:00:00"/>
    <x v="1"/>
    <x v="0"/>
    <x v="0"/>
    <x v="0"/>
    <x v="0"/>
    <m/>
    <m/>
    <x v="0"/>
    <x v="0"/>
    <x v="0"/>
    <x v="0"/>
    <x v="0"/>
    <x v="3"/>
  </r>
  <r>
    <d v="2026-06-09T00:00:00"/>
    <x v="3"/>
    <d v="2026-06-09T00:00:00"/>
    <x v="1"/>
    <x v="0"/>
    <x v="0"/>
    <x v="0"/>
    <x v="0"/>
    <m/>
    <m/>
    <x v="0"/>
    <x v="0"/>
    <x v="0"/>
    <x v="0"/>
    <x v="0"/>
    <x v="3"/>
  </r>
  <r>
    <d v="2026-06-10T00:00:00"/>
    <x v="4"/>
    <d v="2026-06-10T00:00:00"/>
    <x v="1"/>
    <x v="0"/>
    <x v="0"/>
    <x v="0"/>
    <x v="0"/>
    <m/>
    <m/>
    <x v="0"/>
    <x v="0"/>
    <x v="0"/>
    <x v="0"/>
    <x v="0"/>
    <x v="3"/>
  </r>
  <r>
    <d v="2026-06-11T00:00:00"/>
    <x v="5"/>
    <d v="2026-06-11T00:00:00"/>
    <x v="1"/>
    <x v="0"/>
    <x v="0"/>
    <x v="0"/>
    <x v="0"/>
    <m/>
    <m/>
    <x v="0"/>
    <x v="0"/>
    <x v="0"/>
    <x v="0"/>
    <x v="0"/>
    <x v="3"/>
  </r>
  <r>
    <d v="2026-06-12T00:00:00"/>
    <x v="6"/>
    <d v="2026-06-12T00:00:00"/>
    <x v="1"/>
    <x v="0"/>
    <x v="0"/>
    <x v="0"/>
    <x v="0"/>
    <m/>
    <m/>
    <x v="0"/>
    <x v="0"/>
    <x v="0"/>
    <x v="0"/>
    <x v="0"/>
    <x v="3"/>
  </r>
  <r>
    <d v="2026-06-13T00:00:00"/>
    <x v="0"/>
    <d v="2026-06-13T00:00:00"/>
    <x v="0"/>
    <x v="0"/>
    <x v="0"/>
    <x v="0"/>
    <x v="0"/>
    <m/>
    <m/>
    <x v="0"/>
    <x v="0"/>
    <x v="0"/>
    <x v="0"/>
    <x v="0"/>
    <x v="3"/>
  </r>
  <r>
    <d v="2026-06-14T00:00:00"/>
    <x v="1"/>
    <d v="2026-06-14T00:00:00"/>
    <x v="0"/>
    <x v="0"/>
    <x v="0"/>
    <x v="0"/>
    <x v="0"/>
    <m/>
    <m/>
    <x v="0"/>
    <x v="0"/>
    <x v="0"/>
    <x v="0"/>
    <x v="0"/>
    <x v="3"/>
  </r>
  <r>
    <d v="2026-06-15T00:00:00"/>
    <x v="2"/>
    <d v="2026-06-15T00:00:00"/>
    <x v="1"/>
    <x v="0"/>
    <x v="0"/>
    <x v="0"/>
    <x v="0"/>
    <m/>
    <m/>
    <x v="0"/>
    <x v="0"/>
    <x v="0"/>
    <x v="0"/>
    <x v="0"/>
    <x v="3"/>
  </r>
  <r>
    <d v="2026-06-16T00:00:00"/>
    <x v="3"/>
    <d v="2026-06-16T00:00:00"/>
    <x v="1"/>
    <x v="0"/>
    <x v="0"/>
    <x v="0"/>
    <x v="0"/>
    <m/>
    <m/>
    <x v="0"/>
    <x v="0"/>
    <x v="0"/>
    <x v="0"/>
    <x v="0"/>
    <x v="3"/>
  </r>
  <r>
    <d v="2026-06-17T00:00:00"/>
    <x v="4"/>
    <d v="2026-06-17T00:00:00"/>
    <x v="1"/>
    <x v="0"/>
    <x v="0"/>
    <x v="0"/>
    <x v="0"/>
    <m/>
    <m/>
    <x v="0"/>
    <x v="0"/>
    <x v="0"/>
    <x v="0"/>
    <x v="0"/>
    <x v="3"/>
  </r>
  <r>
    <d v="2026-06-18T00:00:00"/>
    <x v="5"/>
    <d v="2026-06-18T00:00:00"/>
    <x v="1"/>
    <x v="0"/>
    <x v="0"/>
    <x v="0"/>
    <x v="0"/>
    <m/>
    <m/>
    <x v="0"/>
    <x v="0"/>
    <x v="0"/>
    <x v="0"/>
    <x v="0"/>
    <x v="3"/>
  </r>
  <r>
    <d v="2026-06-19T00:00:00"/>
    <x v="6"/>
    <d v="2026-06-19T00:00:00"/>
    <x v="1"/>
    <x v="0"/>
    <x v="0"/>
    <x v="0"/>
    <x v="0"/>
    <m/>
    <m/>
    <x v="0"/>
    <x v="0"/>
    <x v="0"/>
    <x v="0"/>
    <x v="0"/>
    <x v="3"/>
  </r>
  <r>
    <d v="2026-06-20T00:00:00"/>
    <x v="0"/>
    <d v="2026-06-20T00:00:00"/>
    <x v="0"/>
    <x v="0"/>
    <x v="0"/>
    <x v="0"/>
    <x v="0"/>
    <m/>
    <m/>
    <x v="0"/>
    <x v="0"/>
    <x v="0"/>
    <x v="0"/>
    <x v="0"/>
    <x v="3"/>
  </r>
  <r>
    <d v="2026-06-21T00:00:00"/>
    <x v="1"/>
    <d v="2026-06-21T00:00:00"/>
    <x v="0"/>
    <x v="0"/>
    <x v="0"/>
    <x v="0"/>
    <x v="0"/>
    <m/>
    <m/>
    <x v="0"/>
    <x v="0"/>
    <x v="0"/>
    <x v="0"/>
    <x v="0"/>
    <x v="3"/>
  </r>
  <r>
    <d v="2026-06-22T00:00:00"/>
    <x v="2"/>
    <d v="2026-06-22T00:00:00"/>
    <x v="1"/>
    <x v="0"/>
    <x v="0"/>
    <x v="0"/>
    <x v="0"/>
    <m/>
    <m/>
    <x v="0"/>
    <x v="0"/>
    <x v="0"/>
    <x v="0"/>
    <x v="0"/>
    <x v="3"/>
  </r>
  <r>
    <d v="2026-06-23T00:00:00"/>
    <x v="3"/>
    <d v="2026-06-23T00:00:00"/>
    <x v="1"/>
    <x v="0"/>
    <x v="0"/>
    <x v="0"/>
    <x v="0"/>
    <m/>
    <m/>
    <x v="0"/>
    <x v="0"/>
    <x v="0"/>
    <x v="0"/>
    <x v="0"/>
    <x v="3"/>
  </r>
  <r>
    <d v="2026-06-24T00:00:00"/>
    <x v="4"/>
    <d v="2026-06-24T00:00:00"/>
    <x v="1"/>
    <x v="0"/>
    <x v="0"/>
    <x v="0"/>
    <x v="0"/>
    <m/>
    <m/>
    <x v="0"/>
    <x v="0"/>
    <x v="0"/>
    <x v="0"/>
    <x v="0"/>
    <x v="3"/>
  </r>
  <r>
    <d v="2026-06-25T00:00:00"/>
    <x v="5"/>
    <d v="2026-06-25T00:00:00"/>
    <x v="1"/>
    <x v="0"/>
    <x v="0"/>
    <x v="0"/>
    <x v="0"/>
    <m/>
    <m/>
    <x v="0"/>
    <x v="0"/>
    <x v="0"/>
    <x v="0"/>
    <x v="0"/>
    <x v="3"/>
  </r>
  <r>
    <d v="2026-06-26T00:00:00"/>
    <x v="6"/>
    <d v="2026-06-26T00:00:00"/>
    <x v="1"/>
    <x v="0"/>
    <x v="0"/>
    <x v="0"/>
    <x v="0"/>
    <m/>
    <m/>
    <x v="0"/>
    <x v="0"/>
    <x v="0"/>
    <x v="0"/>
    <x v="0"/>
    <x v="3"/>
  </r>
  <r>
    <d v="2026-06-27T00:00:00"/>
    <x v="0"/>
    <d v="2026-06-27T00:00:00"/>
    <x v="0"/>
    <x v="0"/>
    <x v="0"/>
    <x v="0"/>
    <x v="0"/>
    <m/>
    <m/>
    <x v="0"/>
    <x v="0"/>
    <x v="0"/>
    <x v="0"/>
    <x v="0"/>
    <x v="3"/>
  </r>
  <r>
    <d v="2026-06-28T00:00:00"/>
    <x v="1"/>
    <d v="2026-06-28T00:00:00"/>
    <x v="0"/>
    <x v="0"/>
    <x v="0"/>
    <x v="0"/>
    <x v="0"/>
    <m/>
    <m/>
    <x v="0"/>
    <x v="0"/>
    <x v="0"/>
    <x v="0"/>
    <x v="0"/>
    <x v="3"/>
  </r>
  <r>
    <d v="2026-06-29T00:00:00"/>
    <x v="2"/>
    <d v="2026-06-29T00:00:00"/>
    <x v="1"/>
    <x v="0"/>
    <x v="0"/>
    <x v="0"/>
    <x v="0"/>
    <m/>
    <m/>
    <x v="0"/>
    <x v="0"/>
    <x v="0"/>
    <x v="0"/>
    <x v="0"/>
    <x v="3"/>
  </r>
  <r>
    <d v="2026-06-30T00:00:00"/>
    <x v="3"/>
    <d v="2026-06-30T00:00:00"/>
    <x v="1"/>
    <x v="0"/>
    <x v="0"/>
    <x v="0"/>
    <x v="0"/>
    <m/>
    <m/>
    <x v="0"/>
    <x v="0"/>
    <x v="0"/>
    <x v="0"/>
    <x v="0"/>
    <x v="3"/>
  </r>
  <r>
    <d v="2026-07-01T00:00:00"/>
    <x v="4"/>
    <d v="2026-07-01T00:00:00"/>
    <x v="1"/>
    <x v="0"/>
    <x v="0"/>
    <x v="0"/>
    <x v="0"/>
    <m/>
    <m/>
    <x v="0"/>
    <x v="0"/>
    <x v="0"/>
    <x v="0"/>
    <x v="0"/>
    <x v="3"/>
  </r>
  <r>
    <d v="2026-07-02T00:00:00"/>
    <x v="5"/>
    <d v="2026-07-02T00:00:00"/>
    <x v="1"/>
    <x v="0"/>
    <x v="0"/>
    <x v="0"/>
    <x v="0"/>
    <m/>
    <m/>
    <x v="0"/>
    <x v="0"/>
    <x v="0"/>
    <x v="0"/>
    <x v="0"/>
    <x v="3"/>
  </r>
  <r>
    <d v="2026-07-03T00:00:00"/>
    <x v="6"/>
    <d v="2026-07-03T00:00:00"/>
    <x v="1"/>
    <x v="0"/>
    <x v="0"/>
    <x v="0"/>
    <x v="0"/>
    <m/>
    <m/>
    <x v="0"/>
    <x v="0"/>
    <x v="0"/>
    <x v="0"/>
    <x v="0"/>
    <x v="3"/>
  </r>
  <r>
    <d v="2026-07-04T00:00:00"/>
    <x v="0"/>
    <d v="2026-07-04T00:00:00"/>
    <x v="0"/>
    <x v="0"/>
    <x v="0"/>
    <x v="0"/>
    <x v="0"/>
    <m/>
    <m/>
    <x v="0"/>
    <x v="0"/>
    <x v="0"/>
    <x v="0"/>
    <x v="0"/>
    <x v="3"/>
  </r>
  <r>
    <d v="2026-07-05T00:00:00"/>
    <x v="1"/>
    <d v="2026-07-05T00:00:00"/>
    <x v="0"/>
    <x v="0"/>
    <x v="0"/>
    <x v="0"/>
    <x v="0"/>
    <m/>
    <m/>
    <x v="0"/>
    <x v="0"/>
    <x v="0"/>
    <x v="0"/>
    <x v="0"/>
    <x v="3"/>
  </r>
  <r>
    <d v="2026-07-06T00:00:00"/>
    <x v="2"/>
    <d v="2026-07-06T00:00:00"/>
    <x v="1"/>
    <x v="0"/>
    <x v="0"/>
    <x v="0"/>
    <x v="0"/>
    <m/>
    <m/>
    <x v="0"/>
    <x v="0"/>
    <x v="0"/>
    <x v="0"/>
    <x v="0"/>
    <x v="3"/>
  </r>
  <r>
    <d v="2026-07-07T00:00:00"/>
    <x v="3"/>
    <d v="2026-07-07T00:00:00"/>
    <x v="1"/>
    <x v="0"/>
    <x v="0"/>
    <x v="0"/>
    <x v="0"/>
    <m/>
    <m/>
    <x v="0"/>
    <x v="0"/>
    <x v="0"/>
    <x v="0"/>
    <x v="0"/>
    <x v="3"/>
  </r>
  <r>
    <d v="2026-07-08T00:00:00"/>
    <x v="4"/>
    <d v="2026-07-08T00:00:00"/>
    <x v="1"/>
    <x v="0"/>
    <x v="0"/>
    <x v="0"/>
    <x v="0"/>
    <m/>
    <m/>
    <x v="0"/>
    <x v="0"/>
    <x v="0"/>
    <x v="0"/>
    <x v="0"/>
    <x v="3"/>
  </r>
  <r>
    <d v="2026-07-09T00:00:00"/>
    <x v="5"/>
    <d v="2026-07-09T00:00:00"/>
    <x v="1"/>
    <x v="0"/>
    <x v="0"/>
    <x v="0"/>
    <x v="0"/>
    <m/>
    <m/>
    <x v="0"/>
    <x v="0"/>
    <x v="0"/>
    <x v="0"/>
    <x v="0"/>
    <x v="3"/>
  </r>
  <r>
    <d v="2026-07-10T00:00:00"/>
    <x v="6"/>
    <d v="2026-07-10T00:00:00"/>
    <x v="1"/>
    <x v="0"/>
    <x v="0"/>
    <x v="0"/>
    <x v="0"/>
    <m/>
    <m/>
    <x v="0"/>
    <x v="0"/>
    <x v="0"/>
    <x v="0"/>
    <x v="0"/>
    <x v="3"/>
  </r>
  <r>
    <d v="2026-07-11T00:00:00"/>
    <x v="0"/>
    <d v="2026-07-11T00:00:00"/>
    <x v="0"/>
    <x v="0"/>
    <x v="0"/>
    <x v="0"/>
    <x v="0"/>
    <m/>
    <m/>
    <x v="0"/>
    <x v="0"/>
    <x v="0"/>
    <x v="0"/>
    <x v="0"/>
    <x v="3"/>
  </r>
  <r>
    <d v="2026-07-12T00:00:00"/>
    <x v="1"/>
    <d v="2026-07-12T00:00:00"/>
    <x v="0"/>
    <x v="0"/>
    <x v="0"/>
    <x v="0"/>
    <x v="0"/>
    <m/>
    <m/>
    <x v="0"/>
    <x v="0"/>
    <x v="0"/>
    <x v="0"/>
    <x v="0"/>
    <x v="3"/>
  </r>
  <r>
    <d v="2026-07-13T00:00:00"/>
    <x v="2"/>
    <d v="2026-07-13T00:00:00"/>
    <x v="1"/>
    <x v="0"/>
    <x v="0"/>
    <x v="0"/>
    <x v="0"/>
    <m/>
    <m/>
    <x v="0"/>
    <x v="0"/>
    <x v="0"/>
    <x v="0"/>
    <x v="0"/>
    <x v="3"/>
  </r>
  <r>
    <d v="2026-07-14T00:00:00"/>
    <x v="3"/>
    <d v="2026-07-14T00:00:00"/>
    <x v="1"/>
    <x v="0"/>
    <x v="0"/>
    <x v="0"/>
    <x v="0"/>
    <m/>
    <m/>
    <x v="0"/>
    <x v="0"/>
    <x v="0"/>
    <x v="0"/>
    <x v="0"/>
    <x v="3"/>
  </r>
  <r>
    <d v="2026-07-15T00:00:00"/>
    <x v="4"/>
    <d v="2026-07-15T00:00:00"/>
    <x v="1"/>
    <x v="0"/>
    <x v="0"/>
    <x v="0"/>
    <x v="0"/>
    <m/>
    <m/>
    <x v="0"/>
    <x v="0"/>
    <x v="0"/>
    <x v="0"/>
    <x v="0"/>
    <x v="3"/>
  </r>
  <r>
    <d v="2026-07-16T00:00:00"/>
    <x v="5"/>
    <d v="2026-07-16T00:00:00"/>
    <x v="1"/>
    <x v="0"/>
    <x v="0"/>
    <x v="0"/>
    <x v="0"/>
    <m/>
    <m/>
    <x v="0"/>
    <x v="0"/>
    <x v="0"/>
    <x v="0"/>
    <x v="0"/>
    <x v="3"/>
  </r>
  <r>
    <d v="2026-07-17T00:00:00"/>
    <x v="6"/>
    <d v="2026-07-17T00:00:00"/>
    <x v="1"/>
    <x v="0"/>
    <x v="0"/>
    <x v="0"/>
    <x v="0"/>
    <m/>
    <m/>
    <x v="0"/>
    <x v="0"/>
    <x v="0"/>
    <x v="0"/>
    <x v="0"/>
    <x v="3"/>
  </r>
  <r>
    <d v="2026-07-18T00:00:00"/>
    <x v="0"/>
    <d v="2026-07-18T00:00:00"/>
    <x v="0"/>
    <x v="0"/>
    <x v="0"/>
    <x v="0"/>
    <x v="0"/>
    <m/>
    <m/>
    <x v="0"/>
    <x v="0"/>
    <x v="0"/>
    <x v="0"/>
    <x v="0"/>
    <x v="3"/>
  </r>
  <r>
    <d v="2026-07-19T00:00:00"/>
    <x v="1"/>
    <d v="2026-07-19T00:00:00"/>
    <x v="0"/>
    <x v="0"/>
    <x v="0"/>
    <x v="0"/>
    <x v="0"/>
    <m/>
    <m/>
    <x v="0"/>
    <x v="0"/>
    <x v="0"/>
    <x v="0"/>
    <x v="0"/>
    <x v="3"/>
  </r>
  <r>
    <d v="2026-07-20T00:00:00"/>
    <x v="2"/>
    <d v="2026-07-20T00:00:00"/>
    <x v="1"/>
    <x v="0"/>
    <x v="0"/>
    <x v="0"/>
    <x v="0"/>
    <m/>
    <m/>
    <x v="0"/>
    <x v="0"/>
    <x v="0"/>
    <x v="0"/>
    <x v="0"/>
    <x v="3"/>
  </r>
  <r>
    <d v="2026-07-21T00:00:00"/>
    <x v="3"/>
    <d v="2026-07-21T00:00:00"/>
    <x v="1"/>
    <x v="0"/>
    <x v="0"/>
    <x v="0"/>
    <x v="0"/>
    <m/>
    <m/>
    <x v="0"/>
    <x v="0"/>
    <x v="0"/>
    <x v="0"/>
    <x v="0"/>
    <x v="3"/>
  </r>
  <r>
    <d v="2026-07-22T00:00:00"/>
    <x v="4"/>
    <d v="2026-07-22T00:00:00"/>
    <x v="1"/>
    <x v="0"/>
    <x v="0"/>
    <x v="0"/>
    <x v="0"/>
    <m/>
    <m/>
    <x v="0"/>
    <x v="0"/>
    <x v="0"/>
    <x v="0"/>
    <x v="0"/>
    <x v="3"/>
  </r>
  <r>
    <d v="2026-07-23T00:00:00"/>
    <x v="5"/>
    <d v="2026-07-23T00:00:00"/>
    <x v="1"/>
    <x v="0"/>
    <x v="0"/>
    <x v="0"/>
    <x v="0"/>
    <m/>
    <m/>
    <x v="0"/>
    <x v="0"/>
    <x v="0"/>
    <x v="0"/>
    <x v="0"/>
    <x v="3"/>
  </r>
  <r>
    <d v="2026-07-24T00:00:00"/>
    <x v="6"/>
    <d v="2026-07-24T00:00:00"/>
    <x v="1"/>
    <x v="0"/>
    <x v="0"/>
    <x v="0"/>
    <x v="0"/>
    <m/>
    <m/>
    <x v="0"/>
    <x v="0"/>
    <x v="0"/>
    <x v="0"/>
    <x v="0"/>
    <x v="3"/>
  </r>
  <r>
    <d v="2026-07-25T00:00:00"/>
    <x v="0"/>
    <d v="2026-07-25T00:00:00"/>
    <x v="0"/>
    <x v="0"/>
    <x v="0"/>
    <x v="0"/>
    <x v="0"/>
    <m/>
    <m/>
    <x v="0"/>
    <x v="0"/>
    <x v="0"/>
    <x v="0"/>
    <x v="0"/>
    <x v="3"/>
  </r>
  <r>
    <d v="2026-07-26T00:00:00"/>
    <x v="1"/>
    <d v="2026-07-26T00:00:00"/>
    <x v="0"/>
    <x v="0"/>
    <x v="0"/>
    <x v="0"/>
    <x v="0"/>
    <m/>
    <m/>
    <x v="0"/>
    <x v="0"/>
    <x v="0"/>
    <x v="0"/>
    <x v="0"/>
    <x v="3"/>
  </r>
  <r>
    <d v="2026-07-27T00:00:00"/>
    <x v="2"/>
    <d v="2026-07-27T00:00:00"/>
    <x v="1"/>
    <x v="0"/>
    <x v="0"/>
    <x v="0"/>
    <x v="0"/>
    <m/>
    <m/>
    <x v="0"/>
    <x v="0"/>
    <x v="0"/>
    <x v="0"/>
    <x v="0"/>
    <x v="3"/>
  </r>
  <r>
    <d v="2026-07-28T00:00:00"/>
    <x v="3"/>
    <d v="2026-07-28T00:00:00"/>
    <x v="1"/>
    <x v="0"/>
    <x v="0"/>
    <x v="0"/>
    <x v="0"/>
    <m/>
    <m/>
    <x v="0"/>
    <x v="0"/>
    <x v="0"/>
    <x v="0"/>
    <x v="0"/>
    <x v="3"/>
  </r>
  <r>
    <d v="2026-07-29T00:00:00"/>
    <x v="4"/>
    <d v="2026-07-29T00:00:00"/>
    <x v="1"/>
    <x v="0"/>
    <x v="0"/>
    <x v="0"/>
    <x v="0"/>
    <m/>
    <m/>
    <x v="0"/>
    <x v="0"/>
    <x v="0"/>
    <x v="0"/>
    <x v="0"/>
    <x v="3"/>
  </r>
  <r>
    <d v="2026-07-30T00:00:00"/>
    <x v="5"/>
    <d v="2026-07-30T00:00:00"/>
    <x v="1"/>
    <x v="0"/>
    <x v="0"/>
    <x v="0"/>
    <x v="0"/>
    <m/>
    <m/>
    <x v="0"/>
    <x v="0"/>
    <x v="0"/>
    <x v="0"/>
    <x v="0"/>
    <x v="3"/>
  </r>
  <r>
    <d v="2026-07-31T00:00:00"/>
    <x v="6"/>
    <d v="2026-07-31T00:00:00"/>
    <x v="1"/>
    <x v="0"/>
    <x v="0"/>
    <x v="0"/>
    <x v="0"/>
    <m/>
    <m/>
    <x v="0"/>
    <x v="0"/>
    <x v="0"/>
    <x v="0"/>
    <x v="0"/>
    <x v="3"/>
  </r>
  <r>
    <d v="2026-08-01T00:00:00"/>
    <x v="0"/>
    <d v="2026-08-01T00:00:00"/>
    <x v="0"/>
    <x v="0"/>
    <x v="0"/>
    <x v="0"/>
    <x v="0"/>
    <m/>
    <m/>
    <x v="0"/>
    <x v="0"/>
    <x v="0"/>
    <x v="0"/>
    <x v="0"/>
    <x v="3"/>
  </r>
  <r>
    <d v="2026-08-02T00:00:00"/>
    <x v="1"/>
    <d v="2026-08-02T00:00:00"/>
    <x v="0"/>
    <x v="0"/>
    <x v="0"/>
    <x v="0"/>
    <x v="0"/>
    <m/>
    <m/>
    <x v="0"/>
    <x v="0"/>
    <x v="0"/>
    <x v="0"/>
    <x v="0"/>
    <x v="3"/>
  </r>
  <r>
    <d v="2026-08-03T00:00:00"/>
    <x v="2"/>
    <d v="2026-08-03T00:00:00"/>
    <x v="1"/>
    <x v="0"/>
    <x v="0"/>
    <x v="0"/>
    <x v="0"/>
    <m/>
    <m/>
    <x v="0"/>
    <x v="0"/>
    <x v="0"/>
    <x v="0"/>
    <x v="0"/>
    <x v="3"/>
  </r>
  <r>
    <d v="2026-08-04T00:00:00"/>
    <x v="3"/>
    <d v="2026-08-04T00:00:00"/>
    <x v="1"/>
    <x v="0"/>
    <x v="0"/>
    <x v="0"/>
    <x v="0"/>
    <m/>
    <m/>
    <x v="0"/>
    <x v="0"/>
    <x v="0"/>
    <x v="0"/>
    <x v="0"/>
    <x v="3"/>
  </r>
  <r>
    <d v="2026-08-05T00:00:00"/>
    <x v="4"/>
    <d v="2026-08-05T00:00:00"/>
    <x v="1"/>
    <x v="0"/>
    <x v="0"/>
    <x v="0"/>
    <x v="0"/>
    <m/>
    <m/>
    <x v="0"/>
    <x v="0"/>
    <x v="0"/>
    <x v="0"/>
    <x v="0"/>
    <x v="3"/>
  </r>
  <r>
    <d v="2026-08-06T00:00:00"/>
    <x v="5"/>
    <d v="2026-08-06T00:00:00"/>
    <x v="1"/>
    <x v="0"/>
    <x v="0"/>
    <x v="0"/>
    <x v="0"/>
    <m/>
    <m/>
    <x v="0"/>
    <x v="0"/>
    <x v="0"/>
    <x v="0"/>
    <x v="0"/>
    <x v="3"/>
  </r>
  <r>
    <d v="2026-08-07T00:00:00"/>
    <x v="6"/>
    <d v="2026-08-07T00:00:00"/>
    <x v="1"/>
    <x v="0"/>
    <x v="0"/>
    <x v="0"/>
    <x v="0"/>
    <m/>
    <m/>
    <x v="0"/>
    <x v="0"/>
    <x v="0"/>
    <x v="0"/>
    <x v="0"/>
    <x v="3"/>
  </r>
  <r>
    <d v="2026-08-08T00:00:00"/>
    <x v="0"/>
    <d v="2026-08-08T00:00:00"/>
    <x v="0"/>
    <x v="0"/>
    <x v="0"/>
    <x v="0"/>
    <x v="0"/>
    <m/>
    <m/>
    <x v="0"/>
    <x v="0"/>
    <x v="0"/>
    <x v="0"/>
    <x v="0"/>
    <x v="3"/>
  </r>
  <r>
    <d v="2026-08-09T00:00:00"/>
    <x v="1"/>
    <d v="2026-08-09T00:00:00"/>
    <x v="0"/>
    <x v="0"/>
    <x v="0"/>
    <x v="0"/>
    <x v="0"/>
    <m/>
    <m/>
    <x v="0"/>
    <x v="0"/>
    <x v="0"/>
    <x v="0"/>
    <x v="0"/>
    <x v="3"/>
  </r>
  <r>
    <d v="2026-08-10T00:00:00"/>
    <x v="2"/>
    <d v="2026-08-10T00:00:00"/>
    <x v="1"/>
    <x v="0"/>
    <x v="0"/>
    <x v="0"/>
    <x v="0"/>
    <m/>
    <m/>
    <x v="0"/>
    <x v="0"/>
    <x v="0"/>
    <x v="0"/>
    <x v="0"/>
    <x v="3"/>
  </r>
  <r>
    <d v="2026-08-11T00:00:00"/>
    <x v="3"/>
    <d v="2026-08-11T00:00:00"/>
    <x v="1"/>
    <x v="0"/>
    <x v="0"/>
    <x v="0"/>
    <x v="0"/>
    <m/>
    <m/>
    <x v="0"/>
    <x v="0"/>
    <x v="0"/>
    <x v="0"/>
    <x v="0"/>
    <x v="3"/>
  </r>
  <r>
    <d v="2026-08-12T00:00:00"/>
    <x v="4"/>
    <d v="2026-08-12T00:00:00"/>
    <x v="1"/>
    <x v="0"/>
    <x v="0"/>
    <x v="0"/>
    <x v="0"/>
    <m/>
    <m/>
    <x v="0"/>
    <x v="0"/>
    <x v="0"/>
    <x v="0"/>
    <x v="0"/>
    <x v="3"/>
  </r>
  <r>
    <d v="2026-08-13T00:00:00"/>
    <x v="5"/>
    <d v="2026-08-13T00:00:00"/>
    <x v="1"/>
    <x v="0"/>
    <x v="0"/>
    <x v="0"/>
    <x v="0"/>
    <m/>
    <m/>
    <x v="0"/>
    <x v="0"/>
    <x v="0"/>
    <x v="0"/>
    <x v="0"/>
    <x v="3"/>
  </r>
  <r>
    <d v="2026-08-14T00:00:00"/>
    <x v="6"/>
    <d v="2026-08-14T00:00:00"/>
    <x v="1"/>
    <x v="0"/>
    <x v="0"/>
    <x v="0"/>
    <x v="0"/>
    <m/>
    <m/>
    <x v="0"/>
    <x v="0"/>
    <x v="0"/>
    <x v="0"/>
    <x v="0"/>
    <x v="3"/>
  </r>
  <r>
    <d v="2026-08-15T00:00:00"/>
    <x v="0"/>
    <d v="2026-08-15T00:00:00"/>
    <x v="0"/>
    <x v="0"/>
    <x v="0"/>
    <x v="0"/>
    <x v="0"/>
    <m/>
    <m/>
    <x v="0"/>
    <x v="0"/>
    <x v="0"/>
    <x v="0"/>
    <x v="0"/>
    <x v="3"/>
  </r>
  <r>
    <d v="2026-08-16T00:00:00"/>
    <x v="1"/>
    <d v="2026-08-16T00:00:00"/>
    <x v="0"/>
    <x v="0"/>
    <x v="0"/>
    <x v="0"/>
    <x v="0"/>
    <m/>
    <m/>
    <x v="0"/>
    <x v="0"/>
    <x v="0"/>
    <x v="0"/>
    <x v="0"/>
    <x v="3"/>
  </r>
  <r>
    <d v="2026-08-17T00:00:00"/>
    <x v="2"/>
    <d v="2026-08-17T00:00:00"/>
    <x v="1"/>
    <x v="0"/>
    <x v="0"/>
    <x v="0"/>
    <x v="0"/>
    <m/>
    <m/>
    <x v="0"/>
    <x v="0"/>
    <x v="0"/>
    <x v="0"/>
    <x v="0"/>
    <x v="3"/>
  </r>
  <r>
    <d v="2026-08-18T00:00:00"/>
    <x v="3"/>
    <d v="2026-08-18T00:00:00"/>
    <x v="1"/>
    <x v="0"/>
    <x v="0"/>
    <x v="0"/>
    <x v="0"/>
    <m/>
    <m/>
    <x v="0"/>
    <x v="0"/>
    <x v="0"/>
    <x v="0"/>
    <x v="0"/>
    <x v="3"/>
  </r>
  <r>
    <d v="2026-08-19T00:00:00"/>
    <x v="4"/>
    <d v="2026-08-19T00:00:00"/>
    <x v="1"/>
    <x v="0"/>
    <x v="0"/>
    <x v="0"/>
    <x v="0"/>
    <m/>
    <m/>
    <x v="0"/>
    <x v="0"/>
    <x v="0"/>
    <x v="0"/>
    <x v="0"/>
    <x v="3"/>
  </r>
  <r>
    <d v="2026-08-20T00:00:00"/>
    <x v="5"/>
    <d v="2026-08-20T00:00:00"/>
    <x v="1"/>
    <x v="0"/>
    <x v="0"/>
    <x v="0"/>
    <x v="0"/>
    <m/>
    <m/>
    <x v="0"/>
    <x v="0"/>
    <x v="0"/>
    <x v="0"/>
    <x v="0"/>
    <x v="3"/>
  </r>
  <r>
    <d v="2026-08-21T00:00:00"/>
    <x v="6"/>
    <d v="2026-08-21T00:00:00"/>
    <x v="1"/>
    <x v="0"/>
    <x v="0"/>
    <x v="0"/>
    <x v="0"/>
    <m/>
    <m/>
    <x v="0"/>
    <x v="0"/>
    <x v="0"/>
    <x v="0"/>
    <x v="0"/>
    <x v="3"/>
  </r>
  <r>
    <d v="2026-08-22T00:00:00"/>
    <x v="0"/>
    <d v="2026-08-22T00:00:00"/>
    <x v="0"/>
    <x v="0"/>
    <x v="0"/>
    <x v="0"/>
    <x v="0"/>
    <m/>
    <m/>
    <x v="0"/>
    <x v="0"/>
    <x v="0"/>
    <x v="0"/>
    <x v="0"/>
    <x v="3"/>
  </r>
  <r>
    <d v="2026-08-23T00:00:00"/>
    <x v="1"/>
    <d v="2026-08-23T00:00:00"/>
    <x v="0"/>
    <x v="0"/>
    <x v="0"/>
    <x v="0"/>
    <x v="0"/>
    <m/>
    <m/>
    <x v="0"/>
    <x v="0"/>
    <x v="0"/>
    <x v="0"/>
    <x v="0"/>
    <x v="3"/>
  </r>
  <r>
    <d v="2026-08-24T00:00:00"/>
    <x v="2"/>
    <d v="2026-08-24T00:00:00"/>
    <x v="1"/>
    <x v="0"/>
    <x v="0"/>
    <x v="0"/>
    <x v="0"/>
    <m/>
    <m/>
    <x v="0"/>
    <x v="0"/>
    <x v="0"/>
    <x v="0"/>
    <x v="0"/>
    <x v="3"/>
  </r>
  <r>
    <d v="2026-08-25T00:00:00"/>
    <x v="3"/>
    <d v="2026-08-25T00:00:00"/>
    <x v="1"/>
    <x v="0"/>
    <x v="0"/>
    <x v="0"/>
    <x v="0"/>
    <m/>
    <m/>
    <x v="0"/>
    <x v="0"/>
    <x v="0"/>
    <x v="0"/>
    <x v="0"/>
    <x v="3"/>
  </r>
  <r>
    <d v="2026-08-26T00:00:00"/>
    <x v="4"/>
    <d v="2026-08-26T00:00:00"/>
    <x v="1"/>
    <x v="0"/>
    <x v="0"/>
    <x v="0"/>
    <x v="0"/>
    <m/>
    <m/>
    <x v="0"/>
    <x v="0"/>
    <x v="0"/>
    <x v="0"/>
    <x v="0"/>
    <x v="3"/>
  </r>
  <r>
    <d v="2026-08-27T00:00:00"/>
    <x v="5"/>
    <d v="2026-08-27T00:00:00"/>
    <x v="1"/>
    <x v="0"/>
    <x v="0"/>
    <x v="0"/>
    <x v="0"/>
    <m/>
    <m/>
    <x v="0"/>
    <x v="0"/>
    <x v="0"/>
    <x v="0"/>
    <x v="0"/>
    <x v="3"/>
  </r>
  <r>
    <d v="2026-08-28T00:00:00"/>
    <x v="6"/>
    <d v="2026-08-28T00:00:00"/>
    <x v="1"/>
    <x v="0"/>
    <x v="0"/>
    <x v="0"/>
    <x v="0"/>
    <m/>
    <m/>
    <x v="0"/>
    <x v="0"/>
    <x v="0"/>
    <x v="0"/>
    <x v="0"/>
    <x v="3"/>
  </r>
  <r>
    <d v="2026-08-29T00:00:00"/>
    <x v="0"/>
    <d v="2026-08-29T00:00:00"/>
    <x v="0"/>
    <x v="0"/>
    <x v="0"/>
    <x v="0"/>
    <x v="0"/>
    <m/>
    <m/>
    <x v="0"/>
    <x v="0"/>
    <x v="0"/>
    <x v="0"/>
    <x v="0"/>
    <x v="3"/>
  </r>
  <r>
    <d v="2026-08-30T00:00:00"/>
    <x v="1"/>
    <d v="2026-08-30T00:00:00"/>
    <x v="0"/>
    <x v="0"/>
    <x v="0"/>
    <x v="0"/>
    <x v="0"/>
    <m/>
    <m/>
    <x v="0"/>
    <x v="0"/>
    <x v="0"/>
    <x v="0"/>
    <x v="0"/>
    <x v="3"/>
  </r>
  <r>
    <d v="2026-08-31T00:00:00"/>
    <x v="2"/>
    <d v="2026-08-31T00:00:00"/>
    <x v="1"/>
    <x v="0"/>
    <x v="0"/>
    <x v="0"/>
    <x v="0"/>
    <m/>
    <m/>
    <x v="0"/>
    <x v="0"/>
    <x v="0"/>
    <x v="0"/>
    <x v="0"/>
    <x v="3"/>
  </r>
  <r>
    <d v="2026-09-01T00:00:00"/>
    <x v="3"/>
    <d v="2026-09-01T00:00:00"/>
    <x v="1"/>
    <x v="0"/>
    <x v="0"/>
    <x v="0"/>
    <x v="0"/>
    <m/>
    <m/>
    <x v="0"/>
    <x v="0"/>
    <x v="0"/>
    <x v="0"/>
    <x v="0"/>
    <x v="3"/>
  </r>
  <r>
    <d v="2026-09-02T00:00:00"/>
    <x v="4"/>
    <d v="2026-09-02T00:00:00"/>
    <x v="1"/>
    <x v="0"/>
    <x v="0"/>
    <x v="0"/>
    <x v="0"/>
    <m/>
    <m/>
    <x v="0"/>
    <x v="0"/>
    <x v="0"/>
    <x v="0"/>
    <x v="0"/>
    <x v="3"/>
  </r>
  <r>
    <d v="2026-09-03T00:00:00"/>
    <x v="5"/>
    <d v="2026-09-03T00:00:00"/>
    <x v="1"/>
    <x v="0"/>
    <x v="0"/>
    <x v="0"/>
    <x v="0"/>
    <m/>
    <m/>
    <x v="0"/>
    <x v="0"/>
    <x v="0"/>
    <x v="0"/>
    <x v="0"/>
    <x v="3"/>
  </r>
  <r>
    <d v="2026-09-04T00:00:00"/>
    <x v="6"/>
    <d v="2026-09-04T00:00:00"/>
    <x v="1"/>
    <x v="0"/>
    <x v="0"/>
    <x v="0"/>
    <x v="0"/>
    <m/>
    <m/>
    <x v="0"/>
    <x v="0"/>
    <x v="0"/>
    <x v="0"/>
    <x v="0"/>
    <x v="3"/>
  </r>
  <r>
    <d v="2026-09-05T00:00:00"/>
    <x v="0"/>
    <d v="2026-09-05T00:00:00"/>
    <x v="0"/>
    <x v="0"/>
    <x v="0"/>
    <x v="0"/>
    <x v="0"/>
    <m/>
    <m/>
    <x v="0"/>
    <x v="0"/>
    <x v="0"/>
    <x v="0"/>
    <x v="0"/>
    <x v="3"/>
  </r>
  <r>
    <d v="2026-09-06T00:00:00"/>
    <x v="1"/>
    <d v="2026-09-06T00:00:00"/>
    <x v="0"/>
    <x v="0"/>
    <x v="0"/>
    <x v="0"/>
    <x v="0"/>
    <m/>
    <m/>
    <x v="0"/>
    <x v="0"/>
    <x v="0"/>
    <x v="0"/>
    <x v="0"/>
    <x v="3"/>
  </r>
  <r>
    <d v="2026-09-07T00:00:00"/>
    <x v="2"/>
    <d v="2026-09-07T00:00:00"/>
    <x v="1"/>
    <x v="0"/>
    <x v="0"/>
    <x v="0"/>
    <x v="0"/>
    <m/>
    <m/>
    <x v="0"/>
    <x v="0"/>
    <x v="0"/>
    <x v="0"/>
    <x v="0"/>
    <x v="3"/>
  </r>
  <r>
    <d v="2026-09-08T00:00:00"/>
    <x v="3"/>
    <d v="2026-09-08T00:00:00"/>
    <x v="1"/>
    <x v="0"/>
    <x v="0"/>
    <x v="0"/>
    <x v="0"/>
    <m/>
    <m/>
    <x v="0"/>
    <x v="0"/>
    <x v="0"/>
    <x v="0"/>
    <x v="0"/>
    <x v="3"/>
  </r>
  <r>
    <d v="2026-09-09T00:00:00"/>
    <x v="4"/>
    <d v="2026-09-09T00:00:00"/>
    <x v="1"/>
    <x v="0"/>
    <x v="0"/>
    <x v="0"/>
    <x v="0"/>
    <m/>
    <m/>
    <x v="0"/>
    <x v="0"/>
    <x v="0"/>
    <x v="0"/>
    <x v="0"/>
    <x v="3"/>
  </r>
  <r>
    <d v="2026-09-10T00:00:00"/>
    <x v="5"/>
    <d v="2026-09-10T00:00:00"/>
    <x v="1"/>
    <x v="0"/>
    <x v="0"/>
    <x v="0"/>
    <x v="0"/>
    <m/>
    <m/>
    <x v="0"/>
    <x v="0"/>
    <x v="0"/>
    <x v="0"/>
    <x v="0"/>
    <x v="3"/>
  </r>
  <r>
    <d v="2026-09-11T00:00:00"/>
    <x v="6"/>
    <d v="2026-09-11T00:00:00"/>
    <x v="1"/>
    <x v="0"/>
    <x v="0"/>
    <x v="0"/>
    <x v="0"/>
    <m/>
    <m/>
    <x v="0"/>
    <x v="0"/>
    <x v="0"/>
    <x v="0"/>
    <x v="0"/>
    <x v="3"/>
  </r>
  <r>
    <d v="2026-09-12T00:00:00"/>
    <x v="0"/>
    <d v="2026-09-12T00:00:00"/>
    <x v="0"/>
    <x v="0"/>
    <x v="0"/>
    <x v="0"/>
    <x v="0"/>
    <m/>
    <m/>
    <x v="0"/>
    <x v="0"/>
    <x v="0"/>
    <x v="0"/>
    <x v="0"/>
    <x v="3"/>
  </r>
  <r>
    <d v="2026-09-13T00:00:00"/>
    <x v="1"/>
    <d v="2026-09-13T00:00:00"/>
    <x v="0"/>
    <x v="0"/>
    <x v="0"/>
    <x v="0"/>
    <x v="0"/>
    <m/>
    <m/>
    <x v="0"/>
    <x v="0"/>
    <x v="0"/>
    <x v="0"/>
    <x v="0"/>
    <x v="3"/>
  </r>
  <r>
    <d v="2026-09-14T00:00:00"/>
    <x v="2"/>
    <d v="2026-09-14T00:00:00"/>
    <x v="1"/>
    <x v="0"/>
    <x v="0"/>
    <x v="0"/>
    <x v="0"/>
    <m/>
    <m/>
    <x v="0"/>
    <x v="0"/>
    <x v="0"/>
    <x v="0"/>
    <x v="0"/>
    <x v="3"/>
  </r>
  <r>
    <d v="2026-09-15T00:00:00"/>
    <x v="3"/>
    <d v="2026-09-15T00:00:00"/>
    <x v="1"/>
    <x v="0"/>
    <x v="0"/>
    <x v="0"/>
    <x v="0"/>
    <m/>
    <m/>
    <x v="0"/>
    <x v="0"/>
    <x v="0"/>
    <x v="0"/>
    <x v="0"/>
    <x v="3"/>
  </r>
  <r>
    <d v="2026-09-16T00:00:00"/>
    <x v="4"/>
    <d v="2026-09-16T00:00:00"/>
    <x v="1"/>
    <x v="0"/>
    <x v="0"/>
    <x v="0"/>
    <x v="0"/>
    <m/>
    <m/>
    <x v="0"/>
    <x v="0"/>
    <x v="0"/>
    <x v="0"/>
    <x v="0"/>
    <x v="3"/>
  </r>
  <r>
    <d v="2026-09-17T00:00:00"/>
    <x v="5"/>
    <d v="2026-09-17T00:00:00"/>
    <x v="1"/>
    <x v="0"/>
    <x v="0"/>
    <x v="0"/>
    <x v="0"/>
    <m/>
    <m/>
    <x v="0"/>
    <x v="0"/>
    <x v="0"/>
    <x v="0"/>
    <x v="0"/>
    <x v="3"/>
  </r>
  <r>
    <d v="2026-09-18T00:00:00"/>
    <x v="6"/>
    <d v="2026-09-18T00:00:00"/>
    <x v="1"/>
    <x v="0"/>
    <x v="0"/>
    <x v="0"/>
    <x v="0"/>
    <m/>
    <m/>
    <x v="0"/>
    <x v="0"/>
    <x v="0"/>
    <x v="0"/>
    <x v="0"/>
    <x v="3"/>
  </r>
  <r>
    <d v="2026-09-19T00:00:00"/>
    <x v="0"/>
    <d v="2026-09-19T00:00:00"/>
    <x v="0"/>
    <x v="0"/>
    <x v="0"/>
    <x v="0"/>
    <x v="0"/>
    <m/>
    <m/>
    <x v="0"/>
    <x v="0"/>
    <x v="0"/>
    <x v="0"/>
    <x v="0"/>
    <x v="3"/>
  </r>
  <r>
    <d v="2026-09-20T00:00:00"/>
    <x v="1"/>
    <d v="2026-09-20T00:00:00"/>
    <x v="0"/>
    <x v="0"/>
    <x v="0"/>
    <x v="0"/>
    <x v="0"/>
    <m/>
    <m/>
    <x v="0"/>
    <x v="0"/>
    <x v="0"/>
    <x v="0"/>
    <x v="0"/>
    <x v="3"/>
  </r>
  <r>
    <d v="2026-09-21T00:00:00"/>
    <x v="2"/>
    <d v="2026-09-21T00:00:00"/>
    <x v="1"/>
    <x v="0"/>
    <x v="0"/>
    <x v="0"/>
    <x v="0"/>
    <m/>
    <m/>
    <x v="0"/>
    <x v="0"/>
    <x v="0"/>
    <x v="0"/>
    <x v="0"/>
    <x v="3"/>
  </r>
  <r>
    <d v="2026-09-22T00:00:00"/>
    <x v="3"/>
    <d v="2026-09-22T00:00:00"/>
    <x v="1"/>
    <x v="0"/>
    <x v="0"/>
    <x v="0"/>
    <x v="0"/>
    <m/>
    <m/>
    <x v="0"/>
    <x v="0"/>
    <x v="0"/>
    <x v="0"/>
    <x v="0"/>
    <x v="3"/>
  </r>
  <r>
    <d v="2026-09-23T00:00:00"/>
    <x v="4"/>
    <d v="2026-09-23T00:00:00"/>
    <x v="1"/>
    <x v="0"/>
    <x v="0"/>
    <x v="0"/>
    <x v="0"/>
    <m/>
    <m/>
    <x v="0"/>
    <x v="0"/>
    <x v="0"/>
    <x v="0"/>
    <x v="0"/>
    <x v="3"/>
  </r>
  <r>
    <d v="2026-09-24T00:00:00"/>
    <x v="5"/>
    <d v="2026-09-24T00:00:00"/>
    <x v="1"/>
    <x v="0"/>
    <x v="0"/>
    <x v="0"/>
    <x v="0"/>
    <m/>
    <m/>
    <x v="0"/>
    <x v="0"/>
    <x v="0"/>
    <x v="0"/>
    <x v="0"/>
    <x v="3"/>
  </r>
  <r>
    <d v="2026-09-25T00:00:00"/>
    <x v="6"/>
    <d v="2026-09-25T00:00:00"/>
    <x v="1"/>
    <x v="0"/>
    <x v="0"/>
    <x v="0"/>
    <x v="0"/>
    <m/>
    <m/>
    <x v="0"/>
    <x v="0"/>
    <x v="0"/>
    <x v="0"/>
    <x v="0"/>
    <x v="3"/>
  </r>
  <r>
    <d v="2026-09-26T00:00:00"/>
    <x v="0"/>
    <d v="2026-09-26T00:00:00"/>
    <x v="0"/>
    <x v="0"/>
    <x v="0"/>
    <x v="0"/>
    <x v="0"/>
    <m/>
    <m/>
    <x v="0"/>
    <x v="0"/>
    <x v="0"/>
    <x v="0"/>
    <x v="0"/>
    <x v="3"/>
  </r>
  <r>
    <d v="2026-09-27T00:00:00"/>
    <x v="1"/>
    <d v="2026-09-27T00:00:00"/>
    <x v="0"/>
    <x v="0"/>
    <x v="0"/>
    <x v="0"/>
    <x v="0"/>
    <m/>
    <m/>
    <x v="0"/>
    <x v="0"/>
    <x v="0"/>
    <x v="0"/>
    <x v="0"/>
    <x v="3"/>
  </r>
  <r>
    <d v="2026-09-28T00:00:00"/>
    <x v="2"/>
    <d v="2026-09-28T00:00:00"/>
    <x v="1"/>
    <x v="0"/>
    <x v="0"/>
    <x v="0"/>
    <x v="0"/>
    <m/>
    <m/>
    <x v="0"/>
    <x v="0"/>
    <x v="0"/>
    <x v="0"/>
    <x v="0"/>
    <x v="3"/>
  </r>
  <r>
    <d v="2026-09-29T00:00:00"/>
    <x v="3"/>
    <d v="2026-09-29T00:00:00"/>
    <x v="1"/>
    <x v="0"/>
    <x v="0"/>
    <x v="0"/>
    <x v="0"/>
    <m/>
    <m/>
    <x v="0"/>
    <x v="0"/>
    <x v="0"/>
    <x v="0"/>
    <x v="0"/>
    <x v="3"/>
  </r>
  <r>
    <d v="2026-09-30T00:00:00"/>
    <x v="4"/>
    <d v="2026-09-30T00:00:00"/>
    <x v="1"/>
    <x v="0"/>
    <x v="0"/>
    <x v="0"/>
    <x v="0"/>
    <m/>
    <m/>
    <x v="0"/>
    <x v="0"/>
    <x v="0"/>
    <x v="0"/>
    <x v="0"/>
    <x v="3"/>
  </r>
  <r>
    <d v="2026-10-01T00:00:00"/>
    <x v="5"/>
    <d v="2026-10-01T00:00:00"/>
    <x v="1"/>
    <x v="0"/>
    <x v="0"/>
    <x v="0"/>
    <x v="0"/>
    <m/>
    <m/>
    <x v="0"/>
    <x v="0"/>
    <x v="0"/>
    <x v="0"/>
    <x v="0"/>
    <x v="3"/>
  </r>
  <r>
    <d v="2026-10-02T00:00:00"/>
    <x v="6"/>
    <d v="2026-10-02T00:00:00"/>
    <x v="1"/>
    <x v="0"/>
    <x v="0"/>
    <x v="0"/>
    <x v="0"/>
    <m/>
    <m/>
    <x v="0"/>
    <x v="0"/>
    <x v="0"/>
    <x v="0"/>
    <x v="0"/>
    <x v="3"/>
  </r>
  <r>
    <d v="2026-10-03T00:00:00"/>
    <x v="0"/>
    <d v="2026-10-03T00:00:00"/>
    <x v="0"/>
    <x v="0"/>
    <x v="0"/>
    <x v="0"/>
    <x v="0"/>
    <m/>
    <m/>
    <x v="0"/>
    <x v="0"/>
    <x v="0"/>
    <x v="0"/>
    <x v="0"/>
    <x v="3"/>
  </r>
  <r>
    <d v="2026-10-04T00:00:00"/>
    <x v="1"/>
    <d v="2026-10-04T00:00:00"/>
    <x v="0"/>
    <x v="0"/>
    <x v="0"/>
    <x v="0"/>
    <x v="0"/>
    <m/>
    <m/>
    <x v="0"/>
    <x v="0"/>
    <x v="0"/>
    <x v="0"/>
    <x v="0"/>
    <x v="3"/>
  </r>
  <r>
    <d v="2026-10-05T00:00:00"/>
    <x v="2"/>
    <d v="2026-10-05T00:00:00"/>
    <x v="1"/>
    <x v="0"/>
    <x v="0"/>
    <x v="0"/>
    <x v="0"/>
    <m/>
    <m/>
    <x v="0"/>
    <x v="0"/>
    <x v="0"/>
    <x v="0"/>
    <x v="0"/>
    <x v="3"/>
  </r>
  <r>
    <d v="2026-10-06T00:00:00"/>
    <x v="3"/>
    <d v="2026-10-06T00:00:00"/>
    <x v="1"/>
    <x v="0"/>
    <x v="0"/>
    <x v="0"/>
    <x v="0"/>
    <m/>
    <m/>
    <x v="0"/>
    <x v="0"/>
    <x v="0"/>
    <x v="0"/>
    <x v="0"/>
    <x v="3"/>
  </r>
  <r>
    <d v="2026-10-07T00:00:00"/>
    <x v="4"/>
    <d v="2026-10-07T00:00:00"/>
    <x v="1"/>
    <x v="0"/>
    <x v="0"/>
    <x v="0"/>
    <x v="0"/>
    <m/>
    <m/>
    <x v="0"/>
    <x v="0"/>
    <x v="0"/>
    <x v="0"/>
    <x v="0"/>
    <x v="3"/>
  </r>
  <r>
    <d v="2026-10-08T00:00:00"/>
    <x v="5"/>
    <d v="2026-10-08T00:00:00"/>
    <x v="1"/>
    <x v="0"/>
    <x v="0"/>
    <x v="0"/>
    <x v="0"/>
    <m/>
    <m/>
    <x v="0"/>
    <x v="0"/>
    <x v="0"/>
    <x v="0"/>
    <x v="0"/>
    <x v="3"/>
  </r>
  <r>
    <d v="2026-10-09T00:00:00"/>
    <x v="6"/>
    <d v="2026-10-09T00:00:00"/>
    <x v="1"/>
    <x v="0"/>
    <x v="0"/>
    <x v="0"/>
    <x v="0"/>
    <m/>
    <m/>
    <x v="0"/>
    <x v="0"/>
    <x v="0"/>
    <x v="0"/>
    <x v="0"/>
    <x v="3"/>
  </r>
  <r>
    <d v="2026-10-10T00:00:00"/>
    <x v="0"/>
    <d v="2026-10-10T00:00:00"/>
    <x v="0"/>
    <x v="0"/>
    <x v="0"/>
    <x v="0"/>
    <x v="0"/>
    <m/>
    <m/>
    <x v="0"/>
    <x v="0"/>
    <x v="0"/>
    <x v="0"/>
    <x v="0"/>
    <x v="3"/>
  </r>
  <r>
    <d v="2026-10-11T00:00:00"/>
    <x v="1"/>
    <d v="2026-10-11T00:00:00"/>
    <x v="0"/>
    <x v="0"/>
    <x v="0"/>
    <x v="0"/>
    <x v="0"/>
    <m/>
    <m/>
    <x v="0"/>
    <x v="0"/>
    <x v="0"/>
    <x v="0"/>
    <x v="0"/>
    <x v="3"/>
  </r>
  <r>
    <d v="2026-10-12T00:00:00"/>
    <x v="2"/>
    <d v="2026-10-12T00:00:00"/>
    <x v="1"/>
    <x v="0"/>
    <x v="0"/>
    <x v="0"/>
    <x v="0"/>
    <m/>
    <m/>
    <x v="0"/>
    <x v="0"/>
    <x v="0"/>
    <x v="0"/>
    <x v="0"/>
    <x v="3"/>
  </r>
  <r>
    <d v="2026-10-13T00:00:00"/>
    <x v="3"/>
    <d v="2026-10-13T00:00:00"/>
    <x v="1"/>
    <x v="0"/>
    <x v="0"/>
    <x v="0"/>
    <x v="0"/>
    <m/>
    <m/>
    <x v="0"/>
    <x v="0"/>
    <x v="0"/>
    <x v="0"/>
    <x v="0"/>
    <x v="3"/>
  </r>
  <r>
    <d v="2026-10-14T00:00:00"/>
    <x v="4"/>
    <d v="2026-10-14T00:00:00"/>
    <x v="1"/>
    <x v="0"/>
    <x v="0"/>
    <x v="0"/>
    <x v="0"/>
    <m/>
    <m/>
    <x v="0"/>
    <x v="0"/>
    <x v="0"/>
    <x v="0"/>
    <x v="0"/>
    <x v="3"/>
  </r>
  <r>
    <d v="2026-10-15T00:00:00"/>
    <x v="5"/>
    <d v="2026-10-15T00:00:00"/>
    <x v="1"/>
    <x v="0"/>
    <x v="0"/>
    <x v="0"/>
    <x v="0"/>
    <m/>
    <m/>
    <x v="0"/>
    <x v="0"/>
    <x v="0"/>
    <x v="0"/>
    <x v="0"/>
    <x v="3"/>
  </r>
  <r>
    <d v="2026-10-16T00:00:00"/>
    <x v="6"/>
    <d v="2026-10-16T00:00:00"/>
    <x v="1"/>
    <x v="0"/>
    <x v="0"/>
    <x v="0"/>
    <x v="0"/>
    <m/>
    <m/>
    <x v="0"/>
    <x v="0"/>
    <x v="0"/>
    <x v="0"/>
    <x v="0"/>
    <x v="3"/>
  </r>
  <r>
    <d v="2026-10-17T00:00:00"/>
    <x v="0"/>
    <d v="2026-10-17T00:00:00"/>
    <x v="0"/>
    <x v="0"/>
    <x v="0"/>
    <x v="0"/>
    <x v="0"/>
    <m/>
    <m/>
    <x v="0"/>
    <x v="0"/>
    <x v="0"/>
    <x v="0"/>
    <x v="0"/>
    <x v="3"/>
  </r>
  <r>
    <d v="2026-10-18T00:00:00"/>
    <x v="1"/>
    <d v="2026-10-18T00:00:00"/>
    <x v="0"/>
    <x v="0"/>
    <x v="0"/>
    <x v="0"/>
    <x v="0"/>
    <m/>
    <m/>
    <x v="0"/>
    <x v="0"/>
    <x v="0"/>
    <x v="0"/>
    <x v="0"/>
    <x v="3"/>
  </r>
  <r>
    <d v="2026-10-19T00:00:00"/>
    <x v="2"/>
    <d v="2026-10-19T00:00:00"/>
    <x v="1"/>
    <x v="0"/>
    <x v="0"/>
    <x v="0"/>
    <x v="0"/>
    <m/>
    <m/>
    <x v="0"/>
    <x v="0"/>
    <x v="0"/>
    <x v="0"/>
    <x v="0"/>
    <x v="3"/>
  </r>
  <r>
    <d v="2026-10-20T00:00:00"/>
    <x v="3"/>
    <d v="2026-10-20T00:00:00"/>
    <x v="1"/>
    <x v="0"/>
    <x v="0"/>
    <x v="0"/>
    <x v="0"/>
    <m/>
    <m/>
    <x v="0"/>
    <x v="0"/>
    <x v="0"/>
    <x v="0"/>
    <x v="0"/>
    <x v="3"/>
  </r>
  <r>
    <d v="2026-10-21T00:00:00"/>
    <x v="4"/>
    <d v="2026-10-21T00:00:00"/>
    <x v="1"/>
    <x v="0"/>
    <x v="0"/>
    <x v="0"/>
    <x v="0"/>
    <m/>
    <m/>
    <x v="0"/>
    <x v="0"/>
    <x v="0"/>
    <x v="0"/>
    <x v="0"/>
    <x v="3"/>
  </r>
  <r>
    <d v="2026-10-22T00:00:00"/>
    <x v="5"/>
    <d v="2026-10-22T00:00:00"/>
    <x v="1"/>
    <x v="0"/>
    <x v="0"/>
    <x v="0"/>
    <x v="0"/>
    <m/>
    <m/>
    <x v="0"/>
    <x v="0"/>
    <x v="0"/>
    <x v="0"/>
    <x v="0"/>
    <x v="3"/>
  </r>
  <r>
    <d v="2026-10-23T00:00:00"/>
    <x v="6"/>
    <d v="2026-10-23T00:00:00"/>
    <x v="1"/>
    <x v="0"/>
    <x v="0"/>
    <x v="0"/>
    <x v="0"/>
    <m/>
    <m/>
    <x v="0"/>
    <x v="0"/>
    <x v="0"/>
    <x v="0"/>
    <x v="0"/>
    <x v="3"/>
  </r>
  <r>
    <d v="2026-10-24T00:00:00"/>
    <x v="0"/>
    <d v="2026-10-24T00:00:00"/>
    <x v="0"/>
    <x v="0"/>
    <x v="0"/>
    <x v="0"/>
    <x v="0"/>
    <m/>
    <m/>
    <x v="0"/>
    <x v="0"/>
    <x v="0"/>
    <x v="0"/>
    <x v="0"/>
    <x v="3"/>
  </r>
  <r>
    <d v="2026-10-25T00:00:00"/>
    <x v="1"/>
    <d v="2026-10-25T00:00:00"/>
    <x v="0"/>
    <x v="0"/>
    <x v="0"/>
    <x v="0"/>
    <x v="0"/>
    <m/>
    <m/>
    <x v="0"/>
    <x v="0"/>
    <x v="0"/>
    <x v="0"/>
    <x v="0"/>
    <x v="3"/>
  </r>
  <r>
    <d v="2026-10-26T00:00:00"/>
    <x v="2"/>
    <d v="2026-10-26T00:00:00"/>
    <x v="1"/>
    <x v="0"/>
    <x v="0"/>
    <x v="0"/>
    <x v="0"/>
    <m/>
    <m/>
    <x v="0"/>
    <x v="0"/>
    <x v="0"/>
    <x v="0"/>
    <x v="0"/>
    <x v="3"/>
  </r>
  <r>
    <d v="2026-10-27T00:00:00"/>
    <x v="3"/>
    <d v="2026-10-27T00:00:00"/>
    <x v="1"/>
    <x v="0"/>
    <x v="0"/>
    <x v="0"/>
    <x v="0"/>
    <m/>
    <m/>
    <x v="0"/>
    <x v="0"/>
    <x v="0"/>
    <x v="0"/>
    <x v="0"/>
    <x v="3"/>
  </r>
  <r>
    <d v="2026-10-28T00:00:00"/>
    <x v="4"/>
    <d v="2026-10-28T00:00:00"/>
    <x v="1"/>
    <x v="0"/>
    <x v="0"/>
    <x v="0"/>
    <x v="0"/>
    <m/>
    <m/>
    <x v="0"/>
    <x v="0"/>
    <x v="0"/>
    <x v="0"/>
    <x v="0"/>
    <x v="3"/>
  </r>
  <r>
    <d v="2026-10-29T00:00:00"/>
    <x v="5"/>
    <d v="2026-10-29T00:00:00"/>
    <x v="1"/>
    <x v="0"/>
    <x v="0"/>
    <x v="0"/>
    <x v="0"/>
    <m/>
    <m/>
    <x v="0"/>
    <x v="0"/>
    <x v="0"/>
    <x v="0"/>
    <x v="0"/>
    <x v="3"/>
  </r>
  <r>
    <d v="2026-10-30T00:00:00"/>
    <x v="6"/>
    <d v="2026-10-30T00:00:00"/>
    <x v="1"/>
    <x v="0"/>
    <x v="0"/>
    <x v="0"/>
    <x v="0"/>
    <m/>
    <m/>
    <x v="0"/>
    <x v="0"/>
    <x v="0"/>
    <x v="0"/>
    <x v="0"/>
    <x v="3"/>
  </r>
  <r>
    <d v="2026-10-31T00:00:00"/>
    <x v="0"/>
    <d v="2026-10-31T00:00:00"/>
    <x v="0"/>
    <x v="0"/>
    <x v="0"/>
    <x v="0"/>
    <x v="0"/>
    <m/>
    <m/>
    <x v="0"/>
    <x v="0"/>
    <x v="0"/>
    <x v="0"/>
    <x v="0"/>
    <x v="3"/>
  </r>
  <r>
    <d v="2026-11-01T00:00:00"/>
    <x v="1"/>
    <d v="2026-11-01T00:00:00"/>
    <x v="0"/>
    <x v="0"/>
    <x v="0"/>
    <x v="0"/>
    <x v="0"/>
    <m/>
    <m/>
    <x v="0"/>
    <x v="0"/>
    <x v="0"/>
    <x v="0"/>
    <x v="0"/>
    <x v="3"/>
  </r>
  <r>
    <d v="2026-11-02T00:00:00"/>
    <x v="2"/>
    <d v="2026-11-02T00:00:00"/>
    <x v="1"/>
    <x v="0"/>
    <x v="0"/>
    <x v="0"/>
    <x v="0"/>
    <m/>
    <m/>
    <x v="0"/>
    <x v="0"/>
    <x v="0"/>
    <x v="0"/>
    <x v="0"/>
    <x v="3"/>
  </r>
  <r>
    <d v="2026-11-03T00:00:00"/>
    <x v="3"/>
    <d v="2026-11-03T00:00:00"/>
    <x v="1"/>
    <x v="0"/>
    <x v="0"/>
    <x v="0"/>
    <x v="0"/>
    <m/>
    <m/>
    <x v="0"/>
    <x v="0"/>
    <x v="0"/>
    <x v="0"/>
    <x v="0"/>
    <x v="3"/>
  </r>
  <r>
    <d v="2026-11-04T00:00:00"/>
    <x v="4"/>
    <d v="2026-11-04T00:00:00"/>
    <x v="1"/>
    <x v="0"/>
    <x v="0"/>
    <x v="0"/>
    <x v="0"/>
    <m/>
    <m/>
    <x v="0"/>
    <x v="0"/>
    <x v="0"/>
    <x v="0"/>
    <x v="0"/>
    <x v="3"/>
  </r>
  <r>
    <d v="2026-11-05T00:00:00"/>
    <x v="5"/>
    <d v="2026-11-05T00:00:00"/>
    <x v="1"/>
    <x v="0"/>
    <x v="0"/>
    <x v="0"/>
    <x v="0"/>
    <m/>
    <m/>
    <x v="0"/>
    <x v="0"/>
    <x v="0"/>
    <x v="0"/>
    <x v="0"/>
    <x v="3"/>
  </r>
  <r>
    <d v="2026-11-06T00:00:00"/>
    <x v="6"/>
    <d v="2026-11-06T00:00:00"/>
    <x v="1"/>
    <x v="0"/>
    <x v="0"/>
    <x v="0"/>
    <x v="0"/>
    <m/>
    <m/>
    <x v="0"/>
    <x v="0"/>
    <x v="0"/>
    <x v="0"/>
    <x v="0"/>
    <x v="3"/>
  </r>
  <r>
    <d v="2026-11-07T00:00:00"/>
    <x v="0"/>
    <d v="2026-11-07T00:00:00"/>
    <x v="0"/>
    <x v="0"/>
    <x v="0"/>
    <x v="0"/>
    <x v="0"/>
    <m/>
    <m/>
    <x v="0"/>
    <x v="0"/>
    <x v="0"/>
    <x v="0"/>
    <x v="0"/>
    <x v="3"/>
  </r>
  <r>
    <d v="2026-11-08T00:00:00"/>
    <x v="1"/>
    <d v="2026-11-08T00:00:00"/>
    <x v="0"/>
    <x v="0"/>
    <x v="0"/>
    <x v="0"/>
    <x v="0"/>
    <m/>
    <m/>
    <x v="0"/>
    <x v="0"/>
    <x v="0"/>
    <x v="0"/>
    <x v="0"/>
    <x v="3"/>
  </r>
  <r>
    <d v="2026-11-09T00:00:00"/>
    <x v="2"/>
    <d v="2026-11-09T00:00:00"/>
    <x v="1"/>
    <x v="0"/>
    <x v="0"/>
    <x v="0"/>
    <x v="0"/>
    <m/>
    <m/>
    <x v="0"/>
    <x v="0"/>
    <x v="0"/>
    <x v="0"/>
    <x v="0"/>
    <x v="3"/>
  </r>
  <r>
    <d v="2026-11-10T00:00:00"/>
    <x v="3"/>
    <d v="2026-11-10T00:00:00"/>
    <x v="1"/>
    <x v="0"/>
    <x v="0"/>
    <x v="0"/>
    <x v="0"/>
    <m/>
    <m/>
    <x v="0"/>
    <x v="0"/>
    <x v="0"/>
    <x v="0"/>
    <x v="0"/>
    <x v="3"/>
  </r>
  <r>
    <d v="2026-11-11T00:00:00"/>
    <x v="4"/>
    <d v="2026-11-11T00:00:00"/>
    <x v="1"/>
    <x v="0"/>
    <x v="0"/>
    <x v="0"/>
    <x v="0"/>
    <m/>
    <m/>
    <x v="0"/>
    <x v="0"/>
    <x v="0"/>
    <x v="0"/>
    <x v="0"/>
    <x v="3"/>
  </r>
  <r>
    <d v="2026-11-12T00:00:00"/>
    <x v="5"/>
    <d v="2026-11-12T00:00:00"/>
    <x v="1"/>
    <x v="0"/>
    <x v="0"/>
    <x v="0"/>
    <x v="0"/>
    <m/>
    <m/>
    <x v="0"/>
    <x v="0"/>
    <x v="0"/>
    <x v="0"/>
    <x v="0"/>
    <x v="3"/>
  </r>
  <r>
    <d v="2026-11-13T00:00:00"/>
    <x v="6"/>
    <d v="2026-11-13T00:00:00"/>
    <x v="1"/>
    <x v="0"/>
    <x v="0"/>
    <x v="0"/>
    <x v="0"/>
    <m/>
    <m/>
    <x v="0"/>
    <x v="0"/>
    <x v="0"/>
    <x v="0"/>
    <x v="0"/>
    <x v="3"/>
  </r>
  <r>
    <d v="2026-11-14T00:00:00"/>
    <x v="0"/>
    <d v="2026-11-14T00:00:00"/>
    <x v="0"/>
    <x v="0"/>
    <x v="0"/>
    <x v="0"/>
    <x v="0"/>
    <m/>
    <m/>
    <x v="0"/>
    <x v="0"/>
    <x v="0"/>
    <x v="0"/>
    <x v="0"/>
    <x v="3"/>
  </r>
  <r>
    <d v="2026-11-15T00:00:00"/>
    <x v="1"/>
    <d v="2026-11-15T00:00:00"/>
    <x v="0"/>
    <x v="0"/>
    <x v="0"/>
    <x v="0"/>
    <x v="0"/>
    <m/>
    <m/>
    <x v="0"/>
    <x v="0"/>
    <x v="0"/>
    <x v="0"/>
    <x v="0"/>
    <x v="3"/>
  </r>
  <r>
    <d v="2026-11-16T00:00:00"/>
    <x v="2"/>
    <d v="2026-11-16T00:00:00"/>
    <x v="1"/>
    <x v="0"/>
    <x v="0"/>
    <x v="0"/>
    <x v="0"/>
    <m/>
    <m/>
    <x v="0"/>
    <x v="0"/>
    <x v="0"/>
    <x v="0"/>
    <x v="0"/>
    <x v="3"/>
  </r>
  <r>
    <d v="2026-11-17T00:00:00"/>
    <x v="3"/>
    <d v="2026-11-17T00:00:00"/>
    <x v="1"/>
    <x v="0"/>
    <x v="0"/>
    <x v="0"/>
    <x v="0"/>
    <m/>
    <m/>
    <x v="0"/>
    <x v="0"/>
    <x v="0"/>
    <x v="0"/>
    <x v="0"/>
    <x v="3"/>
  </r>
  <r>
    <d v="2026-11-18T00:00:00"/>
    <x v="4"/>
    <d v="2026-11-18T00:00:00"/>
    <x v="1"/>
    <x v="0"/>
    <x v="0"/>
    <x v="0"/>
    <x v="0"/>
    <m/>
    <m/>
    <x v="0"/>
    <x v="0"/>
    <x v="0"/>
    <x v="0"/>
    <x v="0"/>
    <x v="3"/>
  </r>
  <r>
    <d v="2026-11-19T00:00:00"/>
    <x v="5"/>
    <d v="2026-11-19T00:00:00"/>
    <x v="1"/>
    <x v="0"/>
    <x v="0"/>
    <x v="0"/>
    <x v="0"/>
    <m/>
    <m/>
    <x v="0"/>
    <x v="0"/>
    <x v="0"/>
    <x v="0"/>
    <x v="0"/>
    <x v="3"/>
  </r>
  <r>
    <d v="2026-11-20T00:00:00"/>
    <x v="6"/>
    <d v="2026-11-20T00:00:00"/>
    <x v="1"/>
    <x v="0"/>
    <x v="0"/>
    <x v="0"/>
    <x v="0"/>
    <m/>
    <m/>
    <x v="0"/>
    <x v="0"/>
    <x v="0"/>
    <x v="0"/>
    <x v="0"/>
    <x v="3"/>
  </r>
  <r>
    <d v="2026-11-21T00:00:00"/>
    <x v="0"/>
    <d v="2026-11-21T00:00:00"/>
    <x v="0"/>
    <x v="0"/>
    <x v="0"/>
    <x v="0"/>
    <x v="0"/>
    <m/>
    <m/>
    <x v="0"/>
    <x v="0"/>
    <x v="0"/>
    <x v="0"/>
    <x v="0"/>
    <x v="3"/>
  </r>
  <r>
    <d v="2026-11-22T00:00:00"/>
    <x v="1"/>
    <d v="2026-11-22T00:00:00"/>
    <x v="0"/>
    <x v="0"/>
    <x v="0"/>
    <x v="0"/>
    <x v="0"/>
    <m/>
    <m/>
    <x v="0"/>
    <x v="0"/>
    <x v="0"/>
    <x v="0"/>
    <x v="0"/>
    <x v="3"/>
  </r>
  <r>
    <d v="2026-11-23T00:00:00"/>
    <x v="2"/>
    <d v="2026-11-23T00:00:00"/>
    <x v="1"/>
    <x v="0"/>
    <x v="0"/>
    <x v="0"/>
    <x v="0"/>
    <m/>
    <m/>
    <x v="0"/>
    <x v="0"/>
    <x v="0"/>
    <x v="0"/>
    <x v="0"/>
    <x v="3"/>
  </r>
  <r>
    <d v="2026-11-24T00:00:00"/>
    <x v="3"/>
    <d v="2026-11-24T00:00:00"/>
    <x v="1"/>
    <x v="0"/>
    <x v="0"/>
    <x v="0"/>
    <x v="0"/>
    <m/>
    <m/>
    <x v="0"/>
    <x v="0"/>
    <x v="0"/>
    <x v="0"/>
    <x v="0"/>
    <x v="3"/>
  </r>
  <r>
    <d v="2026-11-25T00:00:00"/>
    <x v="4"/>
    <d v="2026-11-25T00:00:00"/>
    <x v="1"/>
    <x v="0"/>
    <x v="0"/>
    <x v="0"/>
    <x v="0"/>
    <m/>
    <m/>
    <x v="0"/>
    <x v="0"/>
    <x v="0"/>
    <x v="0"/>
    <x v="0"/>
    <x v="3"/>
  </r>
  <r>
    <d v="2026-11-26T00:00:00"/>
    <x v="5"/>
    <d v="2026-11-26T00:00:00"/>
    <x v="1"/>
    <x v="0"/>
    <x v="0"/>
    <x v="0"/>
    <x v="0"/>
    <m/>
    <m/>
    <x v="0"/>
    <x v="0"/>
    <x v="0"/>
    <x v="0"/>
    <x v="0"/>
    <x v="3"/>
  </r>
  <r>
    <d v="2026-11-27T00:00:00"/>
    <x v="6"/>
    <d v="2026-11-27T00:00:00"/>
    <x v="1"/>
    <x v="0"/>
    <x v="0"/>
    <x v="0"/>
    <x v="0"/>
    <m/>
    <m/>
    <x v="0"/>
    <x v="0"/>
    <x v="0"/>
    <x v="0"/>
    <x v="0"/>
    <x v="3"/>
  </r>
  <r>
    <d v="2026-11-28T00:00:00"/>
    <x v="0"/>
    <d v="2026-11-28T00:00:00"/>
    <x v="0"/>
    <x v="0"/>
    <x v="0"/>
    <x v="0"/>
    <x v="0"/>
    <m/>
    <m/>
    <x v="0"/>
    <x v="0"/>
    <x v="0"/>
    <x v="0"/>
    <x v="0"/>
    <x v="3"/>
  </r>
  <r>
    <d v="2026-11-29T00:00:00"/>
    <x v="1"/>
    <d v="2026-11-29T00:00:00"/>
    <x v="0"/>
    <x v="0"/>
    <x v="0"/>
    <x v="0"/>
    <x v="0"/>
    <m/>
    <m/>
    <x v="0"/>
    <x v="0"/>
    <x v="0"/>
    <x v="0"/>
    <x v="0"/>
    <x v="3"/>
  </r>
  <r>
    <d v="2026-11-30T00:00:00"/>
    <x v="2"/>
    <d v="2026-11-30T00:00:00"/>
    <x v="1"/>
    <x v="0"/>
    <x v="0"/>
    <x v="0"/>
    <x v="0"/>
    <m/>
    <m/>
    <x v="0"/>
    <x v="0"/>
    <x v="0"/>
    <x v="0"/>
    <x v="0"/>
    <x v="3"/>
  </r>
  <r>
    <d v="2026-12-01T00:00:00"/>
    <x v="3"/>
    <d v="2026-12-01T00:00:00"/>
    <x v="1"/>
    <x v="0"/>
    <x v="0"/>
    <x v="0"/>
    <x v="0"/>
    <m/>
    <m/>
    <x v="0"/>
    <x v="0"/>
    <x v="0"/>
    <x v="0"/>
    <x v="0"/>
    <x v="3"/>
  </r>
  <r>
    <d v="2026-12-02T00:00:00"/>
    <x v="4"/>
    <d v="2026-12-02T00:00:00"/>
    <x v="1"/>
    <x v="0"/>
    <x v="0"/>
    <x v="0"/>
    <x v="0"/>
    <m/>
    <m/>
    <x v="0"/>
    <x v="0"/>
    <x v="0"/>
    <x v="0"/>
    <x v="0"/>
    <x v="3"/>
  </r>
  <r>
    <d v="2026-12-03T00:00:00"/>
    <x v="5"/>
    <d v="2026-12-03T00:00:00"/>
    <x v="1"/>
    <x v="0"/>
    <x v="0"/>
    <x v="0"/>
    <x v="0"/>
    <m/>
    <m/>
    <x v="0"/>
    <x v="0"/>
    <x v="0"/>
    <x v="0"/>
    <x v="0"/>
    <x v="3"/>
  </r>
  <r>
    <d v="2026-12-04T00:00:00"/>
    <x v="6"/>
    <d v="2026-12-04T00:00:00"/>
    <x v="1"/>
    <x v="0"/>
    <x v="0"/>
    <x v="0"/>
    <x v="0"/>
    <m/>
    <m/>
    <x v="0"/>
    <x v="0"/>
    <x v="0"/>
    <x v="0"/>
    <x v="0"/>
    <x v="3"/>
  </r>
  <r>
    <d v="2026-12-05T00:00:00"/>
    <x v="0"/>
    <d v="2026-12-05T00:00:00"/>
    <x v="0"/>
    <x v="0"/>
    <x v="0"/>
    <x v="0"/>
    <x v="0"/>
    <m/>
    <m/>
    <x v="0"/>
    <x v="0"/>
    <x v="0"/>
    <x v="0"/>
    <x v="0"/>
    <x v="3"/>
  </r>
  <r>
    <d v="2026-12-06T00:00:00"/>
    <x v="1"/>
    <d v="2026-12-06T00:00:00"/>
    <x v="0"/>
    <x v="0"/>
    <x v="0"/>
    <x v="0"/>
    <x v="0"/>
    <m/>
    <m/>
    <x v="0"/>
    <x v="0"/>
    <x v="0"/>
    <x v="0"/>
    <x v="0"/>
    <x v="3"/>
  </r>
  <r>
    <d v="2026-12-07T00:00:00"/>
    <x v="2"/>
    <d v="2026-12-07T00:00:00"/>
    <x v="1"/>
    <x v="0"/>
    <x v="0"/>
    <x v="0"/>
    <x v="0"/>
    <m/>
    <m/>
    <x v="0"/>
    <x v="0"/>
    <x v="0"/>
    <x v="0"/>
    <x v="0"/>
    <x v="3"/>
  </r>
  <r>
    <d v="2026-12-08T00:00:00"/>
    <x v="3"/>
    <d v="2026-12-08T00:00:00"/>
    <x v="1"/>
    <x v="0"/>
    <x v="0"/>
    <x v="0"/>
    <x v="0"/>
    <m/>
    <m/>
    <x v="0"/>
    <x v="0"/>
    <x v="0"/>
    <x v="0"/>
    <x v="0"/>
    <x v="3"/>
  </r>
  <r>
    <d v="2026-12-09T00:00:00"/>
    <x v="4"/>
    <d v="2026-12-09T00:00:00"/>
    <x v="1"/>
    <x v="0"/>
    <x v="0"/>
    <x v="0"/>
    <x v="0"/>
    <m/>
    <m/>
    <x v="0"/>
    <x v="0"/>
    <x v="0"/>
    <x v="0"/>
    <x v="0"/>
    <x v="3"/>
  </r>
  <r>
    <d v="2026-12-10T00:00:00"/>
    <x v="5"/>
    <d v="2026-12-10T00:00:00"/>
    <x v="1"/>
    <x v="0"/>
    <x v="0"/>
    <x v="0"/>
    <x v="0"/>
    <m/>
    <m/>
    <x v="0"/>
    <x v="0"/>
    <x v="0"/>
    <x v="0"/>
    <x v="0"/>
    <x v="3"/>
  </r>
  <r>
    <d v="2026-12-11T00:00:00"/>
    <x v="6"/>
    <d v="2026-12-11T00:00:00"/>
    <x v="1"/>
    <x v="0"/>
    <x v="0"/>
    <x v="0"/>
    <x v="0"/>
    <m/>
    <m/>
    <x v="0"/>
    <x v="0"/>
    <x v="0"/>
    <x v="0"/>
    <x v="0"/>
    <x v="3"/>
  </r>
  <r>
    <d v="2026-12-12T00:00:00"/>
    <x v="0"/>
    <d v="2026-12-12T00:00:00"/>
    <x v="0"/>
    <x v="0"/>
    <x v="0"/>
    <x v="0"/>
    <x v="0"/>
    <m/>
    <m/>
    <x v="0"/>
    <x v="0"/>
    <x v="0"/>
    <x v="0"/>
    <x v="0"/>
    <x v="3"/>
  </r>
  <r>
    <d v="2026-12-13T00:00:00"/>
    <x v="1"/>
    <d v="2026-12-13T00:00:00"/>
    <x v="0"/>
    <x v="0"/>
    <x v="0"/>
    <x v="0"/>
    <x v="0"/>
    <m/>
    <m/>
    <x v="0"/>
    <x v="0"/>
    <x v="0"/>
    <x v="0"/>
    <x v="0"/>
    <x v="3"/>
  </r>
  <r>
    <d v="2026-12-14T00:00:00"/>
    <x v="2"/>
    <d v="2026-12-14T00:00:00"/>
    <x v="1"/>
    <x v="0"/>
    <x v="0"/>
    <x v="0"/>
    <x v="0"/>
    <m/>
    <m/>
    <x v="0"/>
    <x v="0"/>
    <x v="0"/>
    <x v="0"/>
    <x v="0"/>
    <x v="3"/>
  </r>
  <r>
    <d v="2026-12-15T00:00:00"/>
    <x v="3"/>
    <d v="2026-12-15T00:00:00"/>
    <x v="1"/>
    <x v="0"/>
    <x v="0"/>
    <x v="0"/>
    <x v="0"/>
    <m/>
    <m/>
    <x v="0"/>
    <x v="0"/>
    <x v="0"/>
    <x v="0"/>
    <x v="0"/>
    <x v="3"/>
  </r>
  <r>
    <d v="2026-12-16T00:00:00"/>
    <x v="4"/>
    <d v="2026-12-16T00:00:00"/>
    <x v="1"/>
    <x v="0"/>
    <x v="0"/>
    <x v="0"/>
    <x v="0"/>
    <m/>
    <m/>
    <x v="0"/>
    <x v="0"/>
    <x v="0"/>
    <x v="0"/>
    <x v="0"/>
    <x v="3"/>
  </r>
  <r>
    <d v="2026-12-17T00:00:00"/>
    <x v="5"/>
    <d v="2026-12-17T00:00:00"/>
    <x v="1"/>
    <x v="0"/>
    <x v="0"/>
    <x v="0"/>
    <x v="0"/>
    <m/>
    <m/>
    <x v="0"/>
    <x v="0"/>
    <x v="0"/>
    <x v="0"/>
    <x v="0"/>
    <x v="3"/>
  </r>
  <r>
    <d v="2026-12-18T00:00:00"/>
    <x v="6"/>
    <d v="2026-12-18T00:00:00"/>
    <x v="1"/>
    <x v="0"/>
    <x v="0"/>
    <x v="0"/>
    <x v="0"/>
    <m/>
    <m/>
    <x v="0"/>
    <x v="0"/>
    <x v="0"/>
    <x v="0"/>
    <x v="0"/>
    <x v="3"/>
  </r>
  <r>
    <d v="2026-12-19T00:00:00"/>
    <x v="0"/>
    <d v="2026-12-19T00:00:00"/>
    <x v="0"/>
    <x v="0"/>
    <x v="0"/>
    <x v="0"/>
    <x v="0"/>
    <m/>
    <m/>
    <x v="0"/>
    <x v="0"/>
    <x v="0"/>
    <x v="0"/>
    <x v="0"/>
    <x v="3"/>
  </r>
  <r>
    <d v="2026-12-20T00:00:00"/>
    <x v="1"/>
    <d v="2026-12-20T00:00:00"/>
    <x v="0"/>
    <x v="0"/>
    <x v="0"/>
    <x v="0"/>
    <x v="0"/>
    <m/>
    <m/>
    <x v="0"/>
    <x v="0"/>
    <x v="0"/>
    <x v="0"/>
    <x v="0"/>
    <x v="3"/>
  </r>
  <r>
    <d v="2026-12-21T00:00:00"/>
    <x v="2"/>
    <d v="2026-12-21T00:00:00"/>
    <x v="1"/>
    <x v="0"/>
    <x v="0"/>
    <x v="0"/>
    <x v="0"/>
    <m/>
    <m/>
    <x v="0"/>
    <x v="0"/>
    <x v="0"/>
    <x v="0"/>
    <x v="0"/>
    <x v="3"/>
  </r>
  <r>
    <d v="2026-12-22T00:00:00"/>
    <x v="3"/>
    <d v="2026-12-22T00:00:00"/>
    <x v="1"/>
    <x v="0"/>
    <x v="0"/>
    <x v="0"/>
    <x v="0"/>
    <m/>
    <m/>
    <x v="0"/>
    <x v="0"/>
    <x v="0"/>
    <x v="0"/>
    <x v="0"/>
    <x v="3"/>
  </r>
  <r>
    <d v="2026-12-23T00:00:00"/>
    <x v="4"/>
    <d v="2026-12-23T00:00:00"/>
    <x v="1"/>
    <x v="0"/>
    <x v="0"/>
    <x v="0"/>
    <x v="0"/>
    <m/>
    <m/>
    <x v="0"/>
    <x v="0"/>
    <x v="0"/>
    <x v="0"/>
    <x v="0"/>
    <x v="3"/>
  </r>
  <r>
    <d v="2026-12-24T00:00:00"/>
    <x v="5"/>
    <d v="2026-12-24T00:00:00"/>
    <x v="1"/>
    <x v="0"/>
    <x v="0"/>
    <x v="0"/>
    <x v="0"/>
    <m/>
    <m/>
    <x v="0"/>
    <x v="0"/>
    <x v="0"/>
    <x v="0"/>
    <x v="0"/>
    <x v="3"/>
  </r>
  <r>
    <d v="2026-12-25T00:00:00"/>
    <x v="6"/>
    <d v="2026-12-25T00:00:00"/>
    <x v="1"/>
    <x v="0"/>
    <x v="0"/>
    <x v="0"/>
    <x v="0"/>
    <m/>
    <m/>
    <x v="0"/>
    <x v="0"/>
    <x v="0"/>
    <x v="0"/>
    <x v="0"/>
    <x v="3"/>
  </r>
  <r>
    <d v="2026-12-26T00:00:00"/>
    <x v="0"/>
    <d v="2026-12-26T00:00:00"/>
    <x v="0"/>
    <x v="0"/>
    <x v="0"/>
    <x v="0"/>
    <x v="0"/>
    <m/>
    <m/>
    <x v="0"/>
    <x v="0"/>
    <x v="0"/>
    <x v="0"/>
    <x v="0"/>
    <x v="3"/>
  </r>
  <r>
    <d v="2026-12-27T00:00:00"/>
    <x v="1"/>
    <d v="2026-12-27T00:00:00"/>
    <x v="0"/>
    <x v="0"/>
    <x v="0"/>
    <x v="0"/>
    <x v="0"/>
    <m/>
    <m/>
    <x v="0"/>
    <x v="0"/>
    <x v="0"/>
    <x v="0"/>
    <x v="0"/>
    <x v="3"/>
  </r>
  <r>
    <d v="2026-12-28T00:00:00"/>
    <x v="2"/>
    <d v="2026-12-28T00:00:00"/>
    <x v="1"/>
    <x v="0"/>
    <x v="0"/>
    <x v="0"/>
    <x v="0"/>
    <m/>
    <m/>
    <x v="0"/>
    <x v="0"/>
    <x v="0"/>
    <x v="0"/>
    <x v="0"/>
    <x v="3"/>
  </r>
  <r>
    <d v="2026-12-29T00:00:00"/>
    <x v="3"/>
    <d v="2026-12-29T00:00:00"/>
    <x v="1"/>
    <x v="0"/>
    <x v="0"/>
    <x v="0"/>
    <x v="0"/>
    <m/>
    <m/>
    <x v="0"/>
    <x v="0"/>
    <x v="0"/>
    <x v="0"/>
    <x v="0"/>
    <x v="3"/>
  </r>
  <r>
    <d v="2026-12-30T00:00:00"/>
    <x v="4"/>
    <d v="2026-12-30T00:00:00"/>
    <x v="1"/>
    <x v="0"/>
    <x v="0"/>
    <x v="0"/>
    <x v="0"/>
    <m/>
    <m/>
    <x v="0"/>
    <x v="0"/>
    <x v="0"/>
    <x v="0"/>
    <x v="0"/>
    <x v="3"/>
  </r>
  <r>
    <d v="2026-12-31T00:00:00"/>
    <x v="5"/>
    <d v="2026-12-31T00:00:00"/>
    <x v="1"/>
    <x v="0"/>
    <x v="0"/>
    <x v="0"/>
    <x v="0"/>
    <m/>
    <m/>
    <x v="0"/>
    <x v="0"/>
    <x v="0"/>
    <x v="0"/>
    <x v="0"/>
    <x v="3"/>
  </r>
  <r>
    <d v="2027-01-01T00:00:00"/>
    <x v="6"/>
    <d v="2027-01-01T00:00:00"/>
    <x v="1"/>
    <x v="0"/>
    <x v="0"/>
    <x v="0"/>
    <x v="0"/>
    <m/>
    <m/>
    <x v="0"/>
    <x v="0"/>
    <x v="0"/>
    <x v="0"/>
    <x v="0"/>
    <x v="3"/>
  </r>
  <r>
    <d v="2027-01-02T00:00:00"/>
    <x v="0"/>
    <d v="2027-01-02T00:00:00"/>
    <x v="0"/>
    <x v="0"/>
    <x v="0"/>
    <x v="0"/>
    <x v="0"/>
    <m/>
    <m/>
    <x v="0"/>
    <x v="0"/>
    <x v="0"/>
    <x v="0"/>
    <x v="0"/>
    <x v="3"/>
  </r>
  <r>
    <d v="2027-01-03T00:00:00"/>
    <x v="1"/>
    <d v="2027-01-03T00:00:00"/>
    <x v="0"/>
    <x v="0"/>
    <x v="0"/>
    <x v="0"/>
    <x v="0"/>
    <m/>
    <m/>
    <x v="0"/>
    <x v="0"/>
    <x v="0"/>
    <x v="0"/>
    <x v="0"/>
    <x v="3"/>
  </r>
  <r>
    <d v="2027-01-04T00:00:00"/>
    <x v="2"/>
    <d v="2027-01-04T00:00:00"/>
    <x v="1"/>
    <x v="0"/>
    <x v="0"/>
    <x v="0"/>
    <x v="0"/>
    <m/>
    <m/>
    <x v="0"/>
    <x v="0"/>
    <x v="0"/>
    <x v="0"/>
    <x v="0"/>
    <x v="3"/>
  </r>
  <r>
    <d v="2027-01-05T00:00:00"/>
    <x v="3"/>
    <d v="2027-01-05T00:00:00"/>
    <x v="1"/>
    <x v="0"/>
    <x v="0"/>
    <x v="0"/>
    <x v="0"/>
    <m/>
    <m/>
    <x v="0"/>
    <x v="0"/>
    <x v="0"/>
    <x v="0"/>
    <x v="0"/>
    <x v="3"/>
  </r>
  <r>
    <d v="2027-01-06T00:00:00"/>
    <x v="4"/>
    <d v="2027-01-06T00:00:00"/>
    <x v="1"/>
    <x v="0"/>
    <x v="0"/>
    <x v="0"/>
    <x v="0"/>
    <m/>
    <m/>
    <x v="0"/>
    <x v="0"/>
    <x v="0"/>
    <x v="0"/>
    <x v="0"/>
    <x v="3"/>
  </r>
  <r>
    <d v="2027-01-07T00:00:00"/>
    <x v="5"/>
    <d v="2027-01-07T00:00:00"/>
    <x v="1"/>
    <x v="0"/>
    <x v="0"/>
    <x v="0"/>
    <x v="0"/>
    <m/>
    <m/>
    <x v="0"/>
    <x v="0"/>
    <x v="0"/>
    <x v="0"/>
    <x v="0"/>
    <x v="3"/>
  </r>
  <r>
    <d v="2027-01-08T00:00:00"/>
    <x v="6"/>
    <d v="2027-01-08T00:00:00"/>
    <x v="1"/>
    <x v="0"/>
    <x v="0"/>
    <x v="0"/>
    <x v="0"/>
    <m/>
    <m/>
    <x v="0"/>
    <x v="0"/>
    <x v="0"/>
    <x v="0"/>
    <x v="0"/>
    <x v="3"/>
  </r>
  <r>
    <d v="2027-01-09T00:00:00"/>
    <x v="0"/>
    <d v="2027-01-09T00:00:00"/>
    <x v="0"/>
    <x v="0"/>
    <x v="0"/>
    <x v="0"/>
    <x v="0"/>
    <m/>
    <m/>
    <x v="0"/>
    <x v="0"/>
    <x v="0"/>
    <x v="0"/>
    <x v="0"/>
    <x v="3"/>
  </r>
  <r>
    <d v="2027-01-10T00:00:00"/>
    <x v="1"/>
    <d v="2027-01-10T00:00:00"/>
    <x v="0"/>
    <x v="0"/>
    <x v="0"/>
    <x v="0"/>
    <x v="0"/>
    <m/>
    <m/>
    <x v="0"/>
    <x v="0"/>
    <x v="0"/>
    <x v="0"/>
    <x v="0"/>
    <x v="3"/>
  </r>
  <r>
    <d v="2027-01-11T00:00:00"/>
    <x v="2"/>
    <d v="2027-01-11T00:00:00"/>
    <x v="1"/>
    <x v="0"/>
    <x v="0"/>
    <x v="0"/>
    <x v="0"/>
    <m/>
    <m/>
    <x v="0"/>
    <x v="0"/>
    <x v="0"/>
    <x v="0"/>
    <x v="0"/>
    <x v="3"/>
  </r>
  <r>
    <d v="2027-01-12T00:00:00"/>
    <x v="3"/>
    <d v="2027-01-12T00:00:00"/>
    <x v="1"/>
    <x v="0"/>
    <x v="0"/>
    <x v="0"/>
    <x v="0"/>
    <m/>
    <m/>
    <x v="0"/>
    <x v="0"/>
    <x v="0"/>
    <x v="0"/>
    <x v="0"/>
    <x v="3"/>
  </r>
  <r>
    <d v="2027-01-13T00:00:00"/>
    <x v="4"/>
    <d v="2027-01-13T00:00:00"/>
    <x v="1"/>
    <x v="0"/>
    <x v="0"/>
    <x v="0"/>
    <x v="0"/>
    <m/>
    <m/>
    <x v="0"/>
    <x v="0"/>
    <x v="0"/>
    <x v="0"/>
    <x v="0"/>
    <x v="3"/>
  </r>
  <r>
    <d v="2027-01-14T00:00:00"/>
    <x v="5"/>
    <d v="2027-01-14T00:00:00"/>
    <x v="1"/>
    <x v="0"/>
    <x v="0"/>
    <x v="0"/>
    <x v="0"/>
    <m/>
    <m/>
    <x v="0"/>
    <x v="0"/>
    <x v="0"/>
    <x v="0"/>
    <x v="0"/>
    <x v="3"/>
  </r>
  <r>
    <d v="2027-01-15T00:00:00"/>
    <x v="6"/>
    <d v="2027-01-15T00:00:00"/>
    <x v="1"/>
    <x v="0"/>
    <x v="0"/>
    <x v="0"/>
    <x v="0"/>
    <m/>
    <m/>
    <x v="0"/>
    <x v="0"/>
    <x v="0"/>
    <x v="0"/>
    <x v="0"/>
    <x v="3"/>
  </r>
  <r>
    <d v="2027-01-16T00:00:00"/>
    <x v="0"/>
    <d v="2027-01-16T00:00:00"/>
    <x v="0"/>
    <x v="0"/>
    <x v="0"/>
    <x v="0"/>
    <x v="0"/>
    <m/>
    <m/>
    <x v="0"/>
    <x v="0"/>
    <x v="0"/>
    <x v="0"/>
    <x v="0"/>
    <x v="3"/>
  </r>
  <r>
    <d v="2027-01-17T00:00:00"/>
    <x v="1"/>
    <d v="2027-01-17T00:00:00"/>
    <x v="0"/>
    <x v="0"/>
    <x v="0"/>
    <x v="0"/>
    <x v="0"/>
    <m/>
    <m/>
    <x v="0"/>
    <x v="0"/>
    <x v="0"/>
    <x v="0"/>
    <x v="0"/>
    <x v="3"/>
  </r>
  <r>
    <d v="2027-01-18T00:00:00"/>
    <x v="2"/>
    <d v="2027-01-18T00:00:00"/>
    <x v="1"/>
    <x v="0"/>
    <x v="0"/>
    <x v="0"/>
    <x v="0"/>
    <m/>
    <m/>
    <x v="0"/>
    <x v="0"/>
    <x v="0"/>
    <x v="0"/>
    <x v="0"/>
    <x v="3"/>
  </r>
  <r>
    <d v="2027-01-19T00:00:00"/>
    <x v="3"/>
    <d v="2027-01-19T00:00:00"/>
    <x v="1"/>
    <x v="0"/>
    <x v="0"/>
    <x v="0"/>
    <x v="0"/>
    <m/>
    <m/>
    <x v="0"/>
    <x v="0"/>
    <x v="0"/>
    <x v="0"/>
    <x v="0"/>
    <x v="3"/>
  </r>
  <r>
    <d v="2027-01-20T00:00:00"/>
    <x v="4"/>
    <d v="2027-01-20T00:00:00"/>
    <x v="1"/>
    <x v="0"/>
    <x v="0"/>
    <x v="0"/>
    <x v="0"/>
    <m/>
    <m/>
    <x v="0"/>
    <x v="0"/>
    <x v="0"/>
    <x v="0"/>
    <x v="0"/>
    <x v="3"/>
  </r>
  <r>
    <d v="2027-01-21T00:00:00"/>
    <x v="5"/>
    <d v="2027-01-21T00:00:00"/>
    <x v="1"/>
    <x v="0"/>
    <x v="0"/>
    <x v="0"/>
    <x v="0"/>
    <m/>
    <m/>
    <x v="0"/>
    <x v="0"/>
    <x v="0"/>
    <x v="0"/>
    <x v="0"/>
    <x v="3"/>
  </r>
  <r>
    <d v="2027-01-22T00:00:00"/>
    <x v="6"/>
    <d v="2027-01-22T00:00:00"/>
    <x v="1"/>
    <x v="0"/>
    <x v="0"/>
    <x v="0"/>
    <x v="0"/>
    <m/>
    <m/>
    <x v="0"/>
    <x v="0"/>
    <x v="0"/>
    <x v="0"/>
    <x v="0"/>
    <x v="3"/>
  </r>
  <r>
    <d v="2027-01-23T00:00:00"/>
    <x v="0"/>
    <d v="2027-01-23T00:00:00"/>
    <x v="0"/>
    <x v="0"/>
    <x v="0"/>
    <x v="0"/>
    <x v="0"/>
    <m/>
    <m/>
    <x v="0"/>
    <x v="0"/>
    <x v="0"/>
    <x v="0"/>
    <x v="0"/>
    <x v="3"/>
  </r>
  <r>
    <d v="2027-01-24T00:00:00"/>
    <x v="1"/>
    <d v="2027-01-24T00:00:00"/>
    <x v="0"/>
    <x v="0"/>
    <x v="0"/>
    <x v="0"/>
    <x v="0"/>
    <m/>
    <m/>
    <x v="0"/>
    <x v="0"/>
    <x v="0"/>
    <x v="0"/>
    <x v="0"/>
    <x v="3"/>
  </r>
  <r>
    <d v="2027-01-25T00:00:00"/>
    <x v="2"/>
    <d v="2027-01-25T00:00:00"/>
    <x v="1"/>
    <x v="0"/>
    <x v="0"/>
    <x v="0"/>
    <x v="0"/>
    <m/>
    <m/>
    <x v="0"/>
    <x v="0"/>
    <x v="0"/>
    <x v="0"/>
    <x v="0"/>
    <x v="3"/>
  </r>
  <r>
    <d v="2027-01-26T00:00:00"/>
    <x v="3"/>
    <d v="2027-01-26T00:00:00"/>
    <x v="1"/>
    <x v="0"/>
    <x v="0"/>
    <x v="0"/>
    <x v="0"/>
    <m/>
    <m/>
    <x v="0"/>
    <x v="0"/>
    <x v="0"/>
    <x v="0"/>
    <x v="0"/>
    <x v="3"/>
  </r>
  <r>
    <d v="2027-01-27T00:00:00"/>
    <x v="4"/>
    <d v="2027-01-27T00:00:00"/>
    <x v="1"/>
    <x v="0"/>
    <x v="0"/>
    <x v="0"/>
    <x v="0"/>
    <m/>
    <m/>
    <x v="0"/>
    <x v="0"/>
    <x v="0"/>
    <x v="0"/>
    <x v="0"/>
    <x v="3"/>
  </r>
  <r>
    <d v="2027-01-28T00:00:00"/>
    <x v="5"/>
    <d v="2027-01-28T00:00:00"/>
    <x v="1"/>
    <x v="0"/>
    <x v="0"/>
    <x v="0"/>
    <x v="0"/>
    <m/>
    <m/>
    <x v="0"/>
    <x v="0"/>
    <x v="0"/>
    <x v="0"/>
    <x v="0"/>
    <x v="3"/>
  </r>
  <r>
    <d v="2027-01-29T00:00:00"/>
    <x v="6"/>
    <d v="2027-01-29T00:00:00"/>
    <x v="1"/>
    <x v="0"/>
    <x v="0"/>
    <x v="0"/>
    <x v="0"/>
    <m/>
    <m/>
    <x v="0"/>
    <x v="0"/>
    <x v="0"/>
    <x v="0"/>
    <x v="0"/>
    <x v="3"/>
  </r>
  <r>
    <d v="2027-01-30T00:00:00"/>
    <x v="0"/>
    <d v="2027-01-30T00:00:00"/>
    <x v="0"/>
    <x v="0"/>
    <x v="0"/>
    <x v="0"/>
    <x v="0"/>
    <m/>
    <m/>
    <x v="0"/>
    <x v="0"/>
    <x v="0"/>
    <x v="0"/>
    <x v="0"/>
    <x v="3"/>
  </r>
  <r>
    <d v="2027-01-31T00:00:00"/>
    <x v="1"/>
    <d v="2027-01-31T00:00:00"/>
    <x v="0"/>
    <x v="0"/>
    <x v="0"/>
    <x v="0"/>
    <x v="0"/>
    <m/>
    <m/>
    <x v="0"/>
    <x v="0"/>
    <x v="0"/>
    <x v="0"/>
    <x v="0"/>
    <x v="3"/>
  </r>
  <r>
    <d v="2027-02-01T00:00:00"/>
    <x v="2"/>
    <d v="2027-02-01T00:00:00"/>
    <x v="1"/>
    <x v="0"/>
    <x v="0"/>
    <x v="0"/>
    <x v="0"/>
    <m/>
    <m/>
    <x v="0"/>
    <x v="0"/>
    <x v="0"/>
    <x v="0"/>
    <x v="0"/>
    <x v="3"/>
  </r>
  <r>
    <d v="2027-02-02T00:00:00"/>
    <x v="3"/>
    <d v="2027-02-02T00:00:00"/>
    <x v="1"/>
    <x v="0"/>
    <x v="0"/>
    <x v="0"/>
    <x v="0"/>
    <m/>
    <m/>
    <x v="0"/>
    <x v="0"/>
    <x v="0"/>
    <x v="0"/>
    <x v="0"/>
    <x v="3"/>
  </r>
  <r>
    <d v="2027-02-03T00:00:00"/>
    <x v="4"/>
    <d v="2027-02-03T00:00:00"/>
    <x v="1"/>
    <x v="0"/>
    <x v="0"/>
    <x v="0"/>
    <x v="0"/>
    <m/>
    <m/>
    <x v="0"/>
    <x v="0"/>
    <x v="0"/>
    <x v="0"/>
    <x v="0"/>
    <x v="3"/>
  </r>
  <r>
    <d v="2027-02-04T00:00:00"/>
    <x v="5"/>
    <d v="2027-02-04T00:00:00"/>
    <x v="1"/>
    <x v="0"/>
    <x v="0"/>
    <x v="0"/>
    <x v="0"/>
    <m/>
    <m/>
    <x v="0"/>
    <x v="0"/>
    <x v="0"/>
    <x v="0"/>
    <x v="0"/>
    <x v="3"/>
  </r>
  <r>
    <d v="2027-02-05T00:00:00"/>
    <x v="6"/>
    <d v="2027-02-05T00:00:00"/>
    <x v="1"/>
    <x v="0"/>
    <x v="0"/>
    <x v="0"/>
    <x v="0"/>
    <m/>
    <m/>
    <x v="0"/>
    <x v="0"/>
    <x v="0"/>
    <x v="0"/>
    <x v="0"/>
    <x v="3"/>
  </r>
  <r>
    <d v="2027-02-06T00:00:00"/>
    <x v="0"/>
    <d v="2027-02-06T00:00:00"/>
    <x v="0"/>
    <x v="0"/>
    <x v="0"/>
    <x v="0"/>
    <x v="0"/>
    <m/>
    <m/>
    <x v="0"/>
    <x v="0"/>
    <x v="0"/>
    <x v="0"/>
    <x v="0"/>
    <x v="3"/>
  </r>
  <r>
    <d v="2027-02-07T00:00:00"/>
    <x v="1"/>
    <d v="2027-02-07T00:00:00"/>
    <x v="0"/>
    <x v="0"/>
    <x v="0"/>
    <x v="0"/>
    <x v="0"/>
    <m/>
    <m/>
    <x v="0"/>
    <x v="0"/>
    <x v="0"/>
    <x v="0"/>
    <x v="0"/>
    <x v="3"/>
  </r>
  <r>
    <d v="2027-02-08T00:00:00"/>
    <x v="2"/>
    <d v="2027-02-08T00:00:00"/>
    <x v="1"/>
    <x v="0"/>
    <x v="0"/>
    <x v="0"/>
    <x v="0"/>
    <m/>
    <m/>
    <x v="0"/>
    <x v="0"/>
    <x v="0"/>
    <x v="0"/>
    <x v="0"/>
    <x v="3"/>
  </r>
  <r>
    <d v="2027-02-09T00:00:00"/>
    <x v="3"/>
    <d v="2027-02-09T00:00:00"/>
    <x v="1"/>
    <x v="0"/>
    <x v="0"/>
    <x v="0"/>
    <x v="0"/>
    <m/>
    <m/>
    <x v="0"/>
    <x v="0"/>
    <x v="0"/>
    <x v="0"/>
    <x v="0"/>
    <x v="3"/>
  </r>
  <r>
    <d v="2027-02-10T00:00:00"/>
    <x v="4"/>
    <d v="2027-02-10T00:00:00"/>
    <x v="1"/>
    <x v="0"/>
    <x v="0"/>
    <x v="0"/>
    <x v="0"/>
    <m/>
    <m/>
    <x v="0"/>
    <x v="0"/>
    <x v="0"/>
    <x v="0"/>
    <x v="0"/>
    <x v="3"/>
  </r>
  <r>
    <d v="2027-02-11T00:00:00"/>
    <x v="5"/>
    <d v="2027-02-11T00:00:00"/>
    <x v="1"/>
    <x v="0"/>
    <x v="0"/>
    <x v="0"/>
    <x v="0"/>
    <m/>
    <m/>
    <x v="0"/>
    <x v="0"/>
    <x v="0"/>
    <x v="0"/>
    <x v="0"/>
    <x v="3"/>
  </r>
  <r>
    <d v="2027-02-12T00:00:00"/>
    <x v="6"/>
    <d v="2027-02-12T00:00:00"/>
    <x v="1"/>
    <x v="0"/>
    <x v="0"/>
    <x v="0"/>
    <x v="0"/>
    <m/>
    <m/>
    <x v="0"/>
    <x v="0"/>
    <x v="0"/>
    <x v="0"/>
    <x v="0"/>
    <x v="3"/>
  </r>
  <r>
    <d v="2027-02-13T00:00:00"/>
    <x v="0"/>
    <d v="2027-02-13T00:00:00"/>
    <x v="0"/>
    <x v="0"/>
    <x v="0"/>
    <x v="0"/>
    <x v="0"/>
    <m/>
    <m/>
    <x v="0"/>
    <x v="0"/>
    <x v="0"/>
    <x v="0"/>
    <x v="0"/>
    <x v="3"/>
  </r>
  <r>
    <d v="2027-02-14T00:00:00"/>
    <x v="1"/>
    <d v="2027-02-14T00:00:00"/>
    <x v="0"/>
    <x v="0"/>
    <x v="0"/>
    <x v="0"/>
    <x v="0"/>
    <m/>
    <m/>
    <x v="0"/>
    <x v="0"/>
    <x v="0"/>
    <x v="0"/>
    <x v="0"/>
    <x v="3"/>
  </r>
  <r>
    <d v="2027-02-15T00:00:00"/>
    <x v="2"/>
    <d v="2027-02-15T00:00:00"/>
    <x v="1"/>
    <x v="0"/>
    <x v="0"/>
    <x v="0"/>
    <x v="0"/>
    <m/>
    <m/>
    <x v="0"/>
    <x v="0"/>
    <x v="0"/>
    <x v="0"/>
    <x v="0"/>
    <x v="3"/>
  </r>
  <r>
    <d v="2025-11-01T00:00:00"/>
    <x v="0"/>
    <d v="2025-11-01T00:00:00"/>
    <x v="0"/>
    <x v="0"/>
    <x v="0"/>
    <x v="0"/>
    <x v="0"/>
    <m/>
    <m/>
    <x v="0"/>
    <x v="0"/>
    <x v="0"/>
    <x v="0"/>
    <x v="0"/>
    <x v="4"/>
  </r>
  <r>
    <d v="2025-11-02T00:00:00"/>
    <x v="1"/>
    <d v="2025-11-02T00:00:00"/>
    <x v="0"/>
    <x v="0"/>
    <x v="0"/>
    <x v="0"/>
    <x v="0"/>
    <m/>
    <m/>
    <x v="0"/>
    <x v="0"/>
    <x v="0"/>
    <x v="0"/>
    <x v="0"/>
    <x v="4"/>
  </r>
  <r>
    <d v="2025-11-03T00:00:00"/>
    <x v="2"/>
    <d v="2025-11-03T00:00:00"/>
    <x v="1"/>
    <x v="0"/>
    <x v="0"/>
    <x v="0"/>
    <x v="0"/>
    <m/>
    <m/>
    <x v="0"/>
    <x v="0"/>
    <x v="0"/>
    <x v="0"/>
    <x v="0"/>
    <x v="4"/>
  </r>
  <r>
    <d v="2025-11-04T00:00:00"/>
    <x v="3"/>
    <d v="2025-11-04T00:00:00"/>
    <x v="1"/>
    <x v="0"/>
    <x v="0"/>
    <x v="0"/>
    <x v="0"/>
    <m/>
    <m/>
    <x v="0"/>
    <x v="0"/>
    <x v="0"/>
    <x v="0"/>
    <x v="0"/>
    <x v="4"/>
  </r>
  <r>
    <d v="2025-11-05T00:00:00"/>
    <x v="4"/>
    <d v="2025-11-05T00:00:00"/>
    <x v="1"/>
    <x v="0"/>
    <x v="0"/>
    <x v="0"/>
    <x v="0"/>
    <m/>
    <m/>
    <x v="0"/>
    <x v="0"/>
    <x v="0"/>
    <x v="0"/>
    <x v="0"/>
    <x v="4"/>
  </r>
  <r>
    <d v="2025-11-06T00:00:00"/>
    <x v="5"/>
    <d v="2025-11-06T00:00:00"/>
    <x v="1"/>
    <x v="0"/>
    <x v="0"/>
    <x v="0"/>
    <x v="0"/>
    <m/>
    <m/>
    <x v="0"/>
    <x v="0"/>
    <x v="0"/>
    <x v="0"/>
    <x v="0"/>
    <x v="4"/>
  </r>
  <r>
    <d v="2025-11-07T00:00:00"/>
    <x v="6"/>
    <d v="2025-11-07T00:00:00"/>
    <x v="1"/>
    <x v="0"/>
    <x v="0"/>
    <x v="0"/>
    <x v="0"/>
    <m/>
    <m/>
    <x v="0"/>
    <x v="0"/>
    <x v="0"/>
    <x v="0"/>
    <x v="0"/>
    <x v="4"/>
  </r>
  <r>
    <d v="2025-11-08T00:00:00"/>
    <x v="0"/>
    <d v="2025-11-08T00:00:00"/>
    <x v="0"/>
    <x v="0"/>
    <x v="0"/>
    <x v="0"/>
    <x v="0"/>
    <m/>
    <m/>
    <x v="0"/>
    <x v="0"/>
    <x v="0"/>
    <x v="0"/>
    <x v="0"/>
    <x v="4"/>
  </r>
  <r>
    <d v="2025-11-09T00:00:00"/>
    <x v="1"/>
    <d v="2025-11-09T00:00:00"/>
    <x v="0"/>
    <x v="0"/>
    <x v="0"/>
    <x v="0"/>
    <x v="0"/>
    <m/>
    <m/>
    <x v="0"/>
    <x v="0"/>
    <x v="0"/>
    <x v="0"/>
    <x v="0"/>
    <x v="4"/>
  </r>
  <r>
    <d v="2025-11-10T00:00:00"/>
    <x v="2"/>
    <d v="2025-11-10T00:00:00"/>
    <x v="1"/>
    <x v="0"/>
    <x v="0"/>
    <x v="0"/>
    <x v="0"/>
    <m/>
    <m/>
    <x v="0"/>
    <x v="0"/>
    <x v="0"/>
    <x v="0"/>
    <x v="0"/>
    <x v="4"/>
  </r>
  <r>
    <d v="2025-11-11T00:00:00"/>
    <x v="3"/>
    <d v="2025-11-11T00:00:00"/>
    <x v="1"/>
    <x v="0"/>
    <x v="0"/>
    <x v="0"/>
    <x v="0"/>
    <m/>
    <m/>
    <x v="0"/>
    <x v="0"/>
    <x v="0"/>
    <x v="0"/>
    <x v="0"/>
    <x v="4"/>
  </r>
  <r>
    <d v="2025-11-12T00:00:00"/>
    <x v="4"/>
    <d v="2025-11-12T00:00:00"/>
    <x v="1"/>
    <x v="0"/>
    <x v="0"/>
    <x v="0"/>
    <x v="0"/>
    <m/>
    <m/>
    <x v="0"/>
    <x v="0"/>
    <x v="0"/>
    <x v="0"/>
    <x v="0"/>
    <x v="4"/>
  </r>
  <r>
    <d v="2025-11-13T00:00:00"/>
    <x v="5"/>
    <d v="2025-11-13T00:00:00"/>
    <x v="1"/>
    <x v="0"/>
    <x v="0"/>
    <x v="0"/>
    <x v="0"/>
    <m/>
    <m/>
    <x v="0"/>
    <x v="0"/>
    <x v="0"/>
    <x v="0"/>
    <x v="0"/>
    <x v="4"/>
  </r>
  <r>
    <d v="2025-11-14T00:00:00"/>
    <x v="6"/>
    <d v="2025-11-14T00:00:00"/>
    <x v="1"/>
    <x v="0"/>
    <x v="0"/>
    <x v="0"/>
    <x v="0"/>
    <m/>
    <m/>
    <x v="0"/>
    <x v="0"/>
    <x v="0"/>
    <x v="0"/>
    <x v="0"/>
    <x v="4"/>
  </r>
  <r>
    <d v="2025-11-15T00:00:00"/>
    <x v="0"/>
    <d v="2025-11-15T00:00:00"/>
    <x v="0"/>
    <x v="0"/>
    <x v="0"/>
    <x v="0"/>
    <x v="0"/>
    <m/>
    <m/>
    <x v="0"/>
    <x v="0"/>
    <x v="0"/>
    <x v="0"/>
    <x v="0"/>
    <x v="4"/>
  </r>
  <r>
    <d v="2025-11-16T00:00:00"/>
    <x v="1"/>
    <d v="2025-11-16T00:00:00"/>
    <x v="0"/>
    <x v="0"/>
    <x v="0"/>
    <x v="0"/>
    <x v="0"/>
    <m/>
    <m/>
    <x v="0"/>
    <x v="0"/>
    <x v="0"/>
    <x v="0"/>
    <x v="0"/>
    <x v="4"/>
  </r>
  <r>
    <d v="2025-11-17T00:00:00"/>
    <x v="2"/>
    <d v="2025-11-17T00:00:00"/>
    <x v="1"/>
    <x v="0"/>
    <x v="0"/>
    <x v="0"/>
    <x v="0"/>
    <m/>
    <m/>
    <x v="0"/>
    <x v="0"/>
    <x v="0"/>
    <x v="0"/>
    <x v="0"/>
    <x v="4"/>
  </r>
  <r>
    <d v="2025-11-18T00:00:00"/>
    <x v="3"/>
    <d v="2025-11-18T00:00:00"/>
    <x v="1"/>
    <x v="0"/>
    <x v="0"/>
    <x v="0"/>
    <x v="0"/>
    <m/>
    <m/>
    <x v="0"/>
    <x v="0"/>
    <x v="0"/>
    <x v="0"/>
    <x v="0"/>
    <x v="4"/>
  </r>
  <r>
    <d v="2025-11-19T00:00:00"/>
    <x v="4"/>
    <d v="2025-11-19T00:00:00"/>
    <x v="1"/>
    <x v="0"/>
    <x v="0"/>
    <x v="0"/>
    <x v="0"/>
    <m/>
    <m/>
    <x v="0"/>
    <x v="0"/>
    <x v="0"/>
    <x v="0"/>
    <x v="0"/>
    <x v="4"/>
  </r>
  <r>
    <d v="2025-11-20T00:00:00"/>
    <x v="5"/>
    <d v="2025-11-20T00:00:00"/>
    <x v="1"/>
    <x v="0"/>
    <x v="0"/>
    <x v="0"/>
    <x v="0"/>
    <m/>
    <m/>
    <x v="0"/>
    <x v="0"/>
    <x v="0"/>
    <x v="0"/>
    <x v="0"/>
    <x v="4"/>
  </r>
  <r>
    <d v="2025-11-21T00:00:00"/>
    <x v="6"/>
    <d v="2025-11-21T00:00:00"/>
    <x v="1"/>
    <x v="0"/>
    <x v="0"/>
    <x v="0"/>
    <x v="0"/>
    <m/>
    <m/>
    <x v="0"/>
    <x v="0"/>
    <x v="0"/>
    <x v="0"/>
    <x v="0"/>
    <x v="4"/>
  </r>
  <r>
    <d v="2025-11-22T00:00:00"/>
    <x v="0"/>
    <d v="2025-11-22T00:00:00"/>
    <x v="0"/>
    <x v="0"/>
    <x v="0"/>
    <x v="0"/>
    <x v="0"/>
    <m/>
    <m/>
    <x v="0"/>
    <x v="0"/>
    <x v="0"/>
    <x v="0"/>
    <x v="0"/>
    <x v="4"/>
  </r>
  <r>
    <d v="2025-11-23T00:00:00"/>
    <x v="1"/>
    <d v="2025-11-23T00:00:00"/>
    <x v="0"/>
    <x v="0"/>
    <x v="0"/>
    <x v="0"/>
    <x v="0"/>
    <m/>
    <m/>
    <x v="0"/>
    <x v="0"/>
    <x v="0"/>
    <x v="0"/>
    <x v="0"/>
    <x v="4"/>
  </r>
  <r>
    <d v="2025-11-24T00:00:00"/>
    <x v="2"/>
    <d v="2025-11-24T00:00:00"/>
    <x v="1"/>
    <x v="0"/>
    <x v="0"/>
    <x v="0"/>
    <x v="0"/>
    <m/>
    <m/>
    <x v="0"/>
    <x v="0"/>
    <x v="0"/>
    <x v="0"/>
    <x v="0"/>
    <x v="4"/>
  </r>
  <r>
    <d v="2025-11-25T00:00:00"/>
    <x v="3"/>
    <d v="2025-11-25T00:00:00"/>
    <x v="1"/>
    <x v="0"/>
    <x v="0"/>
    <x v="0"/>
    <x v="0"/>
    <m/>
    <m/>
    <x v="0"/>
    <x v="0"/>
    <x v="0"/>
    <x v="0"/>
    <x v="0"/>
    <x v="4"/>
  </r>
  <r>
    <d v="2025-11-26T00:00:00"/>
    <x v="4"/>
    <d v="2025-11-26T00:00:00"/>
    <x v="1"/>
    <x v="0"/>
    <x v="0"/>
    <x v="0"/>
    <x v="0"/>
    <m/>
    <m/>
    <x v="0"/>
    <x v="0"/>
    <x v="0"/>
    <x v="0"/>
    <x v="0"/>
    <x v="4"/>
  </r>
  <r>
    <d v="2025-11-27T00:00:00"/>
    <x v="5"/>
    <d v="2025-11-27T00:00:00"/>
    <x v="1"/>
    <x v="0"/>
    <x v="0"/>
    <x v="0"/>
    <x v="0"/>
    <m/>
    <m/>
    <x v="0"/>
    <x v="0"/>
    <x v="0"/>
    <x v="0"/>
    <x v="0"/>
    <x v="4"/>
  </r>
  <r>
    <d v="2025-11-28T00:00:00"/>
    <x v="6"/>
    <d v="2025-11-28T00:00:00"/>
    <x v="1"/>
    <x v="0"/>
    <x v="0"/>
    <x v="0"/>
    <x v="0"/>
    <m/>
    <m/>
    <x v="0"/>
    <x v="0"/>
    <x v="0"/>
    <x v="0"/>
    <x v="0"/>
    <x v="4"/>
  </r>
  <r>
    <d v="2025-11-29T00:00:00"/>
    <x v="0"/>
    <d v="2025-11-29T00:00:00"/>
    <x v="0"/>
    <x v="0"/>
    <x v="0"/>
    <x v="0"/>
    <x v="0"/>
    <m/>
    <m/>
    <x v="0"/>
    <x v="0"/>
    <x v="0"/>
    <x v="0"/>
    <x v="0"/>
    <x v="4"/>
  </r>
  <r>
    <d v="2025-11-30T00:00:00"/>
    <x v="1"/>
    <d v="2025-11-30T00:00:00"/>
    <x v="0"/>
    <x v="0"/>
    <x v="0"/>
    <x v="0"/>
    <x v="0"/>
    <m/>
    <m/>
    <x v="0"/>
    <x v="0"/>
    <x v="0"/>
    <x v="0"/>
    <x v="0"/>
    <x v="4"/>
  </r>
  <r>
    <d v="2025-12-01T00:00:00"/>
    <x v="2"/>
    <d v="2025-12-01T00:00:00"/>
    <x v="1"/>
    <x v="0"/>
    <x v="0"/>
    <x v="0"/>
    <x v="0"/>
    <m/>
    <m/>
    <x v="0"/>
    <x v="0"/>
    <x v="0"/>
    <x v="0"/>
    <x v="0"/>
    <x v="4"/>
  </r>
  <r>
    <d v="2025-12-02T00:00:00"/>
    <x v="3"/>
    <d v="2025-12-02T00:00:00"/>
    <x v="1"/>
    <x v="0"/>
    <x v="0"/>
    <x v="0"/>
    <x v="0"/>
    <m/>
    <m/>
    <x v="0"/>
    <x v="0"/>
    <x v="0"/>
    <x v="0"/>
    <x v="0"/>
    <x v="4"/>
  </r>
  <r>
    <d v="2025-12-03T00:00:00"/>
    <x v="4"/>
    <d v="2025-12-03T00:00:00"/>
    <x v="1"/>
    <x v="0"/>
    <x v="0"/>
    <x v="0"/>
    <x v="0"/>
    <m/>
    <m/>
    <x v="0"/>
    <x v="0"/>
    <x v="0"/>
    <x v="0"/>
    <x v="0"/>
    <x v="4"/>
  </r>
  <r>
    <d v="2025-12-04T00:00:00"/>
    <x v="5"/>
    <d v="2025-12-04T00:00:00"/>
    <x v="1"/>
    <x v="0"/>
    <x v="0"/>
    <x v="0"/>
    <x v="0"/>
    <m/>
    <m/>
    <x v="0"/>
    <x v="0"/>
    <x v="0"/>
    <x v="0"/>
    <x v="0"/>
    <x v="4"/>
  </r>
  <r>
    <d v="2025-12-05T00:00:00"/>
    <x v="6"/>
    <d v="2025-12-05T00:00:00"/>
    <x v="1"/>
    <x v="0"/>
    <x v="0"/>
    <x v="0"/>
    <x v="0"/>
    <m/>
    <m/>
    <x v="0"/>
    <x v="0"/>
    <x v="0"/>
    <x v="0"/>
    <x v="0"/>
    <x v="4"/>
  </r>
  <r>
    <d v="2025-12-06T00:00:00"/>
    <x v="0"/>
    <d v="2025-12-06T00:00:00"/>
    <x v="0"/>
    <x v="0"/>
    <x v="0"/>
    <x v="0"/>
    <x v="0"/>
    <m/>
    <m/>
    <x v="0"/>
    <x v="0"/>
    <x v="0"/>
    <x v="0"/>
    <x v="0"/>
    <x v="4"/>
  </r>
  <r>
    <d v="2025-12-07T00:00:00"/>
    <x v="1"/>
    <d v="2025-12-07T00:00:00"/>
    <x v="0"/>
    <x v="0"/>
    <x v="0"/>
    <x v="0"/>
    <x v="0"/>
    <m/>
    <m/>
    <x v="0"/>
    <x v="0"/>
    <x v="0"/>
    <x v="0"/>
    <x v="0"/>
    <x v="4"/>
  </r>
  <r>
    <d v="2025-12-08T00:00:00"/>
    <x v="2"/>
    <d v="2025-12-08T00:00:00"/>
    <x v="1"/>
    <x v="0"/>
    <x v="0"/>
    <x v="0"/>
    <x v="0"/>
    <m/>
    <m/>
    <x v="0"/>
    <x v="0"/>
    <x v="0"/>
    <x v="0"/>
    <x v="0"/>
    <x v="4"/>
  </r>
  <r>
    <d v="2025-12-09T00:00:00"/>
    <x v="3"/>
    <d v="2025-12-09T00:00:00"/>
    <x v="1"/>
    <x v="0"/>
    <x v="0"/>
    <x v="0"/>
    <x v="0"/>
    <m/>
    <m/>
    <x v="0"/>
    <x v="0"/>
    <x v="0"/>
    <x v="0"/>
    <x v="0"/>
    <x v="4"/>
  </r>
  <r>
    <d v="2025-12-10T00:00:00"/>
    <x v="4"/>
    <d v="2025-12-10T00:00:00"/>
    <x v="1"/>
    <x v="0"/>
    <x v="0"/>
    <x v="0"/>
    <x v="0"/>
    <m/>
    <m/>
    <x v="0"/>
    <x v="0"/>
    <x v="0"/>
    <x v="0"/>
    <x v="0"/>
    <x v="4"/>
  </r>
  <r>
    <d v="2025-12-11T00:00:00"/>
    <x v="5"/>
    <d v="2025-12-11T00:00:00"/>
    <x v="1"/>
    <x v="0"/>
    <x v="0"/>
    <x v="0"/>
    <x v="0"/>
    <m/>
    <m/>
    <x v="0"/>
    <x v="0"/>
    <x v="0"/>
    <x v="0"/>
    <x v="0"/>
    <x v="4"/>
  </r>
  <r>
    <d v="2025-12-12T00:00:00"/>
    <x v="6"/>
    <d v="2025-12-12T00:00:00"/>
    <x v="1"/>
    <x v="0"/>
    <x v="0"/>
    <x v="0"/>
    <x v="0"/>
    <m/>
    <m/>
    <x v="0"/>
    <x v="0"/>
    <x v="0"/>
    <x v="0"/>
    <x v="0"/>
    <x v="4"/>
  </r>
  <r>
    <d v="2025-12-13T00:00:00"/>
    <x v="0"/>
    <d v="2025-12-13T00:00:00"/>
    <x v="0"/>
    <x v="0"/>
    <x v="0"/>
    <x v="0"/>
    <x v="0"/>
    <m/>
    <m/>
    <x v="0"/>
    <x v="0"/>
    <x v="0"/>
    <x v="0"/>
    <x v="0"/>
    <x v="4"/>
  </r>
  <r>
    <d v="2025-12-14T00:00:00"/>
    <x v="1"/>
    <d v="2025-12-14T00:00:00"/>
    <x v="0"/>
    <x v="0"/>
    <x v="0"/>
    <x v="0"/>
    <x v="0"/>
    <m/>
    <m/>
    <x v="0"/>
    <x v="0"/>
    <x v="0"/>
    <x v="0"/>
    <x v="0"/>
    <x v="4"/>
  </r>
  <r>
    <d v="2025-12-15T00:00:00"/>
    <x v="2"/>
    <d v="2025-12-15T00:00:00"/>
    <x v="1"/>
    <x v="0"/>
    <x v="0"/>
    <x v="0"/>
    <x v="0"/>
    <m/>
    <m/>
    <x v="0"/>
    <x v="0"/>
    <x v="0"/>
    <x v="0"/>
    <x v="0"/>
    <x v="4"/>
  </r>
  <r>
    <d v="2025-12-16T00:00:00"/>
    <x v="3"/>
    <d v="2025-12-16T00:00:00"/>
    <x v="1"/>
    <x v="0"/>
    <x v="0"/>
    <x v="0"/>
    <x v="0"/>
    <m/>
    <m/>
    <x v="0"/>
    <x v="0"/>
    <x v="0"/>
    <x v="0"/>
    <x v="0"/>
    <x v="4"/>
  </r>
  <r>
    <d v="2025-12-17T00:00:00"/>
    <x v="4"/>
    <d v="2025-12-17T00:00:00"/>
    <x v="1"/>
    <x v="0"/>
    <x v="0"/>
    <x v="0"/>
    <x v="0"/>
    <m/>
    <m/>
    <x v="0"/>
    <x v="0"/>
    <x v="0"/>
    <x v="0"/>
    <x v="0"/>
    <x v="4"/>
  </r>
  <r>
    <d v="2025-12-18T00:00:00"/>
    <x v="5"/>
    <d v="2025-12-18T00:00:00"/>
    <x v="1"/>
    <x v="0"/>
    <x v="0"/>
    <x v="0"/>
    <x v="0"/>
    <m/>
    <m/>
    <x v="0"/>
    <x v="0"/>
    <x v="0"/>
    <x v="0"/>
    <x v="0"/>
    <x v="4"/>
  </r>
  <r>
    <d v="2025-12-19T00:00:00"/>
    <x v="6"/>
    <d v="2025-12-19T00:00:00"/>
    <x v="1"/>
    <x v="0"/>
    <x v="0"/>
    <x v="0"/>
    <x v="0"/>
    <m/>
    <m/>
    <x v="0"/>
    <x v="0"/>
    <x v="0"/>
    <x v="0"/>
    <x v="0"/>
    <x v="4"/>
  </r>
  <r>
    <d v="2025-12-20T00:00:00"/>
    <x v="0"/>
    <d v="2025-12-20T00:00:00"/>
    <x v="0"/>
    <x v="0"/>
    <x v="0"/>
    <x v="0"/>
    <x v="0"/>
    <m/>
    <m/>
    <x v="0"/>
    <x v="0"/>
    <x v="0"/>
    <x v="0"/>
    <x v="0"/>
    <x v="4"/>
  </r>
  <r>
    <d v="2025-12-21T00:00:00"/>
    <x v="1"/>
    <d v="2025-12-21T00:00:00"/>
    <x v="0"/>
    <x v="0"/>
    <x v="0"/>
    <x v="0"/>
    <x v="0"/>
    <m/>
    <m/>
    <x v="0"/>
    <x v="0"/>
    <x v="0"/>
    <x v="0"/>
    <x v="0"/>
    <x v="4"/>
  </r>
  <r>
    <d v="2025-12-22T00:00:00"/>
    <x v="2"/>
    <d v="2025-12-22T00:00:00"/>
    <x v="1"/>
    <x v="0"/>
    <x v="0"/>
    <x v="0"/>
    <x v="0"/>
    <m/>
    <m/>
    <x v="0"/>
    <x v="0"/>
    <x v="0"/>
    <x v="0"/>
    <x v="0"/>
    <x v="4"/>
  </r>
  <r>
    <d v="2025-12-23T00:00:00"/>
    <x v="3"/>
    <d v="2025-12-23T00:00:00"/>
    <x v="1"/>
    <x v="0"/>
    <x v="0"/>
    <x v="0"/>
    <x v="0"/>
    <m/>
    <m/>
    <x v="0"/>
    <x v="0"/>
    <x v="0"/>
    <x v="0"/>
    <x v="0"/>
    <x v="4"/>
  </r>
  <r>
    <d v="2025-12-24T00:00:00"/>
    <x v="4"/>
    <d v="2025-12-24T00:00:00"/>
    <x v="1"/>
    <x v="0"/>
    <x v="0"/>
    <x v="0"/>
    <x v="0"/>
    <m/>
    <m/>
    <x v="0"/>
    <x v="0"/>
    <x v="0"/>
    <x v="0"/>
    <x v="0"/>
    <x v="4"/>
  </r>
  <r>
    <d v="2025-12-25T00:00:00"/>
    <x v="5"/>
    <d v="2025-12-25T00:00:00"/>
    <x v="1"/>
    <x v="0"/>
    <x v="0"/>
    <x v="0"/>
    <x v="0"/>
    <m/>
    <m/>
    <x v="0"/>
    <x v="0"/>
    <x v="0"/>
    <x v="0"/>
    <x v="0"/>
    <x v="4"/>
  </r>
  <r>
    <d v="2025-12-26T00:00:00"/>
    <x v="6"/>
    <d v="2025-12-26T00:00:00"/>
    <x v="1"/>
    <x v="0"/>
    <x v="0"/>
    <x v="0"/>
    <x v="0"/>
    <m/>
    <m/>
    <x v="0"/>
    <x v="0"/>
    <x v="0"/>
    <x v="0"/>
    <x v="0"/>
    <x v="4"/>
  </r>
  <r>
    <d v="2025-12-27T00:00:00"/>
    <x v="0"/>
    <d v="2025-12-27T00:00:00"/>
    <x v="0"/>
    <x v="0"/>
    <x v="0"/>
    <x v="0"/>
    <x v="0"/>
    <m/>
    <m/>
    <x v="0"/>
    <x v="0"/>
    <x v="0"/>
    <x v="0"/>
    <x v="0"/>
    <x v="4"/>
  </r>
  <r>
    <d v="2025-12-28T00:00:00"/>
    <x v="1"/>
    <d v="2025-12-28T00:00:00"/>
    <x v="0"/>
    <x v="0"/>
    <x v="0"/>
    <x v="0"/>
    <x v="0"/>
    <m/>
    <m/>
    <x v="0"/>
    <x v="0"/>
    <x v="0"/>
    <x v="0"/>
    <x v="0"/>
    <x v="4"/>
  </r>
  <r>
    <d v="2025-12-29T00:00:00"/>
    <x v="2"/>
    <d v="2025-12-29T00:00:00"/>
    <x v="1"/>
    <x v="0"/>
    <x v="0"/>
    <x v="0"/>
    <x v="0"/>
    <m/>
    <m/>
    <x v="0"/>
    <x v="0"/>
    <x v="0"/>
    <x v="0"/>
    <x v="0"/>
    <x v="4"/>
  </r>
  <r>
    <d v="2025-12-30T00:00:00"/>
    <x v="3"/>
    <d v="2025-12-30T00:00:00"/>
    <x v="1"/>
    <x v="0"/>
    <x v="0"/>
    <x v="0"/>
    <x v="0"/>
    <m/>
    <m/>
    <x v="0"/>
    <x v="0"/>
    <x v="0"/>
    <x v="0"/>
    <x v="0"/>
    <x v="4"/>
  </r>
  <r>
    <d v="2025-12-31T00:00:00"/>
    <x v="4"/>
    <d v="2025-12-31T00:00:00"/>
    <x v="1"/>
    <x v="0"/>
    <x v="0"/>
    <x v="0"/>
    <x v="0"/>
    <m/>
    <m/>
    <x v="0"/>
    <x v="0"/>
    <x v="0"/>
    <x v="0"/>
    <x v="0"/>
    <x v="4"/>
  </r>
  <r>
    <d v="2026-01-01T00:00:00"/>
    <x v="5"/>
    <d v="2026-01-01T00:00:00"/>
    <x v="1"/>
    <x v="0"/>
    <x v="0"/>
    <x v="0"/>
    <x v="0"/>
    <m/>
    <m/>
    <x v="0"/>
    <x v="0"/>
    <x v="0"/>
    <x v="0"/>
    <x v="0"/>
    <x v="4"/>
  </r>
  <r>
    <d v="2026-01-02T00:00:00"/>
    <x v="6"/>
    <d v="2026-01-02T00:00:00"/>
    <x v="1"/>
    <x v="0"/>
    <x v="0"/>
    <x v="0"/>
    <x v="0"/>
    <m/>
    <m/>
    <x v="0"/>
    <x v="0"/>
    <x v="0"/>
    <x v="0"/>
    <x v="0"/>
    <x v="4"/>
  </r>
  <r>
    <d v="2026-01-03T00:00:00"/>
    <x v="0"/>
    <d v="2026-01-03T00:00:00"/>
    <x v="0"/>
    <x v="0"/>
    <x v="0"/>
    <x v="0"/>
    <x v="0"/>
    <m/>
    <m/>
    <x v="0"/>
    <x v="0"/>
    <x v="0"/>
    <x v="0"/>
    <x v="0"/>
    <x v="4"/>
  </r>
  <r>
    <d v="2026-01-04T00:00:00"/>
    <x v="1"/>
    <d v="2026-01-04T00:00:00"/>
    <x v="0"/>
    <x v="0"/>
    <x v="0"/>
    <x v="0"/>
    <x v="0"/>
    <m/>
    <m/>
    <x v="0"/>
    <x v="0"/>
    <x v="0"/>
    <x v="0"/>
    <x v="0"/>
    <x v="4"/>
  </r>
  <r>
    <d v="2026-01-05T00:00:00"/>
    <x v="2"/>
    <d v="2026-01-05T00:00:00"/>
    <x v="0"/>
    <x v="0"/>
    <x v="0"/>
    <x v="0"/>
    <x v="0"/>
    <m/>
    <m/>
    <x v="0"/>
    <x v="0"/>
    <x v="0"/>
    <x v="0"/>
    <x v="0"/>
    <x v="4"/>
  </r>
  <r>
    <d v="2026-01-06T00:00:00"/>
    <x v="3"/>
    <d v="2026-01-06T00:00:00"/>
    <x v="2"/>
    <x v="31"/>
    <x v="106"/>
    <x v="14"/>
    <x v="16"/>
    <n v="0"/>
    <n v="36"/>
    <x v="3"/>
    <x v="3"/>
    <x v="14"/>
    <x v="13"/>
    <x v="1"/>
    <x v="4"/>
  </r>
  <r>
    <d v="2026-01-07T00:00:00"/>
    <x v="4"/>
    <d v="2026-01-07T00:00:00"/>
    <x v="0"/>
    <x v="0"/>
    <x v="0"/>
    <x v="0"/>
    <x v="0"/>
    <m/>
    <m/>
    <x v="0"/>
    <x v="0"/>
    <x v="0"/>
    <x v="0"/>
    <x v="0"/>
    <x v="4"/>
  </r>
  <r>
    <d v="2026-01-08T00:00:00"/>
    <x v="5"/>
    <d v="2026-01-08T00:00:00"/>
    <x v="2"/>
    <x v="31"/>
    <x v="106"/>
    <x v="14"/>
    <x v="16"/>
    <n v="0"/>
    <n v="44"/>
    <x v="2"/>
    <x v="3"/>
    <x v="14"/>
    <x v="13"/>
    <x v="1"/>
    <x v="4"/>
  </r>
  <r>
    <d v="2026-01-09T00:00:00"/>
    <x v="6"/>
    <d v="2026-01-09T00:00:00"/>
    <x v="2"/>
    <x v="31"/>
    <x v="106"/>
    <x v="14"/>
    <x v="16"/>
    <n v="0"/>
    <n v="48"/>
    <x v="2"/>
    <x v="3"/>
    <x v="14"/>
    <x v="13"/>
    <x v="1"/>
    <x v="4"/>
  </r>
  <r>
    <d v="2026-01-10T00:00:00"/>
    <x v="0"/>
    <d v="2026-01-10T00:00:00"/>
    <x v="0"/>
    <x v="0"/>
    <x v="0"/>
    <x v="0"/>
    <x v="0"/>
    <m/>
    <m/>
    <x v="0"/>
    <x v="0"/>
    <x v="0"/>
    <x v="0"/>
    <x v="0"/>
    <x v="4"/>
  </r>
  <r>
    <d v="2026-01-11T00:00:00"/>
    <x v="1"/>
    <d v="2026-01-11T00:00:00"/>
    <x v="0"/>
    <x v="0"/>
    <x v="0"/>
    <x v="0"/>
    <x v="0"/>
    <m/>
    <m/>
    <x v="0"/>
    <x v="0"/>
    <x v="0"/>
    <x v="0"/>
    <x v="0"/>
    <x v="4"/>
  </r>
  <r>
    <d v="2026-01-12T00:00:00"/>
    <x v="2"/>
    <d v="2026-01-12T00:00:00"/>
    <x v="2"/>
    <x v="31"/>
    <x v="106"/>
    <x v="14"/>
    <x v="16"/>
    <n v="0"/>
    <n v="44"/>
    <x v="2"/>
    <x v="3"/>
    <x v="14"/>
    <x v="13"/>
    <x v="1"/>
    <x v="4"/>
  </r>
  <r>
    <d v="2026-01-13T00:00:00"/>
    <x v="3"/>
    <d v="2026-01-13T00:00:00"/>
    <x v="2"/>
    <x v="31"/>
    <x v="106"/>
    <x v="14"/>
    <x v="14"/>
    <n v="36"/>
    <n v="0"/>
    <x v="3"/>
    <x v="3"/>
    <x v="14"/>
    <x v="13"/>
    <x v="1"/>
    <x v="4"/>
  </r>
  <r>
    <d v="2026-01-14T00:00:00"/>
    <x v="4"/>
    <d v="2026-01-14T00:00:00"/>
    <x v="2"/>
    <x v="31"/>
    <x v="106"/>
    <x v="14"/>
    <x v="16"/>
    <n v="0"/>
    <n v="18"/>
    <x v="3"/>
    <x v="3"/>
    <x v="14"/>
    <x v="13"/>
    <x v="1"/>
    <x v="4"/>
  </r>
  <r>
    <d v="2026-01-15T00:00:00"/>
    <x v="5"/>
    <d v="2026-01-15T00:00:00"/>
    <x v="2"/>
    <x v="31"/>
    <x v="106"/>
    <x v="14"/>
    <x v="16"/>
    <n v="0"/>
    <n v="12"/>
    <x v="5"/>
    <x v="3"/>
    <x v="14"/>
    <x v="13"/>
    <x v="1"/>
    <x v="4"/>
  </r>
  <r>
    <d v="2026-01-16T00:00:00"/>
    <x v="6"/>
    <d v="2026-01-16T00:00:00"/>
    <x v="0"/>
    <x v="0"/>
    <x v="0"/>
    <x v="0"/>
    <x v="0"/>
    <m/>
    <m/>
    <x v="0"/>
    <x v="0"/>
    <x v="0"/>
    <x v="0"/>
    <x v="0"/>
    <x v="4"/>
  </r>
  <r>
    <d v="2026-01-17T00:00:00"/>
    <x v="0"/>
    <d v="2026-01-17T00:00:00"/>
    <x v="0"/>
    <x v="0"/>
    <x v="0"/>
    <x v="0"/>
    <x v="0"/>
    <m/>
    <m/>
    <x v="0"/>
    <x v="0"/>
    <x v="0"/>
    <x v="0"/>
    <x v="0"/>
    <x v="4"/>
  </r>
  <r>
    <d v="2026-01-18T00:00:00"/>
    <x v="1"/>
    <d v="2026-01-18T00:00:00"/>
    <x v="0"/>
    <x v="0"/>
    <x v="0"/>
    <x v="0"/>
    <x v="0"/>
    <m/>
    <m/>
    <x v="0"/>
    <x v="0"/>
    <x v="0"/>
    <x v="0"/>
    <x v="0"/>
    <x v="4"/>
  </r>
  <r>
    <d v="2026-01-19T00:00:00"/>
    <x v="2"/>
    <d v="2026-01-19T00:00:00"/>
    <x v="0"/>
    <x v="0"/>
    <x v="0"/>
    <x v="0"/>
    <x v="0"/>
    <m/>
    <m/>
    <x v="0"/>
    <x v="0"/>
    <x v="0"/>
    <x v="0"/>
    <x v="0"/>
    <x v="4"/>
  </r>
  <r>
    <d v="2026-01-20T00:00:00"/>
    <x v="3"/>
    <d v="2026-01-20T00:00:00"/>
    <x v="0"/>
    <x v="0"/>
    <x v="0"/>
    <x v="0"/>
    <x v="0"/>
    <m/>
    <m/>
    <x v="0"/>
    <x v="0"/>
    <x v="0"/>
    <x v="0"/>
    <x v="0"/>
    <x v="4"/>
  </r>
  <r>
    <d v="2026-01-21T00:00:00"/>
    <x v="4"/>
    <d v="2026-01-21T00:00:00"/>
    <x v="2"/>
    <x v="31"/>
    <x v="106"/>
    <x v="13"/>
    <x v="16"/>
    <n v="11"/>
    <n v="18"/>
    <x v="5"/>
    <x v="3"/>
    <x v="14"/>
    <x v="13"/>
    <x v="1"/>
    <x v="4"/>
  </r>
  <r>
    <d v="2026-01-22T00:00:00"/>
    <x v="5"/>
    <d v="2026-01-22T00:00:00"/>
    <x v="0"/>
    <x v="0"/>
    <x v="0"/>
    <x v="0"/>
    <x v="0"/>
    <m/>
    <m/>
    <x v="0"/>
    <x v="0"/>
    <x v="0"/>
    <x v="0"/>
    <x v="0"/>
    <x v="4"/>
  </r>
  <r>
    <d v="2026-01-23T00:00:00"/>
    <x v="6"/>
    <d v="2026-01-23T00:00:00"/>
    <x v="2"/>
    <x v="31"/>
    <x v="106"/>
    <x v="14"/>
    <x v="16"/>
    <n v="0"/>
    <n v="10"/>
    <x v="1"/>
    <x v="3"/>
    <x v="14"/>
    <x v="13"/>
    <x v="1"/>
    <x v="4"/>
  </r>
  <r>
    <d v="2026-01-24T00:00:00"/>
    <x v="0"/>
    <d v="2026-01-24T00:00:00"/>
    <x v="0"/>
    <x v="0"/>
    <x v="0"/>
    <x v="0"/>
    <x v="0"/>
    <m/>
    <m/>
    <x v="0"/>
    <x v="0"/>
    <x v="0"/>
    <x v="0"/>
    <x v="0"/>
    <x v="4"/>
  </r>
  <r>
    <d v="2026-01-25T00:00:00"/>
    <x v="1"/>
    <d v="2026-01-25T00:00:00"/>
    <x v="0"/>
    <x v="0"/>
    <x v="0"/>
    <x v="0"/>
    <x v="0"/>
    <m/>
    <m/>
    <x v="0"/>
    <x v="0"/>
    <x v="0"/>
    <x v="0"/>
    <x v="0"/>
    <x v="4"/>
  </r>
  <r>
    <d v="2026-01-26T00:00:00"/>
    <x v="2"/>
    <d v="2026-01-26T00:00:00"/>
    <x v="2"/>
    <x v="31"/>
    <x v="106"/>
    <x v="14"/>
    <x v="16"/>
    <n v="0"/>
    <n v="12"/>
    <x v="3"/>
    <x v="3"/>
    <x v="14"/>
    <x v="13"/>
    <x v="1"/>
    <x v="4"/>
  </r>
  <r>
    <d v="2026-01-27T00:00:00"/>
    <x v="3"/>
    <d v="2026-01-27T00:00:00"/>
    <x v="2"/>
    <x v="31"/>
    <x v="106"/>
    <x v="14"/>
    <x v="15"/>
    <n v="20"/>
    <n v="18"/>
    <x v="3"/>
    <x v="3"/>
    <x v="14"/>
    <x v="13"/>
    <x v="1"/>
    <x v="4"/>
  </r>
  <r>
    <d v="2026-01-28T00:00:00"/>
    <x v="4"/>
    <d v="2026-01-28T00:00:00"/>
    <x v="2"/>
    <x v="31"/>
    <x v="106"/>
    <x v="14"/>
    <x v="2"/>
    <n v="0"/>
    <n v="24"/>
    <x v="2"/>
    <x v="3"/>
    <x v="14"/>
    <x v="13"/>
    <x v="1"/>
    <x v="4"/>
  </r>
  <r>
    <d v="2026-01-29T00:00:00"/>
    <x v="5"/>
    <d v="2026-01-29T00:00:00"/>
    <x v="2"/>
    <x v="31"/>
    <x v="106"/>
    <x v="4"/>
    <x v="6"/>
    <n v="50"/>
    <n v="25"/>
    <x v="5"/>
    <x v="3"/>
    <x v="14"/>
    <x v="13"/>
    <x v="1"/>
    <x v="4"/>
  </r>
  <r>
    <d v="2026-01-30T00:00:00"/>
    <x v="6"/>
    <d v="2026-01-30T00:00:00"/>
    <x v="2"/>
    <x v="31"/>
    <x v="106"/>
    <x v="14"/>
    <x v="16"/>
    <n v="0"/>
    <n v="0"/>
    <x v="4"/>
    <x v="3"/>
    <x v="14"/>
    <x v="13"/>
    <x v="1"/>
    <x v="4"/>
  </r>
  <r>
    <d v="2026-01-31T00:00:00"/>
    <x v="0"/>
    <d v="2026-01-31T00:00:00"/>
    <x v="0"/>
    <x v="0"/>
    <x v="0"/>
    <x v="0"/>
    <x v="0"/>
    <m/>
    <m/>
    <x v="0"/>
    <x v="0"/>
    <x v="0"/>
    <x v="0"/>
    <x v="0"/>
    <x v="4"/>
  </r>
  <r>
    <d v="2026-02-01T00:00:00"/>
    <x v="1"/>
    <d v="2026-02-01T00:00:00"/>
    <x v="0"/>
    <x v="0"/>
    <x v="0"/>
    <x v="0"/>
    <x v="0"/>
    <m/>
    <m/>
    <x v="0"/>
    <x v="0"/>
    <x v="0"/>
    <x v="0"/>
    <x v="0"/>
    <x v="4"/>
  </r>
  <r>
    <d v="2026-02-02T00:00:00"/>
    <x v="2"/>
    <d v="2026-02-02T00:00:00"/>
    <x v="2"/>
    <x v="31"/>
    <x v="106"/>
    <x v="10"/>
    <x v="16"/>
    <n v="35"/>
    <n v="0"/>
    <x v="4"/>
    <x v="3"/>
    <x v="14"/>
    <x v="13"/>
    <x v="1"/>
    <x v="4"/>
  </r>
  <r>
    <d v="2026-02-03T00:00:00"/>
    <x v="3"/>
    <d v="2026-02-03T00:00:00"/>
    <x v="2"/>
    <x v="31"/>
    <x v="106"/>
    <x v="2"/>
    <x v="1"/>
    <n v="62"/>
    <n v="0"/>
    <x v="4"/>
    <x v="3"/>
    <x v="14"/>
    <x v="13"/>
    <x v="1"/>
    <x v="4"/>
  </r>
  <r>
    <d v="2026-02-04T00:00:00"/>
    <x v="4"/>
    <d v="2026-02-04T00:00:00"/>
    <x v="2"/>
    <x v="31"/>
    <x v="106"/>
    <x v="14"/>
    <x v="16"/>
    <n v="16"/>
    <n v="0"/>
    <x v="5"/>
    <x v="3"/>
    <x v="14"/>
    <x v="13"/>
    <x v="1"/>
    <x v="4"/>
  </r>
  <r>
    <d v="2026-02-05T00:00:00"/>
    <x v="5"/>
    <d v="2026-02-05T00:00:00"/>
    <x v="0"/>
    <x v="0"/>
    <x v="0"/>
    <x v="0"/>
    <x v="0"/>
    <m/>
    <m/>
    <x v="0"/>
    <x v="0"/>
    <x v="0"/>
    <x v="0"/>
    <x v="0"/>
    <x v="4"/>
  </r>
  <r>
    <d v="2026-02-06T00:00:00"/>
    <x v="6"/>
    <d v="2026-02-06T00:00:00"/>
    <x v="2"/>
    <x v="31"/>
    <x v="106"/>
    <x v="14"/>
    <x v="16"/>
    <n v="0"/>
    <n v="0"/>
    <x v="4"/>
    <x v="3"/>
    <x v="14"/>
    <x v="13"/>
    <x v="1"/>
    <x v="4"/>
  </r>
  <r>
    <d v="2026-02-07T00:00:00"/>
    <x v="0"/>
    <d v="2026-02-07T00:00:00"/>
    <x v="0"/>
    <x v="0"/>
    <x v="0"/>
    <x v="0"/>
    <x v="0"/>
    <m/>
    <m/>
    <x v="0"/>
    <x v="0"/>
    <x v="0"/>
    <x v="0"/>
    <x v="0"/>
    <x v="4"/>
  </r>
  <r>
    <d v="2026-02-08T00:00:00"/>
    <x v="1"/>
    <d v="2026-02-08T00:00:00"/>
    <x v="0"/>
    <x v="0"/>
    <x v="0"/>
    <x v="0"/>
    <x v="0"/>
    <m/>
    <m/>
    <x v="0"/>
    <x v="0"/>
    <x v="0"/>
    <x v="0"/>
    <x v="0"/>
    <x v="4"/>
  </r>
  <r>
    <d v="2026-02-09T00:00:00"/>
    <x v="2"/>
    <d v="2026-02-09T00:00:00"/>
    <x v="2"/>
    <x v="31"/>
    <x v="106"/>
    <x v="14"/>
    <x v="16"/>
    <n v="64"/>
    <n v="0"/>
    <x v="3"/>
    <x v="3"/>
    <x v="14"/>
    <x v="13"/>
    <x v="1"/>
    <x v="4"/>
  </r>
  <r>
    <d v="2026-02-10T00:00:00"/>
    <x v="3"/>
    <d v="2026-02-10T00:00:00"/>
    <x v="0"/>
    <x v="0"/>
    <x v="0"/>
    <x v="0"/>
    <x v="0"/>
    <m/>
    <m/>
    <x v="0"/>
    <x v="0"/>
    <x v="0"/>
    <x v="0"/>
    <x v="0"/>
    <x v="4"/>
  </r>
  <r>
    <d v="2026-02-11T00:00:00"/>
    <x v="4"/>
    <d v="2026-02-11T00:00:00"/>
    <x v="2"/>
    <x v="31"/>
    <x v="106"/>
    <x v="14"/>
    <x v="16"/>
    <n v="0"/>
    <n v="12"/>
    <x v="4"/>
    <x v="3"/>
    <x v="14"/>
    <x v="13"/>
    <x v="1"/>
    <x v="4"/>
  </r>
  <r>
    <d v="2026-02-12T00:00:00"/>
    <x v="5"/>
    <d v="2026-02-12T00:00:00"/>
    <x v="2"/>
    <x v="31"/>
    <x v="106"/>
    <x v="11"/>
    <x v="16"/>
    <n v="0"/>
    <n v="18"/>
    <x v="4"/>
    <x v="3"/>
    <x v="14"/>
    <x v="13"/>
    <x v="1"/>
    <x v="4"/>
  </r>
  <r>
    <d v="2026-02-13T00:00:00"/>
    <x v="6"/>
    <d v="2026-02-13T00:00:00"/>
    <x v="2"/>
    <x v="31"/>
    <x v="106"/>
    <x v="14"/>
    <x v="16"/>
    <n v="26"/>
    <n v="0"/>
    <x v="5"/>
    <x v="3"/>
    <x v="14"/>
    <x v="13"/>
    <x v="1"/>
    <x v="4"/>
  </r>
  <r>
    <d v="2026-02-14T00:00:00"/>
    <x v="0"/>
    <d v="2026-02-14T00:00:00"/>
    <x v="0"/>
    <x v="0"/>
    <x v="0"/>
    <x v="0"/>
    <x v="0"/>
    <m/>
    <m/>
    <x v="0"/>
    <x v="0"/>
    <x v="0"/>
    <x v="0"/>
    <x v="0"/>
    <x v="4"/>
  </r>
  <r>
    <d v="2026-02-15T00:00:00"/>
    <x v="1"/>
    <d v="2026-02-15T00:00:00"/>
    <x v="0"/>
    <x v="0"/>
    <x v="0"/>
    <x v="0"/>
    <x v="0"/>
    <m/>
    <m/>
    <x v="0"/>
    <x v="0"/>
    <x v="0"/>
    <x v="0"/>
    <x v="0"/>
    <x v="4"/>
  </r>
  <r>
    <d v="2026-02-16T00:00:00"/>
    <x v="2"/>
    <d v="2026-02-16T00:00:00"/>
    <x v="2"/>
    <x v="31"/>
    <x v="106"/>
    <x v="14"/>
    <x v="16"/>
    <n v="0"/>
    <n v="0"/>
    <x v="3"/>
    <x v="3"/>
    <x v="8"/>
    <x v="13"/>
    <x v="1"/>
    <x v="4"/>
  </r>
  <r>
    <d v="2026-02-17T00:00:00"/>
    <x v="3"/>
    <d v="2026-02-17T00:00:00"/>
    <x v="0"/>
    <x v="0"/>
    <x v="0"/>
    <x v="0"/>
    <x v="0"/>
    <m/>
    <m/>
    <x v="0"/>
    <x v="0"/>
    <x v="0"/>
    <x v="0"/>
    <x v="0"/>
    <x v="4"/>
  </r>
  <r>
    <d v="2026-02-18T00:00:00"/>
    <x v="4"/>
    <d v="2026-02-18T00:00:00"/>
    <x v="2"/>
    <x v="31"/>
    <x v="106"/>
    <x v="14"/>
    <x v="16"/>
    <n v="0"/>
    <n v="0"/>
    <x v="3"/>
    <x v="3"/>
    <x v="17"/>
    <x v="13"/>
    <x v="1"/>
    <x v="4"/>
  </r>
  <r>
    <d v="2026-02-19T00:00:00"/>
    <x v="5"/>
    <d v="2026-02-19T00:00:00"/>
    <x v="2"/>
    <x v="31"/>
    <x v="106"/>
    <x v="14"/>
    <x v="16"/>
    <n v="0"/>
    <n v="0"/>
    <x v="3"/>
    <x v="3"/>
    <x v="10"/>
    <x v="13"/>
    <x v="1"/>
    <x v="4"/>
  </r>
  <r>
    <d v="2026-02-20T00:00:00"/>
    <x v="6"/>
    <d v="2026-02-20T00:00:00"/>
    <x v="0"/>
    <x v="0"/>
    <x v="0"/>
    <x v="0"/>
    <x v="0"/>
    <m/>
    <m/>
    <x v="0"/>
    <x v="0"/>
    <x v="0"/>
    <x v="0"/>
    <x v="0"/>
    <x v="4"/>
  </r>
  <r>
    <d v="2026-02-21T00:00:00"/>
    <x v="0"/>
    <d v="2026-02-21T00:00:00"/>
    <x v="0"/>
    <x v="0"/>
    <x v="0"/>
    <x v="0"/>
    <x v="0"/>
    <m/>
    <m/>
    <x v="0"/>
    <x v="0"/>
    <x v="0"/>
    <x v="0"/>
    <x v="0"/>
    <x v="4"/>
  </r>
  <r>
    <d v="2026-02-22T00:00:00"/>
    <x v="1"/>
    <d v="2026-02-22T00:00:00"/>
    <x v="0"/>
    <x v="0"/>
    <x v="0"/>
    <x v="0"/>
    <x v="0"/>
    <m/>
    <m/>
    <x v="0"/>
    <x v="0"/>
    <x v="0"/>
    <x v="0"/>
    <x v="0"/>
    <x v="4"/>
  </r>
  <r>
    <d v="2026-02-23T00:00:00"/>
    <x v="2"/>
    <d v="2026-02-23T00:00:00"/>
    <x v="2"/>
    <x v="31"/>
    <x v="106"/>
    <x v="14"/>
    <x v="16"/>
    <n v="0"/>
    <n v="6"/>
    <x v="5"/>
    <x v="3"/>
    <x v="3"/>
    <x v="13"/>
    <x v="1"/>
    <x v="4"/>
  </r>
  <r>
    <d v="2026-02-24T00:00:00"/>
    <x v="3"/>
    <d v="2026-02-24T00:00:00"/>
    <x v="2"/>
    <x v="31"/>
    <x v="106"/>
    <x v="14"/>
    <x v="16"/>
    <n v="0"/>
    <n v="0"/>
    <x v="5"/>
    <x v="3"/>
    <x v="7"/>
    <x v="13"/>
    <x v="1"/>
    <x v="4"/>
  </r>
  <r>
    <d v="2026-02-25T00:00:00"/>
    <x v="4"/>
    <d v="2026-02-25T00:00:00"/>
    <x v="2"/>
    <x v="31"/>
    <x v="106"/>
    <x v="14"/>
    <x v="16"/>
    <n v="0"/>
    <n v="12"/>
    <x v="4"/>
    <x v="4"/>
    <x v="14"/>
    <x v="13"/>
    <x v="1"/>
    <x v="4"/>
  </r>
  <r>
    <d v="2026-02-26T00:00:00"/>
    <x v="5"/>
    <d v="2026-02-26T00:00:00"/>
    <x v="0"/>
    <x v="0"/>
    <x v="0"/>
    <x v="0"/>
    <x v="0"/>
    <m/>
    <m/>
    <x v="0"/>
    <x v="0"/>
    <x v="0"/>
    <x v="0"/>
    <x v="0"/>
    <x v="4"/>
  </r>
  <r>
    <d v="2026-02-27T00:00:00"/>
    <x v="6"/>
    <d v="2026-02-27T00:00:00"/>
    <x v="2"/>
    <x v="31"/>
    <x v="106"/>
    <x v="1"/>
    <x v="15"/>
    <n v="0"/>
    <n v="12"/>
    <x v="5"/>
    <x v="1"/>
    <x v="1"/>
    <x v="13"/>
    <x v="1"/>
    <x v="4"/>
  </r>
  <r>
    <d v="2026-02-28T00:00:00"/>
    <x v="0"/>
    <d v="2026-02-28T00:00:00"/>
    <x v="0"/>
    <x v="0"/>
    <x v="0"/>
    <x v="0"/>
    <x v="0"/>
    <m/>
    <m/>
    <x v="0"/>
    <x v="0"/>
    <x v="0"/>
    <x v="0"/>
    <x v="0"/>
    <x v="4"/>
  </r>
  <r>
    <d v="2026-03-01T00:00:00"/>
    <x v="1"/>
    <d v="2026-03-01T00:00:00"/>
    <x v="0"/>
    <x v="0"/>
    <x v="0"/>
    <x v="0"/>
    <x v="0"/>
    <m/>
    <m/>
    <x v="0"/>
    <x v="0"/>
    <x v="0"/>
    <x v="0"/>
    <x v="0"/>
    <x v="4"/>
  </r>
  <r>
    <d v="2026-03-02T00:00:00"/>
    <x v="2"/>
    <d v="2026-03-02T00:00:00"/>
    <x v="2"/>
    <x v="32"/>
    <x v="107"/>
    <x v="0"/>
    <x v="0"/>
    <m/>
    <n v="12"/>
    <x v="0"/>
    <x v="9"/>
    <x v="1"/>
    <x v="0"/>
    <x v="0"/>
    <x v="4"/>
  </r>
  <r>
    <d v="2026-03-02T00:00:00"/>
    <x v="2"/>
    <d v="2026-03-02T00:00:00"/>
    <x v="2"/>
    <x v="33"/>
    <x v="108"/>
    <x v="4"/>
    <x v="0"/>
    <m/>
    <n v="12"/>
    <x v="3"/>
    <x v="0"/>
    <x v="0"/>
    <x v="0"/>
    <x v="0"/>
    <x v="4"/>
  </r>
  <r>
    <d v="2026-03-02T00:00:00"/>
    <x v="2"/>
    <d v="2026-03-02T00:00:00"/>
    <x v="2"/>
    <x v="34"/>
    <x v="108"/>
    <x v="0"/>
    <x v="0"/>
    <m/>
    <m/>
    <x v="0"/>
    <x v="10"/>
    <x v="0"/>
    <x v="0"/>
    <x v="0"/>
    <x v="4"/>
  </r>
  <r>
    <d v="2026-03-02T00:00:00"/>
    <x v="2"/>
    <d v="2026-03-02T00:00:00"/>
    <x v="2"/>
    <x v="35"/>
    <x v="109"/>
    <x v="0"/>
    <x v="0"/>
    <m/>
    <m/>
    <x v="0"/>
    <x v="0"/>
    <x v="13"/>
    <x v="0"/>
    <x v="0"/>
    <x v="4"/>
  </r>
  <r>
    <d v="2026-03-03T00:00:00"/>
    <x v="3"/>
    <d v="2026-03-03T00:00:00"/>
    <x v="0"/>
    <x v="36"/>
    <x v="0"/>
    <x v="0"/>
    <x v="0"/>
    <m/>
    <m/>
    <x v="0"/>
    <x v="0"/>
    <x v="0"/>
    <x v="0"/>
    <x v="0"/>
    <x v="4"/>
  </r>
  <r>
    <d v="2026-03-04T00:00:00"/>
    <x v="4"/>
    <d v="2026-03-04T00:00:00"/>
    <x v="2"/>
    <x v="32"/>
    <x v="107"/>
    <x v="0"/>
    <x v="6"/>
    <m/>
    <n v="6"/>
    <x v="0"/>
    <x v="9"/>
    <x v="0"/>
    <x v="0"/>
    <x v="0"/>
    <x v="4"/>
  </r>
  <r>
    <d v="2026-03-04T00:00:00"/>
    <x v="4"/>
    <d v="2026-03-04T00:00:00"/>
    <x v="2"/>
    <x v="33"/>
    <x v="108"/>
    <x v="10"/>
    <x v="0"/>
    <m/>
    <m/>
    <x v="0"/>
    <x v="0"/>
    <x v="0"/>
    <x v="0"/>
    <x v="0"/>
    <x v="4"/>
  </r>
  <r>
    <d v="2026-03-04T00:00:00"/>
    <x v="4"/>
    <d v="2026-03-04T00:00:00"/>
    <x v="2"/>
    <x v="34"/>
    <x v="108"/>
    <x v="0"/>
    <x v="15"/>
    <m/>
    <n v="6"/>
    <x v="0"/>
    <x v="6"/>
    <x v="0"/>
    <x v="0"/>
    <x v="0"/>
    <x v="4"/>
  </r>
  <r>
    <d v="2026-03-05T00:00:00"/>
    <x v="5"/>
    <d v="2026-03-05T00:00:00"/>
    <x v="2"/>
    <x v="32"/>
    <x v="107"/>
    <x v="0"/>
    <x v="15"/>
    <m/>
    <n v="6"/>
    <x v="0"/>
    <x v="9"/>
    <x v="0"/>
    <x v="0"/>
    <x v="0"/>
    <x v="4"/>
  </r>
  <r>
    <d v="2026-03-05T00:00:00"/>
    <x v="5"/>
    <d v="2026-03-05T00:00:00"/>
    <x v="2"/>
    <x v="33"/>
    <x v="108"/>
    <x v="8"/>
    <x v="0"/>
    <m/>
    <m/>
    <x v="0"/>
    <x v="0"/>
    <x v="0"/>
    <x v="0"/>
    <x v="0"/>
    <x v="4"/>
  </r>
  <r>
    <d v="2026-03-05T00:00:00"/>
    <x v="5"/>
    <d v="2026-03-05T00:00:00"/>
    <x v="2"/>
    <x v="34"/>
    <x v="108"/>
    <x v="0"/>
    <x v="0"/>
    <m/>
    <n v="6"/>
    <x v="0"/>
    <x v="4"/>
    <x v="8"/>
    <x v="0"/>
    <x v="0"/>
    <x v="4"/>
  </r>
  <r>
    <d v="2026-03-06T00:00:00"/>
    <x v="6"/>
    <d v="2026-03-06T00:00:00"/>
    <x v="2"/>
    <x v="32"/>
    <x v="107"/>
    <x v="0"/>
    <x v="6"/>
    <m/>
    <n v="6"/>
    <x v="0"/>
    <x v="0"/>
    <x v="0"/>
    <x v="0"/>
    <x v="0"/>
    <x v="4"/>
  </r>
  <r>
    <d v="2026-03-06T00:00:00"/>
    <x v="6"/>
    <d v="2026-03-06T00:00:00"/>
    <x v="2"/>
    <x v="33"/>
    <x v="110"/>
    <x v="11"/>
    <x v="0"/>
    <n v="15"/>
    <m/>
    <x v="0"/>
    <x v="0"/>
    <x v="0"/>
    <x v="0"/>
    <x v="0"/>
    <x v="4"/>
  </r>
  <r>
    <d v="2026-03-07T00:00:00"/>
    <x v="0"/>
    <d v="2026-03-07T00:00:00"/>
    <x v="0"/>
    <x v="0"/>
    <x v="0"/>
    <x v="0"/>
    <x v="0"/>
    <m/>
    <m/>
    <x v="0"/>
    <x v="0"/>
    <x v="0"/>
    <x v="0"/>
    <x v="0"/>
    <x v="4"/>
  </r>
  <r>
    <d v="2026-03-08T00:00:00"/>
    <x v="1"/>
    <d v="2026-03-08T00:00:00"/>
    <x v="0"/>
    <x v="0"/>
    <x v="0"/>
    <x v="0"/>
    <x v="0"/>
    <m/>
    <m/>
    <x v="0"/>
    <x v="0"/>
    <x v="0"/>
    <x v="0"/>
    <x v="0"/>
    <x v="4"/>
  </r>
  <r>
    <d v="2026-03-09T00:00:00"/>
    <x v="2"/>
    <d v="2026-03-09T00:00:00"/>
    <x v="0"/>
    <x v="0"/>
    <x v="37"/>
    <x v="0"/>
    <x v="0"/>
    <m/>
    <m/>
    <x v="0"/>
    <x v="0"/>
    <x v="0"/>
    <x v="0"/>
    <x v="0"/>
    <x v="4"/>
  </r>
  <r>
    <d v="2026-03-10T00:00:00"/>
    <x v="3"/>
    <d v="2026-03-10T00:00:00"/>
    <x v="0"/>
    <x v="0"/>
    <x v="37"/>
    <x v="0"/>
    <x v="0"/>
    <m/>
    <m/>
    <x v="0"/>
    <x v="0"/>
    <x v="0"/>
    <x v="0"/>
    <x v="0"/>
    <x v="4"/>
  </r>
  <r>
    <d v="2026-03-11T00:00:00"/>
    <x v="4"/>
    <d v="2026-03-11T00:00:00"/>
    <x v="0"/>
    <x v="0"/>
    <x v="37"/>
    <x v="0"/>
    <x v="0"/>
    <m/>
    <m/>
    <x v="0"/>
    <x v="0"/>
    <x v="0"/>
    <x v="0"/>
    <x v="0"/>
    <x v="4"/>
  </r>
  <r>
    <d v="2026-03-12T00:00:00"/>
    <x v="5"/>
    <d v="2026-03-12T00:00:00"/>
    <x v="0"/>
    <x v="0"/>
    <x v="37"/>
    <x v="0"/>
    <x v="0"/>
    <m/>
    <m/>
    <x v="0"/>
    <x v="0"/>
    <x v="0"/>
    <x v="0"/>
    <x v="0"/>
    <x v="4"/>
  </r>
  <r>
    <d v="2026-03-13T00:00:00"/>
    <x v="6"/>
    <d v="2026-03-13T00:00:00"/>
    <x v="2"/>
    <x v="33"/>
    <x v="110"/>
    <x v="0"/>
    <x v="6"/>
    <m/>
    <m/>
    <x v="0"/>
    <x v="0"/>
    <x v="0"/>
    <x v="0"/>
    <x v="0"/>
    <x v="4"/>
  </r>
  <r>
    <d v="2026-03-14T00:00:00"/>
    <x v="0"/>
    <d v="2026-03-14T00:00:00"/>
    <x v="0"/>
    <x v="0"/>
    <x v="0"/>
    <x v="0"/>
    <x v="0"/>
    <m/>
    <m/>
    <x v="0"/>
    <x v="0"/>
    <x v="0"/>
    <x v="0"/>
    <x v="0"/>
    <x v="4"/>
  </r>
  <r>
    <d v="2026-03-15T00:00:00"/>
    <x v="1"/>
    <d v="2026-03-15T00:00:00"/>
    <x v="0"/>
    <x v="0"/>
    <x v="0"/>
    <x v="0"/>
    <x v="0"/>
    <m/>
    <m/>
    <x v="0"/>
    <x v="0"/>
    <x v="0"/>
    <x v="0"/>
    <x v="0"/>
    <x v="4"/>
  </r>
  <r>
    <d v="2026-03-16T00:00:00"/>
    <x v="2"/>
    <d v="2026-03-16T00:00:00"/>
    <x v="2"/>
    <x v="33"/>
    <x v="110"/>
    <x v="6"/>
    <x v="0"/>
    <m/>
    <m/>
    <x v="0"/>
    <x v="0"/>
    <x v="0"/>
    <x v="0"/>
    <x v="0"/>
    <x v="4"/>
  </r>
  <r>
    <d v="2026-03-16T00:00:00"/>
    <x v="2"/>
    <d v="2026-03-16T00:00:00"/>
    <x v="2"/>
    <x v="32"/>
    <x v="107"/>
    <x v="0"/>
    <x v="0"/>
    <m/>
    <m/>
    <x v="3"/>
    <x v="0"/>
    <x v="0"/>
    <x v="0"/>
    <x v="0"/>
    <x v="4"/>
  </r>
  <r>
    <d v="2026-03-17T00:00:00"/>
    <x v="3"/>
    <d v="2026-03-17T00:00:00"/>
    <x v="2"/>
    <x v="32"/>
    <x v="107"/>
    <x v="0"/>
    <x v="0"/>
    <m/>
    <m/>
    <x v="3"/>
    <x v="0"/>
    <x v="0"/>
    <x v="0"/>
    <x v="0"/>
    <x v="4"/>
  </r>
  <r>
    <d v="2026-03-17T00:00:00"/>
    <x v="3"/>
    <d v="2026-03-17T00:00:00"/>
    <x v="2"/>
    <x v="33"/>
    <x v="110"/>
    <x v="0"/>
    <x v="14"/>
    <n v="24"/>
    <m/>
    <x v="3"/>
    <x v="0"/>
    <x v="0"/>
    <x v="0"/>
    <x v="0"/>
    <x v="4"/>
  </r>
  <r>
    <d v="2026-03-17T00:00:00"/>
    <x v="3"/>
    <d v="2026-03-17T00:00:00"/>
    <x v="2"/>
    <x v="37"/>
    <x v="110"/>
    <x v="0"/>
    <x v="15"/>
    <m/>
    <m/>
    <x v="0"/>
    <x v="10"/>
    <x v="0"/>
    <x v="0"/>
    <x v="0"/>
    <x v="4"/>
  </r>
  <r>
    <d v="2026-03-17T00:00:00"/>
    <x v="3"/>
    <d v="2026-03-17T00:00:00"/>
    <x v="2"/>
    <x v="18"/>
    <x v="111"/>
    <x v="0"/>
    <x v="14"/>
    <m/>
    <n v="12"/>
    <x v="3"/>
    <x v="9"/>
    <x v="0"/>
    <x v="0"/>
    <x v="0"/>
    <x v="4"/>
  </r>
  <r>
    <d v="2026-03-18T00:00:00"/>
    <x v="4"/>
    <d v="2026-03-18T00:00:00"/>
    <x v="2"/>
    <x v="32"/>
    <x v="107"/>
    <x v="0"/>
    <x v="0"/>
    <m/>
    <m/>
    <x v="3"/>
    <x v="9"/>
    <x v="0"/>
    <x v="0"/>
    <x v="0"/>
    <x v="4"/>
  </r>
  <r>
    <d v="2026-03-18T00:00:00"/>
    <x v="4"/>
    <d v="2026-03-18T00:00:00"/>
    <x v="2"/>
    <x v="33"/>
    <x v="110"/>
    <x v="0"/>
    <x v="14"/>
    <n v="32"/>
    <m/>
    <x v="0"/>
    <x v="9"/>
    <x v="0"/>
    <x v="0"/>
    <x v="0"/>
    <x v="4"/>
  </r>
  <r>
    <d v="2026-03-18T00:00:00"/>
    <x v="4"/>
    <d v="2026-03-18T00:00:00"/>
    <x v="2"/>
    <x v="37"/>
    <x v="110"/>
    <x v="0"/>
    <x v="0"/>
    <m/>
    <m/>
    <x v="0"/>
    <x v="9"/>
    <x v="0"/>
    <x v="0"/>
    <x v="0"/>
    <x v="4"/>
  </r>
  <r>
    <d v="2026-03-18T00:00:00"/>
    <x v="4"/>
    <d v="2026-03-18T00:00:00"/>
    <x v="2"/>
    <x v="34"/>
    <x v="111"/>
    <x v="0"/>
    <x v="0"/>
    <m/>
    <m/>
    <x v="0"/>
    <x v="10"/>
    <x v="0"/>
    <x v="0"/>
    <x v="0"/>
    <x v="4"/>
  </r>
  <r>
    <d v="2026-03-19T00:00:00"/>
    <x v="5"/>
    <d v="2026-03-19T00:00:00"/>
    <x v="2"/>
    <x v="32"/>
    <x v="107"/>
    <x v="0"/>
    <x v="0"/>
    <m/>
    <m/>
    <x v="0"/>
    <x v="4"/>
    <x v="0"/>
    <x v="0"/>
    <x v="0"/>
    <x v="4"/>
  </r>
  <r>
    <d v="2026-03-19T00:00:00"/>
    <x v="5"/>
    <d v="2026-03-19T00:00:00"/>
    <x v="2"/>
    <x v="35"/>
    <x v="107"/>
    <x v="0"/>
    <x v="0"/>
    <n v="25"/>
    <m/>
    <x v="0"/>
    <x v="0"/>
    <x v="0"/>
    <x v="0"/>
    <x v="0"/>
    <x v="4"/>
  </r>
  <r>
    <d v="2026-03-19T00:00:00"/>
    <x v="5"/>
    <d v="2026-03-19T00:00:00"/>
    <x v="2"/>
    <x v="34"/>
    <x v="108"/>
    <x v="0"/>
    <x v="0"/>
    <m/>
    <m/>
    <x v="0"/>
    <x v="2"/>
    <x v="0"/>
    <x v="0"/>
    <x v="0"/>
    <x v="4"/>
  </r>
  <r>
    <d v="2026-03-19T00:00:00"/>
    <x v="5"/>
    <d v="2026-03-19T00:00:00"/>
    <x v="2"/>
    <x v="37"/>
    <x v="110"/>
    <x v="0"/>
    <x v="0"/>
    <m/>
    <m/>
    <x v="0"/>
    <x v="2"/>
    <x v="1"/>
    <x v="0"/>
    <x v="0"/>
    <x v="4"/>
  </r>
  <r>
    <d v="2026-03-20T00:00:00"/>
    <x v="6"/>
    <d v="2026-03-20T00:00:00"/>
    <x v="2"/>
    <x v="35"/>
    <x v="107"/>
    <x v="0"/>
    <x v="0"/>
    <n v="20"/>
    <m/>
    <x v="0"/>
    <x v="0"/>
    <x v="0"/>
    <x v="0"/>
    <x v="0"/>
    <x v="4"/>
  </r>
  <r>
    <d v="2026-03-20T00:00:00"/>
    <x v="6"/>
    <d v="2026-03-20T00:00:00"/>
    <x v="2"/>
    <x v="35"/>
    <x v="107"/>
    <x v="0"/>
    <x v="0"/>
    <n v="63"/>
    <m/>
    <x v="0"/>
    <x v="6"/>
    <x v="0"/>
    <x v="0"/>
    <x v="0"/>
    <x v="4"/>
  </r>
  <r>
    <d v="2026-03-20T00:00:00"/>
    <x v="6"/>
    <d v="2026-03-20T00:00:00"/>
    <x v="2"/>
    <x v="38"/>
    <x v="110"/>
    <x v="0"/>
    <x v="0"/>
    <m/>
    <m/>
    <x v="0"/>
    <x v="2"/>
    <x v="11"/>
    <x v="0"/>
    <x v="0"/>
    <x v="4"/>
  </r>
  <r>
    <d v="2026-03-21T00:00:00"/>
    <x v="0"/>
    <d v="2026-03-21T00:00:00"/>
    <x v="0"/>
    <x v="0"/>
    <x v="0"/>
    <x v="0"/>
    <x v="0"/>
    <m/>
    <m/>
    <x v="0"/>
    <x v="0"/>
    <x v="0"/>
    <x v="0"/>
    <x v="0"/>
    <x v="4"/>
  </r>
  <r>
    <d v="2026-03-22T00:00:00"/>
    <x v="1"/>
    <d v="2026-03-22T00:00:00"/>
    <x v="0"/>
    <x v="0"/>
    <x v="0"/>
    <x v="0"/>
    <x v="0"/>
    <m/>
    <m/>
    <x v="0"/>
    <x v="0"/>
    <x v="0"/>
    <x v="0"/>
    <x v="0"/>
    <x v="4"/>
  </r>
  <r>
    <d v="2026-03-23T00:00:00"/>
    <x v="2"/>
    <d v="2026-03-23T00:00:00"/>
    <x v="2"/>
    <x v="32"/>
    <x v="112"/>
    <x v="0"/>
    <x v="7"/>
    <m/>
    <n v="12"/>
    <x v="0"/>
    <x v="0"/>
    <x v="0"/>
    <x v="0"/>
    <x v="0"/>
    <x v="4"/>
  </r>
  <r>
    <d v="2026-03-23T00:00:00"/>
    <x v="2"/>
    <d v="2026-03-23T00:00:00"/>
    <x v="2"/>
    <x v="35"/>
    <x v="107"/>
    <x v="0"/>
    <x v="0"/>
    <n v="10"/>
    <m/>
    <x v="0"/>
    <x v="0"/>
    <x v="0"/>
    <x v="0"/>
    <x v="0"/>
    <x v="4"/>
  </r>
  <r>
    <d v="2026-03-24T00:00:00"/>
    <x v="3"/>
    <d v="2026-03-24T00:00:00"/>
    <x v="2"/>
    <x v="32"/>
    <x v="107"/>
    <x v="0"/>
    <x v="6"/>
    <m/>
    <n v="8"/>
    <x v="0"/>
    <x v="0"/>
    <x v="0"/>
    <x v="0"/>
    <x v="0"/>
    <x v="4"/>
  </r>
  <r>
    <d v="2026-03-25T00:00:00"/>
    <x v="4"/>
    <d v="2026-03-25T00:00:00"/>
    <x v="2"/>
    <x v="32"/>
    <x v="107"/>
    <x v="0"/>
    <x v="6"/>
    <m/>
    <n v="6"/>
    <x v="3"/>
    <x v="0"/>
    <x v="0"/>
    <x v="0"/>
    <x v="0"/>
    <x v="4"/>
  </r>
  <r>
    <d v="2026-03-25T00:00:00"/>
    <x v="4"/>
    <d v="2026-03-25T00:00:00"/>
    <x v="2"/>
    <x v="35"/>
    <x v="107"/>
    <x v="0"/>
    <x v="6"/>
    <n v="32"/>
    <m/>
    <x v="0"/>
    <x v="0"/>
    <x v="0"/>
    <x v="0"/>
    <x v="0"/>
    <x v="4"/>
  </r>
  <r>
    <d v="2026-03-25T00:00:00"/>
    <x v="4"/>
    <d v="2026-03-25T00:00:00"/>
    <x v="2"/>
    <x v="35"/>
    <x v="113"/>
    <x v="0"/>
    <x v="0"/>
    <m/>
    <m/>
    <x v="0"/>
    <x v="11"/>
    <x v="0"/>
    <x v="0"/>
    <x v="0"/>
    <x v="4"/>
  </r>
  <r>
    <d v="2026-03-26T00:00:00"/>
    <x v="5"/>
    <d v="2026-03-26T00:00:00"/>
    <x v="2"/>
    <x v="32"/>
    <x v="107"/>
    <x v="0"/>
    <x v="6"/>
    <m/>
    <n v="6"/>
    <x v="0"/>
    <x v="0"/>
    <x v="0"/>
    <x v="0"/>
    <x v="0"/>
    <x v="4"/>
  </r>
  <r>
    <d v="2026-03-26T00:00:00"/>
    <x v="5"/>
    <d v="2026-03-26T00:00:00"/>
    <x v="2"/>
    <x v="35"/>
    <x v="107"/>
    <x v="0"/>
    <x v="0"/>
    <n v="12"/>
    <m/>
    <x v="0"/>
    <x v="0"/>
    <x v="0"/>
    <x v="0"/>
    <x v="0"/>
    <x v="4"/>
  </r>
  <r>
    <d v="2026-03-26T00:00:00"/>
    <x v="5"/>
    <d v="2026-03-26T00:00:00"/>
    <x v="2"/>
    <x v="33"/>
    <x v="113"/>
    <x v="0"/>
    <x v="0"/>
    <m/>
    <m/>
    <x v="0"/>
    <x v="10"/>
    <x v="0"/>
    <x v="0"/>
    <x v="0"/>
    <x v="4"/>
  </r>
  <r>
    <d v="2026-03-27T00:00:00"/>
    <x v="6"/>
    <d v="2026-03-27T00:00:00"/>
    <x v="2"/>
    <x v="39"/>
    <x v="110"/>
    <x v="0"/>
    <x v="0"/>
    <m/>
    <m/>
    <x v="0"/>
    <x v="12"/>
    <x v="0"/>
    <x v="0"/>
    <x v="0"/>
    <x v="4"/>
  </r>
  <r>
    <d v="2026-03-28T00:00:00"/>
    <x v="0"/>
    <d v="2026-03-28T00:00:00"/>
    <x v="0"/>
    <x v="0"/>
    <x v="0"/>
    <x v="0"/>
    <x v="0"/>
    <m/>
    <m/>
    <x v="0"/>
    <x v="0"/>
    <x v="0"/>
    <x v="0"/>
    <x v="0"/>
    <x v="4"/>
  </r>
  <r>
    <d v="2026-03-29T00:00:00"/>
    <x v="1"/>
    <d v="2026-03-29T00:00:00"/>
    <x v="0"/>
    <x v="0"/>
    <x v="0"/>
    <x v="0"/>
    <x v="0"/>
    <m/>
    <m/>
    <x v="0"/>
    <x v="0"/>
    <x v="0"/>
    <x v="0"/>
    <x v="0"/>
    <x v="4"/>
  </r>
  <r>
    <d v="2026-03-30T00:00:00"/>
    <x v="2"/>
    <d v="2026-03-30T00:00:00"/>
    <x v="2"/>
    <x v="32"/>
    <x v="107"/>
    <x v="5"/>
    <x v="7"/>
    <m/>
    <n v="8"/>
    <x v="3"/>
    <x v="12"/>
    <x v="0"/>
    <x v="0"/>
    <x v="0"/>
    <x v="4"/>
  </r>
  <r>
    <d v="2026-03-30T00:00:00"/>
    <x v="2"/>
    <d v="2026-03-30T00:00:00"/>
    <x v="2"/>
    <x v="35"/>
    <x v="114"/>
    <x v="0"/>
    <x v="11"/>
    <m/>
    <n v="12"/>
    <x v="0"/>
    <x v="0"/>
    <x v="0"/>
    <x v="0"/>
    <x v="0"/>
    <x v="4"/>
  </r>
  <r>
    <d v="2026-03-31T00:00:00"/>
    <x v="3"/>
    <d v="2026-03-31T00:00:00"/>
    <x v="2"/>
    <x v="35"/>
    <x v="112"/>
    <x v="0"/>
    <x v="0"/>
    <n v="20"/>
    <m/>
    <x v="0"/>
    <x v="0"/>
    <x v="0"/>
    <x v="0"/>
    <x v="0"/>
    <x v="4"/>
  </r>
  <r>
    <d v="2026-03-31T00:00:00"/>
    <x v="3"/>
    <d v="2026-03-31T00:00:00"/>
    <x v="2"/>
    <x v="33"/>
    <x v="115"/>
    <x v="0"/>
    <x v="0"/>
    <m/>
    <m/>
    <x v="0"/>
    <x v="6"/>
    <x v="0"/>
    <x v="0"/>
    <x v="0"/>
    <x v="4"/>
  </r>
  <r>
    <d v="2026-04-01T00:00:00"/>
    <x v="4"/>
    <d v="2026-04-01T00:00:00"/>
    <x v="2"/>
    <x v="35"/>
    <x v="107"/>
    <x v="2"/>
    <x v="0"/>
    <m/>
    <m/>
    <x v="0"/>
    <x v="0"/>
    <x v="0"/>
    <x v="0"/>
    <x v="0"/>
    <x v="4"/>
  </r>
  <r>
    <d v="2026-04-01T00:00:00"/>
    <x v="4"/>
    <d v="2026-04-01T00:00:00"/>
    <x v="2"/>
    <x v="32"/>
    <x v="107"/>
    <x v="0"/>
    <x v="0"/>
    <m/>
    <m/>
    <x v="3"/>
    <x v="0"/>
    <x v="0"/>
    <x v="0"/>
    <x v="0"/>
    <x v="4"/>
  </r>
  <r>
    <d v="2026-04-02T00:00:00"/>
    <x v="5"/>
    <d v="2026-04-02T00:00:00"/>
    <x v="0"/>
    <x v="0"/>
    <x v="0"/>
    <x v="0"/>
    <x v="0"/>
    <m/>
    <m/>
    <x v="0"/>
    <x v="0"/>
    <x v="0"/>
    <x v="0"/>
    <x v="0"/>
    <x v="4"/>
  </r>
  <r>
    <d v="2026-04-03T00:00:00"/>
    <x v="6"/>
    <d v="2026-04-03T00:00:00"/>
    <x v="0"/>
    <x v="0"/>
    <x v="0"/>
    <x v="0"/>
    <x v="0"/>
    <m/>
    <m/>
    <x v="0"/>
    <x v="0"/>
    <x v="0"/>
    <x v="0"/>
    <x v="0"/>
    <x v="4"/>
  </r>
  <r>
    <d v="2026-04-04T00:00:00"/>
    <x v="0"/>
    <d v="2026-04-04T00:00:00"/>
    <x v="0"/>
    <x v="0"/>
    <x v="0"/>
    <x v="0"/>
    <x v="0"/>
    <m/>
    <m/>
    <x v="0"/>
    <x v="0"/>
    <x v="0"/>
    <x v="0"/>
    <x v="0"/>
    <x v="4"/>
  </r>
  <r>
    <d v="2026-04-05T00:00:00"/>
    <x v="1"/>
    <d v="2026-04-05T00:00:00"/>
    <x v="0"/>
    <x v="0"/>
    <x v="0"/>
    <x v="0"/>
    <x v="0"/>
    <m/>
    <m/>
    <x v="0"/>
    <x v="0"/>
    <x v="0"/>
    <x v="0"/>
    <x v="0"/>
    <x v="4"/>
  </r>
  <r>
    <d v="2026-04-06T00:00:00"/>
    <x v="2"/>
    <d v="2026-04-06T00:00:00"/>
    <x v="0"/>
    <x v="0"/>
    <x v="0"/>
    <x v="0"/>
    <x v="0"/>
    <m/>
    <m/>
    <x v="0"/>
    <x v="0"/>
    <x v="0"/>
    <x v="0"/>
    <x v="0"/>
    <x v="4"/>
  </r>
  <r>
    <d v="2026-04-07T00:00:00"/>
    <x v="3"/>
    <d v="2026-04-07T00:00:00"/>
    <x v="0"/>
    <x v="0"/>
    <x v="0"/>
    <x v="0"/>
    <x v="0"/>
    <m/>
    <m/>
    <x v="0"/>
    <x v="0"/>
    <x v="0"/>
    <x v="0"/>
    <x v="0"/>
    <x v="4"/>
  </r>
  <r>
    <d v="2026-04-08T00:00:00"/>
    <x v="4"/>
    <d v="2026-04-08T00:00:00"/>
    <x v="0"/>
    <x v="0"/>
    <x v="0"/>
    <x v="0"/>
    <x v="0"/>
    <m/>
    <m/>
    <x v="0"/>
    <x v="0"/>
    <x v="0"/>
    <x v="0"/>
    <x v="0"/>
    <x v="4"/>
  </r>
  <r>
    <d v="2026-04-09T00:00:00"/>
    <x v="5"/>
    <d v="2026-04-09T00:00:00"/>
    <x v="1"/>
    <x v="0"/>
    <x v="0"/>
    <x v="0"/>
    <x v="0"/>
    <m/>
    <m/>
    <x v="0"/>
    <x v="0"/>
    <x v="0"/>
    <x v="0"/>
    <x v="0"/>
    <x v="4"/>
  </r>
  <r>
    <d v="2026-04-10T00:00:00"/>
    <x v="6"/>
    <d v="2026-04-10T00:00:00"/>
    <x v="1"/>
    <x v="0"/>
    <x v="0"/>
    <x v="0"/>
    <x v="0"/>
    <m/>
    <m/>
    <x v="0"/>
    <x v="0"/>
    <x v="0"/>
    <x v="0"/>
    <x v="0"/>
    <x v="4"/>
  </r>
  <r>
    <d v="2026-04-11T00:00:00"/>
    <x v="0"/>
    <d v="2026-04-11T00:00:00"/>
    <x v="0"/>
    <x v="0"/>
    <x v="0"/>
    <x v="0"/>
    <x v="0"/>
    <m/>
    <m/>
    <x v="0"/>
    <x v="0"/>
    <x v="0"/>
    <x v="0"/>
    <x v="0"/>
    <x v="4"/>
  </r>
  <r>
    <d v="2026-04-12T00:00:00"/>
    <x v="1"/>
    <d v="2026-04-12T00:00:00"/>
    <x v="0"/>
    <x v="0"/>
    <x v="0"/>
    <x v="0"/>
    <x v="0"/>
    <m/>
    <m/>
    <x v="0"/>
    <x v="0"/>
    <x v="0"/>
    <x v="0"/>
    <x v="0"/>
    <x v="4"/>
  </r>
  <r>
    <d v="2026-04-13T00:00:00"/>
    <x v="2"/>
    <d v="2026-04-13T00:00:00"/>
    <x v="1"/>
    <x v="0"/>
    <x v="0"/>
    <x v="0"/>
    <x v="0"/>
    <m/>
    <m/>
    <x v="0"/>
    <x v="0"/>
    <x v="0"/>
    <x v="0"/>
    <x v="0"/>
    <x v="4"/>
  </r>
  <r>
    <d v="2026-04-14T00:00:00"/>
    <x v="3"/>
    <d v="2026-04-14T00:00:00"/>
    <x v="1"/>
    <x v="0"/>
    <x v="0"/>
    <x v="0"/>
    <x v="0"/>
    <m/>
    <m/>
    <x v="0"/>
    <x v="0"/>
    <x v="0"/>
    <x v="0"/>
    <x v="0"/>
    <x v="4"/>
  </r>
  <r>
    <d v="2026-04-15T00:00:00"/>
    <x v="4"/>
    <d v="2026-04-15T00:00:00"/>
    <x v="1"/>
    <x v="0"/>
    <x v="0"/>
    <x v="0"/>
    <x v="0"/>
    <m/>
    <m/>
    <x v="0"/>
    <x v="0"/>
    <x v="0"/>
    <x v="0"/>
    <x v="0"/>
    <x v="4"/>
  </r>
  <r>
    <d v="2026-04-16T00:00:00"/>
    <x v="5"/>
    <d v="2026-04-16T00:00:00"/>
    <x v="1"/>
    <x v="0"/>
    <x v="0"/>
    <x v="0"/>
    <x v="0"/>
    <m/>
    <m/>
    <x v="0"/>
    <x v="0"/>
    <x v="0"/>
    <x v="0"/>
    <x v="0"/>
    <x v="4"/>
  </r>
  <r>
    <d v="2026-04-17T00:00:00"/>
    <x v="6"/>
    <d v="2026-04-17T00:00:00"/>
    <x v="1"/>
    <x v="0"/>
    <x v="0"/>
    <x v="0"/>
    <x v="0"/>
    <m/>
    <m/>
    <x v="0"/>
    <x v="0"/>
    <x v="0"/>
    <x v="0"/>
    <x v="0"/>
    <x v="4"/>
  </r>
  <r>
    <d v="2026-04-18T00:00:00"/>
    <x v="0"/>
    <d v="2026-04-18T00:00:00"/>
    <x v="0"/>
    <x v="0"/>
    <x v="0"/>
    <x v="0"/>
    <x v="0"/>
    <m/>
    <m/>
    <x v="0"/>
    <x v="0"/>
    <x v="0"/>
    <x v="0"/>
    <x v="0"/>
    <x v="4"/>
  </r>
  <r>
    <d v="2026-04-19T00:00:00"/>
    <x v="1"/>
    <d v="2026-04-19T00:00:00"/>
    <x v="0"/>
    <x v="0"/>
    <x v="0"/>
    <x v="0"/>
    <x v="0"/>
    <m/>
    <m/>
    <x v="0"/>
    <x v="0"/>
    <x v="0"/>
    <x v="0"/>
    <x v="0"/>
    <x v="4"/>
  </r>
  <r>
    <d v="2026-04-20T00:00:00"/>
    <x v="2"/>
    <d v="2026-04-20T00:00:00"/>
    <x v="1"/>
    <x v="0"/>
    <x v="0"/>
    <x v="0"/>
    <x v="0"/>
    <m/>
    <m/>
    <x v="0"/>
    <x v="0"/>
    <x v="0"/>
    <x v="0"/>
    <x v="0"/>
    <x v="4"/>
  </r>
  <r>
    <d v="2026-04-21T00:00:00"/>
    <x v="3"/>
    <d v="2026-04-21T00:00:00"/>
    <x v="1"/>
    <x v="0"/>
    <x v="0"/>
    <x v="0"/>
    <x v="0"/>
    <m/>
    <m/>
    <x v="0"/>
    <x v="0"/>
    <x v="0"/>
    <x v="0"/>
    <x v="0"/>
    <x v="4"/>
  </r>
  <r>
    <d v="2026-04-22T00:00:00"/>
    <x v="4"/>
    <d v="2026-04-22T00:00:00"/>
    <x v="1"/>
    <x v="0"/>
    <x v="0"/>
    <x v="0"/>
    <x v="0"/>
    <m/>
    <m/>
    <x v="0"/>
    <x v="0"/>
    <x v="0"/>
    <x v="0"/>
    <x v="0"/>
    <x v="4"/>
  </r>
  <r>
    <d v="2026-04-23T00:00:00"/>
    <x v="5"/>
    <d v="2026-04-23T00:00:00"/>
    <x v="1"/>
    <x v="0"/>
    <x v="0"/>
    <x v="0"/>
    <x v="0"/>
    <m/>
    <m/>
    <x v="0"/>
    <x v="0"/>
    <x v="0"/>
    <x v="0"/>
    <x v="0"/>
    <x v="4"/>
  </r>
  <r>
    <d v="2026-04-24T00:00:00"/>
    <x v="6"/>
    <d v="2026-04-24T00:00:00"/>
    <x v="1"/>
    <x v="0"/>
    <x v="0"/>
    <x v="0"/>
    <x v="0"/>
    <m/>
    <m/>
    <x v="0"/>
    <x v="0"/>
    <x v="0"/>
    <x v="0"/>
    <x v="0"/>
    <x v="4"/>
  </r>
  <r>
    <d v="2026-04-25T00:00:00"/>
    <x v="0"/>
    <d v="2026-04-25T00:00:00"/>
    <x v="0"/>
    <x v="0"/>
    <x v="0"/>
    <x v="0"/>
    <x v="0"/>
    <m/>
    <m/>
    <x v="0"/>
    <x v="0"/>
    <x v="0"/>
    <x v="0"/>
    <x v="0"/>
    <x v="4"/>
  </r>
  <r>
    <d v="2026-04-26T00:00:00"/>
    <x v="1"/>
    <d v="2026-04-26T00:00:00"/>
    <x v="0"/>
    <x v="0"/>
    <x v="0"/>
    <x v="0"/>
    <x v="0"/>
    <m/>
    <m/>
    <x v="0"/>
    <x v="0"/>
    <x v="0"/>
    <x v="0"/>
    <x v="0"/>
    <x v="4"/>
  </r>
  <r>
    <d v="2026-04-27T00:00:00"/>
    <x v="2"/>
    <d v="2026-04-27T00:00:00"/>
    <x v="1"/>
    <x v="0"/>
    <x v="0"/>
    <x v="0"/>
    <x v="0"/>
    <m/>
    <m/>
    <x v="0"/>
    <x v="0"/>
    <x v="0"/>
    <x v="0"/>
    <x v="0"/>
    <x v="4"/>
  </r>
  <r>
    <d v="2026-04-28T00:00:00"/>
    <x v="3"/>
    <d v="2026-04-28T00:00:00"/>
    <x v="1"/>
    <x v="0"/>
    <x v="0"/>
    <x v="0"/>
    <x v="0"/>
    <m/>
    <m/>
    <x v="0"/>
    <x v="0"/>
    <x v="0"/>
    <x v="0"/>
    <x v="0"/>
    <x v="4"/>
  </r>
  <r>
    <d v="2026-04-29T00:00:00"/>
    <x v="4"/>
    <d v="2026-04-29T00:00:00"/>
    <x v="1"/>
    <x v="0"/>
    <x v="0"/>
    <x v="0"/>
    <x v="0"/>
    <m/>
    <m/>
    <x v="0"/>
    <x v="0"/>
    <x v="0"/>
    <x v="0"/>
    <x v="0"/>
    <x v="4"/>
  </r>
  <r>
    <d v="2026-04-30T00:00:00"/>
    <x v="5"/>
    <d v="2026-04-30T00:00:00"/>
    <x v="1"/>
    <x v="0"/>
    <x v="0"/>
    <x v="0"/>
    <x v="0"/>
    <m/>
    <m/>
    <x v="0"/>
    <x v="0"/>
    <x v="0"/>
    <x v="0"/>
    <x v="0"/>
    <x v="4"/>
  </r>
  <r>
    <d v="2026-05-01T00:00:00"/>
    <x v="6"/>
    <d v="2026-05-01T00:00:00"/>
    <x v="1"/>
    <x v="0"/>
    <x v="0"/>
    <x v="0"/>
    <x v="0"/>
    <m/>
    <m/>
    <x v="0"/>
    <x v="0"/>
    <x v="0"/>
    <x v="0"/>
    <x v="0"/>
    <x v="4"/>
  </r>
  <r>
    <d v="2026-05-02T00:00:00"/>
    <x v="0"/>
    <d v="2026-05-02T00:00:00"/>
    <x v="0"/>
    <x v="0"/>
    <x v="0"/>
    <x v="0"/>
    <x v="0"/>
    <m/>
    <m/>
    <x v="0"/>
    <x v="0"/>
    <x v="0"/>
    <x v="0"/>
    <x v="0"/>
    <x v="4"/>
  </r>
  <r>
    <d v="2026-05-03T00:00:00"/>
    <x v="1"/>
    <d v="2026-05-03T00:00:00"/>
    <x v="0"/>
    <x v="0"/>
    <x v="0"/>
    <x v="0"/>
    <x v="0"/>
    <m/>
    <m/>
    <x v="0"/>
    <x v="0"/>
    <x v="0"/>
    <x v="0"/>
    <x v="0"/>
    <x v="4"/>
  </r>
  <r>
    <d v="2026-05-04T00:00:00"/>
    <x v="2"/>
    <d v="2026-05-04T00:00:00"/>
    <x v="1"/>
    <x v="0"/>
    <x v="0"/>
    <x v="0"/>
    <x v="0"/>
    <m/>
    <m/>
    <x v="0"/>
    <x v="0"/>
    <x v="0"/>
    <x v="0"/>
    <x v="0"/>
    <x v="4"/>
  </r>
  <r>
    <d v="2026-05-05T00:00:00"/>
    <x v="3"/>
    <d v="2026-05-05T00:00:00"/>
    <x v="1"/>
    <x v="0"/>
    <x v="0"/>
    <x v="0"/>
    <x v="0"/>
    <m/>
    <m/>
    <x v="0"/>
    <x v="0"/>
    <x v="0"/>
    <x v="0"/>
    <x v="0"/>
    <x v="4"/>
  </r>
  <r>
    <d v="2026-05-06T00:00:00"/>
    <x v="4"/>
    <d v="2026-05-06T00:00:00"/>
    <x v="1"/>
    <x v="0"/>
    <x v="0"/>
    <x v="0"/>
    <x v="0"/>
    <m/>
    <m/>
    <x v="0"/>
    <x v="0"/>
    <x v="0"/>
    <x v="0"/>
    <x v="0"/>
    <x v="4"/>
  </r>
  <r>
    <d v="2026-05-07T00:00:00"/>
    <x v="5"/>
    <d v="2026-05-07T00:00:00"/>
    <x v="1"/>
    <x v="0"/>
    <x v="0"/>
    <x v="0"/>
    <x v="0"/>
    <m/>
    <m/>
    <x v="0"/>
    <x v="0"/>
    <x v="0"/>
    <x v="0"/>
    <x v="0"/>
    <x v="4"/>
  </r>
  <r>
    <d v="2026-05-08T00:00:00"/>
    <x v="6"/>
    <d v="2026-05-08T00:00:00"/>
    <x v="1"/>
    <x v="0"/>
    <x v="0"/>
    <x v="0"/>
    <x v="0"/>
    <m/>
    <m/>
    <x v="0"/>
    <x v="0"/>
    <x v="0"/>
    <x v="0"/>
    <x v="0"/>
    <x v="4"/>
  </r>
  <r>
    <d v="2026-05-09T00:00:00"/>
    <x v="0"/>
    <d v="2026-05-09T00:00:00"/>
    <x v="0"/>
    <x v="0"/>
    <x v="0"/>
    <x v="0"/>
    <x v="0"/>
    <m/>
    <m/>
    <x v="0"/>
    <x v="0"/>
    <x v="0"/>
    <x v="0"/>
    <x v="0"/>
    <x v="4"/>
  </r>
  <r>
    <d v="2026-05-10T00:00:00"/>
    <x v="1"/>
    <d v="2026-05-10T00:00:00"/>
    <x v="0"/>
    <x v="0"/>
    <x v="0"/>
    <x v="0"/>
    <x v="0"/>
    <m/>
    <m/>
    <x v="0"/>
    <x v="0"/>
    <x v="0"/>
    <x v="0"/>
    <x v="0"/>
    <x v="4"/>
  </r>
  <r>
    <d v="2026-05-11T00:00:00"/>
    <x v="2"/>
    <d v="2026-05-11T00:00:00"/>
    <x v="1"/>
    <x v="0"/>
    <x v="0"/>
    <x v="0"/>
    <x v="0"/>
    <m/>
    <m/>
    <x v="0"/>
    <x v="0"/>
    <x v="0"/>
    <x v="0"/>
    <x v="0"/>
    <x v="4"/>
  </r>
  <r>
    <d v="2026-05-12T00:00:00"/>
    <x v="3"/>
    <d v="2026-05-12T00:00:00"/>
    <x v="1"/>
    <x v="0"/>
    <x v="0"/>
    <x v="0"/>
    <x v="0"/>
    <m/>
    <m/>
    <x v="0"/>
    <x v="0"/>
    <x v="0"/>
    <x v="0"/>
    <x v="0"/>
    <x v="4"/>
  </r>
  <r>
    <d v="2026-05-13T00:00:00"/>
    <x v="4"/>
    <d v="2026-05-13T00:00:00"/>
    <x v="1"/>
    <x v="0"/>
    <x v="0"/>
    <x v="0"/>
    <x v="0"/>
    <m/>
    <m/>
    <x v="0"/>
    <x v="0"/>
    <x v="0"/>
    <x v="0"/>
    <x v="0"/>
    <x v="4"/>
  </r>
  <r>
    <d v="2026-05-14T00:00:00"/>
    <x v="5"/>
    <d v="2026-05-14T00:00:00"/>
    <x v="1"/>
    <x v="0"/>
    <x v="0"/>
    <x v="0"/>
    <x v="0"/>
    <m/>
    <m/>
    <x v="0"/>
    <x v="0"/>
    <x v="0"/>
    <x v="0"/>
    <x v="0"/>
    <x v="4"/>
  </r>
  <r>
    <d v="2026-05-15T00:00:00"/>
    <x v="6"/>
    <d v="2026-05-15T00:00:00"/>
    <x v="1"/>
    <x v="0"/>
    <x v="0"/>
    <x v="0"/>
    <x v="0"/>
    <m/>
    <m/>
    <x v="0"/>
    <x v="0"/>
    <x v="0"/>
    <x v="0"/>
    <x v="0"/>
    <x v="4"/>
  </r>
  <r>
    <d v="2026-05-16T00:00:00"/>
    <x v="0"/>
    <d v="2026-05-16T00:00:00"/>
    <x v="0"/>
    <x v="0"/>
    <x v="0"/>
    <x v="0"/>
    <x v="0"/>
    <m/>
    <m/>
    <x v="0"/>
    <x v="0"/>
    <x v="0"/>
    <x v="0"/>
    <x v="0"/>
    <x v="4"/>
  </r>
  <r>
    <d v="2026-05-17T00:00:00"/>
    <x v="1"/>
    <d v="2026-05-17T00:00:00"/>
    <x v="0"/>
    <x v="0"/>
    <x v="0"/>
    <x v="0"/>
    <x v="0"/>
    <m/>
    <m/>
    <x v="0"/>
    <x v="0"/>
    <x v="0"/>
    <x v="0"/>
    <x v="0"/>
    <x v="4"/>
  </r>
  <r>
    <d v="2026-05-18T00:00:00"/>
    <x v="2"/>
    <d v="2026-05-18T00:00:00"/>
    <x v="1"/>
    <x v="0"/>
    <x v="0"/>
    <x v="0"/>
    <x v="0"/>
    <m/>
    <m/>
    <x v="0"/>
    <x v="0"/>
    <x v="0"/>
    <x v="0"/>
    <x v="0"/>
    <x v="4"/>
  </r>
  <r>
    <d v="2026-05-19T00:00:00"/>
    <x v="3"/>
    <d v="2026-05-19T00:00:00"/>
    <x v="1"/>
    <x v="0"/>
    <x v="0"/>
    <x v="0"/>
    <x v="0"/>
    <m/>
    <m/>
    <x v="0"/>
    <x v="0"/>
    <x v="0"/>
    <x v="0"/>
    <x v="0"/>
    <x v="4"/>
  </r>
  <r>
    <d v="2026-05-20T00:00:00"/>
    <x v="4"/>
    <d v="2026-05-20T00:00:00"/>
    <x v="1"/>
    <x v="0"/>
    <x v="0"/>
    <x v="0"/>
    <x v="0"/>
    <m/>
    <m/>
    <x v="0"/>
    <x v="0"/>
    <x v="0"/>
    <x v="0"/>
    <x v="0"/>
    <x v="4"/>
  </r>
  <r>
    <d v="2026-05-21T00:00:00"/>
    <x v="5"/>
    <d v="2026-05-21T00:00:00"/>
    <x v="1"/>
    <x v="0"/>
    <x v="0"/>
    <x v="0"/>
    <x v="0"/>
    <m/>
    <m/>
    <x v="0"/>
    <x v="0"/>
    <x v="0"/>
    <x v="0"/>
    <x v="0"/>
    <x v="4"/>
  </r>
  <r>
    <d v="2026-05-22T00:00:00"/>
    <x v="6"/>
    <d v="2026-05-22T00:00:00"/>
    <x v="1"/>
    <x v="0"/>
    <x v="0"/>
    <x v="0"/>
    <x v="0"/>
    <m/>
    <m/>
    <x v="0"/>
    <x v="0"/>
    <x v="0"/>
    <x v="0"/>
    <x v="0"/>
    <x v="4"/>
  </r>
  <r>
    <d v="2026-05-23T00:00:00"/>
    <x v="0"/>
    <d v="2026-05-23T00:00:00"/>
    <x v="0"/>
    <x v="0"/>
    <x v="0"/>
    <x v="0"/>
    <x v="0"/>
    <m/>
    <m/>
    <x v="0"/>
    <x v="0"/>
    <x v="0"/>
    <x v="0"/>
    <x v="0"/>
    <x v="4"/>
  </r>
  <r>
    <d v="2026-05-24T00:00:00"/>
    <x v="1"/>
    <d v="2026-05-24T00:00:00"/>
    <x v="0"/>
    <x v="0"/>
    <x v="0"/>
    <x v="0"/>
    <x v="0"/>
    <m/>
    <m/>
    <x v="0"/>
    <x v="0"/>
    <x v="0"/>
    <x v="0"/>
    <x v="0"/>
    <x v="4"/>
  </r>
  <r>
    <d v="2026-05-25T00:00:00"/>
    <x v="2"/>
    <d v="2026-05-25T00:00:00"/>
    <x v="1"/>
    <x v="0"/>
    <x v="0"/>
    <x v="0"/>
    <x v="0"/>
    <m/>
    <m/>
    <x v="0"/>
    <x v="0"/>
    <x v="0"/>
    <x v="0"/>
    <x v="0"/>
    <x v="4"/>
  </r>
  <r>
    <d v="2026-05-26T00:00:00"/>
    <x v="3"/>
    <d v="2026-05-26T00:00:00"/>
    <x v="1"/>
    <x v="0"/>
    <x v="0"/>
    <x v="0"/>
    <x v="0"/>
    <m/>
    <m/>
    <x v="0"/>
    <x v="0"/>
    <x v="0"/>
    <x v="0"/>
    <x v="0"/>
    <x v="4"/>
  </r>
  <r>
    <d v="2026-05-27T00:00:00"/>
    <x v="4"/>
    <d v="2026-05-27T00:00:00"/>
    <x v="1"/>
    <x v="0"/>
    <x v="0"/>
    <x v="0"/>
    <x v="0"/>
    <m/>
    <m/>
    <x v="0"/>
    <x v="0"/>
    <x v="0"/>
    <x v="0"/>
    <x v="0"/>
    <x v="4"/>
  </r>
  <r>
    <d v="2026-05-28T00:00:00"/>
    <x v="5"/>
    <d v="2026-05-28T00:00:00"/>
    <x v="1"/>
    <x v="0"/>
    <x v="0"/>
    <x v="0"/>
    <x v="0"/>
    <m/>
    <m/>
    <x v="0"/>
    <x v="0"/>
    <x v="0"/>
    <x v="0"/>
    <x v="0"/>
    <x v="4"/>
  </r>
  <r>
    <d v="2026-05-29T00:00:00"/>
    <x v="6"/>
    <d v="2026-05-29T00:00:00"/>
    <x v="1"/>
    <x v="0"/>
    <x v="0"/>
    <x v="0"/>
    <x v="0"/>
    <m/>
    <m/>
    <x v="0"/>
    <x v="0"/>
    <x v="0"/>
    <x v="0"/>
    <x v="0"/>
    <x v="4"/>
  </r>
  <r>
    <d v="2026-05-30T00:00:00"/>
    <x v="0"/>
    <d v="2026-05-30T00:00:00"/>
    <x v="0"/>
    <x v="0"/>
    <x v="0"/>
    <x v="0"/>
    <x v="0"/>
    <m/>
    <m/>
    <x v="0"/>
    <x v="0"/>
    <x v="0"/>
    <x v="0"/>
    <x v="0"/>
    <x v="4"/>
  </r>
  <r>
    <d v="2026-05-31T00:00:00"/>
    <x v="1"/>
    <d v="2026-05-31T00:00:00"/>
    <x v="0"/>
    <x v="0"/>
    <x v="0"/>
    <x v="0"/>
    <x v="0"/>
    <m/>
    <m/>
    <x v="0"/>
    <x v="0"/>
    <x v="0"/>
    <x v="0"/>
    <x v="0"/>
    <x v="4"/>
  </r>
  <r>
    <d v="2026-06-01T00:00:00"/>
    <x v="2"/>
    <d v="2026-06-01T00:00:00"/>
    <x v="1"/>
    <x v="0"/>
    <x v="0"/>
    <x v="0"/>
    <x v="0"/>
    <m/>
    <m/>
    <x v="0"/>
    <x v="0"/>
    <x v="0"/>
    <x v="0"/>
    <x v="0"/>
    <x v="4"/>
  </r>
  <r>
    <d v="2026-06-02T00:00:00"/>
    <x v="3"/>
    <d v="2026-06-02T00:00:00"/>
    <x v="1"/>
    <x v="0"/>
    <x v="0"/>
    <x v="0"/>
    <x v="0"/>
    <m/>
    <m/>
    <x v="0"/>
    <x v="0"/>
    <x v="0"/>
    <x v="0"/>
    <x v="0"/>
    <x v="4"/>
  </r>
  <r>
    <d v="2026-06-03T00:00:00"/>
    <x v="4"/>
    <d v="2026-06-03T00:00:00"/>
    <x v="1"/>
    <x v="0"/>
    <x v="0"/>
    <x v="0"/>
    <x v="0"/>
    <m/>
    <m/>
    <x v="0"/>
    <x v="0"/>
    <x v="0"/>
    <x v="0"/>
    <x v="0"/>
    <x v="4"/>
  </r>
  <r>
    <d v="2026-06-04T00:00:00"/>
    <x v="5"/>
    <d v="2026-06-04T00:00:00"/>
    <x v="1"/>
    <x v="0"/>
    <x v="0"/>
    <x v="0"/>
    <x v="0"/>
    <m/>
    <m/>
    <x v="0"/>
    <x v="0"/>
    <x v="0"/>
    <x v="0"/>
    <x v="0"/>
    <x v="4"/>
  </r>
  <r>
    <d v="2026-06-05T00:00:00"/>
    <x v="6"/>
    <d v="2026-06-05T00:00:00"/>
    <x v="1"/>
    <x v="0"/>
    <x v="0"/>
    <x v="0"/>
    <x v="0"/>
    <m/>
    <m/>
    <x v="0"/>
    <x v="0"/>
    <x v="0"/>
    <x v="0"/>
    <x v="0"/>
    <x v="4"/>
  </r>
  <r>
    <d v="2026-06-06T00:00:00"/>
    <x v="0"/>
    <d v="2026-06-06T00:00:00"/>
    <x v="0"/>
    <x v="0"/>
    <x v="0"/>
    <x v="0"/>
    <x v="0"/>
    <m/>
    <m/>
    <x v="0"/>
    <x v="0"/>
    <x v="0"/>
    <x v="0"/>
    <x v="0"/>
    <x v="4"/>
  </r>
  <r>
    <d v="2026-06-07T00:00:00"/>
    <x v="1"/>
    <d v="2026-06-07T00:00:00"/>
    <x v="0"/>
    <x v="0"/>
    <x v="0"/>
    <x v="0"/>
    <x v="0"/>
    <m/>
    <m/>
    <x v="0"/>
    <x v="0"/>
    <x v="0"/>
    <x v="0"/>
    <x v="0"/>
    <x v="4"/>
  </r>
  <r>
    <d v="2026-06-08T00:00:00"/>
    <x v="2"/>
    <d v="2026-06-08T00:00:00"/>
    <x v="1"/>
    <x v="0"/>
    <x v="0"/>
    <x v="0"/>
    <x v="0"/>
    <m/>
    <m/>
    <x v="0"/>
    <x v="0"/>
    <x v="0"/>
    <x v="0"/>
    <x v="0"/>
    <x v="4"/>
  </r>
  <r>
    <d v="2026-06-09T00:00:00"/>
    <x v="3"/>
    <d v="2026-06-09T00:00:00"/>
    <x v="1"/>
    <x v="0"/>
    <x v="0"/>
    <x v="0"/>
    <x v="0"/>
    <m/>
    <m/>
    <x v="0"/>
    <x v="0"/>
    <x v="0"/>
    <x v="0"/>
    <x v="0"/>
    <x v="4"/>
  </r>
  <r>
    <d v="2026-06-10T00:00:00"/>
    <x v="4"/>
    <d v="2026-06-10T00:00:00"/>
    <x v="1"/>
    <x v="0"/>
    <x v="0"/>
    <x v="0"/>
    <x v="0"/>
    <m/>
    <m/>
    <x v="0"/>
    <x v="0"/>
    <x v="0"/>
    <x v="0"/>
    <x v="0"/>
    <x v="4"/>
  </r>
  <r>
    <d v="2026-06-11T00:00:00"/>
    <x v="5"/>
    <d v="2026-06-11T00:00:00"/>
    <x v="1"/>
    <x v="0"/>
    <x v="0"/>
    <x v="0"/>
    <x v="0"/>
    <m/>
    <m/>
    <x v="0"/>
    <x v="0"/>
    <x v="0"/>
    <x v="0"/>
    <x v="0"/>
    <x v="4"/>
  </r>
  <r>
    <d v="2026-06-12T00:00:00"/>
    <x v="6"/>
    <d v="2026-06-12T00:00:00"/>
    <x v="1"/>
    <x v="0"/>
    <x v="0"/>
    <x v="0"/>
    <x v="0"/>
    <m/>
    <m/>
    <x v="0"/>
    <x v="0"/>
    <x v="0"/>
    <x v="0"/>
    <x v="0"/>
    <x v="4"/>
  </r>
  <r>
    <d v="2026-06-13T00:00:00"/>
    <x v="0"/>
    <d v="2026-06-13T00:00:00"/>
    <x v="0"/>
    <x v="0"/>
    <x v="0"/>
    <x v="0"/>
    <x v="0"/>
    <m/>
    <m/>
    <x v="0"/>
    <x v="0"/>
    <x v="0"/>
    <x v="0"/>
    <x v="0"/>
    <x v="4"/>
  </r>
  <r>
    <d v="2026-06-14T00:00:00"/>
    <x v="1"/>
    <d v="2026-06-14T00:00:00"/>
    <x v="0"/>
    <x v="0"/>
    <x v="0"/>
    <x v="0"/>
    <x v="0"/>
    <m/>
    <m/>
    <x v="0"/>
    <x v="0"/>
    <x v="0"/>
    <x v="0"/>
    <x v="0"/>
    <x v="4"/>
  </r>
  <r>
    <d v="2026-06-15T00:00:00"/>
    <x v="2"/>
    <d v="2026-06-15T00:00:00"/>
    <x v="1"/>
    <x v="0"/>
    <x v="0"/>
    <x v="0"/>
    <x v="0"/>
    <m/>
    <m/>
    <x v="0"/>
    <x v="0"/>
    <x v="0"/>
    <x v="0"/>
    <x v="0"/>
    <x v="4"/>
  </r>
  <r>
    <d v="2026-06-16T00:00:00"/>
    <x v="3"/>
    <d v="2026-06-16T00:00:00"/>
    <x v="1"/>
    <x v="0"/>
    <x v="0"/>
    <x v="0"/>
    <x v="0"/>
    <m/>
    <m/>
    <x v="0"/>
    <x v="0"/>
    <x v="0"/>
    <x v="0"/>
    <x v="0"/>
    <x v="4"/>
  </r>
  <r>
    <d v="2026-06-17T00:00:00"/>
    <x v="4"/>
    <d v="2026-06-17T00:00:00"/>
    <x v="1"/>
    <x v="0"/>
    <x v="0"/>
    <x v="0"/>
    <x v="0"/>
    <m/>
    <m/>
    <x v="0"/>
    <x v="0"/>
    <x v="0"/>
    <x v="0"/>
    <x v="0"/>
    <x v="4"/>
  </r>
  <r>
    <d v="2026-06-18T00:00:00"/>
    <x v="5"/>
    <d v="2026-06-18T00:00:00"/>
    <x v="1"/>
    <x v="0"/>
    <x v="0"/>
    <x v="0"/>
    <x v="0"/>
    <m/>
    <m/>
    <x v="0"/>
    <x v="0"/>
    <x v="0"/>
    <x v="0"/>
    <x v="0"/>
    <x v="4"/>
  </r>
  <r>
    <d v="2026-06-19T00:00:00"/>
    <x v="6"/>
    <d v="2026-06-19T00:00:00"/>
    <x v="1"/>
    <x v="0"/>
    <x v="0"/>
    <x v="0"/>
    <x v="0"/>
    <m/>
    <m/>
    <x v="0"/>
    <x v="0"/>
    <x v="0"/>
    <x v="0"/>
    <x v="0"/>
    <x v="4"/>
  </r>
  <r>
    <d v="2026-06-20T00:00:00"/>
    <x v="0"/>
    <d v="2026-06-20T00:00:00"/>
    <x v="0"/>
    <x v="0"/>
    <x v="0"/>
    <x v="0"/>
    <x v="0"/>
    <m/>
    <m/>
    <x v="0"/>
    <x v="0"/>
    <x v="0"/>
    <x v="0"/>
    <x v="0"/>
    <x v="4"/>
  </r>
  <r>
    <d v="2026-06-21T00:00:00"/>
    <x v="1"/>
    <d v="2026-06-21T00:00:00"/>
    <x v="0"/>
    <x v="0"/>
    <x v="0"/>
    <x v="0"/>
    <x v="0"/>
    <m/>
    <m/>
    <x v="0"/>
    <x v="0"/>
    <x v="0"/>
    <x v="0"/>
    <x v="0"/>
    <x v="4"/>
  </r>
  <r>
    <d v="2026-06-22T00:00:00"/>
    <x v="2"/>
    <d v="2026-06-22T00:00:00"/>
    <x v="1"/>
    <x v="0"/>
    <x v="0"/>
    <x v="0"/>
    <x v="0"/>
    <m/>
    <m/>
    <x v="0"/>
    <x v="0"/>
    <x v="0"/>
    <x v="0"/>
    <x v="0"/>
    <x v="4"/>
  </r>
  <r>
    <d v="2026-06-23T00:00:00"/>
    <x v="3"/>
    <d v="2026-06-23T00:00:00"/>
    <x v="1"/>
    <x v="0"/>
    <x v="0"/>
    <x v="0"/>
    <x v="0"/>
    <m/>
    <m/>
    <x v="0"/>
    <x v="0"/>
    <x v="0"/>
    <x v="0"/>
    <x v="0"/>
    <x v="4"/>
  </r>
  <r>
    <d v="2026-06-24T00:00:00"/>
    <x v="4"/>
    <d v="2026-06-24T00:00:00"/>
    <x v="1"/>
    <x v="0"/>
    <x v="0"/>
    <x v="0"/>
    <x v="0"/>
    <m/>
    <m/>
    <x v="0"/>
    <x v="0"/>
    <x v="0"/>
    <x v="0"/>
    <x v="0"/>
    <x v="4"/>
  </r>
  <r>
    <d v="2026-06-25T00:00:00"/>
    <x v="5"/>
    <d v="2026-06-25T00:00:00"/>
    <x v="1"/>
    <x v="0"/>
    <x v="0"/>
    <x v="0"/>
    <x v="0"/>
    <m/>
    <m/>
    <x v="0"/>
    <x v="0"/>
    <x v="0"/>
    <x v="0"/>
    <x v="0"/>
    <x v="4"/>
  </r>
  <r>
    <d v="2026-06-26T00:00:00"/>
    <x v="6"/>
    <d v="2026-06-26T00:00:00"/>
    <x v="1"/>
    <x v="0"/>
    <x v="0"/>
    <x v="0"/>
    <x v="0"/>
    <m/>
    <m/>
    <x v="0"/>
    <x v="0"/>
    <x v="0"/>
    <x v="0"/>
    <x v="0"/>
    <x v="4"/>
  </r>
  <r>
    <d v="2026-06-27T00:00:00"/>
    <x v="0"/>
    <d v="2026-06-27T00:00:00"/>
    <x v="0"/>
    <x v="0"/>
    <x v="0"/>
    <x v="0"/>
    <x v="0"/>
    <m/>
    <m/>
    <x v="0"/>
    <x v="0"/>
    <x v="0"/>
    <x v="0"/>
    <x v="0"/>
    <x v="4"/>
  </r>
  <r>
    <d v="2026-06-28T00:00:00"/>
    <x v="1"/>
    <d v="2026-06-28T00:00:00"/>
    <x v="0"/>
    <x v="0"/>
    <x v="0"/>
    <x v="0"/>
    <x v="0"/>
    <m/>
    <m/>
    <x v="0"/>
    <x v="0"/>
    <x v="0"/>
    <x v="0"/>
    <x v="0"/>
    <x v="4"/>
  </r>
  <r>
    <d v="2026-06-29T00:00:00"/>
    <x v="2"/>
    <d v="2026-06-29T00:00:00"/>
    <x v="1"/>
    <x v="0"/>
    <x v="0"/>
    <x v="0"/>
    <x v="0"/>
    <m/>
    <m/>
    <x v="0"/>
    <x v="0"/>
    <x v="0"/>
    <x v="0"/>
    <x v="0"/>
    <x v="4"/>
  </r>
  <r>
    <d v="2026-06-30T00:00:00"/>
    <x v="3"/>
    <d v="2026-06-30T00:00:00"/>
    <x v="1"/>
    <x v="0"/>
    <x v="0"/>
    <x v="0"/>
    <x v="0"/>
    <m/>
    <m/>
    <x v="0"/>
    <x v="0"/>
    <x v="0"/>
    <x v="0"/>
    <x v="0"/>
    <x v="4"/>
  </r>
  <r>
    <d v="2026-07-01T00:00:00"/>
    <x v="4"/>
    <d v="2026-07-01T00:00:00"/>
    <x v="1"/>
    <x v="0"/>
    <x v="0"/>
    <x v="0"/>
    <x v="0"/>
    <m/>
    <m/>
    <x v="0"/>
    <x v="0"/>
    <x v="0"/>
    <x v="0"/>
    <x v="0"/>
    <x v="4"/>
  </r>
  <r>
    <d v="2026-07-02T00:00:00"/>
    <x v="5"/>
    <d v="2026-07-02T00:00:00"/>
    <x v="1"/>
    <x v="0"/>
    <x v="0"/>
    <x v="0"/>
    <x v="0"/>
    <m/>
    <m/>
    <x v="0"/>
    <x v="0"/>
    <x v="0"/>
    <x v="0"/>
    <x v="0"/>
    <x v="4"/>
  </r>
  <r>
    <d v="2026-07-03T00:00:00"/>
    <x v="6"/>
    <d v="2026-07-03T00:00:00"/>
    <x v="1"/>
    <x v="0"/>
    <x v="0"/>
    <x v="0"/>
    <x v="0"/>
    <m/>
    <m/>
    <x v="0"/>
    <x v="0"/>
    <x v="0"/>
    <x v="0"/>
    <x v="0"/>
    <x v="4"/>
  </r>
  <r>
    <d v="2026-07-04T00:00:00"/>
    <x v="0"/>
    <d v="2026-07-04T00:00:00"/>
    <x v="0"/>
    <x v="0"/>
    <x v="0"/>
    <x v="0"/>
    <x v="0"/>
    <m/>
    <m/>
    <x v="0"/>
    <x v="0"/>
    <x v="0"/>
    <x v="0"/>
    <x v="0"/>
    <x v="4"/>
  </r>
  <r>
    <d v="2026-07-05T00:00:00"/>
    <x v="1"/>
    <d v="2026-07-05T00:00:00"/>
    <x v="0"/>
    <x v="0"/>
    <x v="0"/>
    <x v="0"/>
    <x v="0"/>
    <m/>
    <m/>
    <x v="0"/>
    <x v="0"/>
    <x v="0"/>
    <x v="0"/>
    <x v="0"/>
    <x v="4"/>
  </r>
  <r>
    <d v="2026-07-06T00:00:00"/>
    <x v="2"/>
    <d v="2026-07-06T00:00:00"/>
    <x v="1"/>
    <x v="0"/>
    <x v="0"/>
    <x v="0"/>
    <x v="0"/>
    <m/>
    <m/>
    <x v="0"/>
    <x v="0"/>
    <x v="0"/>
    <x v="0"/>
    <x v="0"/>
    <x v="4"/>
  </r>
  <r>
    <d v="2026-07-07T00:00:00"/>
    <x v="3"/>
    <d v="2026-07-07T00:00:00"/>
    <x v="1"/>
    <x v="0"/>
    <x v="0"/>
    <x v="0"/>
    <x v="0"/>
    <m/>
    <m/>
    <x v="0"/>
    <x v="0"/>
    <x v="0"/>
    <x v="0"/>
    <x v="0"/>
    <x v="4"/>
  </r>
  <r>
    <d v="2026-07-08T00:00:00"/>
    <x v="4"/>
    <d v="2026-07-08T00:00:00"/>
    <x v="1"/>
    <x v="0"/>
    <x v="0"/>
    <x v="0"/>
    <x v="0"/>
    <m/>
    <m/>
    <x v="0"/>
    <x v="0"/>
    <x v="0"/>
    <x v="0"/>
    <x v="0"/>
    <x v="4"/>
  </r>
  <r>
    <d v="2026-07-09T00:00:00"/>
    <x v="5"/>
    <d v="2026-07-09T00:00:00"/>
    <x v="1"/>
    <x v="0"/>
    <x v="0"/>
    <x v="0"/>
    <x v="0"/>
    <m/>
    <m/>
    <x v="0"/>
    <x v="0"/>
    <x v="0"/>
    <x v="0"/>
    <x v="0"/>
    <x v="4"/>
  </r>
  <r>
    <d v="2026-07-10T00:00:00"/>
    <x v="6"/>
    <d v="2026-07-10T00:00:00"/>
    <x v="1"/>
    <x v="0"/>
    <x v="0"/>
    <x v="0"/>
    <x v="0"/>
    <m/>
    <m/>
    <x v="0"/>
    <x v="0"/>
    <x v="0"/>
    <x v="0"/>
    <x v="0"/>
    <x v="4"/>
  </r>
  <r>
    <d v="2026-07-11T00:00:00"/>
    <x v="0"/>
    <d v="2026-07-11T00:00:00"/>
    <x v="0"/>
    <x v="0"/>
    <x v="0"/>
    <x v="0"/>
    <x v="0"/>
    <m/>
    <m/>
    <x v="0"/>
    <x v="0"/>
    <x v="0"/>
    <x v="0"/>
    <x v="0"/>
    <x v="4"/>
  </r>
  <r>
    <d v="2026-07-12T00:00:00"/>
    <x v="1"/>
    <d v="2026-07-12T00:00:00"/>
    <x v="0"/>
    <x v="0"/>
    <x v="0"/>
    <x v="0"/>
    <x v="0"/>
    <m/>
    <m/>
    <x v="0"/>
    <x v="0"/>
    <x v="0"/>
    <x v="0"/>
    <x v="0"/>
    <x v="4"/>
  </r>
  <r>
    <d v="2026-07-13T00:00:00"/>
    <x v="2"/>
    <d v="2026-07-13T00:00:00"/>
    <x v="1"/>
    <x v="0"/>
    <x v="0"/>
    <x v="0"/>
    <x v="0"/>
    <m/>
    <m/>
    <x v="0"/>
    <x v="0"/>
    <x v="0"/>
    <x v="0"/>
    <x v="0"/>
    <x v="4"/>
  </r>
  <r>
    <d v="2026-07-14T00:00:00"/>
    <x v="3"/>
    <d v="2026-07-14T00:00:00"/>
    <x v="1"/>
    <x v="0"/>
    <x v="0"/>
    <x v="0"/>
    <x v="0"/>
    <m/>
    <m/>
    <x v="0"/>
    <x v="0"/>
    <x v="0"/>
    <x v="0"/>
    <x v="0"/>
    <x v="4"/>
  </r>
  <r>
    <d v="2026-07-15T00:00:00"/>
    <x v="4"/>
    <d v="2026-07-15T00:00:00"/>
    <x v="1"/>
    <x v="0"/>
    <x v="0"/>
    <x v="0"/>
    <x v="0"/>
    <m/>
    <m/>
    <x v="0"/>
    <x v="0"/>
    <x v="0"/>
    <x v="0"/>
    <x v="0"/>
    <x v="4"/>
  </r>
  <r>
    <d v="2026-07-16T00:00:00"/>
    <x v="5"/>
    <d v="2026-07-16T00:00:00"/>
    <x v="1"/>
    <x v="0"/>
    <x v="0"/>
    <x v="0"/>
    <x v="0"/>
    <m/>
    <m/>
    <x v="0"/>
    <x v="0"/>
    <x v="0"/>
    <x v="0"/>
    <x v="0"/>
    <x v="4"/>
  </r>
  <r>
    <d v="2026-07-17T00:00:00"/>
    <x v="6"/>
    <d v="2026-07-17T00:00:00"/>
    <x v="1"/>
    <x v="0"/>
    <x v="0"/>
    <x v="0"/>
    <x v="0"/>
    <m/>
    <m/>
    <x v="0"/>
    <x v="0"/>
    <x v="0"/>
    <x v="0"/>
    <x v="0"/>
    <x v="4"/>
  </r>
  <r>
    <d v="2026-07-18T00:00:00"/>
    <x v="0"/>
    <d v="2026-07-18T00:00:00"/>
    <x v="0"/>
    <x v="0"/>
    <x v="0"/>
    <x v="0"/>
    <x v="0"/>
    <m/>
    <m/>
    <x v="0"/>
    <x v="0"/>
    <x v="0"/>
    <x v="0"/>
    <x v="0"/>
    <x v="4"/>
  </r>
  <r>
    <d v="2026-07-19T00:00:00"/>
    <x v="1"/>
    <d v="2026-07-19T00:00:00"/>
    <x v="0"/>
    <x v="0"/>
    <x v="0"/>
    <x v="0"/>
    <x v="0"/>
    <m/>
    <m/>
    <x v="0"/>
    <x v="0"/>
    <x v="0"/>
    <x v="0"/>
    <x v="0"/>
    <x v="4"/>
  </r>
  <r>
    <d v="2026-07-20T00:00:00"/>
    <x v="2"/>
    <d v="2026-07-20T00:00:00"/>
    <x v="1"/>
    <x v="0"/>
    <x v="0"/>
    <x v="0"/>
    <x v="0"/>
    <m/>
    <m/>
    <x v="0"/>
    <x v="0"/>
    <x v="0"/>
    <x v="0"/>
    <x v="0"/>
    <x v="4"/>
  </r>
  <r>
    <d v="2026-07-21T00:00:00"/>
    <x v="3"/>
    <d v="2026-07-21T00:00:00"/>
    <x v="1"/>
    <x v="0"/>
    <x v="0"/>
    <x v="0"/>
    <x v="0"/>
    <m/>
    <m/>
    <x v="0"/>
    <x v="0"/>
    <x v="0"/>
    <x v="0"/>
    <x v="0"/>
    <x v="4"/>
  </r>
  <r>
    <d v="2026-07-22T00:00:00"/>
    <x v="4"/>
    <d v="2026-07-22T00:00:00"/>
    <x v="1"/>
    <x v="0"/>
    <x v="0"/>
    <x v="0"/>
    <x v="0"/>
    <m/>
    <m/>
    <x v="0"/>
    <x v="0"/>
    <x v="0"/>
    <x v="0"/>
    <x v="0"/>
    <x v="4"/>
  </r>
  <r>
    <d v="2026-07-23T00:00:00"/>
    <x v="5"/>
    <d v="2026-07-23T00:00:00"/>
    <x v="1"/>
    <x v="0"/>
    <x v="0"/>
    <x v="0"/>
    <x v="0"/>
    <m/>
    <m/>
    <x v="0"/>
    <x v="0"/>
    <x v="0"/>
    <x v="0"/>
    <x v="0"/>
    <x v="4"/>
  </r>
  <r>
    <d v="2026-07-24T00:00:00"/>
    <x v="6"/>
    <d v="2026-07-24T00:00:00"/>
    <x v="1"/>
    <x v="0"/>
    <x v="0"/>
    <x v="0"/>
    <x v="0"/>
    <m/>
    <m/>
    <x v="0"/>
    <x v="0"/>
    <x v="0"/>
    <x v="0"/>
    <x v="0"/>
    <x v="4"/>
  </r>
  <r>
    <d v="2026-07-25T00:00:00"/>
    <x v="0"/>
    <d v="2026-07-25T00:00:00"/>
    <x v="0"/>
    <x v="0"/>
    <x v="0"/>
    <x v="0"/>
    <x v="0"/>
    <m/>
    <m/>
    <x v="0"/>
    <x v="0"/>
    <x v="0"/>
    <x v="0"/>
    <x v="0"/>
    <x v="4"/>
  </r>
  <r>
    <d v="2026-07-26T00:00:00"/>
    <x v="1"/>
    <d v="2026-07-26T00:00:00"/>
    <x v="0"/>
    <x v="0"/>
    <x v="0"/>
    <x v="0"/>
    <x v="0"/>
    <m/>
    <m/>
    <x v="0"/>
    <x v="0"/>
    <x v="0"/>
    <x v="0"/>
    <x v="0"/>
    <x v="4"/>
  </r>
  <r>
    <d v="2026-07-27T00:00:00"/>
    <x v="2"/>
    <d v="2026-07-27T00:00:00"/>
    <x v="1"/>
    <x v="0"/>
    <x v="0"/>
    <x v="0"/>
    <x v="0"/>
    <m/>
    <m/>
    <x v="0"/>
    <x v="0"/>
    <x v="0"/>
    <x v="0"/>
    <x v="0"/>
    <x v="4"/>
  </r>
  <r>
    <d v="2026-07-28T00:00:00"/>
    <x v="3"/>
    <d v="2026-07-28T00:00:00"/>
    <x v="1"/>
    <x v="0"/>
    <x v="0"/>
    <x v="0"/>
    <x v="0"/>
    <m/>
    <m/>
    <x v="0"/>
    <x v="0"/>
    <x v="0"/>
    <x v="0"/>
    <x v="0"/>
    <x v="4"/>
  </r>
  <r>
    <d v="2026-07-29T00:00:00"/>
    <x v="4"/>
    <d v="2026-07-29T00:00:00"/>
    <x v="1"/>
    <x v="0"/>
    <x v="0"/>
    <x v="0"/>
    <x v="0"/>
    <m/>
    <m/>
    <x v="0"/>
    <x v="0"/>
    <x v="0"/>
    <x v="0"/>
    <x v="0"/>
    <x v="4"/>
  </r>
  <r>
    <d v="2026-07-30T00:00:00"/>
    <x v="5"/>
    <d v="2026-07-30T00:00:00"/>
    <x v="1"/>
    <x v="0"/>
    <x v="0"/>
    <x v="0"/>
    <x v="0"/>
    <m/>
    <m/>
    <x v="0"/>
    <x v="0"/>
    <x v="0"/>
    <x v="0"/>
    <x v="0"/>
    <x v="4"/>
  </r>
  <r>
    <d v="2026-07-31T00:00:00"/>
    <x v="6"/>
    <d v="2026-07-31T00:00:00"/>
    <x v="1"/>
    <x v="0"/>
    <x v="0"/>
    <x v="0"/>
    <x v="0"/>
    <m/>
    <m/>
    <x v="0"/>
    <x v="0"/>
    <x v="0"/>
    <x v="0"/>
    <x v="0"/>
    <x v="4"/>
  </r>
  <r>
    <d v="2026-08-01T00:00:00"/>
    <x v="0"/>
    <d v="2026-08-01T00:00:00"/>
    <x v="0"/>
    <x v="0"/>
    <x v="0"/>
    <x v="0"/>
    <x v="0"/>
    <m/>
    <m/>
    <x v="0"/>
    <x v="0"/>
    <x v="0"/>
    <x v="0"/>
    <x v="0"/>
    <x v="4"/>
  </r>
  <r>
    <d v="2026-08-02T00:00:00"/>
    <x v="1"/>
    <d v="2026-08-02T00:00:00"/>
    <x v="0"/>
    <x v="0"/>
    <x v="0"/>
    <x v="0"/>
    <x v="0"/>
    <m/>
    <m/>
    <x v="0"/>
    <x v="0"/>
    <x v="0"/>
    <x v="0"/>
    <x v="0"/>
    <x v="4"/>
  </r>
  <r>
    <d v="2026-08-03T00:00:00"/>
    <x v="2"/>
    <d v="2026-08-03T00:00:00"/>
    <x v="1"/>
    <x v="0"/>
    <x v="0"/>
    <x v="0"/>
    <x v="0"/>
    <m/>
    <m/>
    <x v="0"/>
    <x v="0"/>
    <x v="0"/>
    <x v="0"/>
    <x v="0"/>
    <x v="4"/>
  </r>
  <r>
    <d v="2026-08-04T00:00:00"/>
    <x v="3"/>
    <d v="2026-08-04T00:00:00"/>
    <x v="1"/>
    <x v="0"/>
    <x v="0"/>
    <x v="0"/>
    <x v="0"/>
    <m/>
    <m/>
    <x v="0"/>
    <x v="0"/>
    <x v="0"/>
    <x v="0"/>
    <x v="0"/>
    <x v="4"/>
  </r>
  <r>
    <d v="2026-08-05T00:00:00"/>
    <x v="4"/>
    <d v="2026-08-05T00:00:00"/>
    <x v="1"/>
    <x v="0"/>
    <x v="0"/>
    <x v="0"/>
    <x v="0"/>
    <m/>
    <m/>
    <x v="0"/>
    <x v="0"/>
    <x v="0"/>
    <x v="0"/>
    <x v="0"/>
    <x v="4"/>
  </r>
  <r>
    <d v="2026-08-06T00:00:00"/>
    <x v="5"/>
    <d v="2026-08-06T00:00:00"/>
    <x v="1"/>
    <x v="0"/>
    <x v="0"/>
    <x v="0"/>
    <x v="0"/>
    <m/>
    <m/>
    <x v="0"/>
    <x v="0"/>
    <x v="0"/>
    <x v="0"/>
    <x v="0"/>
    <x v="4"/>
  </r>
  <r>
    <d v="2026-08-07T00:00:00"/>
    <x v="6"/>
    <d v="2026-08-07T00:00:00"/>
    <x v="1"/>
    <x v="0"/>
    <x v="0"/>
    <x v="0"/>
    <x v="0"/>
    <m/>
    <m/>
    <x v="0"/>
    <x v="0"/>
    <x v="0"/>
    <x v="0"/>
    <x v="0"/>
    <x v="4"/>
  </r>
  <r>
    <d v="2026-08-08T00:00:00"/>
    <x v="0"/>
    <d v="2026-08-08T00:00:00"/>
    <x v="0"/>
    <x v="0"/>
    <x v="0"/>
    <x v="0"/>
    <x v="0"/>
    <m/>
    <m/>
    <x v="0"/>
    <x v="0"/>
    <x v="0"/>
    <x v="0"/>
    <x v="0"/>
    <x v="4"/>
  </r>
  <r>
    <d v="2026-08-09T00:00:00"/>
    <x v="1"/>
    <d v="2026-08-09T00:00:00"/>
    <x v="0"/>
    <x v="0"/>
    <x v="0"/>
    <x v="0"/>
    <x v="0"/>
    <m/>
    <m/>
    <x v="0"/>
    <x v="0"/>
    <x v="0"/>
    <x v="0"/>
    <x v="0"/>
    <x v="4"/>
  </r>
  <r>
    <d v="2026-08-10T00:00:00"/>
    <x v="2"/>
    <d v="2026-08-10T00:00:00"/>
    <x v="1"/>
    <x v="0"/>
    <x v="0"/>
    <x v="0"/>
    <x v="0"/>
    <m/>
    <m/>
    <x v="0"/>
    <x v="0"/>
    <x v="0"/>
    <x v="0"/>
    <x v="0"/>
    <x v="4"/>
  </r>
  <r>
    <d v="2026-08-11T00:00:00"/>
    <x v="3"/>
    <d v="2026-08-11T00:00:00"/>
    <x v="1"/>
    <x v="0"/>
    <x v="0"/>
    <x v="0"/>
    <x v="0"/>
    <m/>
    <m/>
    <x v="0"/>
    <x v="0"/>
    <x v="0"/>
    <x v="0"/>
    <x v="0"/>
    <x v="4"/>
  </r>
  <r>
    <d v="2026-08-12T00:00:00"/>
    <x v="4"/>
    <d v="2026-08-12T00:00:00"/>
    <x v="1"/>
    <x v="0"/>
    <x v="0"/>
    <x v="0"/>
    <x v="0"/>
    <m/>
    <m/>
    <x v="0"/>
    <x v="0"/>
    <x v="0"/>
    <x v="0"/>
    <x v="0"/>
    <x v="4"/>
  </r>
  <r>
    <d v="2026-08-13T00:00:00"/>
    <x v="5"/>
    <d v="2026-08-13T00:00:00"/>
    <x v="1"/>
    <x v="0"/>
    <x v="0"/>
    <x v="0"/>
    <x v="0"/>
    <m/>
    <m/>
    <x v="0"/>
    <x v="0"/>
    <x v="0"/>
    <x v="0"/>
    <x v="0"/>
    <x v="4"/>
  </r>
  <r>
    <d v="2026-08-14T00:00:00"/>
    <x v="6"/>
    <d v="2026-08-14T00:00:00"/>
    <x v="1"/>
    <x v="0"/>
    <x v="0"/>
    <x v="0"/>
    <x v="0"/>
    <m/>
    <m/>
    <x v="0"/>
    <x v="0"/>
    <x v="0"/>
    <x v="0"/>
    <x v="0"/>
    <x v="4"/>
  </r>
  <r>
    <d v="2026-08-15T00:00:00"/>
    <x v="0"/>
    <d v="2026-08-15T00:00:00"/>
    <x v="0"/>
    <x v="0"/>
    <x v="0"/>
    <x v="0"/>
    <x v="0"/>
    <m/>
    <m/>
    <x v="0"/>
    <x v="0"/>
    <x v="0"/>
    <x v="0"/>
    <x v="0"/>
    <x v="4"/>
  </r>
  <r>
    <d v="2026-08-16T00:00:00"/>
    <x v="1"/>
    <d v="2026-08-16T00:00:00"/>
    <x v="0"/>
    <x v="0"/>
    <x v="0"/>
    <x v="0"/>
    <x v="0"/>
    <m/>
    <m/>
    <x v="0"/>
    <x v="0"/>
    <x v="0"/>
    <x v="0"/>
    <x v="0"/>
    <x v="4"/>
  </r>
  <r>
    <d v="2026-08-17T00:00:00"/>
    <x v="2"/>
    <d v="2026-08-17T00:00:00"/>
    <x v="1"/>
    <x v="0"/>
    <x v="0"/>
    <x v="0"/>
    <x v="0"/>
    <m/>
    <m/>
    <x v="0"/>
    <x v="0"/>
    <x v="0"/>
    <x v="0"/>
    <x v="0"/>
    <x v="4"/>
  </r>
  <r>
    <d v="2026-08-18T00:00:00"/>
    <x v="3"/>
    <d v="2026-08-18T00:00:00"/>
    <x v="1"/>
    <x v="0"/>
    <x v="0"/>
    <x v="0"/>
    <x v="0"/>
    <m/>
    <m/>
    <x v="0"/>
    <x v="0"/>
    <x v="0"/>
    <x v="0"/>
    <x v="0"/>
    <x v="4"/>
  </r>
  <r>
    <d v="2026-08-19T00:00:00"/>
    <x v="4"/>
    <d v="2026-08-19T00:00:00"/>
    <x v="1"/>
    <x v="0"/>
    <x v="0"/>
    <x v="0"/>
    <x v="0"/>
    <m/>
    <m/>
    <x v="0"/>
    <x v="0"/>
    <x v="0"/>
    <x v="0"/>
    <x v="0"/>
    <x v="4"/>
  </r>
  <r>
    <d v="2026-08-20T00:00:00"/>
    <x v="5"/>
    <d v="2026-08-20T00:00:00"/>
    <x v="1"/>
    <x v="0"/>
    <x v="0"/>
    <x v="0"/>
    <x v="0"/>
    <m/>
    <m/>
    <x v="0"/>
    <x v="0"/>
    <x v="0"/>
    <x v="0"/>
    <x v="0"/>
    <x v="4"/>
  </r>
  <r>
    <d v="2026-08-21T00:00:00"/>
    <x v="6"/>
    <d v="2026-08-21T00:00:00"/>
    <x v="1"/>
    <x v="0"/>
    <x v="0"/>
    <x v="0"/>
    <x v="0"/>
    <m/>
    <m/>
    <x v="0"/>
    <x v="0"/>
    <x v="0"/>
    <x v="0"/>
    <x v="0"/>
    <x v="4"/>
  </r>
  <r>
    <d v="2026-08-22T00:00:00"/>
    <x v="0"/>
    <d v="2026-08-22T00:00:00"/>
    <x v="0"/>
    <x v="0"/>
    <x v="0"/>
    <x v="0"/>
    <x v="0"/>
    <m/>
    <m/>
    <x v="0"/>
    <x v="0"/>
    <x v="0"/>
    <x v="0"/>
    <x v="0"/>
    <x v="4"/>
  </r>
  <r>
    <d v="2026-08-23T00:00:00"/>
    <x v="1"/>
    <d v="2026-08-23T00:00:00"/>
    <x v="0"/>
    <x v="0"/>
    <x v="0"/>
    <x v="0"/>
    <x v="0"/>
    <m/>
    <m/>
    <x v="0"/>
    <x v="0"/>
    <x v="0"/>
    <x v="0"/>
    <x v="0"/>
    <x v="4"/>
  </r>
  <r>
    <d v="2026-08-24T00:00:00"/>
    <x v="2"/>
    <d v="2026-08-24T00:00:00"/>
    <x v="1"/>
    <x v="0"/>
    <x v="0"/>
    <x v="0"/>
    <x v="0"/>
    <m/>
    <m/>
    <x v="0"/>
    <x v="0"/>
    <x v="0"/>
    <x v="0"/>
    <x v="0"/>
    <x v="4"/>
  </r>
  <r>
    <d v="2026-08-25T00:00:00"/>
    <x v="3"/>
    <d v="2026-08-25T00:00:00"/>
    <x v="1"/>
    <x v="0"/>
    <x v="0"/>
    <x v="0"/>
    <x v="0"/>
    <m/>
    <m/>
    <x v="0"/>
    <x v="0"/>
    <x v="0"/>
    <x v="0"/>
    <x v="0"/>
    <x v="4"/>
  </r>
  <r>
    <d v="2026-08-26T00:00:00"/>
    <x v="4"/>
    <d v="2026-08-26T00:00:00"/>
    <x v="1"/>
    <x v="0"/>
    <x v="0"/>
    <x v="0"/>
    <x v="0"/>
    <m/>
    <m/>
    <x v="0"/>
    <x v="0"/>
    <x v="0"/>
    <x v="0"/>
    <x v="0"/>
    <x v="4"/>
  </r>
  <r>
    <d v="2026-08-27T00:00:00"/>
    <x v="5"/>
    <d v="2026-08-27T00:00:00"/>
    <x v="1"/>
    <x v="0"/>
    <x v="0"/>
    <x v="0"/>
    <x v="0"/>
    <m/>
    <m/>
    <x v="0"/>
    <x v="0"/>
    <x v="0"/>
    <x v="0"/>
    <x v="0"/>
    <x v="4"/>
  </r>
  <r>
    <d v="2026-08-28T00:00:00"/>
    <x v="6"/>
    <d v="2026-08-28T00:00:00"/>
    <x v="1"/>
    <x v="0"/>
    <x v="0"/>
    <x v="0"/>
    <x v="0"/>
    <m/>
    <m/>
    <x v="0"/>
    <x v="0"/>
    <x v="0"/>
    <x v="0"/>
    <x v="0"/>
    <x v="4"/>
  </r>
  <r>
    <d v="2026-08-29T00:00:00"/>
    <x v="0"/>
    <d v="2026-08-29T00:00:00"/>
    <x v="0"/>
    <x v="0"/>
    <x v="0"/>
    <x v="0"/>
    <x v="0"/>
    <m/>
    <m/>
    <x v="0"/>
    <x v="0"/>
    <x v="0"/>
    <x v="0"/>
    <x v="0"/>
    <x v="4"/>
  </r>
  <r>
    <d v="2026-08-30T00:00:00"/>
    <x v="1"/>
    <d v="2026-08-30T00:00:00"/>
    <x v="0"/>
    <x v="0"/>
    <x v="0"/>
    <x v="0"/>
    <x v="0"/>
    <m/>
    <m/>
    <x v="0"/>
    <x v="0"/>
    <x v="0"/>
    <x v="0"/>
    <x v="0"/>
    <x v="4"/>
  </r>
  <r>
    <d v="2026-08-31T00:00:00"/>
    <x v="2"/>
    <d v="2026-08-31T00:00:00"/>
    <x v="1"/>
    <x v="0"/>
    <x v="0"/>
    <x v="0"/>
    <x v="0"/>
    <m/>
    <m/>
    <x v="0"/>
    <x v="0"/>
    <x v="0"/>
    <x v="0"/>
    <x v="0"/>
    <x v="4"/>
  </r>
  <r>
    <d v="2026-09-01T00:00:00"/>
    <x v="3"/>
    <d v="2026-09-01T00:00:00"/>
    <x v="1"/>
    <x v="0"/>
    <x v="0"/>
    <x v="0"/>
    <x v="0"/>
    <m/>
    <m/>
    <x v="0"/>
    <x v="0"/>
    <x v="0"/>
    <x v="0"/>
    <x v="0"/>
    <x v="4"/>
  </r>
  <r>
    <d v="2026-09-02T00:00:00"/>
    <x v="4"/>
    <d v="2026-09-02T00:00:00"/>
    <x v="1"/>
    <x v="0"/>
    <x v="0"/>
    <x v="0"/>
    <x v="0"/>
    <m/>
    <m/>
    <x v="0"/>
    <x v="0"/>
    <x v="0"/>
    <x v="0"/>
    <x v="0"/>
    <x v="4"/>
  </r>
  <r>
    <d v="2026-09-03T00:00:00"/>
    <x v="5"/>
    <d v="2026-09-03T00:00:00"/>
    <x v="1"/>
    <x v="0"/>
    <x v="0"/>
    <x v="0"/>
    <x v="0"/>
    <m/>
    <m/>
    <x v="0"/>
    <x v="0"/>
    <x v="0"/>
    <x v="0"/>
    <x v="0"/>
    <x v="4"/>
  </r>
  <r>
    <d v="2026-09-04T00:00:00"/>
    <x v="6"/>
    <d v="2026-09-04T00:00:00"/>
    <x v="1"/>
    <x v="0"/>
    <x v="0"/>
    <x v="0"/>
    <x v="0"/>
    <m/>
    <m/>
    <x v="0"/>
    <x v="0"/>
    <x v="0"/>
    <x v="0"/>
    <x v="0"/>
    <x v="4"/>
  </r>
  <r>
    <d v="2026-09-05T00:00:00"/>
    <x v="0"/>
    <d v="2026-09-05T00:00:00"/>
    <x v="0"/>
    <x v="0"/>
    <x v="0"/>
    <x v="0"/>
    <x v="0"/>
    <m/>
    <m/>
    <x v="0"/>
    <x v="0"/>
    <x v="0"/>
    <x v="0"/>
    <x v="0"/>
    <x v="4"/>
  </r>
  <r>
    <d v="2026-09-06T00:00:00"/>
    <x v="1"/>
    <d v="2026-09-06T00:00:00"/>
    <x v="0"/>
    <x v="0"/>
    <x v="0"/>
    <x v="0"/>
    <x v="0"/>
    <m/>
    <m/>
    <x v="0"/>
    <x v="0"/>
    <x v="0"/>
    <x v="0"/>
    <x v="0"/>
    <x v="4"/>
  </r>
  <r>
    <d v="2026-09-07T00:00:00"/>
    <x v="2"/>
    <d v="2026-09-07T00:00:00"/>
    <x v="1"/>
    <x v="0"/>
    <x v="0"/>
    <x v="0"/>
    <x v="0"/>
    <m/>
    <m/>
    <x v="0"/>
    <x v="0"/>
    <x v="0"/>
    <x v="0"/>
    <x v="0"/>
    <x v="4"/>
  </r>
  <r>
    <d v="2026-09-08T00:00:00"/>
    <x v="3"/>
    <d v="2026-09-08T00:00:00"/>
    <x v="1"/>
    <x v="0"/>
    <x v="0"/>
    <x v="0"/>
    <x v="0"/>
    <m/>
    <m/>
    <x v="0"/>
    <x v="0"/>
    <x v="0"/>
    <x v="0"/>
    <x v="0"/>
    <x v="4"/>
  </r>
  <r>
    <d v="2026-09-09T00:00:00"/>
    <x v="4"/>
    <d v="2026-09-09T00:00:00"/>
    <x v="1"/>
    <x v="0"/>
    <x v="0"/>
    <x v="0"/>
    <x v="0"/>
    <m/>
    <m/>
    <x v="0"/>
    <x v="0"/>
    <x v="0"/>
    <x v="0"/>
    <x v="0"/>
    <x v="4"/>
  </r>
  <r>
    <d v="2026-09-10T00:00:00"/>
    <x v="5"/>
    <d v="2026-09-10T00:00:00"/>
    <x v="1"/>
    <x v="0"/>
    <x v="0"/>
    <x v="0"/>
    <x v="0"/>
    <m/>
    <m/>
    <x v="0"/>
    <x v="0"/>
    <x v="0"/>
    <x v="0"/>
    <x v="0"/>
    <x v="4"/>
  </r>
  <r>
    <d v="2026-09-11T00:00:00"/>
    <x v="6"/>
    <d v="2026-09-11T00:00:00"/>
    <x v="1"/>
    <x v="0"/>
    <x v="0"/>
    <x v="0"/>
    <x v="0"/>
    <m/>
    <m/>
    <x v="0"/>
    <x v="0"/>
    <x v="0"/>
    <x v="0"/>
    <x v="0"/>
    <x v="4"/>
  </r>
  <r>
    <d v="2026-09-12T00:00:00"/>
    <x v="0"/>
    <d v="2026-09-12T00:00:00"/>
    <x v="0"/>
    <x v="0"/>
    <x v="0"/>
    <x v="0"/>
    <x v="0"/>
    <m/>
    <m/>
    <x v="0"/>
    <x v="0"/>
    <x v="0"/>
    <x v="0"/>
    <x v="0"/>
    <x v="4"/>
  </r>
  <r>
    <d v="2026-09-13T00:00:00"/>
    <x v="1"/>
    <d v="2026-09-13T00:00:00"/>
    <x v="0"/>
    <x v="0"/>
    <x v="0"/>
    <x v="0"/>
    <x v="0"/>
    <m/>
    <m/>
    <x v="0"/>
    <x v="0"/>
    <x v="0"/>
    <x v="0"/>
    <x v="0"/>
    <x v="4"/>
  </r>
  <r>
    <d v="2026-09-14T00:00:00"/>
    <x v="2"/>
    <d v="2026-09-14T00:00:00"/>
    <x v="1"/>
    <x v="0"/>
    <x v="0"/>
    <x v="0"/>
    <x v="0"/>
    <m/>
    <m/>
    <x v="0"/>
    <x v="0"/>
    <x v="0"/>
    <x v="0"/>
    <x v="0"/>
    <x v="4"/>
  </r>
  <r>
    <d v="2026-09-15T00:00:00"/>
    <x v="3"/>
    <d v="2026-09-15T00:00:00"/>
    <x v="1"/>
    <x v="0"/>
    <x v="0"/>
    <x v="0"/>
    <x v="0"/>
    <m/>
    <m/>
    <x v="0"/>
    <x v="0"/>
    <x v="0"/>
    <x v="0"/>
    <x v="0"/>
    <x v="4"/>
  </r>
  <r>
    <d v="2026-09-16T00:00:00"/>
    <x v="4"/>
    <d v="2026-09-16T00:00:00"/>
    <x v="1"/>
    <x v="0"/>
    <x v="0"/>
    <x v="0"/>
    <x v="0"/>
    <m/>
    <m/>
    <x v="0"/>
    <x v="0"/>
    <x v="0"/>
    <x v="0"/>
    <x v="0"/>
    <x v="4"/>
  </r>
  <r>
    <d v="2026-09-17T00:00:00"/>
    <x v="5"/>
    <d v="2026-09-17T00:00:00"/>
    <x v="1"/>
    <x v="0"/>
    <x v="0"/>
    <x v="0"/>
    <x v="0"/>
    <m/>
    <m/>
    <x v="0"/>
    <x v="0"/>
    <x v="0"/>
    <x v="0"/>
    <x v="0"/>
    <x v="4"/>
  </r>
  <r>
    <d v="2026-09-18T00:00:00"/>
    <x v="6"/>
    <d v="2026-09-18T00:00:00"/>
    <x v="1"/>
    <x v="0"/>
    <x v="0"/>
    <x v="0"/>
    <x v="0"/>
    <m/>
    <m/>
    <x v="0"/>
    <x v="0"/>
    <x v="0"/>
    <x v="0"/>
    <x v="0"/>
    <x v="4"/>
  </r>
  <r>
    <d v="2026-09-19T00:00:00"/>
    <x v="0"/>
    <d v="2026-09-19T00:00:00"/>
    <x v="0"/>
    <x v="0"/>
    <x v="0"/>
    <x v="0"/>
    <x v="0"/>
    <m/>
    <m/>
    <x v="0"/>
    <x v="0"/>
    <x v="0"/>
    <x v="0"/>
    <x v="0"/>
    <x v="4"/>
  </r>
  <r>
    <d v="2026-09-20T00:00:00"/>
    <x v="1"/>
    <d v="2026-09-20T00:00:00"/>
    <x v="0"/>
    <x v="0"/>
    <x v="0"/>
    <x v="0"/>
    <x v="0"/>
    <m/>
    <m/>
    <x v="0"/>
    <x v="0"/>
    <x v="0"/>
    <x v="0"/>
    <x v="0"/>
    <x v="4"/>
  </r>
  <r>
    <d v="2026-09-21T00:00:00"/>
    <x v="2"/>
    <d v="2026-09-21T00:00:00"/>
    <x v="1"/>
    <x v="0"/>
    <x v="0"/>
    <x v="0"/>
    <x v="0"/>
    <m/>
    <m/>
    <x v="0"/>
    <x v="0"/>
    <x v="0"/>
    <x v="0"/>
    <x v="0"/>
    <x v="4"/>
  </r>
  <r>
    <d v="2026-09-22T00:00:00"/>
    <x v="3"/>
    <d v="2026-09-22T00:00:00"/>
    <x v="1"/>
    <x v="0"/>
    <x v="0"/>
    <x v="0"/>
    <x v="0"/>
    <m/>
    <m/>
    <x v="0"/>
    <x v="0"/>
    <x v="0"/>
    <x v="0"/>
    <x v="0"/>
    <x v="4"/>
  </r>
  <r>
    <d v="2026-09-23T00:00:00"/>
    <x v="4"/>
    <d v="2026-09-23T00:00:00"/>
    <x v="1"/>
    <x v="0"/>
    <x v="0"/>
    <x v="0"/>
    <x v="0"/>
    <m/>
    <m/>
    <x v="0"/>
    <x v="0"/>
    <x v="0"/>
    <x v="0"/>
    <x v="0"/>
    <x v="4"/>
  </r>
  <r>
    <d v="2026-09-24T00:00:00"/>
    <x v="5"/>
    <d v="2026-09-24T00:00:00"/>
    <x v="1"/>
    <x v="0"/>
    <x v="0"/>
    <x v="0"/>
    <x v="0"/>
    <m/>
    <m/>
    <x v="0"/>
    <x v="0"/>
    <x v="0"/>
    <x v="0"/>
    <x v="0"/>
    <x v="4"/>
  </r>
  <r>
    <d v="2026-09-25T00:00:00"/>
    <x v="6"/>
    <d v="2026-09-25T00:00:00"/>
    <x v="1"/>
    <x v="0"/>
    <x v="0"/>
    <x v="0"/>
    <x v="0"/>
    <m/>
    <m/>
    <x v="0"/>
    <x v="0"/>
    <x v="0"/>
    <x v="0"/>
    <x v="0"/>
    <x v="4"/>
  </r>
  <r>
    <d v="2026-09-26T00:00:00"/>
    <x v="0"/>
    <d v="2026-09-26T00:00:00"/>
    <x v="0"/>
    <x v="0"/>
    <x v="0"/>
    <x v="0"/>
    <x v="0"/>
    <m/>
    <m/>
    <x v="0"/>
    <x v="0"/>
    <x v="0"/>
    <x v="0"/>
    <x v="0"/>
    <x v="4"/>
  </r>
  <r>
    <d v="2026-09-27T00:00:00"/>
    <x v="1"/>
    <d v="2026-09-27T00:00:00"/>
    <x v="0"/>
    <x v="0"/>
    <x v="0"/>
    <x v="0"/>
    <x v="0"/>
    <m/>
    <m/>
    <x v="0"/>
    <x v="0"/>
    <x v="0"/>
    <x v="0"/>
    <x v="0"/>
    <x v="4"/>
  </r>
  <r>
    <d v="2026-09-28T00:00:00"/>
    <x v="2"/>
    <d v="2026-09-28T00:00:00"/>
    <x v="1"/>
    <x v="0"/>
    <x v="0"/>
    <x v="0"/>
    <x v="0"/>
    <m/>
    <m/>
    <x v="0"/>
    <x v="0"/>
    <x v="0"/>
    <x v="0"/>
    <x v="0"/>
    <x v="4"/>
  </r>
  <r>
    <d v="2026-09-29T00:00:00"/>
    <x v="3"/>
    <d v="2026-09-29T00:00:00"/>
    <x v="1"/>
    <x v="0"/>
    <x v="0"/>
    <x v="0"/>
    <x v="0"/>
    <m/>
    <m/>
    <x v="0"/>
    <x v="0"/>
    <x v="0"/>
    <x v="0"/>
    <x v="0"/>
    <x v="4"/>
  </r>
  <r>
    <d v="2026-09-30T00:00:00"/>
    <x v="4"/>
    <d v="2026-09-30T00:00:00"/>
    <x v="1"/>
    <x v="0"/>
    <x v="0"/>
    <x v="0"/>
    <x v="0"/>
    <m/>
    <m/>
    <x v="0"/>
    <x v="0"/>
    <x v="0"/>
    <x v="0"/>
    <x v="0"/>
    <x v="4"/>
  </r>
  <r>
    <d v="2026-10-01T00:00:00"/>
    <x v="5"/>
    <d v="2026-10-01T00:00:00"/>
    <x v="1"/>
    <x v="0"/>
    <x v="0"/>
    <x v="0"/>
    <x v="0"/>
    <m/>
    <m/>
    <x v="0"/>
    <x v="0"/>
    <x v="0"/>
    <x v="0"/>
    <x v="0"/>
    <x v="4"/>
  </r>
  <r>
    <d v="2026-10-02T00:00:00"/>
    <x v="6"/>
    <d v="2026-10-02T00:00:00"/>
    <x v="1"/>
    <x v="0"/>
    <x v="0"/>
    <x v="0"/>
    <x v="0"/>
    <m/>
    <m/>
    <x v="0"/>
    <x v="0"/>
    <x v="0"/>
    <x v="0"/>
    <x v="0"/>
    <x v="4"/>
  </r>
  <r>
    <d v="2026-10-03T00:00:00"/>
    <x v="0"/>
    <d v="2026-10-03T00:00:00"/>
    <x v="0"/>
    <x v="0"/>
    <x v="0"/>
    <x v="0"/>
    <x v="0"/>
    <m/>
    <m/>
    <x v="0"/>
    <x v="0"/>
    <x v="0"/>
    <x v="0"/>
    <x v="0"/>
    <x v="4"/>
  </r>
  <r>
    <d v="2026-10-04T00:00:00"/>
    <x v="1"/>
    <d v="2026-10-04T00:00:00"/>
    <x v="0"/>
    <x v="0"/>
    <x v="0"/>
    <x v="0"/>
    <x v="0"/>
    <m/>
    <m/>
    <x v="0"/>
    <x v="0"/>
    <x v="0"/>
    <x v="0"/>
    <x v="0"/>
    <x v="4"/>
  </r>
  <r>
    <d v="2026-10-05T00:00:00"/>
    <x v="2"/>
    <d v="2026-10-05T00:00:00"/>
    <x v="1"/>
    <x v="0"/>
    <x v="0"/>
    <x v="0"/>
    <x v="0"/>
    <m/>
    <m/>
    <x v="0"/>
    <x v="0"/>
    <x v="0"/>
    <x v="0"/>
    <x v="0"/>
    <x v="4"/>
  </r>
  <r>
    <d v="2026-10-06T00:00:00"/>
    <x v="3"/>
    <d v="2026-10-06T00:00:00"/>
    <x v="1"/>
    <x v="0"/>
    <x v="0"/>
    <x v="0"/>
    <x v="0"/>
    <m/>
    <m/>
    <x v="0"/>
    <x v="0"/>
    <x v="0"/>
    <x v="0"/>
    <x v="0"/>
    <x v="4"/>
  </r>
  <r>
    <d v="2026-10-07T00:00:00"/>
    <x v="4"/>
    <d v="2026-10-07T00:00:00"/>
    <x v="1"/>
    <x v="0"/>
    <x v="0"/>
    <x v="0"/>
    <x v="0"/>
    <m/>
    <m/>
    <x v="0"/>
    <x v="0"/>
    <x v="0"/>
    <x v="0"/>
    <x v="0"/>
    <x v="4"/>
  </r>
  <r>
    <d v="2026-10-08T00:00:00"/>
    <x v="5"/>
    <d v="2026-10-08T00:00:00"/>
    <x v="1"/>
    <x v="0"/>
    <x v="0"/>
    <x v="0"/>
    <x v="0"/>
    <m/>
    <m/>
    <x v="0"/>
    <x v="0"/>
    <x v="0"/>
    <x v="0"/>
    <x v="0"/>
    <x v="4"/>
  </r>
  <r>
    <d v="2026-10-09T00:00:00"/>
    <x v="6"/>
    <d v="2026-10-09T00:00:00"/>
    <x v="1"/>
    <x v="0"/>
    <x v="0"/>
    <x v="0"/>
    <x v="0"/>
    <m/>
    <m/>
    <x v="0"/>
    <x v="0"/>
    <x v="0"/>
    <x v="0"/>
    <x v="0"/>
    <x v="4"/>
  </r>
  <r>
    <d v="2026-10-10T00:00:00"/>
    <x v="0"/>
    <d v="2026-10-10T00:00:00"/>
    <x v="0"/>
    <x v="0"/>
    <x v="0"/>
    <x v="0"/>
    <x v="0"/>
    <m/>
    <m/>
    <x v="0"/>
    <x v="0"/>
    <x v="0"/>
    <x v="0"/>
    <x v="0"/>
    <x v="4"/>
  </r>
  <r>
    <d v="2026-10-11T00:00:00"/>
    <x v="1"/>
    <d v="2026-10-11T00:00:00"/>
    <x v="0"/>
    <x v="0"/>
    <x v="0"/>
    <x v="0"/>
    <x v="0"/>
    <m/>
    <m/>
    <x v="0"/>
    <x v="0"/>
    <x v="0"/>
    <x v="0"/>
    <x v="0"/>
    <x v="4"/>
  </r>
  <r>
    <d v="2026-10-12T00:00:00"/>
    <x v="2"/>
    <d v="2026-10-12T00:00:00"/>
    <x v="1"/>
    <x v="0"/>
    <x v="0"/>
    <x v="0"/>
    <x v="0"/>
    <m/>
    <m/>
    <x v="0"/>
    <x v="0"/>
    <x v="0"/>
    <x v="0"/>
    <x v="0"/>
    <x v="4"/>
  </r>
  <r>
    <d v="2026-10-13T00:00:00"/>
    <x v="3"/>
    <d v="2026-10-13T00:00:00"/>
    <x v="1"/>
    <x v="0"/>
    <x v="0"/>
    <x v="0"/>
    <x v="0"/>
    <m/>
    <m/>
    <x v="0"/>
    <x v="0"/>
    <x v="0"/>
    <x v="0"/>
    <x v="0"/>
    <x v="4"/>
  </r>
  <r>
    <d v="2026-10-14T00:00:00"/>
    <x v="4"/>
    <d v="2026-10-14T00:00:00"/>
    <x v="1"/>
    <x v="0"/>
    <x v="0"/>
    <x v="0"/>
    <x v="0"/>
    <m/>
    <m/>
    <x v="0"/>
    <x v="0"/>
    <x v="0"/>
    <x v="0"/>
    <x v="0"/>
    <x v="4"/>
  </r>
  <r>
    <d v="2026-10-15T00:00:00"/>
    <x v="5"/>
    <d v="2026-10-15T00:00:00"/>
    <x v="1"/>
    <x v="0"/>
    <x v="0"/>
    <x v="0"/>
    <x v="0"/>
    <m/>
    <m/>
    <x v="0"/>
    <x v="0"/>
    <x v="0"/>
    <x v="0"/>
    <x v="0"/>
    <x v="4"/>
  </r>
  <r>
    <d v="2026-10-16T00:00:00"/>
    <x v="6"/>
    <d v="2026-10-16T00:00:00"/>
    <x v="1"/>
    <x v="0"/>
    <x v="0"/>
    <x v="0"/>
    <x v="0"/>
    <m/>
    <m/>
    <x v="0"/>
    <x v="0"/>
    <x v="0"/>
    <x v="0"/>
    <x v="0"/>
    <x v="4"/>
  </r>
  <r>
    <d v="2026-10-17T00:00:00"/>
    <x v="0"/>
    <d v="2026-10-17T00:00:00"/>
    <x v="0"/>
    <x v="0"/>
    <x v="0"/>
    <x v="0"/>
    <x v="0"/>
    <m/>
    <m/>
    <x v="0"/>
    <x v="0"/>
    <x v="0"/>
    <x v="0"/>
    <x v="0"/>
    <x v="4"/>
  </r>
  <r>
    <d v="2026-10-18T00:00:00"/>
    <x v="1"/>
    <d v="2026-10-18T00:00:00"/>
    <x v="0"/>
    <x v="0"/>
    <x v="0"/>
    <x v="0"/>
    <x v="0"/>
    <m/>
    <m/>
    <x v="0"/>
    <x v="0"/>
    <x v="0"/>
    <x v="0"/>
    <x v="0"/>
    <x v="4"/>
  </r>
  <r>
    <d v="2026-10-19T00:00:00"/>
    <x v="2"/>
    <d v="2026-10-19T00:00:00"/>
    <x v="1"/>
    <x v="0"/>
    <x v="0"/>
    <x v="0"/>
    <x v="0"/>
    <m/>
    <m/>
    <x v="0"/>
    <x v="0"/>
    <x v="0"/>
    <x v="0"/>
    <x v="0"/>
    <x v="4"/>
  </r>
  <r>
    <d v="2026-10-20T00:00:00"/>
    <x v="3"/>
    <d v="2026-10-20T00:00:00"/>
    <x v="1"/>
    <x v="0"/>
    <x v="0"/>
    <x v="0"/>
    <x v="0"/>
    <m/>
    <m/>
    <x v="0"/>
    <x v="0"/>
    <x v="0"/>
    <x v="0"/>
    <x v="0"/>
    <x v="4"/>
  </r>
  <r>
    <d v="2026-10-21T00:00:00"/>
    <x v="4"/>
    <d v="2026-10-21T00:00:00"/>
    <x v="1"/>
    <x v="0"/>
    <x v="0"/>
    <x v="0"/>
    <x v="0"/>
    <m/>
    <m/>
    <x v="0"/>
    <x v="0"/>
    <x v="0"/>
    <x v="0"/>
    <x v="0"/>
    <x v="4"/>
  </r>
  <r>
    <d v="2026-10-22T00:00:00"/>
    <x v="5"/>
    <d v="2026-10-22T00:00:00"/>
    <x v="1"/>
    <x v="0"/>
    <x v="0"/>
    <x v="0"/>
    <x v="0"/>
    <m/>
    <m/>
    <x v="0"/>
    <x v="0"/>
    <x v="0"/>
    <x v="0"/>
    <x v="0"/>
    <x v="4"/>
  </r>
  <r>
    <d v="2026-10-23T00:00:00"/>
    <x v="6"/>
    <d v="2026-10-23T00:00:00"/>
    <x v="1"/>
    <x v="0"/>
    <x v="0"/>
    <x v="0"/>
    <x v="0"/>
    <m/>
    <m/>
    <x v="0"/>
    <x v="0"/>
    <x v="0"/>
    <x v="0"/>
    <x v="0"/>
    <x v="4"/>
  </r>
  <r>
    <d v="2026-10-24T00:00:00"/>
    <x v="0"/>
    <d v="2026-10-24T00:00:00"/>
    <x v="0"/>
    <x v="0"/>
    <x v="0"/>
    <x v="0"/>
    <x v="0"/>
    <m/>
    <m/>
    <x v="0"/>
    <x v="0"/>
    <x v="0"/>
    <x v="0"/>
    <x v="0"/>
    <x v="4"/>
  </r>
  <r>
    <d v="2026-10-25T00:00:00"/>
    <x v="1"/>
    <d v="2026-10-25T00:00:00"/>
    <x v="0"/>
    <x v="0"/>
    <x v="0"/>
    <x v="0"/>
    <x v="0"/>
    <m/>
    <m/>
    <x v="0"/>
    <x v="0"/>
    <x v="0"/>
    <x v="0"/>
    <x v="0"/>
    <x v="4"/>
  </r>
  <r>
    <d v="2026-10-26T00:00:00"/>
    <x v="2"/>
    <d v="2026-10-26T00:00:00"/>
    <x v="1"/>
    <x v="0"/>
    <x v="0"/>
    <x v="0"/>
    <x v="0"/>
    <m/>
    <m/>
    <x v="0"/>
    <x v="0"/>
    <x v="0"/>
    <x v="0"/>
    <x v="0"/>
    <x v="4"/>
  </r>
  <r>
    <d v="2026-10-27T00:00:00"/>
    <x v="3"/>
    <d v="2026-10-27T00:00:00"/>
    <x v="1"/>
    <x v="0"/>
    <x v="0"/>
    <x v="0"/>
    <x v="0"/>
    <m/>
    <m/>
    <x v="0"/>
    <x v="0"/>
    <x v="0"/>
    <x v="0"/>
    <x v="0"/>
    <x v="4"/>
  </r>
  <r>
    <d v="2026-10-28T00:00:00"/>
    <x v="4"/>
    <d v="2026-10-28T00:00:00"/>
    <x v="1"/>
    <x v="0"/>
    <x v="0"/>
    <x v="0"/>
    <x v="0"/>
    <m/>
    <m/>
    <x v="0"/>
    <x v="0"/>
    <x v="0"/>
    <x v="0"/>
    <x v="0"/>
    <x v="4"/>
  </r>
  <r>
    <d v="2026-10-29T00:00:00"/>
    <x v="5"/>
    <d v="2026-10-29T00:00:00"/>
    <x v="1"/>
    <x v="0"/>
    <x v="0"/>
    <x v="0"/>
    <x v="0"/>
    <m/>
    <m/>
    <x v="0"/>
    <x v="0"/>
    <x v="0"/>
    <x v="0"/>
    <x v="0"/>
    <x v="4"/>
  </r>
  <r>
    <d v="2026-10-30T00:00:00"/>
    <x v="6"/>
    <d v="2026-10-30T00:00:00"/>
    <x v="1"/>
    <x v="0"/>
    <x v="0"/>
    <x v="0"/>
    <x v="0"/>
    <m/>
    <m/>
    <x v="0"/>
    <x v="0"/>
    <x v="0"/>
    <x v="0"/>
    <x v="0"/>
    <x v="4"/>
  </r>
  <r>
    <d v="2026-10-31T00:00:00"/>
    <x v="0"/>
    <d v="2026-10-31T00:00:00"/>
    <x v="0"/>
    <x v="0"/>
    <x v="0"/>
    <x v="0"/>
    <x v="0"/>
    <m/>
    <m/>
    <x v="0"/>
    <x v="0"/>
    <x v="0"/>
    <x v="0"/>
    <x v="0"/>
    <x v="4"/>
  </r>
  <r>
    <d v="2026-11-01T00:00:00"/>
    <x v="1"/>
    <d v="2026-11-01T00:00:00"/>
    <x v="0"/>
    <x v="0"/>
    <x v="0"/>
    <x v="0"/>
    <x v="0"/>
    <m/>
    <m/>
    <x v="0"/>
    <x v="0"/>
    <x v="0"/>
    <x v="0"/>
    <x v="0"/>
    <x v="4"/>
  </r>
  <r>
    <d v="2026-11-02T00:00:00"/>
    <x v="2"/>
    <d v="2026-11-02T00:00:00"/>
    <x v="1"/>
    <x v="0"/>
    <x v="0"/>
    <x v="0"/>
    <x v="0"/>
    <m/>
    <m/>
    <x v="0"/>
    <x v="0"/>
    <x v="0"/>
    <x v="0"/>
    <x v="0"/>
    <x v="4"/>
  </r>
  <r>
    <d v="2026-11-03T00:00:00"/>
    <x v="3"/>
    <d v="2026-11-03T00:00:00"/>
    <x v="1"/>
    <x v="0"/>
    <x v="0"/>
    <x v="0"/>
    <x v="0"/>
    <m/>
    <m/>
    <x v="0"/>
    <x v="0"/>
    <x v="0"/>
    <x v="0"/>
    <x v="0"/>
    <x v="4"/>
  </r>
  <r>
    <d v="2026-11-04T00:00:00"/>
    <x v="4"/>
    <d v="2026-11-04T00:00:00"/>
    <x v="1"/>
    <x v="0"/>
    <x v="0"/>
    <x v="0"/>
    <x v="0"/>
    <m/>
    <m/>
    <x v="0"/>
    <x v="0"/>
    <x v="0"/>
    <x v="0"/>
    <x v="0"/>
    <x v="4"/>
  </r>
  <r>
    <d v="2026-11-05T00:00:00"/>
    <x v="5"/>
    <d v="2026-11-05T00:00:00"/>
    <x v="1"/>
    <x v="0"/>
    <x v="0"/>
    <x v="0"/>
    <x v="0"/>
    <m/>
    <m/>
    <x v="0"/>
    <x v="0"/>
    <x v="0"/>
    <x v="0"/>
    <x v="0"/>
    <x v="4"/>
  </r>
  <r>
    <d v="2026-11-06T00:00:00"/>
    <x v="6"/>
    <d v="2026-11-06T00:00:00"/>
    <x v="1"/>
    <x v="0"/>
    <x v="0"/>
    <x v="0"/>
    <x v="0"/>
    <m/>
    <m/>
    <x v="0"/>
    <x v="0"/>
    <x v="0"/>
    <x v="0"/>
    <x v="0"/>
    <x v="4"/>
  </r>
  <r>
    <d v="2026-11-07T00:00:00"/>
    <x v="0"/>
    <d v="2026-11-07T00:00:00"/>
    <x v="0"/>
    <x v="0"/>
    <x v="0"/>
    <x v="0"/>
    <x v="0"/>
    <m/>
    <m/>
    <x v="0"/>
    <x v="0"/>
    <x v="0"/>
    <x v="0"/>
    <x v="0"/>
    <x v="4"/>
  </r>
  <r>
    <d v="2026-11-08T00:00:00"/>
    <x v="1"/>
    <d v="2026-11-08T00:00:00"/>
    <x v="0"/>
    <x v="0"/>
    <x v="0"/>
    <x v="0"/>
    <x v="0"/>
    <m/>
    <m/>
    <x v="0"/>
    <x v="0"/>
    <x v="0"/>
    <x v="0"/>
    <x v="0"/>
    <x v="4"/>
  </r>
  <r>
    <d v="2026-11-09T00:00:00"/>
    <x v="2"/>
    <d v="2026-11-09T00:00:00"/>
    <x v="1"/>
    <x v="0"/>
    <x v="0"/>
    <x v="0"/>
    <x v="0"/>
    <m/>
    <m/>
    <x v="0"/>
    <x v="0"/>
    <x v="0"/>
    <x v="0"/>
    <x v="0"/>
    <x v="4"/>
  </r>
  <r>
    <d v="2026-11-10T00:00:00"/>
    <x v="3"/>
    <d v="2026-11-10T00:00:00"/>
    <x v="1"/>
    <x v="0"/>
    <x v="0"/>
    <x v="0"/>
    <x v="0"/>
    <m/>
    <m/>
    <x v="0"/>
    <x v="0"/>
    <x v="0"/>
    <x v="0"/>
    <x v="0"/>
    <x v="4"/>
  </r>
  <r>
    <d v="2026-11-11T00:00:00"/>
    <x v="4"/>
    <d v="2026-11-11T00:00:00"/>
    <x v="1"/>
    <x v="0"/>
    <x v="0"/>
    <x v="0"/>
    <x v="0"/>
    <m/>
    <m/>
    <x v="0"/>
    <x v="0"/>
    <x v="0"/>
    <x v="0"/>
    <x v="0"/>
    <x v="4"/>
  </r>
  <r>
    <d v="2026-11-12T00:00:00"/>
    <x v="5"/>
    <d v="2026-11-12T00:00:00"/>
    <x v="1"/>
    <x v="0"/>
    <x v="0"/>
    <x v="0"/>
    <x v="0"/>
    <m/>
    <m/>
    <x v="0"/>
    <x v="0"/>
    <x v="0"/>
    <x v="0"/>
    <x v="0"/>
    <x v="4"/>
  </r>
  <r>
    <d v="2026-11-13T00:00:00"/>
    <x v="6"/>
    <d v="2026-11-13T00:00:00"/>
    <x v="1"/>
    <x v="0"/>
    <x v="0"/>
    <x v="0"/>
    <x v="0"/>
    <m/>
    <m/>
    <x v="0"/>
    <x v="0"/>
    <x v="0"/>
    <x v="0"/>
    <x v="0"/>
    <x v="4"/>
  </r>
  <r>
    <d v="2026-11-14T00:00:00"/>
    <x v="0"/>
    <d v="2026-11-14T00:00:00"/>
    <x v="0"/>
    <x v="0"/>
    <x v="0"/>
    <x v="0"/>
    <x v="0"/>
    <m/>
    <m/>
    <x v="0"/>
    <x v="0"/>
    <x v="0"/>
    <x v="0"/>
    <x v="0"/>
    <x v="4"/>
  </r>
  <r>
    <d v="2026-11-15T00:00:00"/>
    <x v="1"/>
    <d v="2026-11-15T00:00:00"/>
    <x v="0"/>
    <x v="0"/>
    <x v="0"/>
    <x v="0"/>
    <x v="0"/>
    <m/>
    <m/>
    <x v="0"/>
    <x v="0"/>
    <x v="0"/>
    <x v="0"/>
    <x v="0"/>
    <x v="4"/>
  </r>
  <r>
    <d v="2026-11-16T00:00:00"/>
    <x v="2"/>
    <d v="2026-11-16T00:00:00"/>
    <x v="1"/>
    <x v="0"/>
    <x v="0"/>
    <x v="0"/>
    <x v="0"/>
    <m/>
    <m/>
    <x v="0"/>
    <x v="0"/>
    <x v="0"/>
    <x v="0"/>
    <x v="0"/>
    <x v="4"/>
  </r>
  <r>
    <d v="2026-11-17T00:00:00"/>
    <x v="3"/>
    <d v="2026-11-17T00:00:00"/>
    <x v="1"/>
    <x v="0"/>
    <x v="0"/>
    <x v="0"/>
    <x v="0"/>
    <m/>
    <m/>
    <x v="0"/>
    <x v="0"/>
    <x v="0"/>
    <x v="0"/>
    <x v="0"/>
    <x v="4"/>
  </r>
  <r>
    <d v="2026-11-18T00:00:00"/>
    <x v="4"/>
    <d v="2026-11-18T00:00:00"/>
    <x v="1"/>
    <x v="0"/>
    <x v="0"/>
    <x v="0"/>
    <x v="0"/>
    <m/>
    <m/>
    <x v="0"/>
    <x v="0"/>
    <x v="0"/>
    <x v="0"/>
    <x v="0"/>
    <x v="4"/>
  </r>
  <r>
    <d v="2026-11-19T00:00:00"/>
    <x v="5"/>
    <d v="2026-11-19T00:00:00"/>
    <x v="1"/>
    <x v="0"/>
    <x v="0"/>
    <x v="0"/>
    <x v="0"/>
    <m/>
    <m/>
    <x v="0"/>
    <x v="0"/>
    <x v="0"/>
    <x v="0"/>
    <x v="0"/>
    <x v="4"/>
  </r>
  <r>
    <d v="2026-11-20T00:00:00"/>
    <x v="6"/>
    <d v="2026-11-20T00:00:00"/>
    <x v="1"/>
    <x v="0"/>
    <x v="0"/>
    <x v="0"/>
    <x v="0"/>
    <m/>
    <m/>
    <x v="0"/>
    <x v="0"/>
    <x v="0"/>
    <x v="0"/>
    <x v="0"/>
    <x v="4"/>
  </r>
  <r>
    <d v="2026-11-21T00:00:00"/>
    <x v="0"/>
    <d v="2026-11-21T00:00:00"/>
    <x v="0"/>
    <x v="0"/>
    <x v="0"/>
    <x v="0"/>
    <x v="0"/>
    <m/>
    <m/>
    <x v="0"/>
    <x v="0"/>
    <x v="0"/>
    <x v="0"/>
    <x v="0"/>
    <x v="4"/>
  </r>
  <r>
    <d v="2026-11-22T00:00:00"/>
    <x v="1"/>
    <d v="2026-11-22T00:00:00"/>
    <x v="0"/>
    <x v="0"/>
    <x v="0"/>
    <x v="0"/>
    <x v="0"/>
    <m/>
    <m/>
    <x v="0"/>
    <x v="0"/>
    <x v="0"/>
    <x v="0"/>
    <x v="0"/>
    <x v="4"/>
  </r>
  <r>
    <d v="2026-11-23T00:00:00"/>
    <x v="2"/>
    <d v="2026-11-23T00:00:00"/>
    <x v="1"/>
    <x v="0"/>
    <x v="0"/>
    <x v="0"/>
    <x v="0"/>
    <m/>
    <m/>
    <x v="0"/>
    <x v="0"/>
    <x v="0"/>
    <x v="0"/>
    <x v="0"/>
    <x v="4"/>
  </r>
  <r>
    <d v="2026-11-24T00:00:00"/>
    <x v="3"/>
    <d v="2026-11-24T00:00:00"/>
    <x v="1"/>
    <x v="0"/>
    <x v="0"/>
    <x v="0"/>
    <x v="0"/>
    <m/>
    <m/>
    <x v="0"/>
    <x v="0"/>
    <x v="0"/>
    <x v="0"/>
    <x v="0"/>
    <x v="4"/>
  </r>
  <r>
    <d v="2026-11-25T00:00:00"/>
    <x v="4"/>
    <d v="2026-11-25T00:00:00"/>
    <x v="1"/>
    <x v="0"/>
    <x v="0"/>
    <x v="0"/>
    <x v="0"/>
    <m/>
    <m/>
    <x v="0"/>
    <x v="0"/>
    <x v="0"/>
    <x v="0"/>
    <x v="0"/>
    <x v="4"/>
  </r>
  <r>
    <d v="2026-11-26T00:00:00"/>
    <x v="5"/>
    <d v="2026-11-26T00:00:00"/>
    <x v="1"/>
    <x v="0"/>
    <x v="0"/>
    <x v="0"/>
    <x v="0"/>
    <m/>
    <m/>
    <x v="0"/>
    <x v="0"/>
    <x v="0"/>
    <x v="0"/>
    <x v="0"/>
    <x v="4"/>
  </r>
  <r>
    <d v="2026-11-27T00:00:00"/>
    <x v="6"/>
    <d v="2026-11-27T00:00:00"/>
    <x v="1"/>
    <x v="0"/>
    <x v="0"/>
    <x v="0"/>
    <x v="0"/>
    <m/>
    <m/>
    <x v="0"/>
    <x v="0"/>
    <x v="0"/>
    <x v="0"/>
    <x v="0"/>
    <x v="4"/>
  </r>
  <r>
    <d v="2026-11-28T00:00:00"/>
    <x v="0"/>
    <d v="2026-11-28T00:00:00"/>
    <x v="0"/>
    <x v="0"/>
    <x v="0"/>
    <x v="0"/>
    <x v="0"/>
    <m/>
    <m/>
    <x v="0"/>
    <x v="0"/>
    <x v="0"/>
    <x v="0"/>
    <x v="0"/>
    <x v="4"/>
  </r>
  <r>
    <d v="2026-11-29T00:00:00"/>
    <x v="1"/>
    <d v="2026-11-29T00:00:00"/>
    <x v="0"/>
    <x v="0"/>
    <x v="0"/>
    <x v="0"/>
    <x v="0"/>
    <m/>
    <m/>
    <x v="0"/>
    <x v="0"/>
    <x v="0"/>
    <x v="0"/>
    <x v="0"/>
    <x v="4"/>
  </r>
  <r>
    <d v="2026-11-30T00:00:00"/>
    <x v="2"/>
    <d v="2026-11-30T00:00:00"/>
    <x v="1"/>
    <x v="0"/>
    <x v="0"/>
    <x v="0"/>
    <x v="0"/>
    <m/>
    <m/>
    <x v="0"/>
    <x v="0"/>
    <x v="0"/>
    <x v="0"/>
    <x v="0"/>
    <x v="4"/>
  </r>
  <r>
    <d v="2026-12-01T00:00:00"/>
    <x v="3"/>
    <d v="2026-12-01T00:00:00"/>
    <x v="1"/>
    <x v="0"/>
    <x v="0"/>
    <x v="0"/>
    <x v="0"/>
    <m/>
    <m/>
    <x v="0"/>
    <x v="0"/>
    <x v="0"/>
    <x v="0"/>
    <x v="0"/>
    <x v="4"/>
  </r>
  <r>
    <d v="2026-12-02T00:00:00"/>
    <x v="4"/>
    <d v="2026-12-02T00:00:00"/>
    <x v="1"/>
    <x v="0"/>
    <x v="0"/>
    <x v="0"/>
    <x v="0"/>
    <m/>
    <m/>
    <x v="0"/>
    <x v="0"/>
    <x v="0"/>
    <x v="0"/>
    <x v="0"/>
    <x v="4"/>
  </r>
  <r>
    <d v="2026-12-03T00:00:00"/>
    <x v="5"/>
    <d v="2026-12-03T00:00:00"/>
    <x v="1"/>
    <x v="0"/>
    <x v="0"/>
    <x v="0"/>
    <x v="0"/>
    <m/>
    <m/>
    <x v="0"/>
    <x v="0"/>
    <x v="0"/>
    <x v="0"/>
    <x v="0"/>
    <x v="4"/>
  </r>
  <r>
    <d v="2026-12-04T00:00:00"/>
    <x v="6"/>
    <d v="2026-12-04T00:00:00"/>
    <x v="1"/>
    <x v="0"/>
    <x v="0"/>
    <x v="0"/>
    <x v="0"/>
    <m/>
    <m/>
    <x v="0"/>
    <x v="0"/>
    <x v="0"/>
    <x v="0"/>
    <x v="0"/>
    <x v="4"/>
  </r>
  <r>
    <d v="2026-12-05T00:00:00"/>
    <x v="0"/>
    <d v="2026-12-05T00:00:00"/>
    <x v="0"/>
    <x v="0"/>
    <x v="0"/>
    <x v="0"/>
    <x v="0"/>
    <m/>
    <m/>
    <x v="0"/>
    <x v="0"/>
    <x v="0"/>
    <x v="0"/>
    <x v="0"/>
    <x v="4"/>
  </r>
  <r>
    <d v="2026-12-06T00:00:00"/>
    <x v="1"/>
    <d v="2026-12-06T00:00:00"/>
    <x v="0"/>
    <x v="0"/>
    <x v="0"/>
    <x v="0"/>
    <x v="0"/>
    <m/>
    <m/>
    <x v="0"/>
    <x v="0"/>
    <x v="0"/>
    <x v="0"/>
    <x v="0"/>
    <x v="4"/>
  </r>
  <r>
    <d v="2026-12-07T00:00:00"/>
    <x v="2"/>
    <d v="2026-12-07T00:00:00"/>
    <x v="1"/>
    <x v="0"/>
    <x v="0"/>
    <x v="0"/>
    <x v="0"/>
    <m/>
    <m/>
    <x v="0"/>
    <x v="0"/>
    <x v="0"/>
    <x v="0"/>
    <x v="0"/>
    <x v="4"/>
  </r>
  <r>
    <d v="2026-12-08T00:00:00"/>
    <x v="3"/>
    <d v="2026-12-08T00:00:00"/>
    <x v="1"/>
    <x v="0"/>
    <x v="0"/>
    <x v="0"/>
    <x v="0"/>
    <m/>
    <m/>
    <x v="0"/>
    <x v="0"/>
    <x v="0"/>
    <x v="0"/>
    <x v="0"/>
    <x v="4"/>
  </r>
  <r>
    <d v="2026-12-09T00:00:00"/>
    <x v="4"/>
    <d v="2026-12-09T00:00:00"/>
    <x v="1"/>
    <x v="0"/>
    <x v="0"/>
    <x v="0"/>
    <x v="0"/>
    <m/>
    <m/>
    <x v="0"/>
    <x v="0"/>
    <x v="0"/>
    <x v="0"/>
    <x v="0"/>
    <x v="4"/>
  </r>
  <r>
    <d v="2026-12-10T00:00:00"/>
    <x v="5"/>
    <d v="2026-12-10T00:00:00"/>
    <x v="1"/>
    <x v="0"/>
    <x v="0"/>
    <x v="0"/>
    <x v="0"/>
    <m/>
    <m/>
    <x v="0"/>
    <x v="0"/>
    <x v="0"/>
    <x v="0"/>
    <x v="0"/>
    <x v="4"/>
  </r>
  <r>
    <d v="2026-12-11T00:00:00"/>
    <x v="6"/>
    <d v="2026-12-11T00:00:00"/>
    <x v="1"/>
    <x v="0"/>
    <x v="0"/>
    <x v="0"/>
    <x v="0"/>
    <m/>
    <m/>
    <x v="0"/>
    <x v="0"/>
    <x v="0"/>
    <x v="0"/>
    <x v="0"/>
    <x v="4"/>
  </r>
  <r>
    <d v="2026-12-12T00:00:00"/>
    <x v="0"/>
    <d v="2026-12-12T00:00:00"/>
    <x v="0"/>
    <x v="0"/>
    <x v="0"/>
    <x v="0"/>
    <x v="0"/>
    <m/>
    <m/>
    <x v="0"/>
    <x v="0"/>
    <x v="0"/>
    <x v="0"/>
    <x v="0"/>
    <x v="4"/>
  </r>
  <r>
    <d v="2026-12-13T00:00:00"/>
    <x v="1"/>
    <d v="2026-12-13T00:00:00"/>
    <x v="0"/>
    <x v="0"/>
    <x v="0"/>
    <x v="0"/>
    <x v="0"/>
    <m/>
    <m/>
    <x v="0"/>
    <x v="0"/>
    <x v="0"/>
    <x v="0"/>
    <x v="0"/>
    <x v="4"/>
  </r>
  <r>
    <d v="2026-12-14T00:00:00"/>
    <x v="2"/>
    <d v="2026-12-14T00:00:00"/>
    <x v="1"/>
    <x v="0"/>
    <x v="0"/>
    <x v="0"/>
    <x v="0"/>
    <m/>
    <m/>
    <x v="0"/>
    <x v="0"/>
    <x v="0"/>
    <x v="0"/>
    <x v="0"/>
    <x v="4"/>
  </r>
  <r>
    <d v="2026-12-15T00:00:00"/>
    <x v="3"/>
    <d v="2026-12-15T00:00:00"/>
    <x v="1"/>
    <x v="0"/>
    <x v="0"/>
    <x v="0"/>
    <x v="0"/>
    <m/>
    <m/>
    <x v="0"/>
    <x v="0"/>
    <x v="0"/>
    <x v="0"/>
    <x v="0"/>
    <x v="4"/>
  </r>
  <r>
    <d v="2026-12-16T00:00:00"/>
    <x v="4"/>
    <d v="2026-12-16T00:00:00"/>
    <x v="1"/>
    <x v="0"/>
    <x v="0"/>
    <x v="0"/>
    <x v="0"/>
    <m/>
    <m/>
    <x v="0"/>
    <x v="0"/>
    <x v="0"/>
    <x v="0"/>
    <x v="0"/>
    <x v="4"/>
  </r>
  <r>
    <d v="2026-12-17T00:00:00"/>
    <x v="5"/>
    <d v="2026-12-17T00:00:00"/>
    <x v="1"/>
    <x v="0"/>
    <x v="0"/>
    <x v="0"/>
    <x v="0"/>
    <m/>
    <m/>
    <x v="0"/>
    <x v="0"/>
    <x v="0"/>
    <x v="0"/>
    <x v="0"/>
    <x v="4"/>
  </r>
  <r>
    <d v="2026-12-18T00:00:00"/>
    <x v="6"/>
    <d v="2026-12-18T00:00:00"/>
    <x v="1"/>
    <x v="0"/>
    <x v="0"/>
    <x v="0"/>
    <x v="0"/>
    <m/>
    <m/>
    <x v="0"/>
    <x v="0"/>
    <x v="0"/>
    <x v="0"/>
    <x v="0"/>
    <x v="4"/>
  </r>
  <r>
    <d v="2026-12-19T00:00:00"/>
    <x v="0"/>
    <d v="2026-12-19T00:00:00"/>
    <x v="0"/>
    <x v="0"/>
    <x v="0"/>
    <x v="0"/>
    <x v="0"/>
    <m/>
    <m/>
    <x v="0"/>
    <x v="0"/>
    <x v="0"/>
    <x v="0"/>
    <x v="0"/>
    <x v="4"/>
  </r>
  <r>
    <d v="2026-12-20T00:00:00"/>
    <x v="1"/>
    <d v="2026-12-20T00:00:00"/>
    <x v="0"/>
    <x v="0"/>
    <x v="0"/>
    <x v="0"/>
    <x v="0"/>
    <m/>
    <m/>
    <x v="0"/>
    <x v="0"/>
    <x v="0"/>
    <x v="0"/>
    <x v="0"/>
    <x v="4"/>
  </r>
  <r>
    <d v="2026-12-21T00:00:00"/>
    <x v="2"/>
    <d v="2026-12-21T00:00:00"/>
    <x v="1"/>
    <x v="0"/>
    <x v="0"/>
    <x v="0"/>
    <x v="0"/>
    <m/>
    <m/>
    <x v="0"/>
    <x v="0"/>
    <x v="0"/>
    <x v="0"/>
    <x v="0"/>
    <x v="4"/>
  </r>
  <r>
    <d v="2026-12-22T00:00:00"/>
    <x v="3"/>
    <d v="2026-12-22T00:00:00"/>
    <x v="1"/>
    <x v="0"/>
    <x v="0"/>
    <x v="0"/>
    <x v="0"/>
    <m/>
    <m/>
    <x v="0"/>
    <x v="0"/>
    <x v="0"/>
    <x v="0"/>
    <x v="0"/>
    <x v="4"/>
  </r>
  <r>
    <d v="2026-12-23T00:00:00"/>
    <x v="4"/>
    <d v="2026-12-23T00:00:00"/>
    <x v="1"/>
    <x v="0"/>
    <x v="0"/>
    <x v="0"/>
    <x v="0"/>
    <m/>
    <m/>
    <x v="0"/>
    <x v="0"/>
    <x v="0"/>
    <x v="0"/>
    <x v="0"/>
    <x v="4"/>
  </r>
  <r>
    <d v="2026-12-24T00:00:00"/>
    <x v="5"/>
    <d v="2026-12-24T00:00:00"/>
    <x v="1"/>
    <x v="0"/>
    <x v="0"/>
    <x v="0"/>
    <x v="0"/>
    <m/>
    <m/>
    <x v="0"/>
    <x v="0"/>
    <x v="0"/>
    <x v="0"/>
    <x v="0"/>
    <x v="4"/>
  </r>
  <r>
    <d v="2026-12-25T00:00:00"/>
    <x v="6"/>
    <d v="2026-12-25T00:00:00"/>
    <x v="1"/>
    <x v="0"/>
    <x v="0"/>
    <x v="0"/>
    <x v="0"/>
    <m/>
    <m/>
    <x v="0"/>
    <x v="0"/>
    <x v="0"/>
    <x v="0"/>
    <x v="0"/>
    <x v="4"/>
  </r>
  <r>
    <d v="2026-12-26T00:00:00"/>
    <x v="0"/>
    <d v="2026-12-26T00:00:00"/>
    <x v="0"/>
    <x v="0"/>
    <x v="0"/>
    <x v="0"/>
    <x v="0"/>
    <m/>
    <m/>
    <x v="0"/>
    <x v="0"/>
    <x v="0"/>
    <x v="0"/>
    <x v="0"/>
    <x v="4"/>
  </r>
  <r>
    <d v="2026-12-27T00:00:00"/>
    <x v="1"/>
    <d v="2026-12-27T00:00:00"/>
    <x v="0"/>
    <x v="0"/>
    <x v="0"/>
    <x v="0"/>
    <x v="0"/>
    <m/>
    <m/>
    <x v="0"/>
    <x v="0"/>
    <x v="0"/>
    <x v="0"/>
    <x v="0"/>
    <x v="4"/>
  </r>
  <r>
    <d v="2026-12-28T00:00:00"/>
    <x v="2"/>
    <d v="2026-12-28T00:00:00"/>
    <x v="1"/>
    <x v="0"/>
    <x v="0"/>
    <x v="0"/>
    <x v="0"/>
    <m/>
    <m/>
    <x v="0"/>
    <x v="0"/>
    <x v="0"/>
    <x v="0"/>
    <x v="0"/>
    <x v="4"/>
  </r>
  <r>
    <d v="2026-12-29T00:00:00"/>
    <x v="3"/>
    <d v="2026-12-29T00:00:00"/>
    <x v="1"/>
    <x v="0"/>
    <x v="0"/>
    <x v="0"/>
    <x v="0"/>
    <m/>
    <m/>
    <x v="0"/>
    <x v="0"/>
    <x v="0"/>
    <x v="0"/>
    <x v="0"/>
    <x v="4"/>
  </r>
  <r>
    <d v="2026-12-30T00:00:00"/>
    <x v="4"/>
    <d v="2026-12-30T00:00:00"/>
    <x v="1"/>
    <x v="0"/>
    <x v="0"/>
    <x v="0"/>
    <x v="0"/>
    <m/>
    <m/>
    <x v="0"/>
    <x v="0"/>
    <x v="0"/>
    <x v="0"/>
    <x v="0"/>
    <x v="4"/>
  </r>
  <r>
    <d v="2026-12-31T00:00:00"/>
    <x v="5"/>
    <d v="2026-12-31T00:00:00"/>
    <x v="1"/>
    <x v="0"/>
    <x v="0"/>
    <x v="0"/>
    <x v="0"/>
    <m/>
    <m/>
    <x v="0"/>
    <x v="0"/>
    <x v="0"/>
    <x v="0"/>
    <x v="0"/>
    <x v="4"/>
  </r>
  <r>
    <d v="2027-01-01T00:00:00"/>
    <x v="6"/>
    <d v="2027-01-01T00:00:00"/>
    <x v="1"/>
    <x v="0"/>
    <x v="0"/>
    <x v="0"/>
    <x v="0"/>
    <m/>
    <m/>
    <x v="0"/>
    <x v="0"/>
    <x v="0"/>
    <x v="0"/>
    <x v="0"/>
    <x v="4"/>
  </r>
  <r>
    <d v="2027-01-02T00:00:00"/>
    <x v="0"/>
    <d v="2027-01-02T00:00:00"/>
    <x v="0"/>
    <x v="0"/>
    <x v="0"/>
    <x v="0"/>
    <x v="0"/>
    <m/>
    <m/>
    <x v="0"/>
    <x v="0"/>
    <x v="0"/>
    <x v="0"/>
    <x v="0"/>
    <x v="4"/>
  </r>
  <r>
    <d v="2027-01-03T00:00:00"/>
    <x v="1"/>
    <d v="2027-01-03T00:00:00"/>
    <x v="0"/>
    <x v="0"/>
    <x v="0"/>
    <x v="0"/>
    <x v="0"/>
    <m/>
    <m/>
    <x v="0"/>
    <x v="0"/>
    <x v="0"/>
    <x v="0"/>
    <x v="0"/>
    <x v="4"/>
  </r>
  <r>
    <d v="2027-01-04T00:00:00"/>
    <x v="2"/>
    <d v="2027-01-04T00:00:00"/>
    <x v="1"/>
    <x v="0"/>
    <x v="0"/>
    <x v="0"/>
    <x v="0"/>
    <m/>
    <m/>
    <x v="0"/>
    <x v="0"/>
    <x v="0"/>
    <x v="0"/>
    <x v="0"/>
    <x v="4"/>
  </r>
  <r>
    <d v="2027-01-05T00:00:00"/>
    <x v="3"/>
    <d v="2027-01-05T00:00:00"/>
    <x v="1"/>
    <x v="0"/>
    <x v="0"/>
    <x v="0"/>
    <x v="0"/>
    <m/>
    <m/>
    <x v="0"/>
    <x v="0"/>
    <x v="0"/>
    <x v="0"/>
    <x v="0"/>
    <x v="4"/>
  </r>
  <r>
    <d v="2027-01-06T00:00:00"/>
    <x v="4"/>
    <d v="2027-01-06T00:00:00"/>
    <x v="1"/>
    <x v="0"/>
    <x v="0"/>
    <x v="0"/>
    <x v="0"/>
    <m/>
    <m/>
    <x v="0"/>
    <x v="0"/>
    <x v="0"/>
    <x v="0"/>
    <x v="0"/>
    <x v="4"/>
  </r>
  <r>
    <d v="2027-01-07T00:00:00"/>
    <x v="5"/>
    <d v="2027-01-07T00:00:00"/>
    <x v="1"/>
    <x v="0"/>
    <x v="0"/>
    <x v="0"/>
    <x v="0"/>
    <m/>
    <m/>
    <x v="0"/>
    <x v="0"/>
    <x v="0"/>
    <x v="0"/>
    <x v="0"/>
    <x v="4"/>
  </r>
  <r>
    <d v="2027-01-08T00:00:00"/>
    <x v="6"/>
    <d v="2027-01-08T00:00:00"/>
    <x v="1"/>
    <x v="0"/>
    <x v="0"/>
    <x v="0"/>
    <x v="0"/>
    <m/>
    <m/>
    <x v="0"/>
    <x v="0"/>
    <x v="0"/>
    <x v="0"/>
    <x v="0"/>
    <x v="4"/>
  </r>
  <r>
    <d v="2027-01-09T00:00:00"/>
    <x v="0"/>
    <d v="2027-01-09T00:00:00"/>
    <x v="0"/>
    <x v="0"/>
    <x v="0"/>
    <x v="0"/>
    <x v="0"/>
    <m/>
    <m/>
    <x v="0"/>
    <x v="0"/>
    <x v="0"/>
    <x v="0"/>
    <x v="0"/>
    <x v="4"/>
  </r>
  <r>
    <d v="2027-01-10T00:00:00"/>
    <x v="1"/>
    <d v="2027-01-10T00:00:00"/>
    <x v="0"/>
    <x v="0"/>
    <x v="0"/>
    <x v="0"/>
    <x v="0"/>
    <m/>
    <m/>
    <x v="0"/>
    <x v="0"/>
    <x v="0"/>
    <x v="0"/>
    <x v="0"/>
    <x v="4"/>
  </r>
  <r>
    <d v="2027-01-11T00:00:00"/>
    <x v="2"/>
    <d v="2027-01-11T00:00:00"/>
    <x v="1"/>
    <x v="0"/>
    <x v="0"/>
    <x v="0"/>
    <x v="0"/>
    <m/>
    <m/>
    <x v="0"/>
    <x v="0"/>
    <x v="0"/>
    <x v="0"/>
    <x v="0"/>
    <x v="4"/>
  </r>
  <r>
    <d v="2027-01-12T00:00:00"/>
    <x v="3"/>
    <d v="2027-01-12T00:00:00"/>
    <x v="1"/>
    <x v="0"/>
    <x v="0"/>
    <x v="0"/>
    <x v="0"/>
    <m/>
    <m/>
    <x v="0"/>
    <x v="0"/>
    <x v="0"/>
    <x v="0"/>
    <x v="0"/>
    <x v="4"/>
  </r>
  <r>
    <d v="2027-01-13T00:00:00"/>
    <x v="4"/>
    <d v="2027-01-13T00:00:00"/>
    <x v="1"/>
    <x v="0"/>
    <x v="0"/>
    <x v="0"/>
    <x v="0"/>
    <m/>
    <m/>
    <x v="0"/>
    <x v="0"/>
    <x v="0"/>
    <x v="0"/>
    <x v="0"/>
    <x v="4"/>
  </r>
  <r>
    <d v="2027-01-14T00:00:00"/>
    <x v="5"/>
    <d v="2027-01-14T00:00:00"/>
    <x v="1"/>
    <x v="0"/>
    <x v="0"/>
    <x v="0"/>
    <x v="0"/>
    <m/>
    <m/>
    <x v="0"/>
    <x v="0"/>
    <x v="0"/>
    <x v="0"/>
    <x v="0"/>
    <x v="4"/>
  </r>
  <r>
    <d v="2027-01-15T00:00:00"/>
    <x v="6"/>
    <d v="2027-01-15T00:00:00"/>
    <x v="1"/>
    <x v="0"/>
    <x v="0"/>
    <x v="0"/>
    <x v="0"/>
    <m/>
    <m/>
    <x v="0"/>
    <x v="0"/>
    <x v="0"/>
    <x v="0"/>
    <x v="0"/>
    <x v="4"/>
  </r>
  <r>
    <d v="2027-01-16T00:00:00"/>
    <x v="0"/>
    <d v="2027-01-16T00:00:00"/>
    <x v="0"/>
    <x v="0"/>
    <x v="0"/>
    <x v="0"/>
    <x v="0"/>
    <m/>
    <m/>
    <x v="0"/>
    <x v="0"/>
    <x v="0"/>
    <x v="0"/>
    <x v="0"/>
    <x v="4"/>
  </r>
  <r>
    <d v="2027-01-17T00:00:00"/>
    <x v="1"/>
    <d v="2027-01-17T00:00:00"/>
    <x v="0"/>
    <x v="0"/>
    <x v="0"/>
    <x v="0"/>
    <x v="0"/>
    <m/>
    <m/>
    <x v="0"/>
    <x v="0"/>
    <x v="0"/>
    <x v="0"/>
    <x v="0"/>
    <x v="4"/>
  </r>
  <r>
    <d v="2027-01-18T00:00:00"/>
    <x v="2"/>
    <d v="2027-01-18T00:00:00"/>
    <x v="1"/>
    <x v="0"/>
    <x v="0"/>
    <x v="0"/>
    <x v="0"/>
    <m/>
    <m/>
    <x v="0"/>
    <x v="0"/>
    <x v="0"/>
    <x v="0"/>
    <x v="0"/>
    <x v="4"/>
  </r>
  <r>
    <d v="2027-01-19T00:00:00"/>
    <x v="3"/>
    <d v="2027-01-19T00:00:00"/>
    <x v="1"/>
    <x v="0"/>
    <x v="0"/>
    <x v="0"/>
    <x v="0"/>
    <m/>
    <m/>
    <x v="0"/>
    <x v="0"/>
    <x v="0"/>
    <x v="0"/>
    <x v="0"/>
    <x v="4"/>
  </r>
  <r>
    <d v="2027-01-20T00:00:00"/>
    <x v="4"/>
    <d v="2027-01-20T00:00:00"/>
    <x v="1"/>
    <x v="0"/>
    <x v="0"/>
    <x v="0"/>
    <x v="0"/>
    <m/>
    <m/>
    <x v="0"/>
    <x v="0"/>
    <x v="0"/>
    <x v="0"/>
    <x v="0"/>
    <x v="4"/>
  </r>
  <r>
    <d v="2027-01-21T00:00:00"/>
    <x v="5"/>
    <d v="2027-01-21T00:00:00"/>
    <x v="1"/>
    <x v="0"/>
    <x v="0"/>
    <x v="0"/>
    <x v="0"/>
    <m/>
    <m/>
    <x v="0"/>
    <x v="0"/>
    <x v="0"/>
    <x v="0"/>
    <x v="0"/>
    <x v="4"/>
  </r>
  <r>
    <d v="2027-01-22T00:00:00"/>
    <x v="6"/>
    <d v="2027-01-22T00:00:00"/>
    <x v="1"/>
    <x v="0"/>
    <x v="0"/>
    <x v="0"/>
    <x v="0"/>
    <m/>
    <m/>
    <x v="0"/>
    <x v="0"/>
    <x v="0"/>
    <x v="0"/>
    <x v="0"/>
    <x v="4"/>
  </r>
  <r>
    <d v="2027-01-23T00:00:00"/>
    <x v="0"/>
    <d v="2027-01-23T00:00:00"/>
    <x v="0"/>
    <x v="0"/>
    <x v="0"/>
    <x v="0"/>
    <x v="0"/>
    <m/>
    <m/>
    <x v="0"/>
    <x v="0"/>
    <x v="0"/>
    <x v="0"/>
    <x v="0"/>
    <x v="4"/>
  </r>
  <r>
    <d v="2027-01-24T00:00:00"/>
    <x v="1"/>
    <d v="2027-01-24T00:00:00"/>
    <x v="0"/>
    <x v="0"/>
    <x v="0"/>
    <x v="0"/>
    <x v="0"/>
    <m/>
    <m/>
    <x v="0"/>
    <x v="0"/>
    <x v="0"/>
    <x v="0"/>
    <x v="0"/>
    <x v="4"/>
  </r>
  <r>
    <d v="2027-01-25T00:00:00"/>
    <x v="2"/>
    <d v="2027-01-25T00:00:00"/>
    <x v="1"/>
    <x v="0"/>
    <x v="0"/>
    <x v="0"/>
    <x v="0"/>
    <m/>
    <m/>
    <x v="0"/>
    <x v="0"/>
    <x v="0"/>
    <x v="0"/>
    <x v="0"/>
    <x v="4"/>
  </r>
  <r>
    <d v="2027-01-26T00:00:00"/>
    <x v="3"/>
    <d v="2027-01-26T00:00:00"/>
    <x v="1"/>
    <x v="0"/>
    <x v="0"/>
    <x v="0"/>
    <x v="0"/>
    <m/>
    <m/>
    <x v="0"/>
    <x v="0"/>
    <x v="0"/>
    <x v="0"/>
    <x v="0"/>
    <x v="4"/>
  </r>
  <r>
    <d v="2027-01-27T00:00:00"/>
    <x v="4"/>
    <d v="2027-01-27T00:00:00"/>
    <x v="1"/>
    <x v="0"/>
    <x v="0"/>
    <x v="0"/>
    <x v="0"/>
    <m/>
    <m/>
    <x v="0"/>
    <x v="0"/>
    <x v="0"/>
    <x v="0"/>
    <x v="0"/>
    <x v="4"/>
  </r>
  <r>
    <d v="2027-01-28T00:00:00"/>
    <x v="5"/>
    <d v="2027-01-28T00:00:00"/>
    <x v="1"/>
    <x v="0"/>
    <x v="0"/>
    <x v="0"/>
    <x v="0"/>
    <m/>
    <m/>
    <x v="0"/>
    <x v="0"/>
    <x v="0"/>
    <x v="0"/>
    <x v="0"/>
    <x v="4"/>
  </r>
  <r>
    <d v="2027-01-29T00:00:00"/>
    <x v="6"/>
    <d v="2027-01-29T00:00:00"/>
    <x v="1"/>
    <x v="0"/>
    <x v="0"/>
    <x v="0"/>
    <x v="0"/>
    <m/>
    <m/>
    <x v="0"/>
    <x v="0"/>
    <x v="0"/>
    <x v="0"/>
    <x v="0"/>
    <x v="4"/>
  </r>
  <r>
    <d v="2027-01-30T00:00:00"/>
    <x v="0"/>
    <d v="2027-01-30T00:00:00"/>
    <x v="0"/>
    <x v="0"/>
    <x v="0"/>
    <x v="0"/>
    <x v="0"/>
    <m/>
    <m/>
    <x v="0"/>
    <x v="0"/>
    <x v="0"/>
    <x v="0"/>
    <x v="0"/>
    <x v="4"/>
  </r>
  <r>
    <d v="2027-01-31T00:00:00"/>
    <x v="1"/>
    <d v="2027-01-31T00:00:00"/>
    <x v="0"/>
    <x v="0"/>
    <x v="0"/>
    <x v="0"/>
    <x v="0"/>
    <m/>
    <m/>
    <x v="0"/>
    <x v="0"/>
    <x v="0"/>
    <x v="0"/>
    <x v="0"/>
    <x v="4"/>
  </r>
  <r>
    <d v="2027-02-01T00:00:00"/>
    <x v="2"/>
    <d v="2027-02-01T00:00:00"/>
    <x v="1"/>
    <x v="0"/>
    <x v="0"/>
    <x v="0"/>
    <x v="0"/>
    <m/>
    <m/>
    <x v="0"/>
    <x v="0"/>
    <x v="0"/>
    <x v="0"/>
    <x v="0"/>
    <x v="4"/>
  </r>
  <r>
    <d v="2027-02-02T00:00:00"/>
    <x v="3"/>
    <d v="2027-02-02T00:00:00"/>
    <x v="1"/>
    <x v="0"/>
    <x v="0"/>
    <x v="0"/>
    <x v="0"/>
    <m/>
    <m/>
    <x v="0"/>
    <x v="0"/>
    <x v="0"/>
    <x v="0"/>
    <x v="0"/>
    <x v="4"/>
  </r>
  <r>
    <d v="2027-02-03T00:00:00"/>
    <x v="4"/>
    <d v="2027-02-03T00:00:00"/>
    <x v="1"/>
    <x v="0"/>
    <x v="0"/>
    <x v="0"/>
    <x v="0"/>
    <m/>
    <m/>
    <x v="0"/>
    <x v="0"/>
    <x v="0"/>
    <x v="0"/>
    <x v="0"/>
    <x v="4"/>
  </r>
  <r>
    <d v="2027-02-04T00:00:00"/>
    <x v="5"/>
    <d v="2027-02-04T00:00:00"/>
    <x v="1"/>
    <x v="0"/>
    <x v="0"/>
    <x v="0"/>
    <x v="0"/>
    <m/>
    <m/>
    <x v="0"/>
    <x v="0"/>
    <x v="0"/>
    <x v="0"/>
    <x v="0"/>
    <x v="4"/>
  </r>
  <r>
    <d v="2027-02-05T00:00:00"/>
    <x v="6"/>
    <d v="2027-02-05T00:00:00"/>
    <x v="1"/>
    <x v="0"/>
    <x v="0"/>
    <x v="0"/>
    <x v="0"/>
    <m/>
    <m/>
    <x v="0"/>
    <x v="0"/>
    <x v="0"/>
    <x v="0"/>
    <x v="0"/>
    <x v="4"/>
  </r>
  <r>
    <d v="2027-02-06T00:00:00"/>
    <x v="0"/>
    <d v="2027-02-06T00:00:00"/>
    <x v="0"/>
    <x v="0"/>
    <x v="0"/>
    <x v="0"/>
    <x v="0"/>
    <m/>
    <m/>
    <x v="0"/>
    <x v="0"/>
    <x v="0"/>
    <x v="0"/>
    <x v="0"/>
    <x v="4"/>
  </r>
  <r>
    <d v="2027-02-07T00:00:00"/>
    <x v="1"/>
    <d v="2027-02-07T00:00:00"/>
    <x v="0"/>
    <x v="0"/>
    <x v="0"/>
    <x v="0"/>
    <x v="0"/>
    <m/>
    <m/>
    <x v="0"/>
    <x v="0"/>
    <x v="0"/>
    <x v="0"/>
    <x v="0"/>
    <x v="4"/>
  </r>
  <r>
    <d v="2027-02-08T00:00:00"/>
    <x v="2"/>
    <d v="2027-02-08T00:00:00"/>
    <x v="1"/>
    <x v="0"/>
    <x v="0"/>
    <x v="0"/>
    <x v="0"/>
    <m/>
    <m/>
    <x v="0"/>
    <x v="0"/>
    <x v="0"/>
    <x v="0"/>
    <x v="0"/>
    <x v="4"/>
  </r>
  <r>
    <d v="2027-02-09T00:00:00"/>
    <x v="3"/>
    <d v="2027-02-09T00:00:00"/>
    <x v="1"/>
    <x v="0"/>
    <x v="0"/>
    <x v="0"/>
    <x v="0"/>
    <m/>
    <m/>
    <x v="0"/>
    <x v="0"/>
    <x v="0"/>
    <x v="0"/>
    <x v="0"/>
    <x v="4"/>
  </r>
  <r>
    <d v="2027-02-10T00:00:00"/>
    <x v="4"/>
    <d v="2027-02-10T00:00:00"/>
    <x v="1"/>
    <x v="0"/>
    <x v="0"/>
    <x v="0"/>
    <x v="0"/>
    <m/>
    <m/>
    <x v="0"/>
    <x v="0"/>
    <x v="0"/>
    <x v="0"/>
    <x v="0"/>
    <x v="4"/>
  </r>
  <r>
    <d v="2027-02-11T00:00:00"/>
    <x v="5"/>
    <d v="2027-02-11T00:00:00"/>
    <x v="1"/>
    <x v="0"/>
    <x v="0"/>
    <x v="0"/>
    <x v="0"/>
    <m/>
    <m/>
    <x v="0"/>
    <x v="0"/>
    <x v="0"/>
    <x v="0"/>
    <x v="0"/>
    <x v="4"/>
  </r>
  <r>
    <d v="2027-02-12T00:00:00"/>
    <x v="6"/>
    <d v="2027-02-12T00:00:00"/>
    <x v="1"/>
    <x v="0"/>
    <x v="0"/>
    <x v="0"/>
    <x v="0"/>
    <m/>
    <m/>
    <x v="0"/>
    <x v="0"/>
    <x v="0"/>
    <x v="0"/>
    <x v="0"/>
    <x v="4"/>
  </r>
  <r>
    <d v="2027-02-13T00:00:00"/>
    <x v="0"/>
    <d v="2027-02-13T00:00:00"/>
    <x v="0"/>
    <x v="0"/>
    <x v="0"/>
    <x v="0"/>
    <x v="0"/>
    <m/>
    <m/>
    <x v="0"/>
    <x v="0"/>
    <x v="0"/>
    <x v="0"/>
    <x v="0"/>
    <x v="4"/>
  </r>
  <r>
    <d v="2027-02-14T00:00:00"/>
    <x v="1"/>
    <d v="2027-02-14T00:00:00"/>
    <x v="0"/>
    <x v="0"/>
    <x v="0"/>
    <x v="0"/>
    <x v="0"/>
    <m/>
    <m/>
    <x v="0"/>
    <x v="0"/>
    <x v="0"/>
    <x v="0"/>
    <x v="0"/>
    <x v="4"/>
  </r>
  <r>
    <d v="2027-02-15T00:00:00"/>
    <x v="2"/>
    <d v="2027-02-15T00:00:00"/>
    <x v="1"/>
    <x v="0"/>
    <x v="0"/>
    <x v="0"/>
    <x v="0"/>
    <m/>
    <m/>
    <x v="0"/>
    <x v="0"/>
    <x v="0"/>
    <x v="0"/>
    <x v="0"/>
    <x v="4"/>
  </r>
  <r>
    <d v="2025-11-01T00:00:00"/>
    <x v="0"/>
    <d v="2025-11-01T00:00:00"/>
    <x v="0"/>
    <x v="0"/>
    <x v="0"/>
    <x v="0"/>
    <x v="0"/>
    <m/>
    <m/>
    <x v="0"/>
    <x v="0"/>
    <x v="0"/>
    <x v="0"/>
    <x v="0"/>
    <x v="5"/>
  </r>
  <r>
    <d v="2025-11-02T00:00:00"/>
    <x v="1"/>
    <d v="2025-11-02T00:00:00"/>
    <x v="0"/>
    <x v="0"/>
    <x v="0"/>
    <x v="0"/>
    <x v="0"/>
    <m/>
    <m/>
    <x v="0"/>
    <x v="0"/>
    <x v="0"/>
    <x v="0"/>
    <x v="0"/>
    <x v="5"/>
  </r>
  <r>
    <d v="2025-11-03T00:00:00"/>
    <x v="2"/>
    <d v="2025-11-03T00:00:00"/>
    <x v="1"/>
    <x v="0"/>
    <x v="0"/>
    <x v="0"/>
    <x v="0"/>
    <m/>
    <m/>
    <x v="0"/>
    <x v="0"/>
    <x v="0"/>
    <x v="0"/>
    <x v="0"/>
    <x v="5"/>
  </r>
  <r>
    <d v="2025-11-04T00:00:00"/>
    <x v="3"/>
    <d v="2025-11-04T00:00:00"/>
    <x v="1"/>
    <x v="0"/>
    <x v="0"/>
    <x v="0"/>
    <x v="0"/>
    <m/>
    <m/>
    <x v="0"/>
    <x v="0"/>
    <x v="0"/>
    <x v="0"/>
    <x v="0"/>
    <x v="5"/>
  </r>
  <r>
    <d v="2025-11-05T00:00:00"/>
    <x v="4"/>
    <d v="2025-11-05T00:00:00"/>
    <x v="1"/>
    <x v="0"/>
    <x v="0"/>
    <x v="0"/>
    <x v="0"/>
    <m/>
    <m/>
    <x v="0"/>
    <x v="0"/>
    <x v="0"/>
    <x v="0"/>
    <x v="0"/>
    <x v="5"/>
  </r>
  <r>
    <d v="2025-11-06T00:00:00"/>
    <x v="5"/>
    <d v="2025-11-06T00:00:00"/>
    <x v="1"/>
    <x v="0"/>
    <x v="0"/>
    <x v="0"/>
    <x v="0"/>
    <m/>
    <m/>
    <x v="0"/>
    <x v="0"/>
    <x v="0"/>
    <x v="0"/>
    <x v="0"/>
    <x v="5"/>
  </r>
  <r>
    <d v="2025-11-07T00:00:00"/>
    <x v="6"/>
    <d v="2025-11-07T00:00:00"/>
    <x v="1"/>
    <x v="0"/>
    <x v="0"/>
    <x v="0"/>
    <x v="0"/>
    <m/>
    <m/>
    <x v="0"/>
    <x v="0"/>
    <x v="0"/>
    <x v="0"/>
    <x v="0"/>
    <x v="5"/>
  </r>
  <r>
    <d v="2025-11-08T00:00:00"/>
    <x v="0"/>
    <d v="2025-11-08T00:00:00"/>
    <x v="0"/>
    <x v="0"/>
    <x v="0"/>
    <x v="0"/>
    <x v="0"/>
    <m/>
    <m/>
    <x v="0"/>
    <x v="0"/>
    <x v="0"/>
    <x v="0"/>
    <x v="0"/>
    <x v="5"/>
  </r>
  <r>
    <d v="2025-11-09T00:00:00"/>
    <x v="1"/>
    <d v="2025-11-09T00:00:00"/>
    <x v="0"/>
    <x v="0"/>
    <x v="0"/>
    <x v="0"/>
    <x v="0"/>
    <m/>
    <m/>
    <x v="0"/>
    <x v="0"/>
    <x v="0"/>
    <x v="0"/>
    <x v="0"/>
    <x v="5"/>
  </r>
  <r>
    <d v="2025-11-10T00:00:00"/>
    <x v="2"/>
    <d v="2025-11-10T00:00:00"/>
    <x v="1"/>
    <x v="0"/>
    <x v="0"/>
    <x v="0"/>
    <x v="0"/>
    <m/>
    <m/>
    <x v="0"/>
    <x v="0"/>
    <x v="0"/>
    <x v="0"/>
    <x v="0"/>
    <x v="5"/>
  </r>
  <r>
    <d v="2025-11-11T00:00:00"/>
    <x v="3"/>
    <d v="2025-11-11T00:00:00"/>
    <x v="1"/>
    <x v="0"/>
    <x v="0"/>
    <x v="0"/>
    <x v="0"/>
    <m/>
    <m/>
    <x v="0"/>
    <x v="0"/>
    <x v="0"/>
    <x v="0"/>
    <x v="0"/>
    <x v="5"/>
  </r>
  <r>
    <d v="2025-11-12T00:00:00"/>
    <x v="4"/>
    <d v="2025-11-12T00:00:00"/>
    <x v="1"/>
    <x v="0"/>
    <x v="0"/>
    <x v="0"/>
    <x v="0"/>
    <m/>
    <m/>
    <x v="0"/>
    <x v="0"/>
    <x v="0"/>
    <x v="0"/>
    <x v="0"/>
    <x v="5"/>
  </r>
  <r>
    <d v="2025-11-13T00:00:00"/>
    <x v="5"/>
    <d v="2025-11-13T00:00:00"/>
    <x v="1"/>
    <x v="0"/>
    <x v="0"/>
    <x v="0"/>
    <x v="0"/>
    <m/>
    <m/>
    <x v="0"/>
    <x v="0"/>
    <x v="0"/>
    <x v="0"/>
    <x v="0"/>
    <x v="5"/>
  </r>
  <r>
    <d v="2025-11-14T00:00:00"/>
    <x v="6"/>
    <d v="2025-11-14T00:00:00"/>
    <x v="1"/>
    <x v="0"/>
    <x v="0"/>
    <x v="0"/>
    <x v="0"/>
    <m/>
    <m/>
    <x v="0"/>
    <x v="0"/>
    <x v="0"/>
    <x v="0"/>
    <x v="0"/>
    <x v="5"/>
  </r>
  <r>
    <d v="2025-11-15T00:00:00"/>
    <x v="0"/>
    <d v="2025-11-15T00:00:00"/>
    <x v="0"/>
    <x v="0"/>
    <x v="0"/>
    <x v="0"/>
    <x v="0"/>
    <m/>
    <m/>
    <x v="0"/>
    <x v="0"/>
    <x v="0"/>
    <x v="0"/>
    <x v="0"/>
    <x v="5"/>
  </r>
  <r>
    <d v="2025-11-16T00:00:00"/>
    <x v="1"/>
    <d v="2025-11-16T00:00:00"/>
    <x v="0"/>
    <x v="0"/>
    <x v="0"/>
    <x v="0"/>
    <x v="0"/>
    <m/>
    <m/>
    <x v="0"/>
    <x v="0"/>
    <x v="0"/>
    <x v="0"/>
    <x v="0"/>
    <x v="5"/>
  </r>
  <r>
    <d v="2025-11-17T00:00:00"/>
    <x v="2"/>
    <d v="2025-11-17T00:00:00"/>
    <x v="1"/>
    <x v="0"/>
    <x v="0"/>
    <x v="0"/>
    <x v="0"/>
    <m/>
    <m/>
    <x v="0"/>
    <x v="0"/>
    <x v="0"/>
    <x v="0"/>
    <x v="0"/>
    <x v="5"/>
  </r>
  <r>
    <d v="2025-11-18T00:00:00"/>
    <x v="3"/>
    <d v="2025-11-18T00:00:00"/>
    <x v="1"/>
    <x v="0"/>
    <x v="0"/>
    <x v="0"/>
    <x v="0"/>
    <m/>
    <m/>
    <x v="0"/>
    <x v="0"/>
    <x v="0"/>
    <x v="0"/>
    <x v="0"/>
    <x v="5"/>
  </r>
  <r>
    <d v="2025-11-19T00:00:00"/>
    <x v="4"/>
    <d v="2025-11-19T00:00:00"/>
    <x v="1"/>
    <x v="0"/>
    <x v="0"/>
    <x v="0"/>
    <x v="0"/>
    <m/>
    <m/>
    <x v="0"/>
    <x v="0"/>
    <x v="0"/>
    <x v="0"/>
    <x v="0"/>
    <x v="5"/>
  </r>
  <r>
    <d v="2025-11-20T00:00:00"/>
    <x v="5"/>
    <d v="2025-11-20T00:00:00"/>
    <x v="1"/>
    <x v="0"/>
    <x v="0"/>
    <x v="0"/>
    <x v="0"/>
    <m/>
    <m/>
    <x v="0"/>
    <x v="0"/>
    <x v="0"/>
    <x v="0"/>
    <x v="0"/>
    <x v="5"/>
  </r>
  <r>
    <d v="2025-11-21T00:00:00"/>
    <x v="6"/>
    <d v="2025-11-21T00:00:00"/>
    <x v="1"/>
    <x v="0"/>
    <x v="0"/>
    <x v="0"/>
    <x v="0"/>
    <m/>
    <m/>
    <x v="0"/>
    <x v="0"/>
    <x v="0"/>
    <x v="0"/>
    <x v="0"/>
    <x v="5"/>
  </r>
  <r>
    <d v="2025-11-22T00:00:00"/>
    <x v="0"/>
    <d v="2025-11-22T00:00:00"/>
    <x v="0"/>
    <x v="0"/>
    <x v="0"/>
    <x v="0"/>
    <x v="0"/>
    <m/>
    <m/>
    <x v="0"/>
    <x v="0"/>
    <x v="0"/>
    <x v="0"/>
    <x v="0"/>
    <x v="5"/>
  </r>
  <r>
    <d v="2025-11-23T00:00:00"/>
    <x v="1"/>
    <d v="2025-11-23T00:00:00"/>
    <x v="0"/>
    <x v="0"/>
    <x v="0"/>
    <x v="0"/>
    <x v="0"/>
    <m/>
    <m/>
    <x v="0"/>
    <x v="0"/>
    <x v="0"/>
    <x v="0"/>
    <x v="0"/>
    <x v="5"/>
  </r>
  <r>
    <d v="2025-11-24T00:00:00"/>
    <x v="2"/>
    <d v="2025-11-24T00:00:00"/>
    <x v="1"/>
    <x v="0"/>
    <x v="0"/>
    <x v="0"/>
    <x v="0"/>
    <m/>
    <m/>
    <x v="0"/>
    <x v="0"/>
    <x v="0"/>
    <x v="0"/>
    <x v="0"/>
    <x v="5"/>
  </r>
  <r>
    <d v="2025-11-25T00:00:00"/>
    <x v="3"/>
    <d v="2025-11-25T00:00:00"/>
    <x v="1"/>
    <x v="0"/>
    <x v="0"/>
    <x v="0"/>
    <x v="0"/>
    <m/>
    <m/>
    <x v="0"/>
    <x v="0"/>
    <x v="0"/>
    <x v="0"/>
    <x v="0"/>
    <x v="5"/>
  </r>
  <r>
    <d v="2025-11-26T00:00:00"/>
    <x v="4"/>
    <d v="2025-11-26T00:00:00"/>
    <x v="1"/>
    <x v="0"/>
    <x v="0"/>
    <x v="0"/>
    <x v="0"/>
    <m/>
    <m/>
    <x v="0"/>
    <x v="0"/>
    <x v="0"/>
    <x v="0"/>
    <x v="0"/>
    <x v="5"/>
  </r>
  <r>
    <d v="2025-11-27T00:00:00"/>
    <x v="5"/>
    <d v="2025-11-27T00:00:00"/>
    <x v="1"/>
    <x v="0"/>
    <x v="0"/>
    <x v="0"/>
    <x v="0"/>
    <m/>
    <m/>
    <x v="0"/>
    <x v="0"/>
    <x v="0"/>
    <x v="0"/>
    <x v="0"/>
    <x v="5"/>
  </r>
  <r>
    <d v="2025-11-28T00:00:00"/>
    <x v="6"/>
    <d v="2025-11-28T00:00:00"/>
    <x v="1"/>
    <x v="0"/>
    <x v="0"/>
    <x v="0"/>
    <x v="0"/>
    <m/>
    <m/>
    <x v="0"/>
    <x v="0"/>
    <x v="0"/>
    <x v="0"/>
    <x v="0"/>
    <x v="5"/>
  </r>
  <r>
    <d v="2025-11-29T00:00:00"/>
    <x v="0"/>
    <d v="2025-11-29T00:00:00"/>
    <x v="0"/>
    <x v="0"/>
    <x v="0"/>
    <x v="0"/>
    <x v="0"/>
    <m/>
    <m/>
    <x v="0"/>
    <x v="0"/>
    <x v="0"/>
    <x v="0"/>
    <x v="0"/>
    <x v="5"/>
  </r>
  <r>
    <d v="2025-11-30T00:00:00"/>
    <x v="1"/>
    <d v="2025-11-30T00:00:00"/>
    <x v="0"/>
    <x v="0"/>
    <x v="0"/>
    <x v="0"/>
    <x v="0"/>
    <m/>
    <m/>
    <x v="0"/>
    <x v="0"/>
    <x v="0"/>
    <x v="0"/>
    <x v="0"/>
    <x v="5"/>
  </r>
  <r>
    <d v="2025-12-01T00:00:00"/>
    <x v="2"/>
    <d v="2025-12-01T00:00:00"/>
    <x v="1"/>
    <x v="0"/>
    <x v="0"/>
    <x v="0"/>
    <x v="0"/>
    <m/>
    <m/>
    <x v="0"/>
    <x v="0"/>
    <x v="0"/>
    <x v="0"/>
    <x v="0"/>
    <x v="5"/>
  </r>
  <r>
    <d v="2025-12-02T00:00:00"/>
    <x v="3"/>
    <d v="2025-12-02T00:00:00"/>
    <x v="1"/>
    <x v="0"/>
    <x v="0"/>
    <x v="0"/>
    <x v="0"/>
    <m/>
    <m/>
    <x v="0"/>
    <x v="0"/>
    <x v="0"/>
    <x v="0"/>
    <x v="0"/>
    <x v="5"/>
  </r>
  <r>
    <d v="2025-12-03T00:00:00"/>
    <x v="4"/>
    <d v="2025-12-03T00:00:00"/>
    <x v="1"/>
    <x v="0"/>
    <x v="0"/>
    <x v="0"/>
    <x v="0"/>
    <m/>
    <m/>
    <x v="0"/>
    <x v="0"/>
    <x v="0"/>
    <x v="0"/>
    <x v="0"/>
    <x v="5"/>
  </r>
  <r>
    <d v="2025-12-04T00:00:00"/>
    <x v="5"/>
    <d v="2025-12-04T00:00:00"/>
    <x v="1"/>
    <x v="0"/>
    <x v="0"/>
    <x v="0"/>
    <x v="0"/>
    <m/>
    <m/>
    <x v="0"/>
    <x v="0"/>
    <x v="0"/>
    <x v="0"/>
    <x v="0"/>
    <x v="5"/>
  </r>
  <r>
    <d v="2025-12-05T00:00:00"/>
    <x v="6"/>
    <d v="2025-12-05T00:00:00"/>
    <x v="1"/>
    <x v="0"/>
    <x v="0"/>
    <x v="0"/>
    <x v="0"/>
    <m/>
    <m/>
    <x v="0"/>
    <x v="0"/>
    <x v="0"/>
    <x v="0"/>
    <x v="0"/>
    <x v="5"/>
  </r>
  <r>
    <d v="2025-12-06T00:00:00"/>
    <x v="0"/>
    <d v="2025-12-06T00:00:00"/>
    <x v="0"/>
    <x v="0"/>
    <x v="0"/>
    <x v="0"/>
    <x v="0"/>
    <m/>
    <m/>
    <x v="0"/>
    <x v="0"/>
    <x v="0"/>
    <x v="0"/>
    <x v="0"/>
    <x v="5"/>
  </r>
  <r>
    <d v="2025-12-07T00:00:00"/>
    <x v="1"/>
    <d v="2025-12-07T00:00:00"/>
    <x v="0"/>
    <x v="0"/>
    <x v="0"/>
    <x v="0"/>
    <x v="0"/>
    <m/>
    <m/>
    <x v="0"/>
    <x v="0"/>
    <x v="0"/>
    <x v="0"/>
    <x v="0"/>
    <x v="5"/>
  </r>
  <r>
    <d v="2025-12-08T00:00:00"/>
    <x v="2"/>
    <d v="2025-12-08T00:00:00"/>
    <x v="1"/>
    <x v="0"/>
    <x v="0"/>
    <x v="0"/>
    <x v="0"/>
    <m/>
    <m/>
    <x v="0"/>
    <x v="0"/>
    <x v="0"/>
    <x v="0"/>
    <x v="0"/>
    <x v="5"/>
  </r>
  <r>
    <d v="2025-12-09T00:00:00"/>
    <x v="3"/>
    <d v="2025-12-09T00:00:00"/>
    <x v="1"/>
    <x v="0"/>
    <x v="0"/>
    <x v="0"/>
    <x v="0"/>
    <m/>
    <m/>
    <x v="0"/>
    <x v="0"/>
    <x v="0"/>
    <x v="0"/>
    <x v="0"/>
    <x v="5"/>
  </r>
  <r>
    <d v="2025-12-10T00:00:00"/>
    <x v="4"/>
    <d v="2025-12-10T00:00:00"/>
    <x v="1"/>
    <x v="0"/>
    <x v="0"/>
    <x v="0"/>
    <x v="0"/>
    <m/>
    <m/>
    <x v="0"/>
    <x v="0"/>
    <x v="0"/>
    <x v="0"/>
    <x v="0"/>
    <x v="5"/>
  </r>
  <r>
    <d v="2025-12-11T00:00:00"/>
    <x v="5"/>
    <d v="2025-12-11T00:00:00"/>
    <x v="1"/>
    <x v="0"/>
    <x v="0"/>
    <x v="0"/>
    <x v="0"/>
    <m/>
    <m/>
    <x v="0"/>
    <x v="0"/>
    <x v="0"/>
    <x v="0"/>
    <x v="0"/>
    <x v="5"/>
  </r>
  <r>
    <d v="2025-12-12T00:00:00"/>
    <x v="6"/>
    <d v="2025-12-12T00:00:00"/>
    <x v="1"/>
    <x v="0"/>
    <x v="0"/>
    <x v="0"/>
    <x v="0"/>
    <m/>
    <m/>
    <x v="0"/>
    <x v="0"/>
    <x v="0"/>
    <x v="0"/>
    <x v="0"/>
    <x v="5"/>
  </r>
  <r>
    <d v="2025-12-13T00:00:00"/>
    <x v="0"/>
    <d v="2025-12-13T00:00:00"/>
    <x v="0"/>
    <x v="0"/>
    <x v="0"/>
    <x v="0"/>
    <x v="0"/>
    <m/>
    <m/>
    <x v="0"/>
    <x v="0"/>
    <x v="0"/>
    <x v="0"/>
    <x v="0"/>
    <x v="5"/>
  </r>
  <r>
    <d v="2025-12-14T00:00:00"/>
    <x v="1"/>
    <d v="2025-12-14T00:00:00"/>
    <x v="0"/>
    <x v="0"/>
    <x v="0"/>
    <x v="0"/>
    <x v="0"/>
    <m/>
    <m/>
    <x v="0"/>
    <x v="0"/>
    <x v="0"/>
    <x v="0"/>
    <x v="0"/>
    <x v="5"/>
  </r>
  <r>
    <d v="2025-12-15T00:00:00"/>
    <x v="2"/>
    <d v="2025-12-15T00:00:00"/>
    <x v="1"/>
    <x v="0"/>
    <x v="0"/>
    <x v="0"/>
    <x v="0"/>
    <m/>
    <m/>
    <x v="0"/>
    <x v="0"/>
    <x v="0"/>
    <x v="0"/>
    <x v="0"/>
    <x v="5"/>
  </r>
  <r>
    <d v="2025-12-16T00:00:00"/>
    <x v="3"/>
    <d v="2025-12-16T00:00:00"/>
    <x v="1"/>
    <x v="0"/>
    <x v="0"/>
    <x v="0"/>
    <x v="0"/>
    <m/>
    <m/>
    <x v="0"/>
    <x v="0"/>
    <x v="0"/>
    <x v="0"/>
    <x v="0"/>
    <x v="5"/>
  </r>
  <r>
    <d v="2025-12-17T00:00:00"/>
    <x v="4"/>
    <d v="2025-12-17T00:00:00"/>
    <x v="1"/>
    <x v="0"/>
    <x v="0"/>
    <x v="0"/>
    <x v="0"/>
    <m/>
    <m/>
    <x v="0"/>
    <x v="0"/>
    <x v="0"/>
    <x v="0"/>
    <x v="0"/>
    <x v="5"/>
  </r>
  <r>
    <d v="2025-12-18T00:00:00"/>
    <x v="5"/>
    <d v="2025-12-18T00:00:00"/>
    <x v="1"/>
    <x v="0"/>
    <x v="0"/>
    <x v="0"/>
    <x v="0"/>
    <m/>
    <m/>
    <x v="0"/>
    <x v="0"/>
    <x v="0"/>
    <x v="0"/>
    <x v="0"/>
    <x v="5"/>
  </r>
  <r>
    <d v="2025-12-19T00:00:00"/>
    <x v="6"/>
    <d v="2025-12-19T00:00:00"/>
    <x v="1"/>
    <x v="0"/>
    <x v="0"/>
    <x v="0"/>
    <x v="0"/>
    <m/>
    <m/>
    <x v="0"/>
    <x v="0"/>
    <x v="0"/>
    <x v="0"/>
    <x v="0"/>
    <x v="5"/>
  </r>
  <r>
    <d v="2025-12-20T00:00:00"/>
    <x v="0"/>
    <d v="2025-12-20T00:00:00"/>
    <x v="0"/>
    <x v="0"/>
    <x v="0"/>
    <x v="0"/>
    <x v="0"/>
    <m/>
    <m/>
    <x v="0"/>
    <x v="0"/>
    <x v="0"/>
    <x v="0"/>
    <x v="0"/>
    <x v="5"/>
  </r>
  <r>
    <d v="2025-12-21T00:00:00"/>
    <x v="1"/>
    <d v="2025-12-21T00:00:00"/>
    <x v="0"/>
    <x v="0"/>
    <x v="0"/>
    <x v="0"/>
    <x v="0"/>
    <m/>
    <m/>
    <x v="0"/>
    <x v="0"/>
    <x v="0"/>
    <x v="0"/>
    <x v="0"/>
    <x v="5"/>
  </r>
  <r>
    <d v="2025-12-22T00:00:00"/>
    <x v="2"/>
    <d v="2025-12-22T00:00:00"/>
    <x v="1"/>
    <x v="0"/>
    <x v="0"/>
    <x v="0"/>
    <x v="0"/>
    <m/>
    <m/>
    <x v="0"/>
    <x v="0"/>
    <x v="0"/>
    <x v="0"/>
    <x v="0"/>
    <x v="5"/>
  </r>
  <r>
    <d v="2025-12-23T00:00:00"/>
    <x v="3"/>
    <d v="2025-12-23T00:00:00"/>
    <x v="1"/>
    <x v="0"/>
    <x v="0"/>
    <x v="0"/>
    <x v="0"/>
    <m/>
    <m/>
    <x v="0"/>
    <x v="0"/>
    <x v="0"/>
    <x v="0"/>
    <x v="0"/>
    <x v="5"/>
  </r>
  <r>
    <d v="2025-12-24T00:00:00"/>
    <x v="4"/>
    <d v="2025-12-24T00:00:00"/>
    <x v="1"/>
    <x v="0"/>
    <x v="0"/>
    <x v="0"/>
    <x v="0"/>
    <m/>
    <m/>
    <x v="0"/>
    <x v="0"/>
    <x v="0"/>
    <x v="0"/>
    <x v="0"/>
    <x v="5"/>
  </r>
  <r>
    <d v="2025-12-25T00:00:00"/>
    <x v="5"/>
    <d v="2025-12-25T00:00:00"/>
    <x v="1"/>
    <x v="0"/>
    <x v="0"/>
    <x v="0"/>
    <x v="0"/>
    <m/>
    <m/>
    <x v="0"/>
    <x v="0"/>
    <x v="0"/>
    <x v="0"/>
    <x v="0"/>
    <x v="5"/>
  </r>
  <r>
    <d v="2025-12-26T00:00:00"/>
    <x v="6"/>
    <d v="2025-12-26T00:00:00"/>
    <x v="1"/>
    <x v="0"/>
    <x v="0"/>
    <x v="0"/>
    <x v="0"/>
    <m/>
    <m/>
    <x v="0"/>
    <x v="0"/>
    <x v="0"/>
    <x v="0"/>
    <x v="0"/>
    <x v="5"/>
  </r>
  <r>
    <d v="2025-12-27T00:00:00"/>
    <x v="0"/>
    <d v="2025-12-27T00:00:00"/>
    <x v="0"/>
    <x v="0"/>
    <x v="0"/>
    <x v="0"/>
    <x v="0"/>
    <m/>
    <m/>
    <x v="0"/>
    <x v="0"/>
    <x v="0"/>
    <x v="0"/>
    <x v="0"/>
    <x v="5"/>
  </r>
  <r>
    <d v="2025-12-28T00:00:00"/>
    <x v="1"/>
    <d v="2025-12-28T00:00:00"/>
    <x v="0"/>
    <x v="0"/>
    <x v="0"/>
    <x v="0"/>
    <x v="0"/>
    <m/>
    <m/>
    <x v="0"/>
    <x v="0"/>
    <x v="0"/>
    <x v="0"/>
    <x v="0"/>
    <x v="5"/>
  </r>
  <r>
    <d v="2025-12-29T00:00:00"/>
    <x v="2"/>
    <d v="2025-12-29T00:00:00"/>
    <x v="1"/>
    <x v="0"/>
    <x v="0"/>
    <x v="0"/>
    <x v="0"/>
    <m/>
    <m/>
    <x v="0"/>
    <x v="0"/>
    <x v="0"/>
    <x v="0"/>
    <x v="0"/>
    <x v="5"/>
  </r>
  <r>
    <d v="2025-12-30T00:00:00"/>
    <x v="3"/>
    <d v="2025-12-30T00:00:00"/>
    <x v="1"/>
    <x v="0"/>
    <x v="0"/>
    <x v="0"/>
    <x v="0"/>
    <m/>
    <m/>
    <x v="0"/>
    <x v="0"/>
    <x v="0"/>
    <x v="0"/>
    <x v="0"/>
    <x v="5"/>
  </r>
  <r>
    <d v="2025-12-31T00:00:00"/>
    <x v="4"/>
    <d v="2025-12-31T00:00:00"/>
    <x v="1"/>
    <x v="0"/>
    <x v="0"/>
    <x v="0"/>
    <x v="0"/>
    <m/>
    <m/>
    <x v="0"/>
    <x v="0"/>
    <x v="0"/>
    <x v="0"/>
    <x v="0"/>
    <x v="5"/>
  </r>
  <r>
    <d v="2026-01-01T00:00:00"/>
    <x v="5"/>
    <d v="2026-01-01T00:00:00"/>
    <x v="1"/>
    <x v="0"/>
    <x v="0"/>
    <x v="0"/>
    <x v="0"/>
    <m/>
    <m/>
    <x v="0"/>
    <x v="0"/>
    <x v="0"/>
    <x v="0"/>
    <x v="0"/>
    <x v="5"/>
  </r>
  <r>
    <d v="2026-01-02T00:00:00"/>
    <x v="6"/>
    <d v="2026-01-02T00:00:00"/>
    <x v="1"/>
    <x v="0"/>
    <x v="0"/>
    <x v="0"/>
    <x v="0"/>
    <m/>
    <m/>
    <x v="0"/>
    <x v="0"/>
    <x v="0"/>
    <x v="0"/>
    <x v="0"/>
    <x v="5"/>
  </r>
  <r>
    <d v="2026-01-03T00:00:00"/>
    <x v="0"/>
    <d v="2026-01-03T00:00:00"/>
    <x v="0"/>
    <x v="0"/>
    <x v="0"/>
    <x v="0"/>
    <x v="0"/>
    <m/>
    <m/>
    <x v="0"/>
    <x v="0"/>
    <x v="0"/>
    <x v="0"/>
    <x v="0"/>
    <x v="5"/>
  </r>
  <r>
    <d v="2026-01-04T00:00:00"/>
    <x v="1"/>
    <d v="2026-01-04T00:00:00"/>
    <x v="0"/>
    <x v="0"/>
    <x v="0"/>
    <x v="0"/>
    <x v="0"/>
    <m/>
    <m/>
    <x v="0"/>
    <x v="0"/>
    <x v="0"/>
    <x v="0"/>
    <x v="0"/>
    <x v="5"/>
  </r>
  <r>
    <d v="2026-01-05T00:00:00"/>
    <x v="2"/>
    <d v="2026-01-05T00:00:00"/>
    <x v="2"/>
    <x v="40"/>
    <x v="116"/>
    <x v="14"/>
    <x v="16"/>
    <n v="0"/>
    <n v="0"/>
    <x v="5"/>
    <x v="3"/>
    <x v="8"/>
    <x v="13"/>
    <x v="1"/>
    <x v="5"/>
  </r>
  <r>
    <d v="2026-01-06T00:00:00"/>
    <x v="3"/>
    <d v="2026-01-06T00:00:00"/>
    <x v="2"/>
    <x v="40"/>
    <x v="116"/>
    <x v="14"/>
    <x v="16"/>
    <n v="0"/>
    <n v="0"/>
    <x v="5"/>
    <x v="3"/>
    <x v="23"/>
    <x v="6"/>
    <x v="0"/>
    <x v="5"/>
  </r>
  <r>
    <d v="2026-01-07T00:00:00"/>
    <x v="4"/>
    <d v="2026-01-07T00:00:00"/>
    <x v="2"/>
    <x v="40"/>
    <x v="116"/>
    <x v="14"/>
    <x v="16"/>
    <n v="0"/>
    <n v="0"/>
    <x v="5"/>
    <x v="3"/>
    <x v="13"/>
    <x v="15"/>
    <x v="1"/>
    <x v="5"/>
  </r>
  <r>
    <d v="2026-01-08T00:00:00"/>
    <x v="5"/>
    <d v="2026-01-08T00:00:00"/>
    <x v="2"/>
    <x v="40"/>
    <x v="116"/>
    <x v="4"/>
    <x v="16"/>
    <n v="0"/>
    <n v="0"/>
    <x v="5"/>
    <x v="3"/>
    <x v="7"/>
    <x v="6"/>
    <x v="1"/>
    <x v="5"/>
  </r>
  <r>
    <d v="2026-01-09T00:00:00"/>
    <x v="6"/>
    <d v="2026-01-09T00:00:00"/>
    <x v="2"/>
    <x v="40"/>
    <x v="116"/>
    <x v="14"/>
    <x v="16"/>
    <n v="0"/>
    <n v="0"/>
    <x v="5"/>
    <x v="3"/>
    <x v="19"/>
    <x v="10"/>
    <x v="1"/>
    <x v="5"/>
  </r>
  <r>
    <d v="2026-01-10T00:00:00"/>
    <x v="0"/>
    <d v="2026-01-10T00:00:00"/>
    <x v="2"/>
    <x v="40"/>
    <x v="116"/>
    <x v="14"/>
    <x v="16"/>
    <n v="0"/>
    <n v="0"/>
    <x v="5"/>
    <x v="3"/>
    <x v="4"/>
    <x v="13"/>
    <x v="1"/>
    <x v="5"/>
  </r>
  <r>
    <d v="2026-01-11T00:00:00"/>
    <x v="1"/>
    <d v="2026-01-11T00:00:00"/>
    <x v="0"/>
    <x v="0"/>
    <x v="0"/>
    <x v="0"/>
    <x v="0"/>
    <m/>
    <m/>
    <x v="0"/>
    <x v="0"/>
    <x v="0"/>
    <x v="0"/>
    <x v="0"/>
    <x v="5"/>
  </r>
  <r>
    <d v="2026-01-12T00:00:00"/>
    <x v="2"/>
    <d v="2026-01-12T00:00:00"/>
    <x v="2"/>
    <x v="40"/>
    <x v="116"/>
    <x v="14"/>
    <x v="9"/>
    <n v="0"/>
    <n v="0"/>
    <x v="5"/>
    <x v="3"/>
    <x v="13"/>
    <x v="4"/>
    <x v="1"/>
    <x v="5"/>
  </r>
  <r>
    <d v="2026-01-13T00:00:00"/>
    <x v="3"/>
    <d v="2026-01-13T00:00:00"/>
    <x v="2"/>
    <x v="40"/>
    <x v="116"/>
    <x v="14"/>
    <x v="2"/>
    <n v="0"/>
    <n v="0"/>
    <x v="5"/>
    <x v="3"/>
    <x v="12"/>
    <x v="13"/>
    <x v="1"/>
    <x v="5"/>
  </r>
  <r>
    <d v="2026-01-14T00:00:00"/>
    <x v="4"/>
    <d v="2026-01-14T00:00:00"/>
    <x v="2"/>
    <x v="40"/>
    <x v="116"/>
    <x v="14"/>
    <x v="16"/>
    <n v="0"/>
    <n v="0"/>
    <x v="5"/>
    <x v="3"/>
    <x v="10"/>
    <x v="13"/>
    <x v="1"/>
    <x v="5"/>
  </r>
  <r>
    <d v="2026-01-15T00:00:00"/>
    <x v="5"/>
    <d v="2026-01-15T00:00:00"/>
    <x v="2"/>
    <x v="40"/>
    <x v="116"/>
    <x v="14"/>
    <x v="16"/>
    <n v="0"/>
    <n v="15"/>
    <x v="5"/>
    <x v="3"/>
    <x v="21"/>
    <x v="13"/>
    <x v="1"/>
    <x v="5"/>
  </r>
  <r>
    <d v="2026-01-16T00:00:00"/>
    <x v="6"/>
    <d v="2026-01-16T00:00:00"/>
    <x v="2"/>
    <x v="40"/>
    <x v="116"/>
    <x v="11"/>
    <x v="16"/>
    <n v="0"/>
    <n v="23"/>
    <x v="1"/>
    <x v="3"/>
    <x v="10"/>
    <x v="10"/>
    <x v="0"/>
    <x v="5"/>
  </r>
  <r>
    <d v="2026-01-17T00:00:00"/>
    <x v="0"/>
    <d v="2026-01-17T00:00:00"/>
    <x v="2"/>
    <x v="40"/>
    <x v="116"/>
    <x v="14"/>
    <x v="16"/>
    <n v="0"/>
    <n v="6"/>
    <x v="3"/>
    <x v="3"/>
    <x v="8"/>
    <x v="13"/>
    <x v="1"/>
    <x v="5"/>
  </r>
  <r>
    <d v="2026-01-18T00:00:00"/>
    <x v="1"/>
    <d v="2026-01-18T00:00:00"/>
    <x v="0"/>
    <x v="0"/>
    <x v="0"/>
    <x v="0"/>
    <x v="0"/>
    <m/>
    <m/>
    <x v="0"/>
    <x v="0"/>
    <x v="0"/>
    <x v="0"/>
    <x v="0"/>
    <x v="5"/>
  </r>
  <r>
    <d v="2026-01-19T00:00:00"/>
    <x v="2"/>
    <d v="2026-01-19T00:00:00"/>
    <x v="2"/>
    <x v="40"/>
    <x v="116"/>
    <x v="14"/>
    <x v="16"/>
    <n v="0"/>
    <n v="6"/>
    <x v="5"/>
    <x v="3"/>
    <x v="2"/>
    <x v="13"/>
    <x v="1"/>
    <x v="5"/>
  </r>
  <r>
    <d v="2026-01-20T00:00:00"/>
    <x v="3"/>
    <d v="2026-01-20T00:00:00"/>
    <x v="2"/>
    <x v="40"/>
    <x v="116"/>
    <x v="14"/>
    <x v="16"/>
    <n v="0"/>
    <n v="6"/>
    <x v="5"/>
    <x v="3"/>
    <x v="18"/>
    <x v="13"/>
    <x v="1"/>
    <x v="5"/>
  </r>
  <r>
    <d v="2026-01-21T00:00:00"/>
    <x v="4"/>
    <d v="2026-01-21T00:00:00"/>
    <x v="2"/>
    <x v="40"/>
    <x v="116"/>
    <x v="14"/>
    <x v="16"/>
    <n v="0"/>
    <n v="18"/>
    <x v="4"/>
    <x v="3"/>
    <x v="18"/>
    <x v="13"/>
    <x v="1"/>
    <x v="5"/>
  </r>
  <r>
    <d v="2026-01-22T00:00:00"/>
    <x v="5"/>
    <d v="2026-01-22T00:00:00"/>
    <x v="2"/>
    <x v="40"/>
    <x v="116"/>
    <x v="14"/>
    <x v="16"/>
    <n v="0"/>
    <n v="30"/>
    <x v="5"/>
    <x v="3"/>
    <x v="13"/>
    <x v="13"/>
    <x v="1"/>
    <x v="5"/>
  </r>
  <r>
    <d v="2026-01-23T00:00:00"/>
    <x v="6"/>
    <d v="2026-01-23T00:00:00"/>
    <x v="2"/>
    <x v="40"/>
    <x v="116"/>
    <x v="14"/>
    <x v="16"/>
    <n v="0"/>
    <n v="28.2"/>
    <x v="3"/>
    <x v="3"/>
    <x v="8"/>
    <x v="13"/>
    <x v="1"/>
    <x v="5"/>
  </r>
  <r>
    <d v="2026-01-24T00:00:00"/>
    <x v="0"/>
    <d v="2026-01-24T00:00:00"/>
    <x v="0"/>
    <x v="0"/>
    <x v="0"/>
    <x v="0"/>
    <x v="0"/>
    <m/>
    <m/>
    <x v="0"/>
    <x v="0"/>
    <x v="0"/>
    <x v="0"/>
    <x v="0"/>
    <x v="5"/>
  </r>
  <r>
    <d v="2026-01-25T00:00:00"/>
    <x v="1"/>
    <d v="2026-01-25T00:00:00"/>
    <x v="0"/>
    <x v="0"/>
    <x v="0"/>
    <x v="0"/>
    <x v="0"/>
    <m/>
    <m/>
    <x v="0"/>
    <x v="0"/>
    <x v="0"/>
    <x v="0"/>
    <x v="0"/>
    <x v="5"/>
  </r>
  <r>
    <d v="2026-01-26T00:00:00"/>
    <x v="2"/>
    <d v="2026-01-26T00:00:00"/>
    <x v="0"/>
    <x v="0"/>
    <x v="0"/>
    <x v="0"/>
    <x v="0"/>
    <m/>
    <m/>
    <x v="0"/>
    <x v="0"/>
    <x v="0"/>
    <x v="0"/>
    <x v="0"/>
    <x v="5"/>
  </r>
  <r>
    <d v="2026-01-27T00:00:00"/>
    <x v="3"/>
    <d v="2026-01-27T00:00:00"/>
    <x v="2"/>
    <x v="40"/>
    <x v="116"/>
    <x v="14"/>
    <x v="16"/>
    <n v="0"/>
    <n v="18"/>
    <x v="4"/>
    <x v="10"/>
    <x v="3"/>
    <x v="13"/>
    <x v="1"/>
    <x v="5"/>
  </r>
  <r>
    <d v="2026-01-28T00:00:00"/>
    <x v="4"/>
    <d v="2026-01-28T00:00:00"/>
    <x v="2"/>
    <x v="40"/>
    <x v="116"/>
    <x v="14"/>
    <x v="16"/>
    <n v="0"/>
    <n v="30"/>
    <x v="3"/>
    <x v="4"/>
    <x v="14"/>
    <x v="13"/>
    <x v="1"/>
    <x v="5"/>
  </r>
  <r>
    <d v="2026-01-29T00:00:00"/>
    <x v="5"/>
    <d v="2026-01-29T00:00:00"/>
    <x v="2"/>
    <x v="40"/>
    <x v="116"/>
    <x v="14"/>
    <x v="16"/>
    <n v="0"/>
    <n v="6"/>
    <x v="1"/>
    <x v="9"/>
    <x v="7"/>
    <x v="6"/>
    <x v="1"/>
    <x v="5"/>
  </r>
  <r>
    <d v="2026-01-30T00:00:00"/>
    <x v="6"/>
    <d v="2026-01-30T00:00:00"/>
    <x v="2"/>
    <x v="40"/>
    <x v="116"/>
    <x v="14"/>
    <x v="16"/>
    <n v="0"/>
    <n v="12"/>
    <x v="5"/>
    <x v="2"/>
    <x v="14"/>
    <x v="8"/>
    <x v="1"/>
    <x v="5"/>
  </r>
  <r>
    <d v="2026-01-31T00:00:00"/>
    <x v="0"/>
    <d v="2026-01-31T00:00:00"/>
    <x v="2"/>
    <x v="40"/>
    <x v="116"/>
    <x v="11"/>
    <x v="16"/>
    <n v="0"/>
    <n v="6"/>
    <x v="5"/>
    <x v="3"/>
    <x v="1"/>
    <x v="13"/>
    <x v="1"/>
    <x v="5"/>
  </r>
  <r>
    <d v="2026-02-01T00:00:00"/>
    <x v="1"/>
    <d v="2026-02-01T00:00:00"/>
    <x v="0"/>
    <x v="0"/>
    <x v="0"/>
    <x v="0"/>
    <x v="0"/>
    <m/>
    <m/>
    <x v="0"/>
    <x v="0"/>
    <x v="0"/>
    <x v="0"/>
    <x v="0"/>
    <x v="5"/>
  </r>
  <r>
    <d v="2026-02-02T00:00:00"/>
    <x v="2"/>
    <d v="2026-02-02T00:00:00"/>
    <x v="2"/>
    <x v="40"/>
    <x v="116"/>
    <x v="14"/>
    <x v="16"/>
    <n v="0"/>
    <n v="12"/>
    <x v="3"/>
    <x v="3"/>
    <x v="2"/>
    <x v="7"/>
    <x v="1"/>
    <x v="5"/>
  </r>
  <r>
    <d v="2026-02-03T00:00:00"/>
    <x v="3"/>
    <d v="2026-02-03T00:00:00"/>
    <x v="2"/>
    <x v="40"/>
    <x v="116"/>
    <x v="14"/>
    <x v="16"/>
    <n v="0"/>
    <n v="8"/>
    <x v="5"/>
    <x v="3"/>
    <x v="2"/>
    <x v="16"/>
    <x v="1"/>
    <x v="5"/>
  </r>
  <r>
    <d v="2026-02-04T00:00:00"/>
    <x v="4"/>
    <d v="2026-02-04T00:00:00"/>
    <x v="2"/>
    <x v="40"/>
    <x v="116"/>
    <x v="14"/>
    <x v="16"/>
    <n v="0"/>
    <n v="12"/>
    <x v="3"/>
    <x v="3"/>
    <x v="14"/>
    <x v="16"/>
    <x v="1"/>
    <x v="5"/>
  </r>
  <r>
    <d v="2026-02-05T00:00:00"/>
    <x v="5"/>
    <d v="2026-02-05T00:00:00"/>
    <x v="2"/>
    <x v="40"/>
    <x v="116"/>
    <x v="14"/>
    <x v="16"/>
    <n v="54"/>
    <n v="12"/>
    <x v="5"/>
    <x v="9"/>
    <x v="8"/>
    <x v="13"/>
    <x v="1"/>
    <x v="5"/>
  </r>
  <r>
    <d v="2026-02-06T00:00:00"/>
    <x v="6"/>
    <d v="2026-02-06T00:00:00"/>
    <x v="2"/>
    <x v="40"/>
    <x v="116"/>
    <x v="14"/>
    <x v="7"/>
    <n v="27"/>
    <n v="12"/>
    <x v="5"/>
    <x v="3"/>
    <x v="14"/>
    <x v="13"/>
    <x v="1"/>
    <x v="5"/>
  </r>
  <r>
    <d v="2026-02-07T00:00:00"/>
    <x v="0"/>
    <d v="2026-02-07T00:00:00"/>
    <x v="2"/>
    <x v="40"/>
    <x v="116"/>
    <x v="14"/>
    <x v="14"/>
    <n v="6"/>
    <n v="0"/>
    <x v="5"/>
    <x v="3"/>
    <x v="14"/>
    <x v="13"/>
    <x v="1"/>
    <x v="5"/>
  </r>
  <r>
    <d v="2026-02-08T00:00:00"/>
    <x v="1"/>
    <d v="2026-02-08T00:00:00"/>
    <x v="0"/>
    <x v="0"/>
    <x v="0"/>
    <x v="0"/>
    <x v="0"/>
    <m/>
    <m/>
    <x v="0"/>
    <x v="0"/>
    <x v="0"/>
    <x v="0"/>
    <x v="0"/>
    <x v="5"/>
  </r>
  <r>
    <d v="2026-02-09T00:00:00"/>
    <x v="2"/>
    <d v="2026-02-09T00:00:00"/>
    <x v="2"/>
    <x v="40"/>
    <x v="116"/>
    <x v="14"/>
    <x v="16"/>
    <n v="58"/>
    <n v="0"/>
    <x v="5"/>
    <x v="3"/>
    <x v="14"/>
    <x v="13"/>
    <x v="1"/>
    <x v="5"/>
  </r>
  <r>
    <d v="2026-02-10T00:00:00"/>
    <x v="3"/>
    <d v="2026-02-10T00:00:00"/>
    <x v="2"/>
    <x v="40"/>
    <x v="116"/>
    <x v="14"/>
    <x v="16"/>
    <n v="0"/>
    <n v="109"/>
    <x v="5"/>
    <x v="3"/>
    <x v="8"/>
    <x v="13"/>
    <x v="1"/>
    <x v="5"/>
  </r>
  <r>
    <d v="2026-02-11T00:00:00"/>
    <x v="4"/>
    <d v="2026-02-11T00:00:00"/>
    <x v="2"/>
    <x v="40"/>
    <x v="116"/>
    <x v="14"/>
    <x v="16"/>
    <n v="0"/>
    <n v="102"/>
    <x v="5"/>
    <x v="3"/>
    <x v="14"/>
    <x v="13"/>
    <x v="1"/>
    <x v="5"/>
  </r>
  <r>
    <d v="2026-02-12T00:00:00"/>
    <x v="5"/>
    <d v="2026-02-12T00:00:00"/>
    <x v="2"/>
    <x v="40"/>
    <x v="116"/>
    <x v="14"/>
    <x v="7"/>
    <n v="44"/>
    <n v="10"/>
    <x v="5"/>
    <x v="3"/>
    <x v="14"/>
    <x v="13"/>
    <x v="1"/>
    <x v="5"/>
  </r>
  <r>
    <d v="2026-02-13T00:00:00"/>
    <x v="6"/>
    <d v="2026-02-13T00:00:00"/>
    <x v="2"/>
    <x v="40"/>
    <x v="116"/>
    <x v="14"/>
    <x v="16"/>
    <n v="30"/>
    <n v="12"/>
    <x v="5"/>
    <x v="3"/>
    <x v="14"/>
    <x v="13"/>
    <x v="0"/>
    <x v="5"/>
  </r>
  <r>
    <d v="2026-02-14T00:00:00"/>
    <x v="0"/>
    <d v="2026-02-14T00:00:00"/>
    <x v="0"/>
    <x v="0"/>
    <x v="0"/>
    <x v="0"/>
    <x v="0"/>
    <m/>
    <m/>
    <x v="0"/>
    <x v="0"/>
    <x v="0"/>
    <x v="0"/>
    <x v="0"/>
    <x v="5"/>
  </r>
  <r>
    <d v="2026-02-15T00:00:00"/>
    <x v="1"/>
    <d v="2026-02-15T00:00:00"/>
    <x v="0"/>
    <x v="0"/>
    <x v="0"/>
    <x v="0"/>
    <x v="0"/>
    <m/>
    <m/>
    <x v="0"/>
    <x v="0"/>
    <x v="0"/>
    <x v="0"/>
    <x v="0"/>
    <x v="5"/>
  </r>
  <r>
    <d v="2026-02-16T00:00:00"/>
    <x v="2"/>
    <d v="2026-02-16T00:00:00"/>
    <x v="2"/>
    <x v="40"/>
    <x v="116"/>
    <x v="3"/>
    <x v="14"/>
    <n v="44"/>
    <n v="12"/>
    <x v="5"/>
    <x v="3"/>
    <x v="14"/>
    <x v="5"/>
    <x v="1"/>
    <x v="5"/>
  </r>
  <r>
    <d v="2026-02-17T00:00:00"/>
    <x v="3"/>
    <d v="2026-02-17T00:00:00"/>
    <x v="2"/>
    <x v="40"/>
    <x v="116"/>
    <x v="14"/>
    <x v="16"/>
    <n v="0"/>
    <n v="4"/>
    <x v="5"/>
    <x v="3"/>
    <x v="11"/>
    <x v="13"/>
    <x v="1"/>
    <x v="5"/>
  </r>
  <r>
    <d v="2026-02-18T00:00:00"/>
    <x v="4"/>
    <d v="2026-02-18T00:00:00"/>
    <x v="2"/>
    <x v="40"/>
    <x v="116"/>
    <x v="8"/>
    <x v="16"/>
    <n v="0"/>
    <n v="0"/>
    <x v="5"/>
    <x v="3"/>
    <x v="14"/>
    <x v="13"/>
    <x v="1"/>
    <x v="5"/>
  </r>
  <r>
    <d v="2026-02-19T00:00:00"/>
    <x v="5"/>
    <d v="2026-02-19T00:00:00"/>
    <x v="2"/>
    <x v="40"/>
    <x v="116"/>
    <x v="11"/>
    <x v="16"/>
    <n v="0"/>
    <n v="22.3"/>
    <x v="3"/>
    <x v="3"/>
    <x v="1"/>
    <x v="4"/>
    <x v="1"/>
    <x v="5"/>
  </r>
  <r>
    <d v="2026-02-20T00:00:00"/>
    <x v="6"/>
    <d v="2026-02-20T00:00:00"/>
    <x v="2"/>
    <x v="40"/>
    <x v="116"/>
    <x v="14"/>
    <x v="6"/>
    <n v="0"/>
    <n v="30"/>
    <x v="4"/>
    <x v="3"/>
    <x v="5"/>
    <x v="13"/>
    <x v="1"/>
    <x v="5"/>
  </r>
  <r>
    <d v="2026-02-21T00:00:00"/>
    <x v="0"/>
    <d v="2026-02-21T00:00:00"/>
    <x v="2"/>
    <x v="40"/>
    <x v="116"/>
    <x v="16"/>
    <x v="16"/>
    <n v="0"/>
    <n v="6"/>
    <x v="5"/>
    <x v="3"/>
    <x v="14"/>
    <x v="12"/>
    <x v="1"/>
    <x v="5"/>
  </r>
  <r>
    <d v="2026-02-22T00:00:00"/>
    <x v="1"/>
    <d v="2026-02-22T00:00:00"/>
    <x v="0"/>
    <x v="0"/>
    <x v="0"/>
    <x v="0"/>
    <x v="0"/>
    <m/>
    <m/>
    <x v="0"/>
    <x v="0"/>
    <x v="0"/>
    <x v="0"/>
    <x v="0"/>
    <x v="5"/>
  </r>
  <r>
    <d v="2026-02-23T00:00:00"/>
    <x v="2"/>
    <d v="2026-02-23T00:00:00"/>
    <x v="2"/>
    <x v="40"/>
    <x v="116"/>
    <x v="4"/>
    <x v="6"/>
    <n v="0"/>
    <n v="18"/>
    <x v="3"/>
    <x v="3"/>
    <x v="14"/>
    <x v="13"/>
    <x v="1"/>
    <x v="5"/>
  </r>
  <r>
    <d v="2026-02-24T00:00:00"/>
    <x v="3"/>
    <d v="2026-02-24T00:00:00"/>
    <x v="2"/>
    <x v="40"/>
    <x v="116"/>
    <x v="13"/>
    <x v="16"/>
    <n v="0"/>
    <n v="0"/>
    <x v="5"/>
    <x v="3"/>
    <x v="14"/>
    <x v="13"/>
    <x v="1"/>
    <x v="5"/>
  </r>
  <r>
    <d v="2026-02-25T00:00:00"/>
    <x v="4"/>
    <d v="2026-02-25T00:00:00"/>
    <x v="2"/>
    <x v="40"/>
    <x v="116"/>
    <x v="1"/>
    <x v="16"/>
    <n v="0"/>
    <n v="12"/>
    <x v="5"/>
    <x v="3"/>
    <x v="14"/>
    <x v="8"/>
    <x v="1"/>
    <x v="5"/>
  </r>
  <r>
    <d v="2026-02-26T00:00:00"/>
    <x v="5"/>
    <d v="2026-02-26T00:00:00"/>
    <x v="0"/>
    <x v="0"/>
    <x v="0"/>
    <x v="0"/>
    <x v="0"/>
    <m/>
    <m/>
    <x v="0"/>
    <x v="0"/>
    <x v="0"/>
    <x v="0"/>
    <x v="0"/>
    <x v="5"/>
  </r>
  <r>
    <d v="2026-02-27T00:00:00"/>
    <x v="6"/>
    <d v="2026-02-27T00:00:00"/>
    <x v="2"/>
    <x v="40"/>
    <x v="116"/>
    <x v="0"/>
    <x v="0"/>
    <m/>
    <n v="6"/>
    <x v="3"/>
    <x v="0"/>
    <x v="0"/>
    <x v="0"/>
    <x v="0"/>
    <x v="5"/>
  </r>
  <r>
    <d v="2026-02-28T00:00:00"/>
    <x v="0"/>
    <d v="2026-02-28T00:00:00"/>
    <x v="0"/>
    <x v="0"/>
    <x v="0"/>
    <x v="0"/>
    <x v="0"/>
    <m/>
    <m/>
    <x v="0"/>
    <x v="0"/>
    <x v="0"/>
    <x v="0"/>
    <x v="0"/>
    <x v="5"/>
  </r>
  <r>
    <d v="2026-03-01T00:00:00"/>
    <x v="1"/>
    <d v="2026-03-01T00:00:00"/>
    <x v="0"/>
    <x v="0"/>
    <x v="0"/>
    <x v="0"/>
    <x v="0"/>
    <m/>
    <m/>
    <x v="0"/>
    <x v="0"/>
    <x v="0"/>
    <x v="0"/>
    <x v="0"/>
    <x v="5"/>
  </r>
  <r>
    <d v="2026-03-02T00:00:00"/>
    <x v="2"/>
    <d v="2026-03-02T00:00:00"/>
    <x v="2"/>
    <x v="41"/>
    <x v="117"/>
    <x v="0"/>
    <x v="0"/>
    <m/>
    <n v="6"/>
    <x v="3"/>
    <x v="0"/>
    <x v="0"/>
    <x v="0"/>
    <x v="0"/>
    <x v="5"/>
  </r>
  <r>
    <d v="2026-03-02T00:00:00"/>
    <x v="2"/>
    <d v="2026-03-02T00:00:00"/>
    <x v="2"/>
    <x v="42"/>
    <x v="118"/>
    <x v="0"/>
    <x v="0"/>
    <m/>
    <m/>
    <x v="0"/>
    <x v="0"/>
    <x v="0"/>
    <x v="12"/>
    <x v="0"/>
    <x v="5"/>
  </r>
  <r>
    <d v="2026-03-02T00:00:00"/>
    <x v="2"/>
    <d v="2026-03-02T00:00:00"/>
    <x v="2"/>
    <x v="42"/>
    <x v="119"/>
    <x v="0"/>
    <x v="0"/>
    <m/>
    <m/>
    <x v="0"/>
    <x v="0"/>
    <x v="0"/>
    <x v="10"/>
    <x v="0"/>
    <x v="5"/>
  </r>
  <r>
    <d v="2026-03-03T00:00:00"/>
    <x v="3"/>
    <d v="2026-03-03T00:00:00"/>
    <x v="2"/>
    <x v="43"/>
    <x v="120"/>
    <x v="0"/>
    <x v="14"/>
    <m/>
    <n v="12"/>
    <x v="0"/>
    <x v="0"/>
    <x v="0"/>
    <x v="0"/>
    <x v="0"/>
    <x v="5"/>
  </r>
  <r>
    <d v="2026-03-03T00:00:00"/>
    <x v="3"/>
    <d v="2026-03-03T00:00:00"/>
    <x v="2"/>
    <x v="42"/>
    <x v="118"/>
    <x v="0"/>
    <x v="0"/>
    <m/>
    <m/>
    <x v="0"/>
    <x v="0"/>
    <x v="0"/>
    <x v="6"/>
    <x v="0"/>
    <x v="5"/>
  </r>
  <r>
    <d v="2026-03-03T00:00:00"/>
    <x v="3"/>
    <d v="2026-03-03T00:00:00"/>
    <x v="2"/>
    <x v="42"/>
    <x v="119"/>
    <x v="4"/>
    <x v="0"/>
    <m/>
    <m/>
    <x v="0"/>
    <x v="0"/>
    <x v="0"/>
    <x v="0"/>
    <x v="0"/>
    <x v="5"/>
  </r>
  <r>
    <d v="2026-03-04T00:00:00"/>
    <x v="4"/>
    <d v="2026-03-04T00:00:00"/>
    <x v="2"/>
    <x v="43"/>
    <x v="120"/>
    <x v="0"/>
    <x v="6"/>
    <m/>
    <n v="6"/>
    <x v="0"/>
    <x v="0"/>
    <x v="0"/>
    <x v="0"/>
    <x v="0"/>
    <x v="5"/>
  </r>
  <r>
    <d v="2026-03-04T00:00:00"/>
    <x v="4"/>
    <d v="2026-03-04T00:00:00"/>
    <x v="2"/>
    <x v="41"/>
    <x v="121"/>
    <x v="0"/>
    <x v="0"/>
    <m/>
    <n v="6"/>
    <x v="0"/>
    <x v="0"/>
    <x v="0"/>
    <x v="0"/>
    <x v="0"/>
    <x v="5"/>
  </r>
  <r>
    <d v="2026-03-04T00:00:00"/>
    <x v="4"/>
    <d v="2026-03-04T00:00:00"/>
    <x v="2"/>
    <x v="42"/>
    <x v="119"/>
    <x v="0"/>
    <x v="0"/>
    <m/>
    <m/>
    <x v="0"/>
    <x v="0"/>
    <x v="0"/>
    <x v="14"/>
    <x v="0"/>
    <x v="5"/>
  </r>
  <r>
    <d v="2026-03-04T00:00:00"/>
    <x v="4"/>
    <d v="2026-03-04T00:00:00"/>
    <x v="2"/>
    <x v="42"/>
    <x v="122"/>
    <x v="6"/>
    <x v="0"/>
    <m/>
    <m/>
    <x v="0"/>
    <x v="0"/>
    <x v="0"/>
    <x v="14"/>
    <x v="0"/>
    <x v="5"/>
  </r>
  <r>
    <d v="2026-03-05T00:00:00"/>
    <x v="5"/>
    <d v="2026-03-05T00:00:00"/>
    <x v="2"/>
    <x v="43"/>
    <x v="123"/>
    <x v="0"/>
    <x v="6"/>
    <m/>
    <n v="6"/>
    <x v="0"/>
    <x v="0"/>
    <x v="0"/>
    <x v="0"/>
    <x v="0"/>
    <x v="5"/>
  </r>
  <r>
    <d v="2026-03-05T00:00:00"/>
    <x v="5"/>
    <d v="2026-03-05T00:00:00"/>
    <x v="2"/>
    <x v="42"/>
    <x v="119"/>
    <x v="4"/>
    <x v="0"/>
    <m/>
    <m/>
    <x v="0"/>
    <x v="0"/>
    <x v="0"/>
    <x v="6"/>
    <x v="0"/>
    <x v="5"/>
  </r>
  <r>
    <d v="2026-03-05T00:00:00"/>
    <x v="5"/>
    <d v="2026-03-05T00:00:00"/>
    <x v="2"/>
    <x v="41"/>
    <x v="117"/>
    <x v="4"/>
    <x v="0"/>
    <m/>
    <n v="6"/>
    <x v="0"/>
    <x v="0"/>
    <x v="0"/>
    <x v="0"/>
    <x v="0"/>
    <x v="5"/>
  </r>
  <r>
    <d v="2026-03-06T00:00:00"/>
    <x v="6"/>
    <d v="2026-03-06T00:00:00"/>
    <x v="2"/>
    <x v="43"/>
    <x v="120"/>
    <x v="0"/>
    <x v="6"/>
    <m/>
    <n v="6"/>
    <x v="3"/>
    <x v="0"/>
    <x v="0"/>
    <x v="0"/>
    <x v="0"/>
    <x v="5"/>
  </r>
  <r>
    <d v="2026-03-06T00:00:00"/>
    <x v="6"/>
    <d v="2026-03-06T00:00:00"/>
    <x v="2"/>
    <x v="41"/>
    <x v="124"/>
    <x v="0"/>
    <x v="0"/>
    <m/>
    <n v="5"/>
    <x v="0"/>
    <x v="0"/>
    <x v="0"/>
    <x v="0"/>
    <x v="0"/>
    <x v="5"/>
  </r>
  <r>
    <d v="2026-03-06T00:00:00"/>
    <x v="6"/>
    <d v="2026-03-06T00:00:00"/>
    <x v="2"/>
    <x v="42"/>
    <x v="125"/>
    <x v="11"/>
    <x v="0"/>
    <m/>
    <m/>
    <x v="0"/>
    <x v="0"/>
    <x v="2"/>
    <x v="12"/>
    <x v="0"/>
    <x v="5"/>
  </r>
  <r>
    <d v="2026-03-07T00:00:00"/>
    <x v="0"/>
    <d v="2026-03-07T00:00:00"/>
    <x v="0"/>
    <x v="0"/>
    <x v="0"/>
    <x v="0"/>
    <x v="0"/>
    <m/>
    <m/>
    <x v="0"/>
    <x v="0"/>
    <x v="0"/>
    <x v="0"/>
    <x v="0"/>
    <x v="5"/>
  </r>
  <r>
    <d v="2026-03-08T00:00:00"/>
    <x v="1"/>
    <d v="2026-03-08T00:00:00"/>
    <x v="0"/>
    <x v="0"/>
    <x v="0"/>
    <x v="0"/>
    <x v="0"/>
    <m/>
    <m/>
    <x v="0"/>
    <x v="0"/>
    <x v="0"/>
    <x v="0"/>
    <x v="0"/>
    <x v="5"/>
  </r>
  <r>
    <d v="2026-03-09T00:00:00"/>
    <x v="2"/>
    <d v="2026-03-09T00:00:00"/>
    <x v="2"/>
    <x v="43"/>
    <x v="123"/>
    <x v="0"/>
    <x v="0"/>
    <m/>
    <n v="6"/>
    <x v="0"/>
    <x v="0"/>
    <x v="0"/>
    <x v="0"/>
    <x v="0"/>
    <x v="5"/>
  </r>
  <r>
    <d v="2026-03-09T00:00:00"/>
    <x v="2"/>
    <d v="2026-03-09T00:00:00"/>
    <x v="2"/>
    <x v="41"/>
    <x v="121"/>
    <x v="0"/>
    <x v="0"/>
    <m/>
    <n v="3"/>
    <x v="0"/>
    <x v="0"/>
    <x v="0"/>
    <x v="0"/>
    <x v="0"/>
    <x v="5"/>
  </r>
  <r>
    <d v="2026-03-09T00:00:00"/>
    <x v="2"/>
    <d v="2026-03-09T00:00:00"/>
    <x v="2"/>
    <x v="42"/>
    <x v="122"/>
    <x v="2"/>
    <x v="0"/>
    <m/>
    <m/>
    <x v="0"/>
    <x v="0"/>
    <x v="0"/>
    <x v="8"/>
    <x v="0"/>
    <x v="5"/>
  </r>
  <r>
    <d v="2026-03-10T00:00:00"/>
    <x v="3"/>
    <d v="2026-03-10T00:00:00"/>
    <x v="0"/>
    <x v="0"/>
    <x v="37"/>
    <x v="0"/>
    <x v="0"/>
    <m/>
    <m/>
    <x v="0"/>
    <x v="0"/>
    <x v="0"/>
    <x v="0"/>
    <x v="0"/>
    <x v="5"/>
  </r>
  <r>
    <d v="2026-03-11T00:00:00"/>
    <x v="4"/>
    <d v="2026-03-11T00:00:00"/>
    <x v="2"/>
    <x v="44"/>
    <x v="126"/>
    <x v="1"/>
    <x v="0"/>
    <n v="4"/>
    <m/>
    <x v="0"/>
    <x v="0"/>
    <x v="0"/>
    <x v="0"/>
    <x v="0"/>
    <x v="5"/>
  </r>
  <r>
    <d v="2026-03-11T00:00:00"/>
    <x v="4"/>
    <d v="2026-03-11T00:00:00"/>
    <x v="2"/>
    <x v="43"/>
    <x v="120"/>
    <x v="0"/>
    <x v="14"/>
    <m/>
    <n v="6"/>
    <x v="3"/>
    <x v="0"/>
    <x v="0"/>
    <x v="0"/>
    <x v="0"/>
    <x v="5"/>
  </r>
  <r>
    <d v="2026-03-11T00:00:00"/>
    <x v="4"/>
    <d v="2026-03-11T00:00:00"/>
    <x v="2"/>
    <x v="41"/>
    <x v="117"/>
    <x v="0"/>
    <x v="0"/>
    <m/>
    <n v="3"/>
    <x v="3"/>
    <x v="0"/>
    <x v="0"/>
    <x v="0"/>
    <x v="0"/>
    <x v="5"/>
  </r>
  <r>
    <d v="2026-03-11T00:00:00"/>
    <x v="4"/>
    <d v="2026-03-11T00:00:00"/>
    <x v="2"/>
    <x v="42"/>
    <x v="122"/>
    <x v="10"/>
    <x v="0"/>
    <m/>
    <m/>
    <x v="0"/>
    <x v="0"/>
    <x v="11"/>
    <x v="0"/>
    <x v="0"/>
    <x v="5"/>
  </r>
  <r>
    <d v="2026-03-12T00:00:00"/>
    <x v="5"/>
    <d v="2026-03-12T00:00:00"/>
    <x v="2"/>
    <x v="43"/>
    <x v="127"/>
    <x v="1"/>
    <x v="0"/>
    <m/>
    <n v="34"/>
    <x v="0"/>
    <x v="0"/>
    <x v="0"/>
    <x v="0"/>
    <x v="0"/>
    <x v="5"/>
  </r>
  <r>
    <d v="2026-03-12T00:00:00"/>
    <x v="5"/>
    <d v="2026-03-12T00:00:00"/>
    <x v="2"/>
    <x v="42"/>
    <x v="128"/>
    <x v="0"/>
    <x v="0"/>
    <m/>
    <m/>
    <x v="0"/>
    <x v="0"/>
    <x v="0"/>
    <x v="10"/>
    <x v="0"/>
    <x v="5"/>
  </r>
  <r>
    <d v="2026-03-12T00:00:00"/>
    <x v="5"/>
    <d v="2026-03-12T00:00:00"/>
    <x v="2"/>
    <x v="42"/>
    <x v="129"/>
    <x v="10"/>
    <x v="0"/>
    <m/>
    <m/>
    <x v="0"/>
    <x v="0"/>
    <x v="0"/>
    <x v="0"/>
    <x v="0"/>
    <x v="5"/>
  </r>
  <r>
    <d v="2026-03-13T00:00:00"/>
    <x v="6"/>
    <d v="2026-03-13T00:00:00"/>
    <x v="2"/>
    <x v="43"/>
    <x v="130"/>
    <x v="7"/>
    <x v="0"/>
    <n v="66"/>
    <m/>
    <x v="0"/>
    <x v="0"/>
    <x v="0"/>
    <x v="0"/>
    <x v="0"/>
    <x v="5"/>
  </r>
  <r>
    <d v="2026-03-13T00:00:00"/>
    <x v="6"/>
    <d v="2026-03-13T00:00:00"/>
    <x v="2"/>
    <x v="41"/>
    <x v="117"/>
    <x v="0"/>
    <x v="0"/>
    <m/>
    <n v="6"/>
    <x v="4"/>
    <x v="0"/>
    <x v="0"/>
    <x v="0"/>
    <x v="0"/>
    <x v="5"/>
  </r>
  <r>
    <d v="2026-03-13T00:00:00"/>
    <x v="6"/>
    <d v="2026-03-13T00:00:00"/>
    <x v="2"/>
    <x v="42"/>
    <x v="131"/>
    <x v="10"/>
    <x v="0"/>
    <m/>
    <m/>
    <x v="0"/>
    <x v="0"/>
    <x v="11"/>
    <x v="10"/>
    <x v="0"/>
    <x v="5"/>
  </r>
  <r>
    <d v="2026-03-14T00:00:00"/>
    <x v="0"/>
    <d v="2026-03-14T00:00:00"/>
    <x v="2"/>
    <x v="45"/>
    <x v="132"/>
    <x v="1"/>
    <x v="0"/>
    <n v="41"/>
    <m/>
    <x v="0"/>
    <x v="0"/>
    <x v="0"/>
    <x v="0"/>
    <x v="0"/>
    <x v="5"/>
  </r>
  <r>
    <d v="2026-03-15T00:00:00"/>
    <x v="1"/>
    <d v="2026-03-15T00:00:00"/>
    <x v="0"/>
    <x v="0"/>
    <x v="0"/>
    <x v="0"/>
    <x v="0"/>
    <m/>
    <m/>
    <x v="0"/>
    <x v="0"/>
    <x v="0"/>
    <x v="0"/>
    <x v="0"/>
    <x v="5"/>
  </r>
  <r>
    <d v="2026-03-16T00:00:00"/>
    <x v="2"/>
    <d v="2026-03-16T00:00:00"/>
    <x v="2"/>
    <x v="43"/>
    <x v="130"/>
    <x v="1"/>
    <x v="0"/>
    <n v="100"/>
    <m/>
    <x v="0"/>
    <x v="0"/>
    <x v="0"/>
    <x v="0"/>
    <x v="0"/>
    <x v="5"/>
  </r>
  <r>
    <d v="2026-03-16T00:00:00"/>
    <x v="2"/>
    <d v="2026-03-16T00:00:00"/>
    <x v="2"/>
    <x v="41"/>
    <x v="117"/>
    <x v="0"/>
    <x v="0"/>
    <m/>
    <n v="6"/>
    <x v="3"/>
    <x v="0"/>
    <x v="0"/>
    <x v="0"/>
    <x v="0"/>
    <x v="5"/>
  </r>
  <r>
    <d v="2026-03-16T00:00:00"/>
    <x v="2"/>
    <d v="2026-03-16T00:00:00"/>
    <x v="2"/>
    <x v="42"/>
    <x v="131"/>
    <x v="6"/>
    <x v="0"/>
    <m/>
    <m/>
    <x v="0"/>
    <x v="0"/>
    <x v="11"/>
    <x v="10"/>
    <x v="0"/>
    <x v="5"/>
  </r>
  <r>
    <d v="2026-03-16T00:00:00"/>
    <x v="2"/>
    <d v="2026-03-16T00:00:00"/>
    <x v="2"/>
    <x v="44"/>
    <x v="133"/>
    <x v="6"/>
    <x v="0"/>
    <n v="157"/>
    <m/>
    <x v="0"/>
    <x v="0"/>
    <x v="0"/>
    <x v="15"/>
    <x v="0"/>
    <x v="5"/>
  </r>
  <r>
    <d v="2026-03-17T00:00:00"/>
    <x v="3"/>
    <d v="2026-03-17T00:00:00"/>
    <x v="2"/>
    <x v="5"/>
    <x v="130"/>
    <x v="7"/>
    <x v="0"/>
    <n v="50"/>
    <m/>
    <x v="0"/>
    <x v="0"/>
    <x v="0"/>
    <x v="0"/>
    <x v="0"/>
    <x v="5"/>
  </r>
  <r>
    <d v="2026-03-17T00:00:00"/>
    <x v="3"/>
    <d v="2026-03-17T00:00:00"/>
    <x v="2"/>
    <x v="43"/>
    <x v="134"/>
    <x v="0"/>
    <x v="0"/>
    <m/>
    <n v="6"/>
    <x v="0"/>
    <x v="0"/>
    <x v="0"/>
    <x v="0"/>
    <x v="0"/>
    <x v="5"/>
  </r>
  <r>
    <d v="2026-03-17T00:00:00"/>
    <x v="3"/>
    <d v="2026-03-17T00:00:00"/>
    <x v="2"/>
    <x v="41"/>
    <x v="121"/>
    <x v="11"/>
    <x v="14"/>
    <m/>
    <m/>
    <x v="0"/>
    <x v="0"/>
    <x v="0"/>
    <x v="0"/>
    <x v="0"/>
    <x v="5"/>
  </r>
  <r>
    <d v="2026-03-17T00:00:00"/>
    <x v="3"/>
    <d v="2026-03-17T00:00:00"/>
    <x v="2"/>
    <x v="44"/>
    <x v="133"/>
    <x v="6"/>
    <x v="0"/>
    <n v="40"/>
    <m/>
    <x v="0"/>
    <x v="0"/>
    <x v="0"/>
    <x v="0"/>
    <x v="0"/>
    <x v="5"/>
  </r>
  <r>
    <d v="2026-03-18T00:00:00"/>
    <x v="4"/>
    <d v="2026-03-18T00:00:00"/>
    <x v="2"/>
    <x v="43"/>
    <x v="135"/>
    <x v="0"/>
    <x v="0"/>
    <m/>
    <n v="6"/>
    <x v="0"/>
    <x v="0"/>
    <x v="0"/>
    <x v="0"/>
    <x v="0"/>
    <x v="5"/>
  </r>
  <r>
    <d v="2026-03-18T00:00:00"/>
    <x v="4"/>
    <d v="2026-03-18T00:00:00"/>
    <x v="2"/>
    <x v="46"/>
    <x v="117"/>
    <x v="0"/>
    <x v="6"/>
    <m/>
    <n v="6"/>
    <x v="0"/>
    <x v="0"/>
    <x v="0"/>
    <x v="0"/>
    <x v="0"/>
    <x v="5"/>
  </r>
  <r>
    <d v="2026-03-18T00:00:00"/>
    <x v="4"/>
    <d v="2026-03-18T00:00:00"/>
    <x v="2"/>
    <x v="5"/>
    <x v="136"/>
    <x v="4"/>
    <x v="0"/>
    <m/>
    <n v="90"/>
    <x v="0"/>
    <x v="0"/>
    <x v="0"/>
    <x v="0"/>
    <x v="0"/>
    <x v="5"/>
  </r>
  <r>
    <d v="2026-03-19T00:00:00"/>
    <x v="5"/>
    <d v="2026-03-19T00:00:00"/>
    <x v="2"/>
    <x v="43"/>
    <x v="135"/>
    <x v="0"/>
    <x v="0"/>
    <m/>
    <n v="6"/>
    <x v="0"/>
    <x v="0"/>
    <x v="0"/>
    <x v="0"/>
    <x v="0"/>
    <x v="5"/>
  </r>
  <r>
    <d v="2026-03-19T00:00:00"/>
    <x v="5"/>
    <d v="2026-03-19T00:00:00"/>
    <x v="2"/>
    <x v="43"/>
    <x v="137"/>
    <x v="0"/>
    <x v="0"/>
    <m/>
    <n v="6"/>
    <x v="3"/>
    <x v="0"/>
    <x v="0"/>
    <x v="0"/>
    <x v="0"/>
    <x v="5"/>
  </r>
  <r>
    <d v="2026-03-19T00:00:00"/>
    <x v="5"/>
    <d v="2026-03-19T00:00:00"/>
    <x v="2"/>
    <x v="46"/>
    <x v="117"/>
    <x v="0"/>
    <x v="0"/>
    <m/>
    <n v="6"/>
    <x v="3"/>
    <x v="0"/>
    <x v="0"/>
    <x v="0"/>
    <x v="0"/>
    <x v="5"/>
  </r>
  <r>
    <d v="2026-03-19T00:00:00"/>
    <x v="5"/>
    <d v="2026-03-19T00:00:00"/>
    <x v="2"/>
    <x v="5"/>
    <x v="138"/>
    <x v="2"/>
    <x v="0"/>
    <n v="81"/>
    <m/>
    <x v="0"/>
    <x v="0"/>
    <x v="0"/>
    <x v="0"/>
    <x v="0"/>
    <x v="5"/>
  </r>
  <r>
    <d v="2026-03-19T00:00:00"/>
    <x v="5"/>
    <d v="2026-03-19T00:00:00"/>
    <x v="2"/>
    <x v="47"/>
    <x v="126"/>
    <x v="8"/>
    <x v="0"/>
    <n v="20"/>
    <m/>
    <x v="0"/>
    <x v="0"/>
    <x v="0"/>
    <x v="12"/>
    <x v="0"/>
    <x v="5"/>
  </r>
  <r>
    <d v="2026-03-20T00:00:00"/>
    <x v="6"/>
    <d v="2026-03-20T00:00:00"/>
    <x v="2"/>
    <x v="43"/>
    <x v="135"/>
    <x v="0"/>
    <x v="7"/>
    <m/>
    <n v="6"/>
    <x v="0"/>
    <x v="0"/>
    <x v="0"/>
    <x v="0"/>
    <x v="0"/>
    <x v="5"/>
  </r>
  <r>
    <d v="2026-03-20T00:00:00"/>
    <x v="6"/>
    <d v="2026-03-20T00:00:00"/>
    <x v="2"/>
    <x v="43"/>
    <x v="137"/>
    <x v="0"/>
    <x v="0"/>
    <m/>
    <n v="6"/>
    <x v="3"/>
    <x v="0"/>
    <x v="0"/>
    <x v="0"/>
    <x v="0"/>
    <x v="5"/>
  </r>
  <r>
    <d v="2026-03-21T00:00:00"/>
    <x v="0"/>
    <d v="2026-03-21T00:00:00"/>
    <x v="0"/>
    <x v="0"/>
    <x v="0"/>
    <x v="0"/>
    <x v="0"/>
    <m/>
    <m/>
    <x v="0"/>
    <x v="0"/>
    <x v="0"/>
    <x v="0"/>
    <x v="0"/>
    <x v="5"/>
  </r>
  <r>
    <d v="2026-03-22T00:00:00"/>
    <x v="1"/>
    <d v="2026-03-22T00:00:00"/>
    <x v="0"/>
    <x v="0"/>
    <x v="0"/>
    <x v="0"/>
    <x v="0"/>
    <m/>
    <m/>
    <x v="0"/>
    <x v="0"/>
    <x v="0"/>
    <x v="0"/>
    <x v="0"/>
    <x v="5"/>
  </r>
  <r>
    <d v="2026-03-23T00:00:00"/>
    <x v="2"/>
    <d v="2026-03-23T00:00:00"/>
    <x v="2"/>
    <x v="43"/>
    <x v="135"/>
    <x v="0"/>
    <x v="6"/>
    <m/>
    <n v="6"/>
    <x v="0"/>
    <x v="0"/>
    <x v="0"/>
    <x v="0"/>
    <x v="0"/>
    <x v="5"/>
  </r>
  <r>
    <d v="2026-03-23T00:00:00"/>
    <x v="2"/>
    <d v="2026-03-23T00:00:00"/>
    <x v="2"/>
    <x v="48"/>
    <x v="137"/>
    <x v="0"/>
    <x v="11"/>
    <m/>
    <n v="12"/>
    <x v="3"/>
    <x v="0"/>
    <x v="0"/>
    <x v="0"/>
    <x v="0"/>
    <x v="5"/>
  </r>
  <r>
    <d v="2026-03-23T00:00:00"/>
    <x v="2"/>
    <d v="2026-03-23T00:00:00"/>
    <x v="2"/>
    <x v="46"/>
    <x v="121"/>
    <x v="0"/>
    <x v="0"/>
    <m/>
    <n v="4"/>
    <x v="3"/>
    <x v="0"/>
    <x v="0"/>
    <x v="0"/>
    <x v="0"/>
    <x v="5"/>
  </r>
  <r>
    <d v="2026-03-23T00:00:00"/>
    <x v="2"/>
    <d v="2026-03-23T00:00:00"/>
    <x v="2"/>
    <x v="5"/>
    <x v="130"/>
    <x v="2"/>
    <x v="0"/>
    <n v="59"/>
    <m/>
    <x v="0"/>
    <x v="0"/>
    <x v="0"/>
    <x v="0"/>
    <x v="0"/>
    <x v="5"/>
  </r>
  <r>
    <d v="2026-03-23T00:00:00"/>
    <x v="2"/>
    <d v="2026-03-23T00:00:00"/>
    <x v="2"/>
    <x v="47"/>
    <x v="139"/>
    <x v="0"/>
    <x v="0"/>
    <n v="37"/>
    <m/>
    <x v="0"/>
    <x v="0"/>
    <x v="0"/>
    <x v="0"/>
    <x v="0"/>
    <x v="5"/>
  </r>
  <r>
    <d v="2026-03-24T00:00:00"/>
    <x v="3"/>
    <d v="2026-03-24T00:00:00"/>
    <x v="2"/>
    <x v="43"/>
    <x v="135"/>
    <x v="0"/>
    <x v="6"/>
    <m/>
    <n v="6"/>
    <x v="3"/>
    <x v="0"/>
    <x v="0"/>
    <x v="0"/>
    <x v="0"/>
    <x v="5"/>
  </r>
  <r>
    <d v="2026-03-24T00:00:00"/>
    <x v="3"/>
    <d v="2026-03-24T00:00:00"/>
    <x v="2"/>
    <x v="48"/>
    <x v="140"/>
    <x v="0"/>
    <x v="15"/>
    <m/>
    <n v="6"/>
    <x v="3"/>
    <x v="0"/>
    <x v="0"/>
    <x v="0"/>
    <x v="0"/>
    <x v="5"/>
  </r>
  <r>
    <d v="2026-03-24T00:00:00"/>
    <x v="3"/>
    <d v="2026-03-24T00:00:00"/>
    <x v="2"/>
    <x v="5"/>
    <x v="141"/>
    <x v="0"/>
    <x v="0"/>
    <n v="73"/>
    <m/>
    <x v="0"/>
    <x v="0"/>
    <x v="0"/>
    <x v="0"/>
    <x v="0"/>
    <x v="5"/>
  </r>
  <r>
    <d v="2026-03-24T00:00:00"/>
    <x v="3"/>
    <d v="2026-03-24T00:00:00"/>
    <x v="2"/>
    <x v="49"/>
    <x v="132"/>
    <x v="10"/>
    <x v="0"/>
    <m/>
    <m/>
    <x v="0"/>
    <x v="0"/>
    <x v="0"/>
    <x v="0"/>
    <x v="0"/>
    <x v="5"/>
  </r>
  <r>
    <d v="2026-03-25T00:00:00"/>
    <x v="4"/>
    <d v="2026-03-25T00:00:00"/>
    <x v="2"/>
    <x v="43"/>
    <x v="135"/>
    <x v="0"/>
    <x v="6"/>
    <m/>
    <n v="3"/>
    <x v="3"/>
    <x v="0"/>
    <x v="0"/>
    <x v="0"/>
    <x v="0"/>
    <x v="5"/>
  </r>
  <r>
    <d v="2026-03-25T00:00:00"/>
    <x v="4"/>
    <d v="2026-03-25T00:00:00"/>
    <x v="2"/>
    <x v="50"/>
    <x v="137"/>
    <x v="0"/>
    <x v="14"/>
    <m/>
    <n v="27"/>
    <x v="3"/>
    <x v="0"/>
    <x v="0"/>
    <x v="0"/>
    <x v="0"/>
    <x v="5"/>
  </r>
  <r>
    <d v="2026-03-25T00:00:00"/>
    <x v="4"/>
    <d v="2026-03-25T00:00:00"/>
    <x v="2"/>
    <x v="46"/>
    <x v="121"/>
    <x v="0"/>
    <x v="15"/>
    <m/>
    <n v="8"/>
    <x v="0"/>
    <x v="0"/>
    <x v="0"/>
    <x v="0"/>
    <x v="0"/>
    <x v="5"/>
  </r>
  <r>
    <d v="2026-03-26T00:00:00"/>
    <x v="5"/>
    <d v="2026-03-26T00:00:00"/>
    <x v="2"/>
    <x v="43"/>
    <x v="135"/>
    <x v="0"/>
    <x v="0"/>
    <m/>
    <n v="5"/>
    <x v="3"/>
    <x v="0"/>
    <x v="0"/>
    <x v="0"/>
    <x v="0"/>
    <x v="5"/>
  </r>
  <r>
    <d v="2026-03-26T00:00:00"/>
    <x v="5"/>
    <d v="2026-03-26T00:00:00"/>
    <x v="2"/>
    <x v="48"/>
    <x v="142"/>
    <x v="0"/>
    <x v="14"/>
    <m/>
    <n v="21"/>
    <x v="3"/>
    <x v="0"/>
    <x v="0"/>
    <x v="0"/>
    <x v="0"/>
    <x v="5"/>
  </r>
  <r>
    <d v="2026-03-26T00:00:00"/>
    <x v="5"/>
    <d v="2026-03-26T00:00:00"/>
    <x v="2"/>
    <x v="5"/>
    <x v="143"/>
    <x v="0"/>
    <x v="0"/>
    <n v="40"/>
    <m/>
    <x v="0"/>
    <x v="0"/>
    <x v="0"/>
    <x v="0"/>
    <x v="0"/>
    <x v="5"/>
  </r>
  <r>
    <d v="2026-03-26T00:00:00"/>
    <x v="5"/>
    <d v="2026-03-26T00:00:00"/>
    <x v="2"/>
    <x v="47"/>
    <x v="126"/>
    <x v="11"/>
    <x v="0"/>
    <m/>
    <m/>
    <x v="0"/>
    <x v="0"/>
    <x v="0"/>
    <x v="1"/>
    <x v="0"/>
    <x v="5"/>
  </r>
  <r>
    <d v="2026-03-27T00:00:00"/>
    <x v="6"/>
    <d v="2026-03-27T00:00:00"/>
    <x v="2"/>
    <x v="43"/>
    <x v="135"/>
    <x v="0"/>
    <x v="0"/>
    <m/>
    <n v="5"/>
    <x v="3"/>
    <x v="0"/>
    <x v="0"/>
    <x v="0"/>
    <x v="0"/>
    <x v="5"/>
  </r>
  <r>
    <d v="2026-03-27T00:00:00"/>
    <x v="6"/>
    <d v="2026-03-27T00:00:00"/>
    <x v="2"/>
    <x v="48"/>
    <x v="142"/>
    <x v="0"/>
    <x v="1"/>
    <m/>
    <n v="24"/>
    <x v="0"/>
    <x v="0"/>
    <x v="0"/>
    <x v="0"/>
    <x v="0"/>
    <x v="5"/>
  </r>
  <r>
    <d v="2026-03-27T00:00:00"/>
    <x v="6"/>
    <d v="2026-03-27T00:00:00"/>
    <x v="2"/>
    <x v="41"/>
    <x v="121"/>
    <x v="0"/>
    <x v="15"/>
    <m/>
    <n v="6"/>
    <x v="0"/>
    <x v="0"/>
    <x v="0"/>
    <x v="0"/>
    <x v="0"/>
    <x v="5"/>
  </r>
  <r>
    <d v="2026-03-27T00:00:00"/>
    <x v="6"/>
    <d v="2026-03-27T00:00:00"/>
    <x v="2"/>
    <x v="5"/>
    <x v="138"/>
    <x v="0"/>
    <x v="0"/>
    <n v="12"/>
    <m/>
    <x v="0"/>
    <x v="0"/>
    <x v="0"/>
    <x v="0"/>
    <x v="0"/>
    <x v="5"/>
  </r>
  <r>
    <d v="2026-03-27T00:00:00"/>
    <x v="6"/>
    <d v="2026-03-27T00:00:00"/>
    <x v="2"/>
    <x v="47"/>
    <x v="144"/>
    <x v="7"/>
    <x v="0"/>
    <m/>
    <m/>
    <x v="0"/>
    <x v="0"/>
    <x v="0"/>
    <x v="7"/>
    <x v="0"/>
    <x v="5"/>
  </r>
  <r>
    <d v="2026-03-28T00:00:00"/>
    <x v="0"/>
    <d v="2026-03-28T00:00:00"/>
    <x v="0"/>
    <x v="0"/>
    <x v="0"/>
    <x v="0"/>
    <x v="0"/>
    <m/>
    <m/>
    <x v="0"/>
    <x v="0"/>
    <x v="0"/>
    <x v="0"/>
    <x v="0"/>
    <x v="5"/>
  </r>
  <r>
    <d v="2026-03-29T00:00:00"/>
    <x v="1"/>
    <d v="2026-03-29T00:00:00"/>
    <x v="0"/>
    <x v="0"/>
    <x v="0"/>
    <x v="0"/>
    <x v="0"/>
    <m/>
    <m/>
    <x v="0"/>
    <x v="0"/>
    <x v="0"/>
    <x v="0"/>
    <x v="0"/>
    <x v="5"/>
  </r>
  <r>
    <d v="2026-03-30T00:00:00"/>
    <x v="2"/>
    <d v="2026-03-30T00:00:00"/>
    <x v="2"/>
    <x v="51"/>
    <x v="142"/>
    <x v="0"/>
    <x v="15"/>
    <m/>
    <n v="12"/>
    <x v="3"/>
    <x v="0"/>
    <x v="0"/>
    <x v="0"/>
    <x v="0"/>
    <x v="5"/>
  </r>
  <r>
    <d v="2026-03-30T00:00:00"/>
    <x v="2"/>
    <d v="2026-03-30T00:00:00"/>
    <x v="2"/>
    <x v="43"/>
    <x v="135"/>
    <x v="0"/>
    <x v="6"/>
    <m/>
    <n v="6"/>
    <x v="3"/>
    <x v="0"/>
    <x v="0"/>
    <x v="0"/>
    <x v="0"/>
    <x v="5"/>
  </r>
  <r>
    <d v="2026-03-30T00:00:00"/>
    <x v="2"/>
    <d v="2026-03-30T00:00:00"/>
    <x v="2"/>
    <x v="46"/>
    <x v="121"/>
    <x v="0"/>
    <x v="15"/>
    <m/>
    <n v="6"/>
    <x v="0"/>
    <x v="0"/>
    <x v="0"/>
    <x v="0"/>
    <x v="0"/>
    <x v="5"/>
  </r>
  <r>
    <d v="2026-03-30T00:00:00"/>
    <x v="2"/>
    <d v="2026-03-30T00:00:00"/>
    <x v="2"/>
    <x v="5"/>
    <x v="145"/>
    <x v="0"/>
    <x v="0"/>
    <n v="20"/>
    <m/>
    <x v="0"/>
    <x v="0"/>
    <x v="0"/>
    <x v="0"/>
    <x v="0"/>
    <x v="5"/>
  </r>
  <r>
    <d v="2026-03-30T00:00:00"/>
    <x v="2"/>
    <d v="2026-03-30T00:00:00"/>
    <x v="2"/>
    <x v="5"/>
    <x v="146"/>
    <x v="0"/>
    <x v="0"/>
    <m/>
    <m/>
    <x v="0"/>
    <x v="0"/>
    <x v="1"/>
    <x v="0"/>
    <x v="0"/>
    <x v="5"/>
  </r>
  <r>
    <d v="2026-03-30T00:00:00"/>
    <x v="2"/>
    <d v="2026-03-30T00:00:00"/>
    <x v="2"/>
    <x v="5"/>
    <x v="118"/>
    <x v="0"/>
    <x v="0"/>
    <m/>
    <m/>
    <x v="0"/>
    <x v="0"/>
    <x v="8"/>
    <x v="0"/>
    <x v="0"/>
    <x v="5"/>
  </r>
  <r>
    <d v="2026-03-31T00:00:00"/>
    <x v="3"/>
    <d v="2026-03-31T00:00:00"/>
    <x v="2"/>
    <x v="51"/>
    <x v="142"/>
    <x v="0"/>
    <x v="4"/>
    <m/>
    <n v="40"/>
    <x v="3"/>
    <x v="0"/>
    <x v="0"/>
    <x v="0"/>
    <x v="0"/>
    <x v="5"/>
  </r>
  <r>
    <d v="2026-03-31T00:00:00"/>
    <x v="3"/>
    <d v="2026-03-31T00:00:00"/>
    <x v="2"/>
    <x v="43"/>
    <x v="135"/>
    <x v="0"/>
    <x v="15"/>
    <m/>
    <n v="6"/>
    <x v="0"/>
    <x v="0"/>
    <x v="0"/>
    <x v="0"/>
    <x v="0"/>
    <x v="5"/>
  </r>
  <r>
    <d v="2026-03-31T00:00:00"/>
    <x v="3"/>
    <d v="2026-03-31T00:00:00"/>
    <x v="2"/>
    <x v="41"/>
    <x v="121"/>
    <x v="0"/>
    <x v="0"/>
    <m/>
    <n v="2"/>
    <x v="3"/>
    <x v="0"/>
    <x v="0"/>
    <x v="0"/>
    <x v="0"/>
    <x v="5"/>
  </r>
  <r>
    <d v="2026-03-31T00:00:00"/>
    <x v="3"/>
    <d v="2026-03-31T00:00:00"/>
    <x v="2"/>
    <x v="5"/>
    <x v="145"/>
    <x v="7"/>
    <x v="0"/>
    <n v="20"/>
    <m/>
    <x v="0"/>
    <x v="0"/>
    <x v="0"/>
    <x v="0"/>
    <x v="0"/>
    <x v="5"/>
  </r>
  <r>
    <d v="2026-03-31T00:00:00"/>
    <x v="3"/>
    <d v="2026-03-31T00:00:00"/>
    <x v="2"/>
    <x v="5"/>
    <x v="118"/>
    <x v="0"/>
    <x v="0"/>
    <m/>
    <m/>
    <x v="0"/>
    <x v="0"/>
    <x v="8"/>
    <x v="0"/>
    <x v="0"/>
    <x v="5"/>
  </r>
  <r>
    <d v="2026-04-01T00:00:00"/>
    <x v="4"/>
    <d v="2026-04-01T00:00:00"/>
    <x v="2"/>
    <x v="43"/>
    <x v="135"/>
    <x v="0"/>
    <x v="6"/>
    <m/>
    <n v="6"/>
    <x v="0"/>
    <x v="0"/>
    <x v="0"/>
    <x v="0"/>
    <x v="0"/>
    <x v="5"/>
  </r>
  <r>
    <d v="2026-04-01T00:00:00"/>
    <x v="4"/>
    <d v="2026-04-01T00:00:00"/>
    <x v="2"/>
    <x v="46"/>
    <x v="147"/>
    <x v="0"/>
    <x v="0"/>
    <m/>
    <n v="6"/>
    <x v="3"/>
    <x v="0"/>
    <x v="0"/>
    <x v="0"/>
    <x v="0"/>
    <x v="5"/>
  </r>
  <r>
    <d v="2026-04-02T00:00:00"/>
    <x v="5"/>
    <d v="2026-04-02T00:00:00"/>
    <x v="0"/>
    <x v="0"/>
    <x v="0"/>
    <x v="0"/>
    <x v="0"/>
    <m/>
    <m/>
    <x v="0"/>
    <x v="0"/>
    <x v="0"/>
    <x v="0"/>
    <x v="0"/>
    <x v="5"/>
  </r>
  <r>
    <d v="2026-04-03T00:00:00"/>
    <x v="6"/>
    <d v="2026-04-03T00:00:00"/>
    <x v="0"/>
    <x v="0"/>
    <x v="0"/>
    <x v="0"/>
    <x v="0"/>
    <m/>
    <m/>
    <x v="0"/>
    <x v="0"/>
    <x v="0"/>
    <x v="0"/>
    <x v="0"/>
    <x v="5"/>
  </r>
  <r>
    <d v="2026-04-04T00:00:00"/>
    <x v="0"/>
    <d v="2026-04-04T00:00:00"/>
    <x v="0"/>
    <x v="0"/>
    <x v="0"/>
    <x v="0"/>
    <x v="0"/>
    <m/>
    <m/>
    <x v="0"/>
    <x v="0"/>
    <x v="0"/>
    <x v="0"/>
    <x v="0"/>
    <x v="5"/>
  </r>
  <r>
    <d v="2026-04-05T00:00:00"/>
    <x v="1"/>
    <d v="2026-04-05T00:00:00"/>
    <x v="0"/>
    <x v="0"/>
    <x v="0"/>
    <x v="0"/>
    <x v="0"/>
    <m/>
    <m/>
    <x v="0"/>
    <x v="0"/>
    <x v="0"/>
    <x v="0"/>
    <x v="0"/>
    <x v="5"/>
  </r>
  <r>
    <d v="2026-04-06T00:00:00"/>
    <x v="2"/>
    <d v="2026-04-06T00:00:00"/>
    <x v="0"/>
    <x v="0"/>
    <x v="0"/>
    <x v="0"/>
    <x v="0"/>
    <m/>
    <m/>
    <x v="0"/>
    <x v="0"/>
    <x v="0"/>
    <x v="0"/>
    <x v="0"/>
    <x v="5"/>
  </r>
  <r>
    <d v="2026-04-07T00:00:00"/>
    <x v="3"/>
    <d v="2026-04-07T00:00:00"/>
    <x v="0"/>
    <x v="0"/>
    <x v="0"/>
    <x v="0"/>
    <x v="0"/>
    <m/>
    <m/>
    <x v="0"/>
    <x v="0"/>
    <x v="0"/>
    <x v="0"/>
    <x v="0"/>
    <x v="5"/>
  </r>
  <r>
    <d v="2026-04-08T00:00:00"/>
    <x v="4"/>
    <d v="2026-04-08T00:00:00"/>
    <x v="0"/>
    <x v="0"/>
    <x v="0"/>
    <x v="0"/>
    <x v="0"/>
    <m/>
    <m/>
    <x v="0"/>
    <x v="0"/>
    <x v="0"/>
    <x v="0"/>
    <x v="0"/>
    <x v="5"/>
  </r>
  <r>
    <d v="2026-04-09T00:00:00"/>
    <x v="5"/>
    <d v="2026-04-09T00:00:00"/>
    <x v="1"/>
    <x v="0"/>
    <x v="0"/>
    <x v="0"/>
    <x v="0"/>
    <m/>
    <m/>
    <x v="0"/>
    <x v="0"/>
    <x v="0"/>
    <x v="0"/>
    <x v="0"/>
    <x v="5"/>
  </r>
  <r>
    <d v="2026-04-10T00:00:00"/>
    <x v="6"/>
    <d v="2026-04-10T00:00:00"/>
    <x v="1"/>
    <x v="0"/>
    <x v="0"/>
    <x v="0"/>
    <x v="0"/>
    <m/>
    <m/>
    <x v="0"/>
    <x v="0"/>
    <x v="0"/>
    <x v="0"/>
    <x v="0"/>
    <x v="5"/>
  </r>
  <r>
    <d v="2026-04-11T00:00:00"/>
    <x v="0"/>
    <d v="2026-04-11T00:00:00"/>
    <x v="0"/>
    <x v="0"/>
    <x v="0"/>
    <x v="0"/>
    <x v="0"/>
    <m/>
    <m/>
    <x v="0"/>
    <x v="0"/>
    <x v="0"/>
    <x v="0"/>
    <x v="0"/>
    <x v="5"/>
  </r>
  <r>
    <d v="2026-04-12T00:00:00"/>
    <x v="1"/>
    <d v="2026-04-12T00:00:00"/>
    <x v="0"/>
    <x v="0"/>
    <x v="0"/>
    <x v="0"/>
    <x v="0"/>
    <m/>
    <m/>
    <x v="0"/>
    <x v="0"/>
    <x v="0"/>
    <x v="0"/>
    <x v="0"/>
    <x v="5"/>
  </r>
  <r>
    <d v="2026-04-13T00:00:00"/>
    <x v="2"/>
    <d v="2026-04-13T00:00:00"/>
    <x v="1"/>
    <x v="0"/>
    <x v="0"/>
    <x v="0"/>
    <x v="0"/>
    <m/>
    <m/>
    <x v="0"/>
    <x v="0"/>
    <x v="0"/>
    <x v="0"/>
    <x v="0"/>
    <x v="5"/>
  </r>
  <r>
    <d v="2026-04-14T00:00:00"/>
    <x v="3"/>
    <d v="2026-04-14T00:00:00"/>
    <x v="1"/>
    <x v="0"/>
    <x v="0"/>
    <x v="0"/>
    <x v="0"/>
    <m/>
    <m/>
    <x v="0"/>
    <x v="0"/>
    <x v="0"/>
    <x v="0"/>
    <x v="0"/>
    <x v="5"/>
  </r>
  <r>
    <d v="2026-04-15T00:00:00"/>
    <x v="4"/>
    <d v="2026-04-15T00:00:00"/>
    <x v="1"/>
    <x v="0"/>
    <x v="0"/>
    <x v="0"/>
    <x v="0"/>
    <m/>
    <m/>
    <x v="0"/>
    <x v="0"/>
    <x v="0"/>
    <x v="0"/>
    <x v="0"/>
    <x v="5"/>
  </r>
  <r>
    <d v="2026-04-16T00:00:00"/>
    <x v="5"/>
    <d v="2026-04-16T00:00:00"/>
    <x v="1"/>
    <x v="0"/>
    <x v="0"/>
    <x v="0"/>
    <x v="0"/>
    <m/>
    <m/>
    <x v="0"/>
    <x v="0"/>
    <x v="0"/>
    <x v="0"/>
    <x v="0"/>
    <x v="5"/>
  </r>
  <r>
    <d v="2026-04-17T00:00:00"/>
    <x v="6"/>
    <d v="2026-04-17T00:00:00"/>
    <x v="1"/>
    <x v="0"/>
    <x v="0"/>
    <x v="0"/>
    <x v="0"/>
    <m/>
    <m/>
    <x v="0"/>
    <x v="0"/>
    <x v="0"/>
    <x v="0"/>
    <x v="0"/>
    <x v="5"/>
  </r>
  <r>
    <d v="2026-04-18T00:00:00"/>
    <x v="0"/>
    <d v="2026-04-18T00:00:00"/>
    <x v="0"/>
    <x v="0"/>
    <x v="0"/>
    <x v="0"/>
    <x v="0"/>
    <m/>
    <m/>
    <x v="0"/>
    <x v="0"/>
    <x v="0"/>
    <x v="0"/>
    <x v="0"/>
    <x v="5"/>
  </r>
  <r>
    <d v="2026-04-19T00:00:00"/>
    <x v="1"/>
    <d v="2026-04-19T00:00:00"/>
    <x v="0"/>
    <x v="0"/>
    <x v="0"/>
    <x v="0"/>
    <x v="0"/>
    <m/>
    <m/>
    <x v="0"/>
    <x v="0"/>
    <x v="0"/>
    <x v="0"/>
    <x v="0"/>
    <x v="5"/>
  </r>
  <r>
    <d v="2026-04-20T00:00:00"/>
    <x v="2"/>
    <d v="2026-04-20T00:00:00"/>
    <x v="1"/>
    <x v="0"/>
    <x v="0"/>
    <x v="0"/>
    <x v="0"/>
    <m/>
    <m/>
    <x v="0"/>
    <x v="0"/>
    <x v="0"/>
    <x v="0"/>
    <x v="0"/>
    <x v="5"/>
  </r>
  <r>
    <d v="2026-04-21T00:00:00"/>
    <x v="3"/>
    <d v="2026-04-21T00:00:00"/>
    <x v="1"/>
    <x v="0"/>
    <x v="0"/>
    <x v="0"/>
    <x v="0"/>
    <m/>
    <m/>
    <x v="0"/>
    <x v="0"/>
    <x v="0"/>
    <x v="0"/>
    <x v="0"/>
    <x v="5"/>
  </r>
  <r>
    <d v="2026-04-22T00:00:00"/>
    <x v="4"/>
    <d v="2026-04-22T00:00:00"/>
    <x v="1"/>
    <x v="0"/>
    <x v="0"/>
    <x v="0"/>
    <x v="0"/>
    <m/>
    <m/>
    <x v="0"/>
    <x v="0"/>
    <x v="0"/>
    <x v="0"/>
    <x v="0"/>
    <x v="5"/>
  </r>
  <r>
    <d v="2026-04-23T00:00:00"/>
    <x v="5"/>
    <d v="2026-04-23T00:00:00"/>
    <x v="1"/>
    <x v="0"/>
    <x v="0"/>
    <x v="0"/>
    <x v="0"/>
    <m/>
    <m/>
    <x v="0"/>
    <x v="0"/>
    <x v="0"/>
    <x v="0"/>
    <x v="0"/>
    <x v="5"/>
  </r>
  <r>
    <d v="2026-04-24T00:00:00"/>
    <x v="6"/>
    <d v="2026-04-24T00:00:00"/>
    <x v="1"/>
    <x v="0"/>
    <x v="0"/>
    <x v="0"/>
    <x v="0"/>
    <m/>
    <m/>
    <x v="0"/>
    <x v="0"/>
    <x v="0"/>
    <x v="0"/>
    <x v="0"/>
    <x v="5"/>
  </r>
  <r>
    <d v="2026-04-25T00:00:00"/>
    <x v="0"/>
    <d v="2026-04-25T00:00:00"/>
    <x v="0"/>
    <x v="0"/>
    <x v="0"/>
    <x v="0"/>
    <x v="0"/>
    <m/>
    <m/>
    <x v="0"/>
    <x v="0"/>
    <x v="0"/>
    <x v="0"/>
    <x v="0"/>
    <x v="5"/>
  </r>
  <r>
    <d v="2026-04-26T00:00:00"/>
    <x v="1"/>
    <d v="2026-04-26T00:00:00"/>
    <x v="0"/>
    <x v="0"/>
    <x v="0"/>
    <x v="0"/>
    <x v="0"/>
    <m/>
    <m/>
    <x v="0"/>
    <x v="0"/>
    <x v="0"/>
    <x v="0"/>
    <x v="0"/>
    <x v="5"/>
  </r>
  <r>
    <d v="2026-04-27T00:00:00"/>
    <x v="2"/>
    <d v="2026-04-27T00:00:00"/>
    <x v="1"/>
    <x v="0"/>
    <x v="0"/>
    <x v="0"/>
    <x v="0"/>
    <m/>
    <m/>
    <x v="0"/>
    <x v="0"/>
    <x v="0"/>
    <x v="0"/>
    <x v="0"/>
    <x v="5"/>
  </r>
  <r>
    <d v="2026-04-28T00:00:00"/>
    <x v="3"/>
    <d v="2026-04-28T00:00:00"/>
    <x v="1"/>
    <x v="0"/>
    <x v="0"/>
    <x v="0"/>
    <x v="0"/>
    <m/>
    <m/>
    <x v="0"/>
    <x v="0"/>
    <x v="0"/>
    <x v="0"/>
    <x v="0"/>
    <x v="5"/>
  </r>
  <r>
    <d v="2026-04-29T00:00:00"/>
    <x v="4"/>
    <d v="2026-04-29T00:00:00"/>
    <x v="1"/>
    <x v="0"/>
    <x v="0"/>
    <x v="0"/>
    <x v="0"/>
    <m/>
    <m/>
    <x v="0"/>
    <x v="0"/>
    <x v="0"/>
    <x v="0"/>
    <x v="0"/>
    <x v="5"/>
  </r>
  <r>
    <d v="2026-04-30T00:00:00"/>
    <x v="5"/>
    <d v="2026-04-30T00:00:00"/>
    <x v="1"/>
    <x v="0"/>
    <x v="0"/>
    <x v="0"/>
    <x v="0"/>
    <m/>
    <m/>
    <x v="0"/>
    <x v="0"/>
    <x v="0"/>
    <x v="0"/>
    <x v="0"/>
    <x v="5"/>
  </r>
  <r>
    <d v="2026-05-01T00:00:00"/>
    <x v="6"/>
    <d v="2026-05-01T00:00:00"/>
    <x v="1"/>
    <x v="0"/>
    <x v="0"/>
    <x v="0"/>
    <x v="0"/>
    <m/>
    <m/>
    <x v="0"/>
    <x v="0"/>
    <x v="0"/>
    <x v="0"/>
    <x v="0"/>
    <x v="5"/>
  </r>
  <r>
    <d v="2026-05-02T00:00:00"/>
    <x v="0"/>
    <d v="2026-05-02T00:00:00"/>
    <x v="0"/>
    <x v="0"/>
    <x v="0"/>
    <x v="0"/>
    <x v="0"/>
    <m/>
    <m/>
    <x v="0"/>
    <x v="0"/>
    <x v="0"/>
    <x v="0"/>
    <x v="0"/>
    <x v="5"/>
  </r>
  <r>
    <d v="2026-05-03T00:00:00"/>
    <x v="1"/>
    <d v="2026-05-03T00:00:00"/>
    <x v="0"/>
    <x v="0"/>
    <x v="0"/>
    <x v="0"/>
    <x v="0"/>
    <m/>
    <m/>
    <x v="0"/>
    <x v="0"/>
    <x v="0"/>
    <x v="0"/>
    <x v="0"/>
    <x v="5"/>
  </r>
  <r>
    <d v="2026-05-04T00:00:00"/>
    <x v="2"/>
    <d v="2026-05-04T00:00:00"/>
    <x v="1"/>
    <x v="0"/>
    <x v="0"/>
    <x v="0"/>
    <x v="0"/>
    <m/>
    <m/>
    <x v="0"/>
    <x v="0"/>
    <x v="0"/>
    <x v="0"/>
    <x v="0"/>
    <x v="5"/>
  </r>
  <r>
    <d v="2026-05-05T00:00:00"/>
    <x v="3"/>
    <d v="2026-05-05T00:00:00"/>
    <x v="1"/>
    <x v="0"/>
    <x v="0"/>
    <x v="0"/>
    <x v="0"/>
    <m/>
    <m/>
    <x v="0"/>
    <x v="0"/>
    <x v="0"/>
    <x v="0"/>
    <x v="0"/>
    <x v="5"/>
  </r>
  <r>
    <d v="2026-05-06T00:00:00"/>
    <x v="4"/>
    <d v="2026-05-06T00:00:00"/>
    <x v="1"/>
    <x v="0"/>
    <x v="0"/>
    <x v="0"/>
    <x v="0"/>
    <m/>
    <m/>
    <x v="0"/>
    <x v="0"/>
    <x v="0"/>
    <x v="0"/>
    <x v="0"/>
    <x v="5"/>
  </r>
  <r>
    <d v="2026-05-07T00:00:00"/>
    <x v="5"/>
    <d v="2026-05-07T00:00:00"/>
    <x v="1"/>
    <x v="0"/>
    <x v="0"/>
    <x v="0"/>
    <x v="0"/>
    <m/>
    <m/>
    <x v="0"/>
    <x v="0"/>
    <x v="0"/>
    <x v="0"/>
    <x v="0"/>
    <x v="5"/>
  </r>
  <r>
    <d v="2026-05-08T00:00:00"/>
    <x v="6"/>
    <d v="2026-05-08T00:00:00"/>
    <x v="1"/>
    <x v="0"/>
    <x v="0"/>
    <x v="0"/>
    <x v="0"/>
    <m/>
    <m/>
    <x v="0"/>
    <x v="0"/>
    <x v="0"/>
    <x v="0"/>
    <x v="0"/>
    <x v="5"/>
  </r>
  <r>
    <d v="2026-05-09T00:00:00"/>
    <x v="0"/>
    <d v="2026-05-09T00:00:00"/>
    <x v="0"/>
    <x v="0"/>
    <x v="0"/>
    <x v="0"/>
    <x v="0"/>
    <m/>
    <m/>
    <x v="0"/>
    <x v="0"/>
    <x v="0"/>
    <x v="0"/>
    <x v="0"/>
    <x v="5"/>
  </r>
  <r>
    <d v="2026-05-10T00:00:00"/>
    <x v="1"/>
    <d v="2026-05-10T00:00:00"/>
    <x v="0"/>
    <x v="0"/>
    <x v="0"/>
    <x v="0"/>
    <x v="0"/>
    <m/>
    <m/>
    <x v="0"/>
    <x v="0"/>
    <x v="0"/>
    <x v="0"/>
    <x v="0"/>
    <x v="5"/>
  </r>
  <r>
    <d v="2026-05-11T00:00:00"/>
    <x v="2"/>
    <d v="2026-05-11T00:00:00"/>
    <x v="1"/>
    <x v="0"/>
    <x v="0"/>
    <x v="0"/>
    <x v="0"/>
    <m/>
    <m/>
    <x v="0"/>
    <x v="0"/>
    <x v="0"/>
    <x v="0"/>
    <x v="0"/>
    <x v="5"/>
  </r>
  <r>
    <d v="2026-05-12T00:00:00"/>
    <x v="3"/>
    <d v="2026-05-12T00:00:00"/>
    <x v="1"/>
    <x v="0"/>
    <x v="0"/>
    <x v="0"/>
    <x v="0"/>
    <m/>
    <m/>
    <x v="0"/>
    <x v="0"/>
    <x v="0"/>
    <x v="0"/>
    <x v="0"/>
    <x v="5"/>
  </r>
  <r>
    <d v="2026-05-13T00:00:00"/>
    <x v="4"/>
    <d v="2026-05-13T00:00:00"/>
    <x v="1"/>
    <x v="0"/>
    <x v="0"/>
    <x v="0"/>
    <x v="0"/>
    <m/>
    <m/>
    <x v="0"/>
    <x v="0"/>
    <x v="0"/>
    <x v="0"/>
    <x v="0"/>
    <x v="5"/>
  </r>
  <r>
    <d v="2026-05-14T00:00:00"/>
    <x v="5"/>
    <d v="2026-05-14T00:00:00"/>
    <x v="1"/>
    <x v="0"/>
    <x v="0"/>
    <x v="0"/>
    <x v="0"/>
    <m/>
    <m/>
    <x v="0"/>
    <x v="0"/>
    <x v="0"/>
    <x v="0"/>
    <x v="0"/>
    <x v="5"/>
  </r>
  <r>
    <d v="2026-05-15T00:00:00"/>
    <x v="6"/>
    <d v="2026-05-15T00:00:00"/>
    <x v="1"/>
    <x v="0"/>
    <x v="0"/>
    <x v="0"/>
    <x v="0"/>
    <m/>
    <m/>
    <x v="0"/>
    <x v="0"/>
    <x v="0"/>
    <x v="0"/>
    <x v="0"/>
    <x v="5"/>
  </r>
  <r>
    <d v="2026-05-16T00:00:00"/>
    <x v="0"/>
    <d v="2026-05-16T00:00:00"/>
    <x v="0"/>
    <x v="0"/>
    <x v="0"/>
    <x v="0"/>
    <x v="0"/>
    <m/>
    <m/>
    <x v="0"/>
    <x v="0"/>
    <x v="0"/>
    <x v="0"/>
    <x v="0"/>
    <x v="5"/>
  </r>
  <r>
    <d v="2026-05-17T00:00:00"/>
    <x v="1"/>
    <d v="2026-05-17T00:00:00"/>
    <x v="0"/>
    <x v="0"/>
    <x v="0"/>
    <x v="0"/>
    <x v="0"/>
    <m/>
    <m/>
    <x v="0"/>
    <x v="0"/>
    <x v="0"/>
    <x v="0"/>
    <x v="0"/>
    <x v="5"/>
  </r>
  <r>
    <d v="2026-05-18T00:00:00"/>
    <x v="2"/>
    <d v="2026-05-18T00:00:00"/>
    <x v="1"/>
    <x v="0"/>
    <x v="0"/>
    <x v="0"/>
    <x v="0"/>
    <m/>
    <m/>
    <x v="0"/>
    <x v="0"/>
    <x v="0"/>
    <x v="0"/>
    <x v="0"/>
    <x v="5"/>
  </r>
  <r>
    <d v="2026-05-19T00:00:00"/>
    <x v="3"/>
    <d v="2026-05-19T00:00:00"/>
    <x v="1"/>
    <x v="0"/>
    <x v="0"/>
    <x v="0"/>
    <x v="0"/>
    <m/>
    <m/>
    <x v="0"/>
    <x v="0"/>
    <x v="0"/>
    <x v="0"/>
    <x v="0"/>
    <x v="5"/>
  </r>
  <r>
    <d v="2026-05-20T00:00:00"/>
    <x v="4"/>
    <d v="2026-05-20T00:00:00"/>
    <x v="1"/>
    <x v="0"/>
    <x v="0"/>
    <x v="0"/>
    <x v="0"/>
    <m/>
    <m/>
    <x v="0"/>
    <x v="0"/>
    <x v="0"/>
    <x v="0"/>
    <x v="0"/>
    <x v="5"/>
  </r>
  <r>
    <d v="2026-05-21T00:00:00"/>
    <x v="5"/>
    <d v="2026-05-21T00:00:00"/>
    <x v="1"/>
    <x v="0"/>
    <x v="0"/>
    <x v="0"/>
    <x v="0"/>
    <m/>
    <m/>
    <x v="0"/>
    <x v="0"/>
    <x v="0"/>
    <x v="0"/>
    <x v="0"/>
    <x v="5"/>
  </r>
  <r>
    <d v="2026-05-22T00:00:00"/>
    <x v="6"/>
    <d v="2026-05-22T00:00:00"/>
    <x v="1"/>
    <x v="0"/>
    <x v="0"/>
    <x v="0"/>
    <x v="0"/>
    <m/>
    <m/>
    <x v="0"/>
    <x v="0"/>
    <x v="0"/>
    <x v="0"/>
    <x v="0"/>
    <x v="5"/>
  </r>
  <r>
    <d v="2026-05-23T00:00:00"/>
    <x v="0"/>
    <d v="2026-05-23T00:00:00"/>
    <x v="0"/>
    <x v="0"/>
    <x v="0"/>
    <x v="0"/>
    <x v="0"/>
    <m/>
    <m/>
    <x v="0"/>
    <x v="0"/>
    <x v="0"/>
    <x v="0"/>
    <x v="0"/>
    <x v="5"/>
  </r>
  <r>
    <d v="2026-05-24T00:00:00"/>
    <x v="1"/>
    <d v="2026-05-24T00:00:00"/>
    <x v="0"/>
    <x v="0"/>
    <x v="0"/>
    <x v="0"/>
    <x v="0"/>
    <m/>
    <m/>
    <x v="0"/>
    <x v="0"/>
    <x v="0"/>
    <x v="0"/>
    <x v="0"/>
    <x v="5"/>
  </r>
  <r>
    <d v="2026-05-25T00:00:00"/>
    <x v="2"/>
    <d v="2026-05-25T00:00:00"/>
    <x v="1"/>
    <x v="0"/>
    <x v="0"/>
    <x v="0"/>
    <x v="0"/>
    <m/>
    <m/>
    <x v="0"/>
    <x v="0"/>
    <x v="0"/>
    <x v="0"/>
    <x v="0"/>
    <x v="5"/>
  </r>
  <r>
    <d v="2026-05-26T00:00:00"/>
    <x v="3"/>
    <d v="2026-05-26T00:00:00"/>
    <x v="1"/>
    <x v="0"/>
    <x v="0"/>
    <x v="0"/>
    <x v="0"/>
    <m/>
    <m/>
    <x v="0"/>
    <x v="0"/>
    <x v="0"/>
    <x v="0"/>
    <x v="0"/>
    <x v="5"/>
  </r>
  <r>
    <d v="2026-05-27T00:00:00"/>
    <x v="4"/>
    <d v="2026-05-27T00:00:00"/>
    <x v="1"/>
    <x v="0"/>
    <x v="0"/>
    <x v="0"/>
    <x v="0"/>
    <m/>
    <m/>
    <x v="0"/>
    <x v="0"/>
    <x v="0"/>
    <x v="0"/>
    <x v="0"/>
    <x v="5"/>
  </r>
  <r>
    <d v="2026-05-28T00:00:00"/>
    <x v="5"/>
    <d v="2026-05-28T00:00:00"/>
    <x v="1"/>
    <x v="0"/>
    <x v="0"/>
    <x v="0"/>
    <x v="0"/>
    <m/>
    <m/>
    <x v="0"/>
    <x v="0"/>
    <x v="0"/>
    <x v="0"/>
    <x v="0"/>
    <x v="5"/>
  </r>
  <r>
    <d v="2026-05-29T00:00:00"/>
    <x v="6"/>
    <d v="2026-05-29T00:00:00"/>
    <x v="1"/>
    <x v="0"/>
    <x v="0"/>
    <x v="0"/>
    <x v="0"/>
    <m/>
    <m/>
    <x v="0"/>
    <x v="0"/>
    <x v="0"/>
    <x v="0"/>
    <x v="0"/>
    <x v="5"/>
  </r>
  <r>
    <d v="2026-05-30T00:00:00"/>
    <x v="0"/>
    <d v="2026-05-30T00:00:00"/>
    <x v="0"/>
    <x v="0"/>
    <x v="0"/>
    <x v="0"/>
    <x v="0"/>
    <m/>
    <m/>
    <x v="0"/>
    <x v="0"/>
    <x v="0"/>
    <x v="0"/>
    <x v="0"/>
    <x v="5"/>
  </r>
  <r>
    <d v="2026-05-31T00:00:00"/>
    <x v="1"/>
    <d v="2026-05-31T00:00:00"/>
    <x v="0"/>
    <x v="0"/>
    <x v="0"/>
    <x v="0"/>
    <x v="0"/>
    <m/>
    <m/>
    <x v="0"/>
    <x v="0"/>
    <x v="0"/>
    <x v="0"/>
    <x v="0"/>
    <x v="5"/>
  </r>
  <r>
    <d v="2026-06-01T00:00:00"/>
    <x v="2"/>
    <d v="2026-06-01T00:00:00"/>
    <x v="1"/>
    <x v="0"/>
    <x v="0"/>
    <x v="0"/>
    <x v="0"/>
    <m/>
    <m/>
    <x v="0"/>
    <x v="0"/>
    <x v="0"/>
    <x v="0"/>
    <x v="0"/>
    <x v="5"/>
  </r>
  <r>
    <d v="2026-06-02T00:00:00"/>
    <x v="3"/>
    <d v="2026-06-02T00:00:00"/>
    <x v="1"/>
    <x v="0"/>
    <x v="0"/>
    <x v="0"/>
    <x v="0"/>
    <m/>
    <m/>
    <x v="0"/>
    <x v="0"/>
    <x v="0"/>
    <x v="0"/>
    <x v="0"/>
    <x v="5"/>
  </r>
  <r>
    <d v="2026-06-03T00:00:00"/>
    <x v="4"/>
    <d v="2026-06-03T00:00:00"/>
    <x v="1"/>
    <x v="0"/>
    <x v="0"/>
    <x v="0"/>
    <x v="0"/>
    <m/>
    <m/>
    <x v="0"/>
    <x v="0"/>
    <x v="0"/>
    <x v="0"/>
    <x v="0"/>
    <x v="5"/>
  </r>
  <r>
    <d v="2026-06-04T00:00:00"/>
    <x v="5"/>
    <d v="2026-06-04T00:00:00"/>
    <x v="1"/>
    <x v="0"/>
    <x v="0"/>
    <x v="0"/>
    <x v="0"/>
    <m/>
    <m/>
    <x v="0"/>
    <x v="0"/>
    <x v="0"/>
    <x v="0"/>
    <x v="0"/>
    <x v="5"/>
  </r>
  <r>
    <d v="2026-06-05T00:00:00"/>
    <x v="6"/>
    <d v="2026-06-05T00:00:00"/>
    <x v="1"/>
    <x v="0"/>
    <x v="0"/>
    <x v="0"/>
    <x v="0"/>
    <m/>
    <m/>
    <x v="0"/>
    <x v="0"/>
    <x v="0"/>
    <x v="0"/>
    <x v="0"/>
    <x v="5"/>
  </r>
  <r>
    <d v="2026-06-06T00:00:00"/>
    <x v="0"/>
    <d v="2026-06-06T00:00:00"/>
    <x v="0"/>
    <x v="0"/>
    <x v="0"/>
    <x v="0"/>
    <x v="0"/>
    <m/>
    <m/>
    <x v="0"/>
    <x v="0"/>
    <x v="0"/>
    <x v="0"/>
    <x v="0"/>
    <x v="5"/>
  </r>
  <r>
    <d v="2026-06-07T00:00:00"/>
    <x v="1"/>
    <d v="2026-06-07T00:00:00"/>
    <x v="0"/>
    <x v="0"/>
    <x v="0"/>
    <x v="0"/>
    <x v="0"/>
    <m/>
    <m/>
    <x v="0"/>
    <x v="0"/>
    <x v="0"/>
    <x v="0"/>
    <x v="0"/>
    <x v="5"/>
  </r>
  <r>
    <d v="2026-06-08T00:00:00"/>
    <x v="2"/>
    <d v="2026-06-08T00:00:00"/>
    <x v="1"/>
    <x v="0"/>
    <x v="0"/>
    <x v="0"/>
    <x v="0"/>
    <m/>
    <m/>
    <x v="0"/>
    <x v="0"/>
    <x v="0"/>
    <x v="0"/>
    <x v="0"/>
    <x v="5"/>
  </r>
  <r>
    <d v="2026-06-09T00:00:00"/>
    <x v="3"/>
    <d v="2026-06-09T00:00:00"/>
    <x v="1"/>
    <x v="0"/>
    <x v="0"/>
    <x v="0"/>
    <x v="0"/>
    <m/>
    <m/>
    <x v="0"/>
    <x v="0"/>
    <x v="0"/>
    <x v="0"/>
    <x v="0"/>
    <x v="5"/>
  </r>
  <r>
    <d v="2026-06-10T00:00:00"/>
    <x v="4"/>
    <d v="2026-06-10T00:00:00"/>
    <x v="1"/>
    <x v="0"/>
    <x v="0"/>
    <x v="0"/>
    <x v="0"/>
    <m/>
    <m/>
    <x v="0"/>
    <x v="0"/>
    <x v="0"/>
    <x v="0"/>
    <x v="0"/>
    <x v="5"/>
  </r>
  <r>
    <d v="2026-06-11T00:00:00"/>
    <x v="5"/>
    <d v="2026-06-11T00:00:00"/>
    <x v="1"/>
    <x v="0"/>
    <x v="0"/>
    <x v="0"/>
    <x v="0"/>
    <m/>
    <m/>
    <x v="0"/>
    <x v="0"/>
    <x v="0"/>
    <x v="0"/>
    <x v="0"/>
    <x v="5"/>
  </r>
  <r>
    <d v="2026-06-12T00:00:00"/>
    <x v="6"/>
    <d v="2026-06-12T00:00:00"/>
    <x v="1"/>
    <x v="0"/>
    <x v="0"/>
    <x v="0"/>
    <x v="0"/>
    <m/>
    <m/>
    <x v="0"/>
    <x v="0"/>
    <x v="0"/>
    <x v="0"/>
    <x v="0"/>
    <x v="5"/>
  </r>
  <r>
    <d v="2026-06-13T00:00:00"/>
    <x v="0"/>
    <d v="2026-06-13T00:00:00"/>
    <x v="0"/>
    <x v="0"/>
    <x v="0"/>
    <x v="0"/>
    <x v="0"/>
    <m/>
    <m/>
    <x v="0"/>
    <x v="0"/>
    <x v="0"/>
    <x v="0"/>
    <x v="0"/>
    <x v="5"/>
  </r>
  <r>
    <d v="2026-06-14T00:00:00"/>
    <x v="1"/>
    <d v="2026-06-14T00:00:00"/>
    <x v="0"/>
    <x v="0"/>
    <x v="0"/>
    <x v="0"/>
    <x v="0"/>
    <m/>
    <m/>
    <x v="0"/>
    <x v="0"/>
    <x v="0"/>
    <x v="0"/>
    <x v="0"/>
    <x v="5"/>
  </r>
  <r>
    <d v="2026-06-15T00:00:00"/>
    <x v="2"/>
    <d v="2026-06-15T00:00:00"/>
    <x v="1"/>
    <x v="0"/>
    <x v="0"/>
    <x v="0"/>
    <x v="0"/>
    <m/>
    <m/>
    <x v="0"/>
    <x v="0"/>
    <x v="0"/>
    <x v="0"/>
    <x v="0"/>
    <x v="5"/>
  </r>
  <r>
    <d v="2026-06-16T00:00:00"/>
    <x v="3"/>
    <d v="2026-06-16T00:00:00"/>
    <x v="1"/>
    <x v="0"/>
    <x v="0"/>
    <x v="0"/>
    <x v="0"/>
    <m/>
    <m/>
    <x v="0"/>
    <x v="0"/>
    <x v="0"/>
    <x v="0"/>
    <x v="0"/>
    <x v="5"/>
  </r>
  <r>
    <d v="2026-06-17T00:00:00"/>
    <x v="4"/>
    <d v="2026-06-17T00:00:00"/>
    <x v="1"/>
    <x v="0"/>
    <x v="0"/>
    <x v="0"/>
    <x v="0"/>
    <m/>
    <m/>
    <x v="0"/>
    <x v="0"/>
    <x v="0"/>
    <x v="0"/>
    <x v="0"/>
    <x v="5"/>
  </r>
  <r>
    <d v="2026-06-18T00:00:00"/>
    <x v="5"/>
    <d v="2026-06-18T00:00:00"/>
    <x v="1"/>
    <x v="0"/>
    <x v="0"/>
    <x v="0"/>
    <x v="0"/>
    <m/>
    <m/>
    <x v="0"/>
    <x v="0"/>
    <x v="0"/>
    <x v="0"/>
    <x v="0"/>
    <x v="5"/>
  </r>
  <r>
    <d v="2026-06-19T00:00:00"/>
    <x v="6"/>
    <d v="2026-06-19T00:00:00"/>
    <x v="1"/>
    <x v="0"/>
    <x v="0"/>
    <x v="0"/>
    <x v="0"/>
    <m/>
    <m/>
    <x v="0"/>
    <x v="0"/>
    <x v="0"/>
    <x v="0"/>
    <x v="0"/>
    <x v="5"/>
  </r>
  <r>
    <d v="2026-06-20T00:00:00"/>
    <x v="0"/>
    <d v="2026-06-20T00:00:00"/>
    <x v="0"/>
    <x v="0"/>
    <x v="0"/>
    <x v="0"/>
    <x v="0"/>
    <m/>
    <m/>
    <x v="0"/>
    <x v="0"/>
    <x v="0"/>
    <x v="0"/>
    <x v="0"/>
    <x v="5"/>
  </r>
  <r>
    <d v="2026-06-21T00:00:00"/>
    <x v="1"/>
    <d v="2026-06-21T00:00:00"/>
    <x v="0"/>
    <x v="0"/>
    <x v="0"/>
    <x v="0"/>
    <x v="0"/>
    <m/>
    <m/>
    <x v="0"/>
    <x v="0"/>
    <x v="0"/>
    <x v="0"/>
    <x v="0"/>
    <x v="5"/>
  </r>
  <r>
    <d v="2026-06-22T00:00:00"/>
    <x v="2"/>
    <d v="2026-06-22T00:00:00"/>
    <x v="1"/>
    <x v="0"/>
    <x v="0"/>
    <x v="0"/>
    <x v="0"/>
    <m/>
    <m/>
    <x v="0"/>
    <x v="0"/>
    <x v="0"/>
    <x v="0"/>
    <x v="0"/>
    <x v="5"/>
  </r>
  <r>
    <d v="2026-06-23T00:00:00"/>
    <x v="3"/>
    <d v="2026-06-23T00:00:00"/>
    <x v="1"/>
    <x v="0"/>
    <x v="0"/>
    <x v="0"/>
    <x v="0"/>
    <m/>
    <m/>
    <x v="0"/>
    <x v="0"/>
    <x v="0"/>
    <x v="0"/>
    <x v="0"/>
    <x v="5"/>
  </r>
  <r>
    <d v="2026-06-24T00:00:00"/>
    <x v="4"/>
    <d v="2026-06-24T00:00:00"/>
    <x v="1"/>
    <x v="0"/>
    <x v="0"/>
    <x v="0"/>
    <x v="0"/>
    <m/>
    <m/>
    <x v="0"/>
    <x v="0"/>
    <x v="0"/>
    <x v="0"/>
    <x v="0"/>
    <x v="5"/>
  </r>
  <r>
    <d v="2026-06-25T00:00:00"/>
    <x v="5"/>
    <d v="2026-06-25T00:00:00"/>
    <x v="1"/>
    <x v="0"/>
    <x v="0"/>
    <x v="0"/>
    <x v="0"/>
    <m/>
    <m/>
    <x v="0"/>
    <x v="0"/>
    <x v="0"/>
    <x v="0"/>
    <x v="0"/>
    <x v="5"/>
  </r>
  <r>
    <d v="2026-06-26T00:00:00"/>
    <x v="6"/>
    <d v="2026-06-26T00:00:00"/>
    <x v="1"/>
    <x v="0"/>
    <x v="0"/>
    <x v="0"/>
    <x v="0"/>
    <m/>
    <m/>
    <x v="0"/>
    <x v="0"/>
    <x v="0"/>
    <x v="0"/>
    <x v="0"/>
    <x v="5"/>
  </r>
  <r>
    <d v="2026-06-27T00:00:00"/>
    <x v="0"/>
    <d v="2026-06-27T00:00:00"/>
    <x v="0"/>
    <x v="0"/>
    <x v="0"/>
    <x v="0"/>
    <x v="0"/>
    <m/>
    <m/>
    <x v="0"/>
    <x v="0"/>
    <x v="0"/>
    <x v="0"/>
    <x v="0"/>
    <x v="5"/>
  </r>
  <r>
    <d v="2026-06-28T00:00:00"/>
    <x v="1"/>
    <d v="2026-06-28T00:00:00"/>
    <x v="0"/>
    <x v="0"/>
    <x v="0"/>
    <x v="0"/>
    <x v="0"/>
    <m/>
    <m/>
    <x v="0"/>
    <x v="0"/>
    <x v="0"/>
    <x v="0"/>
    <x v="0"/>
    <x v="5"/>
  </r>
  <r>
    <d v="2026-06-29T00:00:00"/>
    <x v="2"/>
    <d v="2026-06-29T00:00:00"/>
    <x v="1"/>
    <x v="0"/>
    <x v="0"/>
    <x v="0"/>
    <x v="0"/>
    <m/>
    <m/>
    <x v="0"/>
    <x v="0"/>
    <x v="0"/>
    <x v="0"/>
    <x v="0"/>
    <x v="5"/>
  </r>
  <r>
    <d v="2026-06-30T00:00:00"/>
    <x v="3"/>
    <d v="2026-06-30T00:00:00"/>
    <x v="1"/>
    <x v="0"/>
    <x v="0"/>
    <x v="0"/>
    <x v="0"/>
    <m/>
    <m/>
    <x v="0"/>
    <x v="0"/>
    <x v="0"/>
    <x v="0"/>
    <x v="0"/>
    <x v="5"/>
  </r>
  <r>
    <d v="2026-07-01T00:00:00"/>
    <x v="4"/>
    <d v="2026-07-01T00:00:00"/>
    <x v="1"/>
    <x v="0"/>
    <x v="0"/>
    <x v="0"/>
    <x v="0"/>
    <m/>
    <m/>
    <x v="0"/>
    <x v="0"/>
    <x v="0"/>
    <x v="0"/>
    <x v="0"/>
    <x v="5"/>
  </r>
  <r>
    <d v="2026-07-02T00:00:00"/>
    <x v="5"/>
    <d v="2026-07-02T00:00:00"/>
    <x v="1"/>
    <x v="0"/>
    <x v="0"/>
    <x v="0"/>
    <x v="0"/>
    <m/>
    <m/>
    <x v="0"/>
    <x v="0"/>
    <x v="0"/>
    <x v="0"/>
    <x v="0"/>
    <x v="5"/>
  </r>
  <r>
    <d v="2026-07-03T00:00:00"/>
    <x v="6"/>
    <d v="2026-07-03T00:00:00"/>
    <x v="1"/>
    <x v="0"/>
    <x v="0"/>
    <x v="0"/>
    <x v="0"/>
    <m/>
    <m/>
    <x v="0"/>
    <x v="0"/>
    <x v="0"/>
    <x v="0"/>
    <x v="0"/>
    <x v="5"/>
  </r>
  <r>
    <d v="2026-07-04T00:00:00"/>
    <x v="0"/>
    <d v="2026-07-04T00:00:00"/>
    <x v="0"/>
    <x v="0"/>
    <x v="0"/>
    <x v="0"/>
    <x v="0"/>
    <m/>
    <m/>
    <x v="0"/>
    <x v="0"/>
    <x v="0"/>
    <x v="0"/>
    <x v="0"/>
    <x v="5"/>
  </r>
  <r>
    <d v="2026-07-05T00:00:00"/>
    <x v="1"/>
    <d v="2026-07-05T00:00:00"/>
    <x v="0"/>
    <x v="0"/>
    <x v="0"/>
    <x v="0"/>
    <x v="0"/>
    <m/>
    <m/>
    <x v="0"/>
    <x v="0"/>
    <x v="0"/>
    <x v="0"/>
    <x v="0"/>
    <x v="5"/>
  </r>
  <r>
    <d v="2026-07-06T00:00:00"/>
    <x v="2"/>
    <d v="2026-07-06T00:00:00"/>
    <x v="1"/>
    <x v="0"/>
    <x v="0"/>
    <x v="0"/>
    <x v="0"/>
    <m/>
    <m/>
    <x v="0"/>
    <x v="0"/>
    <x v="0"/>
    <x v="0"/>
    <x v="0"/>
    <x v="5"/>
  </r>
  <r>
    <d v="2026-07-07T00:00:00"/>
    <x v="3"/>
    <d v="2026-07-07T00:00:00"/>
    <x v="1"/>
    <x v="0"/>
    <x v="0"/>
    <x v="0"/>
    <x v="0"/>
    <m/>
    <m/>
    <x v="0"/>
    <x v="0"/>
    <x v="0"/>
    <x v="0"/>
    <x v="0"/>
    <x v="5"/>
  </r>
  <r>
    <d v="2026-07-08T00:00:00"/>
    <x v="4"/>
    <d v="2026-07-08T00:00:00"/>
    <x v="1"/>
    <x v="0"/>
    <x v="0"/>
    <x v="0"/>
    <x v="0"/>
    <m/>
    <m/>
    <x v="0"/>
    <x v="0"/>
    <x v="0"/>
    <x v="0"/>
    <x v="0"/>
    <x v="5"/>
  </r>
  <r>
    <d v="2026-07-09T00:00:00"/>
    <x v="5"/>
    <d v="2026-07-09T00:00:00"/>
    <x v="1"/>
    <x v="0"/>
    <x v="0"/>
    <x v="0"/>
    <x v="0"/>
    <m/>
    <m/>
    <x v="0"/>
    <x v="0"/>
    <x v="0"/>
    <x v="0"/>
    <x v="0"/>
    <x v="5"/>
  </r>
  <r>
    <d v="2026-07-10T00:00:00"/>
    <x v="6"/>
    <d v="2026-07-10T00:00:00"/>
    <x v="1"/>
    <x v="0"/>
    <x v="0"/>
    <x v="0"/>
    <x v="0"/>
    <m/>
    <m/>
    <x v="0"/>
    <x v="0"/>
    <x v="0"/>
    <x v="0"/>
    <x v="0"/>
    <x v="5"/>
  </r>
  <r>
    <d v="2026-07-11T00:00:00"/>
    <x v="0"/>
    <d v="2026-07-11T00:00:00"/>
    <x v="0"/>
    <x v="0"/>
    <x v="0"/>
    <x v="0"/>
    <x v="0"/>
    <m/>
    <m/>
    <x v="0"/>
    <x v="0"/>
    <x v="0"/>
    <x v="0"/>
    <x v="0"/>
    <x v="5"/>
  </r>
  <r>
    <d v="2026-07-12T00:00:00"/>
    <x v="1"/>
    <d v="2026-07-12T00:00:00"/>
    <x v="0"/>
    <x v="0"/>
    <x v="0"/>
    <x v="0"/>
    <x v="0"/>
    <m/>
    <m/>
    <x v="0"/>
    <x v="0"/>
    <x v="0"/>
    <x v="0"/>
    <x v="0"/>
    <x v="5"/>
  </r>
  <r>
    <d v="2026-07-13T00:00:00"/>
    <x v="2"/>
    <d v="2026-07-13T00:00:00"/>
    <x v="1"/>
    <x v="0"/>
    <x v="0"/>
    <x v="0"/>
    <x v="0"/>
    <m/>
    <m/>
    <x v="0"/>
    <x v="0"/>
    <x v="0"/>
    <x v="0"/>
    <x v="0"/>
    <x v="5"/>
  </r>
  <r>
    <d v="2026-07-14T00:00:00"/>
    <x v="3"/>
    <d v="2026-07-14T00:00:00"/>
    <x v="1"/>
    <x v="0"/>
    <x v="0"/>
    <x v="0"/>
    <x v="0"/>
    <m/>
    <m/>
    <x v="0"/>
    <x v="0"/>
    <x v="0"/>
    <x v="0"/>
    <x v="0"/>
    <x v="5"/>
  </r>
  <r>
    <d v="2026-07-15T00:00:00"/>
    <x v="4"/>
    <d v="2026-07-15T00:00:00"/>
    <x v="1"/>
    <x v="0"/>
    <x v="0"/>
    <x v="0"/>
    <x v="0"/>
    <m/>
    <m/>
    <x v="0"/>
    <x v="0"/>
    <x v="0"/>
    <x v="0"/>
    <x v="0"/>
    <x v="5"/>
  </r>
  <r>
    <d v="2026-07-16T00:00:00"/>
    <x v="5"/>
    <d v="2026-07-16T00:00:00"/>
    <x v="1"/>
    <x v="0"/>
    <x v="0"/>
    <x v="0"/>
    <x v="0"/>
    <m/>
    <m/>
    <x v="0"/>
    <x v="0"/>
    <x v="0"/>
    <x v="0"/>
    <x v="0"/>
    <x v="5"/>
  </r>
  <r>
    <d v="2026-07-17T00:00:00"/>
    <x v="6"/>
    <d v="2026-07-17T00:00:00"/>
    <x v="1"/>
    <x v="0"/>
    <x v="0"/>
    <x v="0"/>
    <x v="0"/>
    <m/>
    <m/>
    <x v="0"/>
    <x v="0"/>
    <x v="0"/>
    <x v="0"/>
    <x v="0"/>
    <x v="5"/>
  </r>
  <r>
    <d v="2026-07-18T00:00:00"/>
    <x v="0"/>
    <d v="2026-07-18T00:00:00"/>
    <x v="0"/>
    <x v="0"/>
    <x v="0"/>
    <x v="0"/>
    <x v="0"/>
    <m/>
    <m/>
    <x v="0"/>
    <x v="0"/>
    <x v="0"/>
    <x v="0"/>
    <x v="0"/>
    <x v="5"/>
  </r>
  <r>
    <d v="2026-07-19T00:00:00"/>
    <x v="1"/>
    <d v="2026-07-19T00:00:00"/>
    <x v="0"/>
    <x v="0"/>
    <x v="0"/>
    <x v="0"/>
    <x v="0"/>
    <m/>
    <m/>
    <x v="0"/>
    <x v="0"/>
    <x v="0"/>
    <x v="0"/>
    <x v="0"/>
    <x v="5"/>
  </r>
  <r>
    <d v="2026-07-20T00:00:00"/>
    <x v="2"/>
    <d v="2026-07-20T00:00:00"/>
    <x v="1"/>
    <x v="0"/>
    <x v="0"/>
    <x v="0"/>
    <x v="0"/>
    <m/>
    <m/>
    <x v="0"/>
    <x v="0"/>
    <x v="0"/>
    <x v="0"/>
    <x v="0"/>
    <x v="5"/>
  </r>
  <r>
    <d v="2026-07-21T00:00:00"/>
    <x v="3"/>
    <d v="2026-07-21T00:00:00"/>
    <x v="1"/>
    <x v="0"/>
    <x v="0"/>
    <x v="0"/>
    <x v="0"/>
    <m/>
    <m/>
    <x v="0"/>
    <x v="0"/>
    <x v="0"/>
    <x v="0"/>
    <x v="0"/>
    <x v="5"/>
  </r>
  <r>
    <d v="2026-07-22T00:00:00"/>
    <x v="4"/>
    <d v="2026-07-22T00:00:00"/>
    <x v="1"/>
    <x v="0"/>
    <x v="0"/>
    <x v="0"/>
    <x v="0"/>
    <m/>
    <m/>
    <x v="0"/>
    <x v="0"/>
    <x v="0"/>
    <x v="0"/>
    <x v="0"/>
    <x v="5"/>
  </r>
  <r>
    <d v="2026-07-23T00:00:00"/>
    <x v="5"/>
    <d v="2026-07-23T00:00:00"/>
    <x v="1"/>
    <x v="0"/>
    <x v="0"/>
    <x v="0"/>
    <x v="0"/>
    <m/>
    <m/>
    <x v="0"/>
    <x v="0"/>
    <x v="0"/>
    <x v="0"/>
    <x v="0"/>
    <x v="5"/>
  </r>
  <r>
    <d v="2026-07-24T00:00:00"/>
    <x v="6"/>
    <d v="2026-07-24T00:00:00"/>
    <x v="1"/>
    <x v="0"/>
    <x v="0"/>
    <x v="0"/>
    <x v="0"/>
    <m/>
    <m/>
    <x v="0"/>
    <x v="0"/>
    <x v="0"/>
    <x v="0"/>
    <x v="0"/>
    <x v="5"/>
  </r>
  <r>
    <d v="2026-07-25T00:00:00"/>
    <x v="0"/>
    <d v="2026-07-25T00:00:00"/>
    <x v="0"/>
    <x v="0"/>
    <x v="0"/>
    <x v="0"/>
    <x v="0"/>
    <m/>
    <m/>
    <x v="0"/>
    <x v="0"/>
    <x v="0"/>
    <x v="0"/>
    <x v="0"/>
    <x v="5"/>
  </r>
  <r>
    <d v="2026-07-26T00:00:00"/>
    <x v="1"/>
    <d v="2026-07-26T00:00:00"/>
    <x v="0"/>
    <x v="0"/>
    <x v="0"/>
    <x v="0"/>
    <x v="0"/>
    <m/>
    <m/>
    <x v="0"/>
    <x v="0"/>
    <x v="0"/>
    <x v="0"/>
    <x v="0"/>
    <x v="5"/>
  </r>
  <r>
    <d v="2026-07-27T00:00:00"/>
    <x v="2"/>
    <d v="2026-07-27T00:00:00"/>
    <x v="1"/>
    <x v="0"/>
    <x v="0"/>
    <x v="0"/>
    <x v="0"/>
    <m/>
    <m/>
    <x v="0"/>
    <x v="0"/>
    <x v="0"/>
    <x v="0"/>
    <x v="0"/>
    <x v="5"/>
  </r>
  <r>
    <d v="2026-07-28T00:00:00"/>
    <x v="3"/>
    <d v="2026-07-28T00:00:00"/>
    <x v="1"/>
    <x v="0"/>
    <x v="0"/>
    <x v="0"/>
    <x v="0"/>
    <m/>
    <m/>
    <x v="0"/>
    <x v="0"/>
    <x v="0"/>
    <x v="0"/>
    <x v="0"/>
    <x v="5"/>
  </r>
  <r>
    <d v="2026-07-29T00:00:00"/>
    <x v="4"/>
    <d v="2026-07-29T00:00:00"/>
    <x v="1"/>
    <x v="0"/>
    <x v="0"/>
    <x v="0"/>
    <x v="0"/>
    <m/>
    <m/>
    <x v="0"/>
    <x v="0"/>
    <x v="0"/>
    <x v="0"/>
    <x v="0"/>
    <x v="5"/>
  </r>
  <r>
    <d v="2026-07-30T00:00:00"/>
    <x v="5"/>
    <d v="2026-07-30T00:00:00"/>
    <x v="1"/>
    <x v="0"/>
    <x v="0"/>
    <x v="0"/>
    <x v="0"/>
    <m/>
    <m/>
    <x v="0"/>
    <x v="0"/>
    <x v="0"/>
    <x v="0"/>
    <x v="0"/>
    <x v="5"/>
  </r>
  <r>
    <d v="2026-07-31T00:00:00"/>
    <x v="6"/>
    <d v="2026-07-31T00:00:00"/>
    <x v="1"/>
    <x v="0"/>
    <x v="0"/>
    <x v="0"/>
    <x v="0"/>
    <m/>
    <m/>
    <x v="0"/>
    <x v="0"/>
    <x v="0"/>
    <x v="0"/>
    <x v="0"/>
    <x v="5"/>
  </r>
  <r>
    <d v="2026-08-01T00:00:00"/>
    <x v="0"/>
    <d v="2026-08-01T00:00:00"/>
    <x v="0"/>
    <x v="0"/>
    <x v="0"/>
    <x v="0"/>
    <x v="0"/>
    <m/>
    <m/>
    <x v="0"/>
    <x v="0"/>
    <x v="0"/>
    <x v="0"/>
    <x v="0"/>
    <x v="5"/>
  </r>
  <r>
    <d v="2026-08-02T00:00:00"/>
    <x v="1"/>
    <d v="2026-08-02T00:00:00"/>
    <x v="0"/>
    <x v="0"/>
    <x v="0"/>
    <x v="0"/>
    <x v="0"/>
    <m/>
    <m/>
    <x v="0"/>
    <x v="0"/>
    <x v="0"/>
    <x v="0"/>
    <x v="0"/>
    <x v="5"/>
  </r>
  <r>
    <d v="2026-08-03T00:00:00"/>
    <x v="2"/>
    <d v="2026-08-03T00:00:00"/>
    <x v="1"/>
    <x v="0"/>
    <x v="0"/>
    <x v="0"/>
    <x v="0"/>
    <m/>
    <m/>
    <x v="0"/>
    <x v="0"/>
    <x v="0"/>
    <x v="0"/>
    <x v="0"/>
    <x v="5"/>
  </r>
  <r>
    <d v="2026-08-04T00:00:00"/>
    <x v="3"/>
    <d v="2026-08-04T00:00:00"/>
    <x v="1"/>
    <x v="0"/>
    <x v="0"/>
    <x v="0"/>
    <x v="0"/>
    <m/>
    <m/>
    <x v="0"/>
    <x v="0"/>
    <x v="0"/>
    <x v="0"/>
    <x v="0"/>
    <x v="5"/>
  </r>
  <r>
    <d v="2026-08-05T00:00:00"/>
    <x v="4"/>
    <d v="2026-08-05T00:00:00"/>
    <x v="1"/>
    <x v="0"/>
    <x v="0"/>
    <x v="0"/>
    <x v="0"/>
    <m/>
    <m/>
    <x v="0"/>
    <x v="0"/>
    <x v="0"/>
    <x v="0"/>
    <x v="0"/>
    <x v="5"/>
  </r>
  <r>
    <d v="2026-08-06T00:00:00"/>
    <x v="5"/>
    <d v="2026-08-06T00:00:00"/>
    <x v="1"/>
    <x v="0"/>
    <x v="0"/>
    <x v="0"/>
    <x v="0"/>
    <m/>
    <m/>
    <x v="0"/>
    <x v="0"/>
    <x v="0"/>
    <x v="0"/>
    <x v="0"/>
    <x v="5"/>
  </r>
  <r>
    <d v="2026-08-07T00:00:00"/>
    <x v="6"/>
    <d v="2026-08-07T00:00:00"/>
    <x v="1"/>
    <x v="0"/>
    <x v="0"/>
    <x v="0"/>
    <x v="0"/>
    <m/>
    <m/>
    <x v="0"/>
    <x v="0"/>
    <x v="0"/>
    <x v="0"/>
    <x v="0"/>
    <x v="5"/>
  </r>
  <r>
    <d v="2026-08-08T00:00:00"/>
    <x v="0"/>
    <d v="2026-08-08T00:00:00"/>
    <x v="0"/>
    <x v="0"/>
    <x v="0"/>
    <x v="0"/>
    <x v="0"/>
    <m/>
    <m/>
    <x v="0"/>
    <x v="0"/>
    <x v="0"/>
    <x v="0"/>
    <x v="0"/>
    <x v="5"/>
  </r>
  <r>
    <d v="2026-08-09T00:00:00"/>
    <x v="1"/>
    <d v="2026-08-09T00:00:00"/>
    <x v="0"/>
    <x v="0"/>
    <x v="0"/>
    <x v="0"/>
    <x v="0"/>
    <m/>
    <m/>
    <x v="0"/>
    <x v="0"/>
    <x v="0"/>
    <x v="0"/>
    <x v="0"/>
    <x v="5"/>
  </r>
  <r>
    <d v="2026-08-10T00:00:00"/>
    <x v="2"/>
    <d v="2026-08-10T00:00:00"/>
    <x v="1"/>
    <x v="0"/>
    <x v="0"/>
    <x v="0"/>
    <x v="0"/>
    <m/>
    <m/>
    <x v="0"/>
    <x v="0"/>
    <x v="0"/>
    <x v="0"/>
    <x v="0"/>
    <x v="5"/>
  </r>
  <r>
    <d v="2026-08-11T00:00:00"/>
    <x v="3"/>
    <d v="2026-08-11T00:00:00"/>
    <x v="1"/>
    <x v="0"/>
    <x v="0"/>
    <x v="0"/>
    <x v="0"/>
    <m/>
    <m/>
    <x v="0"/>
    <x v="0"/>
    <x v="0"/>
    <x v="0"/>
    <x v="0"/>
    <x v="5"/>
  </r>
  <r>
    <d v="2026-08-12T00:00:00"/>
    <x v="4"/>
    <d v="2026-08-12T00:00:00"/>
    <x v="1"/>
    <x v="0"/>
    <x v="0"/>
    <x v="0"/>
    <x v="0"/>
    <m/>
    <m/>
    <x v="0"/>
    <x v="0"/>
    <x v="0"/>
    <x v="0"/>
    <x v="0"/>
    <x v="5"/>
  </r>
  <r>
    <d v="2026-08-13T00:00:00"/>
    <x v="5"/>
    <d v="2026-08-13T00:00:00"/>
    <x v="1"/>
    <x v="0"/>
    <x v="0"/>
    <x v="0"/>
    <x v="0"/>
    <m/>
    <m/>
    <x v="0"/>
    <x v="0"/>
    <x v="0"/>
    <x v="0"/>
    <x v="0"/>
    <x v="5"/>
  </r>
  <r>
    <d v="2026-08-14T00:00:00"/>
    <x v="6"/>
    <d v="2026-08-14T00:00:00"/>
    <x v="1"/>
    <x v="0"/>
    <x v="0"/>
    <x v="0"/>
    <x v="0"/>
    <m/>
    <m/>
    <x v="0"/>
    <x v="0"/>
    <x v="0"/>
    <x v="0"/>
    <x v="0"/>
    <x v="5"/>
  </r>
  <r>
    <d v="2026-08-15T00:00:00"/>
    <x v="0"/>
    <d v="2026-08-15T00:00:00"/>
    <x v="0"/>
    <x v="0"/>
    <x v="0"/>
    <x v="0"/>
    <x v="0"/>
    <m/>
    <m/>
    <x v="0"/>
    <x v="0"/>
    <x v="0"/>
    <x v="0"/>
    <x v="0"/>
    <x v="5"/>
  </r>
  <r>
    <d v="2026-08-16T00:00:00"/>
    <x v="1"/>
    <d v="2026-08-16T00:00:00"/>
    <x v="0"/>
    <x v="0"/>
    <x v="0"/>
    <x v="0"/>
    <x v="0"/>
    <m/>
    <m/>
    <x v="0"/>
    <x v="0"/>
    <x v="0"/>
    <x v="0"/>
    <x v="0"/>
    <x v="5"/>
  </r>
  <r>
    <d v="2026-08-17T00:00:00"/>
    <x v="2"/>
    <d v="2026-08-17T00:00:00"/>
    <x v="1"/>
    <x v="0"/>
    <x v="0"/>
    <x v="0"/>
    <x v="0"/>
    <m/>
    <m/>
    <x v="0"/>
    <x v="0"/>
    <x v="0"/>
    <x v="0"/>
    <x v="0"/>
    <x v="5"/>
  </r>
  <r>
    <d v="2026-08-18T00:00:00"/>
    <x v="3"/>
    <d v="2026-08-18T00:00:00"/>
    <x v="1"/>
    <x v="0"/>
    <x v="0"/>
    <x v="0"/>
    <x v="0"/>
    <m/>
    <m/>
    <x v="0"/>
    <x v="0"/>
    <x v="0"/>
    <x v="0"/>
    <x v="0"/>
    <x v="5"/>
  </r>
  <r>
    <d v="2026-08-19T00:00:00"/>
    <x v="4"/>
    <d v="2026-08-19T00:00:00"/>
    <x v="1"/>
    <x v="0"/>
    <x v="0"/>
    <x v="0"/>
    <x v="0"/>
    <m/>
    <m/>
    <x v="0"/>
    <x v="0"/>
    <x v="0"/>
    <x v="0"/>
    <x v="0"/>
    <x v="5"/>
  </r>
  <r>
    <d v="2026-08-20T00:00:00"/>
    <x v="5"/>
    <d v="2026-08-20T00:00:00"/>
    <x v="1"/>
    <x v="0"/>
    <x v="0"/>
    <x v="0"/>
    <x v="0"/>
    <m/>
    <m/>
    <x v="0"/>
    <x v="0"/>
    <x v="0"/>
    <x v="0"/>
    <x v="0"/>
    <x v="5"/>
  </r>
  <r>
    <d v="2026-08-21T00:00:00"/>
    <x v="6"/>
    <d v="2026-08-21T00:00:00"/>
    <x v="1"/>
    <x v="0"/>
    <x v="0"/>
    <x v="0"/>
    <x v="0"/>
    <m/>
    <m/>
    <x v="0"/>
    <x v="0"/>
    <x v="0"/>
    <x v="0"/>
    <x v="0"/>
    <x v="5"/>
  </r>
  <r>
    <d v="2026-08-22T00:00:00"/>
    <x v="0"/>
    <d v="2026-08-22T00:00:00"/>
    <x v="0"/>
    <x v="0"/>
    <x v="0"/>
    <x v="0"/>
    <x v="0"/>
    <m/>
    <m/>
    <x v="0"/>
    <x v="0"/>
    <x v="0"/>
    <x v="0"/>
    <x v="0"/>
    <x v="5"/>
  </r>
  <r>
    <d v="2026-08-23T00:00:00"/>
    <x v="1"/>
    <d v="2026-08-23T00:00:00"/>
    <x v="0"/>
    <x v="0"/>
    <x v="0"/>
    <x v="0"/>
    <x v="0"/>
    <m/>
    <m/>
    <x v="0"/>
    <x v="0"/>
    <x v="0"/>
    <x v="0"/>
    <x v="0"/>
    <x v="5"/>
  </r>
  <r>
    <d v="2026-08-24T00:00:00"/>
    <x v="2"/>
    <d v="2026-08-24T00:00:00"/>
    <x v="1"/>
    <x v="0"/>
    <x v="0"/>
    <x v="0"/>
    <x v="0"/>
    <m/>
    <m/>
    <x v="0"/>
    <x v="0"/>
    <x v="0"/>
    <x v="0"/>
    <x v="0"/>
    <x v="5"/>
  </r>
  <r>
    <d v="2026-08-25T00:00:00"/>
    <x v="3"/>
    <d v="2026-08-25T00:00:00"/>
    <x v="1"/>
    <x v="0"/>
    <x v="0"/>
    <x v="0"/>
    <x v="0"/>
    <m/>
    <m/>
    <x v="0"/>
    <x v="0"/>
    <x v="0"/>
    <x v="0"/>
    <x v="0"/>
    <x v="5"/>
  </r>
  <r>
    <d v="2026-08-26T00:00:00"/>
    <x v="4"/>
    <d v="2026-08-26T00:00:00"/>
    <x v="1"/>
    <x v="0"/>
    <x v="0"/>
    <x v="0"/>
    <x v="0"/>
    <m/>
    <m/>
    <x v="0"/>
    <x v="0"/>
    <x v="0"/>
    <x v="0"/>
    <x v="0"/>
    <x v="5"/>
  </r>
  <r>
    <d v="2026-08-27T00:00:00"/>
    <x v="5"/>
    <d v="2026-08-27T00:00:00"/>
    <x v="1"/>
    <x v="0"/>
    <x v="0"/>
    <x v="0"/>
    <x v="0"/>
    <m/>
    <m/>
    <x v="0"/>
    <x v="0"/>
    <x v="0"/>
    <x v="0"/>
    <x v="0"/>
    <x v="5"/>
  </r>
  <r>
    <d v="2026-08-28T00:00:00"/>
    <x v="6"/>
    <d v="2026-08-28T00:00:00"/>
    <x v="1"/>
    <x v="0"/>
    <x v="0"/>
    <x v="0"/>
    <x v="0"/>
    <m/>
    <m/>
    <x v="0"/>
    <x v="0"/>
    <x v="0"/>
    <x v="0"/>
    <x v="0"/>
    <x v="5"/>
  </r>
  <r>
    <d v="2026-08-29T00:00:00"/>
    <x v="0"/>
    <d v="2026-08-29T00:00:00"/>
    <x v="0"/>
    <x v="0"/>
    <x v="0"/>
    <x v="0"/>
    <x v="0"/>
    <m/>
    <m/>
    <x v="0"/>
    <x v="0"/>
    <x v="0"/>
    <x v="0"/>
    <x v="0"/>
    <x v="5"/>
  </r>
  <r>
    <d v="2026-08-30T00:00:00"/>
    <x v="1"/>
    <d v="2026-08-30T00:00:00"/>
    <x v="0"/>
    <x v="0"/>
    <x v="0"/>
    <x v="0"/>
    <x v="0"/>
    <m/>
    <m/>
    <x v="0"/>
    <x v="0"/>
    <x v="0"/>
    <x v="0"/>
    <x v="0"/>
    <x v="5"/>
  </r>
  <r>
    <d v="2026-08-31T00:00:00"/>
    <x v="2"/>
    <d v="2026-08-31T00:00:00"/>
    <x v="1"/>
    <x v="0"/>
    <x v="0"/>
    <x v="0"/>
    <x v="0"/>
    <m/>
    <m/>
    <x v="0"/>
    <x v="0"/>
    <x v="0"/>
    <x v="0"/>
    <x v="0"/>
    <x v="5"/>
  </r>
  <r>
    <d v="2026-09-01T00:00:00"/>
    <x v="3"/>
    <d v="2026-09-01T00:00:00"/>
    <x v="1"/>
    <x v="0"/>
    <x v="0"/>
    <x v="0"/>
    <x v="0"/>
    <m/>
    <m/>
    <x v="0"/>
    <x v="0"/>
    <x v="0"/>
    <x v="0"/>
    <x v="0"/>
    <x v="5"/>
  </r>
  <r>
    <d v="2026-09-02T00:00:00"/>
    <x v="4"/>
    <d v="2026-09-02T00:00:00"/>
    <x v="1"/>
    <x v="0"/>
    <x v="0"/>
    <x v="0"/>
    <x v="0"/>
    <m/>
    <m/>
    <x v="0"/>
    <x v="0"/>
    <x v="0"/>
    <x v="0"/>
    <x v="0"/>
    <x v="5"/>
  </r>
  <r>
    <d v="2026-09-03T00:00:00"/>
    <x v="5"/>
    <d v="2026-09-03T00:00:00"/>
    <x v="1"/>
    <x v="0"/>
    <x v="0"/>
    <x v="0"/>
    <x v="0"/>
    <m/>
    <m/>
    <x v="0"/>
    <x v="0"/>
    <x v="0"/>
    <x v="0"/>
    <x v="0"/>
    <x v="5"/>
  </r>
  <r>
    <d v="2026-09-04T00:00:00"/>
    <x v="6"/>
    <d v="2026-09-04T00:00:00"/>
    <x v="1"/>
    <x v="0"/>
    <x v="0"/>
    <x v="0"/>
    <x v="0"/>
    <m/>
    <m/>
    <x v="0"/>
    <x v="0"/>
    <x v="0"/>
    <x v="0"/>
    <x v="0"/>
    <x v="5"/>
  </r>
  <r>
    <d v="2026-09-05T00:00:00"/>
    <x v="0"/>
    <d v="2026-09-05T00:00:00"/>
    <x v="0"/>
    <x v="0"/>
    <x v="0"/>
    <x v="0"/>
    <x v="0"/>
    <m/>
    <m/>
    <x v="0"/>
    <x v="0"/>
    <x v="0"/>
    <x v="0"/>
    <x v="0"/>
    <x v="5"/>
  </r>
  <r>
    <d v="2026-09-06T00:00:00"/>
    <x v="1"/>
    <d v="2026-09-06T00:00:00"/>
    <x v="0"/>
    <x v="0"/>
    <x v="0"/>
    <x v="0"/>
    <x v="0"/>
    <m/>
    <m/>
    <x v="0"/>
    <x v="0"/>
    <x v="0"/>
    <x v="0"/>
    <x v="0"/>
    <x v="5"/>
  </r>
  <r>
    <d v="2026-09-07T00:00:00"/>
    <x v="2"/>
    <d v="2026-09-07T00:00:00"/>
    <x v="1"/>
    <x v="0"/>
    <x v="0"/>
    <x v="0"/>
    <x v="0"/>
    <m/>
    <m/>
    <x v="0"/>
    <x v="0"/>
    <x v="0"/>
    <x v="0"/>
    <x v="0"/>
    <x v="5"/>
  </r>
  <r>
    <d v="2026-09-08T00:00:00"/>
    <x v="3"/>
    <d v="2026-09-08T00:00:00"/>
    <x v="1"/>
    <x v="0"/>
    <x v="0"/>
    <x v="0"/>
    <x v="0"/>
    <m/>
    <m/>
    <x v="0"/>
    <x v="0"/>
    <x v="0"/>
    <x v="0"/>
    <x v="0"/>
    <x v="5"/>
  </r>
  <r>
    <d v="2026-09-09T00:00:00"/>
    <x v="4"/>
    <d v="2026-09-09T00:00:00"/>
    <x v="1"/>
    <x v="0"/>
    <x v="0"/>
    <x v="0"/>
    <x v="0"/>
    <m/>
    <m/>
    <x v="0"/>
    <x v="0"/>
    <x v="0"/>
    <x v="0"/>
    <x v="0"/>
    <x v="5"/>
  </r>
  <r>
    <d v="2026-09-10T00:00:00"/>
    <x v="5"/>
    <d v="2026-09-10T00:00:00"/>
    <x v="1"/>
    <x v="0"/>
    <x v="0"/>
    <x v="0"/>
    <x v="0"/>
    <m/>
    <m/>
    <x v="0"/>
    <x v="0"/>
    <x v="0"/>
    <x v="0"/>
    <x v="0"/>
    <x v="5"/>
  </r>
  <r>
    <d v="2026-09-11T00:00:00"/>
    <x v="6"/>
    <d v="2026-09-11T00:00:00"/>
    <x v="1"/>
    <x v="0"/>
    <x v="0"/>
    <x v="0"/>
    <x v="0"/>
    <m/>
    <m/>
    <x v="0"/>
    <x v="0"/>
    <x v="0"/>
    <x v="0"/>
    <x v="0"/>
    <x v="5"/>
  </r>
  <r>
    <d v="2026-09-12T00:00:00"/>
    <x v="0"/>
    <d v="2026-09-12T00:00:00"/>
    <x v="0"/>
    <x v="0"/>
    <x v="0"/>
    <x v="0"/>
    <x v="0"/>
    <m/>
    <m/>
    <x v="0"/>
    <x v="0"/>
    <x v="0"/>
    <x v="0"/>
    <x v="0"/>
    <x v="5"/>
  </r>
  <r>
    <d v="2026-09-13T00:00:00"/>
    <x v="1"/>
    <d v="2026-09-13T00:00:00"/>
    <x v="0"/>
    <x v="0"/>
    <x v="0"/>
    <x v="0"/>
    <x v="0"/>
    <m/>
    <m/>
    <x v="0"/>
    <x v="0"/>
    <x v="0"/>
    <x v="0"/>
    <x v="0"/>
    <x v="5"/>
  </r>
  <r>
    <d v="2026-09-14T00:00:00"/>
    <x v="2"/>
    <d v="2026-09-14T00:00:00"/>
    <x v="1"/>
    <x v="0"/>
    <x v="0"/>
    <x v="0"/>
    <x v="0"/>
    <m/>
    <m/>
    <x v="0"/>
    <x v="0"/>
    <x v="0"/>
    <x v="0"/>
    <x v="0"/>
    <x v="5"/>
  </r>
  <r>
    <d v="2026-09-15T00:00:00"/>
    <x v="3"/>
    <d v="2026-09-15T00:00:00"/>
    <x v="1"/>
    <x v="0"/>
    <x v="0"/>
    <x v="0"/>
    <x v="0"/>
    <m/>
    <m/>
    <x v="0"/>
    <x v="0"/>
    <x v="0"/>
    <x v="0"/>
    <x v="0"/>
    <x v="5"/>
  </r>
  <r>
    <d v="2026-09-16T00:00:00"/>
    <x v="4"/>
    <d v="2026-09-16T00:00:00"/>
    <x v="1"/>
    <x v="0"/>
    <x v="0"/>
    <x v="0"/>
    <x v="0"/>
    <m/>
    <m/>
    <x v="0"/>
    <x v="0"/>
    <x v="0"/>
    <x v="0"/>
    <x v="0"/>
    <x v="5"/>
  </r>
  <r>
    <d v="2026-09-17T00:00:00"/>
    <x v="5"/>
    <d v="2026-09-17T00:00:00"/>
    <x v="1"/>
    <x v="0"/>
    <x v="0"/>
    <x v="0"/>
    <x v="0"/>
    <m/>
    <m/>
    <x v="0"/>
    <x v="0"/>
    <x v="0"/>
    <x v="0"/>
    <x v="0"/>
    <x v="5"/>
  </r>
  <r>
    <d v="2026-09-18T00:00:00"/>
    <x v="6"/>
    <d v="2026-09-18T00:00:00"/>
    <x v="1"/>
    <x v="0"/>
    <x v="0"/>
    <x v="0"/>
    <x v="0"/>
    <m/>
    <m/>
    <x v="0"/>
    <x v="0"/>
    <x v="0"/>
    <x v="0"/>
    <x v="0"/>
    <x v="5"/>
  </r>
  <r>
    <d v="2026-09-19T00:00:00"/>
    <x v="0"/>
    <d v="2026-09-19T00:00:00"/>
    <x v="0"/>
    <x v="0"/>
    <x v="0"/>
    <x v="0"/>
    <x v="0"/>
    <m/>
    <m/>
    <x v="0"/>
    <x v="0"/>
    <x v="0"/>
    <x v="0"/>
    <x v="0"/>
    <x v="5"/>
  </r>
  <r>
    <d v="2026-09-20T00:00:00"/>
    <x v="1"/>
    <d v="2026-09-20T00:00:00"/>
    <x v="0"/>
    <x v="0"/>
    <x v="0"/>
    <x v="0"/>
    <x v="0"/>
    <m/>
    <m/>
    <x v="0"/>
    <x v="0"/>
    <x v="0"/>
    <x v="0"/>
    <x v="0"/>
    <x v="5"/>
  </r>
  <r>
    <d v="2026-09-21T00:00:00"/>
    <x v="2"/>
    <d v="2026-09-21T00:00:00"/>
    <x v="1"/>
    <x v="0"/>
    <x v="0"/>
    <x v="0"/>
    <x v="0"/>
    <m/>
    <m/>
    <x v="0"/>
    <x v="0"/>
    <x v="0"/>
    <x v="0"/>
    <x v="0"/>
    <x v="5"/>
  </r>
  <r>
    <d v="2026-09-22T00:00:00"/>
    <x v="3"/>
    <d v="2026-09-22T00:00:00"/>
    <x v="1"/>
    <x v="0"/>
    <x v="0"/>
    <x v="0"/>
    <x v="0"/>
    <m/>
    <m/>
    <x v="0"/>
    <x v="0"/>
    <x v="0"/>
    <x v="0"/>
    <x v="0"/>
    <x v="5"/>
  </r>
  <r>
    <d v="2026-09-23T00:00:00"/>
    <x v="4"/>
    <d v="2026-09-23T00:00:00"/>
    <x v="1"/>
    <x v="0"/>
    <x v="0"/>
    <x v="0"/>
    <x v="0"/>
    <m/>
    <m/>
    <x v="0"/>
    <x v="0"/>
    <x v="0"/>
    <x v="0"/>
    <x v="0"/>
    <x v="5"/>
  </r>
  <r>
    <d v="2026-09-24T00:00:00"/>
    <x v="5"/>
    <d v="2026-09-24T00:00:00"/>
    <x v="1"/>
    <x v="0"/>
    <x v="0"/>
    <x v="0"/>
    <x v="0"/>
    <m/>
    <m/>
    <x v="0"/>
    <x v="0"/>
    <x v="0"/>
    <x v="0"/>
    <x v="0"/>
    <x v="5"/>
  </r>
  <r>
    <d v="2026-09-25T00:00:00"/>
    <x v="6"/>
    <d v="2026-09-25T00:00:00"/>
    <x v="1"/>
    <x v="0"/>
    <x v="0"/>
    <x v="0"/>
    <x v="0"/>
    <m/>
    <m/>
    <x v="0"/>
    <x v="0"/>
    <x v="0"/>
    <x v="0"/>
    <x v="0"/>
    <x v="5"/>
  </r>
  <r>
    <d v="2026-09-26T00:00:00"/>
    <x v="0"/>
    <d v="2026-09-26T00:00:00"/>
    <x v="0"/>
    <x v="0"/>
    <x v="0"/>
    <x v="0"/>
    <x v="0"/>
    <m/>
    <m/>
    <x v="0"/>
    <x v="0"/>
    <x v="0"/>
    <x v="0"/>
    <x v="0"/>
    <x v="5"/>
  </r>
  <r>
    <d v="2026-09-27T00:00:00"/>
    <x v="1"/>
    <d v="2026-09-27T00:00:00"/>
    <x v="0"/>
    <x v="0"/>
    <x v="0"/>
    <x v="0"/>
    <x v="0"/>
    <m/>
    <m/>
    <x v="0"/>
    <x v="0"/>
    <x v="0"/>
    <x v="0"/>
    <x v="0"/>
    <x v="5"/>
  </r>
  <r>
    <d v="2026-09-28T00:00:00"/>
    <x v="2"/>
    <d v="2026-09-28T00:00:00"/>
    <x v="1"/>
    <x v="0"/>
    <x v="0"/>
    <x v="0"/>
    <x v="0"/>
    <m/>
    <m/>
    <x v="0"/>
    <x v="0"/>
    <x v="0"/>
    <x v="0"/>
    <x v="0"/>
    <x v="5"/>
  </r>
  <r>
    <d v="2026-09-29T00:00:00"/>
    <x v="3"/>
    <d v="2026-09-29T00:00:00"/>
    <x v="1"/>
    <x v="0"/>
    <x v="0"/>
    <x v="0"/>
    <x v="0"/>
    <m/>
    <m/>
    <x v="0"/>
    <x v="0"/>
    <x v="0"/>
    <x v="0"/>
    <x v="0"/>
    <x v="5"/>
  </r>
  <r>
    <d v="2026-09-30T00:00:00"/>
    <x v="4"/>
    <d v="2026-09-30T00:00:00"/>
    <x v="1"/>
    <x v="0"/>
    <x v="0"/>
    <x v="0"/>
    <x v="0"/>
    <m/>
    <m/>
    <x v="0"/>
    <x v="0"/>
    <x v="0"/>
    <x v="0"/>
    <x v="0"/>
    <x v="5"/>
  </r>
  <r>
    <d v="2026-10-01T00:00:00"/>
    <x v="5"/>
    <d v="2026-10-01T00:00:00"/>
    <x v="1"/>
    <x v="0"/>
    <x v="0"/>
    <x v="0"/>
    <x v="0"/>
    <m/>
    <m/>
    <x v="0"/>
    <x v="0"/>
    <x v="0"/>
    <x v="0"/>
    <x v="0"/>
    <x v="5"/>
  </r>
  <r>
    <d v="2026-10-02T00:00:00"/>
    <x v="6"/>
    <d v="2026-10-02T00:00:00"/>
    <x v="1"/>
    <x v="0"/>
    <x v="0"/>
    <x v="0"/>
    <x v="0"/>
    <m/>
    <m/>
    <x v="0"/>
    <x v="0"/>
    <x v="0"/>
    <x v="0"/>
    <x v="0"/>
    <x v="5"/>
  </r>
  <r>
    <d v="2026-10-03T00:00:00"/>
    <x v="0"/>
    <d v="2026-10-03T00:00:00"/>
    <x v="0"/>
    <x v="0"/>
    <x v="0"/>
    <x v="0"/>
    <x v="0"/>
    <m/>
    <m/>
    <x v="0"/>
    <x v="0"/>
    <x v="0"/>
    <x v="0"/>
    <x v="0"/>
    <x v="5"/>
  </r>
  <r>
    <d v="2026-10-04T00:00:00"/>
    <x v="1"/>
    <d v="2026-10-04T00:00:00"/>
    <x v="0"/>
    <x v="0"/>
    <x v="0"/>
    <x v="0"/>
    <x v="0"/>
    <m/>
    <m/>
    <x v="0"/>
    <x v="0"/>
    <x v="0"/>
    <x v="0"/>
    <x v="0"/>
    <x v="5"/>
  </r>
  <r>
    <d v="2026-10-05T00:00:00"/>
    <x v="2"/>
    <d v="2026-10-05T00:00:00"/>
    <x v="1"/>
    <x v="0"/>
    <x v="0"/>
    <x v="0"/>
    <x v="0"/>
    <m/>
    <m/>
    <x v="0"/>
    <x v="0"/>
    <x v="0"/>
    <x v="0"/>
    <x v="0"/>
    <x v="5"/>
  </r>
  <r>
    <d v="2026-10-06T00:00:00"/>
    <x v="3"/>
    <d v="2026-10-06T00:00:00"/>
    <x v="1"/>
    <x v="0"/>
    <x v="0"/>
    <x v="0"/>
    <x v="0"/>
    <m/>
    <m/>
    <x v="0"/>
    <x v="0"/>
    <x v="0"/>
    <x v="0"/>
    <x v="0"/>
    <x v="5"/>
  </r>
  <r>
    <d v="2026-10-07T00:00:00"/>
    <x v="4"/>
    <d v="2026-10-07T00:00:00"/>
    <x v="1"/>
    <x v="0"/>
    <x v="0"/>
    <x v="0"/>
    <x v="0"/>
    <m/>
    <m/>
    <x v="0"/>
    <x v="0"/>
    <x v="0"/>
    <x v="0"/>
    <x v="0"/>
    <x v="5"/>
  </r>
  <r>
    <d v="2026-10-08T00:00:00"/>
    <x v="5"/>
    <d v="2026-10-08T00:00:00"/>
    <x v="1"/>
    <x v="0"/>
    <x v="0"/>
    <x v="0"/>
    <x v="0"/>
    <m/>
    <m/>
    <x v="0"/>
    <x v="0"/>
    <x v="0"/>
    <x v="0"/>
    <x v="0"/>
    <x v="5"/>
  </r>
  <r>
    <d v="2026-10-09T00:00:00"/>
    <x v="6"/>
    <d v="2026-10-09T00:00:00"/>
    <x v="1"/>
    <x v="0"/>
    <x v="0"/>
    <x v="0"/>
    <x v="0"/>
    <m/>
    <m/>
    <x v="0"/>
    <x v="0"/>
    <x v="0"/>
    <x v="0"/>
    <x v="0"/>
    <x v="5"/>
  </r>
  <r>
    <d v="2026-10-10T00:00:00"/>
    <x v="0"/>
    <d v="2026-10-10T00:00:00"/>
    <x v="0"/>
    <x v="0"/>
    <x v="0"/>
    <x v="0"/>
    <x v="0"/>
    <m/>
    <m/>
    <x v="0"/>
    <x v="0"/>
    <x v="0"/>
    <x v="0"/>
    <x v="0"/>
    <x v="5"/>
  </r>
  <r>
    <d v="2026-10-11T00:00:00"/>
    <x v="1"/>
    <d v="2026-10-11T00:00:00"/>
    <x v="0"/>
    <x v="0"/>
    <x v="0"/>
    <x v="0"/>
    <x v="0"/>
    <m/>
    <m/>
    <x v="0"/>
    <x v="0"/>
    <x v="0"/>
    <x v="0"/>
    <x v="0"/>
    <x v="5"/>
  </r>
  <r>
    <d v="2026-10-12T00:00:00"/>
    <x v="2"/>
    <d v="2026-10-12T00:00:00"/>
    <x v="1"/>
    <x v="0"/>
    <x v="0"/>
    <x v="0"/>
    <x v="0"/>
    <m/>
    <m/>
    <x v="0"/>
    <x v="0"/>
    <x v="0"/>
    <x v="0"/>
    <x v="0"/>
    <x v="5"/>
  </r>
  <r>
    <d v="2026-10-13T00:00:00"/>
    <x v="3"/>
    <d v="2026-10-13T00:00:00"/>
    <x v="1"/>
    <x v="0"/>
    <x v="0"/>
    <x v="0"/>
    <x v="0"/>
    <m/>
    <m/>
    <x v="0"/>
    <x v="0"/>
    <x v="0"/>
    <x v="0"/>
    <x v="0"/>
    <x v="5"/>
  </r>
  <r>
    <d v="2026-10-14T00:00:00"/>
    <x v="4"/>
    <d v="2026-10-14T00:00:00"/>
    <x v="1"/>
    <x v="0"/>
    <x v="0"/>
    <x v="0"/>
    <x v="0"/>
    <m/>
    <m/>
    <x v="0"/>
    <x v="0"/>
    <x v="0"/>
    <x v="0"/>
    <x v="0"/>
    <x v="5"/>
  </r>
  <r>
    <d v="2026-10-15T00:00:00"/>
    <x v="5"/>
    <d v="2026-10-15T00:00:00"/>
    <x v="1"/>
    <x v="0"/>
    <x v="0"/>
    <x v="0"/>
    <x v="0"/>
    <m/>
    <m/>
    <x v="0"/>
    <x v="0"/>
    <x v="0"/>
    <x v="0"/>
    <x v="0"/>
    <x v="5"/>
  </r>
  <r>
    <d v="2026-10-16T00:00:00"/>
    <x v="6"/>
    <d v="2026-10-16T00:00:00"/>
    <x v="1"/>
    <x v="0"/>
    <x v="0"/>
    <x v="0"/>
    <x v="0"/>
    <m/>
    <m/>
    <x v="0"/>
    <x v="0"/>
    <x v="0"/>
    <x v="0"/>
    <x v="0"/>
    <x v="5"/>
  </r>
  <r>
    <d v="2026-10-17T00:00:00"/>
    <x v="0"/>
    <d v="2026-10-17T00:00:00"/>
    <x v="0"/>
    <x v="0"/>
    <x v="0"/>
    <x v="0"/>
    <x v="0"/>
    <m/>
    <m/>
    <x v="0"/>
    <x v="0"/>
    <x v="0"/>
    <x v="0"/>
    <x v="0"/>
    <x v="5"/>
  </r>
  <r>
    <d v="2026-10-18T00:00:00"/>
    <x v="1"/>
    <d v="2026-10-18T00:00:00"/>
    <x v="0"/>
    <x v="0"/>
    <x v="0"/>
    <x v="0"/>
    <x v="0"/>
    <m/>
    <m/>
    <x v="0"/>
    <x v="0"/>
    <x v="0"/>
    <x v="0"/>
    <x v="0"/>
    <x v="5"/>
  </r>
  <r>
    <d v="2026-10-19T00:00:00"/>
    <x v="2"/>
    <d v="2026-10-19T00:00:00"/>
    <x v="1"/>
    <x v="0"/>
    <x v="0"/>
    <x v="0"/>
    <x v="0"/>
    <m/>
    <m/>
    <x v="0"/>
    <x v="0"/>
    <x v="0"/>
    <x v="0"/>
    <x v="0"/>
    <x v="5"/>
  </r>
  <r>
    <d v="2026-10-20T00:00:00"/>
    <x v="3"/>
    <d v="2026-10-20T00:00:00"/>
    <x v="1"/>
    <x v="0"/>
    <x v="0"/>
    <x v="0"/>
    <x v="0"/>
    <m/>
    <m/>
    <x v="0"/>
    <x v="0"/>
    <x v="0"/>
    <x v="0"/>
    <x v="0"/>
    <x v="5"/>
  </r>
  <r>
    <d v="2026-10-21T00:00:00"/>
    <x v="4"/>
    <d v="2026-10-21T00:00:00"/>
    <x v="1"/>
    <x v="0"/>
    <x v="0"/>
    <x v="0"/>
    <x v="0"/>
    <m/>
    <m/>
    <x v="0"/>
    <x v="0"/>
    <x v="0"/>
    <x v="0"/>
    <x v="0"/>
    <x v="5"/>
  </r>
  <r>
    <d v="2026-10-22T00:00:00"/>
    <x v="5"/>
    <d v="2026-10-22T00:00:00"/>
    <x v="1"/>
    <x v="0"/>
    <x v="0"/>
    <x v="0"/>
    <x v="0"/>
    <m/>
    <m/>
    <x v="0"/>
    <x v="0"/>
    <x v="0"/>
    <x v="0"/>
    <x v="0"/>
    <x v="5"/>
  </r>
  <r>
    <d v="2026-10-23T00:00:00"/>
    <x v="6"/>
    <d v="2026-10-23T00:00:00"/>
    <x v="1"/>
    <x v="0"/>
    <x v="0"/>
    <x v="0"/>
    <x v="0"/>
    <m/>
    <m/>
    <x v="0"/>
    <x v="0"/>
    <x v="0"/>
    <x v="0"/>
    <x v="0"/>
    <x v="5"/>
  </r>
  <r>
    <d v="2026-10-24T00:00:00"/>
    <x v="0"/>
    <d v="2026-10-24T00:00:00"/>
    <x v="0"/>
    <x v="0"/>
    <x v="0"/>
    <x v="0"/>
    <x v="0"/>
    <m/>
    <m/>
    <x v="0"/>
    <x v="0"/>
    <x v="0"/>
    <x v="0"/>
    <x v="0"/>
    <x v="5"/>
  </r>
  <r>
    <d v="2026-10-25T00:00:00"/>
    <x v="1"/>
    <d v="2026-10-25T00:00:00"/>
    <x v="0"/>
    <x v="0"/>
    <x v="0"/>
    <x v="0"/>
    <x v="0"/>
    <m/>
    <m/>
    <x v="0"/>
    <x v="0"/>
    <x v="0"/>
    <x v="0"/>
    <x v="0"/>
    <x v="5"/>
  </r>
  <r>
    <d v="2026-10-26T00:00:00"/>
    <x v="2"/>
    <d v="2026-10-26T00:00:00"/>
    <x v="1"/>
    <x v="0"/>
    <x v="0"/>
    <x v="0"/>
    <x v="0"/>
    <m/>
    <m/>
    <x v="0"/>
    <x v="0"/>
    <x v="0"/>
    <x v="0"/>
    <x v="0"/>
    <x v="5"/>
  </r>
  <r>
    <d v="2026-10-27T00:00:00"/>
    <x v="3"/>
    <d v="2026-10-27T00:00:00"/>
    <x v="1"/>
    <x v="0"/>
    <x v="0"/>
    <x v="0"/>
    <x v="0"/>
    <m/>
    <m/>
    <x v="0"/>
    <x v="0"/>
    <x v="0"/>
    <x v="0"/>
    <x v="0"/>
    <x v="5"/>
  </r>
  <r>
    <d v="2026-10-28T00:00:00"/>
    <x v="4"/>
    <d v="2026-10-28T00:00:00"/>
    <x v="1"/>
    <x v="0"/>
    <x v="0"/>
    <x v="0"/>
    <x v="0"/>
    <m/>
    <m/>
    <x v="0"/>
    <x v="0"/>
    <x v="0"/>
    <x v="0"/>
    <x v="0"/>
    <x v="5"/>
  </r>
  <r>
    <d v="2026-10-29T00:00:00"/>
    <x v="5"/>
    <d v="2026-10-29T00:00:00"/>
    <x v="1"/>
    <x v="0"/>
    <x v="0"/>
    <x v="0"/>
    <x v="0"/>
    <m/>
    <m/>
    <x v="0"/>
    <x v="0"/>
    <x v="0"/>
    <x v="0"/>
    <x v="0"/>
    <x v="5"/>
  </r>
  <r>
    <d v="2026-10-30T00:00:00"/>
    <x v="6"/>
    <d v="2026-10-30T00:00:00"/>
    <x v="1"/>
    <x v="0"/>
    <x v="0"/>
    <x v="0"/>
    <x v="0"/>
    <m/>
    <m/>
    <x v="0"/>
    <x v="0"/>
    <x v="0"/>
    <x v="0"/>
    <x v="0"/>
    <x v="5"/>
  </r>
  <r>
    <d v="2026-10-31T00:00:00"/>
    <x v="0"/>
    <d v="2026-10-31T00:00:00"/>
    <x v="0"/>
    <x v="0"/>
    <x v="0"/>
    <x v="0"/>
    <x v="0"/>
    <m/>
    <m/>
    <x v="0"/>
    <x v="0"/>
    <x v="0"/>
    <x v="0"/>
    <x v="0"/>
    <x v="5"/>
  </r>
  <r>
    <d v="2026-11-01T00:00:00"/>
    <x v="1"/>
    <d v="2026-11-01T00:00:00"/>
    <x v="0"/>
    <x v="0"/>
    <x v="0"/>
    <x v="0"/>
    <x v="0"/>
    <m/>
    <m/>
    <x v="0"/>
    <x v="0"/>
    <x v="0"/>
    <x v="0"/>
    <x v="0"/>
    <x v="5"/>
  </r>
  <r>
    <d v="2026-11-02T00:00:00"/>
    <x v="2"/>
    <d v="2026-11-02T00:00:00"/>
    <x v="1"/>
    <x v="0"/>
    <x v="0"/>
    <x v="0"/>
    <x v="0"/>
    <m/>
    <m/>
    <x v="0"/>
    <x v="0"/>
    <x v="0"/>
    <x v="0"/>
    <x v="0"/>
    <x v="5"/>
  </r>
  <r>
    <d v="2026-11-03T00:00:00"/>
    <x v="3"/>
    <d v="2026-11-03T00:00:00"/>
    <x v="1"/>
    <x v="0"/>
    <x v="0"/>
    <x v="0"/>
    <x v="0"/>
    <m/>
    <m/>
    <x v="0"/>
    <x v="0"/>
    <x v="0"/>
    <x v="0"/>
    <x v="0"/>
    <x v="5"/>
  </r>
  <r>
    <d v="2026-11-04T00:00:00"/>
    <x v="4"/>
    <d v="2026-11-04T00:00:00"/>
    <x v="1"/>
    <x v="0"/>
    <x v="0"/>
    <x v="0"/>
    <x v="0"/>
    <m/>
    <m/>
    <x v="0"/>
    <x v="0"/>
    <x v="0"/>
    <x v="0"/>
    <x v="0"/>
    <x v="5"/>
  </r>
  <r>
    <d v="2026-11-05T00:00:00"/>
    <x v="5"/>
    <d v="2026-11-05T00:00:00"/>
    <x v="1"/>
    <x v="0"/>
    <x v="0"/>
    <x v="0"/>
    <x v="0"/>
    <m/>
    <m/>
    <x v="0"/>
    <x v="0"/>
    <x v="0"/>
    <x v="0"/>
    <x v="0"/>
    <x v="5"/>
  </r>
  <r>
    <d v="2026-11-06T00:00:00"/>
    <x v="6"/>
    <d v="2026-11-06T00:00:00"/>
    <x v="1"/>
    <x v="0"/>
    <x v="0"/>
    <x v="0"/>
    <x v="0"/>
    <m/>
    <m/>
    <x v="0"/>
    <x v="0"/>
    <x v="0"/>
    <x v="0"/>
    <x v="0"/>
    <x v="5"/>
  </r>
  <r>
    <d v="2026-11-07T00:00:00"/>
    <x v="0"/>
    <d v="2026-11-07T00:00:00"/>
    <x v="0"/>
    <x v="0"/>
    <x v="0"/>
    <x v="0"/>
    <x v="0"/>
    <m/>
    <m/>
    <x v="0"/>
    <x v="0"/>
    <x v="0"/>
    <x v="0"/>
    <x v="0"/>
    <x v="5"/>
  </r>
  <r>
    <d v="2026-11-08T00:00:00"/>
    <x v="1"/>
    <d v="2026-11-08T00:00:00"/>
    <x v="0"/>
    <x v="0"/>
    <x v="0"/>
    <x v="0"/>
    <x v="0"/>
    <m/>
    <m/>
    <x v="0"/>
    <x v="0"/>
    <x v="0"/>
    <x v="0"/>
    <x v="0"/>
    <x v="5"/>
  </r>
  <r>
    <d v="2026-11-09T00:00:00"/>
    <x v="2"/>
    <d v="2026-11-09T00:00:00"/>
    <x v="1"/>
    <x v="0"/>
    <x v="0"/>
    <x v="0"/>
    <x v="0"/>
    <m/>
    <m/>
    <x v="0"/>
    <x v="0"/>
    <x v="0"/>
    <x v="0"/>
    <x v="0"/>
    <x v="5"/>
  </r>
  <r>
    <d v="2026-11-10T00:00:00"/>
    <x v="3"/>
    <d v="2026-11-10T00:00:00"/>
    <x v="1"/>
    <x v="0"/>
    <x v="0"/>
    <x v="0"/>
    <x v="0"/>
    <m/>
    <m/>
    <x v="0"/>
    <x v="0"/>
    <x v="0"/>
    <x v="0"/>
    <x v="0"/>
    <x v="5"/>
  </r>
  <r>
    <d v="2026-11-11T00:00:00"/>
    <x v="4"/>
    <d v="2026-11-11T00:00:00"/>
    <x v="1"/>
    <x v="0"/>
    <x v="0"/>
    <x v="0"/>
    <x v="0"/>
    <m/>
    <m/>
    <x v="0"/>
    <x v="0"/>
    <x v="0"/>
    <x v="0"/>
    <x v="0"/>
    <x v="5"/>
  </r>
  <r>
    <d v="2026-11-12T00:00:00"/>
    <x v="5"/>
    <d v="2026-11-12T00:00:00"/>
    <x v="1"/>
    <x v="0"/>
    <x v="0"/>
    <x v="0"/>
    <x v="0"/>
    <m/>
    <m/>
    <x v="0"/>
    <x v="0"/>
    <x v="0"/>
    <x v="0"/>
    <x v="0"/>
    <x v="5"/>
  </r>
  <r>
    <d v="2026-11-13T00:00:00"/>
    <x v="6"/>
    <d v="2026-11-13T00:00:00"/>
    <x v="1"/>
    <x v="0"/>
    <x v="0"/>
    <x v="0"/>
    <x v="0"/>
    <m/>
    <m/>
    <x v="0"/>
    <x v="0"/>
    <x v="0"/>
    <x v="0"/>
    <x v="0"/>
    <x v="5"/>
  </r>
  <r>
    <d v="2026-11-14T00:00:00"/>
    <x v="0"/>
    <d v="2026-11-14T00:00:00"/>
    <x v="0"/>
    <x v="0"/>
    <x v="0"/>
    <x v="0"/>
    <x v="0"/>
    <m/>
    <m/>
    <x v="0"/>
    <x v="0"/>
    <x v="0"/>
    <x v="0"/>
    <x v="0"/>
    <x v="5"/>
  </r>
  <r>
    <d v="2026-11-15T00:00:00"/>
    <x v="1"/>
    <d v="2026-11-15T00:00:00"/>
    <x v="0"/>
    <x v="0"/>
    <x v="0"/>
    <x v="0"/>
    <x v="0"/>
    <m/>
    <m/>
    <x v="0"/>
    <x v="0"/>
    <x v="0"/>
    <x v="0"/>
    <x v="0"/>
    <x v="5"/>
  </r>
  <r>
    <d v="2026-11-16T00:00:00"/>
    <x v="2"/>
    <d v="2026-11-16T00:00:00"/>
    <x v="1"/>
    <x v="0"/>
    <x v="0"/>
    <x v="0"/>
    <x v="0"/>
    <m/>
    <m/>
    <x v="0"/>
    <x v="0"/>
    <x v="0"/>
    <x v="0"/>
    <x v="0"/>
    <x v="5"/>
  </r>
  <r>
    <d v="2026-11-17T00:00:00"/>
    <x v="3"/>
    <d v="2026-11-17T00:00:00"/>
    <x v="1"/>
    <x v="0"/>
    <x v="0"/>
    <x v="0"/>
    <x v="0"/>
    <m/>
    <m/>
    <x v="0"/>
    <x v="0"/>
    <x v="0"/>
    <x v="0"/>
    <x v="0"/>
    <x v="5"/>
  </r>
  <r>
    <d v="2026-11-18T00:00:00"/>
    <x v="4"/>
    <d v="2026-11-18T00:00:00"/>
    <x v="1"/>
    <x v="0"/>
    <x v="0"/>
    <x v="0"/>
    <x v="0"/>
    <m/>
    <m/>
    <x v="0"/>
    <x v="0"/>
    <x v="0"/>
    <x v="0"/>
    <x v="0"/>
    <x v="5"/>
  </r>
  <r>
    <d v="2026-11-19T00:00:00"/>
    <x v="5"/>
    <d v="2026-11-19T00:00:00"/>
    <x v="1"/>
    <x v="0"/>
    <x v="0"/>
    <x v="0"/>
    <x v="0"/>
    <m/>
    <m/>
    <x v="0"/>
    <x v="0"/>
    <x v="0"/>
    <x v="0"/>
    <x v="0"/>
    <x v="5"/>
  </r>
  <r>
    <d v="2026-11-20T00:00:00"/>
    <x v="6"/>
    <d v="2026-11-20T00:00:00"/>
    <x v="1"/>
    <x v="0"/>
    <x v="0"/>
    <x v="0"/>
    <x v="0"/>
    <m/>
    <m/>
    <x v="0"/>
    <x v="0"/>
    <x v="0"/>
    <x v="0"/>
    <x v="0"/>
    <x v="5"/>
  </r>
  <r>
    <d v="2026-11-21T00:00:00"/>
    <x v="0"/>
    <d v="2026-11-21T00:00:00"/>
    <x v="0"/>
    <x v="0"/>
    <x v="0"/>
    <x v="0"/>
    <x v="0"/>
    <m/>
    <m/>
    <x v="0"/>
    <x v="0"/>
    <x v="0"/>
    <x v="0"/>
    <x v="0"/>
    <x v="5"/>
  </r>
  <r>
    <d v="2026-11-22T00:00:00"/>
    <x v="1"/>
    <d v="2026-11-22T00:00:00"/>
    <x v="0"/>
    <x v="0"/>
    <x v="0"/>
    <x v="0"/>
    <x v="0"/>
    <m/>
    <m/>
    <x v="0"/>
    <x v="0"/>
    <x v="0"/>
    <x v="0"/>
    <x v="0"/>
    <x v="5"/>
  </r>
  <r>
    <d v="2026-11-23T00:00:00"/>
    <x v="2"/>
    <d v="2026-11-23T00:00:00"/>
    <x v="1"/>
    <x v="0"/>
    <x v="0"/>
    <x v="0"/>
    <x v="0"/>
    <m/>
    <m/>
    <x v="0"/>
    <x v="0"/>
    <x v="0"/>
    <x v="0"/>
    <x v="0"/>
    <x v="5"/>
  </r>
  <r>
    <d v="2026-11-24T00:00:00"/>
    <x v="3"/>
    <d v="2026-11-24T00:00:00"/>
    <x v="1"/>
    <x v="0"/>
    <x v="0"/>
    <x v="0"/>
    <x v="0"/>
    <m/>
    <m/>
    <x v="0"/>
    <x v="0"/>
    <x v="0"/>
    <x v="0"/>
    <x v="0"/>
    <x v="5"/>
  </r>
  <r>
    <d v="2026-11-25T00:00:00"/>
    <x v="4"/>
    <d v="2026-11-25T00:00:00"/>
    <x v="1"/>
    <x v="0"/>
    <x v="0"/>
    <x v="0"/>
    <x v="0"/>
    <m/>
    <m/>
    <x v="0"/>
    <x v="0"/>
    <x v="0"/>
    <x v="0"/>
    <x v="0"/>
    <x v="5"/>
  </r>
  <r>
    <d v="2026-11-26T00:00:00"/>
    <x v="5"/>
    <d v="2026-11-26T00:00:00"/>
    <x v="1"/>
    <x v="0"/>
    <x v="0"/>
    <x v="0"/>
    <x v="0"/>
    <m/>
    <m/>
    <x v="0"/>
    <x v="0"/>
    <x v="0"/>
    <x v="0"/>
    <x v="0"/>
    <x v="5"/>
  </r>
  <r>
    <d v="2026-11-27T00:00:00"/>
    <x v="6"/>
    <d v="2026-11-27T00:00:00"/>
    <x v="1"/>
    <x v="0"/>
    <x v="0"/>
    <x v="0"/>
    <x v="0"/>
    <m/>
    <m/>
    <x v="0"/>
    <x v="0"/>
    <x v="0"/>
    <x v="0"/>
    <x v="0"/>
    <x v="5"/>
  </r>
  <r>
    <d v="2026-11-28T00:00:00"/>
    <x v="0"/>
    <d v="2026-11-28T00:00:00"/>
    <x v="0"/>
    <x v="0"/>
    <x v="0"/>
    <x v="0"/>
    <x v="0"/>
    <m/>
    <m/>
    <x v="0"/>
    <x v="0"/>
    <x v="0"/>
    <x v="0"/>
    <x v="0"/>
    <x v="5"/>
  </r>
  <r>
    <d v="2026-11-29T00:00:00"/>
    <x v="1"/>
    <d v="2026-11-29T00:00:00"/>
    <x v="0"/>
    <x v="0"/>
    <x v="0"/>
    <x v="0"/>
    <x v="0"/>
    <m/>
    <m/>
    <x v="0"/>
    <x v="0"/>
    <x v="0"/>
    <x v="0"/>
    <x v="0"/>
    <x v="5"/>
  </r>
  <r>
    <d v="2026-11-30T00:00:00"/>
    <x v="2"/>
    <d v="2026-11-30T00:00:00"/>
    <x v="1"/>
    <x v="0"/>
    <x v="0"/>
    <x v="0"/>
    <x v="0"/>
    <m/>
    <m/>
    <x v="0"/>
    <x v="0"/>
    <x v="0"/>
    <x v="0"/>
    <x v="0"/>
    <x v="5"/>
  </r>
  <r>
    <d v="2026-12-01T00:00:00"/>
    <x v="3"/>
    <d v="2026-12-01T00:00:00"/>
    <x v="1"/>
    <x v="0"/>
    <x v="0"/>
    <x v="0"/>
    <x v="0"/>
    <m/>
    <m/>
    <x v="0"/>
    <x v="0"/>
    <x v="0"/>
    <x v="0"/>
    <x v="0"/>
    <x v="5"/>
  </r>
  <r>
    <d v="2026-12-02T00:00:00"/>
    <x v="4"/>
    <d v="2026-12-02T00:00:00"/>
    <x v="1"/>
    <x v="0"/>
    <x v="0"/>
    <x v="0"/>
    <x v="0"/>
    <m/>
    <m/>
    <x v="0"/>
    <x v="0"/>
    <x v="0"/>
    <x v="0"/>
    <x v="0"/>
    <x v="5"/>
  </r>
  <r>
    <d v="2026-12-03T00:00:00"/>
    <x v="5"/>
    <d v="2026-12-03T00:00:00"/>
    <x v="1"/>
    <x v="0"/>
    <x v="0"/>
    <x v="0"/>
    <x v="0"/>
    <m/>
    <m/>
    <x v="0"/>
    <x v="0"/>
    <x v="0"/>
    <x v="0"/>
    <x v="0"/>
    <x v="5"/>
  </r>
  <r>
    <d v="2026-12-04T00:00:00"/>
    <x v="6"/>
    <d v="2026-12-04T00:00:00"/>
    <x v="1"/>
    <x v="0"/>
    <x v="0"/>
    <x v="0"/>
    <x v="0"/>
    <m/>
    <m/>
    <x v="0"/>
    <x v="0"/>
    <x v="0"/>
    <x v="0"/>
    <x v="0"/>
    <x v="5"/>
  </r>
  <r>
    <d v="2026-12-05T00:00:00"/>
    <x v="0"/>
    <d v="2026-12-05T00:00:00"/>
    <x v="0"/>
    <x v="0"/>
    <x v="0"/>
    <x v="0"/>
    <x v="0"/>
    <m/>
    <m/>
    <x v="0"/>
    <x v="0"/>
    <x v="0"/>
    <x v="0"/>
    <x v="0"/>
    <x v="5"/>
  </r>
  <r>
    <d v="2026-12-06T00:00:00"/>
    <x v="1"/>
    <d v="2026-12-06T00:00:00"/>
    <x v="0"/>
    <x v="0"/>
    <x v="0"/>
    <x v="0"/>
    <x v="0"/>
    <m/>
    <m/>
    <x v="0"/>
    <x v="0"/>
    <x v="0"/>
    <x v="0"/>
    <x v="0"/>
    <x v="5"/>
  </r>
  <r>
    <d v="2026-12-07T00:00:00"/>
    <x v="2"/>
    <d v="2026-12-07T00:00:00"/>
    <x v="1"/>
    <x v="0"/>
    <x v="0"/>
    <x v="0"/>
    <x v="0"/>
    <m/>
    <m/>
    <x v="0"/>
    <x v="0"/>
    <x v="0"/>
    <x v="0"/>
    <x v="0"/>
    <x v="5"/>
  </r>
  <r>
    <d v="2026-12-08T00:00:00"/>
    <x v="3"/>
    <d v="2026-12-08T00:00:00"/>
    <x v="1"/>
    <x v="0"/>
    <x v="0"/>
    <x v="0"/>
    <x v="0"/>
    <m/>
    <m/>
    <x v="0"/>
    <x v="0"/>
    <x v="0"/>
    <x v="0"/>
    <x v="0"/>
    <x v="5"/>
  </r>
  <r>
    <d v="2026-12-09T00:00:00"/>
    <x v="4"/>
    <d v="2026-12-09T00:00:00"/>
    <x v="1"/>
    <x v="0"/>
    <x v="0"/>
    <x v="0"/>
    <x v="0"/>
    <m/>
    <m/>
    <x v="0"/>
    <x v="0"/>
    <x v="0"/>
    <x v="0"/>
    <x v="0"/>
    <x v="5"/>
  </r>
  <r>
    <d v="2026-12-10T00:00:00"/>
    <x v="5"/>
    <d v="2026-12-10T00:00:00"/>
    <x v="1"/>
    <x v="0"/>
    <x v="0"/>
    <x v="0"/>
    <x v="0"/>
    <m/>
    <m/>
    <x v="0"/>
    <x v="0"/>
    <x v="0"/>
    <x v="0"/>
    <x v="0"/>
    <x v="5"/>
  </r>
  <r>
    <d v="2026-12-11T00:00:00"/>
    <x v="6"/>
    <d v="2026-12-11T00:00:00"/>
    <x v="1"/>
    <x v="0"/>
    <x v="0"/>
    <x v="0"/>
    <x v="0"/>
    <m/>
    <m/>
    <x v="0"/>
    <x v="0"/>
    <x v="0"/>
    <x v="0"/>
    <x v="0"/>
    <x v="5"/>
  </r>
  <r>
    <d v="2026-12-12T00:00:00"/>
    <x v="0"/>
    <d v="2026-12-12T00:00:00"/>
    <x v="0"/>
    <x v="0"/>
    <x v="0"/>
    <x v="0"/>
    <x v="0"/>
    <m/>
    <m/>
    <x v="0"/>
    <x v="0"/>
    <x v="0"/>
    <x v="0"/>
    <x v="0"/>
    <x v="5"/>
  </r>
  <r>
    <d v="2026-12-13T00:00:00"/>
    <x v="1"/>
    <d v="2026-12-13T00:00:00"/>
    <x v="0"/>
    <x v="0"/>
    <x v="0"/>
    <x v="0"/>
    <x v="0"/>
    <m/>
    <m/>
    <x v="0"/>
    <x v="0"/>
    <x v="0"/>
    <x v="0"/>
    <x v="0"/>
    <x v="5"/>
  </r>
  <r>
    <d v="2026-12-14T00:00:00"/>
    <x v="2"/>
    <d v="2026-12-14T00:00:00"/>
    <x v="1"/>
    <x v="0"/>
    <x v="0"/>
    <x v="0"/>
    <x v="0"/>
    <m/>
    <m/>
    <x v="0"/>
    <x v="0"/>
    <x v="0"/>
    <x v="0"/>
    <x v="0"/>
    <x v="5"/>
  </r>
  <r>
    <d v="2026-12-15T00:00:00"/>
    <x v="3"/>
    <d v="2026-12-15T00:00:00"/>
    <x v="1"/>
    <x v="0"/>
    <x v="0"/>
    <x v="0"/>
    <x v="0"/>
    <m/>
    <m/>
    <x v="0"/>
    <x v="0"/>
    <x v="0"/>
    <x v="0"/>
    <x v="0"/>
    <x v="5"/>
  </r>
  <r>
    <d v="2026-12-16T00:00:00"/>
    <x v="4"/>
    <d v="2026-12-16T00:00:00"/>
    <x v="1"/>
    <x v="0"/>
    <x v="0"/>
    <x v="0"/>
    <x v="0"/>
    <m/>
    <m/>
    <x v="0"/>
    <x v="0"/>
    <x v="0"/>
    <x v="0"/>
    <x v="0"/>
    <x v="5"/>
  </r>
  <r>
    <d v="2026-12-17T00:00:00"/>
    <x v="5"/>
    <d v="2026-12-17T00:00:00"/>
    <x v="1"/>
    <x v="0"/>
    <x v="0"/>
    <x v="0"/>
    <x v="0"/>
    <m/>
    <m/>
    <x v="0"/>
    <x v="0"/>
    <x v="0"/>
    <x v="0"/>
    <x v="0"/>
    <x v="5"/>
  </r>
  <r>
    <d v="2026-12-18T00:00:00"/>
    <x v="6"/>
    <d v="2026-12-18T00:00:00"/>
    <x v="1"/>
    <x v="0"/>
    <x v="0"/>
    <x v="0"/>
    <x v="0"/>
    <m/>
    <m/>
    <x v="0"/>
    <x v="0"/>
    <x v="0"/>
    <x v="0"/>
    <x v="0"/>
    <x v="5"/>
  </r>
  <r>
    <d v="2026-12-19T00:00:00"/>
    <x v="0"/>
    <d v="2026-12-19T00:00:00"/>
    <x v="0"/>
    <x v="0"/>
    <x v="0"/>
    <x v="0"/>
    <x v="0"/>
    <m/>
    <m/>
    <x v="0"/>
    <x v="0"/>
    <x v="0"/>
    <x v="0"/>
    <x v="0"/>
    <x v="5"/>
  </r>
  <r>
    <d v="2026-12-20T00:00:00"/>
    <x v="1"/>
    <d v="2026-12-20T00:00:00"/>
    <x v="0"/>
    <x v="0"/>
    <x v="0"/>
    <x v="0"/>
    <x v="0"/>
    <m/>
    <m/>
    <x v="0"/>
    <x v="0"/>
    <x v="0"/>
    <x v="0"/>
    <x v="0"/>
    <x v="5"/>
  </r>
  <r>
    <d v="2026-12-21T00:00:00"/>
    <x v="2"/>
    <d v="2026-12-21T00:00:00"/>
    <x v="1"/>
    <x v="0"/>
    <x v="0"/>
    <x v="0"/>
    <x v="0"/>
    <m/>
    <m/>
    <x v="0"/>
    <x v="0"/>
    <x v="0"/>
    <x v="0"/>
    <x v="0"/>
    <x v="5"/>
  </r>
  <r>
    <d v="2026-12-22T00:00:00"/>
    <x v="3"/>
    <d v="2026-12-22T00:00:00"/>
    <x v="1"/>
    <x v="0"/>
    <x v="0"/>
    <x v="0"/>
    <x v="0"/>
    <m/>
    <m/>
    <x v="0"/>
    <x v="0"/>
    <x v="0"/>
    <x v="0"/>
    <x v="0"/>
    <x v="5"/>
  </r>
  <r>
    <d v="2026-12-23T00:00:00"/>
    <x v="4"/>
    <d v="2026-12-23T00:00:00"/>
    <x v="1"/>
    <x v="0"/>
    <x v="0"/>
    <x v="0"/>
    <x v="0"/>
    <m/>
    <m/>
    <x v="0"/>
    <x v="0"/>
    <x v="0"/>
    <x v="0"/>
    <x v="0"/>
    <x v="5"/>
  </r>
  <r>
    <d v="2026-12-24T00:00:00"/>
    <x v="5"/>
    <d v="2026-12-24T00:00:00"/>
    <x v="1"/>
    <x v="0"/>
    <x v="0"/>
    <x v="0"/>
    <x v="0"/>
    <m/>
    <m/>
    <x v="0"/>
    <x v="0"/>
    <x v="0"/>
    <x v="0"/>
    <x v="0"/>
    <x v="5"/>
  </r>
  <r>
    <d v="2026-12-25T00:00:00"/>
    <x v="6"/>
    <d v="2026-12-25T00:00:00"/>
    <x v="1"/>
    <x v="0"/>
    <x v="0"/>
    <x v="0"/>
    <x v="0"/>
    <m/>
    <m/>
    <x v="0"/>
    <x v="0"/>
    <x v="0"/>
    <x v="0"/>
    <x v="0"/>
    <x v="5"/>
  </r>
  <r>
    <d v="2026-12-26T00:00:00"/>
    <x v="0"/>
    <d v="2026-12-26T00:00:00"/>
    <x v="0"/>
    <x v="0"/>
    <x v="0"/>
    <x v="0"/>
    <x v="0"/>
    <m/>
    <m/>
    <x v="0"/>
    <x v="0"/>
    <x v="0"/>
    <x v="0"/>
    <x v="0"/>
    <x v="5"/>
  </r>
  <r>
    <d v="2026-12-27T00:00:00"/>
    <x v="1"/>
    <d v="2026-12-27T00:00:00"/>
    <x v="0"/>
    <x v="0"/>
    <x v="0"/>
    <x v="0"/>
    <x v="0"/>
    <m/>
    <m/>
    <x v="0"/>
    <x v="0"/>
    <x v="0"/>
    <x v="0"/>
    <x v="0"/>
    <x v="5"/>
  </r>
  <r>
    <d v="2026-12-28T00:00:00"/>
    <x v="2"/>
    <d v="2026-12-28T00:00:00"/>
    <x v="1"/>
    <x v="0"/>
    <x v="0"/>
    <x v="0"/>
    <x v="0"/>
    <m/>
    <m/>
    <x v="0"/>
    <x v="0"/>
    <x v="0"/>
    <x v="0"/>
    <x v="0"/>
    <x v="5"/>
  </r>
  <r>
    <d v="2026-12-29T00:00:00"/>
    <x v="3"/>
    <d v="2026-12-29T00:00:00"/>
    <x v="1"/>
    <x v="0"/>
    <x v="0"/>
    <x v="0"/>
    <x v="0"/>
    <m/>
    <m/>
    <x v="0"/>
    <x v="0"/>
    <x v="0"/>
    <x v="0"/>
    <x v="0"/>
    <x v="5"/>
  </r>
  <r>
    <d v="2026-12-30T00:00:00"/>
    <x v="4"/>
    <d v="2026-12-30T00:00:00"/>
    <x v="1"/>
    <x v="0"/>
    <x v="0"/>
    <x v="0"/>
    <x v="0"/>
    <m/>
    <m/>
    <x v="0"/>
    <x v="0"/>
    <x v="0"/>
    <x v="0"/>
    <x v="0"/>
    <x v="5"/>
  </r>
  <r>
    <d v="2026-12-31T00:00:00"/>
    <x v="5"/>
    <d v="2026-12-31T00:00:00"/>
    <x v="1"/>
    <x v="0"/>
    <x v="0"/>
    <x v="0"/>
    <x v="0"/>
    <m/>
    <m/>
    <x v="0"/>
    <x v="0"/>
    <x v="0"/>
    <x v="0"/>
    <x v="0"/>
    <x v="5"/>
  </r>
  <r>
    <d v="2027-01-01T00:00:00"/>
    <x v="6"/>
    <d v="2027-01-01T00:00:00"/>
    <x v="1"/>
    <x v="0"/>
    <x v="0"/>
    <x v="0"/>
    <x v="0"/>
    <m/>
    <m/>
    <x v="0"/>
    <x v="0"/>
    <x v="0"/>
    <x v="0"/>
    <x v="0"/>
    <x v="5"/>
  </r>
  <r>
    <d v="2027-01-02T00:00:00"/>
    <x v="0"/>
    <d v="2027-01-02T00:00:00"/>
    <x v="0"/>
    <x v="0"/>
    <x v="0"/>
    <x v="0"/>
    <x v="0"/>
    <m/>
    <m/>
    <x v="0"/>
    <x v="0"/>
    <x v="0"/>
    <x v="0"/>
    <x v="0"/>
    <x v="5"/>
  </r>
  <r>
    <d v="2027-01-03T00:00:00"/>
    <x v="1"/>
    <d v="2027-01-03T00:00:00"/>
    <x v="0"/>
    <x v="0"/>
    <x v="0"/>
    <x v="0"/>
    <x v="0"/>
    <m/>
    <m/>
    <x v="0"/>
    <x v="0"/>
    <x v="0"/>
    <x v="0"/>
    <x v="0"/>
    <x v="5"/>
  </r>
  <r>
    <d v="2027-01-04T00:00:00"/>
    <x v="2"/>
    <d v="2027-01-04T00:00:00"/>
    <x v="1"/>
    <x v="0"/>
    <x v="0"/>
    <x v="0"/>
    <x v="0"/>
    <m/>
    <m/>
    <x v="0"/>
    <x v="0"/>
    <x v="0"/>
    <x v="0"/>
    <x v="0"/>
    <x v="5"/>
  </r>
  <r>
    <d v="2027-01-05T00:00:00"/>
    <x v="3"/>
    <d v="2027-01-05T00:00:00"/>
    <x v="1"/>
    <x v="0"/>
    <x v="0"/>
    <x v="0"/>
    <x v="0"/>
    <m/>
    <m/>
    <x v="0"/>
    <x v="0"/>
    <x v="0"/>
    <x v="0"/>
    <x v="0"/>
    <x v="5"/>
  </r>
  <r>
    <d v="2027-01-06T00:00:00"/>
    <x v="4"/>
    <d v="2027-01-06T00:00:00"/>
    <x v="1"/>
    <x v="0"/>
    <x v="0"/>
    <x v="0"/>
    <x v="0"/>
    <m/>
    <m/>
    <x v="0"/>
    <x v="0"/>
    <x v="0"/>
    <x v="0"/>
    <x v="0"/>
    <x v="5"/>
  </r>
  <r>
    <d v="2027-01-07T00:00:00"/>
    <x v="5"/>
    <d v="2027-01-07T00:00:00"/>
    <x v="1"/>
    <x v="0"/>
    <x v="0"/>
    <x v="0"/>
    <x v="0"/>
    <m/>
    <m/>
    <x v="0"/>
    <x v="0"/>
    <x v="0"/>
    <x v="0"/>
    <x v="0"/>
    <x v="5"/>
  </r>
  <r>
    <d v="2027-01-08T00:00:00"/>
    <x v="6"/>
    <d v="2027-01-08T00:00:00"/>
    <x v="1"/>
    <x v="0"/>
    <x v="0"/>
    <x v="0"/>
    <x v="0"/>
    <m/>
    <m/>
    <x v="0"/>
    <x v="0"/>
    <x v="0"/>
    <x v="0"/>
    <x v="0"/>
    <x v="5"/>
  </r>
  <r>
    <d v="2027-01-09T00:00:00"/>
    <x v="0"/>
    <d v="2027-01-09T00:00:00"/>
    <x v="0"/>
    <x v="0"/>
    <x v="0"/>
    <x v="0"/>
    <x v="0"/>
    <m/>
    <m/>
    <x v="0"/>
    <x v="0"/>
    <x v="0"/>
    <x v="0"/>
    <x v="0"/>
    <x v="5"/>
  </r>
  <r>
    <d v="2027-01-10T00:00:00"/>
    <x v="1"/>
    <d v="2027-01-10T00:00:00"/>
    <x v="0"/>
    <x v="0"/>
    <x v="0"/>
    <x v="0"/>
    <x v="0"/>
    <m/>
    <m/>
    <x v="0"/>
    <x v="0"/>
    <x v="0"/>
    <x v="0"/>
    <x v="0"/>
    <x v="5"/>
  </r>
  <r>
    <d v="2027-01-11T00:00:00"/>
    <x v="2"/>
    <d v="2027-01-11T00:00:00"/>
    <x v="1"/>
    <x v="0"/>
    <x v="0"/>
    <x v="0"/>
    <x v="0"/>
    <m/>
    <m/>
    <x v="0"/>
    <x v="0"/>
    <x v="0"/>
    <x v="0"/>
    <x v="0"/>
    <x v="5"/>
  </r>
  <r>
    <d v="2027-01-12T00:00:00"/>
    <x v="3"/>
    <d v="2027-01-12T00:00:00"/>
    <x v="1"/>
    <x v="0"/>
    <x v="0"/>
    <x v="0"/>
    <x v="0"/>
    <m/>
    <m/>
    <x v="0"/>
    <x v="0"/>
    <x v="0"/>
    <x v="0"/>
    <x v="0"/>
    <x v="5"/>
  </r>
  <r>
    <d v="2027-01-13T00:00:00"/>
    <x v="4"/>
    <d v="2027-01-13T00:00:00"/>
    <x v="1"/>
    <x v="0"/>
    <x v="0"/>
    <x v="0"/>
    <x v="0"/>
    <m/>
    <m/>
    <x v="0"/>
    <x v="0"/>
    <x v="0"/>
    <x v="0"/>
    <x v="0"/>
    <x v="5"/>
  </r>
  <r>
    <d v="2027-01-14T00:00:00"/>
    <x v="5"/>
    <d v="2027-01-14T00:00:00"/>
    <x v="1"/>
    <x v="0"/>
    <x v="0"/>
    <x v="0"/>
    <x v="0"/>
    <m/>
    <m/>
    <x v="0"/>
    <x v="0"/>
    <x v="0"/>
    <x v="0"/>
    <x v="0"/>
    <x v="5"/>
  </r>
  <r>
    <d v="2027-01-15T00:00:00"/>
    <x v="6"/>
    <d v="2027-01-15T00:00:00"/>
    <x v="1"/>
    <x v="0"/>
    <x v="0"/>
    <x v="0"/>
    <x v="0"/>
    <m/>
    <m/>
    <x v="0"/>
    <x v="0"/>
    <x v="0"/>
    <x v="0"/>
    <x v="0"/>
    <x v="5"/>
  </r>
  <r>
    <d v="2027-01-16T00:00:00"/>
    <x v="0"/>
    <d v="2027-01-16T00:00:00"/>
    <x v="0"/>
    <x v="0"/>
    <x v="0"/>
    <x v="0"/>
    <x v="0"/>
    <m/>
    <m/>
    <x v="0"/>
    <x v="0"/>
    <x v="0"/>
    <x v="0"/>
    <x v="0"/>
    <x v="5"/>
  </r>
  <r>
    <d v="2027-01-17T00:00:00"/>
    <x v="1"/>
    <d v="2027-01-17T00:00:00"/>
    <x v="0"/>
    <x v="0"/>
    <x v="0"/>
    <x v="0"/>
    <x v="0"/>
    <m/>
    <m/>
    <x v="0"/>
    <x v="0"/>
    <x v="0"/>
    <x v="0"/>
    <x v="0"/>
    <x v="5"/>
  </r>
  <r>
    <d v="2027-01-18T00:00:00"/>
    <x v="2"/>
    <d v="2027-01-18T00:00:00"/>
    <x v="1"/>
    <x v="0"/>
    <x v="0"/>
    <x v="0"/>
    <x v="0"/>
    <m/>
    <m/>
    <x v="0"/>
    <x v="0"/>
    <x v="0"/>
    <x v="0"/>
    <x v="0"/>
    <x v="5"/>
  </r>
  <r>
    <d v="2027-01-19T00:00:00"/>
    <x v="3"/>
    <d v="2027-01-19T00:00:00"/>
    <x v="1"/>
    <x v="0"/>
    <x v="0"/>
    <x v="0"/>
    <x v="0"/>
    <m/>
    <m/>
    <x v="0"/>
    <x v="0"/>
    <x v="0"/>
    <x v="0"/>
    <x v="0"/>
    <x v="5"/>
  </r>
  <r>
    <d v="2027-01-20T00:00:00"/>
    <x v="4"/>
    <d v="2027-01-20T00:00:00"/>
    <x v="1"/>
    <x v="0"/>
    <x v="0"/>
    <x v="0"/>
    <x v="0"/>
    <m/>
    <m/>
    <x v="0"/>
    <x v="0"/>
    <x v="0"/>
    <x v="0"/>
    <x v="0"/>
    <x v="5"/>
  </r>
  <r>
    <d v="2027-01-21T00:00:00"/>
    <x v="5"/>
    <d v="2027-01-21T00:00:00"/>
    <x v="1"/>
    <x v="0"/>
    <x v="0"/>
    <x v="0"/>
    <x v="0"/>
    <m/>
    <m/>
    <x v="0"/>
    <x v="0"/>
    <x v="0"/>
    <x v="0"/>
    <x v="0"/>
    <x v="5"/>
  </r>
  <r>
    <d v="2027-01-22T00:00:00"/>
    <x v="6"/>
    <d v="2027-01-22T00:00:00"/>
    <x v="1"/>
    <x v="0"/>
    <x v="0"/>
    <x v="0"/>
    <x v="0"/>
    <m/>
    <m/>
    <x v="0"/>
    <x v="0"/>
    <x v="0"/>
    <x v="0"/>
    <x v="0"/>
    <x v="5"/>
  </r>
  <r>
    <d v="2027-01-23T00:00:00"/>
    <x v="0"/>
    <d v="2027-01-23T00:00:00"/>
    <x v="0"/>
    <x v="0"/>
    <x v="0"/>
    <x v="0"/>
    <x v="0"/>
    <m/>
    <m/>
    <x v="0"/>
    <x v="0"/>
    <x v="0"/>
    <x v="0"/>
    <x v="0"/>
    <x v="5"/>
  </r>
  <r>
    <d v="2027-01-24T00:00:00"/>
    <x v="1"/>
    <d v="2027-01-24T00:00:00"/>
    <x v="0"/>
    <x v="0"/>
    <x v="0"/>
    <x v="0"/>
    <x v="0"/>
    <m/>
    <m/>
    <x v="0"/>
    <x v="0"/>
    <x v="0"/>
    <x v="0"/>
    <x v="0"/>
    <x v="5"/>
  </r>
  <r>
    <d v="2027-01-25T00:00:00"/>
    <x v="2"/>
    <d v="2027-01-25T00:00:00"/>
    <x v="1"/>
    <x v="0"/>
    <x v="0"/>
    <x v="0"/>
    <x v="0"/>
    <m/>
    <m/>
    <x v="0"/>
    <x v="0"/>
    <x v="0"/>
    <x v="0"/>
    <x v="0"/>
    <x v="5"/>
  </r>
  <r>
    <d v="2027-01-26T00:00:00"/>
    <x v="3"/>
    <d v="2027-01-26T00:00:00"/>
    <x v="1"/>
    <x v="0"/>
    <x v="0"/>
    <x v="0"/>
    <x v="0"/>
    <m/>
    <m/>
    <x v="0"/>
    <x v="0"/>
    <x v="0"/>
    <x v="0"/>
    <x v="0"/>
    <x v="5"/>
  </r>
  <r>
    <d v="2027-01-27T00:00:00"/>
    <x v="4"/>
    <d v="2027-01-27T00:00:00"/>
    <x v="1"/>
    <x v="0"/>
    <x v="0"/>
    <x v="0"/>
    <x v="0"/>
    <m/>
    <m/>
    <x v="0"/>
    <x v="0"/>
    <x v="0"/>
    <x v="0"/>
    <x v="0"/>
    <x v="5"/>
  </r>
  <r>
    <d v="2027-01-28T00:00:00"/>
    <x v="5"/>
    <d v="2027-01-28T00:00:00"/>
    <x v="1"/>
    <x v="0"/>
    <x v="0"/>
    <x v="0"/>
    <x v="0"/>
    <m/>
    <m/>
    <x v="0"/>
    <x v="0"/>
    <x v="0"/>
    <x v="0"/>
    <x v="0"/>
    <x v="5"/>
  </r>
  <r>
    <d v="2027-01-29T00:00:00"/>
    <x v="6"/>
    <d v="2027-01-29T00:00:00"/>
    <x v="1"/>
    <x v="0"/>
    <x v="0"/>
    <x v="0"/>
    <x v="0"/>
    <m/>
    <m/>
    <x v="0"/>
    <x v="0"/>
    <x v="0"/>
    <x v="0"/>
    <x v="0"/>
    <x v="5"/>
  </r>
  <r>
    <d v="2027-01-30T00:00:00"/>
    <x v="0"/>
    <d v="2027-01-30T00:00:00"/>
    <x v="0"/>
    <x v="0"/>
    <x v="0"/>
    <x v="0"/>
    <x v="0"/>
    <m/>
    <m/>
    <x v="0"/>
    <x v="0"/>
    <x v="0"/>
    <x v="0"/>
    <x v="0"/>
    <x v="5"/>
  </r>
  <r>
    <d v="2027-01-31T00:00:00"/>
    <x v="1"/>
    <d v="2027-01-31T00:00:00"/>
    <x v="0"/>
    <x v="0"/>
    <x v="0"/>
    <x v="0"/>
    <x v="0"/>
    <m/>
    <m/>
    <x v="0"/>
    <x v="0"/>
    <x v="0"/>
    <x v="0"/>
    <x v="0"/>
    <x v="5"/>
  </r>
  <r>
    <d v="2027-02-01T00:00:00"/>
    <x v="2"/>
    <d v="2027-02-01T00:00:00"/>
    <x v="1"/>
    <x v="0"/>
    <x v="0"/>
    <x v="0"/>
    <x v="0"/>
    <m/>
    <m/>
    <x v="0"/>
    <x v="0"/>
    <x v="0"/>
    <x v="0"/>
    <x v="0"/>
    <x v="5"/>
  </r>
  <r>
    <d v="2027-02-02T00:00:00"/>
    <x v="3"/>
    <d v="2027-02-02T00:00:00"/>
    <x v="1"/>
    <x v="0"/>
    <x v="0"/>
    <x v="0"/>
    <x v="0"/>
    <m/>
    <m/>
    <x v="0"/>
    <x v="0"/>
    <x v="0"/>
    <x v="0"/>
    <x v="0"/>
    <x v="5"/>
  </r>
  <r>
    <d v="2027-02-03T00:00:00"/>
    <x v="4"/>
    <d v="2027-02-03T00:00:00"/>
    <x v="1"/>
    <x v="0"/>
    <x v="0"/>
    <x v="0"/>
    <x v="0"/>
    <m/>
    <m/>
    <x v="0"/>
    <x v="0"/>
    <x v="0"/>
    <x v="0"/>
    <x v="0"/>
    <x v="5"/>
  </r>
  <r>
    <d v="2027-02-04T00:00:00"/>
    <x v="5"/>
    <d v="2027-02-04T00:00:00"/>
    <x v="1"/>
    <x v="0"/>
    <x v="0"/>
    <x v="0"/>
    <x v="0"/>
    <m/>
    <m/>
    <x v="0"/>
    <x v="0"/>
    <x v="0"/>
    <x v="0"/>
    <x v="0"/>
    <x v="5"/>
  </r>
  <r>
    <d v="2027-02-05T00:00:00"/>
    <x v="6"/>
    <d v="2027-02-05T00:00:00"/>
    <x v="1"/>
    <x v="0"/>
    <x v="0"/>
    <x v="0"/>
    <x v="0"/>
    <m/>
    <m/>
    <x v="0"/>
    <x v="0"/>
    <x v="0"/>
    <x v="0"/>
    <x v="0"/>
    <x v="5"/>
  </r>
  <r>
    <d v="2027-02-06T00:00:00"/>
    <x v="0"/>
    <d v="2027-02-06T00:00:00"/>
    <x v="0"/>
    <x v="0"/>
    <x v="0"/>
    <x v="0"/>
    <x v="0"/>
    <m/>
    <m/>
    <x v="0"/>
    <x v="0"/>
    <x v="0"/>
    <x v="0"/>
    <x v="0"/>
    <x v="5"/>
  </r>
  <r>
    <d v="2027-02-07T00:00:00"/>
    <x v="1"/>
    <d v="2027-02-07T00:00:00"/>
    <x v="0"/>
    <x v="0"/>
    <x v="0"/>
    <x v="0"/>
    <x v="0"/>
    <m/>
    <m/>
    <x v="0"/>
    <x v="0"/>
    <x v="0"/>
    <x v="0"/>
    <x v="0"/>
    <x v="5"/>
  </r>
  <r>
    <d v="2027-02-08T00:00:00"/>
    <x v="2"/>
    <d v="2027-02-08T00:00:00"/>
    <x v="1"/>
    <x v="0"/>
    <x v="0"/>
    <x v="0"/>
    <x v="0"/>
    <m/>
    <m/>
    <x v="0"/>
    <x v="0"/>
    <x v="0"/>
    <x v="0"/>
    <x v="0"/>
    <x v="5"/>
  </r>
  <r>
    <d v="2027-02-09T00:00:00"/>
    <x v="3"/>
    <d v="2027-02-09T00:00:00"/>
    <x v="1"/>
    <x v="0"/>
    <x v="0"/>
    <x v="0"/>
    <x v="0"/>
    <m/>
    <m/>
    <x v="0"/>
    <x v="0"/>
    <x v="0"/>
    <x v="0"/>
    <x v="0"/>
    <x v="5"/>
  </r>
  <r>
    <d v="2027-02-10T00:00:00"/>
    <x v="4"/>
    <d v="2027-02-10T00:00:00"/>
    <x v="1"/>
    <x v="0"/>
    <x v="0"/>
    <x v="0"/>
    <x v="0"/>
    <m/>
    <m/>
    <x v="0"/>
    <x v="0"/>
    <x v="0"/>
    <x v="0"/>
    <x v="0"/>
    <x v="5"/>
  </r>
  <r>
    <d v="2027-02-11T00:00:00"/>
    <x v="5"/>
    <d v="2027-02-11T00:00:00"/>
    <x v="1"/>
    <x v="0"/>
    <x v="0"/>
    <x v="0"/>
    <x v="0"/>
    <m/>
    <m/>
    <x v="0"/>
    <x v="0"/>
    <x v="0"/>
    <x v="0"/>
    <x v="0"/>
    <x v="5"/>
  </r>
  <r>
    <d v="2027-02-12T00:00:00"/>
    <x v="6"/>
    <d v="2027-02-12T00:00:00"/>
    <x v="1"/>
    <x v="0"/>
    <x v="0"/>
    <x v="0"/>
    <x v="0"/>
    <m/>
    <m/>
    <x v="0"/>
    <x v="0"/>
    <x v="0"/>
    <x v="0"/>
    <x v="0"/>
    <x v="5"/>
  </r>
  <r>
    <d v="2027-02-13T00:00:00"/>
    <x v="0"/>
    <d v="2027-02-13T00:00:00"/>
    <x v="0"/>
    <x v="0"/>
    <x v="0"/>
    <x v="0"/>
    <x v="0"/>
    <m/>
    <m/>
    <x v="0"/>
    <x v="0"/>
    <x v="0"/>
    <x v="0"/>
    <x v="0"/>
    <x v="5"/>
  </r>
  <r>
    <d v="2027-02-14T00:00:00"/>
    <x v="1"/>
    <d v="2027-02-14T00:00:00"/>
    <x v="0"/>
    <x v="0"/>
    <x v="0"/>
    <x v="0"/>
    <x v="0"/>
    <m/>
    <m/>
    <x v="0"/>
    <x v="0"/>
    <x v="0"/>
    <x v="0"/>
    <x v="0"/>
    <x v="5"/>
  </r>
  <r>
    <d v="2027-02-15T00:00:00"/>
    <x v="2"/>
    <d v="2027-02-15T00:00:00"/>
    <x v="1"/>
    <x v="0"/>
    <x v="0"/>
    <x v="0"/>
    <x v="0"/>
    <m/>
    <m/>
    <x v="0"/>
    <x v="0"/>
    <x v="0"/>
    <x v="0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6">
  <r>
    <d v="2025-11-01T00:00:00"/>
    <s v="sábado"/>
    <d v="2025-11-01T00:00:00"/>
    <s v="NÃO"/>
    <x v="0"/>
    <m/>
    <m/>
    <m/>
    <m/>
    <m/>
    <m/>
    <m/>
    <m/>
    <m/>
    <m/>
    <s v="Morro do Tetéu"/>
  </r>
  <r>
    <d v="2025-11-02T00:00:00"/>
    <s v="domingo"/>
    <d v="2025-11-02T00:00:00"/>
    <s v="NÃO"/>
    <x v="0"/>
    <m/>
    <m/>
    <m/>
    <m/>
    <m/>
    <m/>
    <m/>
    <m/>
    <m/>
    <m/>
    <s v="Morro do Tetéu"/>
  </r>
  <r>
    <d v="2025-11-03T00:00:00"/>
    <s v="segunda-feira"/>
    <d v="2025-11-03T00:00:00"/>
    <m/>
    <x v="0"/>
    <m/>
    <m/>
    <m/>
    <m/>
    <m/>
    <m/>
    <m/>
    <m/>
    <m/>
    <m/>
    <s v="Morro do Tetéu"/>
  </r>
  <r>
    <d v="2025-11-04T00:00:00"/>
    <s v="terça-feira"/>
    <d v="2025-11-04T00:00:00"/>
    <m/>
    <x v="0"/>
    <m/>
    <m/>
    <m/>
    <m/>
    <m/>
    <m/>
    <m/>
    <m/>
    <m/>
    <m/>
    <s v="Morro do Tetéu"/>
  </r>
  <r>
    <d v="2025-11-05T00:00:00"/>
    <s v="quarta-feira"/>
    <d v="2025-11-05T00:00:00"/>
    <m/>
    <x v="0"/>
    <m/>
    <m/>
    <m/>
    <m/>
    <m/>
    <m/>
    <m/>
    <m/>
    <m/>
    <m/>
    <s v="Morro do Tetéu"/>
  </r>
  <r>
    <d v="2025-11-06T00:00:00"/>
    <s v="quinta-feira"/>
    <d v="2025-11-06T00:00:00"/>
    <m/>
    <x v="0"/>
    <m/>
    <m/>
    <m/>
    <m/>
    <m/>
    <m/>
    <m/>
    <m/>
    <m/>
    <m/>
    <s v="Morro do Tetéu"/>
  </r>
  <r>
    <d v="2025-11-07T00:00:00"/>
    <s v="sexta-feira"/>
    <d v="2025-11-07T00:00:00"/>
    <m/>
    <x v="0"/>
    <m/>
    <m/>
    <m/>
    <m/>
    <m/>
    <m/>
    <m/>
    <m/>
    <m/>
    <m/>
    <s v="Morro do Tetéu"/>
  </r>
  <r>
    <d v="2025-11-08T00:00:00"/>
    <s v="sábado"/>
    <d v="2025-11-08T00:00:00"/>
    <s v="NÃO"/>
    <x v="0"/>
    <m/>
    <m/>
    <m/>
    <m/>
    <m/>
    <m/>
    <m/>
    <m/>
    <m/>
    <m/>
    <s v="Morro do Tetéu"/>
  </r>
  <r>
    <d v="2025-11-09T00:00:00"/>
    <s v="domingo"/>
    <d v="2025-11-09T00:00:00"/>
    <s v="NÃO"/>
    <x v="0"/>
    <m/>
    <m/>
    <m/>
    <m/>
    <m/>
    <m/>
    <m/>
    <m/>
    <m/>
    <m/>
    <s v="Morro do Tetéu"/>
  </r>
  <r>
    <d v="2025-11-10T00:00:00"/>
    <s v="segunda-feira"/>
    <d v="2025-11-10T00:00:00"/>
    <m/>
    <x v="0"/>
    <m/>
    <m/>
    <m/>
    <m/>
    <m/>
    <m/>
    <m/>
    <m/>
    <m/>
    <m/>
    <s v="Morro do Tetéu"/>
  </r>
  <r>
    <d v="2025-11-11T00:00:00"/>
    <s v="terça-feira"/>
    <d v="2025-11-11T00:00:00"/>
    <m/>
    <x v="0"/>
    <m/>
    <m/>
    <m/>
    <m/>
    <m/>
    <m/>
    <m/>
    <m/>
    <m/>
    <m/>
    <s v="Morro do Tetéu"/>
  </r>
  <r>
    <d v="2025-11-12T00:00:00"/>
    <s v="quarta-feira"/>
    <d v="2025-11-12T00:00:00"/>
    <m/>
    <x v="0"/>
    <m/>
    <m/>
    <m/>
    <m/>
    <m/>
    <m/>
    <m/>
    <m/>
    <m/>
    <m/>
    <s v="Morro do Tetéu"/>
  </r>
  <r>
    <d v="2025-11-13T00:00:00"/>
    <s v="quinta-feira"/>
    <d v="2025-11-13T00:00:00"/>
    <m/>
    <x v="0"/>
    <m/>
    <m/>
    <m/>
    <m/>
    <m/>
    <m/>
    <m/>
    <m/>
    <m/>
    <m/>
    <s v="Morro do Tetéu"/>
  </r>
  <r>
    <d v="2025-11-14T00:00:00"/>
    <s v="sexta-feira"/>
    <d v="2025-11-14T00:00:00"/>
    <m/>
    <x v="0"/>
    <m/>
    <m/>
    <m/>
    <m/>
    <m/>
    <m/>
    <m/>
    <m/>
    <m/>
    <m/>
    <s v="Morro do Tetéu"/>
  </r>
  <r>
    <d v="2025-11-15T00:00:00"/>
    <s v="sábado"/>
    <d v="2025-11-15T00:00:00"/>
    <s v="NÃO"/>
    <x v="0"/>
    <m/>
    <m/>
    <m/>
    <m/>
    <m/>
    <m/>
    <m/>
    <m/>
    <m/>
    <m/>
    <s v="Morro do Tetéu"/>
  </r>
  <r>
    <d v="2025-11-16T00:00:00"/>
    <s v="domingo"/>
    <d v="2025-11-16T00:00:00"/>
    <s v="NÃO"/>
    <x v="0"/>
    <m/>
    <m/>
    <m/>
    <m/>
    <m/>
    <m/>
    <m/>
    <m/>
    <m/>
    <m/>
    <s v="Morro do Tetéu"/>
  </r>
  <r>
    <d v="2025-11-17T00:00:00"/>
    <s v="segunda-feira"/>
    <d v="2025-11-17T00:00:00"/>
    <m/>
    <x v="0"/>
    <m/>
    <m/>
    <m/>
    <m/>
    <m/>
    <m/>
    <m/>
    <m/>
    <m/>
    <m/>
    <s v="Morro do Tetéu"/>
  </r>
  <r>
    <d v="2025-11-18T00:00:00"/>
    <s v="terça-feira"/>
    <d v="2025-11-18T00:00:00"/>
    <m/>
    <x v="0"/>
    <m/>
    <m/>
    <m/>
    <m/>
    <m/>
    <m/>
    <m/>
    <m/>
    <m/>
    <m/>
    <s v="Morro do Tetéu"/>
  </r>
  <r>
    <d v="2025-11-19T00:00:00"/>
    <s v="quarta-feira"/>
    <d v="2025-11-19T00:00:00"/>
    <m/>
    <x v="0"/>
    <m/>
    <m/>
    <m/>
    <m/>
    <m/>
    <m/>
    <m/>
    <m/>
    <m/>
    <m/>
    <s v="Morro do Tetéu"/>
  </r>
  <r>
    <d v="2025-11-20T00:00:00"/>
    <s v="quinta-feira"/>
    <d v="2025-11-20T00:00:00"/>
    <m/>
    <x v="0"/>
    <m/>
    <m/>
    <m/>
    <m/>
    <m/>
    <m/>
    <m/>
    <m/>
    <m/>
    <m/>
    <s v="Morro do Tetéu"/>
  </r>
  <r>
    <d v="2025-11-21T00:00:00"/>
    <s v="sexta-feira"/>
    <d v="2025-11-21T00:00:00"/>
    <m/>
    <x v="0"/>
    <m/>
    <m/>
    <m/>
    <m/>
    <m/>
    <m/>
    <m/>
    <m/>
    <m/>
    <m/>
    <s v="Morro do Tetéu"/>
  </r>
  <r>
    <d v="2025-11-22T00:00:00"/>
    <s v="sábado"/>
    <d v="2025-11-22T00:00:00"/>
    <s v="NÃO"/>
    <x v="0"/>
    <m/>
    <m/>
    <m/>
    <m/>
    <m/>
    <m/>
    <m/>
    <m/>
    <m/>
    <m/>
    <s v="Morro do Tetéu"/>
  </r>
  <r>
    <d v="2025-11-23T00:00:00"/>
    <s v="domingo"/>
    <d v="2025-11-23T00:00:00"/>
    <s v="NÃO"/>
    <x v="0"/>
    <m/>
    <m/>
    <m/>
    <m/>
    <m/>
    <m/>
    <m/>
    <m/>
    <m/>
    <m/>
    <s v="Morro do Tetéu"/>
  </r>
  <r>
    <d v="2025-11-24T00:00:00"/>
    <s v="segunda-feira"/>
    <d v="2025-11-24T00:00:00"/>
    <m/>
    <x v="0"/>
    <m/>
    <m/>
    <m/>
    <m/>
    <m/>
    <m/>
    <m/>
    <m/>
    <m/>
    <m/>
    <s v="Morro do Tetéu"/>
  </r>
  <r>
    <d v="2025-11-25T00:00:00"/>
    <s v="terça-feira"/>
    <d v="2025-11-25T00:00:00"/>
    <m/>
    <x v="0"/>
    <m/>
    <m/>
    <m/>
    <m/>
    <m/>
    <m/>
    <m/>
    <m/>
    <m/>
    <m/>
    <s v="Morro do Tetéu"/>
  </r>
  <r>
    <d v="2025-11-26T00:00:00"/>
    <s v="quarta-feira"/>
    <d v="2025-11-26T00:00:00"/>
    <m/>
    <x v="0"/>
    <m/>
    <m/>
    <m/>
    <m/>
    <m/>
    <m/>
    <m/>
    <m/>
    <m/>
    <m/>
    <s v="Morro do Tetéu"/>
  </r>
  <r>
    <d v="2025-11-27T00:00:00"/>
    <s v="quinta-feira"/>
    <d v="2025-11-27T00:00:00"/>
    <m/>
    <x v="0"/>
    <m/>
    <m/>
    <m/>
    <m/>
    <m/>
    <m/>
    <m/>
    <m/>
    <m/>
    <m/>
    <s v="Morro do Tetéu"/>
  </r>
  <r>
    <d v="2025-11-28T00:00:00"/>
    <s v="sexta-feira"/>
    <d v="2025-11-28T00:00:00"/>
    <m/>
    <x v="0"/>
    <m/>
    <m/>
    <m/>
    <m/>
    <m/>
    <m/>
    <m/>
    <m/>
    <m/>
    <m/>
    <s v="Morro do Tetéu"/>
  </r>
  <r>
    <d v="2025-11-29T00:00:00"/>
    <s v="sábado"/>
    <d v="2025-11-29T00:00:00"/>
    <s v="NÃO"/>
    <x v="0"/>
    <m/>
    <m/>
    <m/>
    <m/>
    <m/>
    <m/>
    <m/>
    <m/>
    <m/>
    <m/>
    <s v="Morro do Tetéu"/>
  </r>
  <r>
    <d v="2025-11-30T00:00:00"/>
    <s v="domingo"/>
    <d v="2025-11-30T00:00:00"/>
    <s v="NÃO"/>
    <x v="0"/>
    <m/>
    <m/>
    <m/>
    <m/>
    <m/>
    <m/>
    <m/>
    <m/>
    <m/>
    <m/>
    <s v="Morro do Tetéu"/>
  </r>
  <r>
    <d v="2025-12-01T00:00:00"/>
    <s v="segunda-feira"/>
    <d v="2025-12-01T00:00:00"/>
    <m/>
    <x v="0"/>
    <m/>
    <m/>
    <m/>
    <m/>
    <m/>
    <m/>
    <m/>
    <m/>
    <m/>
    <m/>
    <s v="Morro do Tetéu"/>
  </r>
  <r>
    <d v="2025-12-02T00:00:00"/>
    <s v="terça-feira"/>
    <d v="2025-12-02T00:00:00"/>
    <m/>
    <x v="0"/>
    <m/>
    <m/>
    <m/>
    <m/>
    <m/>
    <m/>
    <m/>
    <m/>
    <m/>
    <m/>
    <s v="Morro do Tetéu"/>
  </r>
  <r>
    <d v="2025-12-03T00:00:00"/>
    <s v="quarta-feira"/>
    <d v="2025-12-03T00:00:00"/>
    <m/>
    <x v="0"/>
    <m/>
    <m/>
    <m/>
    <m/>
    <m/>
    <m/>
    <m/>
    <m/>
    <m/>
    <m/>
    <s v="Morro do Tetéu"/>
  </r>
  <r>
    <d v="2025-12-04T00:00:00"/>
    <s v="quinta-feira"/>
    <d v="2025-12-04T00:00:00"/>
    <m/>
    <x v="0"/>
    <m/>
    <m/>
    <m/>
    <m/>
    <m/>
    <m/>
    <m/>
    <m/>
    <m/>
    <m/>
    <s v="Morro do Tetéu"/>
  </r>
  <r>
    <d v="2025-12-05T00:00:00"/>
    <s v="sexta-feira"/>
    <d v="2025-12-05T00:00:00"/>
    <m/>
    <x v="0"/>
    <m/>
    <m/>
    <m/>
    <m/>
    <m/>
    <m/>
    <m/>
    <m/>
    <m/>
    <m/>
    <s v="Morro do Tetéu"/>
  </r>
  <r>
    <d v="2025-12-06T00:00:00"/>
    <s v="sábado"/>
    <d v="2025-12-06T00:00:00"/>
    <s v="NÃO"/>
    <x v="0"/>
    <m/>
    <m/>
    <m/>
    <m/>
    <m/>
    <m/>
    <m/>
    <m/>
    <m/>
    <m/>
    <s v="Morro do Tetéu"/>
  </r>
  <r>
    <d v="2025-12-07T00:00:00"/>
    <s v="domingo"/>
    <d v="2025-12-07T00:00:00"/>
    <s v="NÃO"/>
    <x v="0"/>
    <m/>
    <m/>
    <m/>
    <m/>
    <m/>
    <m/>
    <m/>
    <m/>
    <m/>
    <m/>
    <s v="Morro do Tetéu"/>
  </r>
  <r>
    <d v="2025-12-08T00:00:00"/>
    <s v="segunda-feira"/>
    <d v="2025-12-08T00:00:00"/>
    <m/>
    <x v="0"/>
    <m/>
    <m/>
    <m/>
    <m/>
    <m/>
    <m/>
    <m/>
    <m/>
    <m/>
    <m/>
    <s v="Morro do Tetéu"/>
  </r>
  <r>
    <d v="2025-12-09T00:00:00"/>
    <s v="terça-feira"/>
    <d v="2025-12-09T00:00:00"/>
    <m/>
    <x v="0"/>
    <m/>
    <m/>
    <m/>
    <m/>
    <m/>
    <m/>
    <m/>
    <m/>
    <m/>
    <m/>
    <s v="Morro do Tetéu"/>
  </r>
  <r>
    <d v="2025-12-10T00:00:00"/>
    <s v="quarta-feira"/>
    <d v="2025-12-10T00:00:00"/>
    <m/>
    <x v="0"/>
    <m/>
    <m/>
    <m/>
    <m/>
    <m/>
    <m/>
    <m/>
    <m/>
    <m/>
    <m/>
    <s v="Morro do Tetéu"/>
  </r>
  <r>
    <d v="2025-12-11T00:00:00"/>
    <s v="quinta-feira"/>
    <d v="2025-12-11T00:00:00"/>
    <m/>
    <x v="0"/>
    <m/>
    <m/>
    <m/>
    <m/>
    <m/>
    <m/>
    <m/>
    <m/>
    <m/>
    <m/>
    <s v="Morro do Tetéu"/>
  </r>
  <r>
    <d v="2025-12-12T00:00:00"/>
    <s v="sexta-feira"/>
    <d v="2025-12-12T00:00:00"/>
    <m/>
    <x v="0"/>
    <m/>
    <m/>
    <m/>
    <m/>
    <m/>
    <m/>
    <m/>
    <m/>
    <m/>
    <m/>
    <s v="Morro do Tetéu"/>
  </r>
  <r>
    <d v="2025-12-13T00:00:00"/>
    <s v="sábado"/>
    <d v="2025-12-13T00:00:00"/>
    <s v="NÃO"/>
    <x v="0"/>
    <m/>
    <m/>
    <m/>
    <m/>
    <m/>
    <m/>
    <m/>
    <m/>
    <m/>
    <m/>
    <s v="Morro do Tetéu"/>
  </r>
  <r>
    <d v="2025-12-14T00:00:00"/>
    <s v="domingo"/>
    <d v="2025-12-14T00:00:00"/>
    <s v="NÃO"/>
    <x v="0"/>
    <m/>
    <m/>
    <m/>
    <m/>
    <m/>
    <m/>
    <m/>
    <m/>
    <m/>
    <m/>
    <s v="Morro do Tetéu"/>
  </r>
  <r>
    <d v="2025-12-15T00:00:00"/>
    <s v="segunda-feira"/>
    <d v="2025-12-15T00:00:00"/>
    <m/>
    <x v="0"/>
    <m/>
    <m/>
    <m/>
    <m/>
    <m/>
    <m/>
    <m/>
    <m/>
    <m/>
    <m/>
    <s v="Morro do Tetéu"/>
  </r>
  <r>
    <d v="2025-12-16T00:00:00"/>
    <s v="terça-feira"/>
    <d v="2025-12-16T00:00:00"/>
    <m/>
    <x v="0"/>
    <m/>
    <m/>
    <m/>
    <m/>
    <m/>
    <m/>
    <m/>
    <m/>
    <m/>
    <m/>
    <s v="Morro do Tetéu"/>
  </r>
  <r>
    <d v="2025-12-17T00:00:00"/>
    <s v="quarta-feira"/>
    <d v="2025-12-17T00:00:00"/>
    <m/>
    <x v="0"/>
    <m/>
    <m/>
    <m/>
    <m/>
    <m/>
    <m/>
    <m/>
    <m/>
    <m/>
    <m/>
    <s v="Morro do Tetéu"/>
  </r>
  <r>
    <d v="2025-12-18T00:00:00"/>
    <s v="quinta-feira"/>
    <d v="2025-12-18T00:00:00"/>
    <m/>
    <x v="0"/>
    <m/>
    <m/>
    <m/>
    <m/>
    <m/>
    <m/>
    <m/>
    <m/>
    <m/>
    <m/>
    <s v="Morro do Tetéu"/>
  </r>
  <r>
    <d v="2025-12-19T00:00:00"/>
    <s v="sexta-feira"/>
    <d v="2025-12-19T00:00:00"/>
    <m/>
    <x v="0"/>
    <m/>
    <m/>
    <m/>
    <m/>
    <m/>
    <m/>
    <m/>
    <m/>
    <m/>
    <m/>
    <s v="Morro do Tetéu"/>
  </r>
  <r>
    <d v="2025-12-20T00:00:00"/>
    <s v="sábado"/>
    <d v="2025-12-20T00:00:00"/>
    <s v="NÃO"/>
    <x v="0"/>
    <m/>
    <m/>
    <m/>
    <m/>
    <m/>
    <m/>
    <m/>
    <m/>
    <m/>
    <m/>
    <s v="Morro do Tetéu"/>
  </r>
  <r>
    <d v="2025-12-21T00:00:00"/>
    <s v="domingo"/>
    <d v="2025-12-21T00:00:00"/>
    <s v="NÃO"/>
    <x v="0"/>
    <m/>
    <m/>
    <m/>
    <m/>
    <m/>
    <m/>
    <m/>
    <m/>
    <m/>
    <m/>
    <s v="Morro do Tetéu"/>
  </r>
  <r>
    <d v="2025-12-22T00:00:00"/>
    <s v="segunda-feira"/>
    <d v="2025-12-22T00:00:00"/>
    <m/>
    <x v="0"/>
    <m/>
    <m/>
    <m/>
    <m/>
    <m/>
    <m/>
    <m/>
    <m/>
    <m/>
    <m/>
    <s v="Morro do Tetéu"/>
  </r>
  <r>
    <d v="2025-12-23T00:00:00"/>
    <s v="terça-feira"/>
    <d v="2025-12-23T00:00:00"/>
    <m/>
    <x v="0"/>
    <m/>
    <m/>
    <m/>
    <m/>
    <m/>
    <m/>
    <m/>
    <m/>
    <m/>
    <m/>
    <s v="Morro do Tetéu"/>
  </r>
  <r>
    <d v="2025-12-24T00:00:00"/>
    <s v="quarta-feira"/>
    <d v="2025-12-24T00:00:00"/>
    <m/>
    <x v="0"/>
    <m/>
    <m/>
    <m/>
    <m/>
    <m/>
    <m/>
    <m/>
    <m/>
    <m/>
    <m/>
    <s v="Morro do Tetéu"/>
  </r>
  <r>
    <d v="2025-12-25T00:00:00"/>
    <s v="quinta-feira"/>
    <d v="2025-12-25T00:00:00"/>
    <m/>
    <x v="0"/>
    <m/>
    <m/>
    <m/>
    <m/>
    <m/>
    <m/>
    <m/>
    <m/>
    <m/>
    <m/>
    <s v="Morro do Tetéu"/>
  </r>
  <r>
    <d v="2025-12-26T00:00:00"/>
    <s v="sexta-feira"/>
    <d v="2025-12-26T00:00:00"/>
    <m/>
    <x v="0"/>
    <m/>
    <m/>
    <m/>
    <m/>
    <m/>
    <m/>
    <m/>
    <m/>
    <m/>
    <m/>
    <s v="Morro do Tetéu"/>
  </r>
  <r>
    <d v="2025-12-27T00:00:00"/>
    <s v="sábado"/>
    <d v="2025-12-27T00:00:00"/>
    <s v="NÃO"/>
    <x v="0"/>
    <m/>
    <m/>
    <m/>
    <m/>
    <m/>
    <m/>
    <m/>
    <m/>
    <m/>
    <m/>
    <s v="Morro do Tetéu"/>
  </r>
  <r>
    <d v="2025-12-28T00:00:00"/>
    <s v="domingo"/>
    <d v="2025-12-28T00:00:00"/>
    <s v="NÃO"/>
    <x v="0"/>
    <m/>
    <m/>
    <m/>
    <m/>
    <m/>
    <m/>
    <m/>
    <m/>
    <m/>
    <m/>
    <s v="Morro do Tetéu"/>
  </r>
  <r>
    <d v="2025-12-29T00:00:00"/>
    <s v="segunda-feira"/>
    <d v="2025-12-29T00:00:00"/>
    <m/>
    <x v="0"/>
    <m/>
    <m/>
    <m/>
    <m/>
    <m/>
    <m/>
    <m/>
    <m/>
    <m/>
    <m/>
    <s v="Morro do Tetéu"/>
  </r>
  <r>
    <d v="2025-12-30T00:00:00"/>
    <s v="terça-feira"/>
    <d v="2025-12-30T00:00:00"/>
    <m/>
    <x v="0"/>
    <m/>
    <m/>
    <m/>
    <m/>
    <m/>
    <m/>
    <m/>
    <m/>
    <m/>
    <m/>
    <s v="Morro do Tetéu"/>
  </r>
  <r>
    <d v="2025-12-31T00:00:00"/>
    <s v="quarta-feira"/>
    <d v="2025-12-31T00:00:00"/>
    <m/>
    <x v="0"/>
    <m/>
    <m/>
    <m/>
    <m/>
    <m/>
    <m/>
    <m/>
    <m/>
    <m/>
    <m/>
    <s v="Morro do Tetéu"/>
  </r>
  <r>
    <d v="2026-01-01T00:00:00"/>
    <s v="quinta-feira"/>
    <d v="2026-01-01T00:00:00"/>
    <m/>
    <x v="0"/>
    <m/>
    <m/>
    <m/>
    <m/>
    <m/>
    <m/>
    <m/>
    <m/>
    <m/>
    <m/>
    <s v="Morro do Tetéu"/>
  </r>
  <r>
    <d v="2026-01-02T00:00:00"/>
    <s v="sexta-feira"/>
    <d v="2026-01-02T00:00:00"/>
    <m/>
    <x v="0"/>
    <m/>
    <m/>
    <m/>
    <m/>
    <m/>
    <m/>
    <m/>
    <m/>
    <m/>
    <m/>
    <s v="Morro do Tetéu"/>
  </r>
  <r>
    <d v="2026-01-03T00:00:00"/>
    <s v="sábado"/>
    <d v="2026-01-03T00:00:00"/>
    <s v="NÃO"/>
    <x v="0"/>
    <m/>
    <m/>
    <m/>
    <m/>
    <m/>
    <m/>
    <m/>
    <m/>
    <m/>
    <m/>
    <s v="Morro do Tetéu"/>
  </r>
  <r>
    <d v="2026-01-04T00:00:00"/>
    <s v="domingo"/>
    <d v="2026-01-04T00:00:00"/>
    <s v="NÃO"/>
    <x v="0"/>
    <m/>
    <m/>
    <m/>
    <m/>
    <m/>
    <m/>
    <m/>
    <m/>
    <m/>
    <m/>
    <s v="Morro do Tetéu"/>
  </r>
  <r>
    <d v="2026-01-05T00:00:00"/>
    <s v="segunda-feira"/>
    <d v="2026-01-05T00:00:00"/>
    <m/>
    <x v="0"/>
    <m/>
    <m/>
    <m/>
    <m/>
    <m/>
    <m/>
    <m/>
    <m/>
    <m/>
    <m/>
    <s v="Morro do Tetéu"/>
  </r>
  <r>
    <d v="2026-01-06T00:00:00"/>
    <s v="terça-feira"/>
    <d v="2026-01-06T00:00:00"/>
    <m/>
    <x v="0"/>
    <m/>
    <m/>
    <m/>
    <m/>
    <m/>
    <m/>
    <m/>
    <m/>
    <m/>
    <m/>
    <s v="Morro do Tetéu"/>
  </r>
  <r>
    <d v="2026-01-07T00:00:00"/>
    <s v="quarta-feira"/>
    <d v="2026-01-07T00:00:00"/>
    <m/>
    <x v="0"/>
    <m/>
    <m/>
    <m/>
    <m/>
    <m/>
    <m/>
    <m/>
    <m/>
    <m/>
    <m/>
    <s v="Morro do Tetéu"/>
  </r>
  <r>
    <d v="2026-01-08T00:00:00"/>
    <s v="quinta-feira"/>
    <d v="2026-01-08T00:00:00"/>
    <m/>
    <x v="0"/>
    <m/>
    <m/>
    <m/>
    <m/>
    <m/>
    <m/>
    <m/>
    <m/>
    <m/>
    <m/>
    <s v="Morro do Tetéu"/>
  </r>
  <r>
    <d v="2026-01-09T00:00:00"/>
    <s v="sexta-feira"/>
    <d v="2026-01-09T00:00:00"/>
    <s v="SIM"/>
    <x v="1"/>
    <s v="Diversas até 28/02 - MT"/>
    <n v="6"/>
    <n v="6"/>
    <m/>
    <n v="57"/>
    <m/>
    <m/>
    <m/>
    <n v="17"/>
    <m/>
    <s v="Morro do Tetéu"/>
  </r>
  <r>
    <d v="2026-01-10T00:00:00"/>
    <s v="sábado"/>
    <d v="2026-01-10T00:00:00"/>
    <s v="SIM"/>
    <x v="1"/>
    <s v="Diversas até 28/02 - MT"/>
    <n v="5"/>
    <m/>
    <n v="20"/>
    <n v="57"/>
    <m/>
    <m/>
    <m/>
    <n v="23"/>
    <m/>
    <s v="Morro do Tetéu"/>
  </r>
  <r>
    <d v="2026-01-11T00:00:00"/>
    <s v="domingo"/>
    <d v="2026-01-11T00:00:00"/>
    <s v="NÃO"/>
    <x v="0"/>
    <m/>
    <m/>
    <m/>
    <m/>
    <m/>
    <m/>
    <m/>
    <m/>
    <m/>
    <m/>
    <s v="Morro do Tetéu"/>
  </r>
  <r>
    <d v="2026-01-12T00:00:00"/>
    <s v="segunda-feira"/>
    <d v="2026-01-12T00:00:00"/>
    <s v="SIM"/>
    <x v="1"/>
    <s v="Diversas até 28/02 - MT"/>
    <n v="6"/>
    <n v="13"/>
    <n v="3"/>
    <n v="44"/>
    <m/>
    <m/>
    <m/>
    <n v="28"/>
    <m/>
    <s v="Morro do Tetéu"/>
  </r>
  <r>
    <d v="2026-01-13T00:00:00"/>
    <s v="terça-feira"/>
    <d v="2026-01-13T00:00:00"/>
    <s v="SIM"/>
    <x v="1"/>
    <s v="Diversas até 28/02 - MT"/>
    <n v="6"/>
    <n v="15"/>
    <n v="22"/>
    <n v="35"/>
    <m/>
    <m/>
    <m/>
    <m/>
    <m/>
    <s v="Morro do Tetéu"/>
  </r>
  <r>
    <d v="2026-01-14T00:00:00"/>
    <s v="quarta-feira"/>
    <d v="2026-01-14T00:00:00"/>
    <s v="SIM"/>
    <x v="1"/>
    <s v="Diversas até 28/02 - MT"/>
    <n v="5"/>
    <n v="8"/>
    <m/>
    <n v="37"/>
    <m/>
    <m/>
    <m/>
    <m/>
    <m/>
    <s v="Morro do Tetéu"/>
  </r>
  <r>
    <d v="2026-01-15T00:00:00"/>
    <s v="quinta-feira"/>
    <d v="2026-01-15T00:00:00"/>
    <s v="SIM"/>
    <x v="1"/>
    <s v="Diversas até 28/02 - MT"/>
    <n v="11"/>
    <n v="11"/>
    <n v="51"/>
    <n v="45"/>
    <m/>
    <m/>
    <m/>
    <n v="1"/>
    <m/>
    <s v="Morro do Tetéu"/>
  </r>
  <r>
    <d v="2026-01-16T00:00:00"/>
    <s v="sexta-feira"/>
    <d v="2026-01-16T00:00:00"/>
    <s v="SIM"/>
    <x v="1"/>
    <s v="Diversas até 28/02 - MT"/>
    <n v="8"/>
    <n v="2"/>
    <n v="29"/>
    <n v="46"/>
    <m/>
    <m/>
    <m/>
    <m/>
    <m/>
    <s v="Morro do Tetéu"/>
  </r>
  <r>
    <d v="2026-01-17T00:00:00"/>
    <s v="sábado"/>
    <d v="2026-01-17T00:00:00"/>
    <s v="SIM"/>
    <x v="1"/>
    <s v="Diversas até 28/02 - MT"/>
    <n v="9"/>
    <m/>
    <m/>
    <m/>
    <m/>
    <m/>
    <m/>
    <m/>
    <m/>
    <s v="Morro do Tetéu"/>
  </r>
  <r>
    <d v="2026-01-18T00:00:00"/>
    <s v="domingo"/>
    <d v="2026-01-18T00:00:00"/>
    <s v="NÃO"/>
    <x v="0"/>
    <m/>
    <m/>
    <m/>
    <m/>
    <m/>
    <m/>
    <m/>
    <m/>
    <m/>
    <m/>
    <s v="Morro do Tetéu"/>
  </r>
  <r>
    <d v="2026-01-19T00:00:00"/>
    <s v="segunda-feira"/>
    <d v="2026-01-19T00:00:00"/>
    <s v="SIM"/>
    <x v="1"/>
    <s v="Diversas até 28/02 - MT"/>
    <n v="7"/>
    <n v="3"/>
    <m/>
    <n v="8"/>
    <m/>
    <m/>
    <m/>
    <m/>
    <m/>
    <s v="Morro do Tetéu"/>
  </r>
  <r>
    <d v="2026-01-20T00:00:00"/>
    <s v="terça-feira"/>
    <d v="2026-01-20T00:00:00"/>
    <s v="SIM"/>
    <x v="1"/>
    <s v="Diversas até 28/02 - MT"/>
    <n v="4"/>
    <n v="10"/>
    <n v="8"/>
    <n v="18"/>
    <m/>
    <m/>
    <m/>
    <m/>
    <m/>
    <s v="Morro do Tetéu"/>
  </r>
  <r>
    <d v="2026-01-21T00:00:00"/>
    <s v="quarta-feira"/>
    <d v="2026-01-21T00:00:00"/>
    <s v="SIM"/>
    <x v="1"/>
    <s v="Diversas até 28/02 - MT"/>
    <n v="3"/>
    <n v="7"/>
    <m/>
    <n v="3"/>
    <m/>
    <m/>
    <n v="1"/>
    <m/>
    <m/>
    <s v="Morro do Tetéu"/>
  </r>
  <r>
    <d v="2026-01-22T00:00:00"/>
    <s v="quinta-feira"/>
    <d v="2026-01-22T00:00:00"/>
    <s v="SIM"/>
    <x v="1"/>
    <s v="Diversas até 28/02 - MT"/>
    <n v="3"/>
    <n v="9"/>
    <m/>
    <n v="17.100000000000001"/>
    <m/>
    <m/>
    <n v="5"/>
    <m/>
    <m/>
    <s v="Morro do Tetéu"/>
  </r>
  <r>
    <d v="2026-01-23T00:00:00"/>
    <s v="sexta-feira"/>
    <d v="2026-01-23T00:00:00"/>
    <s v="SIM"/>
    <x v="1"/>
    <s v="Diversas até 28/02 - MT"/>
    <n v="8"/>
    <n v="11"/>
    <n v="49"/>
    <n v="18"/>
    <m/>
    <m/>
    <n v="4"/>
    <m/>
    <m/>
    <s v="Morro do Tetéu"/>
  </r>
  <r>
    <d v="2026-01-24T00:00:00"/>
    <s v="sábado"/>
    <d v="2026-01-24T00:00:00"/>
    <s v="NÃO"/>
    <x v="0"/>
    <m/>
    <m/>
    <m/>
    <m/>
    <m/>
    <m/>
    <m/>
    <m/>
    <m/>
    <m/>
    <s v="Morro do Tetéu"/>
  </r>
  <r>
    <d v="2026-01-25T00:00:00"/>
    <s v="domingo"/>
    <d v="2026-01-25T00:00:00"/>
    <s v="NÃO"/>
    <x v="0"/>
    <m/>
    <m/>
    <m/>
    <m/>
    <m/>
    <m/>
    <m/>
    <m/>
    <m/>
    <m/>
    <s v="Morro do Tetéu"/>
  </r>
  <r>
    <d v="2026-01-26T00:00:00"/>
    <s v="segunda-feira"/>
    <d v="2026-01-26T00:00:00"/>
    <s v="NÃO"/>
    <x v="0"/>
    <m/>
    <m/>
    <m/>
    <m/>
    <m/>
    <m/>
    <m/>
    <m/>
    <m/>
    <m/>
    <s v="Morro do Tetéu"/>
  </r>
  <r>
    <d v="2026-01-27T00:00:00"/>
    <s v="terça-feira"/>
    <d v="2026-01-27T00:00:00"/>
    <s v="SIM"/>
    <x v="1"/>
    <s v="Diversas até 28/02 - MT"/>
    <n v="3"/>
    <m/>
    <n v="9"/>
    <n v="18"/>
    <m/>
    <m/>
    <m/>
    <n v="11"/>
    <m/>
    <s v="Morro do Tetéu"/>
  </r>
  <r>
    <d v="2026-01-28T00:00:00"/>
    <s v="quarta-feira"/>
    <d v="2026-01-28T00:00:00"/>
    <s v="SIM"/>
    <x v="1"/>
    <s v="Diversas até 28/02 - MT"/>
    <m/>
    <m/>
    <n v="18"/>
    <n v="43"/>
    <n v="3"/>
    <m/>
    <m/>
    <n v="8"/>
    <m/>
    <s v="Morro do Tetéu"/>
  </r>
  <r>
    <d v="2026-01-29T00:00:00"/>
    <s v="quinta-feira"/>
    <d v="2026-01-29T00:00:00"/>
    <s v="SIM"/>
    <x v="1"/>
    <s v="Diversas até 28/02 - MT"/>
    <n v="11"/>
    <n v="8"/>
    <n v="8"/>
    <n v="22"/>
    <n v="4"/>
    <m/>
    <m/>
    <m/>
    <m/>
    <s v="Morro do Tetéu"/>
  </r>
  <r>
    <d v="2026-01-30T00:00:00"/>
    <s v="sexta-feira"/>
    <d v="2026-01-30T00:00:00"/>
    <s v="SIM"/>
    <x v="1"/>
    <s v="Diversas até 28/02 - MT"/>
    <n v="4"/>
    <n v="5"/>
    <n v="18"/>
    <n v="30"/>
    <n v="1"/>
    <m/>
    <n v="17"/>
    <m/>
    <m/>
    <s v="Morro do Tetéu"/>
  </r>
  <r>
    <d v="2026-01-31T00:00:00"/>
    <s v="sábado"/>
    <d v="2026-01-31T00:00:00"/>
    <s v="SIM"/>
    <x v="1"/>
    <s v="Diversas até 28/02 - MT"/>
    <n v="16"/>
    <m/>
    <n v="3"/>
    <m/>
    <m/>
    <m/>
    <m/>
    <n v="1"/>
    <m/>
    <s v="Morro do Tetéu"/>
  </r>
  <r>
    <d v="2026-02-01T00:00:00"/>
    <s v="domingo"/>
    <d v="2026-02-01T00:00:00"/>
    <s v="NÃO"/>
    <x v="0"/>
    <m/>
    <m/>
    <m/>
    <m/>
    <m/>
    <m/>
    <m/>
    <m/>
    <m/>
    <m/>
    <s v="Morro do Tetéu"/>
  </r>
  <r>
    <d v="2026-02-02T00:00:00"/>
    <s v="segunda-feira"/>
    <d v="2026-02-02T00:00:00"/>
    <s v="SIM"/>
    <x v="1"/>
    <s v="Diversas até 28/02 - MT"/>
    <m/>
    <m/>
    <n v="63"/>
    <n v="8"/>
    <m/>
    <m/>
    <n v="6"/>
    <m/>
    <m/>
    <s v="Morro do Tetéu"/>
  </r>
  <r>
    <d v="2026-02-03T00:00:00"/>
    <s v="terça-feira"/>
    <d v="2026-02-03T00:00:00"/>
    <s v="SIM"/>
    <x v="1"/>
    <s v="Diversas até 28/02 - MT"/>
    <n v="2"/>
    <n v="3"/>
    <n v="13"/>
    <n v="15"/>
    <m/>
    <n v="9"/>
    <m/>
    <n v="4"/>
    <m/>
    <s v="Morro do Tetéu"/>
  </r>
  <r>
    <d v="2026-02-04T00:00:00"/>
    <s v="quarta-feira"/>
    <d v="2026-02-04T00:00:00"/>
    <s v="SIM"/>
    <x v="1"/>
    <s v="Diversas até 28/02 - MT"/>
    <m/>
    <m/>
    <n v="45"/>
    <m/>
    <n v="2"/>
    <m/>
    <n v="1"/>
    <m/>
    <m/>
    <s v="Morro do Tetéu"/>
  </r>
  <r>
    <d v="2026-02-05T00:00:00"/>
    <s v="quinta-feira"/>
    <d v="2026-02-05T00:00:00"/>
    <s v="SIM"/>
    <x v="1"/>
    <s v="Diversas até 28/02 - MT"/>
    <m/>
    <m/>
    <m/>
    <m/>
    <m/>
    <m/>
    <n v="19"/>
    <n v="5"/>
    <m/>
    <s v="Morro do Tetéu"/>
  </r>
  <r>
    <d v="2026-02-06T00:00:00"/>
    <s v="sexta-feira"/>
    <d v="2026-02-06T00:00:00"/>
    <s v="SIM"/>
    <x v="1"/>
    <s v="Diversas até 28/02 - MT"/>
    <n v="4"/>
    <n v="6"/>
    <m/>
    <m/>
    <n v="2"/>
    <m/>
    <n v="8"/>
    <n v="17"/>
    <m/>
    <s v="Morro do Tetéu"/>
  </r>
  <r>
    <d v="2026-02-07T00:00:00"/>
    <s v="sábado"/>
    <d v="2026-02-07T00:00:00"/>
    <s v="SIM"/>
    <x v="1"/>
    <s v="Diversas até 28/02 - MT"/>
    <n v="7"/>
    <m/>
    <n v="25"/>
    <m/>
    <m/>
    <m/>
    <m/>
    <n v="5"/>
    <m/>
    <s v="Morro do Tetéu"/>
  </r>
  <r>
    <d v="2026-02-08T00:00:00"/>
    <s v="domingo"/>
    <d v="2026-02-08T00:00:00"/>
    <s v="NÃO"/>
    <x v="0"/>
    <m/>
    <m/>
    <m/>
    <m/>
    <m/>
    <m/>
    <m/>
    <m/>
    <m/>
    <m/>
    <s v="Morro do Tetéu"/>
  </r>
  <r>
    <d v="2026-02-09T00:00:00"/>
    <s v="segunda-feira"/>
    <d v="2026-02-09T00:00:00"/>
    <s v="SIM"/>
    <x v="1"/>
    <s v="Diversas até 28/02 - MT"/>
    <n v="4"/>
    <n v="5"/>
    <m/>
    <n v="18"/>
    <n v="2"/>
    <m/>
    <n v="4"/>
    <m/>
    <m/>
    <s v="Morro do Tetéu"/>
  </r>
  <r>
    <d v="2026-02-10T00:00:00"/>
    <s v="terça-feira"/>
    <d v="2026-02-10T00:00:00"/>
    <s v="SIM"/>
    <x v="1"/>
    <s v="Diversas até 28/02 - MT"/>
    <n v="3"/>
    <n v="17"/>
    <n v="3"/>
    <n v="6"/>
    <m/>
    <m/>
    <m/>
    <m/>
    <m/>
    <s v="Morro do Tetéu"/>
  </r>
  <r>
    <d v="2026-02-11T00:00:00"/>
    <s v="quarta-feira"/>
    <d v="2026-02-11T00:00:00"/>
    <s v="SIM"/>
    <x v="1"/>
    <s v="Diversas até 28/02 - MT"/>
    <n v="5"/>
    <n v="12"/>
    <n v="22"/>
    <n v="18"/>
    <m/>
    <m/>
    <m/>
    <m/>
    <m/>
    <s v="Morro do Tetéu"/>
  </r>
  <r>
    <d v="2026-02-12T00:00:00"/>
    <s v="quinta-feira"/>
    <d v="2026-02-12T00:00:00"/>
    <s v="SIM"/>
    <x v="1"/>
    <s v="Diversas até 28/02 - MT"/>
    <n v="4"/>
    <n v="4"/>
    <n v="56"/>
    <m/>
    <m/>
    <m/>
    <n v="4"/>
    <m/>
    <m/>
    <s v="Morro do Tetéu"/>
  </r>
  <r>
    <d v="2026-02-13T00:00:00"/>
    <s v="sexta-feira"/>
    <d v="2026-02-13T00:00:00"/>
    <s v="SIM"/>
    <x v="1"/>
    <s v="Diversas até 28/02 - MT"/>
    <n v="1"/>
    <n v="3"/>
    <n v="14"/>
    <n v="3"/>
    <m/>
    <m/>
    <m/>
    <n v="15"/>
    <m/>
    <s v="Morro do Tetéu"/>
  </r>
  <r>
    <d v="2026-02-14T00:00:00"/>
    <s v="sábado"/>
    <d v="2026-02-14T00:00:00"/>
    <s v="NÃO"/>
    <x v="0"/>
    <m/>
    <m/>
    <m/>
    <m/>
    <m/>
    <m/>
    <m/>
    <m/>
    <m/>
    <m/>
    <s v="Morro do Tetéu"/>
  </r>
  <r>
    <d v="2026-02-15T00:00:00"/>
    <s v="domingo"/>
    <d v="2026-02-15T00:00:00"/>
    <s v="NÃO"/>
    <x v="0"/>
    <m/>
    <m/>
    <m/>
    <m/>
    <m/>
    <m/>
    <m/>
    <m/>
    <m/>
    <m/>
    <s v="Morro do Tetéu"/>
  </r>
  <r>
    <d v="2026-02-16T00:00:00"/>
    <s v="segunda-feira"/>
    <d v="2026-02-16T00:00:00"/>
    <s v="NÃO"/>
    <x v="0"/>
    <m/>
    <m/>
    <m/>
    <m/>
    <m/>
    <m/>
    <m/>
    <m/>
    <m/>
    <m/>
    <s v="Morro do Tetéu"/>
  </r>
  <r>
    <d v="2026-02-17T00:00:00"/>
    <s v="terça-feira"/>
    <d v="2026-02-17T00:00:00"/>
    <s v="SIM"/>
    <x v="1"/>
    <s v="Diversas até 28/02 - MT"/>
    <n v="3"/>
    <n v="3"/>
    <n v="15.1"/>
    <m/>
    <m/>
    <m/>
    <m/>
    <m/>
    <m/>
    <s v="Morro do Tetéu"/>
  </r>
  <r>
    <d v="2026-02-18T00:00:00"/>
    <s v="quarta-feira"/>
    <d v="2026-02-18T00:00:00"/>
    <s v="SIM"/>
    <x v="1"/>
    <s v="Diversas até 28/02 - MT"/>
    <n v="15"/>
    <m/>
    <n v="100"/>
    <m/>
    <m/>
    <m/>
    <m/>
    <m/>
    <m/>
    <s v="Morro do Tetéu"/>
  </r>
  <r>
    <d v="2026-02-19T00:00:00"/>
    <s v="quinta-feira"/>
    <d v="2026-02-19T00:00:00"/>
    <s v="SIM"/>
    <x v="1"/>
    <s v="Diversas até 28/02 - MT"/>
    <m/>
    <n v="2"/>
    <n v="36"/>
    <m/>
    <m/>
    <m/>
    <n v="5"/>
    <m/>
    <m/>
    <s v="Morro do Tetéu"/>
  </r>
  <r>
    <d v="2026-02-20T00:00:00"/>
    <s v="sexta-feira"/>
    <d v="2026-02-20T00:00:00"/>
    <s v="SIM"/>
    <x v="1"/>
    <s v="Diversas até 28/02 - MT"/>
    <m/>
    <n v="5"/>
    <n v="36"/>
    <n v="22"/>
    <m/>
    <m/>
    <n v="4"/>
    <m/>
    <m/>
    <s v="Morro do Tetéu"/>
  </r>
  <r>
    <d v="2026-02-21T00:00:00"/>
    <s v="sábado"/>
    <d v="2026-02-21T00:00:00"/>
    <s v="NÃO"/>
    <x v="0"/>
    <m/>
    <m/>
    <m/>
    <m/>
    <m/>
    <m/>
    <m/>
    <m/>
    <m/>
    <m/>
    <s v="Morro do Tetéu"/>
  </r>
  <r>
    <d v="2026-02-22T00:00:00"/>
    <s v="domingo"/>
    <d v="2026-02-22T00:00:00"/>
    <s v="NÃO"/>
    <x v="0"/>
    <m/>
    <m/>
    <m/>
    <m/>
    <m/>
    <m/>
    <m/>
    <m/>
    <m/>
    <m/>
    <s v="Morro do Tetéu"/>
  </r>
  <r>
    <d v="2026-02-23T00:00:00"/>
    <s v="segunda-feira"/>
    <d v="2026-02-23T00:00:00"/>
    <s v="SIM"/>
    <x v="1"/>
    <s v="Diversas até 28/02 - MT"/>
    <n v="2"/>
    <n v="3"/>
    <n v="68"/>
    <n v="22"/>
    <m/>
    <m/>
    <m/>
    <n v="2"/>
    <m/>
    <s v="Morro do Tetéu"/>
  </r>
  <r>
    <d v="2026-02-24T00:00:00"/>
    <s v="terça-feira"/>
    <d v="2026-02-24T00:00:00"/>
    <s v="SIM"/>
    <x v="1"/>
    <s v="Diversas até 28/02 - MT"/>
    <m/>
    <n v="10"/>
    <n v="30"/>
    <m/>
    <m/>
    <m/>
    <n v="3"/>
    <m/>
    <m/>
    <s v="Morro do Tetéu"/>
  </r>
  <r>
    <d v="2026-02-25T00:00:00"/>
    <s v="quarta-feira"/>
    <d v="2026-02-25T00:00:00"/>
    <s v="SIM"/>
    <x v="1"/>
    <s v="Diversas até 28/02 - MT"/>
    <m/>
    <n v="4"/>
    <n v="8"/>
    <m/>
    <m/>
    <m/>
    <n v="8"/>
    <m/>
    <m/>
    <s v="Morro do Tetéu"/>
  </r>
  <r>
    <d v="2026-02-26T00:00:00"/>
    <s v="quinta-feira"/>
    <d v="2026-02-26T00:00:00"/>
    <s v="NÃO"/>
    <x v="0"/>
    <m/>
    <m/>
    <m/>
    <m/>
    <m/>
    <m/>
    <m/>
    <m/>
    <m/>
    <m/>
    <s v="Morro do Tetéu"/>
  </r>
  <r>
    <d v="2026-02-27T00:00:00"/>
    <s v="sexta-feira"/>
    <d v="2026-02-27T00:00:00"/>
    <s v="SIM"/>
    <x v="1"/>
    <s v="Diversas até 28/02 - MT"/>
    <m/>
    <m/>
    <m/>
    <m/>
    <m/>
    <m/>
    <n v="18"/>
    <n v="10"/>
    <m/>
    <s v="Morro do Tetéu"/>
  </r>
  <r>
    <d v="2026-02-28T00:00:00"/>
    <s v="sábado"/>
    <d v="2026-02-28T00:00:00"/>
    <s v="NÃO"/>
    <x v="0"/>
    <m/>
    <m/>
    <m/>
    <m/>
    <m/>
    <m/>
    <m/>
    <m/>
    <m/>
    <m/>
    <s v="Morro do Tetéu"/>
  </r>
  <r>
    <d v="2026-03-01T00:00:00"/>
    <s v="domingo"/>
    <d v="2026-03-01T00:00:00"/>
    <s v="NÃO"/>
    <x v="0"/>
    <m/>
    <m/>
    <m/>
    <m/>
    <m/>
    <m/>
    <m/>
    <m/>
    <m/>
    <m/>
    <s v="Morro do Tetéu"/>
  </r>
  <r>
    <d v="2026-03-02T00:00:00"/>
    <s v="segunda-feira"/>
    <d v="2026-03-02T00:00:00"/>
    <s v="SIM"/>
    <x v="2"/>
    <s v="RUA DAS PEDRAS"/>
    <n v="2"/>
    <n v="1"/>
    <m/>
    <m/>
    <m/>
    <m/>
    <m/>
    <m/>
    <m/>
    <s v="Morro do Tetéu"/>
  </r>
  <r>
    <d v="2026-03-02T00:00:00"/>
    <s v="segunda-feira"/>
    <d v="2026-03-02T00:00:00"/>
    <s v="SIM"/>
    <x v="2"/>
    <s v="RUA TRAVESSA DA JUVENTUDE"/>
    <m/>
    <m/>
    <m/>
    <m/>
    <m/>
    <m/>
    <n v="3"/>
    <m/>
    <m/>
    <s v="Morro do Tetéu"/>
  </r>
  <r>
    <d v="2026-03-02T00:00:00"/>
    <s v="segunda-feira"/>
    <d v="2026-03-02T00:00:00"/>
    <s v="SIM"/>
    <x v="3"/>
    <s v="RUA TRAVESSA DA JUVENTUDE"/>
    <m/>
    <m/>
    <m/>
    <m/>
    <m/>
    <m/>
    <n v="3"/>
    <m/>
    <m/>
    <s v="Morro do Tetéu"/>
  </r>
  <r>
    <d v="2026-03-02T00:00:00"/>
    <s v="segunda-feira"/>
    <d v="2026-03-02T00:00:00"/>
    <s v="SIM"/>
    <x v="3"/>
    <s v="CAMINHO DA ESPERANÇA"/>
    <m/>
    <n v="6"/>
    <m/>
    <n v="24"/>
    <m/>
    <m/>
    <n v="3"/>
    <m/>
    <m/>
    <s v="Morro do Tetéu"/>
  </r>
  <r>
    <d v="2026-03-02T00:00:00"/>
    <s v="segunda-feira"/>
    <d v="2026-03-02T00:00:00"/>
    <s v="SIM"/>
    <x v="4"/>
    <s v="VIELA C "/>
    <m/>
    <m/>
    <m/>
    <m/>
    <m/>
    <m/>
    <n v="10"/>
    <m/>
    <m/>
    <s v="Morro do Tetéu"/>
  </r>
  <r>
    <d v="2026-03-02T00:00:00"/>
    <s v="segunda-feira"/>
    <d v="2026-03-02T00:00:00"/>
    <s v="SIM"/>
    <x v="4"/>
    <s v="CAMINHO DA ESPERANÇA"/>
    <m/>
    <m/>
    <m/>
    <m/>
    <m/>
    <m/>
    <n v="2"/>
    <m/>
    <m/>
    <s v="Morro do Tetéu"/>
  </r>
  <r>
    <d v="2026-03-02T00:00:00"/>
    <s v="segunda-feira"/>
    <d v="2026-03-02T00:00:00"/>
    <s v="SIM"/>
    <x v="5"/>
    <s v="BEIRA RIO "/>
    <m/>
    <m/>
    <m/>
    <n v="9"/>
    <n v="3"/>
    <m/>
    <m/>
    <m/>
    <m/>
    <s v="Morro do Tetéu"/>
  </r>
  <r>
    <d v="2026-03-03T00:00:00"/>
    <s v="terça-feira"/>
    <d v="2026-03-03T00:00:00"/>
    <s v="SIM"/>
    <x v="2"/>
    <s v="RUA DAS PEDRAS "/>
    <n v="1"/>
    <n v="6"/>
    <m/>
    <n v="6"/>
    <m/>
    <m/>
    <m/>
    <m/>
    <m/>
    <s v="Morro do Tetéu"/>
  </r>
  <r>
    <d v="2026-03-03T00:00:00"/>
    <s v="terça-feira"/>
    <d v="2026-03-03T00:00:00"/>
    <s v="SIM"/>
    <x v="3"/>
    <s v="CAMINHO DA ESPERANÇA"/>
    <m/>
    <n v="4"/>
    <m/>
    <n v="8"/>
    <n v="1"/>
    <m/>
    <n v="3"/>
    <m/>
    <m/>
    <s v="Morro do Tetéu"/>
  </r>
  <r>
    <d v="2026-03-03T00:00:00"/>
    <s v="terça-feira"/>
    <d v="2026-03-03T00:00:00"/>
    <s v="SIM"/>
    <x v="4"/>
    <s v="VIELA C "/>
    <m/>
    <m/>
    <m/>
    <m/>
    <m/>
    <m/>
    <n v="2"/>
    <m/>
    <m/>
    <s v="Morro do Tetéu"/>
  </r>
  <r>
    <d v="2026-03-03T00:00:00"/>
    <s v="terça-feira"/>
    <d v="2026-03-03T00:00:00"/>
    <s v="SIM"/>
    <x v="4"/>
    <s v="CAMINHO DA ESPERANÇA"/>
    <m/>
    <m/>
    <m/>
    <m/>
    <m/>
    <m/>
    <n v="1"/>
    <m/>
    <m/>
    <s v="Morro do Tetéu"/>
  </r>
  <r>
    <d v="2026-03-03T00:00:00"/>
    <s v="terça-feira"/>
    <d v="2026-03-03T00:00:00"/>
    <s v="SIM"/>
    <x v="5"/>
    <s v="BEIRA RIO "/>
    <m/>
    <m/>
    <m/>
    <n v="4"/>
    <m/>
    <m/>
    <m/>
    <m/>
    <m/>
    <s v="Morro do Tetéu"/>
  </r>
  <r>
    <d v="2026-03-03T00:00:00"/>
    <s v="terça-feira"/>
    <d v="2026-03-03T00:00:00"/>
    <s v="SIM"/>
    <x v="3"/>
    <s v="TRAVESSA DA JUVENTUDE "/>
    <m/>
    <m/>
    <n v="14"/>
    <m/>
    <m/>
    <m/>
    <m/>
    <m/>
    <m/>
    <s v="Morro do Tetéu"/>
  </r>
  <r>
    <d v="2026-03-04T00:00:00"/>
    <s v="quarta-feira"/>
    <d v="2026-03-04T00:00:00"/>
    <s v="SIM"/>
    <x v="2"/>
    <s v="RUA DAS PEDRAS "/>
    <n v="1"/>
    <m/>
    <m/>
    <m/>
    <m/>
    <m/>
    <m/>
    <m/>
    <m/>
    <s v="Morro do Tetéu"/>
  </r>
  <r>
    <d v="2026-03-04T00:00:00"/>
    <s v="quarta-feira"/>
    <d v="2026-03-04T00:00:00"/>
    <s v="SIM"/>
    <x v="3"/>
    <s v="CAMINHO DA ESPERANÇA"/>
    <m/>
    <n v="4"/>
    <m/>
    <n v="12"/>
    <m/>
    <m/>
    <m/>
    <m/>
    <m/>
    <s v="Morro do Tetéu"/>
  </r>
  <r>
    <d v="2026-03-04T00:00:00"/>
    <s v="quarta-feira"/>
    <d v="2026-03-04T00:00:00"/>
    <s v="SIM"/>
    <x v="3"/>
    <s v="TRAVESSA DA ESPERANÇA"/>
    <n v="2"/>
    <n v="3"/>
    <m/>
    <n v="12"/>
    <m/>
    <m/>
    <m/>
    <n v="2"/>
    <m/>
    <s v="Morro do Tetéu"/>
  </r>
  <r>
    <d v="2026-03-04T00:00:00"/>
    <s v="quarta-feira"/>
    <d v="2026-03-04T00:00:00"/>
    <s v="SIM"/>
    <x v="3"/>
    <s v="VIELA B"/>
    <m/>
    <m/>
    <m/>
    <m/>
    <m/>
    <m/>
    <n v="12"/>
    <m/>
    <m/>
    <s v="Morro do Tetéu"/>
  </r>
  <r>
    <d v="2026-03-05T00:00:00"/>
    <s v="quinta-feira"/>
    <d v="2026-03-05T00:00:00"/>
    <s v="SIM"/>
    <x v="2"/>
    <s v="TRAVESSA DA JUVENTUDE "/>
    <n v="3"/>
    <m/>
    <n v="40"/>
    <m/>
    <m/>
    <m/>
    <m/>
    <m/>
    <m/>
    <s v="Morro do Tetéu"/>
  </r>
  <r>
    <d v="2026-03-05T00:00:00"/>
    <s v="quinta-feira"/>
    <d v="2026-03-05T00:00:00"/>
    <s v="SIM"/>
    <x v="3"/>
    <s v="CAMINHO DA ESPERANÇA"/>
    <m/>
    <n v="4"/>
    <m/>
    <n v="8"/>
    <m/>
    <m/>
    <m/>
    <m/>
    <m/>
    <s v="Morro do Tetéu"/>
  </r>
  <r>
    <d v="2026-03-05T00:00:00"/>
    <s v="quinta-feira"/>
    <d v="2026-03-05T00:00:00"/>
    <s v="SIM"/>
    <x v="4"/>
    <s v="VIELA C "/>
    <m/>
    <m/>
    <m/>
    <m/>
    <m/>
    <m/>
    <n v="7"/>
    <m/>
    <m/>
    <s v="Morro do Tetéu"/>
  </r>
  <r>
    <d v="2026-03-06T00:00:00"/>
    <s v="sexta-feira"/>
    <d v="2026-03-06T00:00:00"/>
    <s v="SIM"/>
    <x v="2"/>
    <s v="TRAVESSA DA JUVENTUDE "/>
    <n v="2"/>
    <m/>
    <n v="30"/>
    <m/>
    <m/>
    <m/>
    <m/>
    <m/>
    <m/>
    <s v="Morro do Tetéu"/>
  </r>
  <r>
    <d v="2026-03-06T00:00:00"/>
    <s v="sexta-feira"/>
    <d v="2026-03-06T00:00:00"/>
    <s v="SIM"/>
    <x v="4"/>
    <s v="VIELA A"/>
    <m/>
    <m/>
    <m/>
    <m/>
    <m/>
    <m/>
    <n v="7"/>
    <m/>
    <m/>
    <s v="Morro do Tetéu"/>
  </r>
  <r>
    <d v="2026-03-06T00:00:00"/>
    <s v="sexta-feira"/>
    <d v="2026-03-06T00:00:00"/>
    <s v="SIM"/>
    <x v="4"/>
    <s v="CAMINHO DA ESPERANÇA"/>
    <m/>
    <m/>
    <m/>
    <m/>
    <m/>
    <m/>
    <n v="7"/>
    <m/>
    <m/>
    <s v="Morro do Tetéu"/>
  </r>
  <r>
    <d v="2026-03-07T00:00:00"/>
    <s v="sábado"/>
    <d v="2026-03-07T00:00:00"/>
    <s v="NÃO"/>
    <x v="0"/>
    <m/>
    <m/>
    <m/>
    <m/>
    <m/>
    <m/>
    <m/>
    <m/>
    <m/>
    <m/>
    <s v="Morro do Tetéu"/>
  </r>
  <r>
    <d v="2026-03-08T00:00:00"/>
    <s v="domingo"/>
    <d v="2026-03-08T00:00:00"/>
    <s v="NÃO"/>
    <x v="0"/>
    <m/>
    <m/>
    <m/>
    <m/>
    <m/>
    <m/>
    <m/>
    <m/>
    <m/>
    <m/>
    <s v="Morro do Tetéu"/>
  </r>
  <r>
    <d v="2026-03-09T00:00:00"/>
    <s v="segunda-feira"/>
    <d v="2026-03-09T00:00:00"/>
    <s v="SIM"/>
    <x v="2"/>
    <s v="TRAVESSA DA ESPERANÇA"/>
    <m/>
    <m/>
    <m/>
    <m/>
    <m/>
    <m/>
    <n v="1"/>
    <m/>
    <m/>
    <s v="Morro do Tetéu"/>
  </r>
  <r>
    <d v="2026-03-10T00:00:00"/>
    <s v="terça-feira"/>
    <d v="2026-03-10T00:00:00"/>
    <s v="NÃO"/>
    <x v="0"/>
    <s v="CHUVA "/>
    <m/>
    <m/>
    <m/>
    <m/>
    <m/>
    <m/>
    <m/>
    <m/>
    <m/>
    <s v="Morro do Tetéu"/>
  </r>
  <r>
    <d v="2026-03-11T00:00:00"/>
    <s v="quarta-feira"/>
    <d v="2026-03-11T00:00:00"/>
    <s v="SIM"/>
    <x v="2"/>
    <s v="TRAVESSA DA JUVENTUDE "/>
    <n v="3"/>
    <m/>
    <n v="50"/>
    <m/>
    <m/>
    <m/>
    <n v="2"/>
    <n v="1"/>
    <m/>
    <s v="Morro do Tetéu"/>
  </r>
  <r>
    <d v="2026-03-11T00:00:00"/>
    <s v="quarta-feira"/>
    <d v="2026-03-11T00:00:00"/>
    <s v="SIM"/>
    <x v="2"/>
    <s v="RUA DAS PEDRAS"/>
    <m/>
    <m/>
    <m/>
    <m/>
    <m/>
    <m/>
    <n v="1"/>
    <m/>
    <m/>
    <s v="Morro do Tetéu"/>
  </r>
  <r>
    <d v="2026-03-11T00:00:00"/>
    <s v="quarta-feira"/>
    <d v="2026-03-11T00:00:00"/>
    <s v="SIM"/>
    <x v="4"/>
    <s v="CAMINHO DA ESPERANÇA"/>
    <m/>
    <m/>
    <m/>
    <m/>
    <m/>
    <m/>
    <n v="6"/>
    <m/>
    <m/>
    <s v="Morro do Tetéu"/>
  </r>
  <r>
    <d v="2026-03-11T00:00:00"/>
    <s v="quarta-feira"/>
    <d v="2026-03-11T00:00:00"/>
    <s v="SIM"/>
    <x v="3"/>
    <s v="CAMINHO DA ESPERANÇA"/>
    <n v="1"/>
    <m/>
    <m/>
    <m/>
    <m/>
    <m/>
    <m/>
    <m/>
    <m/>
    <s v="Morro do Tetéu"/>
  </r>
  <r>
    <d v="2026-03-12T00:00:00"/>
    <s v="quinta-feira"/>
    <d v="2026-03-12T00:00:00"/>
    <s v="SIM"/>
    <x v="2"/>
    <s v="TRAVESSA DA JUVENTUDE "/>
    <n v="7"/>
    <m/>
    <m/>
    <m/>
    <m/>
    <m/>
    <n v="1"/>
    <n v="10"/>
    <m/>
    <s v="Morro do Tetéu"/>
  </r>
  <r>
    <d v="2026-03-12T00:00:00"/>
    <s v="quinta-feira"/>
    <d v="2026-03-12T00:00:00"/>
    <s v="SIM"/>
    <x v="2"/>
    <s v="RUA DAS PEDRAS "/>
    <m/>
    <m/>
    <m/>
    <m/>
    <m/>
    <m/>
    <n v="3"/>
    <m/>
    <m/>
    <s v="Morro do Tetéu"/>
  </r>
  <r>
    <d v="2026-03-13T00:00:00"/>
    <s v="sexta-feira"/>
    <d v="2026-03-13T00:00:00"/>
    <s v="SIM"/>
    <x v="3"/>
    <s v="CAMINHO DA ESPERANÇA"/>
    <m/>
    <n v="1"/>
    <m/>
    <n v="8.4"/>
    <m/>
    <m/>
    <m/>
    <m/>
    <m/>
    <s v="Morro do Tetéu"/>
  </r>
  <r>
    <d v="2026-03-13T00:00:00"/>
    <s v="sexta-feira"/>
    <d v="2026-03-13T00:00:00"/>
    <s v="SIM"/>
    <x v="2"/>
    <s v="TRAVESSA DA JUVENTUDE "/>
    <m/>
    <m/>
    <n v="13"/>
    <m/>
    <m/>
    <m/>
    <m/>
    <m/>
    <m/>
    <s v="Morro do Tetéu"/>
  </r>
  <r>
    <d v="2026-03-14T00:00:00"/>
    <s v="sábado"/>
    <d v="2026-03-14T00:00:00"/>
    <s v="NÃO"/>
    <x v="0"/>
    <m/>
    <m/>
    <m/>
    <m/>
    <m/>
    <m/>
    <m/>
    <m/>
    <m/>
    <m/>
    <s v="Morro do Tetéu"/>
  </r>
  <r>
    <d v="2026-03-15T00:00:00"/>
    <s v="domingo"/>
    <d v="2026-03-15T00:00:00"/>
    <s v="NÃO"/>
    <x v="0"/>
    <m/>
    <m/>
    <m/>
    <m/>
    <m/>
    <m/>
    <m/>
    <m/>
    <m/>
    <m/>
    <s v="Morro do Tetéu"/>
  </r>
  <r>
    <d v="2026-03-16T00:00:00"/>
    <s v="segunda-feira"/>
    <d v="2026-03-16T00:00:00"/>
    <s v="SIM"/>
    <x v="3"/>
    <s v="CAMINHO DA ESPERANÇA"/>
    <m/>
    <n v="5"/>
    <m/>
    <n v="12"/>
    <m/>
    <m/>
    <m/>
    <m/>
    <m/>
    <s v="Morro do Tetéu"/>
  </r>
  <r>
    <d v="2026-03-16T00:00:00"/>
    <s v="segunda-feira"/>
    <d v="2026-03-16T00:00:00"/>
    <s v="SIM"/>
    <x v="2"/>
    <s v="TRAVESSA DA JUVENTUDI"/>
    <m/>
    <m/>
    <n v="21"/>
    <m/>
    <m/>
    <m/>
    <m/>
    <m/>
    <m/>
    <s v="Morro do Tetéu"/>
  </r>
  <r>
    <d v="2026-03-17T00:00:00"/>
    <s v="terça-feira"/>
    <d v="2026-03-17T00:00:00"/>
    <s v="SIM"/>
    <x v="2"/>
    <s v="CAMINHO PARTICULAR SÃO JORGE "/>
    <m/>
    <n v="5"/>
    <n v="33"/>
    <m/>
    <m/>
    <m/>
    <m/>
    <m/>
    <m/>
    <s v="Morro do Tetéu"/>
  </r>
  <r>
    <d v="2026-03-17T00:00:00"/>
    <s v="terça-feira"/>
    <d v="2026-03-17T00:00:00"/>
    <s v="SIM"/>
    <x v="2"/>
    <s v="TRAVESSA DA JUVENTUDE "/>
    <m/>
    <m/>
    <n v="21"/>
    <m/>
    <m/>
    <m/>
    <n v="4"/>
    <m/>
    <m/>
    <s v="Morro do Tetéu"/>
  </r>
  <r>
    <d v="2026-03-17T00:00:00"/>
    <s v="terça-feira"/>
    <d v="2026-03-17T00:00:00"/>
    <s v="SIM"/>
    <x v="3"/>
    <s v="CAMINHO DA ESPERANÇA"/>
    <m/>
    <n v="2"/>
    <m/>
    <n v="8"/>
    <m/>
    <m/>
    <m/>
    <m/>
    <m/>
    <s v="Morro do Tetéu"/>
  </r>
  <r>
    <d v="2026-03-18T00:00:00"/>
    <s v="quarta-feira"/>
    <d v="2026-03-18T00:00:00"/>
    <s v="SIM"/>
    <x v="3"/>
    <s v="TRAVESSA 3"/>
    <m/>
    <m/>
    <n v="15"/>
    <m/>
    <m/>
    <m/>
    <m/>
    <m/>
    <m/>
    <s v="Morro do Tetéu"/>
  </r>
  <r>
    <d v="2026-03-18T00:00:00"/>
    <s v="quarta-feira"/>
    <d v="2026-03-18T00:00:00"/>
    <s v="SIM"/>
    <x v="2"/>
    <s v="TRAVESSA DA JUVENTUDI"/>
    <m/>
    <m/>
    <m/>
    <m/>
    <m/>
    <m/>
    <n v="2"/>
    <m/>
    <m/>
    <s v="Morro do Tetéu"/>
  </r>
  <r>
    <d v="2026-03-18T00:00:00"/>
    <s v="quarta-feira"/>
    <d v="2026-03-18T00:00:00"/>
    <s v="SIM"/>
    <x v="3"/>
    <s v="CAMINHO DA ESPERANÇA"/>
    <m/>
    <m/>
    <m/>
    <n v="12"/>
    <m/>
    <m/>
    <m/>
    <m/>
    <m/>
    <s v="Morro do Tetéu"/>
  </r>
  <r>
    <d v="2026-03-19T00:00:00"/>
    <s v="quinta-feira"/>
    <d v="2026-03-19T00:00:00"/>
    <s v="SIM"/>
    <x v="2"/>
    <s v="TRAVESSA 3"/>
    <n v="1"/>
    <m/>
    <n v="20"/>
    <m/>
    <m/>
    <m/>
    <m/>
    <m/>
    <m/>
    <s v="Morro do Tetéu"/>
  </r>
  <r>
    <d v="2026-03-20T00:00:00"/>
    <s v="sexta-feira"/>
    <d v="2026-03-20T00:00:00"/>
    <s v="SIM"/>
    <x v="2"/>
    <s v="BECO 3"/>
    <n v="3"/>
    <m/>
    <m/>
    <m/>
    <m/>
    <m/>
    <m/>
    <m/>
    <m/>
    <s v="Morro do Tetéu"/>
  </r>
  <r>
    <d v="2026-03-21T00:00:00"/>
    <s v="sábado"/>
    <d v="2026-03-21T00:00:00"/>
    <s v="NÃO"/>
    <x v="0"/>
    <m/>
    <m/>
    <m/>
    <m/>
    <m/>
    <m/>
    <m/>
    <m/>
    <m/>
    <m/>
    <s v="Morro do Tetéu"/>
  </r>
  <r>
    <d v="2026-03-22T00:00:00"/>
    <s v="domingo"/>
    <d v="2026-03-22T00:00:00"/>
    <s v="NÃO"/>
    <x v="0"/>
    <m/>
    <m/>
    <m/>
    <m/>
    <m/>
    <m/>
    <m/>
    <m/>
    <m/>
    <m/>
    <s v="Morro do Tetéu"/>
  </r>
  <r>
    <d v="2026-03-23T00:00:00"/>
    <s v="segunda-feira"/>
    <d v="2026-03-23T00:00:00"/>
    <s v="SIM"/>
    <x v="2"/>
    <s v="RUA DAS PEDRAS "/>
    <n v="3"/>
    <n v="2"/>
    <m/>
    <n v="6"/>
    <m/>
    <n v="2"/>
    <n v="4"/>
    <m/>
    <m/>
    <s v="Morro do Tetéu"/>
  </r>
  <r>
    <d v="2026-03-24T00:00:00"/>
    <s v="terça-feira"/>
    <d v="2026-03-24T00:00:00"/>
    <s v="SIM"/>
    <x v="2"/>
    <s v="RUA DAS PEDRAS "/>
    <m/>
    <n v="2"/>
    <m/>
    <n v="6"/>
    <m/>
    <m/>
    <n v="3"/>
    <m/>
    <m/>
    <s v="Morro do Tetéu"/>
  </r>
  <r>
    <d v="2026-03-24T00:00:00"/>
    <s v="terça-feira"/>
    <d v="2026-03-24T00:00:00"/>
    <s v="SIM"/>
    <x v="2"/>
    <s v="BECO DO MOACIR "/>
    <m/>
    <m/>
    <m/>
    <m/>
    <m/>
    <m/>
    <n v="3"/>
    <m/>
    <m/>
    <s v="Morro do Tetéu"/>
  </r>
  <r>
    <d v="2026-03-24T00:00:00"/>
    <s v="terça-feira"/>
    <d v="2026-03-24T00:00:00"/>
    <s v="SIM"/>
    <x v="3"/>
    <s v="BECO 3 "/>
    <m/>
    <m/>
    <n v="30"/>
    <m/>
    <m/>
    <m/>
    <m/>
    <m/>
    <m/>
    <s v="Morro do Tetéu"/>
  </r>
  <r>
    <d v="2026-03-24T00:00:00"/>
    <s v="terça-feira"/>
    <d v="2026-03-24T00:00:00"/>
    <s v="SIM"/>
    <x v="5"/>
    <s v="TRAVESSA DA JUVENTUDE "/>
    <m/>
    <m/>
    <n v="30"/>
    <m/>
    <m/>
    <m/>
    <m/>
    <m/>
    <m/>
    <s v="Morro do Tetéu"/>
  </r>
  <r>
    <d v="2026-03-25T00:00:00"/>
    <s v="quarta-feira"/>
    <d v="2026-03-25T00:00:00"/>
    <s v="SIM"/>
    <x v="2"/>
    <s v="RUADAS PEDRAS "/>
    <m/>
    <n v="2"/>
    <m/>
    <n v="9"/>
    <m/>
    <m/>
    <m/>
    <m/>
    <m/>
    <s v="Morro do Tetéu"/>
  </r>
  <r>
    <d v="2026-03-25T00:00:00"/>
    <s v="quarta-feira"/>
    <d v="2026-03-25T00:00:00"/>
    <s v="SIM"/>
    <x v="3"/>
    <s v="CAMINHO PARTICULAR SÃO JORGE "/>
    <m/>
    <m/>
    <n v="18"/>
    <n v="18"/>
    <m/>
    <m/>
    <m/>
    <m/>
    <m/>
    <s v="Morro do Tetéu"/>
  </r>
  <r>
    <d v="2026-03-25T00:00:00"/>
    <s v="quarta-feira"/>
    <d v="2026-03-25T00:00:00"/>
    <s v="SIM"/>
    <x v="3"/>
    <s v="BECO 3"/>
    <m/>
    <n v="4"/>
    <m/>
    <m/>
    <m/>
    <m/>
    <m/>
    <m/>
    <m/>
    <s v="Morro do Tetéu"/>
  </r>
  <r>
    <d v="2026-03-25T00:00:00"/>
    <s v="quarta-feira"/>
    <d v="2026-03-25T00:00:00"/>
    <s v="SIM"/>
    <x v="5"/>
    <s v="TRAVESSA DA JUVENTUDE "/>
    <n v="5"/>
    <m/>
    <n v="15"/>
    <m/>
    <m/>
    <m/>
    <m/>
    <m/>
    <m/>
    <s v="Morro do Tetéu"/>
  </r>
  <r>
    <d v="2026-03-26T00:00:00"/>
    <s v="quinta-feira"/>
    <d v="2026-03-26T00:00:00"/>
    <s v="SIM"/>
    <x v="2"/>
    <s v="RUA DAS PEDRAS "/>
    <n v="15"/>
    <m/>
    <n v="25"/>
    <m/>
    <m/>
    <m/>
    <m/>
    <m/>
    <m/>
    <s v="Morro do Tetéu"/>
  </r>
  <r>
    <d v="2026-03-26T00:00:00"/>
    <s v="quinta-feira"/>
    <d v="2026-03-26T00:00:00"/>
    <s v="SIM"/>
    <x v="3"/>
    <s v="BECO 3"/>
    <n v="8"/>
    <m/>
    <m/>
    <m/>
    <m/>
    <m/>
    <m/>
    <n v="15"/>
    <m/>
    <s v="Morro do Tetéu"/>
  </r>
  <r>
    <d v="2026-03-26T00:00:00"/>
    <s v="quinta-feira"/>
    <d v="2026-03-26T00:00:00"/>
    <s v="SIM"/>
    <x v="5"/>
    <s v="TRAVESSA DA JUVENTUDE "/>
    <n v="10"/>
    <m/>
    <m/>
    <m/>
    <m/>
    <m/>
    <m/>
    <m/>
    <m/>
    <s v="Morro do Tetéu"/>
  </r>
  <r>
    <d v="2026-03-26T00:00:00"/>
    <s v="quinta-feira"/>
    <d v="2026-03-26T00:00:00"/>
    <s v="SIM"/>
    <x v="5"/>
    <s v="CAMINHO PARTICULAR SÃO JORGE "/>
    <n v="3"/>
    <m/>
    <m/>
    <m/>
    <n v="1"/>
    <m/>
    <m/>
    <m/>
    <m/>
    <s v="Morro do Tetéu"/>
  </r>
  <r>
    <d v="2026-03-27T00:00:00"/>
    <s v="sexta-feira"/>
    <d v="2026-03-27T00:00:00"/>
    <s v="SIM"/>
    <x v="2"/>
    <s v="RUA DAS PEDRAS"/>
    <n v="7"/>
    <m/>
    <n v="15"/>
    <m/>
    <m/>
    <m/>
    <m/>
    <n v="1"/>
    <m/>
    <s v="Morro do Tetéu"/>
  </r>
  <r>
    <d v="2026-03-27T00:00:00"/>
    <s v="sexta-feira"/>
    <d v="2026-03-27T00:00:00"/>
    <s v="SIM"/>
    <x v="3"/>
    <s v="CAMINHO PARTICULAR SÃO JORGE "/>
    <n v="3"/>
    <m/>
    <n v="8"/>
    <n v="8"/>
    <m/>
    <m/>
    <m/>
    <m/>
    <m/>
    <s v="Morro do Tetéu"/>
  </r>
  <r>
    <d v="2026-03-28T00:00:00"/>
    <s v="sábado"/>
    <d v="2026-03-28T00:00:00"/>
    <s v="NÃO"/>
    <x v="0"/>
    <m/>
    <m/>
    <m/>
    <m/>
    <m/>
    <m/>
    <m/>
    <m/>
    <m/>
    <m/>
    <s v="Morro do Tetéu"/>
  </r>
  <r>
    <d v="2026-03-29T00:00:00"/>
    <s v="domingo"/>
    <d v="2026-03-29T00:00:00"/>
    <s v="NÃO"/>
    <x v="0"/>
    <m/>
    <m/>
    <m/>
    <m/>
    <m/>
    <m/>
    <m/>
    <m/>
    <m/>
    <m/>
    <s v="Morro do Tetéu"/>
  </r>
  <r>
    <d v="2026-03-30T00:00:00"/>
    <s v="segunda-feira"/>
    <d v="2026-03-30T00:00:00"/>
    <s v="SIM"/>
    <x v="3"/>
    <s v="CAMINHO PARTICULAR SÃO JORGE "/>
    <m/>
    <n v="3"/>
    <n v="18"/>
    <n v="18"/>
    <m/>
    <m/>
    <m/>
    <m/>
    <m/>
    <s v="Morro do Tetéu"/>
  </r>
  <r>
    <d v="2026-03-30T00:00:00"/>
    <s v="segunda-feira"/>
    <d v="2026-03-30T00:00:00"/>
    <s v="SIM"/>
    <x v="3"/>
    <s v="BECO 3"/>
    <m/>
    <n v="4"/>
    <m/>
    <m/>
    <m/>
    <m/>
    <m/>
    <m/>
    <m/>
    <s v="Morro do Tetéu"/>
  </r>
  <r>
    <d v="2026-03-31T00:00:00"/>
    <s v="terça-feira"/>
    <d v="2026-03-31T00:00:00"/>
    <s v="SIM"/>
    <x v="2"/>
    <s v="RUA DAS PEDRAS "/>
    <m/>
    <m/>
    <m/>
    <m/>
    <m/>
    <m/>
    <n v="1"/>
    <n v="1"/>
    <m/>
    <s v="Morro do Tetéu"/>
  </r>
  <r>
    <d v="2026-03-31T00:00:00"/>
    <s v="terça-feira"/>
    <d v="2026-03-31T00:00:00"/>
    <s v="SIM"/>
    <x v="3"/>
    <s v="CAMINHO PARTICULAR SÃO JORGE "/>
    <m/>
    <m/>
    <m/>
    <n v="6"/>
    <m/>
    <m/>
    <m/>
    <m/>
    <m/>
    <s v="Morro do Tetéu"/>
  </r>
  <r>
    <d v="2026-04-01T00:00:00"/>
    <s v="quarta-feira"/>
    <d v="2026-04-01T00:00:00"/>
    <s v="SIM"/>
    <x v="2"/>
    <s v="RUA DAS PEDRAS "/>
    <m/>
    <m/>
    <m/>
    <m/>
    <m/>
    <m/>
    <n v="3"/>
    <n v="3"/>
    <m/>
    <s v="Morro do Tetéu"/>
  </r>
  <r>
    <d v="2026-04-01T00:00:00"/>
    <s v="quarta-feira"/>
    <d v="2026-04-01T00:00:00"/>
    <s v="SIM"/>
    <x v="2"/>
    <s v="BECO DO MOACIR "/>
    <m/>
    <m/>
    <m/>
    <m/>
    <m/>
    <m/>
    <n v="1"/>
    <n v="1"/>
    <m/>
    <s v="Morro do Tetéu"/>
  </r>
  <r>
    <d v="2026-04-01T00:00:00"/>
    <s v="quarta-feira"/>
    <d v="2026-04-01T00:00:00"/>
    <s v="SIM"/>
    <x v="2"/>
    <s v="BECO 62"/>
    <m/>
    <m/>
    <m/>
    <m/>
    <m/>
    <m/>
    <m/>
    <n v="10"/>
    <m/>
    <s v="Morro do Tetéu"/>
  </r>
  <r>
    <d v="2026-04-01T00:00:00"/>
    <s v="quarta-feira"/>
    <d v="2026-04-01T00:00:00"/>
    <s v="SIM"/>
    <x v="2"/>
    <s v="BECO 72"/>
    <m/>
    <m/>
    <m/>
    <m/>
    <m/>
    <m/>
    <m/>
    <n v="4"/>
    <m/>
    <s v="Morro do Tetéu"/>
  </r>
  <r>
    <d v="2026-04-01T00:00:00"/>
    <s v="quarta-feira"/>
    <d v="2026-04-01T00:00:00"/>
    <s v="SIM"/>
    <x v="3"/>
    <s v="CAMINHO PARTICULAR SÃO JORGE "/>
    <m/>
    <m/>
    <n v="18"/>
    <n v="18"/>
    <m/>
    <m/>
    <m/>
    <m/>
    <m/>
    <s v="Morro do Tetéu"/>
  </r>
  <r>
    <d v="2026-04-02T00:00:00"/>
    <s v="quinta-feira"/>
    <d v="2026-04-02T00:00:00"/>
    <s v="NÃO"/>
    <x v="0"/>
    <m/>
    <m/>
    <m/>
    <m/>
    <m/>
    <m/>
    <m/>
    <m/>
    <m/>
    <m/>
    <s v="Morro do Tetéu"/>
  </r>
  <r>
    <d v="2026-04-03T00:00:00"/>
    <s v="sexta-feira"/>
    <d v="2026-04-03T00:00:00"/>
    <s v="NÃO"/>
    <x v="0"/>
    <m/>
    <m/>
    <m/>
    <m/>
    <m/>
    <m/>
    <m/>
    <m/>
    <m/>
    <m/>
    <s v="Morro do Tetéu"/>
  </r>
  <r>
    <d v="2026-04-04T00:00:00"/>
    <s v="sábado"/>
    <d v="2026-04-04T00:00:00"/>
    <s v="NÃO"/>
    <x v="0"/>
    <m/>
    <m/>
    <m/>
    <m/>
    <m/>
    <m/>
    <m/>
    <m/>
    <m/>
    <m/>
    <s v="Morro do Tetéu"/>
  </r>
  <r>
    <d v="2026-04-05T00:00:00"/>
    <s v="domingo"/>
    <d v="2026-04-05T00:00:00"/>
    <s v="NÃO"/>
    <x v="0"/>
    <m/>
    <m/>
    <m/>
    <m/>
    <m/>
    <m/>
    <m/>
    <m/>
    <m/>
    <m/>
    <s v="Morro do Tetéu"/>
  </r>
  <r>
    <d v="2026-04-06T00:00:00"/>
    <s v="segunda-feira"/>
    <d v="2026-04-06T00:00:00"/>
    <s v="NÃO"/>
    <x v="0"/>
    <m/>
    <m/>
    <m/>
    <m/>
    <m/>
    <m/>
    <m/>
    <m/>
    <m/>
    <m/>
    <s v="Morro do Tetéu"/>
  </r>
  <r>
    <d v="2026-04-07T00:00:00"/>
    <s v="terça-feira"/>
    <d v="2026-04-07T00:00:00"/>
    <s v="NÃO"/>
    <x v="0"/>
    <m/>
    <m/>
    <m/>
    <m/>
    <m/>
    <m/>
    <m/>
    <m/>
    <m/>
    <m/>
    <s v="Morro do Tetéu"/>
  </r>
  <r>
    <d v="2026-04-08T00:00:00"/>
    <s v="quarta-feira"/>
    <d v="2026-04-08T00:00:00"/>
    <s v="NÃO"/>
    <x v="0"/>
    <m/>
    <m/>
    <m/>
    <m/>
    <m/>
    <m/>
    <m/>
    <m/>
    <m/>
    <m/>
    <s v="Morro do Tetéu"/>
  </r>
  <r>
    <d v="2026-04-09T00:00:00"/>
    <s v="quinta-feira"/>
    <d v="2026-04-09T00:00:00"/>
    <m/>
    <x v="0"/>
    <m/>
    <m/>
    <m/>
    <m/>
    <m/>
    <m/>
    <m/>
    <m/>
    <m/>
    <m/>
    <s v="Morro do Tetéu"/>
  </r>
  <r>
    <d v="2026-04-10T00:00:00"/>
    <s v="sexta-feira"/>
    <d v="2026-04-10T00:00:00"/>
    <m/>
    <x v="0"/>
    <m/>
    <m/>
    <m/>
    <m/>
    <m/>
    <m/>
    <m/>
    <m/>
    <m/>
    <m/>
    <s v="Morro do Tetéu"/>
  </r>
  <r>
    <d v="2026-04-11T00:00:00"/>
    <s v="sábado"/>
    <d v="2026-04-11T00:00:00"/>
    <s v="NÃO"/>
    <x v="0"/>
    <m/>
    <m/>
    <m/>
    <m/>
    <m/>
    <m/>
    <m/>
    <m/>
    <m/>
    <m/>
    <s v="Morro do Tetéu"/>
  </r>
  <r>
    <d v="2026-04-12T00:00:00"/>
    <s v="domingo"/>
    <d v="2026-04-12T00:00:00"/>
    <s v="NÃO"/>
    <x v="0"/>
    <m/>
    <m/>
    <m/>
    <m/>
    <m/>
    <m/>
    <m/>
    <m/>
    <m/>
    <m/>
    <s v="Morro do Tetéu"/>
  </r>
  <r>
    <d v="2026-04-13T00:00:00"/>
    <s v="segunda-feira"/>
    <d v="2026-04-13T00:00:00"/>
    <m/>
    <x v="0"/>
    <m/>
    <m/>
    <m/>
    <m/>
    <m/>
    <m/>
    <m/>
    <m/>
    <m/>
    <m/>
    <s v="Morro do Tetéu"/>
  </r>
  <r>
    <d v="2026-04-14T00:00:00"/>
    <s v="terça-feira"/>
    <d v="2026-04-14T00:00:00"/>
    <m/>
    <x v="0"/>
    <m/>
    <m/>
    <m/>
    <m/>
    <m/>
    <m/>
    <m/>
    <m/>
    <m/>
    <m/>
    <s v="Morro do Tetéu"/>
  </r>
  <r>
    <d v="2026-04-15T00:00:00"/>
    <s v="quarta-feira"/>
    <d v="2026-04-15T00:00:00"/>
    <m/>
    <x v="0"/>
    <m/>
    <m/>
    <m/>
    <m/>
    <m/>
    <m/>
    <m/>
    <m/>
    <m/>
    <m/>
    <s v="Morro do Tetéu"/>
  </r>
  <r>
    <d v="2026-04-16T00:00:00"/>
    <s v="quinta-feira"/>
    <d v="2026-04-16T00:00:00"/>
    <m/>
    <x v="0"/>
    <m/>
    <m/>
    <m/>
    <m/>
    <m/>
    <m/>
    <m/>
    <m/>
    <m/>
    <m/>
    <s v="Morro do Tetéu"/>
  </r>
  <r>
    <d v="2026-04-17T00:00:00"/>
    <s v="sexta-feira"/>
    <d v="2026-04-17T00:00:00"/>
    <m/>
    <x v="0"/>
    <m/>
    <m/>
    <m/>
    <m/>
    <m/>
    <m/>
    <m/>
    <m/>
    <m/>
    <m/>
    <s v="Morro do Tetéu"/>
  </r>
  <r>
    <d v="2026-04-18T00:00:00"/>
    <s v="sábado"/>
    <d v="2026-04-18T00:00:00"/>
    <s v="NÃO"/>
    <x v="0"/>
    <m/>
    <m/>
    <m/>
    <m/>
    <m/>
    <m/>
    <m/>
    <m/>
    <m/>
    <m/>
    <s v="Morro do Tetéu"/>
  </r>
  <r>
    <d v="2026-04-19T00:00:00"/>
    <s v="domingo"/>
    <d v="2026-04-19T00:00:00"/>
    <s v="NÃO"/>
    <x v="0"/>
    <m/>
    <m/>
    <m/>
    <m/>
    <m/>
    <m/>
    <m/>
    <m/>
    <m/>
    <m/>
    <s v="Morro do Tetéu"/>
  </r>
  <r>
    <d v="2026-04-20T00:00:00"/>
    <s v="segunda-feira"/>
    <d v="2026-04-20T00:00:00"/>
    <m/>
    <x v="0"/>
    <m/>
    <m/>
    <m/>
    <m/>
    <m/>
    <m/>
    <m/>
    <m/>
    <m/>
    <m/>
    <s v="Morro do Tetéu"/>
  </r>
  <r>
    <d v="2026-04-21T00:00:00"/>
    <s v="terça-feira"/>
    <d v="2026-04-21T00:00:00"/>
    <m/>
    <x v="0"/>
    <m/>
    <m/>
    <m/>
    <m/>
    <m/>
    <m/>
    <m/>
    <m/>
    <m/>
    <m/>
    <s v="Morro do Tetéu"/>
  </r>
  <r>
    <d v="2026-04-22T00:00:00"/>
    <s v="quarta-feira"/>
    <d v="2026-04-22T00:00:00"/>
    <m/>
    <x v="0"/>
    <m/>
    <m/>
    <m/>
    <m/>
    <m/>
    <m/>
    <m/>
    <m/>
    <m/>
    <m/>
    <s v="Morro do Tetéu"/>
  </r>
  <r>
    <d v="2026-04-23T00:00:00"/>
    <s v="quinta-feira"/>
    <d v="2026-04-23T00:00:00"/>
    <m/>
    <x v="0"/>
    <m/>
    <m/>
    <m/>
    <m/>
    <m/>
    <m/>
    <m/>
    <m/>
    <m/>
    <m/>
    <s v="Morro do Tetéu"/>
  </r>
  <r>
    <d v="2026-04-24T00:00:00"/>
    <s v="sexta-feira"/>
    <d v="2026-04-24T00:00:00"/>
    <m/>
    <x v="0"/>
    <m/>
    <m/>
    <m/>
    <m/>
    <m/>
    <m/>
    <m/>
    <m/>
    <m/>
    <m/>
    <s v="Morro do Tetéu"/>
  </r>
  <r>
    <d v="2026-04-25T00:00:00"/>
    <s v="sábado"/>
    <d v="2026-04-25T00:00:00"/>
    <s v="NÃO"/>
    <x v="0"/>
    <m/>
    <m/>
    <m/>
    <m/>
    <m/>
    <m/>
    <m/>
    <m/>
    <m/>
    <m/>
    <s v="Morro do Tetéu"/>
  </r>
  <r>
    <d v="2026-04-26T00:00:00"/>
    <s v="domingo"/>
    <d v="2026-04-26T00:00:00"/>
    <s v="NÃO"/>
    <x v="0"/>
    <m/>
    <m/>
    <m/>
    <m/>
    <m/>
    <m/>
    <m/>
    <m/>
    <m/>
    <m/>
    <s v="Morro do Tetéu"/>
  </r>
  <r>
    <d v="2026-04-27T00:00:00"/>
    <s v="segunda-feira"/>
    <d v="2026-04-27T00:00:00"/>
    <m/>
    <x v="0"/>
    <m/>
    <m/>
    <m/>
    <m/>
    <m/>
    <m/>
    <m/>
    <m/>
    <m/>
    <m/>
    <s v="Morro do Tetéu"/>
  </r>
  <r>
    <d v="2026-04-28T00:00:00"/>
    <s v="terça-feira"/>
    <d v="2026-04-28T00:00:00"/>
    <m/>
    <x v="0"/>
    <m/>
    <m/>
    <m/>
    <m/>
    <m/>
    <m/>
    <m/>
    <m/>
    <m/>
    <m/>
    <s v="Morro do Tetéu"/>
  </r>
  <r>
    <d v="2026-04-29T00:00:00"/>
    <s v="quarta-feira"/>
    <d v="2026-04-29T00:00:00"/>
    <m/>
    <x v="0"/>
    <m/>
    <m/>
    <m/>
    <m/>
    <m/>
    <m/>
    <m/>
    <m/>
    <m/>
    <m/>
    <s v="Morro do Tetéu"/>
  </r>
  <r>
    <d v="2026-04-30T00:00:00"/>
    <s v="quinta-feira"/>
    <d v="2026-04-30T00:00:00"/>
    <m/>
    <x v="0"/>
    <m/>
    <m/>
    <m/>
    <m/>
    <m/>
    <m/>
    <m/>
    <m/>
    <m/>
    <m/>
    <s v="Morro do Tetéu"/>
  </r>
  <r>
    <d v="2026-05-01T00:00:00"/>
    <s v="sexta-feira"/>
    <d v="2026-05-01T00:00:00"/>
    <m/>
    <x v="0"/>
    <m/>
    <m/>
    <m/>
    <m/>
    <m/>
    <m/>
    <m/>
    <m/>
    <m/>
    <m/>
    <s v="Morro do Tetéu"/>
  </r>
  <r>
    <d v="2026-05-02T00:00:00"/>
    <s v="sábado"/>
    <d v="2026-05-02T00:00:00"/>
    <s v="NÃO"/>
    <x v="0"/>
    <m/>
    <m/>
    <m/>
    <m/>
    <m/>
    <m/>
    <m/>
    <m/>
    <m/>
    <m/>
    <s v="Morro do Tetéu"/>
  </r>
  <r>
    <d v="2026-05-03T00:00:00"/>
    <s v="domingo"/>
    <d v="2026-05-03T00:00:00"/>
    <s v="NÃO"/>
    <x v="0"/>
    <m/>
    <m/>
    <m/>
    <m/>
    <m/>
    <m/>
    <m/>
    <m/>
    <m/>
    <m/>
    <s v="Morro do Tetéu"/>
  </r>
  <r>
    <d v="2026-05-04T00:00:00"/>
    <s v="segunda-feira"/>
    <d v="2026-05-04T00:00:00"/>
    <m/>
    <x v="0"/>
    <m/>
    <m/>
    <m/>
    <m/>
    <m/>
    <m/>
    <m/>
    <m/>
    <m/>
    <m/>
    <s v="Morro do Tetéu"/>
  </r>
  <r>
    <d v="2026-05-05T00:00:00"/>
    <s v="terça-feira"/>
    <d v="2026-05-05T00:00:00"/>
    <m/>
    <x v="0"/>
    <m/>
    <m/>
    <m/>
    <m/>
    <m/>
    <m/>
    <m/>
    <m/>
    <m/>
    <m/>
    <s v="Morro do Tetéu"/>
  </r>
  <r>
    <d v="2026-05-06T00:00:00"/>
    <s v="quarta-feira"/>
    <d v="2026-05-06T00:00:00"/>
    <m/>
    <x v="0"/>
    <m/>
    <m/>
    <m/>
    <m/>
    <m/>
    <m/>
    <m/>
    <m/>
    <m/>
    <m/>
    <s v="Morro do Tetéu"/>
  </r>
  <r>
    <d v="2026-05-07T00:00:00"/>
    <s v="quinta-feira"/>
    <d v="2026-05-07T00:00:00"/>
    <m/>
    <x v="0"/>
    <m/>
    <m/>
    <m/>
    <m/>
    <m/>
    <m/>
    <m/>
    <m/>
    <m/>
    <m/>
    <s v="Morro do Tetéu"/>
  </r>
  <r>
    <d v="2026-05-08T00:00:00"/>
    <s v="sexta-feira"/>
    <d v="2026-05-08T00:00:00"/>
    <m/>
    <x v="0"/>
    <m/>
    <m/>
    <m/>
    <m/>
    <m/>
    <m/>
    <m/>
    <m/>
    <m/>
    <m/>
    <s v="Morro do Tetéu"/>
  </r>
  <r>
    <d v="2026-05-09T00:00:00"/>
    <s v="sábado"/>
    <d v="2026-05-09T00:00:00"/>
    <s v="NÃO"/>
    <x v="0"/>
    <m/>
    <m/>
    <m/>
    <m/>
    <m/>
    <m/>
    <m/>
    <m/>
    <m/>
    <m/>
    <s v="Morro do Tetéu"/>
  </r>
  <r>
    <d v="2026-05-10T00:00:00"/>
    <s v="domingo"/>
    <d v="2026-05-10T00:00:00"/>
    <s v="NÃO"/>
    <x v="0"/>
    <m/>
    <m/>
    <m/>
    <m/>
    <m/>
    <m/>
    <m/>
    <m/>
    <m/>
    <m/>
    <s v="Morro do Tetéu"/>
  </r>
  <r>
    <d v="2026-05-11T00:00:00"/>
    <s v="segunda-feira"/>
    <d v="2026-05-11T00:00:00"/>
    <m/>
    <x v="0"/>
    <m/>
    <m/>
    <m/>
    <m/>
    <m/>
    <m/>
    <m/>
    <m/>
    <m/>
    <m/>
    <s v="Morro do Tetéu"/>
  </r>
  <r>
    <d v="2026-05-12T00:00:00"/>
    <s v="terça-feira"/>
    <d v="2026-05-12T00:00:00"/>
    <m/>
    <x v="0"/>
    <m/>
    <m/>
    <m/>
    <m/>
    <m/>
    <m/>
    <m/>
    <m/>
    <m/>
    <m/>
    <s v="Morro do Tetéu"/>
  </r>
  <r>
    <d v="2026-05-13T00:00:00"/>
    <s v="quarta-feira"/>
    <d v="2026-05-13T00:00:00"/>
    <m/>
    <x v="0"/>
    <m/>
    <m/>
    <m/>
    <m/>
    <m/>
    <m/>
    <m/>
    <m/>
    <m/>
    <m/>
    <s v="Morro do Tetéu"/>
  </r>
  <r>
    <d v="2026-05-14T00:00:00"/>
    <s v="quinta-feira"/>
    <d v="2026-05-14T00:00:00"/>
    <m/>
    <x v="0"/>
    <m/>
    <m/>
    <m/>
    <m/>
    <m/>
    <m/>
    <m/>
    <m/>
    <m/>
    <m/>
    <s v="Morro do Tetéu"/>
  </r>
  <r>
    <d v="2026-05-15T00:00:00"/>
    <s v="sexta-feira"/>
    <d v="2026-05-15T00:00:00"/>
    <m/>
    <x v="0"/>
    <m/>
    <m/>
    <m/>
    <m/>
    <m/>
    <m/>
    <m/>
    <m/>
    <m/>
    <m/>
    <s v="Morro do Tetéu"/>
  </r>
  <r>
    <d v="2026-05-16T00:00:00"/>
    <s v="sábado"/>
    <d v="2026-05-16T00:00:00"/>
    <s v="NÃO"/>
    <x v="0"/>
    <m/>
    <m/>
    <m/>
    <m/>
    <m/>
    <m/>
    <m/>
    <m/>
    <m/>
    <m/>
    <s v="Morro do Tetéu"/>
  </r>
  <r>
    <d v="2026-05-17T00:00:00"/>
    <s v="domingo"/>
    <d v="2026-05-17T00:00:00"/>
    <s v="NÃO"/>
    <x v="0"/>
    <m/>
    <m/>
    <m/>
    <m/>
    <m/>
    <m/>
    <m/>
    <m/>
    <m/>
    <m/>
    <s v="Morro do Tetéu"/>
  </r>
  <r>
    <d v="2026-05-18T00:00:00"/>
    <s v="segunda-feira"/>
    <d v="2026-05-18T00:00:00"/>
    <m/>
    <x v="0"/>
    <m/>
    <m/>
    <m/>
    <m/>
    <m/>
    <m/>
    <m/>
    <m/>
    <m/>
    <m/>
    <s v="Morro do Tetéu"/>
  </r>
  <r>
    <d v="2026-05-19T00:00:00"/>
    <s v="terça-feira"/>
    <d v="2026-05-19T00:00:00"/>
    <m/>
    <x v="0"/>
    <m/>
    <m/>
    <m/>
    <m/>
    <m/>
    <m/>
    <m/>
    <m/>
    <m/>
    <m/>
    <s v="Morro do Tetéu"/>
  </r>
  <r>
    <d v="2026-05-20T00:00:00"/>
    <s v="quarta-feira"/>
    <d v="2026-05-20T00:00:00"/>
    <m/>
    <x v="0"/>
    <m/>
    <m/>
    <m/>
    <m/>
    <m/>
    <m/>
    <m/>
    <m/>
    <m/>
    <m/>
    <s v="Morro do Tetéu"/>
  </r>
  <r>
    <d v="2026-05-21T00:00:00"/>
    <s v="quinta-feira"/>
    <d v="2026-05-21T00:00:00"/>
    <m/>
    <x v="0"/>
    <m/>
    <m/>
    <m/>
    <m/>
    <m/>
    <m/>
    <m/>
    <m/>
    <m/>
    <m/>
    <s v="Morro do Tetéu"/>
  </r>
  <r>
    <d v="2026-05-22T00:00:00"/>
    <s v="sexta-feira"/>
    <d v="2026-05-22T00:00:00"/>
    <m/>
    <x v="0"/>
    <m/>
    <m/>
    <m/>
    <m/>
    <m/>
    <m/>
    <m/>
    <m/>
    <m/>
    <m/>
    <s v="Morro do Tetéu"/>
  </r>
  <r>
    <d v="2026-05-23T00:00:00"/>
    <s v="sábado"/>
    <d v="2026-05-23T00:00:00"/>
    <s v="NÃO"/>
    <x v="0"/>
    <m/>
    <m/>
    <m/>
    <m/>
    <m/>
    <m/>
    <m/>
    <m/>
    <m/>
    <m/>
    <s v="Morro do Tetéu"/>
  </r>
  <r>
    <d v="2026-05-24T00:00:00"/>
    <s v="domingo"/>
    <d v="2026-05-24T00:00:00"/>
    <s v="NÃO"/>
    <x v="0"/>
    <m/>
    <m/>
    <m/>
    <m/>
    <m/>
    <m/>
    <m/>
    <m/>
    <m/>
    <m/>
    <s v="Morro do Tetéu"/>
  </r>
  <r>
    <d v="2026-05-25T00:00:00"/>
    <s v="segunda-feira"/>
    <d v="2026-05-25T00:00:00"/>
    <m/>
    <x v="0"/>
    <m/>
    <m/>
    <m/>
    <m/>
    <m/>
    <m/>
    <m/>
    <m/>
    <m/>
    <m/>
    <s v="Morro do Tetéu"/>
  </r>
  <r>
    <d v="2026-05-26T00:00:00"/>
    <s v="terça-feira"/>
    <d v="2026-05-26T00:00:00"/>
    <m/>
    <x v="0"/>
    <m/>
    <m/>
    <m/>
    <m/>
    <m/>
    <m/>
    <m/>
    <m/>
    <m/>
    <m/>
    <s v="Morro do Tetéu"/>
  </r>
  <r>
    <d v="2026-05-27T00:00:00"/>
    <s v="quarta-feira"/>
    <d v="2026-05-27T00:00:00"/>
    <m/>
    <x v="0"/>
    <m/>
    <m/>
    <m/>
    <m/>
    <m/>
    <m/>
    <m/>
    <m/>
    <m/>
    <m/>
    <s v="Morro do Tetéu"/>
  </r>
  <r>
    <d v="2026-05-28T00:00:00"/>
    <s v="quinta-feira"/>
    <d v="2026-05-28T00:00:00"/>
    <m/>
    <x v="0"/>
    <m/>
    <m/>
    <m/>
    <m/>
    <m/>
    <m/>
    <m/>
    <m/>
    <m/>
    <m/>
    <s v="Morro do Tetéu"/>
  </r>
  <r>
    <d v="2026-05-29T00:00:00"/>
    <s v="sexta-feira"/>
    <d v="2026-05-29T00:00:00"/>
    <m/>
    <x v="0"/>
    <m/>
    <m/>
    <m/>
    <m/>
    <m/>
    <m/>
    <m/>
    <m/>
    <m/>
    <m/>
    <s v="Morro do Tetéu"/>
  </r>
  <r>
    <d v="2026-05-30T00:00:00"/>
    <s v="sábado"/>
    <d v="2026-05-30T00:00:00"/>
    <s v="NÃO"/>
    <x v="0"/>
    <m/>
    <m/>
    <m/>
    <m/>
    <m/>
    <m/>
    <m/>
    <m/>
    <m/>
    <m/>
    <s v="Morro do Tetéu"/>
  </r>
  <r>
    <d v="2026-05-31T00:00:00"/>
    <s v="domingo"/>
    <d v="2026-05-31T00:00:00"/>
    <s v="NÃO"/>
    <x v="0"/>
    <m/>
    <m/>
    <m/>
    <m/>
    <m/>
    <m/>
    <m/>
    <m/>
    <m/>
    <m/>
    <s v="Morro do Tetéu"/>
  </r>
  <r>
    <d v="2026-06-01T00:00:00"/>
    <s v="segunda-feira"/>
    <d v="2026-06-01T00:00:00"/>
    <m/>
    <x v="0"/>
    <m/>
    <m/>
    <m/>
    <m/>
    <m/>
    <m/>
    <m/>
    <m/>
    <m/>
    <m/>
    <s v="Morro do Tetéu"/>
  </r>
  <r>
    <d v="2026-06-02T00:00:00"/>
    <s v="terça-feira"/>
    <d v="2026-06-02T00:00:00"/>
    <m/>
    <x v="0"/>
    <m/>
    <m/>
    <m/>
    <m/>
    <m/>
    <m/>
    <m/>
    <m/>
    <m/>
    <m/>
    <s v="Morro do Tetéu"/>
  </r>
  <r>
    <d v="2026-06-03T00:00:00"/>
    <s v="quarta-feira"/>
    <d v="2026-06-03T00:00:00"/>
    <m/>
    <x v="0"/>
    <m/>
    <m/>
    <m/>
    <m/>
    <m/>
    <m/>
    <m/>
    <m/>
    <m/>
    <m/>
    <s v="Morro do Tetéu"/>
  </r>
  <r>
    <d v="2026-06-04T00:00:00"/>
    <s v="quinta-feira"/>
    <d v="2026-06-04T00:00:00"/>
    <m/>
    <x v="0"/>
    <m/>
    <m/>
    <m/>
    <m/>
    <m/>
    <m/>
    <m/>
    <m/>
    <m/>
    <m/>
    <s v="Morro do Tetéu"/>
  </r>
  <r>
    <d v="2026-06-05T00:00:00"/>
    <s v="sexta-feira"/>
    <d v="2026-06-05T00:00:00"/>
    <m/>
    <x v="0"/>
    <m/>
    <m/>
    <m/>
    <m/>
    <m/>
    <m/>
    <m/>
    <m/>
    <m/>
    <m/>
    <s v="Morro do Tetéu"/>
  </r>
  <r>
    <d v="2026-06-06T00:00:00"/>
    <s v="sábado"/>
    <d v="2026-06-06T00:00:00"/>
    <s v="NÃO"/>
    <x v="0"/>
    <m/>
    <m/>
    <m/>
    <m/>
    <m/>
    <m/>
    <m/>
    <m/>
    <m/>
    <m/>
    <s v="Morro do Tetéu"/>
  </r>
  <r>
    <d v="2026-06-07T00:00:00"/>
    <s v="domingo"/>
    <d v="2026-06-07T00:00:00"/>
    <s v="NÃO"/>
    <x v="0"/>
    <m/>
    <m/>
    <m/>
    <m/>
    <m/>
    <m/>
    <m/>
    <m/>
    <m/>
    <m/>
    <s v="Morro do Tetéu"/>
  </r>
  <r>
    <d v="2026-06-08T00:00:00"/>
    <s v="segunda-feira"/>
    <d v="2026-06-08T00:00:00"/>
    <m/>
    <x v="0"/>
    <m/>
    <m/>
    <m/>
    <m/>
    <m/>
    <m/>
    <m/>
    <m/>
    <m/>
    <m/>
    <s v="Morro do Tetéu"/>
  </r>
  <r>
    <d v="2026-06-09T00:00:00"/>
    <s v="terça-feira"/>
    <d v="2026-06-09T00:00:00"/>
    <m/>
    <x v="0"/>
    <m/>
    <m/>
    <m/>
    <m/>
    <m/>
    <m/>
    <m/>
    <m/>
    <m/>
    <m/>
    <s v="Morro do Tetéu"/>
  </r>
  <r>
    <d v="2026-06-10T00:00:00"/>
    <s v="quarta-feira"/>
    <d v="2026-06-10T00:00:00"/>
    <m/>
    <x v="0"/>
    <m/>
    <m/>
    <m/>
    <m/>
    <m/>
    <m/>
    <m/>
    <m/>
    <m/>
    <m/>
    <s v="Morro do Tetéu"/>
  </r>
  <r>
    <d v="2026-06-11T00:00:00"/>
    <s v="quinta-feira"/>
    <d v="2026-06-11T00:00:00"/>
    <m/>
    <x v="0"/>
    <m/>
    <m/>
    <m/>
    <m/>
    <m/>
    <m/>
    <m/>
    <m/>
    <m/>
    <m/>
    <s v="Morro do Tetéu"/>
  </r>
  <r>
    <d v="2026-06-12T00:00:00"/>
    <s v="sexta-feira"/>
    <d v="2026-06-12T00:00:00"/>
    <m/>
    <x v="0"/>
    <m/>
    <m/>
    <m/>
    <m/>
    <m/>
    <m/>
    <m/>
    <m/>
    <m/>
    <m/>
    <s v="Morro do Tetéu"/>
  </r>
  <r>
    <d v="2026-06-13T00:00:00"/>
    <s v="sábado"/>
    <d v="2026-06-13T00:00:00"/>
    <s v="NÃO"/>
    <x v="0"/>
    <m/>
    <m/>
    <m/>
    <m/>
    <m/>
    <m/>
    <m/>
    <m/>
    <m/>
    <m/>
    <s v="Morro do Tetéu"/>
  </r>
  <r>
    <d v="2026-06-14T00:00:00"/>
    <s v="domingo"/>
    <d v="2026-06-14T00:00:00"/>
    <s v="NÃO"/>
    <x v="0"/>
    <m/>
    <m/>
    <m/>
    <m/>
    <m/>
    <m/>
    <m/>
    <m/>
    <m/>
    <m/>
    <s v="Morro do Tetéu"/>
  </r>
  <r>
    <d v="2026-06-15T00:00:00"/>
    <s v="segunda-feira"/>
    <d v="2026-06-15T00:00:00"/>
    <m/>
    <x v="0"/>
    <m/>
    <m/>
    <m/>
    <m/>
    <m/>
    <m/>
    <m/>
    <m/>
    <m/>
    <m/>
    <s v="Morro do Tetéu"/>
  </r>
  <r>
    <d v="2026-06-16T00:00:00"/>
    <s v="terça-feira"/>
    <d v="2026-06-16T00:00:00"/>
    <m/>
    <x v="0"/>
    <m/>
    <m/>
    <m/>
    <m/>
    <m/>
    <m/>
    <m/>
    <m/>
    <m/>
    <m/>
    <s v="Morro do Tetéu"/>
  </r>
  <r>
    <d v="2026-06-17T00:00:00"/>
    <s v="quarta-feira"/>
    <d v="2026-06-17T00:00:00"/>
    <m/>
    <x v="0"/>
    <m/>
    <m/>
    <m/>
    <m/>
    <m/>
    <m/>
    <m/>
    <m/>
    <m/>
    <m/>
    <s v="Morro do Tetéu"/>
  </r>
  <r>
    <d v="2026-06-18T00:00:00"/>
    <s v="quinta-feira"/>
    <d v="2026-06-18T00:00:00"/>
    <m/>
    <x v="0"/>
    <m/>
    <m/>
    <m/>
    <m/>
    <m/>
    <m/>
    <m/>
    <m/>
    <m/>
    <m/>
    <s v="Morro do Tetéu"/>
  </r>
  <r>
    <d v="2026-06-19T00:00:00"/>
    <s v="sexta-feira"/>
    <d v="2026-06-19T00:00:00"/>
    <m/>
    <x v="0"/>
    <m/>
    <m/>
    <m/>
    <m/>
    <m/>
    <m/>
    <m/>
    <m/>
    <m/>
    <m/>
    <s v="Morro do Tetéu"/>
  </r>
  <r>
    <d v="2026-06-20T00:00:00"/>
    <s v="sábado"/>
    <d v="2026-06-20T00:00:00"/>
    <s v="NÃO"/>
    <x v="0"/>
    <m/>
    <m/>
    <m/>
    <m/>
    <m/>
    <m/>
    <m/>
    <m/>
    <m/>
    <m/>
    <s v="Morro do Tetéu"/>
  </r>
  <r>
    <d v="2026-06-21T00:00:00"/>
    <s v="domingo"/>
    <d v="2026-06-21T00:00:00"/>
    <s v="NÃO"/>
    <x v="0"/>
    <m/>
    <m/>
    <m/>
    <m/>
    <m/>
    <m/>
    <m/>
    <m/>
    <m/>
    <m/>
    <s v="Morro do Tetéu"/>
  </r>
  <r>
    <d v="2026-06-22T00:00:00"/>
    <s v="segunda-feira"/>
    <d v="2026-06-22T00:00:00"/>
    <m/>
    <x v="0"/>
    <m/>
    <m/>
    <m/>
    <m/>
    <m/>
    <m/>
    <m/>
    <m/>
    <m/>
    <m/>
    <s v="Morro do Tetéu"/>
  </r>
  <r>
    <d v="2026-06-23T00:00:00"/>
    <s v="terça-feira"/>
    <d v="2026-06-23T00:00:00"/>
    <m/>
    <x v="0"/>
    <m/>
    <m/>
    <m/>
    <m/>
    <m/>
    <m/>
    <m/>
    <m/>
    <m/>
    <m/>
    <s v="Morro do Tetéu"/>
  </r>
  <r>
    <d v="2026-06-24T00:00:00"/>
    <s v="quarta-feira"/>
    <d v="2026-06-24T00:00:00"/>
    <m/>
    <x v="0"/>
    <m/>
    <m/>
    <m/>
    <m/>
    <m/>
    <m/>
    <m/>
    <m/>
    <m/>
    <m/>
    <s v="Morro do Tetéu"/>
  </r>
  <r>
    <d v="2026-06-25T00:00:00"/>
    <s v="quinta-feira"/>
    <d v="2026-06-25T00:00:00"/>
    <m/>
    <x v="0"/>
    <m/>
    <m/>
    <m/>
    <m/>
    <m/>
    <m/>
    <m/>
    <m/>
    <m/>
    <m/>
    <s v="Morro do Tetéu"/>
  </r>
  <r>
    <d v="2026-06-26T00:00:00"/>
    <s v="sexta-feira"/>
    <d v="2026-06-26T00:00:00"/>
    <m/>
    <x v="0"/>
    <m/>
    <m/>
    <m/>
    <m/>
    <m/>
    <m/>
    <m/>
    <m/>
    <m/>
    <m/>
    <s v="Morro do Tetéu"/>
  </r>
  <r>
    <d v="2026-06-27T00:00:00"/>
    <s v="sábado"/>
    <d v="2026-06-27T00:00:00"/>
    <s v="NÃO"/>
    <x v="0"/>
    <m/>
    <m/>
    <m/>
    <m/>
    <m/>
    <m/>
    <m/>
    <m/>
    <m/>
    <m/>
    <s v="Morro do Tetéu"/>
  </r>
  <r>
    <d v="2026-06-28T00:00:00"/>
    <s v="domingo"/>
    <d v="2026-06-28T00:00:00"/>
    <s v="NÃO"/>
    <x v="0"/>
    <m/>
    <m/>
    <m/>
    <m/>
    <m/>
    <m/>
    <m/>
    <m/>
    <m/>
    <m/>
    <s v="Morro do Tetéu"/>
  </r>
  <r>
    <d v="2026-06-29T00:00:00"/>
    <s v="segunda-feira"/>
    <d v="2026-06-29T00:00:00"/>
    <m/>
    <x v="0"/>
    <m/>
    <m/>
    <m/>
    <m/>
    <m/>
    <m/>
    <m/>
    <m/>
    <m/>
    <m/>
    <s v="Morro do Tetéu"/>
  </r>
  <r>
    <d v="2026-06-30T00:00:00"/>
    <s v="terça-feira"/>
    <d v="2026-06-30T00:00:00"/>
    <m/>
    <x v="0"/>
    <m/>
    <m/>
    <m/>
    <m/>
    <m/>
    <m/>
    <m/>
    <m/>
    <m/>
    <m/>
    <s v="Morro do Tetéu"/>
  </r>
  <r>
    <d v="2026-07-01T00:00:00"/>
    <s v="quarta-feira"/>
    <d v="2026-07-01T00:00:00"/>
    <m/>
    <x v="0"/>
    <m/>
    <m/>
    <m/>
    <m/>
    <m/>
    <m/>
    <m/>
    <m/>
    <m/>
    <m/>
    <s v="Morro do Tetéu"/>
  </r>
  <r>
    <d v="2026-07-02T00:00:00"/>
    <s v="quinta-feira"/>
    <d v="2026-07-02T00:00:00"/>
    <m/>
    <x v="0"/>
    <m/>
    <m/>
    <m/>
    <m/>
    <m/>
    <m/>
    <m/>
    <m/>
    <m/>
    <m/>
    <s v="Morro do Tetéu"/>
  </r>
  <r>
    <d v="2026-07-03T00:00:00"/>
    <s v="sexta-feira"/>
    <d v="2026-07-03T00:00:00"/>
    <m/>
    <x v="0"/>
    <m/>
    <m/>
    <m/>
    <m/>
    <m/>
    <m/>
    <m/>
    <m/>
    <m/>
    <m/>
    <s v="Morro do Tetéu"/>
  </r>
  <r>
    <d v="2026-07-04T00:00:00"/>
    <s v="sábado"/>
    <d v="2026-07-04T00:00:00"/>
    <s v="NÃO"/>
    <x v="0"/>
    <m/>
    <m/>
    <m/>
    <m/>
    <m/>
    <m/>
    <m/>
    <m/>
    <m/>
    <m/>
    <s v="Morro do Tetéu"/>
  </r>
  <r>
    <d v="2026-07-05T00:00:00"/>
    <s v="domingo"/>
    <d v="2026-07-05T00:00:00"/>
    <s v="NÃO"/>
    <x v="0"/>
    <m/>
    <m/>
    <m/>
    <m/>
    <m/>
    <m/>
    <m/>
    <m/>
    <m/>
    <m/>
    <s v="Morro do Tetéu"/>
  </r>
  <r>
    <d v="2026-07-06T00:00:00"/>
    <s v="segunda-feira"/>
    <d v="2026-07-06T00:00:00"/>
    <m/>
    <x v="0"/>
    <m/>
    <m/>
    <m/>
    <m/>
    <m/>
    <m/>
    <m/>
    <m/>
    <m/>
    <m/>
    <s v="Morro do Tetéu"/>
  </r>
  <r>
    <d v="2026-07-07T00:00:00"/>
    <s v="terça-feira"/>
    <d v="2026-07-07T00:00:00"/>
    <m/>
    <x v="0"/>
    <m/>
    <m/>
    <m/>
    <m/>
    <m/>
    <m/>
    <m/>
    <m/>
    <m/>
    <m/>
    <s v="Morro do Tetéu"/>
  </r>
  <r>
    <d v="2026-07-08T00:00:00"/>
    <s v="quarta-feira"/>
    <d v="2026-07-08T00:00:00"/>
    <m/>
    <x v="0"/>
    <m/>
    <m/>
    <m/>
    <m/>
    <m/>
    <m/>
    <m/>
    <m/>
    <m/>
    <m/>
    <s v="Morro do Tetéu"/>
  </r>
  <r>
    <d v="2026-07-09T00:00:00"/>
    <s v="quinta-feira"/>
    <d v="2026-07-09T00:00:00"/>
    <m/>
    <x v="0"/>
    <m/>
    <m/>
    <m/>
    <m/>
    <m/>
    <m/>
    <m/>
    <m/>
    <m/>
    <m/>
    <s v="Morro do Tetéu"/>
  </r>
  <r>
    <d v="2026-07-10T00:00:00"/>
    <s v="sexta-feira"/>
    <d v="2026-07-10T00:00:00"/>
    <m/>
    <x v="0"/>
    <m/>
    <m/>
    <m/>
    <m/>
    <m/>
    <m/>
    <m/>
    <m/>
    <m/>
    <m/>
    <s v="Morro do Tetéu"/>
  </r>
  <r>
    <d v="2026-07-11T00:00:00"/>
    <s v="sábado"/>
    <d v="2026-07-11T00:00:00"/>
    <s v="NÃO"/>
    <x v="0"/>
    <m/>
    <m/>
    <m/>
    <m/>
    <m/>
    <m/>
    <m/>
    <m/>
    <m/>
    <m/>
    <s v="Morro do Tetéu"/>
  </r>
  <r>
    <d v="2026-07-12T00:00:00"/>
    <s v="domingo"/>
    <d v="2026-07-12T00:00:00"/>
    <s v="NÃO"/>
    <x v="0"/>
    <m/>
    <m/>
    <m/>
    <m/>
    <m/>
    <m/>
    <m/>
    <m/>
    <m/>
    <m/>
    <s v="Morro do Tetéu"/>
  </r>
  <r>
    <d v="2026-07-13T00:00:00"/>
    <s v="segunda-feira"/>
    <d v="2026-07-13T00:00:00"/>
    <m/>
    <x v="0"/>
    <m/>
    <m/>
    <m/>
    <m/>
    <m/>
    <m/>
    <m/>
    <m/>
    <m/>
    <m/>
    <s v="Morro do Tetéu"/>
  </r>
  <r>
    <d v="2026-07-14T00:00:00"/>
    <s v="terça-feira"/>
    <d v="2026-07-14T00:00:00"/>
    <m/>
    <x v="0"/>
    <m/>
    <m/>
    <m/>
    <m/>
    <m/>
    <m/>
    <m/>
    <m/>
    <m/>
    <m/>
    <s v="Morro do Tetéu"/>
  </r>
  <r>
    <d v="2026-07-15T00:00:00"/>
    <s v="quarta-feira"/>
    <d v="2026-07-15T00:00:00"/>
    <m/>
    <x v="0"/>
    <m/>
    <m/>
    <m/>
    <m/>
    <m/>
    <m/>
    <m/>
    <m/>
    <m/>
    <m/>
    <s v="Morro do Tetéu"/>
  </r>
  <r>
    <d v="2026-07-16T00:00:00"/>
    <s v="quinta-feira"/>
    <d v="2026-07-16T00:00:00"/>
    <m/>
    <x v="0"/>
    <m/>
    <m/>
    <m/>
    <m/>
    <m/>
    <m/>
    <m/>
    <m/>
    <m/>
    <m/>
    <s v="Morro do Tetéu"/>
  </r>
  <r>
    <d v="2026-07-17T00:00:00"/>
    <s v="sexta-feira"/>
    <d v="2026-07-17T00:00:00"/>
    <m/>
    <x v="0"/>
    <m/>
    <m/>
    <m/>
    <m/>
    <m/>
    <m/>
    <m/>
    <m/>
    <m/>
    <m/>
    <s v="Morro do Tetéu"/>
  </r>
  <r>
    <d v="2026-07-18T00:00:00"/>
    <s v="sábado"/>
    <d v="2026-07-18T00:00:00"/>
    <s v="NÃO"/>
    <x v="0"/>
    <m/>
    <m/>
    <m/>
    <m/>
    <m/>
    <m/>
    <m/>
    <m/>
    <m/>
    <m/>
    <s v="Morro do Tetéu"/>
  </r>
  <r>
    <d v="2026-07-19T00:00:00"/>
    <s v="domingo"/>
    <d v="2026-07-19T00:00:00"/>
    <s v="NÃO"/>
    <x v="0"/>
    <m/>
    <m/>
    <m/>
    <m/>
    <m/>
    <m/>
    <m/>
    <m/>
    <m/>
    <m/>
    <s v="Morro do Tetéu"/>
  </r>
  <r>
    <d v="2026-07-20T00:00:00"/>
    <s v="segunda-feira"/>
    <d v="2026-07-20T00:00:00"/>
    <m/>
    <x v="0"/>
    <m/>
    <m/>
    <m/>
    <m/>
    <m/>
    <m/>
    <m/>
    <m/>
    <m/>
    <m/>
    <s v="Morro do Tetéu"/>
  </r>
  <r>
    <d v="2026-07-21T00:00:00"/>
    <s v="terça-feira"/>
    <d v="2026-07-21T00:00:00"/>
    <m/>
    <x v="0"/>
    <m/>
    <m/>
    <m/>
    <m/>
    <m/>
    <m/>
    <m/>
    <m/>
    <m/>
    <m/>
    <s v="Morro do Tetéu"/>
  </r>
  <r>
    <d v="2026-07-22T00:00:00"/>
    <s v="quarta-feira"/>
    <d v="2026-07-22T00:00:00"/>
    <m/>
    <x v="0"/>
    <m/>
    <m/>
    <m/>
    <m/>
    <m/>
    <m/>
    <m/>
    <m/>
    <m/>
    <m/>
    <s v="Morro do Tetéu"/>
  </r>
  <r>
    <d v="2026-07-23T00:00:00"/>
    <s v="quinta-feira"/>
    <d v="2026-07-23T00:00:00"/>
    <m/>
    <x v="0"/>
    <m/>
    <m/>
    <m/>
    <m/>
    <m/>
    <m/>
    <m/>
    <m/>
    <m/>
    <m/>
    <s v="Morro do Tetéu"/>
  </r>
  <r>
    <d v="2026-07-24T00:00:00"/>
    <s v="sexta-feira"/>
    <d v="2026-07-24T00:00:00"/>
    <m/>
    <x v="0"/>
    <m/>
    <m/>
    <m/>
    <m/>
    <m/>
    <m/>
    <m/>
    <m/>
    <m/>
    <m/>
    <s v="Morro do Tetéu"/>
  </r>
  <r>
    <d v="2026-07-25T00:00:00"/>
    <s v="sábado"/>
    <d v="2026-07-25T00:00:00"/>
    <s v="NÃO"/>
    <x v="0"/>
    <m/>
    <m/>
    <m/>
    <m/>
    <m/>
    <m/>
    <m/>
    <m/>
    <m/>
    <m/>
    <s v="Morro do Tetéu"/>
  </r>
  <r>
    <d v="2026-07-26T00:00:00"/>
    <s v="domingo"/>
    <d v="2026-07-26T00:00:00"/>
    <s v="NÃO"/>
    <x v="0"/>
    <m/>
    <m/>
    <m/>
    <m/>
    <m/>
    <m/>
    <m/>
    <m/>
    <m/>
    <m/>
    <s v="Morro do Tetéu"/>
  </r>
  <r>
    <d v="2026-07-27T00:00:00"/>
    <s v="segunda-feira"/>
    <d v="2026-07-27T00:00:00"/>
    <m/>
    <x v="0"/>
    <m/>
    <m/>
    <m/>
    <m/>
    <m/>
    <m/>
    <m/>
    <m/>
    <m/>
    <m/>
    <s v="Morro do Tetéu"/>
  </r>
  <r>
    <d v="2026-07-28T00:00:00"/>
    <s v="terça-feira"/>
    <d v="2026-07-28T00:00:00"/>
    <m/>
    <x v="0"/>
    <m/>
    <m/>
    <m/>
    <m/>
    <m/>
    <m/>
    <m/>
    <m/>
    <m/>
    <m/>
    <s v="Morro do Tetéu"/>
  </r>
  <r>
    <d v="2026-07-29T00:00:00"/>
    <s v="quarta-feira"/>
    <d v="2026-07-29T00:00:00"/>
    <m/>
    <x v="0"/>
    <m/>
    <m/>
    <m/>
    <m/>
    <m/>
    <m/>
    <m/>
    <m/>
    <m/>
    <m/>
    <s v="Morro do Tetéu"/>
  </r>
  <r>
    <d v="2026-07-30T00:00:00"/>
    <s v="quinta-feira"/>
    <d v="2026-07-30T00:00:00"/>
    <m/>
    <x v="0"/>
    <m/>
    <m/>
    <m/>
    <m/>
    <m/>
    <m/>
    <m/>
    <m/>
    <m/>
    <m/>
    <s v="Morro do Tetéu"/>
  </r>
  <r>
    <d v="2026-07-31T00:00:00"/>
    <s v="sexta-feira"/>
    <d v="2026-07-31T00:00:00"/>
    <m/>
    <x v="0"/>
    <m/>
    <m/>
    <m/>
    <m/>
    <m/>
    <m/>
    <m/>
    <m/>
    <m/>
    <m/>
    <s v="Morro do Tetéu"/>
  </r>
  <r>
    <d v="2026-08-01T00:00:00"/>
    <s v="sábado"/>
    <d v="2026-08-01T00:00:00"/>
    <s v="NÃO"/>
    <x v="0"/>
    <m/>
    <m/>
    <m/>
    <m/>
    <m/>
    <m/>
    <m/>
    <m/>
    <m/>
    <m/>
    <s v="Morro do Tetéu"/>
  </r>
  <r>
    <d v="2026-08-02T00:00:00"/>
    <s v="domingo"/>
    <d v="2026-08-02T00:00:00"/>
    <s v="NÃO"/>
    <x v="0"/>
    <m/>
    <m/>
    <m/>
    <m/>
    <m/>
    <m/>
    <m/>
    <m/>
    <m/>
    <m/>
    <s v="Morro do Tetéu"/>
  </r>
  <r>
    <d v="2026-08-03T00:00:00"/>
    <s v="segunda-feira"/>
    <d v="2026-08-03T00:00:00"/>
    <m/>
    <x v="0"/>
    <m/>
    <m/>
    <m/>
    <m/>
    <m/>
    <m/>
    <m/>
    <m/>
    <m/>
    <m/>
    <s v="Morro do Tetéu"/>
  </r>
  <r>
    <d v="2026-08-04T00:00:00"/>
    <s v="terça-feira"/>
    <d v="2026-08-04T00:00:00"/>
    <m/>
    <x v="0"/>
    <m/>
    <m/>
    <m/>
    <m/>
    <m/>
    <m/>
    <m/>
    <m/>
    <m/>
    <m/>
    <s v="Morro do Tetéu"/>
  </r>
  <r>
    <d v="2026-08-05T00:00:00"/>
    <s v="quarta-feira"/>
    <d v="2026-08-05T00:00:00"/>
    <m/>
    <x v="0"/>
    <m/>
    <m/>
    <m/>
    <m/>
    <m/>
    <m/>
    <m/>
    <m/>
    <m/>
    <m/>
    <s v="Morro do Tetéu"/>
  </r>
  <r>
    <d v="2026-08-06T00:00:00"/>
    <s v="quinta-feira"/>
    <d v="2026-08-06T00:00:00"/>
    <m/>
    <x v="0"/>
    <m/>
    <m/>
    <m/>
    <m/>
    <m/>
    <m/>
    <m/>
    <m/>
    <m/>
    <m/>
    <s v="Morro do Tetéu"/>
  </r>
  <r>
    <d v="2026-08-07T00:00:00"/>
    <s v="sexta-feira"/>
    <d v="2026-08-07T00:00:00"/>
    <m/>
    <x v="0"/>
    <m/>
    <m/>
    <m/>
    <m/>
    <m/>
    <m/>
    <m/>
    <m/>
    <m/>
    <m/>
    <s v="Morro do Tetéu"/>
  </r>
  <r>
    <d v="2026-08-08T00:00:00"/>
    <s v="sábado"/>
    <d v="2026-08-08T00:00:00"/>
    <s v="NÃO"/>
    <x v="0"/>
    <m/>
    <m/>
    <m/>
    <m/>
    <m/>
    <m/>
    <m/>
    <m/>
    <m/>
    <m/>
    <s v="Morro do Tetéu"/>
  </r>
  <r>
    <d v="2026-08-09T00:00:00"/>
    <s v="domingo"/>
    <d v="2026-08-09T00:00:00"/>
    <s v="NÃO"/>
    <x v="0"/>
    <m/>
    <m/>
    <m/>
    <m/>
    <m/>
    <m/>
    <m/>
    <m/>
    <m/>
    <m/>
    <s v="Morro do Tetéu"/>
  </r>
  <r>
    <d v="2026-08-10T00:00:00"/>
    <s v="segunda-feira"/>
    <d v="2026-08-10T00:00:00"/>
    <m/>
    <x v="0"/>
    <m/>
    <m/>
    <m/>
    <m/>
    <m/>
    <m/>
    <m/>
    <m/>
    <m/>
    <m/>
    <s v="Morro do Tetéu"/>
  </r>
  <r>
    <d v="2026-08-11T00:00:00"/>
    <s v="terça-feira"/>
    <d v="2026-08-11T00:00:00"/>
    <m/>
    <x v="0"/>
    <m/>
    <m/>
    <m/>
    <m/>
    <m/>
    <m/>
    <m/>
    <m/>
    <m/>
    <m/>
    <s v="Morro do Tetéu"/>
  </r>
  <r>
    <d v="2026-08-12T00:00:00"/>
    <s v="quarta-feira"/>
    <d v="2026-08-12T00:00:00"/>
    <m/>
    <x v="0"/>
    <m/>
    <m/>
    <m/>
    <m/>
    <m/>
    <m/>
    <m/>
    <m/>
    <m/>
    <m/>
    <s v="Morro do Tetéu"/>
  </r>
  <r>
    <d v="2026-08-13T00:00:00"/>
    <s v="quinta-feira"/>
    <d v="2026-08-13T00:00:00"/>
    <m/>
    <x v="0"/>
    <m/>
    <m/>
    <m/>
    <m/>
    <m/>
    <m/>
    <m/>
    <m/>
    <m/>
    <m/>
    <s v="Morro do Tetéu"/>
  </r>
  <r>
    <d v="2026-08-14T00:00:00"/>
    <s v="sexta-feira"/>
    <d v="2026-08-14T00:00:00"/>
    <m/>
    <x v="0"/>
    <m/>
    <m/>
    <m/>
    <m/>
    <m/>
    <m/>
    <m/>
    <m/>
    <m/>
    <m/>
    <s v="Morro do Tetéu"/>
  </r>
  <r>
    <d v="2026-08-15T00:00:00"/>
    <s v="sábado"/>
    <d v="2026-08-15T00:00:00"/>
    <s v="NÃO"/>
    <x v="0"/>
    <m/>
    <m/>
    <m/>
    <m/>
    <m/>
    <m/>
    <m/>
    <m/>
    <m/>
    <m/>
    <s v="Morro do Tetéu"/>
  </r>
  <r>
    <d v="2026-08-16T00:00:00"/>
    <s v="domingo"/>
    <d v="2026-08-16T00:00:00"/>
    <s v="NÃO"/>
    <x v="0"/>
    <m/>
    <m/>
    <m/>
    <m/>
    <m/>
    <m/>
    <m/>
    <m/>
    <m/>
    <m/>
    <s v="Morro do Tetéu"/>
  </r>
  <r>
    <d v="2026-08-17T00:00:00"/>
    <s v="segunda-feira"/>
    <d v="2026-08-17T00:00:00"/>
    <m/>
    <x v="0"/>
    <m/>
    <m/>
    <m/>
    <m/>
    <m/>
    <m/>
    <m/>
    <m/>
    <m/>
    <m/>
    <s v="Morro do Tetéu"/>
  </r>
  <r>
    <d v="2026-08-18T00:00:00"/>
    <s v="terça-feira"/>
    <d v="2026-08-18T00:00:00"/>
    <m/>
    <x v="0"/>
    <m/>
    <m/>
    <m/>
    <m/>
    <m/>
    <m/>
    <m/>
    <m/>
    <m/>
    <m/>
    <s v="Morro do Tetéu"/>
  </r>
  <r>
    <d v="2026-08-19T00:00:00"/>
    <s v="quarta-feira"/>
    <d v="2026-08-19T00:00:00"/>
    <m/>
    <x v="0"/>
    <m/>
    <m/>
    <m/>
    <m/>
    <m/>
    <m/>
    <m/>
    <m/>
    <m/>
    <m/>
    <s v="Morro do Tetéu"/>
  </r>
  <r>
    <d v="2026-08-20T00:00:00"/>
    <s v="quinta-feira"/>
    <d v="2026-08-20T00:00:00"/>
    <m/>
    <x v="0"/>
    <m/>
    <m/>
    <m/>
    <m/>
    <m/>
    <m/>
    <m/>
    <m/>
    <m/>
    <m/>
    <s v="Morro do Tetéu"/>
  </r>
  <r>
    <d v="2026-08-21T00:00:00"/>
    <s v="sexta-feira"/>
    <d v="2026-08-21T00:00:00"/>
    <m/>
    <x v="0"/>
    <m/>
    <m/>
    <m/>
    <m/>
    <m/>
    <m/>
    <m/>
    <m/>
    <m/>
    <m/>
    <s v="Morro do Tetéu"/>
  </r>
  <r>
    <d v="2026-08-22T00:00:00"/>
    <s v="sábado"/>
    <d v="2026-08-22T00:00:00"/>
    <s v="NÃO"/>
    <x v="0"/>
    <m/>
    <m/>
    <m/>
    <m/>
    <m/>
    <m/>
    <m/>
    <m/>
    <m/>
    <m/>
    <s v="Morro do Tetéu"/>
  </r>
  <r>
    <d v="2026-08-23T00:00:00"/>
    <s v="domingo"/>
    <d v="2026-08-23T00:00:00"/>
    <s v="NÃO"/>
    <x v="0"/>
    <m/>
    <m/>
    <m/>
    <m/>
    <m/>
    <m/>
    <m/>
    <m/>
    <m/>
    <m/>
    <s v="Morro do Tetéu"/>
  </r>
  <r>
    <d v="2026-08-24T00:00:00"/>
    <s v="segunda-feira"/>
    <d v="2026-08-24T00:00:00"/>
    <m/>
    <x v="0"/>
    <m/>
    <m/>
    <m/>
    <m/>
    <m/>
    <m/>
    <m/>
    <m/>
    <m/>
    <m/>
    <s v="Morro do Tetéu"/>
  </r>
  <r>
    <d v="2026-08-25T00:00:00"/>
    <s v="terça-feira"/>
    <d v="2026-08-25T00:00:00"/>
    <m/>
    <x v="0"/>
    <m/>
    <m/>
    <m/>
    <m/>
    <m/>
    <m/>
    <m/>
    <m/>
    <m/>
    <m/>
    <s v="Morro do Tetéu"/>
  </r>
  <r>
    <d v="2026-08-26T00:00:00"/>
    <s v="quarta-feira"/>
    <d v="2026-08-26T00:00:00"/>
    <m/>
    <x v="0"/>
    <m/>
    <m/>
    <m/>
    <m/>
    <m/>
    <m/>
    <m/>
    <m/>
    <m/>
    <m/>
    <s v="Morro do Tetéu"/>
  </r>
  <r>
    <d v="2026-08-27T00:00:00"/>
    <s v="quinta-feira"/>
    <d v="2026-08-27T00:00:00"/>
    <m/>
    <x v="0"/>
    <m/>
    <m/>
    <m/>
    <m/>
    <m/>
    <m/>
    <m/>
    <m/>
    <m/>
    <m/>
    <s v="Morro do Tetéu"/>
  </r>
  <r>
    <d v="2026-08-28T00:00:00"/>
    <s v="sexta-feira"/>
    <d v="2026-08-28T00:00:00"/>
    <m/>
    <x v="0"/>
    <m/>
    <m/>
    <m/>
    <m/>
    <m/>
    <m/>
    <m/>
    <m/>
    <m/>
    <m/>
    <s v="Morro do Tetéu"/>
  </r>
  <r>
    <d v="2026-08-29T00:00:00"/>
    <s v="sábado"/>
    <d v="2026-08-29T00:00:00"/>
    <s v="NÃO"/>
    <x v="0"/>
    <m/>
    <m/>
    <m/>
    <m/>
    <m/>
    <m/>
    <m/>
    <m/>
    <m/>
    <m/>
    <s v="Morro do Tetéu"/>
  </r>
  <r>
    <d v="2026-08-30T00:00:00"/>
    <s v="domingo"/>
    <d v="2026-08-30T00:00:00"/>
    <s v="NÃO"/>
    <x v="0"/>
    <m/>
    <m/>
    <m/>
    <m/>
    <m/>
    <m/>
    <m/>
    <m/>
    <m/>
    <m/>
    <s v="Morro do Tetéu"/>
  </r>
  <r>
    <d v="2026-08-31T00:00:00"/>
    <s v="segunda-feira"/>
    <d v="2026-08-31T00:00:00"/>
    <m/>
    <x v="0"/>
    <m/>
    <m/>
    <m/>
    <m/>
    <m/>
    <m/>
    <m/>
    <m/>
    <m/>
    <m/>
    <s v="Morro do Tetéu"/>
  </r>
  <r>
    <d v="2026-09-01T00:00:00"/>
    <s v="terça-feira"/>
    <d v="2026-09-01T00:00:00"/>
    <m/>
    <x v="0"/>
    <m/>
    <m/>
    <m/>
    <m/>
    <m/>
    <m/>
    <m/>
    <m/>
    <m/>
    <m/>
    <s v="Morro do Tetéu"/>
  </r>
  <r>
    <d v="2026-09-02T00:00:00"/>
    <s v="quarta-feira"/>
    <d v="2026-09-02T00:00:00"/>
    <m/>
    <x v="0"/>
    <m/>
    <m/>
    <m/>
    <m/>
    <m/>
    <m/>
    <m/>
    <m/>
    <m/>
    <m/>
    <s v="Morro do Tetéu"/>
  </r>
  <r>
    <d v="2026-09-03T00:00:00"/>
    <s v="quinta-feira"/>
    <d v="2026-09-03T00:00:00"/>
    <m/>
    <x v="0"/>
    <m/>
    <m/>
    <m/>
    <m/>
    <m/>
    <m/>
    <m/>
    <m/>
    <m/>
    <m/>
    <s v="Morro do Tetéu"/>
  </r>
  <r>
    <d v="2026-09-04T00:00:00"/>
    <s v="sexta-feira"/>
    <d v="2026-09-04T00:00:00"/>
    <m/>
    <x v="0"/>
    <m/>
    <m/>
    <m/>
    <m/>
    <m/>
    <m/>
    <m/>
    <m/>
    <m/>
    <m/>
    <s v="Morro do Tetéu"/>
  </r>
  <r>
    <d v="2026-09-05T00:00:00"/>
    <s v="sábado"/>
    <d v="2026-09-05T00:00:00"/>
    <s v="NÃO"/>
    <x v="0"/>
    <m/>
    <m/>
    <m/>
    <m/>
    <m/>
    <m/>
    <m/>
    <m/>
    <m/>
    <m/>
    <s v="Morro do Tetéu"/>
  </r>
  <r>
    <d v="2026-09-06T00:00:00"/>
    <s v="domingo"/>
    <d v="2026-09-06T00:00:00"/>
    <s v="NÃO"/>
    <x v="0"/>
    <m/>
    <m/>
    <m/>
    <m/>
    <m/>
    <m/>
    <m/>
    <m/>
    <m/>
    <m/>
    <s v="Morro do Tetéu"/>
  </r>
  <r>
    <d v="2026-09-07T00:00:00"/>
    <s v="segunda-feira"/>
    <d v="2026-09-07T00:00:00"/>
    <m/>
    <x v="0"/>
    <m/>
    <m/>
    <m/>
    <m/>
    <m/>
    <m/>
    <m/>
    <m/>
    <m/>
    <m/>
    <s v="Morro do Tetéu"/>
  </r>
  <r>
    <d v="2026-09-08T00:00:00"/>
    <s v="terça-feira"/>
    <d v="2026-09-08T00:00:00"/>
    <m/>
    <x v="0"/>
    <m/>
    <m/>
    <m/>
    <m/>
    <m/>
    <m/>
    <m/>
    <m/>
    <m/>
    <m/>
    <s v="Morro do Tetéu"/>
  </r>
  <r>
    <d v="2026-09-09T00:00:00"/>
    <s v="quarta-feira"/>
    <d v="2026-09-09T00:00:00"/>
    <m/>
    <x v="0"/>
    <m/>
    <m/>
    <m/>
    <m/>
    <m/>
    <m/>
    <m/>
    <m/>
    <m/>
    <m/>
    <s v="Morro do Tetéu"/>
  </r>
  <r>
    <d v="2026-09-10T00:00:00"/>
    <s v="quinta-feira"/>
    <d v="2026-09-10T00:00:00"/>
    <m/>
    <x v="0"/>
    <m/>
    <m/>
    <m/>
    <m/>
    <m/>
    <m/>
    <m/>
    <m/>
    <m/>
    <m/>
    <s v="Morro do Tetéu"/>
  </r>
  <r>
    <d v="2026-09-11T00:00:00"/>
    <s v="sexta-feira"/>
    <d v="2026-09-11T00:00:00"/>
    <m/>
    <x v="0"/>
    <m/>
    <m/>
    <m/>
    <m/>
    <m/>
    <m/>
    <m/>
    <m/>
    <m/>
    <m/>
    <s v="Morro do Tetéu"/>
  </r>
  <r>
    <d v="2026-09-12T00:00:00"/>
    <s v="sábado"/>
    <d v="2026-09-12T00:00:00"/>
    <s v="NÃO"/>
    <x v="0"/>
    <m/>
    <m/>
    <m/>
    <m/>
    <m/>
    <m/>
    <m/>
    <m/>
    <m/>
    <m/>
    <s v="Morro do Tetéu"/>
  </r>
  <r>
    <d v="2026-09-13T00:00:00"/>
    <s v="domingo"/>
    <d v="2026-09-13T00:00:00"/>
    <s v="NÃO"/>
    <x v="0"/>
    <m/>
    <m/>
    <m/>
    <m/>
    <m/>
    <m/>
    <m/>
    <m/>
    <m/>
    <m/>
    <s v="Morro do Tetéu"/>
  </r>
  <r>
    <d v="2026-09-14T00:00:00"/>
    <s v="segunda-feira"/>
    <d v="2026-09-14T00:00:00"/>
    <m/>
    <x v="0"/>
    <m/>
    <m/>
    <m/>
    <m/>
    <m/>
    <m/>
    <m/>
    <m/>
    <m/>
    <m/>
    <s v="Morro do Tetéu"/>
  </r>
  <r>
    <d v="2026-09-15T00:00:00"/>
    <s v="terça-feira"/>
    <d v="2026-09-15T00:00:00"/>
    <m/>
    <x v="0"/>
    <m/>
    <m/>
    <m/>
    <m/>
    <m/>
    <m/>
    <m/>
    <m/>
    <m/>
    <m/>
    <s v="Morro do Tetéu"/>
  </r>
  <r>
    <d v="2026-09-16T00:00:00"/>
    <s v="quarta-feira"/>
    <d v="2026-09-16T00:00:00"/>
    <m/>
    <x v="0"/>
    <m/>
    <m/>
    <m/>
    <m/>
    <m/>
    <m/>
    <m/>
    <m/>
    <m/>
    <m/>
    <s v="Morro do Tetéu"/>
  </r>
  <r>
    <d v="2026-09-17T00:00:00"/>
    <s v="quinta-feira"/>
    <d v="2026-09-17T00:00:00"/>
    <m/>
    <x v="0"/>
    <m/>
    <m/>
    <m/>
    <m/>
    <m/>
    <m/>
    <m/>
    <m/>
    <m/>
    <m/>
    <s v="Morro do Tetéu"/>
  </r>
  <r>
    <d v="2026-09-18T00:00:00"/>
    <s v="sexta-feira"/>
    <d v="2026-09-18T00:00:00"/>
    <m/>
    <x v="0"/>
    <m/>
    <m/>
    <m/>
    <m/>
    <m/>
    <m/>
    <m/>
    <m/>
    <m/>
    <m/>
    <s v="Morro do Tetéu"/>
  </r>
  <r>
    <d v="2026-09-19T00:00:00"/>
    <s v="sábado"/>
    <d v="2026-09-19T00:00:00"/>
    <s v="NÃO"/>
    <x v="0"/>
    <m/>
    <m/>
    <m/>
    <m/>
    <m/>
    <m/>
    <m/>
    <m/>
    <m/>
    <m/>
    <s v="Morro do Tetéu"/>
  </r>
  <r>
    <d v="2026-09-20T00:00:00"/>
    <s v="domingo"/>
    <d v="2026-09-20T00:00:00"/>
    <s v="NÃO"/>
    <x v="0"/>
    <m/>
    <m/>
    <m/>
    <m/>
    <m/>
    <m/>
    <m/>
    <m/>
    <m/>
    <m/>
    <s v="Morro do Tetéu"/>
  </r>
  <r>
    <d v="2026-09-21T00:00:00"/>
    <s v="segunda-feira"/>
    <d v="2026-09-21T00:00:00"/>
    <m/>
    <x v="0"/>
    <m/>
    <m/>
    <m/>
    <m/>
    <m/>
    <m/>
    <m/>
    <m/>
    <m/>
    <m/>
    <s v="Morro do Tetéu"/>
  </r>
  <r>
    <d v="2026-09-22T00:00:00"/>
    <s v="terça-feira"/>
    <d v="2026-09-22T00:00:00"/>
    <m/>
    <x v="0"/>
    <m/>
    <m/>
    <m/>
    <m/>
    <m/>
    <m/>
    <m/>
    <m/>
    <m/>
    <m/>
    <s v="Morro do Tetéu"/>
  </r>
  <r>
    <d v="2026-09-23T00:00:00"/>
    <s v="quarta-feira"/>
    <d v="2026-09-23T00:00:00"/>
    <m/>
    <x v="0"/>
    <m/>
    <m/>
    <m/>
    <m/>
    <m/>
    <m/>
    <m/>
    <m/>
    <m/>
    <m/>
    <s v="Morro do Tetéu"/>
  </r>
  <r>
    <d v="2026-09-24T00:00:00"/>
    <s v="quinta-feira"/>
    <d v="2026-09-24T00:00:00"/>
    <m/>
    <x v="0"/>
    <m/>
    <m/>
    <m/>
    <m/>
    <m/>
    <m/>
    <m/>
    <m/>
    <m/>
    <m/>
    <s v="Morro do Tetéu"/>
  </r>
  <r>
    <d v="2026-09-25T00:00:00"/>
    <s v="sexta-feira"/>
    <d v="2026-09-25T00:00:00"/>
    <m/>
    <x v="0"/>
    <m/>
    <m/>
    <m/>
    <m/>
    <m/>
    <m/>
    <m/>
    <m/>
    <m/>
    <m/>
    <s v="Morro do Tetéu"/>
  </r>
  <r>
    <d v="2026-09-26T00:00:00"/>
    <s v="sábado"/>
    <d v="2026-09-26T00:00:00"/>
    <s v="NÃO"/>
    <x v="0"/>
    <m/>
    <m/>
    <m/>
    <m/>
    <m/>
    <m/>
    <m/>
    <m/>
    <m/>
    <m/>
    <s v="Morro do Tetéu"/>
  </r>
  <r>
    <d v="2026-09-27T00:00:00"/>
    <s v="domingo"/>
    <d v="2026-09-27T00:00:00"/>
    <s v="NÃO"/>
    <x v="0"/>
    <m/>
    <m/>
    <m/>
    <m/>
    <m/>
    <m/>
    <m/>
    <m/>
    <m/>
    <m/>
    <s v="Morro do Tetéu"/>
  </r>
  <r>
    <d v="2026-09-28T00:00:00"/>
    <s v="segunda-feira"/>
    <d v="2026-09-28T00:00:00"/>
    <m/>
    <x v="0"/>
    <m/>
    <m/>
    <m/>
    <m/>
    <m/>
    <m/>
    <m/>
    <m/>
    <m/>
    <m/>
    <s v="Morro do Tetéu"/>
  </r>
  <r>
    <d v="2026-09-29T00:00:00"/>
    <s v="terça-feira"/>
    <d v="2026-09-29T00:00:00"/>
    <m/>
    <x v="0"/>
    <m/>
    <m/>
    <m/>
    <m/>
    <m/>
    <m/>
    <m/>
    <m/>
    <m/>
    <m/>
    <s v="Morro do Tetéu"/>
  </r>
  <r>
    <d v="2026-09-30T00:00:00"/>
    <s v="quarta-feira"/>
    <d v="2026-09-30T00:00:00"/>
    <m/>
    <x v="0"/>
    <m/>
    <m/>
    <m/>
    <m/>
    <m/>
    <m/>
    <m/>
    <m/>
    <m/>
    <m/>
    <s v="Morro do Tetéu"/>
  </r>
  <r>
    <d v="2026-10-01T00:00:00"/>
    <s v="quinta-feira"/>
    <d v="2026-10-01T00:00:00"/>
    <m/>
    <x v="0"/>
    <m/>
    <m/>
    <m/>
    <m/>
    <m/>
    <m/>
    <m/>
    <m/>
    <m/>
    <m/>
    <s v="Morro do Tetéu"/>
  </r>
  <r>
    <d v="2026-10-02T00:00:00"/>
    <s v="sexta-feira"/>
    <d v="2026-10-02T00:00:00"/>
    <m/>
    <x v="0"/>
    <m/>
    <m/>
    <m/>
    <m/>
    <m/>
    <m/>
    <m/>
    <m/>
    <m/>
    <m/>
    <s v="Morro do Tetéu"/>
  </r>
  <r>
    <d v="2026-10-03T00:00:00"/>
    <s v="sábado"/>
    <d v="2026-10-03T00:00:00"/>
    <s v="NÃO"/>
    <x v="0"/>
    <m/>
    <m/>
    <m/>
    <m/>
    <m/>
    <m/>
    <m/>
    <m/>
    <m/>
    <m/>
    <s v="Morro do Tetéu"/>
  </r>
  <r>
    <d v="2026-10-04T00:00:00"/>
    <s v="domingo"/>
    <d v="2026-10-04T00:00:00"/>
    <s v="NÃO"/>
    <x v="0"/>
    <m/>
    <m/>
    <m/>
    <m/>
    <m/>
    <m/>
    <m/>
    <m/>
    <m/>
    <m/>
    <s v="Morro do Tetéu"/>
  </r>
  <r>
    <d v="2026-10-05T00:00:00"/>
    <s v="segunda-feira"/>
    <d v="2026-10-05T00:00:00"/>
    <m/>
    <x v="0"/>
    <m/>
    <m/>
    <m/>
    <m/>
    <m/>
    <m/>
    <m/>
    <m/>
    <m/>
    <m/>
    <s v="Morro do Tetéu"/>
  </r>
  <r>
    <d v="2026-10-06T00:00:00"/>
    <s v="terça-feira"/>
    <d v="2026-10-06T00:00:00"/>
    <m/>
    <x v="0"/>
    <m/>
    <m/>
    <m/>
    <m/>
    <m/>
    <m/>
    <m/>
    <m/>
    <m/>
    <m/>
    <s v="Morro do Tetéu"/>
  </r>
  <r>
    <d v="2026-10-07T00:00:00"/>
    <s v="quarta-feira"/>
    <d v="2026-10-07T00:00:00"/>
    <m/>
    <x v="0"/>
    <m/>
    <m/>
    <m/>
    <m/>
    <m/>
    <m/>
    <m/>
    <m/>
    <m/>
    <m/>
    <s v="Morro do Tetéu"/>
  </r>
  <r>
    <d v="2026-10-08T00:00:00"/>
    <s v="quinta-feira"/>
    <d v="2026-10-08T00:00:00"/>
    <m/>
    <x v="0"/>
    <m/>
    <m/>
    <m/>
    <m/>
    <m/>
    <m/>
    <m/>
    <m/>
    <m/>
    <m/>
    <s v="Morro do Tetéu"/>
  </r>
  <r>
    <d v="2026-10-09T00:00:00"/>
    <s v="sexta-feira"/>
    <d v="2026-10-09T00:00:00"/>
    <m/>
    <x v="0"/>
    <m/>
    <m/>
    <m/>
    <m/>
    <m/>
    <m/>
    <m/>
    <m/>
    <m/>
    <m/>
    <s v="Morro do Tetéu"/>
  </r>
  <r>
    <d v="2026-10-10T00:00:00"/>
    <s v="sábado"/>
    <d v="2026-10-10T00:00:00"/>
    <s v="NÃO"/>
    <x v="0"/>
    <m/>
    <m/>
    <m/>
    <m/>
    <m/>
    <m/>
    <m/>
    <m/>
    <m/>
    <m/>
    <s v="Morro do Tetéu"/>
  </r>
  <r>
    <d v="2026-10-11T00:00:00"/>
    <s v="domingo"/>
    <d v="2026-10-11T00:00:00"/>
    <s v="NÃO"/>
    <x v="0"/>
    <m/>
    <m/>
    <m/>
    <m/>
    <m/>
    <m/>
    <m/>
    <m/>
    <m/>
    <m/>
    <s v="Morro do Tetéu"/>
  </r>
  <r>
    <d v="2026-10-12T00:00:00"/>
    <s v="segunda-feira"/>
    <d v="2026-10-12T00:00:00"/>
    <m/>
    <x v="0"/>
    <m/>
    <m/>
    <m/>
    <m/>
    <m/>
    <m/>
    <m/>
    <m/>
    <m/>
    <m/>
    <s v="Morro do Tetéu"/>
  </r>
  <r>
    <d v="2026-10-13T00:00:00"/>
    <s v="terça-feira"/>
    <d v="2026-10-13T00:00:00"/>
    <m/>
    <x v="0"/>
    <m/>
    <m/>
    <m/>
    <m/>
    <m/>
    <m/>
    <m/>
    <m/>
    <m/>
    <m/>
    <s v="Morro do Tetéu"/>
  </r>
  <r>
    <d v="2026-10-14T00:00:00"/>
    <s v="quarta-feira"/>
    <d v="2026-10-14T00:00:00"/>
    <m/>
    <x v="0"/>
    <m/>
    <m/>
    <m/>
    <m/>
    <m/>
    <m/>
    <m/>
    <m/>
    <m/>
    <m/>
    <s v="Morro do Tetéu"/>
  </r>
  <r>
    <d v="2026-10-15T00:00:00"/>
    <s v="quinta-feira"/>
    <d v="2026-10-15T00:00:00"/>
    <m/>
    <x v="0"/>
    <m/>
    <m/>
    <m/>
    <m/>
    <m/>
    <m/>
    <m/>
    <m/>
    <m/>
    <m/>
    <s v="Morro do Tetéu"/>
  </r>
  <r>
    <d v="2026-10-16T00:00:00"/>
    <s v="sexta-feira"/>
    <d v="2026-10-16T00:00:00"/>
    <m/>
    <x v="0"/>
    <m/>
    <m/>
    <m/>
    <m/>
    <m/>
    <m/>
    <m/>
    <m/>
    <m/>
    <m/>
    <s v="Morro do Tetéu"/>
  </r>
  <r>
    <d v="2026-10-17T00:00:00"/>
    <s v="sábado"/>
    <d v="2026-10-17T00:00:00"/>
    <s v="NÃO"/>
    <x v="0"/>
    <m/>
    <m/>
    <m/>
    <m/>
    <m/>
    <m/>
    <m/>
    <m/>
    <m/>
    <m/>
    <s v="Morro do Tetéu"/>
  </r>
  <r>
    <d v="2026-10-18T00:00:00"/>
    <s v="domingo"/>
    <d v="2026-10-18T00:00:00"/>
    <s v="NÃO"/>
    <x v="0"/>
    <m/>
    <m/>
    <m/>
    <m/>
    <m/>
    <m/>
    <m/>
    <m/>
    <m/>
    <m/>
    <s v="Morro do Tetéu"/>
  </r>
  <r>
    <d v="2026-10-19T00:00:00"/>
    <s v="segunda-feira"/>
    <d v="2026-10-19T00:00:00"/>
    <m/>
    <x v="0"/>
    <m/>
    <m/>
    <m/>
    <m/>
    <m/>
    <m/>
    <m/>
    <m/>
    <m/>
    <m/>
    <s v="Morro do Tetéu"/>
  </r>
  <r>
    <d v="2026-10-20T00:00:00"/>
    <s v="terça-feira"/>
    <d v="2026-10-20T00:00:00"/>
    <m/>
    <x v="0"/>
    <m/>
    <m/>
    <m/>
    <m/>
    <m/>
    <m/>
    <m/>
    <m/>
    <m/>
    <m/>
    <s v="Morro do Tetéu"/>
  </r>
  <r>
    <d v="2026-10-21T00:00:00"/>
    <s v="quarta-feira"/>
    <d v="2026-10-21T00:00:00"/>
    <m/>
    <x v="0"/>
    <m/>
    <m/>
    <m/>
    <m/>
    <m/>
    <m/>
    <m/>
    <m/>
    <m/>
    <m/>
    <s v="Morro do Tetéu"/>
  </r>
  <r>
    <d v="2026-10-22T00:00:00"/>
    <s v="quinta-feira"/>
    <d v="2026-10-22T00:00:00"/>
    <m/>
    <x v="0"/>
    <m/>
    <m/>
    <m/>
    <m/>
    <m/>
    <m/>
    <m/>
    <m/>
    <m/>
    <m/>
    <s v="Morro do Tetéu"/>
  </r>
  <r>
    <d v="2026-10-23T00:00:00"/>
    <s v="sexta-feira"/>
    <d v="2026-10-23T00:00:00"/>
    <m/>
    <x v="0"/>
    <m/>
    <m/>
    <m/>
    <m/>
    <m/>
    <m/>
    <m/>
    <m/>
    <m/>
    <m/>
    <s v="Morro do Tetéu"/>
  </r>
  <r>
    <d v="2026-10-24T00:00:00"/>
    <s v="sábado"/>
    <d v="2026-10-24T00:00:00"/>
    <s v="NÃO"/>
    <x v="0"/>
    <m/>
    <m/>
    <m/>
    <m/>
    <m/>
    <m/>
    <m/>
    <m/>
    <m/>
    <m/>
    <s v="Morro do Tetéu"/>
  </r>
  <r>
    <d v="2026-10-25T00:00:00"/>
    <s v="domingo"/>
    <d v="2026-10-25T00:00:00"/>
    <s v="NÃO"/>
    <x v="0"/>
    <m/>
    <m/>
    <m/>
    <m/>
    <m/>
    <m/>
    <m/>
    <m/>
    <m/>
    <m/>
    <s v="Morro do Tetéu"/>
  </r>
  <r>
    <d v="2026-10-26T00:00:00"/>
    <s v="segunda-feira"/>
    <d v="2026-10-26T00:00:00"/>
    <m/>
    <x v="0"/>
    <m/>
    <m/>
    <m/>
    <m/>
    <m/>
    <m/>
    <m/>
    <m/>
    <m/>
    <m/>
    <s v="Morro do Tetéu"/>
  </r>
  <r>
    <d v="2026-10-27T00:00:00"/>
    <s v="terça-feira"/>
    <d v="2026-10-27T00:00:00"/>
    <m/>
    <x v="0"/>
    <m/>
    <m/>
    <m/>
    <m/>
    <m/>
    <m/>
    <m/>
    <m/>
    <m/>
    <m/>
    <s v="Morro do Tetéu"/>
  </r>
  <r>
    <d v="2026-10-28T00:00:00"/>
    <s v="quarta-feira"/>
    <d v="2026-10-28T00:00:00"/>
    <m/>
    <x v="0"/>
    <m/>
    <m/>
    <m/>
    <m/>
    <m/>
    <m/>
    <m/>
    <m/>
    <m/>
    <m/>
    <s v="Morro do Tetéu"/>
  </r>
  <r>
    <d v="2026-10-29T00:00:00"/>
    <s v="quinta-feira"/>
    <d v="2026-10-29T00:00:00"/>
    <m/>
    <x v="0"/>
    <m/>
    <m/>
    <m/>
    <m/>
    <m/>
    <m/>
    <m/>
    <m/>
    <m/>
    <m/>
    <s v="Morro do Tetéu"/>
  </r>
  <r>
    <d v="2026-10-30T00:00:00"/>
    <s v="sexta-feira"/>
    <d v="2026-10-30T00:00:00"/>
    <m/>
    <x v="0"/>
    <m/>
    <m/>
    <m/>
    <m/>
    <m/>
    <m/>
    <m/>
    <m/>
    <m/>
    <m/>
    <s v="Morro do Tetéu"/>
  </r>
  <r>
    <d v="2026-10-31T00:00:00"/>
    <s v="sábado"/>
    <d v="2026-10-31T00:00:00"/>
    <s v="NÃO"/>
    <x v="0"/>
    <m/>
    <m/>
    <m/>
    <m/>
    <m/>
    <m/>
    <m/>
    <m/>
    <m/>
    <m/>
    <s v="Morro do Tetéu"/>
  </r>
  <r>
    <d v="2026-11-01T00:00:00"/>
    <s v="domingo"/>
    <d v="2026-11-01T00:00:00"/>
    <s v="NÃO"/>
    <x v="0"/>
    <m/>
    <m/>
    <m/>
    <m/>
    <m/>
    <m/>
    <m/>
    <m/>
    <m/>
    <m/>
    <s v="Morro do Tetéu"/>
  </r>
  <r>
    <d v="2026-11-02T00:00:00"/>
    <s v="segunda-feira"/>
    <d v="2026-11-02T00:00:00"/>
    <m/>
    <x v="0"/>
    <m/>
    <m/>
    <m/>
    <m/>
    <m/>
    <m/>
    <m/>
    <m/>
    <m/>
    <m/>
    <s v="Morro do Tetéu"/>
  </r>
  <r>
    <d v="2026-11-03T00:00:00"/>
    <s v="terça-feira"/>
    <d v="2026-11-03T00:00:00"/>
    <m/>
    <x v="0"/>
    <m/>
    <m/>
    <m/>
    <m/>
    <m/>
    <m/>
    <m/>
    <m/>
    <m/>
    <m/>
    <s v="Morro do Tetéu"/>
  </r>
  <r>
    <d v="2026-11-04T00:00:00"/>
    <s v="quarta-feira"/>
    <d v="2026-11-04T00:00:00"/>
    <m/>
    <x v="0"/>
    <m/>
    <m/>
    <m/>
    <m/>
    <m/>
    <m/>
    <m/>
    <m/>
    <m/>
    <m/>
    <s v="Morro do Tetéu"/>
  </r>
  <r>
    <d v="2026-11-05T00:00:00"/>
    <s v="quinta-feira"/>
    <d v="2026-11-05T00:00:00"/>
    <m/>
    <x v="0"/>
    <m/>
    <m/>
    <m/>
    <m/>
    <m/>
    <m/>
    <m/>
    <m/>
    <m/>
    <m/>
    <s v="Morro do Tetéu"/>
  </r>
  <r>
    <d v="2026-11-06T00:00:00"/>
    <s v="sexta-feira"/>
    <d v="2026-11-06T00:00:00"/>
    <m/>
    <x v="0"/>
    <m/>
    <m/>
    <m/>
    <m/>
    <m/>
    <m/>
    <m/>
    <m/>
    <m/>
    <m/>
    <s v="Morro do Tetéu"/>
  </r>
  <r>
    <d v="2026-11-07T00:00:00"/>
    <s v="sábado"/>
    <d v="2026-11-07T00:00:00"/>
    <s v="NÃO"/>
    <x v="0"/>
    <m/>
    <m/>
    <m/>
    <m/>
    <m/>
    <m/>
    <m/>
    <m/>
    <m/>
    <m/>
    <s v="Morro do Tetéu"/>
  </r>
  <r>
    <d v="2026-11-08T00:00:00"/>
    <s v="domingo"/>
    <d v="2026-11-08T00:00:00"/>
    <s v="NÃO"/>
    <x v="0"/>
    <m/>
    <m/>
    <m/>
    <m/>
    <m/>
    <m/>
    <m/>
    <m/>
    <m/>
    <m/>
    <s v="Morro do Tetéu"/>
  </r>
  <r>
    <d v="2026-11-09T00:00:00"/>
    <s v="segunda-feira"/>
    <d v="2026-11-09T00:00:00"/>
    <m/>
    <x v="0"/>
    <m/>
    <m/>
    <m/>
    <m/>
    <m/>
    <m/>
    <m/>
    <m/>
    <m/>
    <m/>
    <s v="Morro do Tetéu"/>
  </r>
  <r>
    <d v="2026-11-10T00:00:00"/>
    <s v="terça-feira"/>
    <d v="2026-11-10T00:00:00"/>
    <m/>
    <x v="0"/>
    <m/>
    <m/>
    <m/>
    <m/>
    <m/>
    <m/>
    <m/>
    <m/>
    <m/>
    <m/>
    <s v="Morro do Tetéu"/>
  </r>
  <r>
    <d v="2026-11-11T00:00:00"/>
    <s v="quarta-feira"/>
    <d v="2026-11-11T00:00:00"/>
    <m/>
    <x v="0"/>
    <m/>
    <m/>
    <m/>
    <m/>
    <m/>
    <m/>
    <m/>
    <m/>
    <m/>
    <m/>
    <s v="Morro do Tetéu"/>
  </r>
  <r>
    <d v="2026-11-12T00:00:00"/>
    <s v="quinta-feira"/>
    <d v="2026-11-12T00:00:00"/>
    <m/>
    <x v="0"/>
    <m/>
    <m/>
    <m/>
    <m/>
    <m/>
    <m/>
    <m/>
    <m/>
    <m/>
    <m/>
    <s v="Morro do Tetéu"/>
  </r>
  <r>
    <d v="2026-11-13T00:00:00"/>
    <s v="sexta-feira"/>
    <d v="2026-11-13T00:00:00"/>
    <m/>
    <x v="0"/>
    <m/>
    <m/>
    <m/>
    <m/>
    <m/>
    <m/>
    <m/>
    <m/>
    <m/>
    <m/>
    <s v="Morro do Tetéu"/>
  </r>
  <r>
    <d v="2026-11-14T00:00:00"/>
    <s v="sábado"/>
    <d v="2026-11-14T00:00:00"/>
    <s v="NÃO"/>
    <x v="0"/>
    <m/>
    <m/>
    <m/>
    <m/>
    <m/>
    <m/>
    <m/>
    <m/>
    <m/>
    <m/>
    <s v="Morro do Tetéu"/>
  </r>
  <r>
    <d v="2026-11-15T00:00:00"/>
    <s v="domingo"/>
    <d v="2026-11-15T00:00:00"/>
    <s v="NÃO"/>
    <x v="0"/>
    <m/>
    <m/>
    <m/>
    <m/>
    <m/>
    <m/>
    <m/>
    <m/>
    <m/>
    <m/>
    <s v="Morro do Tetéu"/>
  </r>
  <r>
    <d v="2026-11-16T00:00:00"/>
    <s v="segunda-feira"/>
    <d v="2026-11-16T00:00:00"/>
    <m/>
    <x v="0"/>
    <m/>
    <m/>
    <m/>
    <m/>
    <m/>
    <m/>
    <m/>
    <m/>
    <m/>
    <m/>
    <s v="Morro do Tetéu"/>
  </r>
  <r>
    <d v="2026-11-17T00:00:00"/>
    <s v="terça-feira"/>
    <d v="2026-11-17T00:00:00"/>
    <m/>
    <x v="0"/>
    <m/>
    <m/>
    <m/>
    <m/>
    <m/>
    <m/>
    <m/>
    <m/>
    <m/>
    <m/>
    <s v="Morro do Tetéu"/>
  </r>
  <r>
    <d v="2026-11-18T00:00:00"/>
    <s v="quarta-feira"/>
    <d v="2026-11-18T00:00:00"/>
    <m/>
    <x v="0"/>
    <m/>
    <m/>
    <m/>
    <m/>
    <m/>
    <m/>
    <m/>
    <m/>
    <m/>
    <m/>
    <s v="Morro do Tetéu"/>
  </r>
  <r>
    <d v="2026-11-19T00:00:00"/>
    <s v="quinta-feira"/>
    <d v="2026-11-19T00:00:00"/>
    <m/>
    <x v="0"/>
    <m/>
    <m/>
    <m/>
    <m/>
    <m/>
    <m/>
    <m/>
    <m/>
    <m/>
    <m/>
    <s v="Morro do Tetéu"/>
  </r>
  <r>
    <d v="2026-11-20T00:00:00"/>
    <s v="sexta-feira"/>
    <d v="2026-11-20T00:00:00"/>
    <m/>
    <x v="0"/>
    <m/>
    <m/>
    <m/>
    <m/>
    <m/>
    <m/>
    <m/>
    <m/>
    <m/>
    <m/>
    <s v="Morro do Tetéu"/>
  </r>
  <r>
    <d v="2026-11-21T00:00:00"/>
    <s v="sábado"/>
    <d v="2026-11-21T00:00:00"/>
    <s v="NÃO"/>
    <x v="0"/>
    <m/>
    <m/>
    <m/>
    <m/>
    <m/>
    <m/>
    <m/>
    <m/>
    <m/>
    <m/>
    <s v="Morro do Tetéu"/>
  </r>
  <r>
    <d v="2026-11-22T00:00:00"/>
    <s v="domingo"/>
    <d v="2026-11-22T00:00:00"/>
    <s v="NÃO"/>
    <x v="0"/>
    <m/>
    <m/>
    <m/>
    <m/>
    <m/>
    <m/>
    <m/>
    <m/>
    <m/>
    <m/>
    <s v="Morro do Tetéu"/>
  </r>
  <r>
    <d v="2026-11-23T00:00:00"/>
    <s v="segunda-feira"/>
    <d v="2026-11-23T00:00:00"/>
    <m/>
    <x v="0"/>
    <m/>
    <m/>
    <m/>
    <m/>
    <m/>
    <m/>
    <m/>
    <m/>
    <m/>
    <m/>
    <s v="Morro do Tetéu"/>
  </r>
  <r>
    <d v="2026-11-24T00:00:00"/>
    <s v="terça-feira"/>
    <d v="2026-11-24T00:00:00"/>
    <m/>
    <x v="0"/>
    <m/>
    <m/>
    <m/>
    <m/>
    <m/>
    <m/>
    <m/>
    <m/>
    <m/>
    <m/>
    <s v="Morro do Tetéu"/>
  </r>
  <r>
    <d v="2026-11-25T00:00:00"/>
    <s v="quarta-feira"/>
    <d v="2026-11-25T00:00:00"/>
    <m/>
    <x v="0"/>
    <m/>
    <m/>
    <m/>
    <m/>
    <m/>
    <m/>
    <m/>
    <m/>
    <m/>
    <m/>
    <s v="Morro do Tetéu"/>
  </r>
  <r>
    <d v="2026-11-26T00:00:00"/>
    <s v="quinta-feira"/>
    <d v="2026-11-26T00:00:00"/>
    <m/>
    <x v="0"/>
    <m/>
    <m/>
    <m/>
    <m/>
    <m/>
    <m/>
    <m/>
    <m/>
    <m/>
    <m/>
    <s v="Morro do Tetéu"/>
  </r>
  <r>
    <d v="2026-11-27T00:00:00"/>
    <s v="sexta-feira"/>
    <d v="2026-11-27T00:00:00"/>
    <m/>
    <x v="0"/>
    <m/>
    <m/>
    <m/>
    <m/>
    <m/>
    <m/>
    <m/>
    <m/>
    <m/>
    <m/>
    <s v="Morro do Tetéu"/>
  </r>
  <r>
    <d v="2026-11-28T00:00:00"/>
    <s v="sábado"/>
    <d v="2026-11-28T00:00:00"/>
    <s v="NÃO"/>
    <x v="0"/>
    <m/>
    <m/>
    <m/>
    <m/>
    <m/>
    <m/>
    <m/>
    <m/>
    <m/>
    <m/>
    <s v="Morro do Tetéu"/>
  </r>
  <r>
    <d v="2026-11-29T00:00:00"/>
    <s v="domingo"/>
    <d v="2026-11-29T00:00:00"/>
    <s v="NÃO"/>
    <x v="0"/>
    <m/>
    <m/>
    <m/>
    <m/>
    <m/>
    <m/>
    <m/>
    <m/>
    <m/>
    <m/>
    <s v="Morro do Tetéu"/>
  </r>
  <r>
    <d v="2026-11-30T00:00:00"/>
    <s v="segunda-feira"/>
    <d v="2026-11-30T00:00:00"/>
    <m/>
    <x v="0"/>
    <m/>
    <m/>
    <m/>
    <m/>
    <m/>
    <m/>
    <m/>
    <m/>
    <m/>
    <m/>
    <s v="Morro do Tetéu"/>
  </r>
  <r>
    <d v="2026-12-01T00:00:00"/>
    <s v="terça-feira"/>
    <d v="2026-12-01T00:00:00"/>
    <m/>
    <x v="0"/>
    <m/>
    <m/>
    <m/>
    <m/>
    <m/>
    <m/>
    <m/>
    <m/>
    <m/>
    <m/>
    <s v="Morro do Tetéu"/>
  </r>
  <r>
    <d v="2026-12-02T00:00:00"/>
    <s v="quarta-feira"/>
    <d v="2026-12-02T00:00:00"/>
    <m/>
    <x v="0"/>
    <m/>
    <m/>
    <m/>
    <m/>
    <m/>
    <m/>
    <m/>
    <m/>
    <m/>
    <m/>
    <s v="Morro do Tetéu"/>
  </r>
  <r>
    <d v="2026-12-03T00:00:00"/>
    <s v="quinta-feira"/>
    <d v="2026-12-03T00:00:00"/>
    <m/>
    <x v="0"/>
    <m/>
    <m/>
    <m/>
    <m/>
    <m/>
    <m/>
    <m/>
    <m/>
    <m/>
    <m/>
    <s v="Morro do Tetéu"/>
  </r>
  <r>
    <d v="2026-12-04T00:00:00"/>
    <s v="sexta-feira"/>
    <d v="2026-12-04T00:00:00"/>
    <m/>
    <x v="0"/>
    <m/>
    <m/>
    <m/>
    <m/>
    <m/>
    <m/>
    <m/>
    <m/>
    <m/>
    <m/>
    <s v="Morro do Tetéu"/>
  </r>
  <r>
    <d v="2026-12-05T00:00:00"/>
    <s v="sábado"/>
    <d v="2026-12-05T00:00:00"/>
    <s v="NÃO"/>
    <x v="0"/>
    <m/>
    <m/>
    <m/>
    <m/>
    <m/>
    <m/>
    <m/>
    <m/>
    <m/>
    <m/>
    <s v="Morro do Tetéu"/>
  </r>
  <r>
    <d v="2026-12-06T00:00:00"/>
    <s v="domingo"/>
    <d v="2026-12-06T00:00:00"/>
    <s v="NÃO"/>
    <x v="0"/>
    <m/>
    <m/>
    <m/>
    <m/>
    <m/>
    <m/>
    <m/>
    <m/>
    <m/>
    <m/>
    <s v="Morro do Tetéu"/>
  </r>
  <r>
    <d v="2026-12-07T00:00:00"/>
    <s v="segunda-feira"/>
    <d v="2026-12-07T00:00:00"/>
    <m/>
    <x v="0"/>
    <m/>
    <m/>
    <m/>
    <m/>
    <m/>
    <m/>
    <m/>
    <m/>
    <m/>
    <m/>
    <s v="Morro do Tetéu"/>
  </r>
  <r>
    <d v="2026-12-08T00:00:00"/>
    <s v="terça-feira"/>
    <d v="2026-12-08T00:00:00"/>
    <m/>
    <x v="0"/>
    <m/>
    <m/>
    <m/>
    <m/>
    <m/>
    <m/>
    <m/>
    <m/>
    <m/>
    <m/>
    <s v="Morro do Tetéu"/>
  </r>
  <r>
    <d v="2026-12-09T00:00:00"/>
    <s v="quarta-feira"/>
    <d v="2026-12-09T00:00:00"/>
    <m/>
    <x v="0"/>
    <m/>
    <m/>
    <m/>
    <m/>
    <m/>
    <m/>
    <m/>
    <m/>
    <m/>
    <m/>
    <s v="Morro do Tetéu"/>
  </r>
  <r>
    <d v="2026-12-10T00:00:00"/>
    <s v="quinta-feira"/>
    <d v="2026-12-10T00:00:00"/>
    <m/>
    <x v="0"/>
    <m/>
    <m/>
    <m/>
    <m/>
    <m/>
    <m/>
    <m/>
    <m/>
    <m/>
    <m/>
    <s v="Morro do Tetéu"/>
  </r>
  <r>
    <d v="2026-12-11T00:00:00"/>
    <s v="sexta-feira"/>
    <d v="2026-12-11T00:00:00"/>
    <m/>
    <x v="0"/>
    <m/>
    <m/>
    <m/>
    <m/>
    <m/>
    <m/>
    <m/>
    <m/>
    <m/>
    <m/>
    <s v="Morro do Tetéu"/>
  </r>
  <r>
    <d v="2026-12-12T00:00:00"/>
    <s v="sábado"/>
    <d v="2026-12-12T00:00:00"/>
    <s v="NÃO"/>
    <x v="0"/>
    <m/>
    <m/>
    <m/>
    <m/>
    <m/>
    <m/>
    <m/>
    <m/>
    <m/>
    <m/>
    <s v="Morro do Tetéu"/>
  </r>
  <r>
    <d v="2026-12-13T00:00:00"/>
    <s v="domingo"/>
    <d v="2026-12-13T00:00:00"/>
    <s v="NÃO"/>
    <x v="0"/>
    <m/>
    <m/>
    <m/>
    <m/>
    <m/>
    <m/>
    <m/>
    <m/>
    <m/>
    <m/>
    <s v="Morro do Tetéu"/>
  </r>
  <r>
    <d v="2026-12-14T00:00:00"/>
    <s v="segunda-feira"/>
    <d v="2026-12-14T00:00:00"/>
    <m/>
    <x v="0"/>
    <m/>
    <m/>
    <m/>
    <m/>
    <m/>
    <m/>
    <m/>
    <m/>
    <m/>
    <m/>
    <s v="Morro do Tetéu"/>
  </r>
  <r>
    <d v="2026-12-15T00:00:00"/>
    <s v="terça-feira"/>
    <d v="2026-12-15T00:00:00"/>
    <m/>
    <x v="0"/>
    <m/>
    <m/>
    <m/>
    <m/>
    <m/>
    <m/>
    <m/>
    <m/>
    <m/>
    <m/>
    <s v="Morro do Tetéu"/>
  </r>
  <r>
    <d v="2026-12-16T00:00:00"/>
    <s v="quarta-feira"/>
    <d v="2026-12-16T00:00:00"/>
    <m/>
    <x v="0"/>
    <m/>
    <m/>
    <m/>
    <m/>
    <m/>
    <m/>
    <m/>
    <m/>
    <m/>
    <m/>
    <s v="Morro do Tetéu"/>
  </r>
  <r>
    <d v="2026-12-17T00:00:00"/>
    <s v="quinta-feira"/>
    <d v="2026-12-17T00:00:00"/>
    <m/>
    <x v="0"/>
    <m/>
    <m/>
    <m/>
    <m/>
    <m/>
    <m/>
    <m/>
    <m/>
    <m/>
    <m/>
    <s v="Morro do Tetéu"/>
  </r>
  <r>
    <d v="2026-12-18T00:00:00"/>
    <s v="sexta-feira"/>
    <d v="2026-12-18T00:00:00"/>
    <m/>
    <x v="0"/>
    <m/>
    <m/>
    <m/>
    <m/>
    <m/>
    <m/>
    <m/>
    <m/>
    <m/>
    <m/>
    <s v="Morro do Tetéu"/>
  </r>
  <r>
    <d v="2026-12-19T00:00:00"/>
    <s v="sábado"/>
    <d v="2026-12-19T00:00:00"/>
    <s v="NÃO"/>
    <x v="0"/>
    <m/>
    <m/>
    <m/>
    <m/>
    <m/>
    <m/>
    <m/>
    <m/>
    <m/>
    <m/>
    <s v="Morro do Tetéu"/>
  </r>
  <r>
    <d v="2026-12-20T00:00:00"/>
    <s v="domingo"/>
    <d v="2026-12-20T00:00:00"/>
    <s v="NÃO"/>
    <x v="0"/>
    <m/>
    <m/>
    <m/>
    <m/>
    <m/>
    <m/>
    <m/>
    <m/>
    <m/>
    <m/>
    <s v="Morro do Tetéu"/>
  </r>
  <r>
    <d v="2026-12-21T00:00:00"/>
    <s v="segunda-feira"/>
    <d v="2026-12-21T00:00:00"/>
    <m/>
    <x v="0"/>
    <m/>
    <m/>
    <m/>
    <m/>
    <m/>
    <m/>
    <m/>
    <m/>
    <m/>
    <m/>
    <s v="Morro do Tetéu"/>
  </r>
  <r>
    <d v="2026-12-22T00:00:00"/>
    <s v="terça-feira"/>
    <d v="2026-12-22T00:00:00"/>
    <m/>
    <x v="0"/>
    <m/>
    <m/>
    <m/>
    <m/>
    <m/>
    <m/>
    <m/>
    <m/>
    <m/>
    <m/>
    <s v="Morro do Tetéu"/>
  </r>
  <r>
    <d v="2026-12-23T00:00:00"/>
    <s v="quarta-feira"/>
    <d v="2026-12-23T00:00:00"/>
    <m/>
    <x v="0"/>
    <m/>
    <m/>
    <m/>
    <m/>
    <m/>
    <m/>
    <m/>
    <m/>
    <m/>
    <m/>
    <s v="Morro do Tetéu"/>
  </r>
  <r>
    <d v="2026-12-24T00:00:00"/>
    <s v="quinta-feira"/>
    <d v="2026-12-24T00:00:00"/>
    <m/>
    <x v="0"/>
    <m/>
    <m/>
    <m/>
    <m/>
    <m/>
    <m/>
    <m/>
    <m/>
    <m/>
    <m/>
    <s v="Morro do Tetéu"/>
  </r>
  <r>
    <d v="2026-12-25T00:00:00"/>
    <s v="sexta-feira"/>
    <d v="2026-12-25T00:00:00"/>
    <m/>
    <x v="0"/>
    <m/>
    <m/>
    <m/>
    <m/>
    <m/>
    <m/>
    <m/>
    <m/>
    <m/>
    <m/>
    <s v="Morro do Tetéu"/>
  </r>
  <r>
    <d v="2026-12-26T00:00:00"/>
    <s v="sábado"/>
    <d v="2026-12-26T00:00:00"/>
    <s v="NÃO"/>
    <x v="0"/>
    <m/>
    <m/>
    <m/>
    <m/>
    <m/>
    <m/>
    <m/>
    <m/>
    <m/>
    <m/>
    <s v="Morro do Tetéu"/>
  </r>
  <r>
    <d v="2026-12-27T00:00:00"/>
    <s v="domingo"/>
    <d v="2026-12-27T00:00:00"/>
    <s v="NÃO"/>
    <x v="0"/>
    <m/>
    <m/>
    <m/>
    <m/>
    <m/>
    <m/>
    <m/>
    <m/>
    <m/>
    <m/>
    <s v="Morro do Tetéu"/>
  </r>
  <r>
    <d v="2026-12-28T00:00:00"/>
    <s v="segunda-feira"/>
    <d v="2026-12-28T00:00:00"/>
    <m/>
    <x v="0"/>
    <m/>
    <m/>
    <m/>
    <m/>
    <m/>
    <m/>
    <m/>
    <m/>
    <m/>
    <m/>
    <s v="Morro do Tetéu"/>
  </r>
  <r>
    <d v="2026-12-29T00:00:00"/>
    <s v="terça-feira"/>
    <d v="2026-12-29T00:00:00"/>
    <m/>
    <x v="0"/>
    <m/>
    <m/>
    <m/>
    <m/>
    <m/>
    <m/>
    <m/>
    <m/>
    <m/>
    <m/>
    <s v="Morro do Tetéu"/>
  </r>
  <r>
    <d v="2026-12-30T00:00:00"/>
    <s v="quarta-feira"/>
    <d v="2026-12-30T00:00:00"/>
    <m/>
    <x v="0"/>
    <m/>
    <m/>
    <m/>
    <m/>
    <m/>
    <m/>
    <m/>
    <m/>
    <m/>
    <m/>
    <s v="Morro do Tetéu"/>
  </r>
  <r>
    <d v="2026-12-31T00:00:00"/>
    <s v="quinta-feira"/>
    <d v="2026-12-31T00:00:00"/>
    <m/>
    <x v="0"/>
    <m/>
    <m/>
    <m/>
    <m/>
    <m/>
    <m/>
    <m/>
    <m/>
    <m/>
    <m/>
    <s v="Morro do Tetéu"/>
  </r>
  <r>
    <d v="2027-01-01T00:00:00"/>
    <s v="sexta-feira"/>
    <d v="2027-01-01T00:00:00"/>
    <m/>
    <x v="0"/>
    <m/>
    <m/>
    <m/>
    <m/>
    <m/>
    <m/>
    <m/>
    <m/>
    <m/>
    <m/>
    <s v="Morro do Tetéu"/>
  </r>
  <r>
    <d v="2027-01-02T00:00:00"/>
    <s v="sábado"/>
    <d v="2027-01-02T00:00:00"/>
    <s v="NÃO"/>
    <x v="0"/>
    <m/>
    <m/>
    <m/>
    <m/>
    <m/>
    <m/>
    <m/>
    <m/>
    <m/>
    <m/>
    <s v="Morro do Tetéu"/>
  </r>
  <r>
    <d v="2027-01-03T00:00:00"/>
    <s v="domingo"/>
    <d v="2027-01-03T00:00:00"/>
    <s v="NÃO"/>
    <x v="0"/>
    <m/>
    <m/>
    <m/>
    <m/>
    <m/>
    <m/>
    <m/>
    <m/>
    <m/>
    <m/>
    <s v="Morro do Tetéu"/>
  </r>
  <r>
    <d v="2027-01-04T00:00:00"/>
    <s v="segunda-feira"/>
    <d v="2027-01-04T00:00:00"/>
    <m/>
    <x v="0"/>
    <m/>
    <m/>
    <m/>
    <m/>
    <m/>
    <m/>
    <m/>
    <m/>
    <m/>
    <m/>
    <s v="Morro do Tetéu"/>
  </r>
  <r>
    <d v="2027-01-05T00:00:00"/>
    <s v="terça-feira"/>
    <d v="2027-01-05T00:00:00"/>
    <m/>
    <x v="0"/>
    <m/>
    <m/>
    <m/>
    <m/>
    <m/>
    <m/>
    <m/>
    <m/>
    <m/>
    <m/>
    <s v="Morro do Tetéu"/>
  </r>
  <r>
    <d v="2027-01-06T00:00:00"/>
    <s v="quarta-feira"/>
    <d v="2027-01-06T00:00:00"/>
    <m/>
    <x v="0"/>
    <m/>
    <m/>
    <m/>
    <m/>
    <m/>
    <m/>
    <m/>
    <m/>
    <m/>
    <m/>
    <s v="Morro do Tetéu"/>
  </r>
  <r>
    <d v="2027-01-07T00:00:00"/>
    <s v="quinta-feira"/>
    <d v="2027-01-07T00:00:00"/>
    <m/>
    <x v="0"/>
    <m/>
    <m/>
    <m/>
    <m/>
    <m/>
    <m/>
    <m/>
    <m/>
    <m/>
    <m/>
    <s v="Morro do Tetéu"/>
  </r>
  <r>
    <d v="2027-01-08T00:00:00"/>
    <s v="sexta-feira"/>
    <d v="2027-01-08T00:00:00"/>
    <m/>
    <x v="0"/>
    <m/>
    <m/>
    <m/>
    <m/>
    <m/>
    <m/>
    <m/>
    <m/>
    <m/>
    <m/>
    <s v="Morro do Tetéu"/>
  </r>
  <r>
    <d v="2027-01-09T00:00:00"/>
    <s v="sábado"/>
    <d v="2027-01-09T00:00:00"/>
    <s v="NÃO"/>
    <x v="0"/>
    <m/>
    <m/>
    <m/>
    <m/>
    <m/>
    <m/>
    <m/>
    <m/>
    <m/>
    <m/>
    <s v="Morro do Tetéu"/>
  </r>
  <r>
    <d v="2027-01-10T00:00:00"/>
    <s v="domingo"/>
    <d v="2027-01-10T00:00:00"/>
    <s v="NÃO"/>
    <x v="0"/>
    <m/>
    <m/>
    <m/>
    <m/>
    <m/>
    <m/>
    <m/>
    <m/>
    <m/>
    <m/>
    <s v="Morro do Tetéu"/>
  </r>
  <r>
    <d v="2027-01-11T00:00:00"/>
    <s v="segunda-feira"/>
    <d v="2027-01-11T00:00:00"/>
    <m/>
    <x v="0"/>
    <m/>
    <m/>
    <m/>
    <m/>
    <m/>
    <m/>
    <m/>
    <m/>
    <m/>
    <m/>
    <s v="Morro do Tetéu"/>
  </r>
  <r>
    <d v="2027-01-12T00:00:00"/>
    <s v="terça-feira"/>
    <d v="2027-01-12T00:00:00"/>
    <m/>
    <x v="0"/>
    <m/>
    <m/>
    <m/>
    <m/>
    <m/>
    <m/>
    <m/>
    <m/>
    <m/>
    <m/>
    <s v="Morro do Tetéu"/>
  </r>
  <r>
    <d v="2027-01-13T00:00:00"/>
    <s v="quarta-feira"/>
    <d v="2027-01-13T00:00:00"/>
    <m/>
    <x v="0"/>
    <m/>
    <m/>
    <m/>
    <m/>
    <m/>
    <m/>
    <m/>
    <m/>
    <m/>
    <m/>
    <s v="Morro do Tetéu"/>
  </r>
  <r>
    <d v="2027-01-14T00:00:00"/>
    <s v="quinta-feira"/>
    <d v="2027-01-14T00:00:00"/>
    <m/>
    <x v="0"/>
    <m/>
    <m/>
    <m/>
    <m/>
    <m/>
    <m/>
    <m/>
    <m/>
    <m/>
    <m/>
    <s v="Morro do Tetéu"/>
  </r>
  <r>
    <d v="2027-01-15T00:00:00"/>
    <s v="sexta-feira"/>
    <d v="2027-01-15T00:00:00"/>
    <m/>
    <x v="0"/>
    <m/>
    <m/>
    <m/>
    <m/>
    <m/>
    <m/>
    <m/>
    <m/>
    <m/>
    <m/>
    <s v="Morro do Tetéu"/>
  </r>
  <r>
    <d v="2027-01-16T00:00:00"/>
    <s v="sábado"/>
    <d v="2027-01-16T00:00:00"/>
    <s v="NÃO"/>
    <x v="0"/>
    <m/>
    <m/>
    <m/>
    <m/>
    <m/>
    <m/>
    <m/>
    <m/>
    <m/>
    <m/>
    <s v="Morro do Tetéu"/>
  </r>
  <r>
    <d v="2027-01-17T00:00:00"/>
    <s v="domingo"/>
    <d v="2027-01-17T00:00:00"/>
    <s v="NÃO"/>
    <x v="0"/>
    <m/>
    <m/>
    <m/>
    <m/>
    <m/>
    <m/>
    <m/>
    <m/>
    <m/>
    <m/>
    <s v="Morro do Tetéu"/>
  </r>
  <r>
    <d v="2027-01-18T00:00:00"/>
    <s v="segunda-feira"/>
    <d v="2027-01-18T00:00:00"/>
    <m/>
    <x v="0"/>
    <m/>
    <m/>
    <m/>
    <m/>
    <m/>
    <m/>
    <m/>
    <m/>
    <m/>
    <m/>
    <s v="Morro do Tetéu"/>
  </r>
  <r>
    <d v="2027-01-19T00:00:00"/>
    <s v="terça-feira"/>
    <d v="2027-01-19T00:00:00"/>
    <m/>
    <x v="0"/>
    <m/>
    <m/>
    <m/>
    <m/>
    <m/>
    <m/>
    <m/>
    <m/>
    <m/>
    <m/>
    <s v="Morro do Tetéu"/>
  </r>
  <r>
    <d v="2027-01-20T00:00:00"/>
    <s v="quarta-feira"/>
    <d v="2027-01-20T00:00:00"/>
    <m/>
    <x v="0"/>
    <m/>
    <m/>
    <m/>
    <m/>
    <m/>
    <m/>
    <m/>
    <m/>
    <m/>
    <m/>
    <s v="Morro do Tetéu"/>
  </r>
  <r>
    <d v="2027-01-21T00:00:00"/>
    <s v="quinta-feira"/>
    <d v="2027-01-21T00:00:00"/>
    <m/>
    <x v="0"/>
    <m/>
    <m/>
    <m/>
    <m/>
    <m/>
    <m/>
    <m/>
    <m/>
    <m/>
    <m/>
    <s v="Morro do Tetéu"/>
  </r>
  <r>
    <d v="2027-01-22T00:00:00"/>
    <s v="sexta-feira"/>
    <d v="2027-01-22T00:00:00"/>
    <m/>
    <x v="0"/>
    <m/>
    <m/>
    <m/>
    <m/>
    <m/>
    <m/>
    <m/>
    <m/>
    <m/>
    <m/>
    <s v="Morro do Tetéu"/>
  </r>
  <r>
    <d v="2027-01-23T00:00:00"/>
    <s v="sábado"/>
    <d v="2027-01-23T00:00:00"/>
    <s v="NÃO"/>
    <x v="0"/>
    <m/>
    <m/>
    <m/>
    <m/>
    <m/>
    <m/>
    <m/>
    <m/>
    <m/>
    <m/>
    <s v="Morro do Tetéu"/>
  </r>
  <r>
    <d v="2027-01-24T00:00:00"/>
    <s v="domingo"/>
    <d v="2027-01-24T00:00:00"/>
    <s v="NÃO"/>
    <x v="0"/>
    <m/>
    <m/>
    <m/>
    <m/>
    <m/>
    <m/>
    <m/>
    <m/>
    <m/>
    <m/>
    <s v="Morro do Tetéu"/>
  </r>
  <r>
    <d v="2027-01-25T00:00:00"/>
    <s v="segunda-feira"/>
    <d v="2027-01-25T00:00:00"/>
    <m/>
    <x v="0"/>
    <m/>
    <m/>
    <m/>
    <m/>
    <m/>
    <m/>
    <m/>
    <m/>
    <m/>
    <m/>
    <s v="Morro do Tetéu"/>
  </r>
  <r>
    <d v="2027-01-26T00:00:00"/>
    <s v="terça-feira"/>
    <d v="2027-01-26T00:00:00"/>
    <m/>
    <x v="0"/>
    <m/>
    <m/>
    <m/>
    <m/>
    <m/>
    <m/>
    <m/>
    <m/>
    <m/>
    <m/>
    <s v="Morro do Tetéu"/>
  </r>
  <r>
    <d v="2027-01-27T00:00:00"/>
    <s v="quarta-feira"/>
    <d v="2027-01-27T00:00:00"/>
    <m/>
    <x v="0"/>
    <m/>
    <m/>
    <m/>
    <m/>
    <m/>
    <m/>
    <m/>
    <m/>
    <m/>
    <m/>
    <s v="Morro do Tetéu"/>
  </r>
  <r>
    <d v="2027-01-28T00:00:00"/>
    <s v="quinta-feira"/>
    <d v="2027-01-28T00:00:00"/>
    <m/>
    <x v="0"/>
    <m/>
    <m/>
    <m/>
    <m/>
    <m/>
    <m/>
    <m/>
    <m/>
    <m/>
    <m/>
    <s v="Morro do Tetéu"/>
  </r>
  <r>
    <d v="2027-01-29T00:00:00"/>
    <s v="sexta-feira"/>
    <d v="2027-01-29T00:00:00"/>
    <m/>
    <x v="0"/>
    <m/>
    <m/>
    <m/>
    <m/>
    <m/>
    <m/>
    <m/>
    <m/>
    <m/>
    <m/>
    <s v="Morro do Tetéu"/>
  </r>
  <r>
    <d v="2027-01-30T00:00:00"/>
    <s v="sábado"/>
    <d v="2027-01-30T00:00:00"/>
    <s v="NÃO"/>
    <x v="0"/>
    <m/>
    <m/>
    <m/>
    <m/>
    <m/>
    <m/>
    <m/>
    <m/>
    <m/>
    <m/>
    <s v="Morro do Tetéu"/>
  </r>
  <r>
    <d v="2027-01-31T00:00:00"/>
    <s v="domingo"/>
    <d v="2027-01-31T00:00:00"/>
    <s v="NÃO"/>
    <x v="0"/>
    <m/>
    <m/>
    <m/>
    <m/>
    <m/>
    <m/>
    <m/>
    <m/>
    <m/>
    <m/>
    <s v="Morro do Tetéu"/>
  </r>
  <r>
    <d v="2027-02-01T00:00:00"/>
    <s v="segunda-feira"/>
    <d v="2027-02-01T00:00:00"/>
    <m/>
    <x v="0"/>
    <m/>
    <m/>
    <m/>
    <m/>
    <m/>
    <m/>
    <m/>
    <m/>
    <m/>
    <m/>
    <s v="Morro do Tetéu"/>
  </r>
  <r>
    <d v="2027-02-02T00:00:00"/>
    <s v="terça-feira"/>
    <d v="2027-02-02T00:00:00"/>
    <m/>
    <x v="0"/>
    <m/>
    <m/>
    <m/>
    <m/>
    <m/>
    <m/>
    <m/>
    <m/>
    <m/>
    <m/>
    <s v="Morro do Tetéu"/>
  </r>
  <r>
    <d v="2027-02-03T00:00:00"/>
    <s v="quarta-feira"/>
    <d v="2027-02-03T00:00:00"/>
    <m/>
    <x v="0"/>
    <m/>
    <m/>
    <m/>
    <m/>
    <m/>
    <m/>
    <m/>
    <m/>
    <m/>
    <m/>
    <s v="Morro do Tetéu"/>
  </r>
  <r>
    <d v="2027-02-04T00:00:00"/>
    <s v="quinta-feira"/>
    <d v="2027-02-04T00:00:00"/>
    <m/>
    <x v="0"/>
    <m/>
    <m/>
    <m/>
    <m/>
    <m/>
    <m/>
    <m/>
    <m/>
    <m/>
    <m/>
    <s v="Morro do Tetéu"/>
  </r>
  <r>
    <d v="2027-02-05T00:00:00"/>
    <s v="sexta-feira"/>
    <d v="2027-02-05T00:00:00"/>
    <m/>
    <x v="0"/>
    <m/>
    <m/>
    <m/>
    <m/>
    <m/>
    <m/>
    <m/>
    <m/>
    <m/>
    <m/>
    <s v="Morro do Tetéu"/>
  </r>
  <r>
    <d v="2027-02-06T00:00:00"/>
    <s v="sábado"/>
    <d v="2027-02-06T00:00:00"/>
    <s v="NÃO"/>
    <x v="0"/>
    <m/>
    <m/>
    <m/>
    <m/>
    <m/>
    <m/>
    <m/>
    <m/>
    <m/>
    <m/>
    <s v="Morro do Tetéu"/>
  </r>
  <r>
    <d v="2027-02-07T00:00:00"/>
    <s v="domingo"/>
    <d v="2027-02-07T00:00:00"/>
    <s v="NÃO"/>
    <x v="0"/>
    <m/>
    <m/>
    <m/>
    <m/>
    <m/>
    <m/>
    <m/>
    <m/>
    <m/>
    <m/>
    <s v="Morro do Tetéu"/>
  </r>
  <r>
    <d v="2027-02-08T00:00:00"/>
    <s v="segunda-feira"/>
    <d v="2027-02-08T00:00:00"/>
    <m/>
    <x v="0"/>
    <m/>
    <m/>
    <m/>
    <m/>
    <m/>
    <m/>
    <m/>
    <m/>
    <m/>
    <m/>
    <s v="Morro do Tetéu"/>
  </r>
  <r>
    <d v="2027-02-09T00:00:00"/>
    <s v="terça-feira"/>
    <d v="2027-02-09T00:00:00"/>
    <m/>
    <x v="0"/>
    <m/>
    <m/>
    <m/>
    <m/>
    <m/>
    <m/>
    <m/>
    <m/>
    <m/>
    <m/>
    <s v="Morro do Tetéu"/>
  </r>
  <r>
    <d v="2027-02-10T00:00:00"/>
    <s v="quarta-feira"/>
    <d v="2027-02-10T00:00:00"/>
    <m/>
    <x v="0"/>
    <m/>
    <m/>
    <m/>
    <m/>
    <m/>
    <m/>
    <m/>
    <m/>
    <m/>
    <m/>
    <s v="Morro do Tetéu"/>
  </r>
  <r>
    <d v="2027-02-11T00:00:00"/>
    <s v="quinta-feira"/>
    <d v="2027-02-11T00:00:00"/>
    <m/>
    <x v="0"/>
    <m/>
    <m/>
    <m/>
    <m/>
    <m/>
    <m/>
    <m/>
    <m/>
    <m/>
    <m/>
    <s v="Morro do Tetéu"/>
  </r>
  <r>
    <d v="2027-02-12T00:00:00"/>
    <s v="sexta-feira"/>
    <d v="2027-02-12T00:00:00"/>
    <m/>
    <x v="0"/>
    <m/>
    <m/>
    <m/>
    <m/>
    <m/>
    <m/>
    <m/>
    <m/>
    <m/>
    <m/>
    <s v="Morro do Tetéu"/>
  </r>
  <r>
    <d v="2027-02-13T00:00:00"/>
    <s v="sábado"/>
    <d v="2027-02-13T00:00:00"/>
    <s v="NÃO"/>
    <x v="0"/>
    <m/>
    <m/>
    <m/>
    <m/>
    <m/>
    <m/>
    <m/>
    <m/>
    <m/>
    <m/>
    <s v="Morro do Tetéu"/>
  </r>
  <r>
    <d v="2027-02-14T00:00:00"/>
    <s v="domingo"/>
    <d v="2027-02-14T00:00:00"/>
    <s v="NÃO"/>
    <x v="0"/>
    <m/>
    <m/>
    <m/>
    <m/>
    <m/>
    <m/>
    <m/>
    <m/>
    <m/>
    <m/>
    <s v="Morro do Tetéu"/>
  </r>
  <r>
    <d v="2027-02-15T00:00:00"/>
    <s v="segunda-feira"/>
    <d v="2027-02-15T00:00:00"/>
    <m/>
    <x v="0"/>
    <m/>
    <m/>
    <m/>
    <m/>
    <m/>
    <m/>
    <m/>
    <m/>
    <m/>
    <m/>
    <s v="Morro do Tetéu"/>
  </r>
  <r>
    <d v="2025-11-01T00:00:00"/>
    <s v="sábado"/>
    <d v="2025-11-01T00:00:00"/>
    <s v="NÃO"/>
    <x v="0"/>
    <m/>
    <m/>
    <m/>
    <m/>
    <m/>
    <m/>
    <m/>
    <m/>
    <m/>
    <m/>
    <s v="Pantanal Baixo"/>
  </r>
  <r>
    <d v="2025-11-02T00:00:00"/>
    <s v="domingo"/>
    <d v="2025-11-02T00:00:00"/>
    <s v="NÃO"/>
    <x v="0"/>
    <m/>
    <m/>
    <m/>
    <m/>
    <m/>
    <m/>
    <m/>
    <m/>
    <m/>
    <m/>
    <s v="Pantanal Baixo"/>
  </r>
  <r>
    <d v="2025-11-03T00:00:00"/>
    <s v="segunda-feira"/>
    <d v="2025-11-03T00:00:00"/>
    <m/>
    <x v="0"/>
    <m/>
    <m/>
    <m/>
    <m/>
    <m/>
    <m/>
    <m/>
    <m/>
    <m/>
    <m/>
    <s v="Pantanal Baixo"/>
  </r>
  <r>
    <d v="2025-11-04T00:00:00"/>
    <s v="terça-feira"/>
    <d v="2025-11-04T00:00:00"/>
    <m/>
    <x v="0"/>
    <m/>
    <m/>
    <m/>
    <m/>
    <m/>
    <m/>
    <m/>
    <m/>
    <m/>
    <m/>
    <s v="Pantanal Baixo"/>
  </r>
  <r>
    <d v="2025-11-05T00:00:00"/>
    <s v="quarta-feira"/>
    <d v="2025-11-05T00:00:00"/>
    <m/>
    <x v="0"/>
    <m/>
    <m/>
    <m/>
    <m/>
    <m/>
    <m/>
    <m/>
    <m/>
    <m/>
    <m/>
    <s v="Pantanal Baixo"/>
  </r>
  <r>
    <d v="2025-11-06T00:00:00"/>
    <s v="quinta-feira"/>
    <d v="2025-11-06T00:00:00"/>
    <m/>
    <x v="0"/>
    <m/>
    <m/>
    <m/>
    <m/>
    <m/>
    <m/>
    <m/>
    <m/>
    <m/>
    <m/>
    <s v="Pantanal Baixo"/>
  </r>
  <r>
    <d v="2025-11-07T00:00:00"/>
    <s v="sexta-feira"/>
    <d v="2025-11-07T00:00:00"/>
    <m/>
    <x v="0"/>
    <m/>
    <m/>
    <m/>
    <m/>
    <m/>
    <m/>
    <m/>
    <m/>
    <m/>
    <m/>
    <s v="Pantanal Baixo"/>
  </r>
  <r>
    <d v="2025-11-08T00:00:00"/>
    <s v="sábado"/>
    <d v="2025-11-08T00:00:00"/>
    <s v="NÃO"/>
    <x v="0"/>
    <m/>
    <m/>
    <m/>
    <m/>
    <m/>
    <m/>
    <m/>
    <m/>
    <m/>
    <m/>
    <s v="Pantanal Baixo"/>
  </r>
  <r>
    <d v="2025-11-09T00:00:00"/>
    <s v="domingo"/>
    <d v="2025-11-09T00:00:00"/>
    <s v="NÃO"/>
    <x v="0"/>
    <m/>
    <m/>
    <m/>
    <m/>
    <m/>
    <m/>
    <m/>
    <m/>
    <m/>
    <m/>
    <s v="Pantanal Baixo"/>
  </r>
  <r>
    <d v="2025-11-10T00:00:00"/>
    <s v="segunda-feira"/>
    <d v="2025-11-10T00:00:00"/>
    <m/>
    <x v="0"/>
    <m/>
    <m/>
    <m/>
    <m/>
    <m/>
    <m/>
    <m/>
    <m/>
    <m/>
    <m/>
    <s v="Pantanal Baixo"/>
  </r>
  <r>
    <d v="2025-11-11T00:00:00"/>
    <s v="terça-feira"/>
    <d v="2025-11-11T00:00:00"/>
    <m/>
    <x v="0"/>
    <m/>
    <m/>
    <m/>
    <m/>
    <m/>
    <m/>
    <m/>
    <m/>
    <m/>
    <m/>
    <s v="Pantanal Baixo"/>
  </r>
  <r>
    <d v="2025-11-12T00:00:00"/>
    <s v="quarta-feira"/>
    <d v="2025-11-12T00:00:00"/>
    <m/>
    <x v="0"/>
    <m/>
    <m/>
    <m/>
    <m/>
    <m/>
    <m/>
    <m/>
    <m/>
    <m/>
    <m/>
    <s v="Pantanal Baixo"/>
  </r>
  <r>
    <d v="2025-11-13T00:00:00"/>
    <s v="quinta-feira"/>
    <d v="2025-11-13T00:00:00"/>
    <m/>
    <x v="0"/>
    <m/>
    <m/>
    <m/>
    <m/>
    <m/>
    <m/>
    <m/>
    <m/>
    <m/>
    <m/>
    <s v="Pantanal Baixo"/>
  </r>
  <r>
    <d v="2025-11-14T00:00:00"/>
    <s v="sexta-feira"/>
    <d v="2025-11-14T00:00:00"/>
    <m/>
    <x v="0"/>
    <m/>
    <m/>
    <m/>
    <m/>
    <m/>
    <m/>
    <m/>
    <m/>
    <m/>
    <m/>
    <s v="Pantanal Baixo"/>
  </r>
  <r>
    <d v="2025-11-15T00:00:00"/>
    <s v="sábado"/>
    <d v="2025-11-15T00:00:00"/>
    <s v="NÃO"/>
    <x v="0"/>
    <m/>
    <m/>
    <m/>
    <m/>
    <m/>
    <m/>
    <m/>
    <m/>
    <m/>
    <m/>
    <s v="Pantanal Baixo"/>
  </r>
  <r>
    <d v="2025-11-16T00:00:00"/>
    <s v="domingo"/>
    <d v="2025-11-16T00:00:00"/>
    <s v="NÃO"/>
    <x v="0"/>
    <m/>
    <m/>
    <m/>
    <m/>
    <m/>
    <m/>
    <m/>
    <m/>
    <m/>
    <m/>
    <s v="Pantanal Baixo"/>
  </r>
  <r>
    <d v="2025-11-17T00:00:00"/>
    <s v="segunda-feira"/>
    <d v="2025-11-17T00:00:00"/>
    <m/>
    <x v="0"/>
    <m/>
    <m/>
    <m/>
    <m/>
    <m/>
    <m/>
    <m/>
    <m/>
    <m/>
    <m/>
    <s v="Pantanal Baixo"/>
  </r>
  <r>
    <d v="2025-11-18T00:00:00"/>
    <s v="terça-feira"/>
    <d v="2025-11-18T00:00:00"/>
    <m/>
    <x v="0"/>
    <m/>
    <m/>
    <m/>
    <m/>
    <m/>
    <m/>
    <m/>
    <m/>
    <m/>
    <m/>
    <s v="Pantanal Baixo"/>
  </r>
  <r>
    <d v="2025-11-19T00:00:00"/>
    <s v="quarta-feira"/>
    <d v="2025-11-19T00:00:00"/>
    <m/>
    <x v="0"/>
    <m/>
    <m/>
    <m/>
    <m/>
    <m/>
    <m/>
    <m/>
    <m/>
    <m/>
    <m/>
    <s v="Pantanal Baixo"/>
  </r>
  <r>
    <d v="2025-11-20T00:00:00"/>
    <s v="quinta-feira"/>
    <d v="2025-11-20T00:00:00"/>
    <m/>
    <x v="0"/>
    <m/>
    <m/>
    <m/>
    <m/>
    <m/>
    <m/>
    <m/>
    <m/>
    <m/>
    <m/>
    <s v="Pantanal Baixo"/>
  </r>
  <r>
    <d v="2025-11-21T00:00:00"/>
    <s v="sexta-feira"/>
    <d v="2025-11-21T00:00:00"/>
    <m/>
    <x v="0"/>
    <m/>
    <m/>
    <m/>
    <m/>
    <m/>
    <m/>
    <m/>
    <m/>
    <m/>
    <m/>
    <s v="Pantanal Baixo"/>
  </r>
  <r>
    <d v="2025-11-22T00:00:00"/>
    <s v="sábado"/>
    <d v="2025-11-22T00:00:00"/>
    <s v="NÃO"/>
    <x v="0"/>
    <m/>
    <m/>
    <m/>
    <m/>
    <m/>
    <m/>
    <m/>
    <m/>
    <m/>
    <m/>
    <s v="Pantanal Baixo"/>
  </r>
  <r>
    <d v="2025-11-23T00:00:00"/>
    <s v="domingo"/>
    <d v="2025-11-23T00:00:00"/>
    <s v="NÃO"/>
    <x v="0"/>
    <m/>
    <m/>
    <m/>
    <m/>
    <m/>
    <m/>
    <m/>
    <m/>
    <m/>
    <m/>
    <s v="Pantanal Baixo"/>
  </r>
  <r>
    <d v="2025-11-24T00:00:00"/>
    <s v="segunda-feira"/>
    <d v="2025-11-24T00:00:00"/>
    <m/>
    <x v="0"/>
    <m/>
    <m/>
    <m/>
    <m/>
    <m/>
    <m/>
    <m/>
    <m/>
    <m/>
    <m/>
    <s v="Pantanal Baixo"/>
  </r>
  <r>
    <d v="2025-11-25T00:00:00"/>
    <s v="terça-feira"/>
    <d v="2025-11-25T00:00:00"/>
    <m/>
    <x v="0"/>
    <m/>
    <m/>
    <m/>
    <m/>
    <m/>
    <m/>
    <m/>
    <m/>
    <m/>
    <m/>
    <s v="Pantanal Baixo"/>
  </r>
  <r>
    <d v="2025-11-26T00:00:00"/>
    <s v="quarta-feira"/>
    <d v="2025-11-26T00:00:00"/>
    <m/>
    <x v="0"/>
    <m/>
    <m/>
    <m/>
    <m/>
    <m/>
    <m/>
    <m/>
    <m/>
    <m/>
    <m/>
    <s v="Pantanal Baixo"/>
  </r>
  <r>
    <d v="2025-11-27T00:00:00"/>
    <s v="quinta-feira"/>
    <d v="2025-11-27T00:00:00"/>
    <m/>
    <x v="0"/>
    <m/>
    <m/>
    <m/>
    <m/>
    <m/>
    <m/>
    <m/>
    <m/>
    <m/>
    <m/>
    <s v="Pantanal Baixo"/>
  </r>
  <r>
    <d v="2025-11-28T00:00:00"/>
    <s v="sexta-feira"/>
    <d v="2025-11-28T00:00:00"/>
    <m/>
    <x v="0"/>
    <m/>
    <m/>
    <m/>
    <m/>
    <m/>
    <m/>
    <m/>
    <m/>
    <m/>
    <m/>
    <s v="Pantanal Baixo"/>
  </r>
  <r>
    <d v="2025-11-29T00:00:00"/>
    <s v="sábado"/>
    <d v="2025-11-29T00:00:00"/>
    <s v="NÃO"/>
    <x v="0"/>
    <m/>
    <m/>
    <m/>
    <m/>
    <m/>
    <m/>
    <m/>
    <m/>
    <m/>
    <m/>
    <s v="Pantanal Baixo"/>
  </r>
  <r>
    <d v="2025-11-30T00:00:00"/>
    <s v="domingo"/>
    <d v="2025-11-30T00:00:00"/>
    <s v="NÃO"/>
    <x v="0"/>
    <m/>
    <m/>
    <m/>
    <m/>
    <m/>
    <m/>
    <m/>
    <m/>
    <m/>
    <m/>
    <s v="Pantanal Baixo"/>
  </r>
  <r>
    <d v="2025-12-01T00:00:00"/>
    <s v="segunda-feira"/>
    <d v="2025-12-01T00:00:00"/>
    <m/>
    <x v="0"/>
    <m/>
    <m/>
    <m/>
    <m/>
    <m/>
    <m/>
    <m/>
    <m/>
    <m/>
    <m/>
    <s v="Pantanal Baixo"/>
  </r>
  <r>
    <d v="2025-12-02T00:00:00"/>
    <s v="terça-feira"/>
    <d v="2025-12-02T00:00:00"/>
    <m/>
    <x v="0"/>
    <m/>
    <m/>
    <m/>
    <m/>
    <m/>
    <m/>
    <m/>
    <m/>
    <m/>
    <m/>
    <s v="Pantanal Baixo"/>
  </r>
  <r>
    <d v="2025-12-03T00:00:00"/>
    <s v="quarta-feira"/>
    <d v="2025-12-03T00:00:00"/>
    <m/>
    <x v="0"/>
    <m/>
    <m/>
    <m/>
    <m/>
    <m/>
    <m/>
    <m/>
    <m/>
    <m/>
    <m/>
    <s v="Pantanal Baixo"/>
  </r>
  <r>
    <d v="2025-12-04T00:00:00"/>
    <s v="quinta-feira"/>
    <d v="2025-12-04T00:00:00"/>
    <m/>
    <x v="0"/>
    <m/>
    <m/>
    <m/>
    <m/>
    <m/>
    <m/>
    <m/>
    <m/>
    <m/>
    <m/>
    <s v="Pantanal Baixo"/>
  </r>
  <r>
    <d v="2025-12-05T00:00:00"/>
    <s v="sexta-feira"/>
    <d v="2025-12-05T00:00:00"/>
    <m/>
    <x v="0"/>
    <m/>
    <m/>
    <m/>
    <m/>
    <m/>
    <m/>
    <m/>
    <m/>
    <m/>
    <m/>
    <s v="Pantanal Baixo"/>
  </r>
  <r>
    <d v="2025-12-06T00:00:00"/>
    <s v="sábado"/>
    <d v="2025-12-06T00:00:00"/>
    <s v="NÃO"/>
    <x v="0"/>
    <m/>
    <m/>
    <m/>
    <m/>
    <m/>
    <m/>
    <m/>
    <m/>
    <m/>
    <m/>
    <s v="Pantanal Baixo"/>
  </r>
  <r>
    <d v="2025-12-07T00:00:00"/>
    <s v="domingo"/>
    <d v="2025-12-07T00:00:00"/>
    <s v="NÃO"/>
    <x v="0"/>
    <m/>
    <m/>
    <m/>
    <m/>
    <m/>
    <m/>
    <m/>
    <m/>
    <m/>
    <m/>
    <s v="Pantanal Baixo"/>
  </r>
  <r>
    <d v="2025-12-08T00:00:00"/>
    <s v="segunda-feira"/>
    <d v="2025-12-08T00:00:00"/>
    <m/>
    <x v="0"/>
    <m/>
    <m/>
    <m/>
    <m/>
    <m/>
    <m/>
    <m/>
    <m/>
    <m/>
    <m/>
    <s v="Pantanal Baixo"/>
  </r>
  <r>
    <d v="2025-12-09T00:00:00"/>
    <s v="terça-feira"/>
    <d v="2025-12-09T00:00:00"/>
    <m/>
    <x v="0"/>
    <m/>
    <m/>
    <m/>
    <m/>
    <m/>
    <m/>
    <m/>
    <m/>
    <m/>
    <m/>
    <s v="Pantanal Baixo"/>
  </r>
  <r>
    <d v="2025-12-10T00:00:00"/>
    <s v="quarta-feira"/>
    <d v="2025-12-10T00:00:00"/>
    <m/>
    <x v="0"/>
    <m/>
    <m/>
    <m/>
    <m/>
    <m/>
    <m/>
    <m/>
    <m/>
    <m/>
    <m/>
    <s v="Pantanal Baixo"/>
  </r>
  <r>
    <d v="2025-12-11T00:00:00"/>
    <s v="quinta-feira"/>
    <d v="2025-12-11T00:00:00"/>
    <m/>
    <x v="0"/>
    <m/>
    <m/>
    <m/>
    <m/>
    <m/>
    <m/>
    <m/>
    <m/>
    <m/>
    <m/>
    <s v="Pantanal Baixo"/>
  </r>
  <r>
    <d v="2025-12-12T00:00:00"/>
    <s v="sexta-feira"/>
    <d v="2025-12-12T00:00:00"/>
    <m/>
    <x v="0"/>
    <m/>
    <m/>
    <m/>
    <m/>
    <m/>
    <m/>
    <m/>
    <m/>
    <m/>
    <m/>
    <s v="Pantanal Baixo"/>
  </r>
  <r>
    <d v="2025-12-13T00:00:00"/>
    <s v="sábado"/>
    <d v="2025-12-13T00:00:00"/>
    <s v="NÃO"/>
    <x v="0"/>
    <m/>
    <m/>
    <m/>
    <m/>
    <m/>
    <m/>
    <m/>
    <m/>
    <m/>
    <m/>
    <s v="Pantanal Baixo"/>
  </r>
  <r>
    <d v="2025-12-14T00:00:00"/>
    <s v="domingo"/>
    <d v="2025-12-14T00:00:00"/>
    <s v="NÃO"/>
    <x v="0"/>
    <m/>
    <m/>
    <m/>
    <m/>
    <m/>
    <m/>
    <m/>
    <m/>
    <m/>
    <m/>
    <s v="Pantanal Baixo"/>
  </r>
  <r>
    <d v="2025-12-15T00:00:00"/>
    <s v="segunda-feira"/>
    <d v="2025-12-15T00:00:00"/>
    <m/>
    <x v="0"/>
    <m/>
    <m/>
    <m/>
    <m/>
    <m/>
    <m/>
    <m/>
    <m/>
    <m/>
    <m/>
    <s v="Pantanal Baixo"/>
  </r>
  <r>
    <d v="2025-12-16T00:00:00"/>
    <s v="terça-feira"/>
    <d v="2025-12-16T00:00:00"/>
    <m/>
    <x v="0"/>
    <m/>
    <m/>
    <m/>
    <m/>
    <m/>
    <m/>
    <m/>
    <m/>
    <m/>
    <m/>
    <s v="Pantanal Baixo"/>
  </r>
  <r>
    <d v="2025-12-17T00:00:00"/>
    <s v="quarta-feira"/>
    <d v="2025-12-17T00:00:00"/>
    <m/>
    <x v="0"/>
    <m/>
    <m/>
    <m/>
    <m/>
    <m/>
    <m/>
    <m/>
    <m/>
    <m/>
    <m/>
    <s v="Pantanal Baixo"/>
  </r>
  <r>
    <d v="2025-12-18T00:00:00"/>
    <s v="quinta-feira"/>
    <d v="2025-12-18T00:00:00"/>
    <m/>
    <x v="0"/>
    <m/>
    <m/>
    <m/>
    <m/>
    <m/>
    <m/>
    <m/>
    <m/>
    <m/>
    <m/>
    <s v="Pantanal Baixo"/>
  </r>
  <r>
    <d v="2025-12-19T00:00:00"/>
    <s v="sexta-feira"/>
    <d v="2025-12-19T00:00:00"/>
    <m/>
    <x v="0"/>
    <m/>
    <m/>
    <m/>
    <m/>
    <m/>
    <m/>
    <m/>
    <m/>
    <m/>
    <m/>
    <s v="Pantanal Baixo"/>
  </r>
  <r>
    <d v="2025-12-20T00:00:00"/>
    <s v="sábado"/>
    <d v="2025-12-20T00:00:00"/>
    <s v="NÃO"/>
    <x v="0"/>
    <m/>
    <m/>
    <m/>
    <m/>
    <m/>
    <m/>
    <m/>
    <m/>
    <m/>
    <m/>
    <s v="Pantanal Baixo"/>
  </r>
  <r>
    <d v="2025-12-21T00:00:00"/>
    <s v="domingo"/>
    <d v="2025-12-21T00:00:00"/>
    <s v="NÃO"/>
    <x v="0"/>
    <m/>
    <m/>
    <m/>
    <m/>
    <m/>
    <m/>
    <m/>
    <m/>
    <m/>
    <m/>
    <s v="Pantanal Baixo"/>
  </r>
  <r>
    <d v="2025-12-22T00:00:00"/>
    <s v="segunda-feira"/>
    <d v="2025-12-22T00:00:00"/>
    <m/>
    <x v="0"/>
    <m/>
    <m/>
    <m/>
    <m/>
    <m/>
    <m/>
    <m/>
    <m/>
    <m/>
    <m/>
    <s v="Pantanal Baixo"/>
  </r>
  <r>
    <d v="2025-12-23T00:00:00"/>
    <s v="terça-feira"/>
    <d v="2025-12-23T00:00:00"/>
    <m/>
    <x v="0"/>
    <m/>
    <m/>
    <m/>
    <m/>
    <m/>
    <m/>
    <m/>
    <m/>
    <m/>
    <m/>
    <s v="Pantanal Baixo"/>
  </r>
  <r>
    <d v="2025-12-24T00:00:00"/>
    <s v="quarta-feira"/>
    <d v="2025-12-24T00:00:00"/>
    <m/>
    <x v="0"/>
    <m/>
    <m/>
    <m/>
    <m/>
    <m/>
    <m/>
    <m/>
    <m/>
    <m/>
    <m/>
    <s v="Pantanal Baixo"/>
  </r>
  <r>
    <d v="2025-12-25T00:00:00"/>
    <s v="quinta-feira"/>
    <d v="2025-12-25T00:00:00"/>
    <m/>
    <x v="0"/>
    <m/>
    <m/>
    <m/>
    <m/>
    <m/>
    <m/>
    <m/>
    <m/>
    <m/>
    <m/>
    <s v="Pantanal Baixo"/>
  </r>
  <r>
    <d v="2025-12-26T00:00:00"/>
    <s v="sexta-feira"/>
    <d v="2025-12-26T00:00:00"/>
    <m/>
    <x v="0"/>
    <m/>
    <m/>
    <m/>
    <m/>
    <m/>
    <m/>
    <m/>
    <m/>
    <m/>
    <m/>
    <s v="Pantanal Baixo"/>
  </r>
  <r>
    <d v="2025-12-27T00:00:00"/>
    <s v="sábado"/>
    <d v="2025-12-27T00:00:00"/>
    <s v="NÃO"/>
    <x v="0"/>
    <m/>
    <m/>
    <m/>
    <m/>
    <m/>
    <m/>
    <m/>
    <m/>
    <m/>
    <m/>
    <s v="Pantanal Baixo"/>
  </r>
  <r>
    <d v="2025-12-28T00:00:00"/>
    <s v="domingo"/>
    <d v="2025-12-28T00:00:00"/>
    <s v="NÃO"/>
    <x v="0"/>
    <m/>
    <m/>
    <m/>
    <m/>
    <m/>
    <m/>
    <m/>
    <m/>
    <m/>
    <m/>
    <s v="Pantanal Baixo"/>
  </r>
  <r>
    <d v="2025-12-29T00:00:00"/>
    <s v="segunda-feira"/>
    <d v="2025-12-29T00:00:00"/>
    <m/>
    <x v="0"/>
    <m/>
    <m/>
    <m/>
    <m/>
    <m/>
    <m/>
    <m/>
    <m/>
    <m/>
    <m/>
    <s v="Pantanal Baixo"/>
  </r>
  <r>
    <d v="2025-12-30T00:00:00"/>
    <s v="terça-feira"/>
    <d v="2025-12-30T00:00:00"/>
    <m/>
    <x v="0"/>
    <m/>
    <m/>
    <m/>
    <m/>
    <m/>
    <m/>
    <m/>
    <m/>
    <m/>
    <m/>
    <s v="Pantanal Baixo"/>
  </r>
  <r>
    <d v="2025-12-31T00:00:00"/>
    <s v="quarta-feira"/>
    <d v="2025-12-31T00:00:00"/>
    <m/>
    <x v="0"/>
    <m/>
    <m/>
    <m/>
    <m/>
    <m/>
    <m/>
    <m/>
    <m/>
    <m/>
    <m/>
    <s v="Pantanal Baixo"/>
  </r>
  <r>
    <d v="2026-01-01T00:00:00"/>
    <s v="quinta-feira"/>
    <d v="2026-01-01T00:00:00"/>
    <m/>
    <x v="0"/>
    <m/>
    <m/>
    <m/>
    <m/>
    <m/>
    <m/>
    <m/>
    <m/>
    <m/>
    <m/>
    <s v="Pantanal Baixo"/>
  </r>
  <r>
    <d v="2026-01-02T00:00:00"/>
    <s v="sexta-feira"/>
    <d v="2026-01-02T00:00:00"/>
    <m/>
    <x v="0"/>
    <m/>
    <m/>
    <m/>
    <m/>
    <m/>
    <m/>
    <m/>
    <m/>
    <m/>
    <m/>
    <s v="Pantanal Baixo"/>
  </r>
  <r>
    <d v="2026-01-03T00:00:00"/>
    <s v="sábado"/>
    <d v="2026-01-03T00:00:00"/>
    <s v="NÃO"/>
    <x v="0"/>
    <m/>
    <m/>
    <m/>
    <m/>
    <m/>
    <m/>
    <m/>
    <m/>
    <m/>
    <m/>
    <s v="Pantanal Baixo"/>
  </r>
  <r>
    <d v="2026-01-04T00:00:00"/>
    <s v="domingo"/>
    <d v="2026-01-04T00:00:00"/>
    <s v="NÃO"/>
    <x v="0"/>
    <m/>
    <m/>
    <m/>
    <m/>
    <m/>
    <m/>
    <m/>
    <m/>
    <m/>
    <m/>
    <s v="Pantanal Baixo"/>
  </r>
  <r>
    <d v="2026-01-05T00:00:00"/>
    <s v="segunda-feira"/>
    <d v="2026-01-05T00:00:00"/>
    <s v="SIM"/>
    <x v="6"/>
    <s v="Diversas até 28/02 - PB"/>
    <n v="0"/>
    <n v="0"/>
    <n v="3"/>
    <n v="3"/>
    <n v="0"/>
    <n v="0"/>
    <n v="0"/>
    <n v="0"/>
    <n v="0"/>
    <s v="Pantanal Baixo"/>
  </r>
  <r>
    <d v="2026-01-06T00:00:00"/>
    <s v="terça-feira"/>
    <d v="2026-01-06T00:00:00"/>
    <s v="SIM"/>
    <x v="6"/>
    <s v="Diversas até 28/02 - PB"/>
    <n v="0"/>
    <n v="0"/>
    <n v="3"/>
    <n v="3"/>
    <n v="0"/>
    <n v="0"/>
    <n v="0"/>
    <n v="0"/>
    <n v="0"/>
    <s v="Pantanal Baixo"/>
  </r>
  <r>
    <d v="2026-01-07T00:00:00"/>
    <s v="quarta-feira"/>
    <d v="2026-01-07T00:00:00"/>
    <s v="SIM"/>
    <x v="6"/>
    <s v="Diversas até 28/02 - PB"/>
    <n v="0"/>
    <n v="0"/>
    <n v="3"/>
    <n v="3"/>
    <n v="0"/>
    <n v="0"/>
    <n v="0"/>
    <n v="0"/>
    <n v="0"/>
    <s v="Pantanal Baixo"/>
  </r>
  <r>
    <d v="2026-01-08T00:00:00"/>
    <s v="quinta-feira"/>
    <d v="2026-01-08T00:00:00"/>
    <s v="SIM"/>
    <x v="6"/>
    <s v="Diversas até 28/02 - PB"/>
    <n v="9"/>
    <n v="0"/>
    <n v="3"/>
    <n v="3"/>
    <n v="0"/>
    <n v="0"/>
    <n v="0"/>
    <n v="0"/>
    <n v="0"/>
    <s v="Pantanal Baixo"/>
  </r>
  <r>
    <d v="2026-01-09T00:00:00"/>
    <s v="sexta-feira"/>
    <d v="2026-01-09T00:00:00"/>
    <s v="SIM"/>
    <x v="6"/>
    <s v="Diversas até 28/02 - PB"/>
    <n v="9"/>
    <n v="0"/>
    <n v="3"/>
    <n v="3"/>
    <n v="0"/>
    <n v="0"/>
    <n v="0"/>
    <n v="0"/>
    <n v="0"/>
    <s v="Pantanal Baixo"/>
  </r>
  <r>
    <d v="2026-01-10T00:00:00"/>
    <s v="sábado"/>
    <d v="2026-01-10T00:00:00"/>
    <s v="SIM"/>
    <x v="6"/>
    <s v="Diversas até 28/02 - PB"/>
    <n v="9"/>
    <n v="0"/>
    <n v="3"/>
    <n v="0"/>
    <n v="0"/>
    <n v="0"/>
    <n v="0"/>
    <n v="0"/>
    <n v="0"/>
    <s v="Pantanal Baixo"/>
  </r>
  <r>
    <d v="2026-01-11T00:00:00"/>
    <s v="domingo"/>
    <d v="2026-01-11T00:00:00"/>
    <s v="NÃO"/>
    <x v="0"/>
    <m/>
    <m/>
    <m/>
    <m/>
    <m/>
    <m/>
    <m/>
    <m/>
    <m/>
    <m/>
    <s v="Pantanal Baixo"/>
  </r>
  <r>
    <d v="2026-01-12T00:00:00"/>
    <s v="segunda-feira"/>
    <d v="2026-01-12T00:00:00"/>
    <s v="SIM"/>
    <x v="6"/>
    <s v="Diversas até 28/02 - PB"/>
    <n v="9"/>
    <n v="0"/>
    <n v="3"/>
    <n v="3"/>
    <n v="0"/>
    <n v="0"/>
    <n v="0"/>
    <n v="0"/>
    <n v="0"/>
    <s v="Pantanal Baixo"/>
  </r>
  <r>
    <d v="2026-01-13T00:00:00"/>
    <s v="terça-feira"/>
    <d v="2026-01-13T00:00:00"/>
    <s v="SIM"/>
    <x v="6"/>
    <s v="Diversas até 28/02 - PB"/>
    <n v="9"/>
    <n v="0"/>
    <n v="3"/>
    <n v="3"/>
    <n v="0"/>
    <n v="0"/>
    <n v="0"/>
    <n v="0"/>
    <n v="0"/>
    <s v="Pantanal Baixo"/>
  </r>
  <r>
    <d v="2026-01-14T00:00:00"/>
    <s v="quarta-feira"/>
    <d v="2026-01-14T00:00:00"/>
    <s v="SIM"/>
    <x v="6"/>
    <s v="Diversas até 28/02 - PB"/>
    <n v="9"/>
    <n v="0"/>
    <n v="3"/>
    <n v="18"/>
    <n v="0"/>
    <n v="0"/>
    <n v="0"/>
    <n v="0"/>
    <n v="0"/>
    <s v="Pantanal Baixo"/>
  </r>
  <r>
    <d v="2026-01-15T00:00:00"/>
    <s v="quinta-feira"/>
    <d v="2026-01-15T00:00:00"/>
    <s v="SIM"/>
    <x v="6"/>
    <s v="Diversas até 28/02 - PB"/>
    <n v="0"/>
    <n v="0"/>
    <n v="3"/>
    <n v="18"/>
    <n v="1"/>
    <n v="0"/>
    <n v="0"/>
    <n v="0"/>
    <n v="0"/>
    <s v="Pantanal Baixo"/>
  </r>
  <r>
    <d v="2026-01-16T00:00:00"/>
    <s v="sexta-feira"/>
    <d v="2026-01-16T00:00:00"/>
    <s v="SIM"/>
    <x v="6"/>
    <s v="Diversas até 28/02 - PB"/>
    <n v="0"/>
    <n v="0"/>
    <n v="0"/>
    <n v="6"/>
    <n v="1"/>
    <n v="0"/>
    <n v="0"/>
    <n v="0"/>
    <n v="0"/>
    <s v="Pantanal Baixo"/>
  </r>
  <r>
    <d v="2026-01-17T00:00:00"/>
    <s v="sábado"/>
    <d v="2026-01-17T00:00:00"/>
    <s v="NÃO"/>
    <x v="0"/>
    <m/>
    <m/>
    <m/>
    <m/>
    <m/>
    <m/>
    <m/>
    <m/>
    <m/>
    <m/>
    <s v="Pantanal Baixo"/>
  </r>
  <r>
    <d v="2026-01-18T00:00:00"/>
    <s v="domingo"/>
    <d v="2026-01-18T00:00:00"/>
    <s v="NÃO"/>
    <x v="0"/>
    <m/>
    <m/>
    <m/>
    <m/>
    <m/>
    <m/>
    <m/>
    <m/>
    <m/>
    <m/>
    <s v="Pantanal Baixo"/>
  </r>
  <r>
    <d v="2026-01-19T00:00:00"/>
    <s v="segunda-feira"/>
    <d v="2026-01-19T00:00:00"/>
    <s v="NÃO"/>
    <x v="6"/>
    <s v="Diversas até 28/02 - PB"/>
    <m/>
    <m/>
    <m/>
    <m/>
    <m/>
    <m/>
    <m/>
    <m/>
    <m/>
    <s v="Pantanal Baixo"/>
  </r>
  <r>
    <d v="2026-01-20T00:00:00"/>
    <s v="terça-feira"/>
    <d v="2026-01-20T00:00:00"/>
    <s v="SIM"/>
    <x v="6"/>
    <s v="Diversas até 28/02 - PB"/>
    <n v="0"/>
    <n v="0"/>
    <n v="0"/>
    <n v="24"/>
    <n v="0"/>
    <n v="0"/>
    <n v="0"/>
    <n v="0"/>
    <n v="0"/>
    <s v="Pantanal Baixo"/>
  </r>
  <r>
    <d v="2026-01-21T00:00:00"/>
    <s v="quarta-feira"/>
    <d v="2026-01-21T00:00:00"/>
    <s v="SIM"/>
    <x v="6"/>
    <s v="Diversas até 28/02 - PB"/>
    <n v="10"/>
    <n v="0"/>
    <n v="11"/>
    <n v="18"/>
    <n v="0"/>
    <n v="0"/>
    <n v="0"/>
    <n v="0"/>
    <n v="0"/>
    <s v="Pantanal Baixo"/>
  </r>
  <r>
    <d v="2026-01-22T00:00:00"/>
    <s v="quinta-feira"/>
    <d v="2026-01-22T00:00:00"/>
    <s v="SIM"/>
    <x v="6"/>
    <s v="Diversas até 28/02 - PB"/>
    <n v="0"/>
    <n v="0"/>
    <n v="30"/>
    <n v="12"/>
    <n v="1"/>
    <n v="0"/>
    <n v="0"/>
    <n v="0"/>
    <n v="0"/>
    <s v="Pantanal Baixo"/>
  </r>
  <r>
    <d v="2026-01-23T00:00:00"/>
    <s v="sexta-feira"/>
    <d v="2026-01-23T00:00:00"/>
    <s v="SIM"/>
    <x v="6"/>
    <s v="Diversas até 28/02 - PB"/>
    <n v="0"/>
    <n v="0"/>
    <n v="8"/>
    <n v="18"/>
    <n v="0"/>
    <n v="0"/>
    <n v="0"/>
    <n v="0"/>
    <n v="0"/>
    <s v="Pantanal Baixo"/>
  </r>
  <r>
    <d v="2026-01-24T00:00:00"/>
    <s v="sábado"/>
    <d v="2026-01-24T00:00:00"/>
    <s v="NÃO"/>
    <x v="0"/>
    <m/>
    <m/>
    <m/>
    <m/>
    <m/>
    <m/>
    <m/>
    <m/>
    <m/>
    <m/>
    <s v="Pantanal Baixo"/>
  </r>
  <r>
    <d v="2026-01-25T00:00:00"/>
    <s v="domingo"/>
    <d v="2026-01-25T00:00:00"/>
    <s v="NÃO"/>
    <x v="0"/>
    <m/>
    <m/>
    <m/>
    <m/>
    <m/>
    <m/>
    <m/>
    <m/>
    <m/>
    <m/>
    <s v="Pantanal Baixo"/>
  </r>
  <r>
    <d v="2026-01-26T00:00:00"/>
    <s v="segunda-feira"/>
    <d v="2026-01-26T00:00:00"/>
    <s v="NÃO"/>
    <x v="0"/>
    <m/>
    <m/>
    <m/>
    <m/>
    <m/>
    <m/>
    <m/>
    <m/>
    <m/>
    <m/>
    <s v="Pantanal Baixo"/>
  </r>
  <r>
    <d v="2026-01-27T00:00:00"/>
    <s v="terça-feira"/>
    <d v="2026-01-27T00:00:00"/>
    <s v="SIM"/>
    <x v="6"/>
    <s v="Diversas até 28/02 - PB"/>
    <n v="10"/>
    <n v="4"/>
    <n v="20"/>
    <n v="12"/>
    <n v="0"/>
    <n v="0"/>
    <n v="0"/>
    <n v="0"/>
    <n v="0"/>
    <s v="Pantanal Baixo"/>
  </r>
  <r>
    <d v="2026-01-28T00:00:00"/>
    <s v="quarta-feira"/>
    <d v="2026-01-28T00:00:00"/>
    <s v="SIM"/>
    <x v="6"/>
    <s v="Diversas até 28/02 - PB"/>
    <n v="8"/>
    <n v="0"/>
    <n v="37"/>
    <n v="29"/>
    <n v="0"/>
    <n v="0"/>
    <n v="0"/>
    <n v="8"/>
    <n v="0"/>
    <s v="Pantanal Baixo"/>
  </r>
  <r>
    <d v="2026-01-29T00:00:00"/>
    <s v="quinta-feira"/>
    <d v="2026-01-29T00:00:00"/>
    <s v="SIM"/>
    <x v="6"/>
    <s v="Diversas até 28/02 - PB"/>
    <n v="7"/>
    <n v="3"/>
    <n v="6"/>
    <n v="17"/>
    <n v="0"/>
    <n v="0"/>
    <n v="0"/>
    <n v="9"/>
    <n v="0"/>
    <s v="Pantanal Baixo"/>
  </r>
  <r>
    <d v="2026-01-30T00:00:00"/>
    <s v="sexta-feira"/>
    <d v="2026-01-30T00:00:00"/>
    <s v="SIM"/>
    <x v="6"/>
    <s v="Diversas até 28/02 - PB"/>
    <n v="0"/>
    <n v="0"/>
    <n v="15"/>
    <n v="9"/>
    <n v="0"/>
    <n v="0"/>
    <n v="14"/>
    <n v="10"/>
    <n v="0"/>
    <s v="Pantanal Baixo"/>
  </r>
  <r>
    <d v="2026-01-31T00:00:00"/>
    <s v="sábado"/>
    <d v="2026-01-31T00:00:00"/>
    <s v="SIM"/>
    <x v="6"/>
    <s v="Diversas até 28/02 - PB"/>
    <n v="6"/>
    <n v="2"/>
    <n v="20"/>
    <n v="6"/>
    <n v="0"/>
    <n v="0"/>
    <n v="0"/>
    <n v="5"/>
    <n v="0"/>
    <s v="Pantanal Baixo"/>
  </r>
  <r>
    <d v="2026-02-01T00:00:00"/>
    <s v="domingo"/>
    <d v="2026-02-01T00:00:00"/>
    <s v="NÃO"/>
    <x v="0"/>
    <m/>
    <m/>
    <m/>
    <m/>
    <m/>
    <m/>
    <m/>
    <m/>
    <m/>
    <m/>
    <s v="Pantanal Baixo"/>
  </r>
  <r>
    <d v="2026-02-02T00:00:00"/>
    <s v="segunda-feira"/>
    <d v="2026-02-02T00:00:00"/>
    <s v="SIM"/>
    <x v="6"/>
    <s v="Diversas até 28/02 - PB"/>
    <n v="6"/>
    <n v="0"/>
    <m/>
    <m/>
    <m/>
    <m/>
    <n v="0"/>
    <n v="0"/>
    <n v="0"/>
    <s v="Pantanal Baixo"/>
  </r>
  <r>
    <d v="2026-02-03T00:00:00"/>
    <s v="terça-feira"/>
    <d v="2026-02-03T00:00:00"/>
    <s v="SIM"/>
    <x v="6"/>
    <s v="Diversas até 28/02 - PB"/>
    <n v="10"/>
    <n v="0"/>
    <n v="0"/>
    <n v="0"/>
    <n v="0"/>
    <n v="0"/>
    <n v="0"/>
    <n v="0"/>
    <n v="0"/>
    <s v="Pantanal Baixo"/>
  </r>
  <r>
    <d v="2026-02-04T00:00:00"/>
    <s v="quarta-feira"/>
    <d v="2026-02-04T00:00:00"/>
    <s v="SIM"/>
    <x v="6"/>
    <s v="Diversas até 28/02 - PB"/>
    <n v="0"/>
    <n v="0"/>
    <n v="0"/>
    <n v="0"/>
    <n v="0"/>
    <n v="0"/>
    <n v="0"/>
    <n v="0"/>
    <n v="0"/>
    <s v="Pantanal Baixo"/>
  </r>
  <r>
    <d v="2026-02-05T00:00:00"/>
    <s v="quinta-feira"/>
    <d v="2026-02-05T00:00:00"/>
    <s v="NÃO"/>
    <x v="0"/>
    <m/>
    <n v="0"/>
    <n v="0"/>
    <n v="0"/>
    <n v="0"/>
    <n v="0"/>
    <n v="0"/>
    <n v="0"/>
    <n v="0"/>
    <n v="0"/>
    <s v="Pantanal Baixo"/>
  </r>
  <r>
    <d v="2026-02-06T00:00:00"/>
    <s v="sexta-feira"/>
    <d v="2026-02-06T00:00:00"/>
    <s v="SIM"/>
    <x v="6"/>
    <s v="Diversas até 28/02 - PB"/>
    <n v="10"/>
    <m/>
    <m/>
    <m/>
    <m/>
    <n v="0"/>
    <n v="0"/>
    <n v="0"/>
    <n v="0"/>
    <s v="Pantanal Baixo"/>
  </r>
  <r>
    <d v="2026-02-07T00:00:00"/>
    <s v="sábado"/>
    <d v="2026-02-07T00:00:00"/>
    <s v="SIM"/>
    <x v="6"/>
    <s v="Diversas até 28/02 - PB"/>
    <n v="2"/>
    <n v="1"/>
    <n v="12"/>
    <n v="0"/>
    <n v="0"/>
    <n v="0"/>
    <n v="0"/>
    <n v="3"/>
    <n v="0"/>
    <s v="Pantanal Baixo"/>
  </r>
  <r>
    <d v="2026-02-08T00:00:00"/>
    <s v="domingo"/>
    <d v="2026-02-08T00:00:00"/>
    <s v="NÃO"/>
    <x v="0"/>
    <m/>
    <m/>
    <m/>
    <m/>
    <m/>
    <m/>
    <m/>
    <m/>
    <m/>
    <m/>
    <s v="Pantanal Baixo"/>
  </r>
  <r>
    <d v="2026-02-09T00:00:00"/>
    <s v="segunda-feira"/>
    <d v="2026-02-09T00:00:00"/>
    <s v="SIM"/>
    <x v="6"/>
    <s v="Diversas até 28/02 - PB"/>
    <n v="6"/>
    <n v="3"/>
    <n v="21"/>
    <n v="13"/>
    <n v="0"/>
    <n v="0"/>
    <n v="0"/>
    <n v="0"/>
    <n v="0"/>
    <s v="Pantanal Baixo"/>
  </r>
  <r>
    <d v="2026-02-10T00:00:00"/>
    <s v="terça-feira"/>
    <d v="2026-02-10T00:00:00"/>
    <s v="SIM"/>
    <x v="6"/>
    <s v="Diversas até 28/02 - PB"/>
    <n v="23"/>
    <n v="4"/>
    <n v="0"/>
    <n v="12"/>
    <n v="0"/>
    <n v="0"/>
    <n v="0"/>
    <n v="2"/>
    <n v="0"/>
    <s v="Pantanal Baixo"/>
  </r>
  <r>
    <d v="2026-02-11T00:00:00"/>
    <s v="quarta-feira"/>
    <d v="2026-02-11T00:00:00"/>
    <s v="SIM"/>
    <x v="6"/>
    <s v="Diversas até 28/02 - PB"/>
    <n v="0"/>
    <n v="7"/>
    <n v="0"/>
    <n v="6"/>
    <n v="1"/>
    <n v="0"/>
    <n v="0"/>
    <n v="5"/>
    <n v="0"/>
    <s v="Pantanal Baixo"/>
  </r>
  <r>
    <d v="2026-02-12T00:00:00"/>
    <s v="quinta-feira"/>
    <d v="2026-02-12T00:00:00"/>
    <s v="SIM"/>
    <x v="6"/>
    <s v="Diversas até 28/02 - PB"/>
    <n v="3"/>
    <n v="0"/>
    <n v="0"/>
    <n v="24"/>
    <n v="2"/>
    <n v="0"/>
    <n v="8"/>
    <n v="4"/>
    <n v="0"/>
    <s v="Pantanal Baixo"/>
  </r>
  <r>
    <d v="2026-02-13T00:00:00"/>
    <s v="sexta-feira"/>
    <d v="2026-02-13T00:00:00"/>
    <s v="SIM"/>
    <x v="6"/>
    <s v="Diversas até 28/02 - PB"/>
    <n v="13"/>
    <n v="5"/>
    <n v="10"/>
    <n v="28"/>
    <n v="0"/>
    <n v="0"/>
    <n v="0"/>
    <n v="0"/>
    <n v="0"/>
    <s v="Pantanal Baixo"/>
  </r>
  <r>
    <d v="2026-02-14T00:00:00"/>
    <s v="sábado"/>
    <d v="2026-02-14T00:00:00"/>
    <s v="NÃO"/>
    <x v="0"/>
    <m/>
    <m/>
    <m/>
    <m/>
    <m/>
    <m/>
    <m/>
    <m/>
    <m/>
    <m/>
    <s v="Pantanal Baixo"/>
  </r>
  <r>
    <d v="2026-02-15T00:00:00"/>
    <s v="domingo"/>
    <d v="2026-02-15T00:00:00"/>
    <s v="NÃO"/>
    <x v="0"/>
    <m/>
    <m/>
    <m/>
    <m/>
    <m/>
    <m/>
    <m/>
    <m/>
    <m/>
    <m/>
    <s v="Pantanal Baixo"/>
  </r>
  <r>
    <d v="2026-02-16T00:00:00"/>
    <s v="segunda-feira"/>
    <d v="2026-02-16T00:00:00"/>
    <s v="SIM"/>
    <x v="6"/>
    <s v="Diversas até 28/02 - PB"/>
    <n v="0"/>
    <n v="0"/>
    <n v="0"/>
    <n v="16"/>
    <n v="0"/>
    <n v="0"/>
    <n v="0"/>
    <n v="2"/>
    <n v="0"/>
    <s v="Pantanal Baixo"/>
  </r>
  <r>
    <d v="2026-02-17T00:00:00"/>
    <s v="terça-feira"/>
    <d v="2026-02-17T00:00:00"/>
    <s v="SIM"/>
    <x v="6"/>
    <s v="Diversas até 28/02 - PB"/>
    <n v="0"/>
    <n v="0"/>
    <n v="0"/>
    <n v="0"/>
    <n v="0"/>
    <n v="0"/>
    <n v="5"/>
    <n v="0"/>
    <n v="0"/>
    <s v="Pantanal Baixo"/>
  </r>
  <r>
    <d v="2026-02-18T00:00:00"/>
    <s v="quarta-feira"/>
    <d v="2026-02-18T00:00:00"/>
    <s v="SIM"/>
    <x v="6"/>
    <s v="Diversas até 28/02 - PB"/>
    <n v="0"/>
    <n v="5"/>
    <n v="97"/>
    <n v="10"/>
    <n v="1"/>
    <n v="0"/>
    <n v="13"/>
    <n v="0"/>
    <n v="0"/>
    <s v="Pantanal Baixo"/>
  </r>
  <r>
    <d v="2026-02-19T00:00:00"/>
    <s v="quinta-feira"/>
    <d v="2026-02-19T00:00:00"/>
    <s v="SIM"/>
    <x v="6"/>
    <s v="Diversas até 28/02 - PB"/>
    <n v="0"/>
    <n v="3"/>
    <n v="0"/>
    <n v="0"/>
    <n v="0"/>
    <n v="0"/>
    <n v="0"/>
    <n v="0"/>
    <n v="0"/>
    <s v="Pantanal Baixo"/>
  </r>
  <r>
    <d v="2026-02-20T00:00:00"/>
    <s v="sexta-feira"/>
    <d v="2026-02-20T00:00:00"/>
    <s v="SIM"/>
    <x v="6"/>
    <s v="Diversas até 28/02 - PB"/>
    <n v="0"/>
    <n v="3"/>
    <n v="0"/>
    <n v="22"/>
    <n v="0"/>
    <n v="0"/>
    <n v="20"/>
    <n v="0"/>
    <n v="0"/>
    <s v="Pantanal Baixo"/>
  </r>
  <r>
    <d v="2026-02-21T00:00:00"/>
    <s v="sábado"/>
    <d v="2026-02-21T00:00:00"/>
    <s v="NÃO"/>
    <x v="0"/>
    <m/>
    <m/>
    <m/>
    <m/>
    <m/>
    <m/>
    <m/>
    <m/>
    <m/>
    <m/>
    <s v="Pantanal Baixo"/>
  </r>
  <r>
    <d v="2026-02-22T00:00:00"/>
    <s v="domingo"/>
    <d v="2026-02-22T00:00:00"/>
    <s v="NÃO"/>
    <x v="0"/>
    <m/>
    <m/>
    <m/>
    <m/>
    <m/>
    <m/>
    <m/>
    <m/>
    <m/>
    <m/>
    <s v="Pantanal Baixo"/>
  </r>
  <r>
    <d v="2026-02-23T00:00:00"/>
    <s v="segunda-feira"/>
    <d v="2026-02-23T00:00:00"/>
    <s v="SIM"/>
    <x v="6"/>
    <s v="Diversas até 28/02 - PB"/>
    <n v="5"/>
    <n v="5"/>
    <n v="38"/>
    <n v="27"/>
    <n v="0"/>
    <n v="0"/>
    <n v="0"/>
    <n v="0"/>
    <n v="0"/>
    <s v="Pantanal Baixo"/>
  </r>
  <r>
    <d v="2026-02-24T00:00:00"/>
    <s v="terça-feira"/>
    <d v="2026-02-24T00:00:00"/>
    <s v="SIM"/>
    <x v="6"/>
    <s v="Diversas até 28/02 - PB"/>
    <n v="0"/>
    <n v="5"/>
    <n v="6"/>
    <n v="12"/>
    <n v="1"/>
    <n v="0"/>
    <n v="0"/>
    <n v="0"/>
    <n v="0"/>
    <s v="Pantanal Baixo"/>
  </r>
  <r>
    <d v="2026-02-25T00:00:00"/>
    <s v="quarta-feira"/>
    <d v="2026-02-25T00:00:00"/>
    <s v="SIM"/>
    <x v="6"/>
    <s v="Diversas até 28/02 - PB"/>
    <n v="3"/>
    <n v="2"/>
    <n v="6"/>
    <n v="30"/>
    <n v="0"/>
    <n v="0"/>
    <n v="0"/>
    <n v="0"/>
    <n v="0"/>
    <s v="Pantanal Baixo"/>
  </r>
  <r>
    <d v="2026-02-26T00:00:00"/>
    <s v="quinta-feira"/>
    <d v="2026-02-26T00:00:00"/>
    <s v="NÃO"/>
    <x v="0"/>
    <m/>
    <m/>
    <m/>
    <m/>
    <m/>
    <m/>
    <m/>
    <m/>
    <m/>
    <m/>
    <s v="Pantanal Baixo"/>
  </r>
  <r>
    <d v="2026-02-27T00:00:00"/>
    <s v="sexta-feira"/>
    <d v="2026-02-27T00:00:00"/>
    <s v="SIM"/>
    <x v="6"/>
    <s v="Diversas até 28/02 - PB"/>
    <m/>
    <n v="11"/>
    <n v="22"/>
    <n v="42"/>
    <n v="1"/>
    <m/>
    <m/>
    <m/>
    <m/>
    <s v="Pantanal Baixo"/>
  </r>
  <r>
    <d v="2026-02-28T00:00:00"/>
    <s v="sábado"/>
    <d v="2026-02-28T00:00:00"/>
    <s v="SIM"/>
    <x v="6"/>
    <s v="Diversas até 28/02 - PB"/>
    <m/>
    <n v="22"/>
    <n v="0"/>
    <n v="26"/>
    <n v="2"/>
    <m/>
    <m/>
    <m/>
    <m/>
    <s v="Pantanal Baixo"/>
  </r>
  <r>
    <d v="2026-03-01T00:00:00"/>
    <s v="domingo"/>
    <d v="2026-03-01T00:00:00"/>
    <s v="NÃO"/>
    <x v="0"/>
    <m/>
    <m/>
    <m/>
    <m/>
    <m/>
    <m/>
    <m/>
    <m/>
    <m/>
    <m/>
    <s v="Pantanal Baixo"/>
  </r>
  <r>
    <d v="2026-03-02T00:00:00"/>
    <s v="segunda-feira"/>
    <d v="2026-03-02T00:00:00"/>
    <s v="SIM"/>
    <x v="7"/>
    <s v="BECO 14"/>
    <m/>
    <m/>
    <m/>
    <m/>
    <n v="1"/>
    <m/>
    <m/>
    <m/>
    <m/>
    <s v="Pantanal Baixo"/>
  </r>
  <r>
    <d v="2026-03-02T00:00:00"/>
    <s v="segunda-feira"/>
    <d v="2026-03-02T00:00:00"/>
    <s v="SIM"/>
    <x v="7"/>
    <s v="BECO 11"/>
    <m/>
    <m/>
    <m/>
    <m/>
    <n v="1"/>
    <m/>
    <m/>
    <m/>
    <m/>
    <s v="Pantanal Baixo"/>
  </r>
  <r>
    <d v="2026-03-02T00:00:00"/>
    <s v="segunda-feira"/>
    <d v="2026-03-02T00:00:00"/>
    <s v="SIM"/>
    <x v="8"/>
    <s v="BECO 18"/>
    <m/>
    <m/>
    <m/>
    <m/>
    <n v="2"/>
    <m/>
    <m/>
    <m/>
    <m/>
    <s v="Pantanal Baixo"/>
  </r>
  <r>
    <d v="2026-03-02T00:00:00"/>
    <s v="segunda-feira"/>
    <d v="2026-03-02T00:00:00"/>
    <s v="SIM"/>
    <x v="9"/>
    <s v="CANANEIA "/>
    <m/>
    <n v="5"/>
    <m/>
    <n v="6"/>
    <m/>
    <m/>
    <m/>
    <m/>
    <m/>
    <s v="Pantanal Baixo"/>
  </r>
  <r>
    <d v="2026-03-02T00:00:00"/>
    <s v="segunda-feira"/>
    <d v="2026-03-02T00:00:00"/>
    <s v="SIM"/>
    <x v="9"/>
    <s v="BECO 19"/>
    <m/>
    <n v="2"/>
    <m/>
    <n v="6"/>
    <n v="2"/>
    <m/>
    <m/>
    <m/>
    <m/>
    <s v="Pantanal Baixo"/>
  </r>
  <r>
    <d v="2026-03-02T00:00:00"/>
    <s v="segunda-feira"/>
    <d v="2026-03-02T00:00:00"/>
    <s v="SIM"/>
    <x v="9"/>
    <s v="BECO 16"/>
    <m/>
    <m/>
    <m/>
    <n v="6"/>
    <m/>
    <m/>
    <m/>
    <m/>
    <m/>
    <s v="Pantanal Baixo"/>
  </r>
  <r>
    <d v="2026-03-03T00:00:00"/>
    <s v="terça-feira"/>
    <d v="2026-03-03T00:00:00"/>
    <s v="SIM"/>
    <x v="8"/>
    <s v="CARAGUATATUBA"/>
    <m/>
    <m/>
    <m/>
    <n v="3"/>
    <m/>
    <m/>
    <m/>
    <m/>
    <m/>
    <s v="Pantanal Baixo"/>
  </r>
  <r>
    <d v="2026-03-03T00:00:00"/>
    <s v="terça-feira"/>
    <d v="2026-03-03T00:00:00"/>
    <s v="SIM"/>
    <x v="7"/>
    <s v="BECO 11 "/>
    <m/>
    <m/>
    <m/>
    <n v="6"/>
    <m/>
    <m/>
    <m/>
    <m/>
    <m/>
    <s v="Pantanal Baixo"/>
  </r>
  <r>
    <d v="2026-03-03T00:00:00"/>
    <s v="terça-feira"/>
    <d v="2026-03-03T00:00:00"/>
    <s v="SIM"/>
    <x v="7"/>
    <s v="BECO 14 "/>
    <m/>
    <m/>
    <m/>
    <n v="12"/>
    <n v="1"/>
    <m/>
    <m/>
    <m/>
    <m/>
    <s v="Pantanal Baixo"/>
  </r>
  <r>
    <d v="2026-03-03T00:00:00"/>
    <s v="terça-feira"/>
    <d v="2026-03-03T00:00:00"/>
    <s v="SIM"/>
    <x v="9"/>
    <s v="CANANEIA "/>
    <m/>
    <n v="7"/>
    <n v="20"/>
    <n v="6"/>
    <m/>
    <m/>
    <m/>
    <m/>
    <m/>
    <s v="Pantanal Baixo"/>
  </r>
  <r>
    <d v="2026-03-03T00:00:00"/>
    <s v="terça-feira"/>
    <d v="2026-03-03T00:00:00"/>
    <s v="SIM"/>
    <x v="9"/>
    <s v="BECO 16"/>
    <m/>
    <n v="2"/>
    <m/>
    <n v="6"/>
    <m/>
    <m/>
    <m/>
    <m/>
    <m/>
    <s v="Pantanal Baixo"/>
  </r>
  <r>
    <d v="2026-03-04T00:00:00"/>
    <s v="quarta-feira"/>
    <d v="2026-03-04T00:00:00"/>
    <s v="SIM"/>
    <x v="10"/>
    <s v="BECO 10"/>
    <m/>
    <m/>
    <m/>
    <n v="12"/>
    <m/>
    <m/>
    <m/>
    <m/>
    <m/>
    <s v="Pantanal Baixo"/>
  </r>
  <r>
    <d v="2026-03-04T00:00:00"/>
    <s v="quarta-feira"/>
    <d v="2026-03-04T00:00:00"/>
    <s v="SIM"/>
    <x v="10"/>
    <s v="BECO 14"/>
    <m/>
    <m/>
    <m/>
    <n v="6"/>
    <m/>
    <m/>
    <m/>
    <m/>
    <m/>
    <s v="Pantanal Baixo"/>
  </r>
  <r>
    <d v="2026-03-04T00:00:00"/>
    <s v="quarta-feira"/>
    <d v="2026-03-04T00:00:00"/>
    <s v="SIM"/>
    <x v="10"/>
    <s v="BECO 11"/>
    <m/>
    <m/>
    <m/>
    <n v="12"/>
    <n v="1"/>
    <m/>
    <m/>
    <m/>
    <m/>
    <s v="Pantanal Baixo"/>
  </r>
  <r>
    <d v="2026-03-04T00:00:00"/>
    <s v="quarta-feira"/>
    <d v="2026-03-04T00:00:00"/>
    <s v="SIM"/>
    <x v="9"/>
    <s v="CANANEIA "/>
    <m/>
    <n v="6"/>
    <m/>
    <n v="6"/>
    <m/>
    <m/>
    <m/>
    <m/>
    <m/>
    <s v="Pantanal Baixo"/>
  </r>
  <r>
    <d v="2026-03-04T00:00:00"/>
    <s v="quarta-feira"/>
    <d v="2026-03-04T00:00:00"/>
    <s v="SIM"/>
    <x v="9"/>
    <s v="BECO 16"/>
    <m/>
    <n v="6"/>
    <m/>
    <m/>
    <m/>
    <m/>
    <m/>
    <m/>
    <m/>
    <s v="Pantanal Baixo"/>
  </r>
  <r>
    <d v="2026-03-04T00:00:00"/>
    <s v="quarta-feira"/>
    <d v="2026-03-04T00:00:00"/>
    <s v="SIM"/>
    <x v="9"/>
    <s v="BECO 22"/>
    <m/>
    <n v="1"/>
    <m/>
    <m/>
    <m/>
    <m/>
    <m/>
    <m/>
    <m/>
    <s v="Pantanal Baixo"/>
  </r>
  <r>
    <d v="2026-03-05T00:00:00"/>
    <s v="quinta-feira"/>
    <d v="2026-03-05T00:00:00"/>
    <s v="SIM"/>
    <x v="9"/>
    <s v="CANANEIA "/>
    <n v="1"/>
    <n v="7"/>
    <m/>
    <n v="12"/>
    <m/>
    <m/>
    <n v="1"/>
    <m/>
    <m/>
    <s v="Pantanal Baixo"/>
  </r>
  <r>
    <d v="2026-03-05T00:00:00"/>
    <s v="quinta-feira"/>
    <d v="2026-03-05T00:00:00"/>
    <s v="SIM"/>
    <x v="9"/>
    <s v="BECO 16"/>
    <m/>
    <m/>
    <m/>
    <n v="6"/>
    <m/>
    <m/>
    <m/>
    <m/>
    <m/>
    <s v="Pantanal Baixo"/>
  </r>
  <r>
    <d v="2026-03-05T00:00:00"/>
    <s v="quinta-feira"/>
    <d v="2026-03-05T00:00:00"/>
    <s v="SIM"/>
    <x v="9"/>
    <s v="BECO 21"/>
    <m/>
    <n v="1"/>
    <m/>
    <m/>
    <m/>
    <m/>
    <m/>
    <m/>
    <m/>
    <s v="Pantanal Baixo"/>
  </r>
  <r>
    <d v="2026-03-05T00:00:00"/>
    <s v="quinta-feira"/>
    <d v="2026-03-05T00:00:00"/>
    <s v="SIM"/>
    <x v="10"/>
    <s v="BECO 10"/>
    <m/>
    <m/>
    <m/>
    <n v="9"/>
    <m/>
    <m/>
    <m/>
    <m/>
    <m/>
    <s v="Pantanal Baixo"/>
  </r>
  <r>
    <d v="2026-03-05T00:00:00"/>
    <s v="quinta-feira"/>
    <d v="2026-03-05T00:00:00"/>
    <s v="SIM"/>
    <x v="10"/>
    <s v="BECO 14"/>
    <m/>
    <m/>
    <n v="56"/>
    <m/>
    <m/>
    <m/>
    <m/>
    <m/>
    <m/>
    <s v="Pantanal Baixo"/>
  </r>
  <r>
    <d v="2026-03-05T00:00:00"/>
    <s v="quinta-feira"/>
    <d v="2026-03-05T00:00:00"/>
    <s v="SIM"/>
    <x v="10"/>
    <s v="BECO 11"/>
    <m/>
    <m/>
    <m/>
    <n v="5"/>
    <m/>
    <m/>
    <m/>
    <m/>
    <m/>
    <s v="Pantanal Baixo"/>
  </r>
  <r>
    <d v="2026-03-06T00:00:00"/>
    <s v="sexta-feira"/>
    <d v="2026-03-06T00:00:00"/>
    <s v="SIM"/>
    <x v="9"/>
    <s v="CANANEIA "/>
    <n v="5"/>
    <m/>
    <m/>
    <m/>
    <m/>
    <m/>
    <n v="1"/>
    <m/>
    <m/>
    <s v="Pantanal Baixo"/>
  </r>
  <r>
    <d v="2026-03-06T00:00:00"/>
    <s v="sexta-feira"/>
    <d v="2026-03-06T00:00:00"/>
    <s v="SIM"/>
    <x v="9"/>
    <s v="BECO 19"/>
    <m/>
    <n v="1"/>
    <m/>
    <m/>
    <n v="2"/>
    <m/>
    <m/>
    <m/>
    <m/>
    <s v="Pantanal Baixo"/>
  </r>
  <r>
    <d v="2026-03-06T00:00:00"/>
    <s v="sexta-feira"/>
    <d v="2026-03-06T00:00:00"/>
    <s v="SIM"/>
    <x v="9"/>
    <s v="BECO 16"/>
    <m/>
    <n v="5"/>
    <n v="60"/>
    <m/>
    <n v="1"/>
    <m/>
    <m/>
    <m/>
    <m/>
    <s v="Pantanal Baixo"/>
  </r>
  <r>
    <d v="2026-03-06T00:00:00"/>
    <s v="sexta-feira"/>
    <d v="2026-03-06T00:00:00"/>
    <s v="SIM"/>
    <x v="10"/>
    <s v="BECO 11"/>
    <n v="7"/>
    <m/>
    <n v="60"/>
    <m/>
    <m/>
    <m/>
    <m/>
    <m/>
    <m/>
    <s v="Pantanal Baixo"/>
  </r>
  <r>
    <d v="2026-03-06T00:00:00"/>
    <s v="sexta-feira"/>
    <d v="2026-03-06T00:00:00"/>
    <s v="SIM"/>
    <x v="10"/>
    <s v="BECO 10"/>
    <m/>
    <m/>
    <m/>
    <n v="5"/>
    <m/>
    <m/>
    <m/>
    <m/>
    <m/>
    <s v="Pantanal Baixo"/>
  </r>
  <r>
    <d v="2026-03-07T00:00:00"/>
    <s v="sábado"/>
    <d v="2026-03-07T00:00:00"/>
    <s v="NÃO"/>
    <x v="0"/>
    <m/>
    <m/>
    <m/>
    <m/>
    <m/>
    <m/>
    <m/>
    <m/>
    <m/>
    <m/>
    <s v="Pantanal Baixo"/>
  </r>
  <r>
    <d v="2026-03-08T00:00:00"/>
    <s v="domingo"/>
    <d v="2026-03-08T00:00:00"/>
    <s v="NÃO"/>
    <x v="0"/>
    <m/>
    <m/>
    <m/>
    <m/>
    <m/>
    <m/>
    <m/>
    <m/>
    <m/>
    <m/>
    <s v="Pantanal Baixo"/>
  </r>
  <r>
    <d v="2026-03-09T00:00:00"/>
    <s v="segunda-feira"/>
    <d v="2026-03-09T00:00:00"/>
    <s v="SIM"/>
    <x v="10"/>
    <s v="BECO 17 "/>
    <m/>
    <n v="5"/>
    <m/>
    <n v="12"/>
    <m/>
    <m/>
    <m/>
    <m/>
    <m/>
    <s v="Pantanal Baixo"/>
  </r>
  <r>
    <d v="2026-03-09T00:00:00"/>
    <s v="segunda-feira"/>
    <d v="2026-03-09T00:00:00"/>
    <s v="SIM"/>
    <x v="10"/>
    <s v="BECO 14 "/>
    <m/>
    <n v="5"/>
    <m/>
    <m/>
    <m/>
    <m/>
    <m/>
    <m/>
    <m/>
    <s v="Pantanal Baixo"/>
  </r>
  <r>
    <d v="2026-03-09T00:00:00"/>
    <s v="segunda-feira"/>
    <d v="2026-03-09T00:00:00"/>
    <s v="SIM"/>
    <x v="10"/>
    <s v="BECO 10"/>
    <m/>
    <n v="1"/>
    <m/>
    <m/>
    <m/>
    <m/>
    <m/>
    <m/>
    <m/>
    <s v="Pantanal Baixo"/>
  </r>
  <r>
    <d v="2026-03-09T00:00:00"/>
    <s v="segunda-feira"/>
    <d v="2026-03-09T00:00:00"/>
    <s v="SIM"/>
    <x v="9"/>
    <s v="CANANEIA "/>
    <m/>
    <n v="1"/>
    <m/>
    <n v="6"/>
    <n v="1"/>
    <m/>
    <n v="2"/>
    <m/>
    <m/>
    <s v="Pantanal Baixo"/>
  </r>
  <r>
    <d v="2026-03-09T00:00:00"/>
    <s v="segunda-feira"/>
    <d v="2026-03-09T00:00:00"/>
    <s v="SIM"/>
    <x v="9"/>
    <s v="BECO 21 "/>
    <n v="2"/>
    <m/>
    <m/>
    <m/>
    <m/>
    <m/>
    <m/>
    <m/>
    <m/>
    <s v="Pantanal Baixo"/>
  </r>
  <r>
    <d v="2026-03-09T00:00:00"/>
    <s v="segunda-feira"/>
    <d v="2026-03-09T00:00:00"/>
    <s v="SIM"/>
    <x v="9"/>
    <s v="BECO 16"/>
    <m/>
    <m/>
    <m/>
    <m/>
    <n v="1"/>
    <m/>
    <m/>
    <m/>
    <m/>
    <s v="Pantanal Baixo"/>
  </r>
  <r>
    <d v="2026-03-10T00:00:00"/>
    <s v="terça-feira"/>
    <d v="2026-03-10T00:00:00"/>
    <s v="NÃO"/>
    <x v="0"/>
    <s v="CHUVA"/>
    <m/>
    <m/>
    <m/>
    <m/>
    <m/>
    <m/>
    <m/>
    <m/>
    <m/>
    <s v="Pantanal Baixo"/>
  </r>
  <r>
    <d v="2026-03-11T00:00:00"/>
    <s v="quarta-feira"/>
    <d v="2026-03-11T00:00:00"/>
    <s v="SIM"/>
    <x v="9"/>
    <s v="CANANEIA "/>
    <m/>
    <n v="1"/>
    <n v="23"/>
    <m/>
    <n v="1"/>
    <m/>
    <m/>
    <m/>
    <m/>
    <s v="Pantanal Baixo"/>
  </r>
  <r>
    <d v="2026-03-11T00:00:00"/>
    <s v="quarta-feira"/>
    <d v="2026-03-11T00:00:00"/>
    <s v="SIM"/>
    <x v="9"/>
    <s v="BECO 21"/>
    <n v="5"/>
    <m/>
    <m/>
    <m/>
    <m/>
    <m/>
    <m/>
    <m/>
    <m/>
    <s v="Pantanal Baixo"/>
  </r>
  <r>
    <d v="2026-03-11T00:00:00"/>
    <s v="quarta-feira"/>
    <d v="2026-03-11T00:00:00"/>
    <s v="SIM"/>
    <x v="9"/>
    <s v="BECO 16"/>
    <m/>
    <m/>
    <m/>
    <m/>
    <n v="1"/>
    <m/>
    <m/>
    <m/>
    <m/>
    <s v="Pantanal Baixo"/>
  </r>
  <r>
    <d v="2026-03-11T00:00:00"/>
    <s v="quarta-feira"/>
    <d v="2026-03-11T00:00:00"/>
    <s v="SIM"/>
    <x v="9"/>
    <s v="BECO 19"/>
    <n v="5"/>
    <m/>
    <m/>
    <m/>
    <m/>
    <m/>
    <m/>
    <m/>
    <m/>
    <s v="Pantanal Baixo"/>
  </r>
  <r>
    <d v="2026-03-11T00:00:00"/>
    <s v="quarta-feira"/>
    <d v="2026-03-11T00:00:00"/>
    <s v="SIM"/>
    <x v="10"/>
    <s v="RUA 10"/>
    <m/>
    <n v="3"/>
    <m/>
    <n v="3"/>
    <m/>
    <m/>
    <m/>
    <m/>
    <m/>
    <s v="Pantanal Baixo"/>
  </r>
  <r>
    <d v="2026-03-11T00:00:00"/>
    <s v="quarta-feira"/>
    <d v="2026-03-11T00:00:00"/>
    <s v="SIM"/>
    <x v="10"/>
    <s v="RUA 17"/>
    <m/>
    <n v="3"/>
    <m/>
    <m/>
    <m/>
    <m/>
    <m/>
    <m/>
    <m/>
    <s v="Pantanal Baixo"/>
  </r>
  <r>
    <d v="2026-03-11T00:00:00"/>
    <s v="quarta-feira"/>
    <d v="2026-03-11T00:00:00"/>
    <s v="SIM"/>
    <x v="10"/>
    <s v="RUA 14"/>
    <m/>
    <m/>
    <m/>
    <m/>
    <n v="1"/>
    <m/>
    <m/>
    <m/>
    <m/>
    <s v="Pantanal Baixo"/>
  </r>
  <r>
    <d v="2026-03-11T00:00:00"/>
    <s v="quarta-feira"/>
    <d v="2026-03-11T00:00:00"/>
    <s v="SIM"/>
    <x v="10"/>
    <s v="RUA 11"/>
    <n v="10"/>
    <n v="4"/>
    <m/>
    <m/>
    <m/>
    <m/>
    <m/>
    <n v="10"/>
    <m/>
    <s v="Pantanal Baixo"/>
  </r>
  <r>
    <d v="2026-03-12T00:00:00"/>
    <s v="quinta-feira"/>
    <d v="2026-03-12T00:00:00"/>
    <s v="NÃO"/>
    <x v="0"/>
    <s v="CHUVA"/>
    <m/>
    <m/>
    <m/>
    <m/>
    <m/>
    <m/>
    <m/>
    <m/>
    <m/>
    <s v="Pantanal Baixo"/>
  </r>
  <r>
    <d v="2026-03-13T00:00:00"/>
    <s v="sexta-feira"/>
    <d v="2026-03-13T00:00:00"/>
    <s v="SIM"/>
    <x v="10"/>
    <s v="RUA 10"/>
    <m/>
    <n v="6"/>
    <m/>
    <m/>
    <m/>
    <m/>
    <m/>
    <m/>
    <m/>
    <s v="Pantanal Baixo"/>
  </r>
  <r>
    <d v="2026-03-13T00:00:00"/>
    <s v="sexta-feira"/>
    <d v="2026-03-13T00:00:00"/>
    <s v="SIM"/>
    <x v="10"/>
    <s v="RUA 18"/>
    <m/>
    <m/>
    <n v="5"/>
    <m/>
    <m/>
    <m/>
    <m/>
    <m/>
    <m/>
    <s v="Pantanal Baixo"/>
  </r>
  <r>
    <d v="2026-03-13T00:00:00"/>
    <s v="sexta-feira"/>
    <d v="2026-03-13T00:00:00"/>
    <s v="SIM"/>
    <x v="10"/>
    <s v="RUA 17"/>
    <m/>
    <n v="3"/>
    <m/>
    <m/>
    <m/>
    <m/>
    <m/>
    <m/>
    <m/>
    <s v="Pantanal Baixo"/>
  </r>
  <r>
    <d v="2026-03-13T00:00:00"/>
    <s v="sexta-feira"/>
    <d v="2026-03-13T00:00:00"/>
    <s v="SIM"/>
    <x v="10"/>
    <s v="RUA 11"/>
    <m/>
    <n v="2"/>
    <m/>
    <m/>
    <m/>
    <m/>
    <m/>
    <m/>
    <m/>
    <s v="Pantanal Baixo"/>
  </r>
  <r>
    <d v="2026-03-13T00:00:00"/>
    <s v="sexta-feira"/>
    <d v="2026-03-13T00:00:00"/>
    <s v="SIM"/>
    <x v="10"/>
    <s v="RUA 14"/>
    <m/>
    <n v="3"/>
    <m/>
    <m/>
    <m/>
    <m/>
    <m/>
    <m/>
    <m/>
    <s v="Pantanal Baixo"/>
  </r>
  <r>
    <d v="2026-03-13T00:00:00"/>
    <s v="sexta-feira"/>
    <d v="2026-03-13T00:00:00"/>
    <s v="SIM"/>
    <x v="9"/>
    <s v="RUA 18"/>
    <m/>
    <n v="1"/>
    <m/>
    <m/>
    <m/>
    <m/>
    <n v="6"/>
    <m/>
    <m/>
    <s v="Pantanal Baixo"/>
  </r>
  <r>
    <d v="2026-03-13T00:00:00"/>
    <s v="sexta-feira"/>
    <d v="2026-03-13T00:00:00"/>
    <s v="SIM"/>
    <x v="9"/>
    <s v="RUA 20"/>
    <n v="2"/>
    <m/>
    <m/>
    <m/>
    <m/>
    <m/>
    <m/>
    <m/>
    <m/>
    <s v="Pantanal Baixo"/>
  </r>
  <r>
    <d v="2026-03-14T00:00:00"/>
    <s v="sábado"/>
    <d v="2026-03-14T00:00:00"/>
    <s v="SIM"/>
    <x v="9"/>
    <s v="RUA 20"/>
    <n v="2"/>
    <m/>
    <m/>
    <m/>
    <m/>
    <m/>
    <m/>
    <m/>
    <m/>
    <s v="Pantanal Baixo"/>
  </r>
  <r>
    <d v="2026-03-15T00:00:00"/>
    <s v="domingo"/>
    <d v="2026-03-15T00:00:00"/>
    <s v="NÃO"/>
    <x v="0"/>
    <m/>
    <m/>
    <m/>
    <m/>
    <m/>
    <m/>
    <m/>
    <m/>
    <m/>
    <m/>
    <s v="Pantanal Baixo"/>
  </r>
  <r>
    <d v="2026-03-16T00:00:00"/>
    <s v="segunda-feira"/>
    <d v="2026-03-16T00:00:00"/>
    <s v="SIM"/>
    <x v="9"/>
    <s v="RUA 20"/>
    <n v="2"/>
    <m/>
    <m/>
    <m/>
    <m/>
    <m/>
    <n v="4"/>
    <m/>
    <m/>
    <s v="Pantanal Baixo"/>
  </r>
  <r>
    <d v="2026-03-16T00:00:00"/>
    <s v="segunda-feira"/>
    <d v="2026-03-16T00:00:00"/>
    <s v="SIM"/>
    <x v="9"/>
    <s v="RUA 16"/>
    <m/>
    <m/>
    <m/>
    <n v="6"/>
    <m/>
    <m/>
    <m/>
    <m/>
    <m/>
    <s v="Pantanal Baixo"/>
  </r>
  <r>
    <d v="2026-03-16T00:00:00"/>
    <s v="segunda-feira"/>
    <d v="2026-03-16T00:00:00"/>
    <s v="SIM"/>
    <x v="10"/>
    <s v="RUA 14"/>
    <m/>
    <m/>
    <m/>
    <n v="6"/>
    <m/>
    <m/>
    <m/>
    <m/>
    <m/>
    <s v="Pantanal Baixo"/>
  </r>
  <r>
    <d v="2026-03-16T00:00:00"/>
    <s v="segunda-feira"/>
    <d v="2026-03-16T00:00:00"/>
    <s v="SIM"/>
    <x v="10"/>
    <s v="RUA 11"/>
    <m/>
    <m/>
    <m/>
    <n v="9"/>
    <m/>
    <m/>
    <m/>
    <m/>
    <m/>
    <s v="Pantanal Baixo"/>
  </r>
  <r>
    <d v="2026-03-16T00:00:00"/>
    <s v="segunda-feira"/>
    <d v="2026-03-16T00:00:00"/>
    <s v="SIM"/>
    <x v="10"/>
    <s v="RUA 10"/>
    <m/>
    <m/>
    <m/>
    <n v="6"/>
    <m/>
    <m/>
    <m/>
    <m/>
    <m/>
    <s v="Pantanal Baixo"/>
  </r>
  <r>
    <d v="2026-03-16T00:00:00"/>
    <s v="segunda-feira"/>
    <d v="2026-03-16T00:00:00"/>
    <s v="SIM"/>
    <x v="10"/>
    <s v="RUA 18"/>
    <m/>
    <m/>
    <m/>
    <n v="18"/>
    <m/>
    <m/>
    <m/>
    <m/>
    <m/>
    <s v="Pantanal Baixo"/>
  </r>
  <r>
    <d v="2026-03-16T00:00:00"/>
    <s v="segunda-feira"/>
    <d v="2026-03-16T00:00:00"/>
    <s v="SIM"/>
    <x v="10"/>
    <s v="COLINA "/>
    <m/>
    <m/>
    <m/>
    <m/>
    <m/>
    <m/>
    <m/>
    <n v="10"/>
    <m/>
    <s v="Pantanal Baixo"/>
  </r>
  <r>
    <d v="2026-03-17T00:00:00"/>
    <s v="terça-feira"/>
    <d v="2026-03-17T00:00:00"/>
    <s v="SIM"/>
    <x v="9"/>
    <s v="RUA 20"/>
    <n v="1"/>
    <m/>
    <m/>
    <m/>
    <m/>
    <m/>
    <n v="1"/>
    <m/>
    <m/>
    <s v="Pantanal Baixo"/>
  </r>
  <r>
    <d v="2026-03-17T00:00:00"/>
    <s v="terça-feira"/>
    <d v="2026-03-17T00:00:00"/>
    <s v="SIM"/>
    <x v="9"/>
    <s v="RUA CANANEIA"/>
    <m/>
    <m/>
    <m/>
    <m/>
    <m/>
    <m/>
    <n v="1"/>
    <m/>
    <m/>
    <s v="Pantanal Baixo"/>
  </r>
  <r>
    <d v="2026-03-17T00:00:00"/>
    <s v="terça-feira"/>
    <d v="2026-03-17T00:00:00"/>
    <s v="SIM"/>
    <x v="9"/>
    <s v="RUA 16"/>
    <m/>
    <m/>
    <m/>
    <n v="6"/>
    <m/>
    <m/>
    <m/>
    <m/>
    <m/>
    <s v="Pantanal Baixo"/>
  </r>
  <r>
    <d v="2026-03-17T00:00:00"/>
    <s v="terça-feira"/>
    <d v="2026-03-17T00:00:00"/>
    <s v="SIM"/>
    <x v="10"/>
    <s v="RUA 14"/>
    <m/>
    <m/>
    <m/>
    <n v="12"/>
    <m/>
    <m/>
    <m/>
    <m/>
    <m/>
    <s v="Pantanal Baixo"/>
  </r>
  <r>
    <d v="2026-03-17T00:00:00"/>
    <s v="terça-feira"/>
    <d v="2026-03-17T00:00:00"/>
    <s v="SIM"/>
    <x v="10"/>
    <s v="RUA 11"/>
    <m/>
    <m/>
    <m/>
    <n v="6"/>
    <m/>
    <m/>
    <m/>
    <m/>
    <m/>
    <s v="Pantanal Baixo"/>
  </r>
  <r>
    <d v="2026-03-17T00:00:00"/>
    <s v="terça-feira"/>
    <d v="2026-03-17T00:00:00"/>
    <s v="SIM"/>
    <x v="10"/>
    <s v="RUA 10"/>
    <m/>
    <m/>
    <m/>
    <n v="6"/>
    <m/>
    <m/>
    <m/>
    <m/>
    <m/>
    <s v="Pantanal Baixo"/>
  </r>
  <r>
    <d v="2026-03-18T00:00:00"/>
    <s v="quarta-feira"/>
    <d v="2026-03-18T00:00:00"/>
    <s v="SIM"/>
    <x v="9"/>
    <s v="BECO 20"/>
    <n v="1"/>
    <m/>
    <m/>
    <m/>
    <m/>
    <m/>
    <m/>
    <m/>
    <m/>
    <s v="Pantanal Baixo"/>
  </r>
  <r>
    <d v="2026-03-18T00:00:00"/>
    <s v="quarta-feira"/>
    <d v="2026-03-18T00:00:00"/>
    <s v="SIM"/>
    <x v="9"/>
    <s v="BECO 16"/>
    <m/>
    <n v="4"/>
    <m/>
    <n v="12"/>
    <m/>
    <m/>
    <m/>
    <m/>
    <m/>
    <s v="Pantanal Baixo"/>
  </r>
  <r>
    <d v="2026-03-18T00:00:00"/>
    <s v="quarta-feira"/>
    <d v="2026-03-18T00:00:00"/>
    <s v="SIM"/>
    <x v="9"/>
    <s v="CANANEIA "/>
    <n v="1"/>
    <m/>
    <m/>
    <m/>
    <m/>
    <m/>
    <n v="1"/>
    <m/>
    <m/>
    <s v="Pantanal Baixo"/>
  </r>
  <r>
    <d v="2026-03-18T00:00:00"/>
    <s v="quarta-feira"/>
    <d v="2026-03-18T00:00:00"/>
    <s v="SIM"/>
    <x v="9"/>
    <s v="RUA 19"/>
    <m/>
    <m/>
    <m/>
    <m/>
    <m/>
    <m/>
    <n v="1"/>
    <m/>
    <m/>
    <s v="Pantanal Baixo"/>
  </r>
  <r>
    <d v="2026-03-18T00:00:00"/>
    <s v="quarta-feira"/>
    <d v="2026-03-18T00:00:00"/>
    <s v="SIM"/>
    <x v="10"/>
    <s v="RUA 11"/>
    <m/>
    <m/>
    <m/>
    <n v="15"/>
    <m/>
    <m/>
    <m/>
    <m/>
    <m/>
    <s v="Pantanal Baixo"/>
  </r>
  <r>
    <d v="2026-03-18T00:00:00"/>
    <s v="quarta-feira"/>
    <d v="2026-03-18T00:00:00"/>
    <s v="SIM"/>
    <x v="10"/>
    <s v="RUA 14"/>
    <m/>
    <m/>
    <n v="54"/>
    <m/>
    <m/>
    <m/>
    <m/>
    <m/>
    <m/>
    <s v="Pantanal Baixo"/>
  </r>
  <r>
    <d v="2026-03-18T00:00:00"/>
    <s v="quarta-feira"/>
    <d v="2026-03-18T00:00:00"/>
    <s v="SIM"/>
    <x v="10"/>
    <s v="RUA 10"/>
    <m/>
    <m/>
    <m/>
    <n v="6"/>
    <n v="1"/>
    <m/>
    <m/>
    <m/>
    <m/>
    <s v="Pantanal Baixo"/>
  </r>
  <r>
    <d v="2026-03-19T00:00:00"/>
    <s v="quinta-feira"/>
    <d v="2026-03-19T00:00:00"/>
    <s v="SIM"/>
    <x v="9"/>
    <s v="RUA 16"/>
    <m/>
    <m/>
    <m/>
    <n v="12"/>
    <m/>
    <m/>
    <m/>
    <m/>
    <m/>
    <s v="Pantanal Baixo"/>
  </r>
  <r>
    <d v="2026-03-19T00:00:00"/>
    <s v="quinta-feira"/>
    <d v="2026-03-19T00:00:00"/>
    <s v="SIM"/>
    <x v="9"/>
    <s v="CANANEIA "/>
    <n v="3"/>
    <m/>
    <m/>
    <m/>
    <m/>
    <m/>
    <n v="2"/>
    <m/>
    <m/>
    <s v="Pantanal Baixo"/>
  </r>
  <r>
    <d v="2026-03-19T00:00:00"/>
    <s v="quinta-feira"/>
    <d v="2026-03-19T00:00:00"/>
    <s v="SIM"/>
    <x v="10"/>
    <s v="RUA 11"/>
    <m/>
    <m/>
    <n v="37"/>
    <n v="6"/>
    <m/>
    <m/>
    <m/>
    <m/>
    <m/>
    <s v="Pantanal Baixo"/>
  </r>
  <r>
    <d v="2026-03-19T00:00:00"/>
    <s v="quinta-feira"/>
    <d v="2026-03-19T00:00:00"/>
    <s v="SIM"/>
    <x v="10"/>
    <s v="RUA 14 "/>
    <m/>
    <m/>
    <m/>
    <m/>
    <m/>
    <m/>
    <n v="9"/>
    <m/>
    <m/>
    <s v="Pantanal Baixo"/>
  </r>
  <r>
    <d v="2026-03-19T00:00:00"/>
    <s v="quinta-feira"/>
    <d v="2026-03-19T00:00:00"/>
    <s v="SIM"/>
    <x v="10"/>
    <s v="RUA 10"/>
    <m/>
    <m/>
    <m/>
    <n v="6"/>
    <m/>
    <m/>
    <n v="2"/>
    <m/>
    <m/>
    <s v="Pantanal Baixo"/>
  </r>
  <r>
    <d v="2026-03-20T00:00:00"/>
    <s v="sexta-feira"/>
    <d v="2026-03-20T00:00:00"/>
    <s v="SIM"/>
    <x v="9"/>
    <s v="RUA 16"/>
    <m/>
    <m/>
    <m/>
    <n v="12"/>
    <n v="1"/>
    <m/>
    <m/>
    <m/>
    <m/>
    <s v="Pantanal Baixo"/>
  </r>
  <r>
    <d v="2026-03-20T00:00:00"/>
    <s v="sexta-feira"/>
    <d v="2026-03-20T00:00:00"/>
    <s v="SIM"/>
    <x v="9"/>
    <s v="RUA 19"/>
    <n v="1"/>
    <m/>
    <m/>
    <m/>
    <m/>
    <m/>
    <m/>
    <m/>
    <m/>
    <s v="Pantanal Baixo"/>
  </r>
  <r>
    <d v="2026-03-20T00:00:00"/>
    <s v="sexta-feira"/>
    <d v="2026-03-20T00:00:00"/>
    <s v="SIM"/>
    <x v="10"/>
    <s v="RUA 10"/>
    <m/>
    <n v="6"/>
    <m/>
    <m/>
    <m/>
    <m/>
    <m/>
    <m/>
    <m/>
    <s v="Pantanal Baixo"/>
  </r>
  <r>
    <d v="2026-03-20T00:00:00"/>
    <s v="sexta-feira"/>
    <d v="2026-03-20T00:00:00"/>
    <s v="SIM"/>
    <x v="10"/>
    <s v="RUA 14"/>
    <n v="9"/>
    <m/>
    <m/>
    <m/>
    <m/>
    <m/>
    <m/>
    <m/>
    <m/>
    <s v="Pantanal Baixo"/>
  </r>
  <r>
    <d v="2026-03-21T00:00:00"/>
    <s v="sábado"/>
    <d v="2026-03-21T00:00:00"/>
    <s v="NÃO"/>
    <x v="0"/>
    <m/>
    <m/>
    <m/>
    <m/>
    <m/>
    <m/>
    <m/>
    <m/>
    <m/>
    <m/>
    <s v="Pantanal Baixo"/>
  </r>
  <r>
    <d v="2026-03-22T00:00:00"/>
    <s v="domingo"/>
    <d v="2026-03-22T00:00:00"/>
    <s v="NÃO"/>
    <x v="0"/>
    <m/>
    <m/>
    <m/>
    <m/>
    <m/>
    <m/>
    <m/>
    <m/>
    <m/>
    <m/>
    <s v="Pantanal Baixo"/>
  </r>
  <r>
    <d v="2026-03-23T00:00:00"/>
    <s v="segunda-feira"/>
    <d v="2026-03-23T00:00:00"/>
    <s v="SIM"/>
    <x v="10"/>
    <s v="CARAGUATATUBA "/>
    <m/>
    <m/>
    <m/>
    <n v="6"/>
    <m/>
    <m/>
    <m/>
    <m/>
    <m/>
    <s v="Pantanal Baixo"/>
  </r>
  <r>
    <d v="2026-03-23T00:00:00"/>
    <s v="segunda-feira"/>
    <d v="2026-03-23T00:00:00"/>
    <s v="SIM"/>
    <x v="10"/>
    <s v="RUA 14"/>
    <n v="5"/>
    <m/>
    <m/>
    <m/>
    <m/>
    <m/>
    <m/>
    <m/>
    <m/>
    <s v="Pantanal Baixo"/>
  </r>
  <r>
    <d v="2026-03-23T00:00:00"/>
    <s v="segunda-feira"/>
    <d v="2026-03-23T00:00:00"/>
    <s v="SIM"/>
    <x v="10"/>
    <s v="RUA 11"/>
    <m/>
    <m/>
    <m/>
    <m/>
    <n v="1"/>
    <m/>
    <m/>
    <m/>
    <m/>
    <s v="Pantanal Baixo"/>
  </r>
  <r>
    <d v="2026-03-23T00:00:00"/>
    <s v="segunda-feira"/>
    <d v="2026-03-23T00:00:00"/>
    <s v="SIM"/>
    <x v="9"/>
    <s v="RUA 16"/>
    <m/>
    <m/>
    <m/>
    <m/>
    <n v="1"/>
    <m/>
    <m/>
    <m/>
    <m/>
    <s v="Pantanal Baixo"/>
  </r>
  <r>
    <d v="2026-03-23T00:00:00"/>
    <s v="segunda-feira"/>
    <d v="2026-03-23T00:00:00"/>
    <s v="SIM"/>
    <x v="9"/>
    <s v="RUA 19"/>
    <n v="1"/>
    <m/>
    <m/>
    <m/>
    <m/>
    <m/>
    <m/>
    <m/>
    <m/>
    <s v="Pantanal Baixo"/>
  </r>
  <r>
    <d v="2026-03-23T00:00:00"/>
    <s v="segunda-feira"/>
    <d v="2026-03-23T00:00:00"/>
    <s v="SIM"/>
    <x v="9"/>
    <s v="RUA 22"/>
    <n v="1"/>
    <m/>
    <m/>
    <m/>
    <m/>
    <m/>
    <m/>
    <m/>
    <m/>
    <s v="Pantanal Baixo"/>
  </r>
  <r>
    <d v="2026-03-23T00:00:00"/>
    <s v="segunda-feira"/>
    <d v="2026-03-23T00:00:00"/>
    <s v="SIM"/>
    <x v="9"/>
    <s v="CANANEIA "/>
    <n v="1"/>
    <m/>
    <m/>
    <m/>
    <m/>
    <m/>
    <m/>
    <m/>
    <m/>
    <s v="Pantanal Baixo"/>
  </r>
  <r>
    <d v="2026-03-24T00:00:00"/>
    <s v="terça-feira"/>
    <d v="2026-03-24T00:00:00"/>
    <s v="SIM"/>
    <x v="10"/>
    <s v="RUA 13"/>
    <m/>
    <m/>
    <m/>
    <n v="6"/>
    <m/>
    <m/>
    <m/>
    <m/>
    <m/>
    <s v="Pantanal Baixo"/>
  </r>
  <r>
    <d v="2026-03-24T00:00:00"/>
    <s v="terça-feira"/>
    <d v="2026-03-24T00:00:00"/>
    <s v="SIM"/>
    <x v="10"/>
    <s v="RUA 10"/>
    <m/>
    <m/>
    <m/>
    <m/>
    <n v="1"/>
    <m/>
    <m/>
    <m/>
    <m/>
    <s v="Pantanal Baixo"/>
  </r>
  <r>
    <d v="2026-03-24T00:00:00"/>
    <s v="terça-feira"/>
    <d v="2026-03-24T00:00:00"/>
    <s v="SIM"/>
    <x v="9"/>
    <s v="RUA CANANEIA "/>
    <n v="2"/>
    <m/>
    <m/>
    <m/>
    <m/>
    <m/>
    <m/>
    <m/>
    <m/>
    <s v="Pantanal Baixo"/>
  </r>
  <r>
    <d v="2026-03-25T00:00:00"/>
    <s v="quarta-feira"/>
    <d v="2026-03-25T00:00:00"/>
    <s v="SIM"/>
    <x v="10"/>
    <s v="RUA 10"/>
    <m/>
    <m/>
    <m/>
    <n v="8.5"/>
    <m/>
    <m/>
    <m/>
    <m/>
    <m/>
    <s v="Pantanal Baixo"/>
  </r>
  <r>
    <d v="2026-03-25T00:00:00"/>
    <s v="quarta-feira"/>
    <d v="2026-03-25T00:00:00"/>
    <s v="SIM"/>
    <x v="10"/>
    <s v="RUA 14"/>
    <m/>
    <m/>
    <m/>
    <m/>
    <n v="1"/>
    <m/>
    <m/>
    <m/>
    <m/>
    <s v="Pantanal Baixo"/>
  </r>
  <r>
    <d v="2026-03-25T00:00:00"/>
    <s v="quarta-feira"/>
    <d v="2026-03-25T00:00:00"/>
    <s v="SIM"/>
    <x v="10"/>
    <s v="RUA CARAGUATATUBA "/>
    <m/>
    <m/>
    <m/>
    <n v="6"/>
    <m/>
    <m/>
    <m/>
    <m/>
    <m/>
    <s v="Pantanal Baixo"/>
  </r>
  <r>
    <d v="2026-03-25T00:00:00"/>
    <s v="quarta-feira"/>
    <d v="2026-03-25T00:00:00"/>
    <s v="SIM"/>
    <x v="11"/>
    <s v="RUA 16"/>
    <n v="1"/>
    <n v="2"/>
    <m/>
    <n v="12"/>
    <n v="1"/>
    <m/>
    <m/>
    <m/>
    <m/>
    <s v="Pantanal Baixo"/>
  </r>
  <r>
    <d v="2026-03-25T00:00:00"/>
    <s v="quarta-feira"/>
    <d v="2026-03-25T00:00:00"/>
    <s v="SIM"/>
    <x v="9"/>
    <s v="RUA 19"/>
    <n v="1"/>
    <m/>
    <m/>
    <m/>
    <m/>
    <m/>
    <m/>
    <m/>
    <m/>
    <s v="Pantanal Baixo"/>
  </r>
  <r>
    <d v="2026-03-25T00:00:00"/>
    <s v="quarta-feira"/>
    <d v="2026-03-25T00:00:00"/>
    <s v="SIM"/>
    <x v="9"/>
    <s v="RUA CANANEIA "/>
    <n v="2"/>
    <n v="2"/>
    <m/>
    <n v="6"/>
    <m/>
    <m/>
    <m/>
    <m/>
    <m/>
    <s v="Pantanal Baixo"/>
  </r>
  <r>
    <d v="2026-03-26T00:00:00"/>
    <s v="quinta-feira"/>
    <d v="2026-03-26T00:00:00"/>
    <s v="SIM"/>
    <x v="10"/>
    <s v="RUA COLINA "/>
    <m/>
    <m/>
    <m/>
    <n v="6"/>
    <m/>
    <m/>
    <m/>
    <m/>
    <m/>
    <s v="Pantanal Baixo"/>
  </r>
  <r>
    <d v="2026-03-26T00:00:00"/>
    <s v="quinta-feira"/>
    <d v="2026-03-26T00:00:00"/>
    <s v="SIM"/>
    <x v="9"/>
    <s v="RUA 16"/>
    <m/>
    <n v="2"/>
    <m/>
    <m/>
    <n v="2"/>
    <m/>
    <m/>
    <m/>
    <m/>
    <s v="Pantanal Baixo"/>
  </r>
  <r>
    <d v="2026-03-26T00:00:00"/>
    <s v="quinta-feira"/>
    <d v="2026-03-26T00:00:00"/>
    <s v="SIM"/>
    <x v="9"/>
    <s v="RUA 19"/>
    <m/>
    <m/>
    <m/>
    <m/>
    <m/>
    <m/>
    <n v="1"/>
    <m/>
    <m/>
    <s v="Pantanal Baixo"/>
  </r>
  <r>
    <d v="2026-03-27T00:00:00"/>
    <s v="sexta-feira"/>
    <d v="2026-03-27T00:00:00"/>
    <s v="SIM"/>
    <x v="10"/>
    <s v="RUA 13"/>
    <m/>
    <m/>
    <m/>
    <n v="6"/>
    <m/>
    <m/>
    <m/>
    <m/>
    <m/>
    <s v="Pantanal Baixo"/>
  </r>
  <r>
    <d v="2026-03-27T00:00:00"/>
    <s v="sexta-feira"/>
    <d v="2026-03-27T00:00:00"/>
    <s v="SIM"/>
    <x v="10"/>
    <s v="RUA CARAGUATATUBA "/>
    <m/>
    <m/>
    <m/>
    <n v="6"/>
    <m/>
    <m/>
    <m/>
    <m/>
    <m/>
    <s v="Pantanal Baixo"/>
  </r>
  <r>
    <d v="2026-03-27T00:00:00"/>
    <s v="sexta-feira"/>
    <d v="2026-03-27T00:00:00"/>
    <s v="SIM"/>
    <x v="9"/>
    <s v="RUA 16"/>
    <m/>
    <m/>
    <n v="30"/>
    <n v="6"/>
    <m/>
    <m/>
    <m/>
    <m/>
    <m/>
    <s v="Pantanal Baixo"/>
  </r>
  <r>
    <d v="2026-03-27T00:00:00"/>
    <s v="sexta-feira"/>
    <d v="2026-03-27T00:00:00"/>
    <s v="SIM"/>
    <x v="9"/>
    <s v="RUA CANANEIA "/>
    <m/>
    <m/>
    <m/>
    <m/>
    <m/>
    <m/>
    <n v="2"/>
    <m/>
    <m/>
    <s v="Pantanal Baixo"/>
  </r>
  <r>
    <d v="2026-03-28T00:00:00"/>
    <s v="sábado"/>
    <d v="2026-03-28T00:00:00"/>
    <s v="SIM"/>
    <x v="9"/>
    <s v="RUA 16"/>
    <m/>
    <m/>
    <m/>
    <n v="6"/>
    <m/>
    <m/>
    <m/>
    <m/>
    <m/>
    <s v="Pantanal Baixo"/>
  </r>
  <r>
    <d v="2026-03-28T00:00:00"/>
    <s v="sábado"/>
    <d v="2026-03-28T00:00:00"/>
    <s v="SIM"/>
    <x v="9"/>
    <s v="RUA CANANEIA"/>
    <m/>
    <m/>
    <m/>
    <n v="6"/>
    <m/>
    <m/>
    <m/>
    <m/>
    <m/>
    <s v="Pantanal Baixo"/>
  </r>
  <r>
    <d v="2026-03-29T00:00:00"/>
    <s v="domingo"/>
    <d v="2026-03-29T00:00:00"/>
    <s v="NÃO"/>
    <x v="0"/>
    <m/>
    <m/>
    <m/>
    <m/>
    <m/>
    <m/>
    <m/>
    <m/>
    <m/>
    <m/>
    <s v="Pantanal Baixo"/>
  </r>
  <r>
    <d v="2026-03-30T00:00:00"/>
    <s v="segunda-feira"/>
    <d v="2026-03-30T00:00:00"/>
    <s v="SIM"/>
    <x v="9"/>
    <s v="RUA 16"/>
    <m/>
    <n v="2"/>
    <m/>
    <n v="6"/>
    <n v="1"/>
    <m/>
    <m/>
    <m/>
    <m/>
    <s v="Pantanal Baixo"/>
  </r>
  <r>
    <d v="2026-03-30T00:00:00"/>
    <s v="segunda-feira"/>
    <d v="2026-03-30T00:00:00"/>
    <s v="SIM"/>
    <x v="9"/>
    <s v="RUA CANANEIA "/>
    <n v="2"/>
    <m/>
    <m/>
    <m/>
    <m/>
    <m/>
    <m/>
    <m/>
    <m/>
    <s v="Pantanal Baixo"/>
  </r>
  <r>
    <d v="2026-03-30T00:00:00"/>
    <s v="segunda-feira"/>
    <d v="2026-03-30T00:00:00"/>
    <s v="SIM"/>
    <x v="10"/>
    <s v="RUA 13"/>
    <m/>
    <m/>
    <m/>
    <n v="8"/>
    <m/>
    <m/>
    <m/>
    <m/>
    <m/>
    <s v="Pantanal Baixo"/>
  </r>
  <r>
    <d v="2026-03-30T00:00:00"/>
    <s v="segunda-feira"/>
    <d v="2026-03-30T00:00:00"/>
    <s v="SIM"/>
    <x v="10"/>
    <s v="RUA CARAGUATATUBA "/>
    <m/>
    <m/>
    <m/>
    <n v="2"/>
    <n v="1"/>
    <m/>
    <m/>
    <m/>
    <m/>
    <s v="Pantanal Baixo"/>
  </r>
  <r>
    <d v="2026-03-30T00:00:00"/>
    <s v="segunda-feira"/>
    <d v="2026-03-30T00:00:00"/>
    <s v="SIM"/>
    <x v="10"/>
    <s v="RUA 10"/>
    <m/>
    <m/>
    <m/>
    <n v="6.5"/>
    <m/>
    <m/>
    <m/>
    <m/>
    <m/>
    <s v="Pantanal Baixo"/>
  </r>
  <r>
    <d v="2026-03-31T00:00:00"/>
    <s v="terça-feira"/>
    <d v="2026-03-31T00:00:00"/>
    <s v="SIM"/>
    <x v="9"/>
    <s v="RUA 16"/>
    <m/>
    <n v="1"/>
    <m/>
    <n v="6"/>
    <n v="1"/>
    <m/>
    <m/>
    <m/>
    <m/>
    <s v="Pantanal Baixo"/>
  </r>
  <r>
    <d v="2026-03-31T00:00:00"/>
    <s v="terça-feira"/>
    <d v="2026-03-31T00:00:00"/>
    <s v="SIM"/>
    <x v="9"/>
    <s v="RUA CANANEIA"/>
    <n v="2"/>
    <m/>
    <m/>
    <m/>
    <m/>
    <m/>
    <m/>
    <m/>
    <m/>
    <s v="Pantanal Baixo"/>
  </r>
  <r>
    <d v="2026-03-31T00:00:00"/>
    <s v="terça-feira"/>
    <d v="2026-03-31T00:00:00"/>
    <s v="SIM"/>
    <x v="9"/>
    <s v="RUA 21"/>
    <n v="3"/>
    <m/>
    <m/>
    <m/>
    <m/>
    <m/>
    <m/>
    <m/>
    <m/>
    <s v="Pantanal Baixo"/>
  </r>
  <r>
    <d v="2026-03-31T00:00:00"/>
    <s v="terça-feira"/>
    <d v="2026-03-31T00:00:00"/>
    <s v="SIM"/>
    <x v="9"/>
    <s v="RUA 19"/>
    <n v="1"/>
    <m/>
    <m/>
    <m/>
    <m/>
    <m/>
    <m/>
    <m/>
    <m/>
    <s v="Pantanal Baixo"/>
  </r>
  <r>
    <d v="2026-03-31T00:00:00"/>
    <s v="terça-feira"/>
    <d v="2026-03-31T00:00:00"/>
    <s v="SIM"/>
    <x v="10"/>
    <s v="RUA CARAGUATATUBA "/>
    <m/>
    <m/>
    <m/>
    <n v="8"/>
    <m/>
    <m/>
    <m/>
    <m/>
    <m/>
    <s v="Pantanal Baixo"/>
  </r>
  <r>
    <d v="2026-03-31T00:00:00"/>
    <s v="terça-feira"/>
    <d v="2026-03-31T00:00:00"/>
    <s v="SIM"/>
    <x v="10"/>
    <s v="RUA 19"/>
    <m/>
    <m/>
    <m/>
    <n v="6"/>
    <m/>
    <m/>
    <m/>
    <m/>
    <m/>
    <s v="Pantanal Baixo"/>
  </r>
  <r>
    <d v="2026-04-01T00:00:00"/>
    <s v="quarta-feira"/>
    <d v="2026-04-01T00:00:00"/>
    <s v="SIM"/>
    <x v="10"/>
    <s v="RUA 13"/>
    <m/>
    <m/>
    <m/>
    <n v="6"/>
    <m/>
    <m/>
    <m/>
    <m/>
    <m/>
    <s v="Pantanal Baixo"/>
  </r>
  <r>
    <d v="2026-04-01T00:00:00"/>
    <s v="quarta-feira"/>
    <d v="2026-04-01T00:00:00"/>
    <s v="SIM"/>
    <x v="10"/>
    <s v="RUA 10"/>
    <m/>
    <m/>
    <m/>
    <n v="12"/>
    <m/>
    <m/>
    <m/>
    <m/>
    <m/>
    <s v="Pantanal Baixo"/>
  </r>
  <r>
    <d v="2026-04-02T00:00:00"/>
    <s v="quinta-feira"/>
    <d v="2026-04-02T00:00:00"/>
    <s v="SIM"/>
    <x v="9"/>
    <s v="RUA 16"/>
    <m/>
    <m/>
    <m/>
    <m/>
    <n v="2"/>
    <m/>
    <m/>
    <m/>
    <m/>
    <s v="Pantanal Baixo"/>
  </r>
  <r>
    <d v="2026-04-02T00:00:00"/>
    <s v="quinta-feira"/>
    <d v="2026-04-02T00:00:00"/>
    <s v="SIM"/>
    <x v="9"/>
    <s v="RUA CANANEIA "/>
    <m/>
    <m/>
    <m/>
    <m/>
    <m/>
    <m/>
    <n v="1"/>
    <m/>
    <m/>
    <s v="Pantanal Baixo"/>
  </r>
  <r>
    <d v="2026-04-02T00:00:00"/>
    <s v="quinta-feira"/>
    <d v="2026-04-02T00:00:00"/>
    <s v="SIM"/>
    <x v="9"/>
    <s v="RUA 19"/>
    <n v="2"/>
    <m/>
    <m/>
    <m/>
    <m/>
    <m/>
    <m/>
    <m/>
    <m/>
    <s v="Pantanal Baixo"/>
  </r>
  <r>
    <d v="2026-04-02T00:00:00"/>
    <s v="quinta-feira"/>
    <d v="2026-04-02T00:00:00"/>
    <s v="SIM"/>
    <x v="10"/>
    <s v="RUA 13"/>
    <m/>
    <m/>
    <m/>
    <n v="6"/>
    <m/>
    <m/>
    <m/>
    <m/>
    <m/>
    <s v="Pantanal Baixo"/>
  </r>
  <r>
    <d v="2026-04-02T00:00:00"/>
    <s v="quinta-feira"/>
    <d v="2026-04-02T00:00:00"/>
    <s v="SIM"/>
    <x v="10"/>
    <s v="RUA 10"/>
    <m/>
    <m/>
    <m/>
    <n v="4"/>
    <m/>
    <m/>
    <m/>
    <m/>
    <m/>
    <s v="Pantanal Baixo"/>
  </r>
  <r>
    <d v="2026-04-02T00:00:00"/>
    <s v="quinta-feira"/>
    <d v="2026-04-02T00:00:00"/>
    <s v="SIM"/>
    <x v="10"/>
    <s v="RUA CARAGUATATUBA "/>
    <m/>
    <m/>
    <m/>
    <n v="6"/>
    <m/>
    <m/>
    <m/>
    <m/>
    <m/>
    <s v="Pantanal Baixo"/>
  </r>
  <r>
    <d v="2026-04-03T00:00:00"/>
    <s v="sexta-feira"/>
    <d v="2026-04-03T00:00:00"/>
    <s v="NÃO"/>
    <x v="0"/>
    <m/>
    <m/>
    <m/>
    <m/>
    <m/>
    <m/>
    <m/>
    <m/>
    <m/>
    <m/>
    <s v="Pantanal Baixo"/>
  </r>
  <r>
    <d v="2026-04-04T00:00:00"/>
    <s v="sábado"/>
    <d v="2026-04-04T00:00:00"/>
    <s v="NÃO"/>
    <x v="0"/>
    <m/>
    <m/>
    <m/>
    <m/>
    <m/>
    <m/>
    <m/>
    <m/>
    <m/>
    <m/>
    <s v="Pantanal Baixo"/>
  </r>
  <r>
    <d v="2026-04-05T00:00:00"/>
    <s v="domingo"/>
    <d v="2026-04-05T00:00:00"/>
    <s v="NÃO"/>
    <x v="0"/>
    <m/>
    <m/>
    <m/>
    <m/>
    <m/>
    <m/>
    <m/>
    <m/>
    <m/>
    <m/>
    <s v="Pantanal Baixo"/>
  </r>
  <r>
    <d v="2026-04-06T00:00:00"/>
    <s v="segunda-feira"/>
    <d v="2026-04-06T00:00:00"/>
    <s v="NÃO"/>
    <x v="0"/>
    <m/>
    <m/>
    <m/>
    <m/>
    <m/>
    <m/>
    <m/>
    <m/>
    <m/>
    <m/>
    <s v="Pantanal Baixo"/>
  </r>
  <r>
    <d v="2026-04-07T00:00:00"/>
    <s v="terça-feira"/>
    <d v="2026-04-07T00:00:00"/>
    <s v="NÃO"/>
    <x v="0"/>
    <m/>
    <m/>
    <m/>
    <m/>
    <m/>
    <m/>
    <m/>
    <m/>
    <m/>
    <m/>
    <s v="Pantanal Baixo"/>
  </r>
  <r>
    <d v="2026-04-08T00:00:00"/>
    <s v="quarta-feira"/>
    <d v="2026-04-08T00:00:00"/>
    <s v="NÃO"/>
    <x v="0"/>
    <m/>
    <m/>
    <m/>
    <m/>
    <m/>
    <m/>
    <m/>
    <m/>
    <m/>
    <m/>
    <s v="Pantanal Baixo"/>
  </r>
  <r>
    <d v="2026-04-09T00:00:00"/>
    <s v="quinta-feira"/>
    <d v="2026-04-09T00:00:00"/>
    <m/>
    <x v="0"/>
    <m/>
    <m/>
    <m/>
    <m/>
    <m/>
    <m/>
    <m/>
    <m/>
    <m/>
    <m/>
    <s v="Pantanal Baixo"/>
  </r>
  <r>
    <d v="2026-04-10T00:00:00"/>
    <s v="sexta-feira"/>
    <d v="2026-04-10T00:00:00"/>
    <m/>
    <x v="0"/>
    <m/>
    <m/>
    <m/>
    <m/>
    <m/>
    <m/>
    <m/>
    <m/>
    <m/>
    <m/>
    <s v="Pantanal Baixo"/>
  </r>
  <r>
    <d v="2026-04-11T00:00:00"/>
    <s v="sábado"/>
    <d v="2026-04-11T00:00:00"/>
    <s v="NÃO"/>
    <x v="0"/>
    <m/>
    <m/>
    <m/>
    <m/>
    <m/>
    <m/>
    <m/>
    <m/>
    <m/>
    <m/>
    <s v="Pantanal Baixo"/>
  </r>
  <r>
    <d v="2026-04-12T00:00:00"/>
    <s v="domingo"/>
    <d v="2026-04-12T00:00:00"/>
    <s v="NÃO"/>
    <x v="0"/>
    <m/>
    <m/>
    <m/>
    <m/>
    <m/>
    <m/>
    <m/>
    <m/>
    <m/>
    <m/>
    <s v="Pantanal Baixo"/>
  </r>
  <r>
    <d v="2026-04-13T00:00:00"/>
    <s v="segunda-feira"/>
    <d v="2026-04-13T00:00:00"/>
    <m/>
    <x v="0"/>
    <m/>
    <m/>
    <m/>
    <m/>
    <m/>
    <m/>
    <m/>
    <m/>
    <m/>
    <m/>
    <s v="Pantanal Baixo"/>
  </r>
  <r>
    <d v="2026-04-14T00:00:00"/>
    <s v="terça-feira"/>
    <d v="2026-04-14T00:00:00"/>
    <m/>
    <x v="0"/>
    <m/>
    <m/>
    <m/>
    <m/>
    <m/>
    <m/>
    <m/>
    <m/>
    <m/>
    <m/>
    <s v="Pantanal Baixo"/>
  </r>
  <r>
    <d v="2026-04-15T00:00:00"/>
    <s v="quarta-feira"/>
    <d v="2026-04-15T00:00:00"/>
    <m/>
    <x v="0"/>
    <m/>
    <m/>
    <m/>
    <m/>
    <m/>
    <m/>
    <m/>
    <m/>
    <m/>
    <m/>
    <s v="Pantanal Baixo"/>
  </r>
  <r>
    <d v="2026-04-16T00:00:00"/>
    <s v="quinta-feira"/>
    <d v="2026-04-16T00:00:00"/>
    <m/>
    <x v="0"/>
    <m/>
    <m/>
    <m/>
    <m/>
    <m/>
    <m/>
    <m/>
    <m/>
    <m/>
    <m/>
    <s v="Pantanal Baixo"/>
  </r>
  <r>
    <d v="2026-04-17T00:00:00"/>
    <s v="sexta-feira"/>
    <d v="2026-04-17T00:00:00"/>
    <m/>
    <x v="0"/>
    <m/>
    <m/>
    <m/>
    <m/>
    <m/>
    <m/>
    <m/>
    <m/>
    <m/>
    <m/>
    <s v="Pantanal Baixo"/>
  </r>
  <r>
    <d v="2026-04-18T00:00:00"/>
    <s v="sábado"/>
    <d v="2026-04-18T00:00:00"/>
    <s v="NÃO"/>
    <x v="0"/>
    <m/>
    <m/>
    <m/>
    <m/>
    <m/>
    <m/>
    <m/>
    <m/>
    <m/>
    <m/>
    <s v="Pantanal Baixo"/>
  </r>
  <r>
    <d v="2026-04-19T00:00:00"/>
    <s v="domingo"/>
    <d v="2026-04-19T00:00:00"/>
    <s v="NÃO"/>
    <x v="0"/>
    <m/>
    <m/>
    <m/>
    <m/>
    <m/>
    <m/>
    <m/>
    <m/>
    <m/>
    <m/>
    <s v="Pantanal Baixo"/>
  </r>
  <r>
    <d v="2026-04-20T00:00:00"/>
    <s v="segunda-feira"/>
    <d v="2026-04-20T00:00:00"/>
    <m/>
    <x v="0"/>
    <m/>
    <m/>
    <m/>
    <m/>
    <m/>
    <m/>
    <m/>
    <m/>
    <m/>
    <m/>
    <s v="Pantanal Baixo"/>
  </r>
  <r>
    <d v="2026-04-21T00:00:00"/>
    <s v="terça-feira"/>
    <d v="2026-04-21T00:00:00"/>
    <m/>
    <x v="0"/>
    <m/>
    <m/>
    <m/>
    <m/>
    <m/>
    <m/>
    <m/>
    <m/>
    <m/>
    <m/>
    <s v="Pantanal Baixo"/>
  </r>
  <r>
    <d v="2026-04-22T00:00:00"/>
    <s v="quarta-feira"/>
    <d v="2026-04-22T00:00:00"/>
    <m/>
    <x v="0"/>
    <m/>
    <m/>
    <m/>
    <m/>
    <m/>
    <m/>
    <m/>
    <m/>
    <m/>
    <m/>
    <s v="Pantanal Baixo"/>
  </r>
  <r>
    <d v="2026-04-23T00:00:00"/>
    <s v="quinta-feira"/>
    <d v="2026-04-23T00:00:00"/>
    <m/>
    <x v="0"/>
    <m/>
    <m/>
    <m/>
    <m/>
    <m/>
    <m/>
    <m/>
    <m/>
    <m/>
    <m/>
    <s v="Pantanal Baixo"/>
  </r>
  <r>
    <d v="2026-04-24T00:00:00"/>
    <s v="sexta-feira"/>
    <d v="2026-04-24T00:00:00"/>
    <m/>
    <x v="0"/>
    <m/>
    <m/>
    <m/>
    <m/>
    <m/>
    <m/>
    <m/>
    <m/>
    <m/>
    <m/>
    <s v="Pantanal Baixo"/>
  </r>
  <r>
    <d v="2026-04-25T00:00:00"/>
    <s v="sábado"/>
    <d v="2026-04-25T00:00:00"/>
    <s v="NÃO"/>
    <x v="0"/>
    <m/>
    <m/>
    <m/>
    <m/>
    <m/>
    <m/>
    <m/>
    <m/>
    <m/>
    <m/>
    <s v="Pantanal Baixo"/>
  </r>
  <r>
    <d v="2026-04-26T00:00:00"/>
    <s v="domingo"/>
    <d v="2026-04-26T00:00:00"/>
    <s v="NÃO"/>
    <x v="0"/>
    <m/>
    <m/>
    <m/>
    <m/>
    <m/>
    <m/>
    <m/>
    <m/>
    <m/>
    <m/>
    <s v="Pantanal Baixo"/>
  </r>
  <r>
    <d v="2026-04-27T00:00:00"/>
    <s v="segunda-feira"/>
    <d v="2026-04-27T00:00:00"/>
    <m/>
    <x v="0"/>
    <m/>
    <m/>
    <m/>
    <m/>
    <m/>
    <m/>
    <m/>
    <m/>
    <m/>
    <m/>
    <s v="Pantanal Baixo"/>
  </r>
  <r>
    <d v="2026-04-28T00:00:00"/>
    <s v="terça-feira"/>
    <d v="2026-04-28T00:00:00"/>
    <m/>
    <x v="0"/>
    <m/>
    <m/>
    <m/>
    <m/>
    <m/>
    <m/>
    <m/>
    <m/>
    <m/>
    <m/>
    <s v="Pantanal Baixo"/>
  </r>
  <r>
    <d v="2026-04-29T00:00:00"/>
    <s v="quarta-feira"/>
    <d v="2026-04-29T00:00:00"/>
    <m/>
    <x v="0"/>
    <m/>
    <m/>
    <m/>
    <m/>
    <m/>
    <m/>
    <m/>
    <m/>
    <m/>
    <m/>
    <s v="Pantanal Baixo"/>
  </r>
  <r>
    <d v="2026-04-30T00:00:00"/>
    <s v="quinta-feira"/>
    <d v="2026-04-30T00:00:00"/>
    <m/>
    <x v="0"/>
    <m/>
    <m/>
    <m/>
    <m/>
    <m/>
    <m/>
    <m/>
    <m/>
    <m/>
    <m/>
    <s v="Pantanal Baixo"/>
  </r>
  <r>
    <d v="2026-05-01T00:00:00"/>
    <s v="sexta-feira"/>
    <d v="2026-05-01T00:00:00"/>
    <m/>
    <x v="0"/>
    <m/>
    <m/>
    <m/>
    <m/>
    <m/>
    <m/>
    <m/>
    <m/>
    <m/>
    <m/>
    <s v="Pantanal Baixo"/>
  </r>
  <r>
    <d v="2026-05-02T00:00:00"/>
    <s v="sábado"/>
    <d v="2026-05-02T00:00:00"/>
    <s v="NÃO"/>
    <x v="0"/>
    <m/>
    <m/>
    <m/>
    <m/>
    <m/>
    <m/>
    <m/>
    <m/>
    <m/>
    <m/>
    <s v="Pantanal Baixo"/>
  </r>
  <r>
    <d v="2026-05-03T00:00:00"/>
    <s v="domingo"/>
    <d v="2026-05-03T00:00:00"/>
    <s v="NÃO"/>
    <x v="0"/>
    <m/>
    <m/>
    <m/>
    <m/>
    <m/>
    <m/>
    <m/>
    <m/>
    <m/>
    <m/>
    <s v="Pantanal Baixo"/>
  </r>
  <r>
    <d v="2026-05-04T00:00:00"/>
    <s v="segunda-feira"/>
    <d v="2026-05-04T00:00:00"/>
    <m/>
    <x v="0"/>
    <m/>
    <m/>
    <m/>
    <m/>
    <m/>
    <m/>
    <m/>
    <m/>
    <m/>
    <m/>
    <s v="Pantanal Baixo"/>
  </r>
  <r>
    <d v="2026-05-05T00:00:00"/>
    <s v="terça-feira"/>
    <d v="2026-05-05T00:00:00"/>
    <m/>
    <x v="0"/>
    <m/>
    <m/>
    <m/>
    <m/>
    <m/>
    <m/>
    <m/>
    <m/>
    <m/>
    <m/>
    <s v="Pantanal Baixo"/>
  </r>
  <r>
    <d v="2026-05-06T00:00:00"/>
    <s v="quarta-feira"/>
    <d v="2026-05-06T00:00:00"/>
    <m/>
    <x v="0"/>
    <m/>
    <m/>
    <m/>
    <m/>
    <m/>
    <m/>
    <m/>
    <m/>
    <m/>
    <m/>
    <s v="Pantanal Baixo"/>
  </r>
  <r>
    <d v="2026-05-07T00:00:00"/>
    <s v="quinta-feira"/>
    <d v="2026-05-07T00:00:00"/>
    <m/>
    <x v="0"/>
    <m/>
    <m/>
    <m/>
    <m/>
    <m/>
    <m/>
    <m/>
    <m/>
    <m/>
    <m/>
    <s v="Pantanal Baixo"/>
  </r>
  <r>
    <d v="2026-05-08T00:00:00"/>
    <s v="sexta-feira"/>
    <d v="2026-05-08T00:00:00"/>
    <m/>
    <x v="0"/>
    <m/>
    <m/>
    <m/>
    <m/>
    <m/>
    <m/>
    <m/>
    <m/>
    <m/>
    <m/>
    <s v="Pantanal Baixo"/>
  </r>
  <r>
    <d v="2026-05-09T00:00:00"/>
    <s v="sábado"/>
    <d v="2026-05-09T00:00:00"/>
    <s v="NÃO"/>
    <x v="0"/>
    <m/>
    <m/>
    <m/>
    <m/>
    <m/>
    <m/>
    <m/>
    <m/>
    <m/>
    <m/>
    <s v="Pantanal Baixo"/>
  </r>
  <r>
    <d v="2026-05-10T00:00:00"/>
    <s v="domingo"/>
    <d v="2026-05-10T00:00:00"/>
    <s v="NÃO"/>
    <x v="0"/>
    <m/>
    <m/>
    <m/>
    <m/>
    <m/>
    <m/>
    <m/>
    <m/>
    <m/>
    <m/>
    <s v="Pantanal Baixo"/>
  </r>
  <r>
    <d v="2026-05-11T00:00:00"/>
    <s v="segunda-feira"/>
    <d v="2026-05-11T00:00:00"/>
    <m/>
    <x v="0"/>
    <m/>
    <m/>
    <m/>
    <m/>
    <m/>
    <m/>
    <m/>
    <m/>
    <m/>
    <m/>
    <s v="Pantanal Baixo"/>
  </r>
  <r>
    <d v="2026-05-12T00:00:00"/>
    <s v="terça-feira"/>
    <d v="2026-05-12T00:00:00"/>
    <m/>
    <x v="0"/>
    <m/>
    <m/>
    <m/>
    <m/>
    <m/>
    <m/>
    <m/>
    <m/>
    <m/>
    <m/>
    <s v="Pantanal Baixo"/>
  </r>
  <r>
    <d v="2026-05-13T00:00:00"/>
    <s v="quarta-feira"/>
    <d v="2026-05-13T00:00:00"/>
    <m/>
    <x v="0"/>
    <m/>
    <m/>
    <m/>
    <m/>
    <m/>
    <m/>
    <m/>
    <m/>
    <m/>
    <m/>
    <s v="Pantanal Baixo"/>
  </r>
  <r>
    <d v="2026-05-14T00:00:00"/>
    <s v="quinta-feira"/>
    <d v="2026-05-14T00:00:00"/>
    <m/>
    <x v="0"/>
    <m/>
    <m/>
    <m/>
    <m/>
    <m/>
    <m/>
    <m/>
    <m/>
    <m/>
    <m/>
    <s v="Pantanal Baixo"/>
  </r>
  <r>
    <d v="2026-05-15T00:00:00"/>
    <s v="sexta-feira"/>
    <d v="2026-05-15T00:00:00"/>
    <m/>
    <x v="0"/>
    <m/>
    <m/>
    <m/>
    <m/>
    <m/>
    <m/>
    <m/>
    <m/>
    <m/>
    <m/>
    <s v="Pantanal Baixo"/>
  </r>
  <r>
    <d v="2026-05-16T00:00:00"/>
    <s v="sábado"/>
    <d v="2026-05-16T00:00:00"/>
    <s v="NÃO"/>
    <x v="0"/>
    <m/>
    <m/>
    <m/>
    <m/>
    <m/>
    <m/>
    <m/>
    <m/>
    <m/>
    <m/>
    <s v="Pantanal Baixo"/>
  </r>
  <r>
    <d v="2026-05-17T00:00:00"/>
    <s v="domingo"/>
    <d v="2026-05-17T00:00:00"/>
    <s v="NÃO"/>
    <x v="0"/>
    <m/>
    <m/>
    <m/>
    <m/>
    <m/>
    <m/>
    <m/>
    <m/>
    <m/>
    <m/>
    <s v="Pantanal Baixo"/>
  </r>
  <r>
    <d v="2026-05-18T00:00:00"/>
    <s v="segunda-feira"/>
    <d v="2026-05-18T00:00:00"/>
    <m/>
    <x v="0"/>
    <m/>
    <m/>
    <m/>
    <m/>
    <m/>
    <m/>
    <m/>
    <m/>
    <m/>
    <m/>
    <s v="Pantanal Baixo"/>
  </r>
  <r>
    <d v="2026-05-19T00:00:00"/>
    <s v="terça-feira"/>
    <d v="2026-05-19T00:00:00"/>
    <m/>
    <x v="0"/>
    <m/>
    <m/>
    <m/>
    <m/>
    <m/>
    <m/>
    <m/>
    <m/>
    <m/>
    <m/>
    <s v="Pantanal Baixo"/>
  </r>
  <r>
    <d v="2026-05-20T00:00:00"/>
    <s v="quarta-feira"/>
    <d v="2026-05-20T00:00:00"/>
    <m/>
    <x v="0"/>
    <m/>
    <m/>
    <m/>
    <m/>
    <m/>
    <m/>
    <m/>
    <m/>
    <m/>
    <m/>
    <s v="Pantanal Baixo"/>
  </r>
  <r>
    <d v="2026-05-21T00:00:00"/>
    <s v="quinta-feira"/>
    <d v="2026-05-21T00:00:00"/>
    <m/>
    <x v="0"/>
    <m/>
    <m/>
    <m/>
    <m/>
    <m/>
    <m/>
    <m/>
    <m/>
    <m/>
    <m/>
    <s v="Pantanal Baixo"/>
  </r>
  <r>
    <d v="2026-05-22T00:00:00"/>
    <s v="sexta-feira"/>
    <d v="2026-05-22T00:00:00"/>
    <m/>
    <x v="0"/>
    <m/>
    <m/>
    <m/>
    <m/>
    <m/>
    <m/>
    <m/>
    <m/>
    <m/>
    <m/>
    <s v="Pantanal Baixo"/>
  </r>
  <r>
    <d v="2026-05-23T00:00:00"/>
    <s v="sábado"/>
    <d v="2026-05-23T00:00:00"/>
    <s v="NÃO"/>
    <x v="0"/>
    <m/>
    <m/>
    <m/>
    <m/>
    <m/>
    <m/>
    <m/>
    <m/>
    <m/>
    <m/>
    <s v="Pantanal Baixo"/>
  </r>
  <r>
    <d v="2026-05-24T00:00:00"/>
    <s v="domingo"/>
    <d v="2026-05-24T00:00:00"/>
    <s v="NÃO"/>
    <x v="0"/>
    <m/>
    <m/>
    <m/>
    <m/>
    <m/>
    <m/>
    <m/>
    <m/>
    <m/>
    <m/>
    <s v="Pantanal Baixo"/>
  </r>
  <r>
    <d v="2026-05-25T00:00:00"/>
    <s v="segunda-feira"/>
    <d v="2026-05-25T00:00:00"/>
    <m/>
    <x v="0"/>
    <m/>
    <m/>
    <m/>
    <m/>
    <m/>
    <m/>
    <m/>
    <m/>
    <m/>
    <m/>
    <s v="Pantanal Baixo"/>
  </r>
  <r>
    <d v="2026-05-26T00:00:00"/>
    <s v="terça-feira"/>
    <d v="2026-05-26T00:00:00"/>
    <m/>
    <x v="0"/>
    <m/>
    <m/>
    <m/>
    <m/>
    <m/>
    <m/>
    <m/>
    <m/>
    <m/>
    <m/>
    <s v="Pantanal Baixo"/>
  </r>
  <r>
    <d v="2026-05-27T00:00:00"/>
    <s v="quarta-feira"/>
    <d v="2026-05-27T00:00:00"/>
    <m/>
    <x v="0"/>
    <m/>
    <m/>
    <m/>
    <m/>
    <m/>
    <m/>
    <m/>
    <m/>
    <m/>
    <m/>
    <s v="Pantanal Baixo"/>
  </r>
  <r>
    <d v="2026-05-28T00:00:00"/>
    <s v="quinta-feira"/>
    <d v="2026-05-28T00:00:00"/>
    <m/>
    <x v="0"/>
    <m/>
    <m/>
    <m/>
    <m/>
    <m/>
    <m/>
    <m/>
    <m/>
    <m/>
    <m/>
    <s v="Pantanal Baixo"/>
  </r>
  <r>
    <d v="2026-05-29T00:00:00"/>
    <s v="sexta-feira"/>
    <d v="2026-05-29T00:00:00"/>
    <m/>
    <x v="0"/>
    <m/>
    <m/>
    <m/>
    <m/>
    <m/>
    <m/>
    <m/>
    <m/>
    <m/>
    <m/>
    <s v="Pantanal Baixo"/>
  </r>
  <r>
    <d v="2026-05-30T00:00:00"/>
    <s v="sábado"/>
    <d v="2026-05-30T00:00:00"/>
    <s v="NÃO"/>
    <x v="0"/>
    <m/>
    <m/>
    <m/>
    <m/>
    <m/>
    <m/>
    <m/>
    <m/>
    <m/>
    <m/>
    <s v="Pantanal Baixo"/>
  </r>
  <r>
    <d v="2026-05-31T00:00:00"/>
    <s v="domingo"/>
    <d v="2026-05-31T00:00:00"/>
    <s v="NÃO"/>
    <x v="0"/>
    <m/>
    <m/>
    <m/>
    <m/>
    <m/>
    <m/>
    <m/>
    <m/>
    <m/>
    <m/>
    <s v="Pantanal Baixo"/>
  </r>
  <r>
    <d v="2026-06-01T00:00:00"/>
    <s v="segunda-feira"/>
    <d v="2026-06-01T00:00:00"/>
    <m/>
    <x v="0"/>
    <m/>
    <m/>
    <m/>
    <m/>
    <m/>
    <m/>
    <m/>
    <m/>
    <m/>
    <m/>
    <s v="Pantanal Baixo"/>
  </r>
  <r>
    <d v="2026-06-02T00:00:00"/>
    <s v="terça-feira"/>
    <d v="2026-06-02T00:00:00"/>
    <m/>
    <x v="0"/>
    <m/>
    <m/>
    <m/>
    <m/>
    <m/>
    <m/>
    <m/>
    <m/>
    <m/>
    <m/>
    <s v="Pantanal Baixo"/>
  </r>
  <r>
    <d v="2026-06-03T00:00:00"/>
    <s v="quarta-feira"/>
    <d v="2026-06-03T00:00:00"/>
    <m/>
    <x v="0"/>
    <m/>
    <m/>
    <m/>
    <m/>
    <m/>
    <m/>
    <m/>
    <m/>
    <m/>
    <m/>
    <s v="Pantanal Baixo"/>
  </r>
  <r>
    <d v="2026-06-04T00:00:00"/>
    <s v="quinta-feira"/>
    <d v="2026-06-04T00:00:00"/>
    <m/>
    <x v="0"/>
    <m/>
    <m/>
    <m/>
    <m/>
    <m/>
    <m/>
    <m/>
    <m/>
    <m/>
    <m/>
    <s v="Pantanal Baixo"/>
  </r>
  <r>
    <d v="2026-06-05T00:00:00"/>
    <s v="sexta-feira"/>
    <d v="2026-06-05T00:00:00"/>
    <m/>
    <x v="0"/>
    <m/>
    <m/>
    <m/>
    <m/>
    <m/>
    <m/>
    <m/>
    <m/>
    <m/>
    <m/>
    <s v="Pantanal Baixo"/>
  </r>
  <r>
    <d v="2026-06-06T00:00:00"/>
    <s v="sábado"/>
    <d v="2026-06-06T00:00:00"/>
    <s v="NÃO"/>
    <x v="0"/>
    <m/>
    <m/>
    <m/>
    <m/>
    <m/>
    <m/>
    <m/>
    <m/>
    <m/>
    <m/>
    <s v="Pantanal Baixo"/>
  </r>
  <r>
    <d v="2026-06-07T00:00:00"/>
    <s v="domingo"/>
    <d v="2026-06-07T00:00:00"/>
    <s v="NÃO"/>
    <x v="0"/>
    <m/>
    <m/>
    <m/>
    <m/>
    <m/>
    <m/>
    <m/>
    <m/>
    <m/>
    <m/>
    <s v="Pantanal Baixo"/>
  </r>
  <r>
    <d v="2026-06-08T00:00:00"/>
    <s v="segunda-feira"/>
    <d v="2026-06-08T00:00:00"/>
    <m/>
    <x v="0"/>
    <m/>
    <m/>
    <m/>
    <m/>
    <m/>
    <m/>
    <m/>
    <m/>
    <m/>
    <m/>
    <s v="Pantanal Baixo"/>
  </r>
  <r>
    <d v="2026-06-09T00:00:00"/>
    <s v="terça-feira"/>
    <d v="2026-06-09T00:00:00"/>
    <m/>
    <x v="0"/>
    <m/>
    <m/>
    <m/>
    <m/>
    <m/>
    <m/>
    <m/>
    <m/>
    <m/>
    <m/>
    <s v="Pantanal Baixo"/>
  </r>
  <r>
    <d v="2026-06-10T00:00:00"/>
    <s v="quarta-feira"/>
    <d v="2026-06-10T00:00:00"/>
    <m/>
    <x v="0"/>
    <m/>
    <m/>
    <m/>
    <m/>
    <m/>
    <m/>
    <m/>
    <m/>
    <m/>
    <m/>
    <s v="Pantanal Baixo"/>
  </r>
  <r>
    <d v="2026-06-11T00:00:00"/>
    <s v="quinta-feira"/>
    <d v="2026-06-11T00:00:00"/>
    <m/>
    <x v="0"/>
    <m/>
    <m/>
    <m/>
    <m/>
    <m/>
    <m/>
    <m/>
    <m/>
    <m/>
    <m/>
    <s v="Pantanal Baixo"/>
  </r>
  <r>
    <d v="2026-06-12T00:00:00"/>
    <s v="sexta-feira"/>
    <d v="2026-06-12T00:00:00"/>
    <m/>
    <x v="0"/>
    <m/>
    <m/>
    <m/>
    <m/>
    <m/>
    <m/>
    <m/>
    <m/>
    <m/>
    <m/>
    <s v="Pantanal Baixo"/>
  </r>
  <r>
    <d v="2026-06-13T00:00:00"/>
    <s v="sábado"/>
    <d v="2026-06-13T00:00:00"/>
    <s v="NÃO"/>
    <x v="0"/>
    <m/>
    <m/>
    <m/>
    <m/>
    <m/>
    <m/>
    <m/>
    <m/>
    <m/>
    <m/>
    <s v="Pantanal Baixo"/>
  </r>
  <r>
    <d v="2026-06-14T00:00:00"/>
    <s v="domingo"/>
    <d v="2026-06-14T00:00:00"/>
    <s v="NÃO"/>
    <x v="0"/>
    <m/>
    <m/>
    <m/>
    <m/>
    <m/>
    <m/>
    <m/>
    <m/>
    <m/>
    <m/>
    <s v="Pantanal Baixo"/>
  </r>
  <r>
    <d v="2026-06-15T00:00:00"/>
    <s v="segunda-feira"/>
    <d v="2026-06-15T00:00:00"/>
    <m/>
    <x v="0"/>
    <m/>
    <m/>
    <m/>
    <m/>
    <m/>
    <m/>
    <m/>
    <m/>
    <m/>
    <m/>
    <s v="Pantanal Baixo"/>
  </r>
  <r>
    <d v="2026-06-16T00:00:00"/>
    <s v="terça-feira"/>
    <d v="2026-06-16T00:00:00"/>
    <m/>
    <x v="0"/>
    <m/>
    <m/>
    <m/>
    <m/>
    <m/>
    <m/>
    <m/>
    <m/>
    <m/>
    <m/>
    <s v="Pantanal Baixo"/>
  </r>
  <r>
    <d v="2026-06-17T00:00:00"/>
    <s v="quarta-feira"/>
    <d v="2026-06-17T00:00:00"/>
    <m/>
    <x v="0"/>
    <m/>
    <m/>
    <m/>
    <m/>
    <m/>
    <m/>
    <m/>
    <m/>
    <m/>
    <m/>
    <s v="Pantanal Baixo"/>
  </r>
  <r>
    <d v="2026-06-18T00:00:00"/>
    <s v="quinta-feira"/>
    <d v="2026-06-18T00:00:00"/>
    <m/>
    <x v="0"/>
    <m/>
    <m/>
    <m/>
    <m/>
    <m/>
    <m/>
    <m/>
    <m/>
    <m/>
    <m/>
    <s v="Pantanal Baixo"/>
  </r>
  <r>
    <d v="2026-06-19T00:00:00"/>
    <s v="sexta-feira"/>
    <d v="2026-06-19T00:00:00"/>
    <m/>
    <x v="0"/>
    <m/>
    <m/>
    <m/>
    <m/>
    <m/>
    <m/>
    <m/>
    <m/>
    <m/>
    <m/>
    <s v="Pantanal Baixo"/>
  </r>
  <r>
    <d v="2026-06-20T00:00:00"/>
    <s v="sábado"/>
    <d v="2026-06-20T00:00:00"/>
    <s v="NÃO"/>
    <x v="0"/>
    <m/>
    <m/>
    <m/>
    <m/>
    <m/>
    <m/>
    <m/>
    <m/>
    <m/>
    <m/>
    <s v="Pantanal Baixo"/>
  </r>
  <r>
    <d v="2026-06-21T00:00:00"/>
    <s v="domingo"/>
    <d v="2026-06-21T00:00:00"/>
    <s v="NÃO"/>
    <x v="0"/>
    <m/>
    <m/>
    <m/>
    <m/>
    <m/>
    <m/>
    <m/>
    <m/>
    <m/>
    <m/>
    <s v="Pantanal Baixo"/>
  </r>
  <r>
    <d v="2026-06-22T00:00:00"/>
    <s v="segunda-feira"/>
    <d v="2026-06-22T00:00:00"/>
    <m/>
    <x v="0"/>
    <m/>
    <m/>
    <m/>
    <m/>
    <m/>
    <m/>
    <m/>
    <m/>
    <m/>
    <m/>
    <s v="Pantanal Baixo"/>
  </r>
  <r>
    <d v="2026-06-23T00:00:00"/>
    <s v="terça-feira"/>
    <d v="2026-06-23T00:00:00"/>
    <m/>
    <x v="0"/>
    <m/>
    <m/>
    <m/>
    <m/>
    <m/>
    <m/>
    <m/>
    <m/>
    <m/>
    <m/>
    <s v="Pantanal Baixo"/>
  </r>
  <r>
    <d v="2026-06-24T00:00:00"/>
    <s v="quarta-feira"/>
    <d v="2026-06-24T00:00:00"/>
    <m/>
    <x v="0"/>
    <m/>
    <m/>
    <m/>
    <m/>
    <m/>
    <m/>
    <m/>
    <m/>
    <m/>
    <m/>
    <s v="Pantanal Baixo"/>
  </r>
  <r>
    <d v="2026-06-25T00:00:00"/>
    <s v="quinta-feira"/>
    <d v="2026-06-25T00:00:00"/>
    <m/>
    <x v="0"/>
    <m/>
    <m/>
    <m/>
    <m/>
    <m/>
    <m/>
    <m/>
    <m/>
    <m/>
    <m/>
    <s v="Pantanal Baixo"/>
  </r>
  <r>
    <d v="2026-06-26T00:00:00"/>
    <s v="sexta-feira"/>
    <d v="2026-06-26T00:00:00"/>
    <m/>
    <x v="0"/>
    <m/>
    <m/>
    <m/>
    <m/>
    <m/>
    <m/>
    <m/>
    <m/>
    <m/>
    <m/>
    <s v="Pantanal Baixo"/>
  </r>
  <r>
    <d v="2026-06-27T00:00:00"/>
    <s v="sábado"/>
    <d v="2026-06-27T00:00:00"/>
    <s v="NÃO"/>
    <x v="0"/>
    <m/>
    <m/>
    <m/>
    <m/>
    <m/>
    <m/>
    <m/>
    <m/>
    <m/>
    <m/>
    <s v="Pantanal Baixo"/>
  </r>
  <r>
    <d v="2026-06-28T00:00:00"/>
    <s v="domingo"/>
    <d v="2026-06-28T00:00:00"/>
    <s v="NÃO"/>
    <x v="0"/>
    <m/>
    <m/>
    <m/>
    <m/>
    <m/>
    <m/>
    <m/>
    <m/>
    <m/>
    <m/>
    <s v="Pantanal Baixo"/>
  </r>
  <r>
    <d v="2026-06-29T00:00:00"/>
    <s v="segunda-feira"/>
    <d v="2026-06-29T00:00:00"/>
    <m/>
    <x v="0"/>
    <m/>
    <m/>
    <m/>
    <m/>
    <m/>
    <m/>
    <m/>
    <m/>
    <m/>
    <m/>
    <s v="Pantanal Baixo"/>
  </r>
  <r>
    <d v="2026-06-30T00:00:00"/>
    <s v="terça-feira"/>
    <d v="2026-06-30T00:00:00"/>
    <m/>
    <x v="0"/>
    <m/>
    <m/>
    <m/>
    <m/>
    <m/>
    <m/>
    <m/>
    <m/>
    <m/>
    <m/>
    <s v="Pantanal Baixo"/>
  </r>
  <r>
    <d v="2026-07-01T00:00:00"/>
    <s v="quarta-feira"/>
    <d v="2026-07-01T00:00:00"/>
    <m/>
    <x v="0"/>
    <m/>
    <m/>
    <m/>
    <m/>
    <m/>
    <m/>
    <m/>
    <m/>
    <m/>
    <m/>
    <s v="Pantanal Baixo"/>
  </r>
  <r>
    <d v="2026-07-02T00:00:00"/>
    <s v="quinta-feira"/>
    <d v="2026-07-02T00:00:00"/>
    <m/>
    <x v="0"/>
    <m/>
    <m/>
    <m/>
    <m/>
    <m/>
    <m/>
    <m/>
    <m/>
    <m/>
    <m/>
    <s v="Pantanal Baixo"/>
  </r>
  <r>
    <d v="2026-07-03T00:00:00"/>
    <s v="sexta-feira"/>
    <d v="2026-07-03T00:00:00"/>
    <m/>
    <x v="0"/>
    <m/>
    <m/>
    <m/>
    <m/>
    <m/>
    <m/>
    <m/>
    <m/>
    <m/>
    <m/>
    <s v="Pantanal Baixo"/>
  </r>
  <r>
    <d v="2026-07-04T00:00:00"/>
    <s v="sábado"/>
    <d v="2026-07-04T00:00:00"/>
    <s v="NÃO"/>
    <x v="0"/>
    <m/>
    <m/>
    <m/>
    <m/>
    <m/>
    <m/>
    <m/>
    <m/>
    <m/>
    <m/>
    <s v="Pantanal Baixo"/>
  </r>
  <r>
    <d v="2026-07-05T00:00:00"/>
    <s v="domingo"/>
    <d v="2026-07-05T00:00:00"/>
    <s v="NÃO"/>
    <x v="0"/>
    <m/>
    <m/>
    <m/>
    <m/>
    <m/>
    <m/>
    <m/>
    <m/>
    <m/>
    <m/>
    <s v="Pantanal Baixo"/>
  </r>
  <r>
    <d v="2026-07-06T00:00:00"/>
    <s v="segunda-feira"/>
    <d v="2026-07-06T00:00:00"/>
    <m/>
    <x v="0"/>
    <m/>
    <m/>
    <m/>
    <m/>
    <m/>
    <m/>
    <m/>
    <m/>
    <m/>
    <m/>
    <s v="Pantanal Baixo"/>
  </r>
  <r>
    <d v="2026-07-07T00:00:00"/>
    <s v="terça-feira"/>
    <d v="2026-07-07T00:00:00"/>
    <m/>
    <x v="0"/>
    <m/>
    <m/>
    <m/>
    <m/>
    <m/>
    <m/>
    <m/>
    <m/>
    <m/>
    <m/>
    <s v="Pantanal Baixo"/>
  </r>
  <r>
    <d v="2026-07-08T00:00:00"/>
    <s v="quarta-feira"/>
    <d v="2026-07-08T00:00:00"/>
    <m/>
    <x v="0"/>
    <m/>
    <m/>
    <m/>
    <m/>
    <m/>
    <m/>
    <m/>
    <m/>
    <m/>
    <m/>
    <s v="Pantanal Baixo"/>
  </r>
  <r>
    <d v="2026-07-09T00:00:00"/>
    <s v="quinta-feira"/>
    <d v="2026-07-09T00:00:00"/>
    <m/>
    <x v="0"/>
    <m/>
    <m/>
    <m/>
    <m/>
    <m/>
    <m/>
    <m/>
    <m/>
    <m/>
    <m/>
    <s v="Pantanal Baixo"/>
  </r>
  <r>
    <d v="2026-07-10T00:00:00"/>
    <s v="sexta-feira"/>
    <d v="2026-07-10T00:00:00"/>
    <m/>
    <x v="0"/>
    <m/>
    <m/>
    <m/>
    <m/>
    <m/>
    <m/>
    <m/>
    <m/>
    <m/>
    <m/>
    <s v="Pantanal Baixo"/>
  </r>
  <r>
    <d v="2026-07-11T00:00:00"/>
    <s v="sábado"/>
    <d v="2026-07-11T00:00:00"/>
    <s v="NÃO"/>
    <x v="0"/>
    <m/>
    <m/>
    <m/>
    <m/>
    <m/>
    <m/>
    <m/>
    <m/>
    <m/>
    <m/>
    <s v="Pantanal Baixo"/>
  </r>
  <r>
    <d v="2026-07-12T00:00:00"/>
    <s v="domingo"/>
    <d v="2026-07-12T00:00:00"/>
    <s v="NÃO"/>
    <x v="0"/>
    <m/>
    <m/>
    <m/>
    <m/>
    <m/>
    <m/>
    <m/>
    <m/>
    <m/>
    <m/>
    <s v="Pantanal Baixo"/>
  </r>
  <r>
    <d v="2026-07-13T00:00:00"/>
    <s v="segunda-feira"/>
    <d v="2026-07-13T00:00:00"/>
    <m/>
    <x v="0"/>
    <m/>
    <m/>
    <m/>
    <m/>
    <m/>
    <m/>
    <m/>
    <m/>
    <m/>
    <m/>
    <s v="Pantanal Baixo"/>
  </r>
  <r>
    <d v="2026-07-14T00:00:00"/>
    <s v="terça-feira"/>
    <d v="2026-07-14T00:00:00"/>
    <m/>
    <x v="0"/>
    <m/>
    <m/>
    <m/>
    <m/>
    <m/>
    <m/>
    <m/>
    <m/>
    <m/>
    <m/>
    <s v="Pantanal Baixo"/>
  </r>
  <r>
    <d v="2026-07-15T00:00:00"/>
    <s v="quarta-feira"/>
    <d v="2026-07-15T00:00:00"/>
    <m/>
    <x v="0"/>
    <m/>
    <m/>
    <m/>
    <m/>
    <m/>
    <m/>
    <m/>
    <m/>
    <m/>
    <m/>
    <s v="Pantanal Baixo"/>
  </r>
  <r>
    <d v="2026-07-16T00:00:00"/>
    <s v="quinta-feira"/>
    <d v="2026-07-16T00:00:00"/>
    <m/>
    <x v="0"/>
    <m/>
    <m/>
    <m/>
    <m/>
    <m/>
    <m/>
    <m/>
    <m/>
    <m/>
    <m/>
    <s v="Pantanal Baixo"/>
  </r>
  <r>
    <d v="2026-07-17T00:00:00"/>
    <s v="sexta-feira"/>
    <d v="2026-07-17T00:00:00"/>
    <m/>
    <x v="0"/>
    <m/>
    <m/>
    <m/>
    <m/>
    <m/>
    <m/>
    <m/>
    <m/>
    <m/>
    <m/>
    <s v="Pantanal Baixo"/>
  </r>
  <r>
    <d v="2026-07-18T00:00:00"/>
    <s v="sábado"/>
    <d v="2026-07-18T00:00:00"/>
    <s v="NÃO"/>
    <x v="0"/>
    <m/>
    <m/>
    <m/>
    <m/>
    <m/>
    <m/>
    <m/>
    <m/>
    <m/>
    <m/>
    <s v="Pantanal Baixo"/>
  </r>
  <r>
    <d v="2026-07-19T00:00:00"/>
    <s v="domingo"/>
    <d v="2026-07-19T00:00:00"/>
    <s v="NÃO"/>
    <x v="0"/>
    <m/>
    <m/>
    <m/>
    <m/>
    <m/>
    <m/>
    <m/>
    <m/>
    <m/>
    <m/>
    <s v="Pantanal Baixo"/>
  </r>
  <r>
    <d v="2026-07-20T00:00:00"/>
    <s v="segunda-feira"/>
    <d v="2026-07-20T00:00:00"/>
    <m/>
    <x v="0"/>
    <m/>
    <m/>
    <m/>
    <m/>
    <m/>
    <m/>
    <m/>
    <m/>
    <m/>
    <m/>
    <s v="Pantanal Baixo"/>
  </r>
  <r>
    <d v="2026-07-21T00:00:00"/>
    <s v="terça-feira"/>
    <d v="2026-07-21T00:00:00"/>
    <m/>
    <x v="0"/>
    <m/>
    <m/>
    <m/>
    <m/>
    <m/>
    <m/>
    <m/>
    <m/>
    <m/>
    <m/>
    <s v="Pantanal Baixo"/>
  </r>
  <r>
    <d v="2026-07-22T00:00:00"/>
    <s v="quarta-feira"/>
    <d v="2026-07-22T00:00:00"/>
    <m/>
    <x v="0"/>
    <m/>
    <m/>
    <m/>
    <m/>
    <m/>
    <m/>
    <m/>
    <m/>
    <m/>
    <m/>
    <s v="Pantanal Baixo"/>
  </r>
  <r>
    <d v="2026-07-23T00:00:00"/>
    <s v="quinta-feira"/>
    <d v="2026-07-23T00:00:00"/>
    <m/>
    <x v="0"/>
    <m/>
    <m/>
    <m/>
    <m/>
    <m/>
    <m/>
    <m/>
    <m/>
    <m/>
    <m/>
    <s v="Pantanal Baixo"/>
  </r>
  <r>
    <d v="2026-07-24T00:00:00"/>
    <s v="sexta-feira"/>
    <d v="2026-07-24T00:00:00"/>
    <m/>
    <x v="0"/>
    <m/>
    <m/>
    <m/>
    <m/>
    <m/>
    <m/>
    <m/>
    <m/>
    <m/>
    <m/>
    <s v="Pantanal Baixo"/>
  </r>
  <r>
    <d v="2026-07-25T00:00:00"/>
    <s v="sábado"/>
    <d v="2026-07-25T00:00:00"/>
    <s v="NÃO"/>
    <x v="0"/>
    <m/>
    <m/>
    <m/>
    <m/>
    <m/>
    <m/>
    <m/>
    <m/>
    <m/>
    <m/>
    <s v="Pantanal Baixo"/>
  </r>
  <r>
    <d v="2026-07-26T00:00:00"/>
    <s v="domingo"/>
    <d v="2026-07-26T00:00:00"/>
    <s v="NÃO"/>
    <x v="0"/>
    <m/>
    <m/>
    <m/>
    <m/>
    <m/>
    <m/>
    <m/>
    <m/>
    <m/>
    <m/>
    <s v="Pantanal Baixo"/>
  </r>
  <r>
    <d v="2026-07-27T00:00:00"/>
    <s v="segunda-feira"/>
    <d v="2026-07-27T00:00:00"/>
    <m/>
    <x v="0"/>
    <m/>
    <m/>
    <m/>
    <m/>
    <m/>
    <m/>
    <m/>
    <m/>
    <m/>
    <m/>
    <s v="Pantanal Baixo"/>
  </r>
  <r>
    <d v="2026-07-28T00:00:00"/>
    <s v="terça-feira"/>
    <d v="2026-07-28T00:00:00"/>
    <m/>
    <x v="0"/>
    <m/>
    <m/>
    <m/>
    <m/>
    <m/>
    <m/>
    <m/>
    <m/>
    <m/>
    <m/>
    <s v="Pantanal Baixo"/>
  </r>
  <r>
    <d v="2026-07-29T00:00:00"/>
    <s v="quarta-feira"/>
    <d v="2026-07-29T00:00:00"/>
    <m/>
    <x v="0"/>
    <m/>
    <m/>
    <m/>
    <m/>
    <m/>
    <m/>
    <m/>
    <m/>
    <m/>
    <m/>
    <s v="Pantanal Baixo"/>
  </r>
  <r>
    <d v="2026-07-30T00:00:00"/>
    <s v="quinta-feira"/>
    <d v="2026-07-30T00:00:00"/>
    <m/>
    <x v="0"/>
    <m/>
    <m/>
    <m/>
    <m/>
    <m/>
    <m/>
    <m/>
    <m/>
    <m/>
    <m/>
    <s v="Pantanal Baixo"/>
  </r>
  <r>
    <d v="2026-07-31T00:00:00"/>
    <s v="sexta-feira"/>
    <d v="2026-07-31T00:00:00"/>
    <m/>
    <x v="0"/>
    <m/>
    <m/>
    <m/>
    <m/>
    <m/>
    <m/>
    <m/>
    <m/>
    <m/>
    <m/>
    <s v="Pantanal Baixo"/>
  </r>
  <r>
    <d v="2026-08-01T00:00:00"/>
    <s v="sábado"/>
    <d v="2026-08-01T00:00:00"/>
    <s v="NÃO"/>
    <x v="0"/>
    <m/>
    <m/>
    <m/>
    <m/>
    <m/>
    <m/>
    <m/>
    <m/>
    <m/>
    <m/>
    <s v="Pantanal Baixo"/>
  </r>
  <r>
    <d v="2026-08-02T00:00:00"/>
    <s v="domingo"/>
    <d v="2026-08-02T00:00:00"/>
    <s v="NÃO"/>
    <x v="0"/>
    <m/>
    <m/>
    <m/>
    <m/>
    <m/>
    <m/>
    <m/>
    <m/>
    <m/>
    <m/>
    <s v="Pantanal Baixo"/>
  </r>
  <r>
    <d v="2026-08-03T00:00:00"/>
    <s v="segunda-feira"/>
    <d v="2026-08-03T00:00:00"/>
    <m/>
    <x v="0"/>
    <m/>
    <m/>
    <m/>
    <m/>
    <m/>
    <m/>
    <m/>
    <m/>
    <m/>
    <m/>
    <s v="Pantanal Baixo"/>
  </r>
  <r>
    <d v="2026-08-04T00:00:00"/>
    <s v="terça-feira"/>
    <d v="2026-08-04T00:00:00"/>
    <m/>
    <x v="0"/>
    <m/>
    <m/>
    <m/>
    <m/>
    <m/>
    <m/>
    <m/>
    <m/>
    <m/>
    <m/>
    <s v="Pantanal Baixo"/>
  </r>
  <r>
    <d v="2026-08-05T00:00:00"/>
    <s v="quarta-feira"/>
    <d v="2026-08-05T00:00:00"/>
    <m/>
    <x v="0"/>
    <m/>
    <m/>
    <m/>
    <m/>
    <m/>
    <m/>
    <m/>
    <m/>
    <m/>
    <m/>
    <s v="Pantanal Baixo"/>
  </r>
  <r>
    <d v="2026-08-06T00:00:00"/>
    <s v="quinta-feira"/>
    <d v="2026-08-06T00:00:00"/>
    <m/>
    <x v="0"/>
    <m/>
    <m/>
    <m/>
    <m/>
    <m/>
    <m/>
    <m/>
    <m/>
    <m/>
    <m/>
    <s v="Pantanal Baixo"/>
  </r>
  <r>
    <d v="2026-08-07T00:00:00"/>
    <s v="sexta-feira"/>
    <d v="2026-08-07T00:00:00"/>
    <m/>
    <x v="0"/>
    <m/>
    <m/>
    <m/>
    <m/>
    <m/>
    <m/>
    <m/>
    <m/>
    <m/>
    <m/>
    <s v="Pantanal Baixo"/>
  </r>
  <r>
    <d v="2026-08-08T00:00:00"/>
    <s v="sábado"/>
    <d v="2026-08-08T00:00:00"/>
    <s v="NÃO"/>
    <x v="0"/>
    <m/>
    <m/>
    <m/>
    <m/>
    <m/>
    <m/>
    <m/>
    <m/>
    <m/>
    <m/>
    <s v="Pantanal Baixo"/>
  </r>
  <r>
    <d v="2026-08-09T00:00:00"/>
    <s v="domingo"/>
    <d v="2026-08-09T00:00:00"/>
    <s v="NÃO"/>
    <x v="0"/>
    <m/>
    <m/>
    <m/>
    <m/>
    <m/>
    <m/>
    <m/>
    <m/>
    <m/>
    <m/>
    <s v="Pantanal Baixo"/>
  </r>
  <r>
    <d v="2026-08-10T00:00:00"/>
    <s v="segunda-feira"/>
    <d v="2026-08-10T00:00:00"/>
    <m/>
    <x v="0"/>
    <m/>
    <m/>
    <m/>
    <m/>
    <m/>
    <m/>
    <m/>
    <m/>
    <m/>
    <m/>
    <s v="Pantanal Baixo"/>
  </r>
  <r>
    <d v="2026-08-11T00:00:00"/>
    <s v="terça-feira"/>
    <d v="2026-08-11T00:00:00"/>
    <m/>
    <x v="0"/>
    <m/>
    <m/>
    <m/>
    <m/>
    <m/>
    <m/>
    <m/>
    <m/>
    <m/>
    <m/>
    <s v="Pantanal Baixo"/>
  </r>
  <r>
    <d v="2026-08-12T00:00:00"/>
    <s v="quarta-feira"/>
    <d v="2026-08-12T00:00:00"/>
    <m/>
    <x v="0"/>
    <m/>
    <m/>
    <m/>
    <m/>
    <m/>
    <m/>
    <m/>
    <m/>
    <m/>
    <m/>
    <s v="Pantanal Baixo"/>
  </r>
  <r>
    <d v="2026-08-13T00:00:00"/>
    <s v="quinta-feira"/>
    <d v="2026-08-13T00:00:00"/>
    <m/>
    <x v="0"/>
    <m/>
    <m/>
    <m/>
    <m/>
    <m/>
    <m/>
    <m/>
    <m/>
    <m/>
    <m/>
    <s v="Pantanal Baixo"/>
  </r>
  <r>
    <d v="2026-08-14T00:00:00"/>
    <s v="sexta-feira"/>
    <d v="2026-08-14T00:00:00"/>
    <m/>
    <x v="0"/>
    <m/>
    <m/>
    <m/>
    <m/>
    <m/>
    <m/>
    <m/>
    <m/>
    <m/>
    <m/>
    <s v="Pantanal Baixo"/>
  </r>
  <r>
    <d v="2026-08-15T00:00:00"/>
    <s v="sábado"/>
    <d v="2026-08-15T00:00:00"/>
    <s v="NÃO"/>
    <x v="0"/>
    <m/>
    <m/>
    <m/>
    <m/>
    <m/>
    <m/>
    <m/>
    <m/>
    <m/>
    <m/>
    <s v="Pantanal Baixo"/>
  </r>
  <r>
    <d v="2026-08-16T00:00:00"/>
    <s v="domingo"/>
    <d v="2026-08-16T00:00:00"/>
    <s v="NÃO"/>
    <x v="0"/>
    <m/>
    <m/>
    <m/>
    <m/>
    <m/>
    <m/>
    <m/>
    <m/>
    <m/>
    <m/>
    <s v="Pantanal Baixo"/>
  </r>
  <r>
    <d v="2026-08-17T00:00:00"/>
    <s v="segunda-feira"/>
    <d v="2026-08-17T00:00:00"/>
    <m/>
    <x v="0"/>
    <m/>
    <m/>
    <m/>
    <m/>
    <m/>
    <m/>
    <m/>
    <m/>
    <m/>
    <m/>
    <s v="Pantanal Baixo"/>
  </r>
  <r>
    <d v="2026-08-18T00:00:00"/>
    <s v="terça-feira"/>
    <d v="2026-08-18T00:00:00"/>
    <m/>
    <x v="0"/>
    <m/>
    <m/>
    <m/>
    <m/>
    <m/>
    <m/>
    <m/>
    <m/>
    <m/>
    <m/>
    <s v="Pantanal Baixo"/>
  </r>
  <r>
    <d v="2026-08-19T00:00:00"/>
    <s v="quarta-feira"/>
    <d v="2026-08-19T00:00:00"/>
    <m/>
    <x v="0"/>
    <m/>
    <m/>
    <m/>
    <m/>
    <m/>
    <m/>
    <m/>
    <m/>
    <m/>
    <m/>
    <s v="Pantanal Baixo"/>
  </r>
  <r>
    <d v="2026-08-20T00:00:00"/>
    <s v="quinta-feira"/>
    <d v="2026-08-20T00:00:00"/>
    <m/>
    <x v="0"/>
    <m/>
    <m/>
    <m/>
    <m/>
    <m/>
    <m/>
    <m/>
    <m/>
    <m/>
    <m/>
    <s v="Pantanal Baixo"/>
  </r>
  <r>
    <d v="2026-08-21T00:00:00"/>
    <s v="sexta-feira"/>
    <d v="2026-08-21T00:00:00"/>
    <m/>
    <x v="0"/>
    <m/>
    <m/>
    <m/>
    <m/>
    <m/>
    <m/>
    <m/>
    <m/>
    <m/>
    <m/>
    <s v="Pantanal Baixo"/>
  </r>
  <r>
    <d v="2026-08-22T00:00:00"/>
    <s v="sábado"/>
    <d v="2026-08-22T00:00:00"/>
    <s v="NÃO"/>
    <x v="0"/>
    <m/>
    <m/>
    <m/>
    <m/>
    <m/>
    <m/>
    <m/>
    <m/>
    <m/>
    <m/>
    <s v="Pantanal Baixo"/>
  </r>
  <r>
    <d v="2026-08-23T00:00:00"/>
    <s v="domingo"/>
    <d v="2026-08-23T00:00:00"/>
    <s v="NÃO"/>
    <x v="0"/>
    <m/>
    <m/>
    <m/>
    <m/>
    <m/>
    <m/>
    <m/>
    <m/>
    <m/>
    <m/>
    <s v="Pantanal Baixo"/>
  </r>
  <r>
    <d v="2026-08-24T00:00:00"/>
    <s v="segunda-feira"/>
    <d v="2026-08-24T00:00:00"/>
    <m/>
    <x v="0"/>
    <m/>
    <m/>
    <m/>
    <m/>
    <m/>
    <m/>
    <m/>
    <m/>
    <m/>
    <m/>
    <s v="Pantanal Baixo"/>
  </r>
  <r>
    <d v="2026-08-25T00:00:00"/>
    <s v="terça-feira"/>
    <d v="2026-08-25T00:00:00"/>
    <m/>
    <x v="0"/>
    <m/>
    <m/>
    <m/>
    <m/>
    <m/>
    <m/>
    <m/>
    <m/>
    <m/>
    <m/>
    <s v="Pantanal Baixo"/>
  </r>
  <r>
    <d v="2026-08-26T00:00:00"/>
    <s v="quarta-feira"/>
    <d v="2026-08-26T00:00:00"/>
    <m/>
    <x v="0"/>
    <m/>
    <m/>
    <m/>
    <m/>
    <m/>
    <m/>
    <m/>
    <m/>
    <m/>
    <m/>
    <s v="Pantanal Baixo"/>
  </r>
  <r>
    <d v="2026-08-27T00:00:00"/>
    <s v="quinta-feira"/>
    <d v="2026-08-27T00:00:00"/>
    <m/>
    <x v="0"/>
    <m/>
    <m/>
    <m/>
    <m/>
    <m/>
    <m/>
    <m/>
    <m/>
    <m/>
    <m/>
    <s v="Pantanal Baixo"/>
  </r>
  <r>
    <d v="2026-08-28T00:00:00"/>
    <s v="sexta-feira"/>
    <d v="2026-08-28T00:00:00"/>
    <m/>
    <x v="0"/>
    <m/>
    <m/>
    <m/>
    <m/>
    <m/>
    <m/>
    <m/>
    <m/>
    <m/>
    <m/>
    <s v="Pantanal Baixo"/>
  </r>
  <r>
    <d v="2026-08-29T00:00:00"/>
    <s v="sábado"/>
    <d v="2026-08-29T00:00:00"/>
    <s v="NÃO"/>
    <x v="0"/>
    <m/>
    <m/>
    <m/>
    <m/>
    <m/>
    <m/>
    <m/>
    <m/>
    <m/>
    <m/>
    <s v="Pantanal Baixo"/>
  </r>
  <r>
    <d v="2026-08-30T00:00:00"/>
    <s v="domingo"/>
    <d v="2026-08-30T00:00:00"/>
    <s v="NÃO"/>
    <x v="0"/>
    <m/>
    <m/>
    <m/>
    <m/>
    <m/>
    <m/>
    <m/>
    <m/>
    <m/>
    <m/>
    <s v="Pantanal Baixo"/>
  </r>
  <r>
    <d v="2026-08-31T00:00:00"/>
    <s v="segunda-feira"/>
    <d v="2026-08-31T00:00:00"/>
    <m/>
    <x v="0"/>
    <m/>
    <m/>
    <m/>
    <m/>
    <m/>
    <m/>
    <m/>
    <m/>
    <m/>
    <m/>
    <s v="Pantanal Baixo"/>
  </r>
  <r>
    <d v="2026-09-01T00:00:00"/>
    <s v="terça-feira"/>
    <d v="2026-09-01T00:00:00"/>
    <m/>
    <x v="0"/>
    <m/>
    <m/>
    <m/>
    <m/>
    <m/>
    <m/>
    <m/>
    <m/>
    <m/>
    <m/>
    <s v="Pantanal Baixo"/>
  </r>
  <r>
    <d v="2026-09-02T00:00:00"/>
    <s v="quarta-feira"/>
    <d v="2026-09-02T00:00:00"/>
    <m/>
    <x v="0"/>
    <m/>
    <m/>
    <m/>
    <m/>
    <m/>
    <m/>
    <m/>
    <m/>
    <m/>
    <m/>
    <s v="Pantanal Baixo"/>
  </r>
  <r>
    <d v="2026-09-03T00:00:00"/>
    <s v="quinta-feira"/>
    <d v="2026-09-03T00:00:00"/>
    <m/>
    <x v="0"/>
    <m/>
    <m/>
    <m/>
    <m/>
    <m/>
    <m/>
    <m/>
    <m/>
    <m/>
    <m/>
    <s v="Pantanal Baixo"/>
  </r>
  <r>
    <d v="2026-09-04T00:00:00"/>
    <s v="sexta-feira"/>
    <d v="2026-09-04T00:00:00"/>
    <m/>
    <x v="0"/>
    <m/>
    <m/>
    <m/>
    <m/>
    <m/>
    <m/>
    <m/>
    <m/>
    <m/>
    <m/>
    <s v="Pantanal Baixo"/>
  </r>
  <r>
    <d v="2026-09-05T00:00:00"/>
    <s v="sábado"/>
    <d v="2026-09-05T00:00:00"/>
    <s v="NÃO"/>
    <x v="0"/>
    <m/>
    <m/>
    <m/>
    <m/>
    <m/>
    <m/>
    <m/>
    <m/>
    <m/>
    <m/>
    <s v="Pantanal Baixo"/>
  </r>
  <r>
    <d v="2026-09-06T00:00:00"/>
    <s v="domingo"/>
    <d v="2026-09-06T00:00:00"/>
    <s v="NÃO"/>
    <x v="0"/>
    <m/>
    <m/>
    <m/>
    <m/>
    <m/>
    <m/>
    <m/>
    <m/>
    <m/>
    <m/>
    <s v="Pantanal Baixo"/>
  </r>
  <r>
    <d v="2026-09-07T00:00:00"/>
    <s v="segunda-feira"/>
    <d v="2026-09-07T00:00:00"/>
    <m/>
    <x v="0"/>
    <m/>
    <m/>
    <m/>
    <m/>
    <m/>
    <m/>
    <m/>
    <m/>
    <m/>
    <m/>
    <s v="Pantanal Baixo"/>
  </r>
  <r>
    <d v="2026-09-08T00:00:00"/>
    <s v="terça-feira"/>
    <d v="2026-09-08T00:00:00"/>
    <m/>
    <x v="0"/>
    <m/>
    <m/>
    <m/>
    <m/>
    <m/>
    <m/>
    <m/>
    <m/>
    <m/>
    <m/>
    <s v="Pantanal Baixo"/>
  </r>
  <r>
    <d v="2026-09-09T00:00:00"/>
    <s v="quarta-feira"/>
    <d v="2026-09-09T00:00:00"/>
    <m/>
    <x v="0"/>
    <m/>
    <m/>
    <m/>
    <m/>
    <m/>
    <m/>
    <m/>
    <m/>
    <m/>
    <m/>
    <s v="Pantanal Baixo"/>
  </r>
  <r>
    <d v="2026-09-10T00:00:00"/>
    <s v="quinta-feira"/>
    <d v="2026-09-10T00:00:00"/>
    <m/>
    <x v="0"/>
    <m/>
    <m/>
    <m/>
    <m/>
    <m/>
    <m/>
    <m/>
    <m/>
    <m/>
    <m/>
    <s v="Pantanal Baixo"/>
  </r>
  <r>
    <d v="2026-09-11T00:00:00"/>
    <s v="sexta-feira"/>
    <d v="2026-09-11T00:00:00"/>
    <m/>
    <x v="0"/>
    <m/>
    <m/>
    <m/>
    <m/>
    <m/>
    <m/>
    <m/>
    <m/>
    <m/>
    <m/>
    <s v="Pantanal Baixo"/>
  </r>
  <r>
    <d v="2026-09-12T00:00:00"/>
    <s v="sábado"/>
    <d v="2026-09-12T00:00:00"/>
    <s v="NÃO"/>
    <x v="0"/>
    <m/>
    <m/>
    <m/>
    <m/>
    <m/>
    <m/>
    <m/>
    <m/>
    <m/>
    <m/>
    <s v="Pantanal Baixo"/>
  </r>
  <r>
    <d v="2026-09-13T00:00:00"/>
    <s v="domingo"/>
    <d v="2026-09-13T00:00:00"/>
    <s v="NÃO"/>
    <x v="0"/>
    <m/>
    <m/>
    <m/>
    <m/>
    <m/>
    <m/>
    <m/>
    <m/>
    <m/>
    <m/>
    <s v="Pantanal Baixo"/>
  </r>
  <r>
    <d v="2026-09-14T00:00:00"/>
    <s v="segunda-feira"/>
    <d v="2026-09-14T00:00:00"/>
    <m/>
    <x v="0"/>
    <m/>
    <m/>
    <m/>
    <m/>
    <m/>
    <m/>
    <m/>
    <m/>
    <m/>
    <m/>
    <s v="Pantanal Baixo"/>
  </r>
  <r>
    <d v="2026-09-15T00:00:00"/>
    <s v="terça-feira"/>
    <d v="2026-09-15T00:00:00"/>
    <m/>
    <x v="0"/>
    <m/>
    <m/>
    <m/>
    <m/>
    <m/>
    <m/>
    <m/>
    <m/>
    <m/>
    <m/>
    <s v="Pantanal Baixo"/>
  </r>
  <r>
    <d v="2026-09-16T00:00:00"/>
    <s v="quarta-feira"/>
    <d v="2026-09-16T00:00:00"/>
    <m/>
    <x v="0"/>
    <m/>
    <m/>
    <m/>
    <m/>
    <m/>
    <m/>
    <m/>
    <m/>
    <m/>
    <m/>
    <s v="Pantanal Baixo"/>
  </r>
  <r>
    <d v="2026-09-17T00:00:00"/>
    <s v="quinta-feira"/>
    <d v="2026-09-17T00:00:00"/>
    <m/>
    <x v="0"/>
    <m/>
    <m/>
    <m/>
    <m/>
    <m/>
    <m/>
    <m/>
    <m/>
    <m/>
    <m/>
    <s v="Pantanal Baixo"/>
  </r>
  <r>
    <d v="2026-09-18T00:00:00"/>
    <s v="sexta-feira"/>
    <d v="2026-09-18T00:00:00"/>
    <m/>
    <x v="0"/>
    <m/>
    <m/>
    <m/>
    <m/>
    <m/>
    <m/>
    <m/>
    <m/>
    <m/>
    <m/>
    <s v="Pantanal Baixo"/>
  </r>
  <r>
    <d v="2026-09-19T00:00:00"/>
    <s v="sábado"/>
    <d v="2026-09-19T00:00:00"/>
    <s v="NÃO"/>
    <x v="0"/>
    <m/>
    <m/>
    <m/>
    <m/>
    <m/>
    <m/>
    <m/>
    <m/>
    <m/>
    <m/>
    <s v="Pantanal Baixo"/>
  </r>
  <r>
    <d v="2026-09-20T00:00:00"/>
    <s v="domingo"/>
    <d v="2026-09-20T00:00:00"/>
    <s v="NÃO"/>
    <x v="0"/>
    <m/>
    <m/>
    <m/>
    <m/>
    <m/>
    <m/>
    <m/>
    <m/>
    <m/>
    <m/>
    <s v="Pantanal Baixo"/>
  </r>
  <r>
    <d v="2026-09-21T00:00:00"/>
    <s v="segunda-feira"/>
    <d v="2026-09-21T00:00:00"/>
    <m/>
    <x v="0"/>
    <m/>
    <m/>
    <m/>
    <m/>
    <m/>
    <m/>
    <m/>
    <m/>
    <m/>
    <m/>
    <s v="Pantanal Baixo"/>
  </r>
  <r>
    <d v="2026-09-22T00:00:00"/>
    <s v="terça-feira"/>
    <d v="2026-09-22T00:00:00"/>
    <m/>
    <x v="0"/>
    <m/>
    <m/>
    <m/>
    <m/>
    <m/>
    <m/>
    <m/>
    <m/>
    <m/>
    <m/>
    <s v="Pantanal Baixo"/>
  </r>
  <r>
    <d v="2026-09-23T00:00:00"/>
    <s v="quarta-feira"/>
    <d v="2026-09-23T00:00:00"/>
    <m/>
    <x v="0"/>
    <m/>
    <m/>
    <m/>
    <m/>
    <m/>
    <m/>
    <m/>
    <m/>
    <m/>
    <m/>
    <s v="Pantanal Baixo"/>
  </r>
  <r>
    <d v="2026-09-24T00:00:00"/>
    <s v="quinta-feira"/>
    <d v="2026-09-24T00:00:00"/>
    <m/>
    <x v="0"/>
    <m/>
    <m/>
    <m/>
    <m/>
    <m/>
    <m/>
    <m/>
    <m/>
    <m/>
    <m/>
    <s v="Pantanal Baixo"/>
  </r>
  <r>
    <d v="2026-09-25T00:00:00"/>
    <s v="sexta-feira"/>
    <d v="2026-09-25T00:00:00"/>
    <m/>
    <x v="0"/>
    <m/>
    <m/>
    <m/>
    <m/>
    <m/>
    <m/>
    <m/>
    <m/>
    <m/>
    <m/>
    <s v="Pantanal Baixo"/>
  </r>
  <r>
    <d v="2026-09-26T00:00:00"/>
    <s v="sábado"/>
    <d v="2026-09-26T00:00:00"/>
    <s v="NÃO"/>
    <x v="0"/>
    <m/>
    <m/>
    <m/>
    <m/>
    <m/>
    <m/>
    <m/>
    <m/>
    <m/>
    <m/>
    <s v="Pantanal Baixo"/>
  </r>
  <r>
    <d v="2026-09-27T00:00:00"/>
    <s v="domingo"/>
    <d v="2026-09-27T00:00:00"/>
    <s v="NÃO"/>
    <x v="0"/>
    <m/>
    <m/>
    <m/>
    <m/>
    <m/>
    <m/>
    <m/>
    <m/>
    <m/>
    <m/>
    <s v="Pantanal Baixo"/>
  </r>
  <r>
    <d v="2026-09-28T00:00:00"/>
    <s v="segunda-feira"/>
    <d v="2026-09-28T00:00:00"/>
    <m/>
    <x v="0"/>
    <m/>
    <m/>
    <m/>
    <m/>
    <m/>
    <m/>
    <m/>
    <m/>
    <m/>
    <m/>
    <s v="Pantanal Baixo"/>
  </r>
  <r>
    <d v="2026-09-29T00:00:00"/>
    <s v="terça-feira"/>
    <d v="2026-09-29T00:00:00"/>
    <m/>
    <x v="0"/>
    <m/>
    <m/>
    <m/>
    <m/>
    <m/>
    <m/>
    <m/>
    <m/>
    <m/>
    <m/>
    <s v="Pantanal Baixo"/>
  </r>
  <r>
    <d v="2026-09-30T00:00:00"/>
    <s v="quarta-feira"/>
    <d v="2026-09-30T00:00:00"/>
    <m/>
    <x v="0"/>
    <m/>
    <m/>
    <m/>
    <m/>
    <m/>
    <m/>
    <m/>
    <m/>
    <m/>
    <m/>
    <s v="Pantanal Baixo"/>
  </r>
  <r>
    <d v="2026-10-01T00:00:00"/>
    <s v="quinta-feira"/>
    <d v="2026-10-01T00:00:00"/>
    <m/>
    <x v="0"/>
    <m/>
    <m/>
    <m/>
    <m/>
    <m/>
    <m/>
    <m/>
    <m/>
    <m/>
    <m/>
    <s v="Pantanal Baixo"/>
  </r>
  <r>
    <d v="2026-10-02T00:00:00"/>
    <s v="sexta-feira"/>
    <d v="2026-10-02T00:00:00"/>
    <m/>
    <x v="0"/>
    <m/>
    <m/>
    <m/>
    <m/>
    <m/>
    <m/>
    <m/>
    <m/>
    <m/>
    <m/>
    <s v="Pantanal Baixo"/>
  </r>
  <r>
    <d v="2026-10-03T00:00:00"/>
    <s v="sábado"/>
    <d v="2026-10-03T00:00:00"/>
    <s v="NÃO"/>
    <x v="0"/>
    <m/>
    <m/>
    <m/>
    <m/>
    <m/>
    <m/>
    <m/>
    <m/>
    <m/>
    <m/>
    <s v="Pantanal Baixo"/>
  </r>
  <r>
    <d v="2026-10-04T00:00:00"/>
    <s v="domingo"/>
    <d v="2026-10-04T00:00:00"/>
    <s v="NÃO"/>
    <x v="0"/>
    <m/>
    <m/>
    <m/>
    <m/>
    <m/>
    <m/>
    <m/>
    <m/>
    <m/>
    <m/>
    <s v="Pantanal Baixo"/>
  </r>
  <r>
    <d v="2026-10-05T00:00:00"/>
    <s v="segunda-feira"/>
    <d v="2026-10-05T00:00:00"/>
    <m/>
    <x v="0"/>
    <m/>
    <m/>
    <m/>
    <m/>
    <m/>
    <m/>
    <m/>
    <m/>
    <m/>
    <m/>
    <s v="Pantanal Baixo"/>
  </r>
  <r>
    <d v="2026-10-06T00:00:00"/>
    <s v="terça-feira"/>
    <d v="2026-10-06T00:00:00"/>
    <m/>
    <x v="0"/>
    <m/>
    <m/>
    <m/>
    <m/>
    <m/>
    <m/>
    <m/>
    <m/>
    <m/>
    <m/>
    <s v="Pantanal Baixo"/>
  </r>
  <r>
    <d v="2026-10-07T00:00:00"/>
    <s v="quarta-feira"/>
    <d v="2026-10-07T00:00:00"/>
    <m/>
    <x v="0"/>
    <m/>
    <m/>
    <m/>
    <m/>
    <m/>
    <m/>
    <m/>
    <m/>
    <m/>
    <m/>
    <s v="Pantanal Baixo"/>
  </r>
  <r>
    <d v="2026-10-08T00:00:00"/>
    <s v="quinta-feira"/>
    <d v="2026-10-08T00:00:00"/>
    <m/>
    <x v="0"/>
    <m/>
    <m/>
    <m/>
    <m/>
    <m/>
    <m/>
    <m/>
    <m/>
    <m/>
    <m/>
    <s v="Pantanal Baixo"/>
  </r>
  <r>
    <d v="2026-10-09T00:00:00"/>
    <s v="sexta-feira"/>
    <d v="2026-10-09T00:00:00"/>
    <m/>
    <x v="0"/>
    <m/>
    <m/>
    <m/>
    <m/>
    <m/>
    <m/>
    <m/>
    <m/>
    <m/>
    <m/>
    <s v="Pantanal Baixo"/>
  </r>
  <r>
    <d v="2026-10-10T00:00:00"/>
    <s v="sábado"/>
    <d v="2026-10-10T00:00:00"/>
    <s v="NÃO"/>
    <x v="0"/>
    <m/>
    <m/>
    <m/>
    <m/>
    <m/>
    <m/>
    <m/>
    <m/>
    <m/>
    <m/>
    <s v="Pantanal Baixo"/>
  </r>
  <r>
    <d v="2026-10-11T00:00:00"/>
    <s v="domingo"/>
    <d v="2026-10-11T00:00:00"/>
    <s v="NÃO"/>
    <x v="0"/>
    <m/>
    <m/>
    <m/>
    <m/>
    <m/>
    <m/>
    <m/>
    <m/>
    <m/>
    <m/>
    <s v="Pantanal Baixo"/>
  </r>
  <r>
    <d v="2026-10-12T00:00:00"/>
    <s v="segunda-feira"/>
    <d v="2026-10-12T00:00:00"/>
    <m/>
    <x v="0"/>
    <m/>
    <m/>
    <m/>
    <m/>
    <m/>
    <m/>
    <m/>
    <m/>
    <m/>
    <m/>
    <s v="Pantanal Baixo"/>
  </r>
  <r>
    <d v="2026-10-13T00:00:00"/>
    <s v="terça-feira"/>
    <d v="2026-10-13T00:00:00"/>
    <m/>
    <x v="0"/>
    <m/>
    <m/>
    <m/>
    <m/>
    <m/>
    <m/>
    <m/>
    <m/>
    <m/>
    <m/>
    <s v="Pantanal Baixo"/>
  </r>
  <r>
    <d v="2026-10-14T00:00:00"/>
    <s v="quarta-feira"/>
    <d v="2026-10-14T00:00:00"/>
    <m/>
    <x v="0"/>
    <m/>
    <m/>
    <m/>
    <m/>
    <m/>
    <m/>
    <m/>
    <m/>
    <m/>
    <m/>
    <s v="Pantanal Baixo"/>
  </r>
  <r>
    <d v="2026-10-15T00:00:00"/>
    <s v="quinta-feira"/>
    <d v="2026-10-15T00:00:00"/>
    <m/>
    <x v="0"/>
    <m/>
    <m/>
    <m/>
    <m/>
    <m/>
    <m/>
    <m/>
    <m/>
    <m/>
    <m/>
    <s v="Pantanal Baixo"/>
  </r>
  <r>
    <d v="2026-10-16T00:00:00"/>
    <s v="sexta-feira"/>
    <d v="2026-10-16T00:00:00"/>
    <m/>
    <x v="0"/>
    <m/>
    <m/>
    <m/>
    <m/>
    <m/>
    <m/>
    <m/>
    <m/>
    <m/>
    <m/>
    <s v="Pantanal Baixo"/>
  </r>
  <r>
    <d v="2026-10-17T00:00:00"/>
    <s v="sábado"/>
    <d v="2026-10-17T00:00:00"/>
    <s v="NÃO"/>
    <x v="0"/>
    <m/>
    <m/>
    <m/>
    <m/>
    <m/>
    <m/>
    <m/>
    <m/>
    <m/>
    <m/>
    <s v="Pantanal Baixo"/>
  </r>
  <r>
    <d v="2026-10-18T00:00:00"/>
    <s v="domingo"/>
    <d v="2026-10-18T00:00:00"/>
    <s v="NÃO"/>
    <x v="0"/>
    <m/>
    <m/>
    <m/>
    <m/>
    <m/>
    <m/>
    <m/>
    <m/>
    <m/>
    <m/>
    <s v="Pantanal Baixo"/>
  </r>
  <r>
    <d v="2026-10-19T00:00:00"/>
    <s v="segunda-feira"/>
    <d v="2026-10-19T00:00:00"/>
    <m/>
    <x v="0"/>
    <m/>
    <m/>
    <m/>
    <m/>
    <m/>
    <m/>
    <m/>
    <m/>
    <m/>
    <m/>
    <s v="Pantanal Baixo"/>
  </r>
  <r>
    <d v="2026-10-20T00:00:00"/>
    <s v="terça-feira"/>
    <d v="2026-10-20T00:00:00"/>
    <m/>
    <x v="0"/>
    <m/>
    <m/>
    <m/>
    <m/>
    <m/>
    <m/>
    <m/>
    <m/>
    <m/>
    <m/>
    <s v="Pantanal Baixo"/>
  </r>
  <r>
    <d v="2026-10-21T00:00:00"/>
    <s v="quarta-feira"/>
    <d v="2026-10-21T00:00:00"/>
    <m/>
    <x v="0"/>
    <m/>
    <m/>
    <m/>
    <m/>
    <m/>
    <m/>
    <m/>
    <m/>
    <m/>
    <m/>
    <s v="Pantanal Baixo"/>
  </r>
  <r>
    <d v="2026-10-22T00:00:00"/>
    <s v="quinta-feira"/>
    <d v="2026-10-22T00:00:00"/>
    <m/>
    <x v="0"/>
    <m/>
    <m/>
    <m/>
    <m/>
    <m/>
    <m/>
    <m/>
    <m/>
    <m/>
    <m/>
    <s v="Pantanal Baixo"/>
  </r>
  <r>
    <d v="2026-10-23T00:00:00"/>
    <s v="sexta-feira"/>
    <d v="2026-10-23T00:00:00"/>
    <m/>
    <x v="0"/>
    <m/>
    <m/>
    <m/>
    <m/>
    <m/>
    <m/>
    <m/>
    <m/>
    <m/>
    <m/>
    <s v="Pantanal Baixo"/>
  </r>
  <r>
    <d v="2026-10-24T00:00:00"/>
    <s v="sábado"/>
    <d v="2026-10-24T00:00:00"/>
    <s v="NÃO"/>
    <x v="0"/>
    <m/>
    <m/>
    <m/>
    <m/>
    <m/>
    <m/>
    <m/>
    <m/>
    <m/>
    <m/>
    <s v="Pantanal Baixo"/>
  </r>
  <r>
    <d v="2026-10-25T00:00:00"/>
    <s v="domingo"/>
    <d v="2026-10-25T00:00:00"/>
    <s v="NÃO"/>
    <x v="0"/>
    <m/>
    <m/>
    <m/>
    <m/>
    <m/>
    <m/>
    <m/>
    <m/>
    <m/>
    <m/>
    <s v="Pantanal Baixo"/>
  </r>
  <r>
    <d v="2026-10-26T00:00:00"/>
    <s v="segunda-feira"/>
    <d v="2026-10-26T00:00:00"/>
    <m/>
    <x v="0"/>
    <m/>
    <m/>
    <m/>
    <m/>
    <m/>
    <m/>
    <m/>
    <m/>
    <m/>
    <m/>
    <s v="Pantanal Baixo"/>
  </r>
  <r>
    <d v="2026-10-27T00:00:00"/>
    <s v="terça-feira"/>
    <d v="2026-10-27T00:00:00"/>
    <m/>
    <x v="0"/>
    <m/>
    <m/>
    <m/>
    <m/>
    <m/>
    <m/>
    <m/>
    <m/>
    <m/>
    <m/>
    <s v="Pantanal Baixo"/>
  </r>
  <r>
    <d v="2026-10-28T00:00:00"/>
    <s v="quarta-feira"/>
    <d v="2026-10-28T00:00:00"/>
    <m/>
    <x v="0"/>
    <m/>
    <m/>
    <m/>
    <m/>
    <m/>
    <m/>
    <m/>
    <m/>
    <m/>
    <m/>
    <s v="Pantanal Baixo"/>
  </r>
  <r>
    <d v="2026-10-29T00:00:00"/>
    <s v="quinta-feira"/>
    <d v="2026-10-29T00:00:00"/>
    <m/>
    <x v="0"/>
    <m/>
    <m/>
    <m/>
    <m/>
    <m/>
    <m/>
    <m/>
    <m/>
    <m/>
    <m/>
    <s v="Pantanal Baixo"/>
  </r>
  <r>
    <d v="2026-10-30T00:00:00"/>
    <s v="sexta-feira"/>
    <d v="2026-10-30T00:00:00"/>
    <m/>
    <x v="0"/>
    <m/>
    <m/>
    <m/>
    <m/>
    <m/>
    <m/>
    <m/>
    <m/>
    <m/>
    <m/>
    <s v="Pantanal Baixo"/>
  </r>
  <r>
    <d v="2026-10-31T00:00:00"/>
    <s v="sábado"/>
    <d v="2026-10-31T00:00:00"/>
    <s v="NÃO"/>
    <x v="0"/>
    <m/>
    <m/>
    <m/>
    <m/>
    <m/>
    <m/>
    <m/>
    <m/>
    <m/>
    <m/>
    <s v="Pantanal Baixo"/>
  </r>
  <r>
    <d v="2026-11-01T00:00:00"/>
    <s v="domingo"/>
    <d v="2026-11-01T00:00:00"/>
    <s v="NÃO"/>
    <x v="0"/>
    <m/>
    <m/>
    <m/>
    <m/>
    <m/>
    <m/>
    <m/>
    <m/>
    <m/>
    <m/>
    <s v="Pantanal Baixo"/>
  </r>
  <r>
    <d v="2026-11-02T00:00:00"/>
    <s v="segunda-feira"/>
    <d v="2026-11-02T00:00:00"/>
    <m/>
    <x v="0"/>
    <m/>
    <m/>
    <m/>
    <m/>
    <m/>
    <m/>
    <m/>
    <m/>
    <m/>
    <m/>
    <s v="Pantanal Baixo"/>
  </r>
  <r>
    <d v="2026-11-03T00:00:00"/>
    <s v="terça-feira"/>
    <d v="2026-11-03T00:00:00"/>
    <m/>
    <x v="0"/>
    <m/>
    <m/>
    <m/>
    <m/>
    <m/>
    <m/>
    <m/>
    <m/>
    <m/>
    <m/>
    <s v="Pantanal Baixo"/>
  </r>
  <r>
    <d v="2026-11-04T00:00:00"/>
    <s v="quarta-feira"/>
    <d v="2026-11-04T00:00:00"/>
    <m/>
    <x v="0"/>
    <m/>
    <m/>
    <m/>
    <m/>
    <m/>
    <m/>
    <m/>
    <m/>
    <m/>
    <m/>
    <s v="Pantanal Baixo"/>
  </r>
  <r>
    <d v="2026-11-05T00:00:00"/>
    <s v="quinta-feira"/>
    <d v="2026-11-05T00:00:00"/>
    <m/>
    <x v="0"/>
    <m/>
    <m/>
    <m/>
    <m/>
    <m/>
    <m/>
    <m/>
    <m/>
    <m/>
    <m/>
    <s v="Pantanal Baixo"/>
  </r>
  <r>
    <d v="2026-11-06T00:00:00"/>
    <s v="sexta-feira"/>
    <d v="2026-11-06T00:00:00"/>
    <m/>
    <x v="0"/>
    <m/>
    <m/>
    <m/>
    <m/>
    <m/>
    <m/>
    <m/>
    <m/>
    <m/>
    <m/>
    <s v="Pantanal Baixo"/>
  </r>
  <r>
    <d v="2026-11-07T00:00:00"/>
    <s v="sábado"/>
    <d v="2026-11-07T00:00:00"/>
    <s v="NÃO"/>
    <x v="0"/>
    <m/>
    <m/>
    <m/>
    <m/>
    <m/>
    <m/>
    <m/>
    <m/>
    <m/>
    <m/>
    <s v="Pantanal Baixo"/>
  </r>
  <r>
    <d v="2026-11-08T00:00:00"/>
    <s v="domingo"/>
    <d v="2026-11-08T00:00:00"/>
    <s v="NÃO"/>
    <x v="0"/>
    <m/>
    <m/>
    <m/>
    <m/>
    <m/>
    <m/>
    <m/>
    <m/>
    <m/>
    <m/>
    <s v="Pantanal Baixo"/>
  </r>
  <r>
    <d v="2026-11-09T00:00:00"/>
    <s v="segunda-feira"/>
    <d v="2026-11-09T00:00:00"/>
    <m/>
    <x v="0"/>
    <m/>
    <m/>
    <m/>
    <m/>
    <m/>
    <m/>
    <m/>
    <m/>
    <m/>
    <m/>
    <s v="Pantanal Baixo"/>
  </r>
  <r>
    <d v="2026-11-10T00:00:00"/>
    <s v="terça-feira"/>
    <d v="2026-11-10T00:00:00"/>
    <m/>
    <x v="0"/>
    <m/>
    <m/>
    <m/>
    <m/>
    <m/>
    <m/>
    <m/>
    <m/>
    <m/>
    <m/>
    <s v="Pantanal Baixo"/>
  </r>
  <r>
    <d v="2026-11-11T00:00:00"/>
    <s v="quarta-feira"/>
    <d v="2026-11-11T00:00:00"/>
    <m/>
    <x v="0"/>
    <m/>
    <m/>
    <m/>
    <m/>
    <m/>
    <m/>
    <m/>
    <m/>
    <m/>
    <m/>
    <s v="Pantanal Baixo"/>
  </r>
  <r>
    <d v="2026-11-12T00:00:00"/>
    <s v="quinta-feira"/>
    <d v="2026-11-12T00:00:00"/>
    <m/>
    <x v="0"/>
    <m/>
    <m/>
    <m/>
    <m/>
    <m/>
    <m/>
    <m/>
    <m/>
    <m/>
    <m/>
    <s v="Pantanal Baixo"/>
  </r>
  <r>
    <d v="2026-11-13T00:00:00"/>
    <s v="sexta-feira"/>
    <d v="2026-11-13T00:00:00"/>
    <m/>
    <x v="0"/>
    <m/>
    <m/>
    <m/>
    <m/>
    <m/>
    <m/>
    <m/>
    <m/>
    <m/>
    <m/>
    <s v="Pantanal Baixo"/>
  </r>
  <r>
    <d v="2026-11-14T00:00:00"/>
    <s v="sábado"/>
    <d v="2026-11-14T00:00:00"/>
    <s v="NÃO"/>
    <x v="0"/>
    <m/>
    <m/>
    <m/>
    <m/>
    <m/>
    <m/>
    <m/>
    <m/>
    <m/>
    <m/>
    <s v="Pantanal Baixo"/>
  </r>
  <r>
    <d v="2026-11-15T00:00:00"/>
    <s v="domingo"/>
    <d v="2026-11-15T00:00:00"/>
    <s v="NÃO"/>
    <x v="0"/>
    <m/>
    <m/>
    <m/>
    <m/>
    <m/>
    <m/>
    <m/>
    <m/>
    <m/>
    <m/>
    <s v="Pantanal Baixo"/>
  </r>
  <r>
    <d v="2026-11-16T00:00:00"/>
    <s v="segunda-feira"/>
    <d v="2026-11-16T00:00:00"/>
    <m/>
    <x v="0"/>
    <m/>
    <m/>
    <m/>
    <m/>
    <m/>
    <m/>
    <m/>
    <m/>
    <m/>
    <m/>
    <s v="Pantanal Baixo"/>
  </r>
  <r>
    <d v="2026-11-17T00:00:00"/>
    <s v="terça-feira"/>
    <d v="2026-11-17T00:00:00"/>
    <m/>
    <x v="0"/>
    <m/>
    <m/>
    <m/>
    <m/>
    <m/>
    <m/>
    <m/>
    <m/>
    <m/>
    <m/>
    <s v="Pantanal Baixo"/>
  </r>
  <r>
    <d v="2026-11-18T00:00:00"/>
    <s v="quarta-feira"/>
    <d v="2026-11-18T00:00:00"/>
    <m/>
    <x v="0"/>
    <m/>
    <m/>
    <m/>
    <m/>
    <m/>
    <m/>
    <m/>
    <m/>
    <m/>
    <m/>
    <s v="Pantanal Baixo"/>
  </r>
  <r>
    <d v="2026-11-19T00:00:00"/>
    <s v="quinta-feira"/>
    <d v="2026-11-19T00:00:00"/>
    <m/>
    <x v="0"/>
    <m/>
    <m/>
    <m/>
    <m/>
    <m/>
    <m/>
    <m/>
    <m/>
    <m/>
    <m/>
    <s v="Pantanal Baixo"/>
  </r>
  <r>
    <d v="2026-11-20T00:00:00"/>
    <s v="sexta-feira"/>
    <d v="2026-11-20T00:00:00"/>
    <m/>
    <x v="0"/>
    <m/>
    <m/>
    <m/>
    <m/>
    <m/>
    <m/>
    <m/>
    <m/>
    <m/>
    <m/>
    <s v="Pantanal Baixo"/>
  </r>
  <r>
    <d v="2026-11-21T00:00:00"/>
    <s v="sábado"/>
    <d v="2026-11-21T00:00:00"/>
    <s v="NÃO"/>
    <x v="0"/>
    <m/>
    <m/>
    <m/>
    <m/>
    <m/>
    <m/>
    <m/>
    <m/>
    <m/>
    <m/>
    <s v="Pantanal Baixo"/>
  </r>
  <r>
    <d v="2026-11-22T00:00:00"/>
    <s v="domingo"/>
    <d v="2026-11-22T00:00:00"/>
    <s v="NÃO"/>
    <x v="0"/>
    <m/>
    <m/>
    <m/>
    <m/>
    <m/>
    <m/>
    <m/>
    <m/>
    <m/>
    <m/>
    <s v="Pantanal Baixo"/>
  </r>
  <r>
    <d v="2026-11-23T00:00:00"/>
    <s v="segunda-feira"/>
    <d v="2026-11-23T00:00:00"/>
    <m/>
    <x v="0"/>
    <m/>
    <m/>
    <m/>
    <m/>
    <m/>
    <m/>
    <m/>
    <m/>
    <m/>
    <m/>
    <s v="Pantanal Baixo"/>
  </r>
  <r>
    <d v="2026-11-24T00:00:00"/>
    <s v="terça-feira"/>
    <d v="2026-11-24T00:00:00"/>
    <m/>
    <x v="0"/>
    <m/>
    <m/>
    <m/>
    <m/>
    <m/>
    <m/>
    <m/>
    <m/>
    <m/>
    <m/>
    <s v="Pantanal Baixo"/>
  </r>
  <r>
    <d v="2026-11-25T00:00:00"/>
    <s v="quarta-feira"/>
    <d v="2026-11-25T00:00:00"/>
    <m/>
    <x v="0"/>
    <m/>
    <m/>
    <m/>
    <m/>
    <m/>
    <m/>
    <m/>
    <m/>
    <m/>
    <m/>
    <s v="Pantanal Baixo"/>
  </r>
  <r>
    <d v="2026-11-26T00:00:00"/>
    <s v="quinta-feira"/>
    <d v="2026-11-26T00:00:00"/>
    <m/>
    <x v="0"/>
    <m/>
    <m/>
    <m/>
    <m/>
    <m/>
    <m/>
    <m/>
    <m/>
    <m/>
    <m/>
    <s v="Pantanal Baixo"/>
  </r>
  <r>
    <d v="2026-11-27T00:00:00"/>
    <s v="sexta-feira"/>
    <d v="2026-11-27T00:00:00"/>
    <m/>
    <x v="0"/>
    <m/>
    <m/>
    <m/>
    <m/>
    <m/>
    <m/>
    <m/>
    <m/>
    <m/>
    <m/>
    <s v="Pantanal Baixo"/>
  </r>
  <r>
    <d v="2026-11-28T00:00:00"/>
    <s v="sábado"/>
    <d v="2026-11-28T00:00:00"/>
    <s v="NÃO"/>
    <x v="0"/>
    <m/>
    <m/>
    <m/>
    <m/>
    <m/>
    <m/>
    <m/>
    <m/>
    <m/>
    <m/>
    <s v="Pantanal Baixo"/>
  </r>
  <r>
    <d v="2026-11-29T00:00:00"/>
    <s v="domingo"/>
    <d v="2026-11-29T00:00:00"/>
    <s v="NÃO"/>
    <x v="0"/>
    <m/>
    <m/>
    <m/>
    <m/>
    <m/>
    <m/>
    <m/>
    <m/>
    <m/>
    <m/>
    <s v="Pantanal Baixo"/>
  </r>
  <r>
    <d v="2026-11-30T00:00:00"/>
    <s v="segunda-feira"/>
    <d v="2026-11-30T00:00:00"/>
    <m/>
    <x v="0"/>
    <m/>
    <m/>
    <m/>
    <m/>
    <m/>
    <m/>
    <m/>
    <m/>
    <m/>
    <m/>
    <s v="Pantanal Baixo"/>
  </r>
  <r>
    <d v="2026-12-01T00:00:00"/>
    <s v="terça-feira"/>
    <d v="2026-12-01T00:00:00"/>
    <m/>
    <x v="0"/>
    <m/>
    <m/>
    <m/>
    <m/>
    <m/>
    <m/>
    <m/>
    <m/>
    <m/>
    <m/>
    <s v="Pantanal Baixo"/>
  </r>
  <r>
    <d v="2026-12-02T00:00:00"/>
    <s v="quarta-feira"/>
    <d v="2026-12-02T00:00:00"/>
    <m/>
    <x v="0"/>
    <m/>
    <m/>
    <m/>
    <m/>
    <m/>
    <m/>
    <m/>
    <m/>
    <m/>
    <m/>
    <s v="Pantanal Baixo"/>
  </r>
  <r>
    <d v="2026-12-03T00:00:00"/>
    <s v="quinta-feira"/>
    <d v="2026-12-03T00:00:00"/>
    <m/>
    <x v="0"/>
    <m/>
    <m/>
    <m/>
    <m/>
    <m/>
    <m/>
    <m/>
    <m/>
    <m/>
    <m/>
    <s v="Pantanal Baixo"/>
  </r>
  <r>
    <d v="2026-12-04T00:00:00"/>
    <s v="sexta-feira"/>
    <d v="2026-12-04T00:00:00"/>
    <m/>
    <x v="0"/>
    <m/>
    <m/>
    <m/>
    <m/>
    <m/>
    <m/>
    <m/>
    <m/>
    <m/>
    <m/>
    <s v="Pantanal Baixo"/>
  </r>
  <r>
    <d v="2026-12-05T00:00:00"/>
    <s v="sábado"/>
    <d v="2026-12-05T00:00:00"/>
    <s v="NÃO"/>
    <x v="0"/>
    <m/>
    <m/>
    <m/>
    <m/>
    <m/>
    <m/>
    <m/>
    <m/>
    <m/>
    <m/>
    <s v="Pantanal Baixo"/>
  </r>
  <r>
    <d v="2026-12-06T00:00:00"/>
    <s v="domingo"/>
    <d v="2026-12-06T00:00:00"/>
    <s v="NÃO"/>
    <x v="0"/>
    <m/>
    <m/>
    <m/>
    <m/>
    <m/>
    <m/>
    <m/>
    <m/>
    <m/>
    <m/>
    <s v="Pantanal Baixo"/>
  </r>
  <r>
    <d v="2026-12-07T00:00:00"/>
    <s v="segunda-feira"/>
    <d v="2026-12-07T00:00:00"/>
    <m/>
    <x v="0"/>
    <m/>
    <m/>
    <m/>
    <m/>
    <m/>
    <m/>
    <m/>
    <m/>
    <m/>
    <m/>
    <s v="Pantanal Baixo"/>
  </r>
  <r>
    <d v="2026-12-08T00:00:00"/>
    <s v="terça-feira"/>
    <d v="2026-12-08T00:00:00"/>
    <m/>
    <x v="0"/>
    <m/>
    <m/>
    <m/>
    <m/>
    <m/>
    <m/>
    <m/>
    <m/>
    <m/>
    <m/>
    <s v="Pantanal Baixo"/>
  </r>
  <r>
    <d v="2026-12-09T00:00:00"/>
    <s v="quarta-feira"/>
    <d v="2026-12-09T00:00:00"/>
    <m/>
    <x v="0"/>
    <m/>
    <m/>
    <m/>
    <m/>
    <m/>
    <m/>
    <m/>
    <m/>
    <m/>
    <m/>
    <s v="Pantanal Baixo"/>
  </r>
  <r>
    <d v="2026-12-10T00:00:00"/>
    <s v="quinta-feira"/>
    <d v="2026-12-10T00:00:00"/>
    <m/>
    <x v="0"/>
    <m/>
    <m/>
    <m/>
    <m/>
    <m/>
    <m/>
    <m/>
    <m/>
    <m/>
    <m/>
    <s v="Pantanal Baixo"/>
  </r>
  <r>
    <d v="2026-12-11T00:00:00"/>
    <s v="sexta-feira"/>
    <d v="2026-12-11T00:00:00"/>
    <m/>
    <x v="0"/>
    <m/>
    <m/>
    <m/>
    <m/>
    <m/>
    <m/>
    <m/>
    <m/>
    <m/>
    <m/>
    <s v="Pantanal Baixo"/>
  </r>
  <r>
    <d v="2026-12-12T00:00:00"/>
    <s v="sábado"/>
    <d v="2026-12-12T00:00:00"/>
    <s v="NÃO"/>
    <x v="0"/>
    <m/>
    <m/>
    <m/>
    <m/>
    <m/>
    <m/>
    <m/>
    <m/>
    <m/>
    <m/>
    <s v="Pantanal Baixo"/>
  </r>
  <r>
    <d v="2026-12-13T00:00:00"/>
    <s v="domingo"/>
    <d v="2026-12-13T00:00:00"/>
    <s v="NÃO"/>
    <x v="0"/>
    <m/>
    <m/>
    <m/>
    <m/>
    <m/>
    <m/>
    <m/>
    <m/>
    <m/>
    <m/>
    <s v="Pantanal Baixo"/>
  </r>
  <r>
    <d v="2026-12-14T00:00:00"/>
    <s v="segunda-feira"/>
    <d v="2026-12-14T00:00:00"/>
    <m/>
    <x v="0"/>
    <m/>
    <m/>
    <m/>
    <m/>
    <m/>
    <m/>
    <m/>
    <m/>
    <m/>
    <m/>
    <s v="Pantanal Baixo"/>
  </r>
  <r>
    <d v="2026-12-15T00:00:00"/>
    <s v="terça-feira"/>
    <d v="2026-12-15T00:00:00"/>
    <m/>
    <x v="0"/>
    <m/>
    <m/>
    <m/>
    <m/>
    <m/>
    <m/>
    <m/>
    <m/>
    <m/>
    <m/>
    <s v="Pantanal Baixo"/>
  </r>
  <r>
    <d v="2026-12-16T00:00:00"/>
    <s v="quarta-feira"/>
    <d v="2026-12-16T00:00:00"/>
    <m/>
    <x v="0"/>
    <m/>
    <m/>
    <m/>
    <m/>
    <m/>
    <m/>
    <m/>
    <m/>
    <m/>
    <m/>
    <s v="Pantanal Baixo"/>
  </r>
  <r>
    <d v="2026-12-17T00:00:00"/>
    <s v="quinta-feira"/>
    <d v="2026-12-17T00:00:00"/>
    <m/>
    <x v="0"/>
    <m/>
    <m/>
    <m/>
    <m/>
    <m/>
    <m/>
    <m/>
    <m/>
    <m/>
    <m/>
    <s v="Pantanal Baixo"/>
  </r>
  <r>
    <d v="2026-12-18T00:00:00"/>
    <s v="sexta-feira"/>
    <d v="2026-12-18T00:00:00"/>
    <m/>
    <x v="0"/>
    <m/>
    <m/>
    <m/>
    <m/>
    <m/>
    <m/>
    <m/>
    <m/>
    <m/>
    <m/>
    <s v="Pantanal Baixo"/>
  </r>
  <r>
    <d v="2026-12-19T00:00:00"/>
    <s v="sábado"/>
    <d v="2026-12-19T00:00:00"/>
    <s v="NÃO"/>
    <x v="0"/>
    <m/>
    <m/>
    <m/>
    <m/>
    <m/>
    <m/>
    <m/>
    <m/>
    <m/>
    <m/>
    <s v="Pantanal Baixo"/>
  </r>
  <r>
    <d v="2026-12-20T00:00:00"/>
    <s v="domingo"/>
    <d v="2026-12-20T00:00:00"/>
    <s v="NÃO"/>
    <x v="0"/>
    <m/>
    <m/>
    <m/>
    <m/>
    <m/>
    <m/>
    <m/>
    <m/>
    <m/>
    <m/>
    <s v="Pantanal Baixo"/>
  </r>
  <r>
    <d v="2026-12-21T00:00:00"/>
    <s v="segunda-feira"/>
    <d v="2026-12-21T00:00:00"/>
    <m/>
    <x v="0"/>
    <m/>
    <m/>
    <m/>
    <m/>
    <m/>
    <m/>
    <m/>
    <m/>
    <m/>
    <m/>
    <s v="Pantanal Baixo"/>
  </r>
  <r>
    <d v="2026-12-22T00:00:00"/>
    <s v="terça-feira"/>
    <d v="2026-12-22T00:00:00"/>
    <m/>
    <x v="0"/>
    <m/>
    <m/>
    <m/>
    <m/>
    <m/>
    <m/>
    <m/>
    <m/>
    <m/>
    <m/>
    <s v="Pantanal Baixo"/>
  </r>
  <r>
    <d v="2026-12-23T00:00:00"/>
    <s v="quarta-feira"/>
    <d v="2026-12-23T00:00:00"/>
    <m/>
    <x v="0"/>
    <m/>
    <m/>
    <m/>
    <m/>
    <m/>
    <m/>
    <m/>
    <m/>
    <m/>
    <m/>
    <s v="Pantanal Baixo"/>
  </r>
  <r>
    <d v="2026-12-24T00:00:00"/>
    <s v="quinta-feira"/>
    <d v="2026-12-24T00:00:00"/>
    <m/>
    <x v="0"/>
    <m/>
    <m/>
    <m/>
    <m/>
    <m/>
    <m/>
    <m/>
    <m/>
    <m/>
    <m/>
    <s v="Pantanal Baixo"/>
  </r>
  <r>
    <d v="2026-12-25T00:00:00"/>
    <s v="sexta-feira"/>
    <d v="2026-12-25T00:00:00"/>
    <m/>
    <x v="0"/>
    <m/>
    <m/>
    <m/>
    <m/>
    <m/>
    <m/>
    <m/>
    <m/>
    <m/>
    <m/>
    <s v="Pantanal Baixo"/>
  </r>
  <r>
    <d v="2026-12-26T00:00:00"/>
    <s v="sábado"/>
    <d v="2026-12-26T00:00:00"/>
    <s v="NÃO"/>
    <x v="0"/>
    <m/>
    <m/>
    <m/>
    <m/>
    <m/>
    <m/>
    <m/>
    <m/>
    <m/>
    <m/>
    <s v="Pantanal Baixo"/>
  </r>
  <r>
    <d v="2026-12-27T00:00:00"/>
    <s v="domingo"/>
    <d v="2026-12-27T00:00:00"/>
    <s v="NÃO"/>
    <x v="0"/>
    <m/>
    <m/>
    <m/>
    <m/>
    <m/>
    <m/>
    <m/>
    <m/>
    <m/>
    <m/>
    <s v="Pantanal Baixo"/>
  </r>
  <r>
    <d v="2026-12-28T00:00:00"/>
    <s v="segunda-feira"/>
    <d v="2026-12-28T00:00:00"/>
    <m/>
    <x v="0"/>
    <m/>
    <m/>
    <m/>
    <m/>
    <m/>
    <m/>
    <m/>
    <m/>
    <m/>
    <m/>
    <s v="Pantanal Baixo"/>
  </r>
  <r>
    <d v="2026-12-29T00:00:00"/>
    <s v="terça-feira"/>
    <d v="2026-12-29T00:00:00"/>
    <m/>
    <x v="0"/>
    <m/>
    <m/>
    <m/>
    <m/>
    <m/>
    <m/>
    <m/>
    <m/>
    <m/>
    <m/>
    <s v="Pantanal Baixo"/>
  </r>
  <r>
    <d v="2026-12-30T00:00:00"/>
    <s v="quarta-feira"/>
    <d v="2026-12-30T00:00:00"/>
    <m/>
    <x v="0"/>
    <m/>
    <m/>
    <m/>
    <m/>
    <m/>
    <m/>
    <m/>
    <m/>
    <m/>
    <m/>
    <s v="Pantanal Baixo"/>
  </r>
  <r>
    <d v="2026-12-31T00:00:00"/>
    <s v="quinta-feira"/>
    <d v="2026-12-31T00:00:00"/>
    <m/>
    <x v="0"/>
    <m/>
    <m/>
    <m/>
    <m/>
    <m/>
    <m/>
    <m/>
    <m/>
    <m/>
    <m/>
    <s v="Pantanal Baixo"/>
  </r>
  <r>
    <d v="2027-01-01T00:00:00"/>
    <s v="sexta-feira"/>
    <d v="2027-01-01T00:00:00"/>
    <m/>
    <x v="0"/>
    <m/>
    <m/>
    <m/>
    <m/>
    <m/>
    <m/>
    <m/>
    <m/>
    <m/>
    <m/>
    <s v="Pantanal Baixo"/>
  </r>
  <r>
    <d v="2027-01-02T00:00:00"/>
    <s v="sábado"/>
    <d v="2027-01-02T00:00:00"/>
    <s v="NÃO"/>
    <x v="0"/>
    <m/>
    <m/>
    <m/>
    <m/>
    <m/>
    <m/>
    <m/>
    <m/>
    <m/>
    <m/>
    <s v="Pantanal Baixo"/>
  </r>
  <r>
    <d v="2027-01-03T00:00:00"/>
    <s v="domingo"/>
    <d v="2027-01-03T00:00:00"/>
    <s v="NÃO"/>
    <x v="0"/>
    <m/>
    <m/>
    <m/>
    <m/>
    <m/>
    <m/>
    <m/>
    <m/>
    <m/>
    <m/>
    <s v="Pantanal Baixo"/>
  </r>
  <r>
    <d v="2027-01-04T00:00:00"/>
    <s v="segunda-feira"/>
    <d v="2027-01-04T00:00:00"/>
    <m/>
    <x v="0"/>
    <m/>
    <m/>
    <m/>
    <m/>
    <m/>
    <m/>
    <m/>
    <m/>
    <m/>
    <m/>
    <s v="Pantanal Baixo"/>
  </r>
  <r>
    <d v="2027-01-05T00:00:00"/>
    <s v="terça-feira"/>
    <d v="2027-01-05T00:00:00"/>
    <m/>
    <x v="0"/>
    <m/>
    <m/>
    <m/>
    <m/>
    <m/>
    <m/>
    <m/>
    <m/>
    <m/>
    <m/>
    <s v="Pantanal Baixo"/>
  </r>
  <r>
    <d v="2027-01-06T00:00:00"/>
    <s v="quarta-feira"/>
    <d v="2027-01-06T00:00:00"/>
    <m/>
    <x v="0"/>
    <m/>
    <m/>
    <m/>
    <m/>
    <m/>
    <m/>
    <m/>
    <m/>
    <m/>
    <m/>
    <s v="Pantanal Baixo"/>
  </r>
  <r>
    <d v="2027-01-07T00:00:00"/>
    <s v="quinta-feira"/>
    <d v="2027-01-07T00:00:00"/>
    <m/>
    <x v="0"/>
    <m/>
    <m/>
    <m/>
    <m/>
    <m/>
    <m/>
    <m/>
    <m/>
    <m/>
    <m/>
    <s v="Pantanal Baixo"/>
  </r>
  <r>
    <d v="2027-01-08T00:00:00"/>
    <s v="sexta-feira"/>
    <d v="2027-01-08T00:00:00"/>
    <m/>
    <x v="0"/>
    <m/>
    <m/>
    <m/>
    <m/>
    <m/>
    <m/>
    <m/>
    <m/>
    <m/>
    <m/>
    <s v="Pantanal Baixo"/>
  </r>
  <r>
    <d v="2027-01-09T00:00:00"/>
    <s v="sábado"/>
    <d v="2027-01-09T00:00:00"/>
    <s v="NÃO"/>
    <x v="0"/>
    <m/>
    <m/>
    <m/>
    <m/>
    <m/>
    <m/>
    <m/>
    <m/>
    <m/>
    <m/>
    <s v="Pantanal Baixo"/>
  </r>
  <r>
    <d v="2027-01-10T00:00:00"/>
    <s v="domingo"/>
    <d v="2027-01-10T00:00:00"/>
    <s v="NÃO"/>
    <x v="0"/>
    <m/>
    <m/>
    <m/>
    <m/>
    <m/>
    <m/>
    <m/>
    <m/>
    <m/>
    <m/>
    <s v="Pantanal Baixo"/>
  </r>
  <r>
    <d v="2027-01-11T00:00:00"/>
    <s v="segunda-feira"/>
    <d v="2027-01-11T00:00:00"/>
    <m/>
    <x v="0"/>
    <m/>
    <m/>
    <m/>
    <m/>
    <m/>
    <m/>
    <m/>
    <m/>
    <m/>
    <m/>
    <s v="Pantanal Baixo"/>
  </r>
  <r>
    <d v="2027-01-12T00:00:00"/>
    <s v="terça-feira"/>
    <d v="2027-01-12T00:00:00"/>
    <m/>
    <x v="0"/>
    <m/>
    <m/>
    <m/>
    <m/>
    <m/>
    <m/>
    <m/>
    <m/>
    <m/>
    <m/>
    <s v="Pantanal Baixo"/>
  </r>
  <r>
    <d v="2027-01-13T00:00:00"/>
    <s v="quarta-feira"/>
    <d v="2027-01-13T00:00:00"/>
    <m/>
    <x v="0"/>
    <m/>
    <m/>
    <m/>
    <m/>
    <m/>
    <m/>
    <m/>
    <m/>
    <m/>
    <m/>
    <s v="Pantanal Baixo"/>
  </r>
  <r>
    <d v="2027-01-14T00:00:00"/>
    <s v="quinta-feira"/>
    <d v="2027-01-14T00:00:00"/>
    <m/>
    <x v="0"/>
    <m/>
    <m/>
    <m/>
    <m/>
    <m/>
    <m/>
    <m/>
    <m/>
    <m/>
    <m/>
    <s v="Pantanal Baixo"/>
  </r>
  <r>
    <d v="2027-01-15T00:00:00"/>
    <s v="sexta-feira"/>
    <d v="2027-01-15T00:00:00"/>
    <m/>
    <x v="0"/>
    <m/>
    <m/>
    <m/>
    <m/>
    <m/>
    <m/>
    <m/>
    <m/>
    <m/>
    <m/>
    <s v="Pantanal Baixo"/>
  </r>
  <r>
    <d v="2027-01-16T00:00:00"/>
    <s v="sábado"/>
    <d v="2027-01-16T00:00:00"/>
    <s v="NÃO"/>
    <x v="0"/>
    <m/>
    <m/>
    <m/>
    <m/>
    <m/>
    <m/>
    <m/>
    <m/>
    <m/>
    <m/>
    <s v="Pantanal Baixo"/>
  </r>
  <r>
    <d v="2027-01-17T00:00:00"/>
    <s v="domingo"/>
    <d v="2027-01-17T00:00:00"/>
    <s v="NÃO"/>
    <x v="0"/>
    <m/>
    <m/>
    <m/>
    <m/>
    <m/>
    <m/>
    <m/>
    <m/>
    <m/>
    <m/>
    <s v="Pantanal Baixo"/>
  </r>
  <r>
    <d v="2027-01-18T00:00:00"/>
    <s v="segunda-feira"/>
    <d v="2027-01-18T00:00:00"/>
    <m/>
    <x v="0"/>
    <m/>
    <m/>
    <m/>
    <m/>
    <m/>
    <m/>
    <m/>
    <m/>
    <m/>
    <m/>
    <s v="Pantanal Baixo"/>
  </r>
  <r>
    <d v="2027-01-19T00:00:00"/>
    <s v="terça-feira"/>
    <d v="2027-01-19T00:00:00"/>
    <m/>
    <x v="0"/>
    <m/>
    <m/>
    <m/>
    <m/>
    <m/>
    <m/>
    <m/>
    <m/>
    <m/>
    <m/>
    <s v="Pantanal Baixo"/>
  </r>
  <r>
    <d v="2027-01-20T00:00:00"/>
    <s v="quarta-feira"/>
    <d v="2027-01-20T00:00:00"/>
    <m/>
    <x v="0"/>
    <m/>
    <m/>
    <m/>
    <m/>
    <m/>
    <m/>
    <m/>
    <m/>
    <m/>
    <m/>
    <s v="Pantanal Baixo"/>
  </r>
  <r>
    <d v="2027-01-21T00:00:00"/>
    <s v="quinta-feira"/>
    <d v="2027-01-21T00:00:00"/>
    <m/>
    <x v="0"/>
    <m/>
    <m/>
    <m/>
    <m/>
    <m/>
    <m/>
    <m/>
    <m/>
    <m/>
    <m/>
    <s v="Pantanal Baixo"/>
  </r>
  <r>
    <d v="2027-01-22T00:00:00"/>
    <s v="sexta-feira"/>
    <d v="2027-01-22T00:00:00"/>
    <m/>
    <x v="0"/>
    <m/>
    <m/>
    <m/>
    <m/>
    <m/>
    <m/>
    <m/>
    <m/>
    <m/>
    <m/>
    <s v="Pantanal Baixo"/>
  </r>
  <r>
    <d v="2027-01-23T00:00:00"/>
    <s v="sábado"/>
    <d v="2027-01-23T00:00:00"/>
    <s v="NÃO"/>
    <x v="0"/>
    <m/>
    <m/>
    <m/>
    <m/>
    <m/>
    <m/>
    <m/>
    <m/>
    <m/>
    <m/>
    <s v="Pantanal Baixo"/>
  </r>
  <r>
    <d v="2027-01-24T00:00:00"/>
    <s v="domingo"/>
    <d v="2027-01-24T00:00:00"/>
    <s v="NÃO"/>
    <x v="0"/>
    <m/>
    <m/>
    <m/>
    <m/>
    <m/>
    <m/>
    <m/>
    <m/>
    <m/>
    <m/>
    <s v="Pantanal Baixo"/>
  </r>
  <r>
    <d v="2027-01-25T00:00:00"/>
    <s v="segunda-feira"/>
    <d v="2027-01-25T00:00:00"/>
    <m/>
    <x v="0"/>
    <m/>
    <m/>
    <m/>
    <m/>
    <m/>
    <m/>
    <m/>
    <m/>
    <m/>
    <m/>
    <s v="Pantanal Baixo"/>
  </r>
  <r>
    <d v="2027-01-26T00:00:00"/>
    <s v="terça-feira"/>
    <d v="2027-01-26T00:00:00"/>
    <m/>
    <x v="0"/>
    <m/>
    <m/>
    <m/>
    <m/>
    <m/>
    <m/>
    <m/>
    <m/>
    <m/>
    <m/>
    <s v="Pantanal Baixo"/>
  </r>
  <r>
    <d v="2027-01-27T00:00:00"/>
    <s v="quarta-feira"/>
    <d v="2027-01-27T00:00:00"/>
    <m/>
    <x v="0"/>
    <m/>
    <m/>
    <m/>
    <m/>
    <m/>
    <m/>
    <m/>
    <m/>
    <m/>
    <m/>
    <s v="Pantanal Baixo"/>
  </r>
  <r>
    <d v="2027-01-28T00:00:00"/>
    <s v="quinta-feira"/>
    <d v="2027-01-28T00:00:00"/>
    <m/>
    <x v="0"/>
    <m/>
    <m/>
    <m/>
    <m/>
    <m/>
    <m/>
    <m/>
    <m/>
    <m/>
    <m/>
    <s v="Pantanal Baixo"/>
  </r>
  <r>
    <d v="2027-01-29T00:00:00"/>
    <s v="sexta-feira"/>
    <d v="2027-01-29T00:00:00"/>
    <m/>
    <x v="0"/>
    <m/>
    <m/>
    <m/>
    <m/>
    <m/>
    <m/>
    <m/>
    <m/>
    <m/>
    <m/>
    <s v="Pantanal Baixo"/>
  </r>
  <r>
    <d v="2027-01-30T00:00:00"/>
    <s v="sábado"/>
    <d v="2027-01-30T00:00:00"/>
    <s v="NÃO"/>
    <x v="0"/>
    <m/>
    <m/>
    <m/>
    <m/>
    <m/>
    <m/>
    <m/>
    <m/>
    <m/>
    <m/>
    <s v="Pantanal Baixo"/>
  </r>
  <r>
    <d v="2027-01-31T00:00:00"/>
    <s v="domingo"/>
    <d v="2027-01-31T00:00:00"/>
    <s v="NÃO"/>
    <x v="0"/>
    <m/>
    <m/>
    <m/>
    <m/>
    <m/>
    <m/>
    <m/>
    <m/>
    <m/>
    <m/>
    <s v="Pantanal Baixo"/>
  </r>
  <r>
    <d v="2027-02-01T00:00:00"/>
    <s v="segunda-feira"/>
    <d v="2027-02-01T00:00:00"/>
    <m/>
    <x v="0"/>
    <m/>
    <m/>
    <m/>
    <m/>
    <m/>
    <m/>
    <m/>
    <m/>
    <m/>
    <m/>
    <s v="Pantanal Baixo"/>
  </r>
  <r>
    <d v="2027-02-02T00:00:00"/>
    <s v="terça-feira"/>
    <d v="2027-02-02T00:00:00"/>
    <m/>
    <x v="0"/>
    <m/>
    <m/>
    <m/>
    <m/>
    <m/>
    <m/>
    <m/>
    <m/>
    <m/>
    <m/>
    <s v="Pantanal Baixo"/>
  </r>
  <r>
    <d v="2027-02-03T00:00:00"/>
    <s v="quarta-feira"/>
    <d v="2027-02-03T00:00:00"/>
    <m/>
    <x v="0"/>
    <m/>
    <m/>
    <m/>
    <m/>
    <m/>
    <m/>
    <m/>
    <m/>
    <m/>
    <m/>
    <s v="Pantanal Baixo"/>
  </r>
  <r>
    <d v="2027-02-04T00:00:00"/>
    <s v="quinta-feira"/>
    <d v="2027-02-04T00:00:00"/>
    <m/>
    <x v="0"/>
    <m/>
    <m/>
    <m/>
    <m/>
    <m/>
    <m/>
    <m/>
    <m/>
    <m/>
    <m/>
    <s v="Pantanal Baixo"/>
  </r>
  <r>
    <d v="2027-02-05T00:00:00"/>
    <s v="sexta-feira"/>
    <d v="2027-02-05T00:00:00"/>
    <m/>
    <x v="0"/>
    <m/>
    <m/>
    <m/>
    <m/>
    <m/>
    <m/>
    <m/>
    <m/>
    <m/>
    <m/>
    <s v="Pantanal Baixo"/>
  </r>
  <r>
    <d v="2027-02-06T00:00:00"/>
    <s v="sábado"/>
    <d v="2027-02-06T00:00:00"/>
    <s v="NÃO"/>
    <x v="0"/>
    <m/>
    <m/>
    <m/>
    <m/>
    <m/>
    <m/>
    <m/>
    <m/>
    <m/>
    <m/>
    <s v="Pantanal Baixo"/>
  </r>
  <r>
    <d v="2027-02-07T00:00:00"/>
    <s v="domingo"/>
    <d v="2027-02-07T00:00:00"/>
    <s v="NÃO"/>
    <x v="0"/>
    <m/>
    <m/>
    <m/>
    <m/>
    <m/>
    <m/>
    <m/>
    <m/>
    <m/>
    <m/>
    <s v="Pantanal Baixo"/>
  </r>
  <r>
    <d v="2027-02-08T00:00:00"/>
    <s v="segunda-feira"/>
    <d v="2027-02-08T00:00:00"/>
    <m/>
    <x v="0"/>
    <m/>
    <m/>
    <m/>
    <m/>
    <m/>
    <m/>
    <m/>
    <m/>
    <m/>
    <m/>
    <s v="Pantanal Baixo"/>
  </r>
  <r>
    <d v="2027-02-09T00:00:00"/>
    <s v="terça-feira"/>
    <d v="2027-02-09T00:00:00"/>
    <m/>
    <x v="0"/>
    <m/>
    <m/>
    <m/>
    <m/>
    <m/>
    <m/>
    <m/>
    <m/>
    <m/>
    <m/>
    <s v="Pantanal Baixo"/>
  </r>
  <r>
    <d v="2027-02-10T00:00:00"/>
    <s v="quarta-feira"/>
    <d v="2027-02-10T00:00:00"/>
    <m/>
    <x v="0"/>
    <m/>
    <m/>
    <m/>
    <m/>
    <m/>
    <m/>
    <m/>
    <m/>
    <m/>
    <m/>
    <s v="Pantanal Baixo"/>
  </r>
  <r>
    <d v="2027-02-11T00:00:00"/>
    <s v="quinta-feira"/>
    <d v="2027-02-11T00:00:00"/>
    <m/>
    <x v="0"/>
    <m/>
    <m/>
    <m/>
    <m/>
    <m/>
    <m/>
    <m/>
    <m/>
    <m/>
    <m/>
    <s v="Pantanal Baixo"/>
  </r>
  <r>
    <d v="2027-02-12T00:00:00"/>
    <s v="sexta-feira"/>
    <d v="2027-02-12T00:00:00"/>
    <m/>
    <x v="0"/>
    <m/>
    <m/>
    <m/>
    <m/>
    <m/>
    <m/>
    <m/>
    <m/>
    <m/>
    <m/>
    <s v="Pantanal Baixo"/>
  </r>
  <r>
    <d v="2027-02-13T00:00:00"/>
    <s v="sábado"/>
    <d v="2027-02-13T00:00:00"/>
    <s v="NÃO"/>
    <x v="0"/>
    <m/>
    <m/>
    <m/>
    <m/>
    <m/>
    <m/>
    <m/>
    <m/>
    <m/>
    <m/>
    <s v="Pantanal Baixo"/>
  </r>
  <r>
    <d v="2027-02-14T00:00:00"/>
    <s v="domingo"/>
    <d v="2027-02-14T00:00:00"/>
    <s v="NÃO"/>
    <x v="0"/>
    <m/>
    <m/>
    <m/>
    <m/>
    <m/>
    <m/>
    <m/>
    <m/>
    <m/>
    <m/>
    <s v="Pantanal Baixo"/>
  </r>
  <r>
    <d v="2027-02-15T00:00:00"/>
    <s v="segunda-feira"/>
    <d v="2027-02-15T00:00:00"/>
    <m/>
    <x v="0"/>
    <m/>
    <m/>
    <m/>
    <m/>
    <m/>
    <m/>
    <m/>
    <m/>
    <m/>
    <m/>
    <s v="Pantanal Baixo"/>
  </r>
  <r>
    <d v="2025-11-01T00:00:00"/>
    <s v="sábado"/>
    <d v="2025-11-01T00:00:00"/>
    <s v="NÃO"/>
    <x v="0"/>
    <m/>
    <m/>
    <m/>
    <m/>
    <m/>
    <m/>
    <m/>
    <m/>
    <m/>
    <m/>
    <s v="João Carlos"/>
  </r>
  <r>
    <d v="2025-11-02T00:00:00"/>
    <s v="domingo"/>
    <d v="2025-11-02T00:00:00"/>
    <s v="NÃO"/>
    <x v="0"/>
    <m/>
    <m/>
    <m/>
    <m/>
    <m/>
    <m/>
    <m/>
    <m/>
    <m/>
    <m/>
    <s v="João Carlos"/>
  </r>
  <r>
    <d v="2025-11-03T00:00:00"/>
    <s v="segunda-feira"/>
    <d v="2025-11-03T00:00:00"/>
    <m/>
    <x v="0"/>
    <m/>
    <m/>
    <m/>
    <m/>
    <m/>
    <m/>
    <m/>
    <m/>
    <m/>
    <m/>
    <s v="João Carlos"/>
  </r>
  <r>
    <d v="2025-11-04T00:00:00"/>
    <s v="terça-feira"/>
    <d v="2025-11-04T00:00:00"/>
    <m/>
    <x v="0"/>
    <m/>
    <m/>
    <m/>
    <m/>
    <m/>
    <m/>
    <m/>
    <m/>
    <m/>
    <m/>
    <s v="João Carlos"/>
  </r>
  <r>
    <d v="2025-11-05T00:00:00"/>
    <s v="quarta-feira"/>
    <d v="2025-11-05T00:00:00"/>
    <m/>
    <x v="0"/>
    <m/>
    <m/>
    <m/>
    <m/>
    <m/>
    <m/>
    <m/>
    <m/>
    <m/>
    <m/>
    <s v="João Carlos"/>
  </r>
  <r>
    <d v="2025-11-06T00:00:00"/>
    <s v="quinta-feira"/>
    <d v="2025-11-06T00:00:00"/>
    <m/>
    <x v="0"/>
    <m/>
    <m/>
    <m/>
    <m/>
    <m/>
    <m/>
    <m/>
    <m/>
    <m/>
    <m/>
    <s v="João Carlos"/>
  </r>
  <r>
    <d v="2025-11-07T00:00:00"/>
    <s v="sexta-feira"/>
    <d v="2025-11-07T00:00:00"/>
    <m/>
    <x v="0"/>
    <m/>
    <m/>
    <m/>
    <m/>
    <m/>
    <m/>
    <m/>
    <m/>
    <m/>
    <m/>
    <s v="João Carlos"/>
  </r>
  <r>
    <d v="2025-11-08T00:00:00"/>
    <s v="sábado"/>
    <d v="2025-11-08T00:00:00"/>
    <s v="NÃO"/>
    <x v="0"/>
    <m/>
    <m/>
    <m/>
    <m/>
    <m/>
    <m/>
    <m/>
    <m/>
    <m/>
    <m/>
    <s v="João Carlos"/>
  </r>
  <r>
    <d v="2025-11-09T00:00:00"/>
    <s v="domingo"/>
    <d v="2025-11-09T00:00:00"/>
    <s v="NÃO"/>
    <x v="0"/>
    <m/>
    <m/>
    <m/>
    <m/>
    <m/>
    <m/>
    <m/>
    <m/>
    <m/>
    <m/>
    <s v="João Carlos"/>
  </r>
  <r>
    <d v="2025-11-10T00:00:00"/>
    <s v="segunda-feira"/>
    <d v="2025-11-10T00:00:00"/>
    <m/>
    <x v="0"/>
    <m/>
    <m/>
    <m/>
    <m/>
    <m/>
    <m/>
    <m/>
    <m/>
    <m/>
    <m/>
    <s v="João Carlos"/>
  </r>
  <r>
    <d v="2025-11-11T00:00:00"/>
    <s v="terça-feira"/>
    <d v="2025-11-11T00:00:00"/>
    <m/>
    <x v="0"/>
    <m/>
    <m/>
    <m/>
    <m/>
    <m/>
    <m/>
    <m/>
    <m/>
    <m/>
    <m/>
    <s v="João Carlos"/>
  </r>
  <r>
    <d v="2025-11-12T00:00:00"/>
    <s v="quarta-feira"/>
    <d v="2025-11-12T00:00:00"/>
    <m/>
    <x v="0"/>
    <m/>
    <m/>
    <m/>
    <m/>
    <m/>
    <m/>
    <m/>
    <m/>
    <m/>
    <m/>
    <s v="João Carlos"/>
  </r>
  <r>
    <d v="2025-11-13T00:00:00"/>
    <s v="quinta-feira"/>
    <d v="2025-11-13T00:00:00"/>
    <m/>
    <x v="0"/>
    <m/>
    <m/>
    <m/>
    <m/>
    <m/>
    <m/>
    <m/>
    <m/>
    <m/>
    <m/>
    <s v="João Carlos"/>
  </r>
  <r>
    <d v="2025-11-14T00:00:00"/>
    <s v="sexta-feira"/>
    <d v="2025-11-14T00:00:00"/>
    <m/>
    <x v="0"/>
    <m/>
    <m/>
    <m/>
    <m/>
    <m/>
    <m/>
    <m/>
    <m/>
    <m/>
    <m/>
    <s v="João Carlos"/>
  </r>
  <r>
    <d v="2025-11-15T00:00:00"/>
    <s v="sábado"/>
    <d v="2025-11-15T00:00:00"/>
    <s v="NÃO"/>
    <x v="0"/>
    <m/>
    <m/>
    <m/>
    <m/>
    <m/>
    <m/>
    <m/>
    <m/>
    <m/>
    <m/>
    <s v="João Carlos"/>
  </r>
  <r>
    <d v="2025-11-16T00:00:00"/>
    <s v="domingo"/>
    <d v="2025-11-16T00:00:00"/>
    <s v="NÃO"/>
    <x v="0"/>
    <m/>
    <m/>
    <m/>
    <m/>
    <m/>
    <m/>
    <m/>
    <m/>
    <m/>
    <m/>
    <s v="João Carlos"/>
  </r>
  <r>
    <d v="2025-11-17T00:00:00"/>
    <s v="segunda-feira"/>
    <d v="2025-11-17T00:00:00"/>
    <m/>
    <x v="0"/>
    <m/>
    <m/>
    <m/>
    <m/>
    <m/>
    <m/>
    <m/>
    <m/>
    <m/>
    <m/>
    <s v="João Carlos"/>
  </r>
  <r>
    <d v="2025-11-18T00:00:00"/>
    <s v="terça-feira"/>
    <d v="2025-11-18T00:00:00"/>
    <m/>
    <x v="0"/>
    <m/>
    <m/>
    <m/>
    <m/>
    <m/>
    <m/>
    <m/>
    <m/>
    <m/>
    <m/>
    <s v="João Carlos"/>
  </r>
  <r>
    <d v="2025-11-19T00:00:00"/>
    <s v="quarta-feira"/>
    <d v="2025-11-19T00:00:00"/>
    <m/>
    <x v="0"/>
    <m/>
    <m/>
    <m/>
    <m/>
    <m/>
    <m/>
    <m/>
    <m/>
    <m/>
    <m/>
    <s v="João Carlos"/>
  </r>
  <r>
    <d v="2025-11-20T00:00:00"/>
    <s v="quinta-feira"/>
    <d v="2025-11-20T00:00:00"/>
    <m/>
    <x v="0"/>
    <m/>
    <m/>
    <m/>
    <m/>
    <m/>
    <m/>
    <m/>
    <m/>
    <m/>
    <m/>
    <s v="João Carlos"/>
  </r>
  <r>
    <d v="2025-11-21T00:00:00"/>
    <s v="sexta-feira"/>
    <d v="2025-11-21T00:00:00"/>
    <m/>
    <x v="0"/>
    <m/>
    <m/>
    <m/>
    <m/>
    <m/>
    <m/>
    <m/>
    <m/>
    <m/>
    <m/>
    <s v="João Carlos"/>
  </r>
  <r>
    <d v="2025-11-22T00:00:00"/>
    <s v="sábado"/>
    <d v="2025-11-22T00:00:00"/>
    <s v="NÃO"/>
    <x v="0"/>
    <m/>
    <m/>
    <m/>
    <m/>
    <m/>
    <m/>
    <m/>
    <m/>
    <m/>
    <m/>
    <s v="João Carlos"/>
  </r>
  <r>
    <d v="2025-11-23T00:00:00"/>
    <s v="domingo"/>
    <d v="2025-11-23T00:00:00"/>
    <s v="NÃO"/>
    <x v="0"/>
    <m/>
    <m/>
    <m/>
    <m/>
    <m/>
    <m/>
    <m/>
    <m/>
    <m/>
    <m/>
    <s v="João Carlos"/>
  </r>
  <r>
    <d v="2025-11-24T00:00:00"/>
    <s v="segunda-feira"/>
    <d v="2025-11-24T00:00:00"/>
    <m/>
    <x v="0"/>
    <m/>
    <m/>
    <m/>
    <m/>
    <m/>
    <m/>
    <m/>
    <m/>
    <m/>
    <m/>
    <s v="João Carlos"/>
  </r>
  <r>
    <d v="2025-11-25T00:00:00"/>
    <s v="terça-feira"/>
    <d v="2025-11-25T00:00:00"/>
    <m/>
    <x v="0"/>
    <m/>
    <m/>
    <m/>
    <m/>
    <m/>
    <m/>
    <m/>
    <m/>
    <m/>
    <m/>
    <s v="João Carlos"/>
  </r>
  <r>
    <d v="2025-11-26T00:00:00"/>
    <s v="quarta-feira"/>
    <d v="2025-11-26T00:00:00"/>
    <m/>
    <x v="0"/>
    <m/>
    <m/>
    <m/>
    <m/>
    <m/>
    <m/>
    <m/>
    <m/>
    <m/>
    <m/>
    <s v="João Carlos"/>
  </r>
  <r>
    <d v="2025-11-27T00:00:00"/>
    <s v="quinta-feira"/>
    <d v="2025-11-27T00:00:00"/>
    <m/>
    <x v="0"/>
    <m/>
    <m/>
    <m/>
    <m/>
    <m/>
    <m/>
    <m/>
    <m/>
    <m/>
    <m/>
    <s v="João Carlos"/>
  </r>
  <r>
    <d v="2025-11-28T00:00:00"/>
    <s v="sexta-feira"/>
    <d v="2025-11-28T00:00:00"/>
    <m/>
    <x v="0"/>
    <m/>
    <m/>
    <m/>
    <m/>
    <m/>
    <m/>
    <m/>
    <m/>
    <m/>
    <m/>
    <s v="João Carlos"/>
  </r>
  <r>
    <d v="2025-11-29T00:00:00"/>
    <s v="sábado"/>
    <d v="2025-11-29T00:00:00"/>
    <s v="NÃO"/>
    <x v="0"/>
    <m/>
    <m/>
    <m/>
    <m/>
    <m/>
    <m/>
    <m/>
    <m/>
    <m/>
    <m/>
    <s v="João Carlos"/>
  </r>
  <r>
    <d v="2025-11-30T00:00:00"/>
    <s v="domingo"/>
    <d v="2025-11-30T00:00:00"/>
    <s v="NÃO"/>
    <x v="0"/>
    <m/>
    <m/>
    <m/>
    <m/>
    <m/>
    <m/>
    <m/>
    <m/>
    <m/>
    <m/>
    <s v="João Carlos"/>
  </r>
  <r>
    <d v="2025-12-01T00:00:00"/>
    <s v="segunda-feira"/>
    <d v="2025-12-01T00:00:00"/>
    <m/>
    <x v="0"/>
    <m/>
    <m/>
    <m/>
    <m/>
    <m/>
    <m/>
    <m/>
    <m/>
    <m/>
    <m/>
    <s v="João Carlos"/>
  </r>
  <r>
    <d v="2025-12-02T00:00:00"/>
    <s v="terça-feira"/>
    <d v="2025-12-02T00:00:00"/>
    <m/>
    <x v="0"/>
    <m/>
    <m/>
    <m/>
    <m/>
    <m/>
    <m/>
    <m/>
    <m/>
    <m/>
    <m/>
    <s v="João Carlos"/>
  </r>
  <r>
    <d v="2025-12-03T00:00:00"/>
    <s v="quarta-feira"/>
    <d v="2025-12-03T00:00:00"/>
    <m/>
    <x v="0"/>
    <m/>
    <m/>
    <m/>
    <m/>
    <m/>
    <m/>
    <m/>
    <m/>
    <m/>
    <m/>
    <s v="João Carlos"/>
  </r>
  <r>
    <d v="2025-12-04T00:00:00"/>
    <s v="quinta-feira"/>
    <d v="2025-12-04T00:00:00"/>
    <m/>
    <x v="0"/>
    <m/>
    <m/>
    <m/>
    <m/>
    <m/>
    <m/>
    <m/>
    <m/>
    <m/>
    <m/>
    <s v="João Carlos"/>
  </r>
  <r>
    <d v="2025-12-05T00:00:00"/>
    <s v="sexta-feira"/>
    <d v="2025-12-05T00:00:00"/>
    <m/>
    <x v="0"/>
    <m/>
    <m/>
    <m/>
    <m/>
    <m/>
    <m/>
    <m/>
    <m/>
    <m/>
    <m/>
    <s v="João Carlos"/>
  </r>
  <r>
    <d v="2025-12-06T00:00:00"/>
    <s v="sábado"/>
    <d v="2025-12-06T00:00:00"/>
    <s v="NÃO"/>
    <x v="0"/>
    <m/>
    <m/>
    <m/>
    <m/>
    <m/>
    <m/>
    <m/>
    <m/>
    <m/>
    <m/>
    <s v="João Carlos"/>
  </r>
  <r>
    <d v="2025-12-07T00:00:00"/>
    <s v="domingo"/>
    <d v="2025-12-07T00:00:00"/>
    <s v="NÃO"/>
    <x v="0"/>
    <m/>
    <m/>
    <m/>
    <m/>
    <m/>
    <m/>
    <m/>
    <m/>
    <m/>
    <m/>
    <s v="João Carlos"/>
  </r>
  <r>
    <d v="2025-12-08T00:00:00"/>
    <s v="segunda-feira"/>
    <d v="2025-12-08T00:00:00"/>
    <m/>
    <x v="0"/>
    <m/>
    <m/>
    <m/>
    <m/>
    <m/>
    <m/>
    <m/>
    <m/>
    <m/>
    <m/>
    <s v="João Carlos"/>
  </r>
  <r>
    <d v="2025-12-09T00:00:00"/>
    <s v="terça-feira"/>
    <d v="2025-12-09T00:00:00"/>
    <m/>
    <x v="0"/>
    <m/>
    <m/>
    <m/>
    <m/>
    <m/>
    <m/>
    <m/>
    <m/>
    <m/>
    <m/>
    <s v="João Carlos"/>
  </r>
  <r>
    <d v="2025-12-10T00:00:00"/>
    <s v="quarta-feira"/>
    <d v="2025-12-10T00:00:00"/>
    <m/>
    <x v="0"/>
    <m/>
    <m/>
    <m/>
    <m/>
    <m/>
    <m/>
    <m/>
    <m/>
    <m/>
    <m/>
    <s v="João Carlos"/>
  </r>
  <r>
    <d v="2025-12-11T00:00:00"/>
    <s v="quinta-feira"/>
    <d v="2025-12-11T00:00:00"/>
    <m/>
    <x v="0"/>
    <m/>
    <m/>
    <m/>
    <m/>
    <m/>
    <m/>
    <m/>
    <m/>
    <m/>
    <m/>
    <s v="João Carlos"/>
  </r>
  <r>
    <d v="2025-12-12T00:00:00"/>
    <s v="sexta-feira"/>
    <d v="2025-12-12T00:00:00"/>
    <m/>
    <x v="0"/>
    <m/>
    <m/>
    <m/>
    <m/>
    <m/>
    <m/>
    <m/>
    <m/>
    <m/>
    <m/>
    <s v="João Carlos"/>
  </r>
  <r>
    <d v="2025-12-13T00:00:00"/>
    <s v="sábado"/>
    <d v="2025-12-13T00:00:00"/>
    <s v="NÃO"/>
    <x v="0"/>
    <m/>
    <m/>
    <m/>
    <m/>
    <m/>
    <m/>
    <m/>
    <m/>
    <m/>
    <m/>
    <s v="João Carlos"/>
  </r>
  <r>
    <d v="2025-12-14T00:00:00"/>
    <s v="domingo"/>
    <d v="2025-12-14T00:00:00"/>
    <s v="NÃO"/>
    <x v="0"/>
    <m/>
    <m/>
    <m/>
    <m/>
    <m/>
    <m/>
    <m/>
    <m/>
    <m/>
    <m/>
    <s v="João Carlos"/>
  </r>
  <r>
    <d v="2025-12-15T00:00:00"/>
    <s v="segunda-feira"/>
    <d v="2025-12-15T00:00:00"/>
    <m/>
    <x v="0"/>
    <m/>
    <m/>
    <m/>
    <m/>
    <m/>
    <m/>
    <m/>
    <m/>
    <m/>
    <m/>
    <s v="João Carlos"/>
  </r>
  <r>
    <d v="2025-12-16T00:00:00"/>
    <s v="terça-feira"/>
    <d v="2025-12-16T00:00:00"/>
    <m/>
    <x v="0"/>
    <m/>
    <m/>
    <m/>
    <m/>
    <m/>
    <m/>
    <m/>
    <m/>
    <m/>
    <m/>
    <s v="João Carlos"/>
  </r>
  <r>
    <d v="2025-12-17T00:00:00"/>
    <s v="quarta-feira"/>
    <d v="2025-12-17T00:00:00"/>
    <m/>
    <x v="0"/>
    <m/>
    <m/>
    <m/>
    <m/>
    <m/>
    <m/>
    <m/>
    <m/>
    <m/>
    <m/>
    <s v="João Carlos"/>
  </r>
  <r>
    <d v="2025-12-18T00:00:00"/>
    <s v="quinta-feira"/>
    <d v="2025-12-18T00:00:00"/>
    <m/>
    <x v="0"/>
    <m/>
    <m/>
    <m/>
    <m/>
    <m/>
    <m/>
    <m/>
    <m/>
    <m/>
    <m/>
    <s v="João Carlos"/>
  </r>
  <r>
    <d v="2025-12-19T00:00:00"/>
    <s v="sexta-feira"/>
    <d v="2025-12-19T00:00:00"/>
    <m/>
    <x v="0"/>
    <m/>
    <m/>
    <m/>
    <m/>
    <m/>
    <m/>
    <m/>
    <m/>
    <m/>
    <m/>
    <s v="João Carlos"/>
  </r>
  <r>
    <d v="2025-12-20T00:00:00"/>
    <s v="sábado"/>
    <d v="2025-12-20T00:00:00"/>
    <s v="NÃO"/>
    <x v="0"/>
    <m/>
    <m/>
    <m/>
    <m/>
    <m/>
    <m/>
    <m/>
    <m/>
    <m/>
    <m/>
    <s v="João Carlos"/>
  </r>
  <r>
    <d v="2025-12-21T00:00:00"/>
    <s v="domingo"/>
    <d v="2025-12-21T00:00:00"/>
    <s v="NÃO"/>
    <x v="0"/>
    <m/>
    <m/>
    <m/>
    <m/>
    <m/>
    <m/>
    <m/>
    <m/>
    <m/>
    <m/>
    <s v="João Carlos"/>
  </r>
  <r>
    <d v="2025-12-22T00:00:00"/>
    <s v="segunda-feira"/>
    <d v="2025-12-22T00:00:00"/>
    <m/>
    <x v="0"/>
    <m/>
    <m/>
    <m/>
    <m/>
    <m/>
    <m/>
    <m/>
    <m/>
    <m/>
    <m/>
    <s v="João Carlos"/>
  </r>
  <r>
    <d v="2025-12-23T00:00:00"/>
    <s v="terça-feira"/>
    <d v="2025-12-23T00:00:00"/>
    <m/>
    <x v="0"/>
    <m/>
    <m/>
    <m/>
    <m/>
    <m/>
    <m/>
    <m/>
    <m/>
    <m/>
    <m/>
    <s v="João Carlos"/>
  </r>
  <r>
    <d v="2025-12-24T00:00:00"/>
    <s v="quarta-feira"/>
    <d v="2025-12-24T00:00:00"/>
    <m/>
    <x v="0"/>
    <m/>
    <m/>
    <m/>
    <m/>
    <m/>
    <m/>
    <m/>
    <m/>
    <m/>
    <m/>
    <s v="João Carlos"/>
  </r>
  <r>
    <d v="2025-12-25T00:00:00"/>
    <s v="quinta-feira"/>
    <d v="2025-12-25T00:00:00"/>
    <m/>
    <x v="0"/>
    <m/>
    <m/>
    <m/>
    <m/>
    <m/>
    <m/>
    <m/>
    <m/>
    <m/>
    <m/>
    <s v="João Carlos"/>
  </r>
  <r>
    <d v="2025-12-26T00:00:00"/>
    <s v="sexta-feira"/>
    <d v="2025-12-26T00:00:00"/>
    <m/>
    <x v="0"/>
    <m/>
    <m/>
    <m/>
    <m/>
    <m/>
    <m/>
    <m/>
    <m/>
    <m/>
    <m/>
    <s v="João Carlos"/>
  </r>
  <r>
    <d v="2025-12-27T00:00:00"/>
    <s v="sábado"/>
    <d v="2025-12-27T00:00:00"/>
    <s v="NÃO"/>
    <x v="0"/>
    <m/>
    <m/>
    <m/>
    <m/>
    <m/>
    <m/>
    <m/>
    <m/>
    <m/>
    <m/>
    <s v="João Carlos"/>
  </r>
  <r>
    <d v="2025-12-28T00:00:00"/>
    <s v="domingo"/>
    <d v="2025-12-28T00:00:00"/>
    <s v="NÃO"/>
    <x v="0"/>
    <m/>
    <m/>
    <m/>
    <m/>
    <m/>
    <m/>
    <m/>
    <m/>
    <m/>
    <m/>
    <s v="João Carlos"/>
  </r>
  <r>
    <d v="2025-12-29T00:00:00"/>
    <s v="segunda-feira"/>
    <d v="2025-12-29T00:00:00"/>
    <m/>
    <x v="0"/>
    <m/>
    <m/>
    <m/>
    <m/>
    <m/>
    <m/>
    <m/>
    <m/>
    <m/>
    <m/>
    <s v="João Carlos"/>
  </r>
  <r>
    <d v="2025-12-30T00:00:00"/>
    <s v="terça-feira"/>
    <d v="2025-12-30T00:00:00"/>
    <m/>
    <x v="0"/>
    <m/>
    <m/>
    <m/>
    <m/>
    <m/>
    <m/>
    <m/>
    <m/>
    <m/>
    <m/>
    <s v="João Carlos"/>
  </r>
  <r>
    <d v="2025-12-31T00:00:00"/>
    <s v="quarta-feira"/>
    <d v="2025-12-31T00:00:00"/>
    <m/>
    <x v="0"/>
    <m/>
    <m/>
    <m/>
    <m/>
    <m/>
    <m/>
    <m/>
    <m/>
    <m/>
    <m/>
    <s v="João Carlos"/>
  </r>
  <r>
    <d v="2026-01-01T00:00:00"/>
    <s v="quinta-feira"/>
    <d v="2026-01-01T00:00:00"/>
    <m/>
    <x v="0"/>
    <m/>
    <m/>
    <m/>
    <m/>
    <m/>
    <m/>
    <m/>
    <m/>
    <m/>
    <m/>
    <s v="João Carlos"/>
  </r>
  <r>
    <d v="2026-01-02T00:00:00"/>
    <s v="sexta-feira"/>
    <d v="2026-01-02T00:00:00"/>
    <m/>
    <x v="0"/>
    <m/>
    <m/>
    <m/>
    <m/>
    <m/>
    <m/>
    <m/>
    <m/>
    <m/>
    <m/>
    <s v="João Carlos"/>
  </r>
  <r>
    <d v="2026-01-03T00:00:00"/>
    <s v="sábado"/>
    <d v="2026-01-03T00:00:00"/>
    <s v="NÃO"/>
    <x v="0"/>
    <m/>
    <m/>
    <m/>
    <m/>
    <m/>
    <m/>
    <m/>
    <m/>
    <m/>
    <m/>
    <s v="João Carlos"/>
  </r>
  <r>
    <d v="2026-01-04T00:00:00"/>
    <s v="domingo"/>
    <d v="2026-01-04T00:00:00"/>
    <s v="NÃO"/>
    <x v="0"/>
    <m/>
    <m/>
    <m/>
    <m/>
    <m/>
    <m/>
    <m/>
    <m/>
    <m/>
    <m/>
    <s v="João Carlos"/>
  </r>
  <r>
    <d v="2026-01-05T00:00:00"/>
    <s v="segunda-feira"/>
    <d v="2026-01-05T00:00:00"/>
    <m/>
    <x v="0"/>
    <m/>
    <m/>
    <m/>
    <m/>
    <m/>
    <m/>
    <m/>
    <m/>
    <m/>
    <m/>
    <s v="João Carlos"/>
  </r>
  <r>
    <d v="2026-01-06T00:00:00"/>
    <s v="terça-feira"/>
    <d v="2026-01-06T00:00:00"/>
    <m/>
    <x v="0"/>
    <m/>
    <m/>
    <m/>
    <m/>
    <m/>
    <m/>
    <m/>
    <m/>
    <m/>
    <m/>
    <s v="João Carlos"/>
  </r>
  <r>
    <d v="2026-01-07T00:00:00"/>
    <s v="quarta-feira"/>
    <d v="2026-01-07T00:00:00"/>
    <m/>
    <x v="0"/>
    <m/>
    <m/>
    <m/>
    <m/>
    <m/>
    <m/>
    <m/>
    <m/>
    <m/>
    <m/>
    <s v="João Carlos"/>
  </r>
  <r>
    <d v="2026-01-08T00:00:00"/>
    <s v="quinta-feira"/>
    <d v="2026-01-08T00:00:00"/>
    <m/>
    <x v="0"/>
    <m/>
    <m/>
    <m/>
    <m/>
    <m/>
    <m/>
    <m/>
    <m/>
    <m/>
    <m/>
    <s v="João Carlos"/>
  </r>
  <r>
    <d v="2026-01-09T00:00:00"/>
    <s v="sexta-feira"/>
    <d v="2026-01-09T00:00:00"/>
    <m/>
    <x v="0"/>
    <m/>
    <m/>
    <m/>
    <m/>
    <m/>
    <m/>
    <m/>
    <m/>
    <m/>
    <m/>
    <s v="João Carlos"/>
  </r>
  <r>
    <d v="2026-01-10T00:00:00"/>
    <s v="sábado"/>
    <d v="2026-01-10T00:00:00"/>
    <s v="NÃO"/>
    <x v="0"/>
    <m/>
    <m/>
    <m/>
    <m/>
    <m/>
    <m/>
    <m/>
    <m/>
    <m/>
    <m/>
    <s v="João Carlos"/>
  </r>
  <r>
    <d v="2026-01-11T00:00:00"/>
    <s v="domingo"/>
    <d v="2026-01-11T00:00:00"/>
    <s v="NÃO"/>
    <x v="0"/>
    <m/>
    <m/>
    <m/>
    <m/>
    <m/>
    <m/>
    <m/>
    <m/>
    <m/>
    <m/>
    <s v="João Carlos"/>
  </r>
  <r>
    <d v="2026-01-12T00:00:00"/>
    <s v="segunda-feira"/>
    <d v="2026-01-12T00:00:00"/>
    <s v="SIM"/>
    <x v="12"/>
    <s v="Diversas até 28/02 - JC"/>
    <n v="0"/>
    <n v="0"/>
    <n v="48"/>
    <n v="6"/>
    <n v="0"/>
    <n v="0"/>
    <n v="0"/>
    <n v="0"/>
    <n v="0"/>
    <s v="João Carlos"/>
  </r>
  <r>
    <d v="2026-01-13T00:00:00"/>
    <s v="terça-feira"/>
    <d v="2026-01-13T00:00:00"/>
    <s v="SIM"/>
    <x v="12"/>
    <s v="Diversas até 28/02 - JC"/>
    <n v="0"/>
    <n v="0"/>
    <n v="58"/>
    <n v="6"/>
    <n v="0"/>
    <n v="0"/>
    <n v="0"/>
    <n v="0"/>
    <n v="0"/>
    <s v="João Carlos"/>
  </r>
  <r>
    <d v="2026-01-14T00:00:00"/>
    <s v="quarta-feira"/>
    <d v="2026-01-14T00:00:00"/>
    <s v="SIM"/>
    <x v="12"/>
    <s v="Diversas até 28/02 - JC"/>
    <n v="0"/>
    <n v="0"/>
    <n v="40"/>
    <n v="0"/>
    <n v="1"/>
    <n v="0"/>
    <n v="0"/>
    <n v="0"/>
    <n v="0"/>
    <s v="João Carlos"/>
  </r>
  <r>
    <d v="2026-01-15T00:00:00"/>
    <s v="quinta-feira"/>
    <d v="2026-01-15T00:00:00"/>
    <s v="SIM"/>
    <x v="12"/>
    <s v="Diversas até 28/02 - JC"/>
    <n v="0"/>
    <n v="0"/>
    <n v="30"/>
    <n v="0"/>
    <n v="1"/>
    <n v="0"/>
    <n v="0"/>
    <n v="0"/>
    <n v="0"/>
    <s v="João Carlos"/>
  </r>
  <r>
    <d v="2026-01-16T00:00:00"/>
    <s v="sexta-feira"/>
    <d v="2026-01-16T00:00:00"/>
    <s v="SIM"/>
    <x v="12"/>
    <s v="Diversas até 28/02 - JC"/>
    <n v="0"/>
    <n v="0"/>
    <n v="0"/>
    <n v="0"/>
    <n v="4"/>
    <n v="0"/>
    <n v="0"/>
    <n v="0"/>
    <n v="0"/>
    <s v="João Carlos"/>
  </r>
  <r>
    <d v="2026-01-17T00:00:00"/>
    <s v="sábado"/>
    <d v="2026-01-17T00:00:00"/>
    <s v="SIM"/>
    <x v="12"/>
    <s v="Diversas até 28/02 - JC"/>
    <n v="0"/>
    <n v="0"/>
    <n v="6"/>
    <n v="6"/>
    <n v="1"/>
    <n v="0"/>
    <n v="0"/>
    <n v="0"/>
    <n v="0"/>
    <s v="João Carlos"/>
  </r>
  <r>
    <d v="2026-01-18T00:00:00"/>
    <s v="domingo"/>
    <d v="2026-01-18T00:00:00"/>
    <s v="NÃO"/>
    <x v="0"/>
    <m/>
    <m/>
    <m/>
    <m/>
    <m/>
    <m/>
    <m/>
    <m/>
    <m/>
    <m/>
    <s v="João Carlos"/>
  </r>
  <r>
    <d v="2026-01-19T00:00:00"/>
    <s v="segunda-feira"/>
    <d v="2026-01-19T00:00:00"/>
    <s v="SIM"/>
    <x v="12"/>
    <s v="Diversas até 28/02 - JC"/>
    <n v="0"/>
    <n v="0"/>
    <n v="13"/>
    <n v="0"/>
    <n v="1"/>
    <n v="0"/>
    <n v="0"/>
    <n v="0"/>
    <n v="0"/>
    <s v="João Carlos"/>
  </r>
  <r>
    <d v="2026-01-20T00:00:00"/>
    <s v="terça-feira"/>
    <d v="2026-01-20T00:00:00"/>
    <s v="SIM"/>
    <x v="12"/>
    <s v="Diversas até 28/02 - JC"/>
    <n v="0"/>
    <n v="0"/>
    <n v="15"/>
    <n v="0"/>
    <n v="0"/>
    <n v="0"/>
    <n v="0"/>
    <n v="0"/>
    <n v="0"/>
    <s v="João Carlos"/>
  </r>
  <r>
    <d v="2026-01-21T00:00:00"/>
    <s v="quarta-feira"/>
    <d v="2026-01-21T00:00:00"/>
    <s v="SIM"/>
    <x v="12"/>
    <s v="Diversas até 28/02 - JC"/>
    <n v="0"/>
    <n v="0"/>
    <n v="28"/>
    <n v="0"/>
    <n v="1"/>
    <n v="0"/>
    <n v="0"/>
    <n v="0"/>
    <n v="0"/>
    <s v="João Carlos"/>
  </r>
  <r>
    <d v="2026-01-22T00:00:00"/>
    <s v="quinta-feira"/>
    <d v="2026-01-22T00:00:00"/>
    <s v="SIM"/>
    <x v="12"/>
    <s v="Diversas até 28/02 - JC"/>
    <n v="0"/>
    <n v="0"/>
    <n v="12"/>
    <n v="6"/>
    <n v="0"/>
    <n v="0"/>
    <n v="0"/>
    <n v="0"/>
    <n v="0"/>
    <s v="João Carlos"/>
  </r>
  <r>
    <d v="2026-01-23T00:00:00"/>
    <s v="sexta-feira"/>
    <d v="2026-01-23T00:00:00"/>
    <s v="SIM"/>
    <x v="12"/>
    <s v="Diversas até 28/02 - JC"/>
    <n v="0"/>
    <n v="0"/>
    <n v="12"/>
    <n v="6"/>
    <n v="1"/>
    <n v="0"/>
    <n v="0"/>
    <n v="0"/>
    <n v="0"/>
    <s v="João Carlos"/>
  </r>
  <r>
    <d v="2026-01-24T00:00:00"/>
    <s v="sábado"/>
    <d v="2026-01-24T00:00:00"/>
    <s v="SIM"/>
    <x v="12"/>
    <s v="Diversas até 28/02 - JC"/>
    <n v="0"/>
    <n v="0"/>
    <n v="12"/>
    <n v="0"/>
    <n v="2"/>
    <n v="0"/>
    <n v="0"/>
    <n v="0"/>
    <n v="0"/>
    <s v="João Carlos"/>
  </r>
  <r>
    <d v="2026-01-25T00:00:00"/>
    <s v="domingo"/>
    <d v="2026-01-25T00:00:00"/>
    <s v="NÃO"/>
    <x v="0"/>
    <m/>
    <m/>
    <m/>
    <m/>
    <m/>
    <m/>
    <m/>
    <m/>
    <m/>
    <m/>
    <s v="João Carlos"/>
  </r>
  <r>
    <d v="2026-01-26T00:00:00"/>
    <s v="segunda-feira"/>
    <d v="2026-01-26T00:00:00"/>
    <s v="SIM"/>
    <x v="12"/>
    <s v="Diversas até 28/02 - JC"/>
    <n v="0"/>
    <n v="0"/>
    <n v="0"/>
    <n v="6"/>
    <n v="0"/>
    <n v="0"/>
    <n v="0"/>
    <n v="0"/>
    <n v="0"/>
    <s v="João Carlos"/>
  </r>
  <r>
    <d v="2026-01-27T00:00:00"/>
    <s v="terça-feira"/>
    <d v="2026-01-27T00:00:00"/>
    <s v="SIM"/>
    <x v="12"/>
    <s v="Diversas até 28/02 - JC"/>
    <n v="0"/>
    <n v="0"/>
    <n v="6"/>
    <n v="6"/>
    <n v="0"/>
    <n v="0"/>
    <n v="0"/>
    <n v="0"/>
    <n v="0"/>
    <s v="João Carlos"/>
  </r>
  <r>
    <d v="2026-01-28T00:00:00"/>
    <s v="quarta-feira"/>
    <d v="2026-01-28T00:00:00"/>
    <s v="SIM"/>
    <x v="12"/>
    <s v="Diversas até 28/02 - JC"/>
    <n v="0"/>
    <n v="0"/>
    <n v="10"/>
    <n v="18"/>
    <n v="0"/>
    <n v="0"/>
    <n v="0"/>
    <n v="0"/>
    <n v="0"/>
    <s v="João Carlos"/>
  </r>
  <r>
    <d v="2026-01-29T00:00:00"/>
    <s v="quinta-feira"/>
    <d v="2026-01-29T00:00:00"/>
    <s v="SIM"/>
    <x v="12"/>
    <s v="Diversas até 28/02 - JC"/>
    <n v="0"/>
    <n v="0"/>
    <n v="0"/>
    <n v="12"/>
    <n v="0"/>
    <n v="0"/>
    <n v="0"/>
    <n v="0"/>
    <n v="0"/>
    <s v="João Carlos"/>
  </r>
  <r>
    <d v="2026-01-30T00:00:00"/>
    <s v="sexta-feira"/>
    <d v="2026-01-30T00:00:00"/>
    <s v="SIM"/>
    <x v="12"/>
    <s v="Diversas até 28/02 - JC"/>
    <n v="0"/>
    <n v="0"/>
    <n v="0"/>
    <n v="10"/>
    <n v="0"/>
    <n v="0"/>
    <n v="0"/>
    <n v="0"/>
    <n v="0"/>
    <s v="João Carlos"/>
  </r>
  <r>
    <d v="2026-01-31T00:00:00"/>
    <s v="sábado"/>
    <d v="2026-01-31T00:00:00"/>
    <s v="SIM"/>
    <x v="12"/>
    <s v="Diversas até 28/02 - JC"/>
    <n v="0"/>
    <n v="0"/>
    <n v="42"/>
    <n v="4"/>
    <n v="2"/>
    <n v="0"/>
    <n v="0"/>
    <n v="0"/>
    <n v="0"/>
    <s v="João Carlos"/>
  </r>
  <r>
    <d v="2026-02-01T00:00:00"/>
    <s v="domingo"/>
    <d v="2026-02-01T00:00:00"/>
    <s v="NÃO"/>
    <x v="0"/>
    <m/>
    <m/>
    <m/>
    <m/>
    <m/>
    <m/>
    <m/>
    <m/>
    <m/>
    <m/>
    <s v="João Carlos"/>
  </r>
  <r>
    <d v="2026-02-02T00:00:00"/>
    <s v="segunda-feira"/>
    <d v="2026-02-02T00:00:00"/>
    <s v="SIM"/>
    <x v="12"/>
    <s v="Diversas até 28/02 - JC"/>
    <n v="0"/>
    <n v="0"/>
    <n v="30"/>
    <n v="30"/>
    <n v="1"/>
    <n v="0"/>
    <n v="0"/>
    <n v="0"/>
    <n v="0"/>
    <s v="João Carlos"/>
  </r>
  <r>
    <d v="2026-02-03T00:00:00"/>
    <s v="terça-feira"/>
    <d v="2026-02-03T00:00:00"/>
    <s v="SIM"/>
    <x v="12"/>
    <s v="Diversas até 28/02 - JC"/>
    <n v="0"/>
    <n v="3"/>
    <n v="0"/>
    <n v="6"/>
    <n v="1"/>
    <n v="0"/>
    <n v="7"/>
    <n v="7"/>
    <n v="0"/>
    <s v="João Carlos"/>
  </r>
  <r>
    <d v="2026-02-04T00:00:00"/>
    <s v="quarta-feira"/>
    <d v="2026-02-04T00:00:00"/>
    <s v="SIM"/>
    <x v="12"/>
    <s v="Diversas até 28/02 - JC"/>
    <n v="0"/>
    <n v="2"/>
    <n v="22"/>
    <n v="0"/>
    <n v="0"/>
    <n v="0"/>
    <n v="15"/>
    <n v="0"/>
    <n v="0"/>
    <s v="João Carlos"/>
  </r>
  <r>
    <d v="2026-02-05T00:00:00"/>
    <s v="quinta-feira"/>
    <d v="2026-02-05T00:00:00"/>
    <s v="SIM"/>
    <x v="12"/>
    <s v="Diversas até 28/02 - JC"/>
    <n v="0"/>
    <n v="0"/>
    <n v="0"/>
    <n v="0"/>
    <n v="1"/>
    <n v="0"/>
    <n v="12"/>
    <n v="0"/>
    <n v="0"/>
    <s v="João Carlos"/>
  </r>
  <r>
    <d v="2026-02-06T00:00:00"/>
    <s v="sexta-feira"/>
    <d v="2026-02-06T00:00:00"/>
    <s v="SIM"/>
    <x v="12"/>
    <s v="Diversas até 28/02 - JC"/>
    <n v="10"/>
    <n v="0"/>
    <n v="0"/>
    <n v="30"/>
    <n v="1"/>
    <n v="0"/>
    <n v="0"/>
    <n v="0"/>
    <n v="0"/>
    <s v="João Carlos"/>
  </r>
  <r>
    <d v="2026-02-07T00:00:00"/>
    <s v="sábado"/>
    <d v="2026-02-07T00:00:00"/>
    <s v="SIM"/>
    <x v="12"/>
    <s v="Diversas até 28/02 - JC"/>
    <n v="0"/>
    <n v="0"/>
    <n v="30"/>
    <n v="0"/>
    <n v="0"/>
    <n v="0"/>
    <n v="0"/>
    <n v="0"/>
    <n v="0"/>
    <s v="João Carlos"/>
  </r>
  <r>
    <d v="2026-02-08T00:00:00"/>
    <s v="domingo"/>
    <d v="2026-02-08T00:00:00"/>
    <s v="NÃO"/>
    <x v="0"/>
    <m/>
    <m/>
    <m/>
    <m/>
    <m/>
    <m/>
    <m/>
    <m/>
    <m/>
    <m/>
    <s v="João Carlos"/>
  </r>
  <r>
    <d v="2026-02-09T00:00:00"/>
    <s v="segunda-feira"/>
    <d v="2026-02-09T00:00:00"/>
    <s v="SIM"/>
    <x v="12"/>
    <s v="Diversas até 28/02 - JC"/>
    <n v="0"/>
    <n v="0"/>
    <n v="0"/>
    <n v="16"/>
    <n v="0"/>
    <n v="0"/>
    <n v="0"/>
    <n v="0"/>
    <n v="0"/>
    <s v="João Carlos"/>
  </r>
  <r>
    <d v="2026-02-10T00:00:00"/>
    <s v="terça-feira"/>
    <d v="2026-02-10T00:00:00"/>
    <s v="SIM"/>
    <x v="12"/>
    <s v="Diversas até 28/02 - JC"/>
    <n v="5"/>
    <n v="4"/>
    <n v="0"/>
    <n v="0"/>
    <n v="2"/>
    <n v="0"/>
    <n v="0"/>
    <n v="0"/>
    <n v="0"/>
    <s v="João Carlos"/>
  </r>
  <r>
    <d v="2026-02-11T00:00:00"/>
    <s v="quarta-feira"/>
    <d v="2026-02-11T00:00:00"/>
    <s v="SIM"/>
    <x v="12"/>
    <s v="Diversas até 28/02 - JC"/>
    <n v="0"/>
    <n v="0"/>
    <n v="12"/>
    <n v="12"/>
    <n v="0"/>
    <n v="0"/>
    <n v="23"/>
    <n v="0"/>
    <n v="0"/>
    <s v="João Carlos"/>
  </r>
  <r>
    <d v="2026-02-12T00:00:00"/>
    <s v="quinta-feira"/>
    <d v="2026-02-12T00:00:00"/>
    <s v="SIM"/>
    <x v="12"/>
    <s v="Diversas até 28/02 - JC"/>
    <n v="0"/>
    <n v="0"/>
    <n v="0"/>
    <n v="0"/>
    <n v="0"/>
    <n v="0"/>
    <n v="16"/>
    <n v="0"/>
    <n v="0"/>
    <s v="João Carlos"/>
  </r>
  <r>
    <d v="2026-02-13T00:00:00"/>
    <s v="sexta-feira"/>
    <d v="2026-02-13T00:00:00"/>
    <s v="SIM"/>
    <x v="12"/>
    <s v="Diversas até 28/02 - JC"/>
    <n v="0"/>
    <n v="0"/>
    <n v="0"/>
    <n v="0"/>
    <n v="1"/>
    <n v="0"/>
    <n v="13"/>
    <n v="0"/>
    <n v="0"/>
    <s v="João Carlos"/>
  </r>
  <r>
    <d v="2026-02-14T00:00:00"/>
    <s v="sábado"/>
    <d v="2026-02-14T00:00:00"/>
    <s v="NÃO"/>
    <x v="0"/>
    <m/>
    <m/>
    <m/>
    <m/>
    <m/>
    <m/>
    <m/>
    <m/>
    <m/>
    <m/>
    <s v="João Carlos"/>
  </r>
  <r>
    <d v="2026-02-15T00:00:00"/>
    <s v="domingo"/>
    <d v="2026-02-15T00:00:00"/>
    <s v="NÃO"/>
    <x v="0"/>
    <m/>
    <m/>
    <m/>
    <m/>
    <m/>
    <m/>
    <m/>
    <m/>
    <m/>
    <m/>
    <s v="João Carlos"/>
  </r>
  <r>
    <d v="2026-02-16T00:00:00"/>
    <s v="segunda-feira"/>
    <d v="2026-02-16T00:00:00"/>
    <s v="SIM"/>
    <x v="12"/>
    <s v="Diversas até 28/02 - JC"/>
    <n v="6"/>
    <n v="1"/>
    <n v="0"/>
    <n v="0"/>
    <n v="0"/>
    <n v="0"/>
    <n v="0"/>
    <n v="6"/>
    <n v="0"/>
    <s v="João Carlos"/>
  </r>
  <r>
    <d v="2026-02-17T00:00:00"/>
    <s v="terça-feira"/>
    <d v="2026-02-17T00:00:00"/>
    <s v="SIM"/>
    <x v="12"/>
    <s v="Diversas até 28/02 - JC"/>
    <n v="5"/>
    <n v="1"/>
    <n v="0"/>
    <n v="0"/>
    <n v="1"/>
    <n v="0"/>
    <n v="0"/>
    <n v="0"/>
    <n v="0"/>
    <s v="João Carlos"/>
  </r>
  <r>
    <d v="2026-02-18T00:00:00"/>
    <s v="quarta-feira"/>
    <d v="2026-02-18T00:00:00"/>
    <s v="SIM"/>
    <x v="12"/>
    <s v="Diversas até 28/02 - JC"/>
    <n v="4"/>
    <n v="0"/>
    <n v="0"/>
    <n v="0"/>
    <n v="0"/>
    <n v="0"/>
    <n v="14"/>
    <n v="0"/>
    <n v="0"/>
    <s v="João Carlos"/>
  </r>
  <r>
    <d v="2026-02-19T00:00:00"/>
    <s v="quinta-feira"/>
    <d v="2026-02-19T00:00:00"/>
    <s v="SIM"/>
    <x v="12"/>
    <s v="Diversas até 28/02 - JC"/>
    <n v="6"/>
    <n v="0"/>
    <n v="0"/>
    <n v="6"/>
    <n v="0"/>
    <n v="0"/>
    <n v="4"/>
    <n v="6"/>
    <n v="0"/>
    <s v="João Carlos"/>
  </r>
  <r>
    <d v="2026-02-20T00:00:00"/>
    <s v="sexta-feira"/>
    <d v="2026-02-20T00:00:00"/>
    <s v="NÃO"/>
    <x v="0"/>
    <m/>
    <m/>
    <m/>
    <m/>
    <m/>
    <m/>
    <m/>
    <m/>
    <m/>
    <m/>
    <s v="João Carlos"/>
  </r>
  <r>
    <d v="2026-02-21T00:00:00"/>
    <s v="sábado"/>
    <d v="2026-02-21T00:00:00"/>
    <s v="SIM"/>
    <x v="12"/>
    <s v="Diversas até 28/02 - JC"/>
    <n v="0"/>
    <n v="0"/>
    <n v="0"/>
    <n v="30"/>
    <n v="0"/>
    <n v="0"/>
    <n v="9"/>
    <n v="0"/>
    <n v="0"/>
    <s v="João Carlos"/>
  </r>
  <r>
    <d v="2026-02-22T00:00:00"/>
    <s v="domingo"/>
    <d v="2026-02-22T00:00:00"/>
    <s v="NÃO"/>
    <x v="0"/>
    <m/>
    <m/>
    <m/>
    <m/>
    <m/>
    <m/>
    <m/>
    <m/>
    <m/>
    <m/>
    <s v="João Carlos"/>
  </r>
  <r>
    <d v="2026-02-23T00:00:00"/>
    <s v="segunda-feira"/>
    <d v="2026-02-23T00:00:00"/>
    <s v="SIM"/>
    <x v="12"/>
    <s v="Diversas até 28/02 - JC"/>
    <n v="3"/>
    <n v="8"/>
    <n v="30"/>
    <n v="0"/>
    <n v="0"/>
    <n v="4"/>
    <n v="0"/>
    <n v="7"/>
    <n v="0"/>
    <s v="João Carlos"/>
  </r>
  <r>
    <d v="2026-02-24T00:00:00"/>
    <s v="terça-feira"/>
    <d v="2026-02-24T00:00:00"/>
    <s v="SIM"/>
    <x v="12"/>
    <s v="Diversas até 28/02 - JC"/>
    <n v="5"/>
    <n v="3"/>
    <n v="30"/>
    <n v="0"/>
    <n v="0"/>
    <n v="0"/>
    <n v="7"/>
    <n v="0"/>
    <n v="0"/>
    <s v="João Carlos"/>
  </r>
  <r>
    <d v="2026-02-25T00:00:00"/>
    <s v="quarta-feira"/>
    <d v="2026-02-25T00:00:00"/>
    <s v="SIM"/>
    <x v="12"/>
    <s v="Diversas até 28/02 - JC"/>
    <n v="10"/>
    <n v="3"/>
    <n v="35"/>
    <n v="0"/>
    <n v="0"/>
    <n v="0"/>
    <n v="6"/>
    <n v="0"/>
    <n v="0"/>
    <s v="João Carlos"/>
  </r>
  <r>
    <d v="2026-02-26T00:00:00"/>
    <s v="quinta-feira"/>
    <d v="2026-02-26T00:00:00"/>
    <s v="NÃO"/>
    <x v="0"/>
    <m/>
    <m/>
    <m/>
    <m/>
    <m/>
    <m/>
    <m/>
    <m/>
    <m/>
    <m/>
    <s v="João Carlos"/>
  </r>
  <r>
    <d v="2026-02-27T00:00:00"/>
    <s v="sexta-feira"/>
    <d v="2026-02-27T00:00:00"/>
    <s v="SIM"/>
    <x v="12"/>
    <s v="Diversas até 28/02 - JC"/>
    <n v="15"/>
    <n v="6"/>
    <n v="0"/>
    <n v="0"/>
    <n v="0"/>
    <n v="0"/>
    <n v="1"/>
    <n v="0"/>
    <n v="0"/>
    <s v="João Carlos"/>
  </r>
  <r>
    <d v="2026-02-28T00:00:00"/>
    <s v="sábado"/>
    <d v="2026-02-28T00:00:00"/>
    <s v="SIM"/>
    <x v="12"/>
    <s v="Diversas até 28/02 - JC"/>
    <n v="4"/>
    <n v="2"/>
    <n v="0"/>
    <n v="0"/>
    <n v="2"/>
    <n v="0"/>
    <n v="0"/>
    <n v="0"/>
    <n v="0"/>
    <s v="João Carlos"/>
  </r>
  <r>
    <d v="2026-03-01T00:00:00"/>
    <s v="domingo"/>
    <d v="2026-03-01T00:00:00"/>
    <s v="NÃO"/>
    <x v="0"/>
    <m/>
    <m/>
    <m/>
    <m/>
    <m/>
    <m/>
    <m/>
    <m/>
    <m/>
    <m/>
    <s v="João Carlos"/>
  </r>
  <r>
    <d v="2026-03-02T00:00:00"/>
    <s v="segunda-feira"/>
    <d v="2026-03-02T00:00:00"/>
    <s v="SIM"/>
    <x v="13"/>
    <s v="BECO 11"/>
    <m/>
    <n v="3"/>
    <m/>
    <m/>
    <m/>
    <m/>
    <m/>
    <m/>
    <m/>
    <s v="João Carlos"/>
  </r>
  <r>
    <d v="2026-03-02T00:00:00"/>
    <s v="segunda-feira"/>
    <d v="2026-03-02T00:00:00"/>
    <s v="SIM"/>
    <x v="13"/>
    <s v="BECO 9"/>
    <m/>
    <n v="2"/>
    <m/>
    <m/>
    <m/>
    <m/>
    <m/>
    <m/>
    <m/>
    <s v="João Carlos"/>
  </r>
  <r>
    <d v="2026-03-02T00:00:00"/>
    <s v="segunda-feira"/>
    <d v="2026-03-02T00:00:00"/>
    <s v="SIM"/>
    <x v="14"/>
    <s v="JOÃO CARLOS DA SILVA "/>
    <m/>
    <m/>
    <n v="35"/>
    <m/>
    <m/>
    <m/>
    <m/>
    <m/>
    <m/>
    <s v="João Carlos"/>
  </r>
  <r>
    <d v="2026-03-02T00:00:00"/>
    <s v="segunda-feira"/>
    <d v="2026-03-02T00:00:00"/>
    <s v="SIM"/>
    <x v="15"/>
    <s v="BECO 10"/>
    <m/>
    <n v="1"/>
    <m/>
    <m/>
    <m/>
    <m/>
    <m/>
    <m/>
    <m/>
    <s v="João Carlos"/>
  </r>
  <r>
    <d v="2026-03-02T00:00:00"/>
    <s v="segunda-feira"/>
    <d v="2026-03-02T00:00:00"/>
    <s v="SIM"/>
    <x v="15"/>
    <s v="JOÃO CARLOS DA SILVA "/>
    <m/>
    <m/>
    <m/>
    <m/>
    <m/>
    <m/>
    <n v="2"/>
    <m/>
    <m/>
    <s v="João Carlos"/>
  </r>
  <r>
    <d v="2026-03-03T00:00:00"/>
    <s v="terça-feira"/>
    <d v="2026-03-03T00:00:00"/>
    <s v="SIM"/>
    <x v="15"/>
    <s v="JOÃO CARLOS DA SILVA "/>
    <m/>
    <m/>
    <n v="35"/>
    <m/>
    <m/>
    <m/>
    <m/>
    <m/>
    <m/>
    <s v="João Carlos"/>
  </r>
  <r>
    <d v="2026-03-03T00:00:00"/>
    <s v="terça-feira"/>
    <d v="2026-03-03T00:00:00"/>
    <s v="SIM"/>
    <x v="13"/>
    <s v="BECO 12 "/>
    <m/>
    <n v="7"/>
    <m/>
    <m/>
    <m/>
    <m/>
    <m/>
    <m/>
    <m/>
    <s v="João Carlos"/>
  </r>
  <r>
    <d v="2026-03-03T00:00:00"/>
    <s v="terça-feira"/>
    <d v="2026-03-03T00:00:00"/>
    <s v="SIM"/>
    <x v="14"/>
    <s v="BECO 10"/>
    <m/>
    <n v="2"/>
    <m/>
    <m/>
    <m/>
    <m/>
    <m/>
    <m/>
    <m/>
    <s v="João Carlos"/>
  </r>
  <r>
    <d v="2026-03-04T00:00:00"/>
    <s v="quarta-feira"/>
    <d v="2026-03-04T00:00:00"/>
    <s v="SIM"/>
    <x v="15"/>
    <s v="JOÃO CARLOS DA SILVA "/>
    <m/>
    <m/>
    <n v="50"/>
    <m/>
    <m/>
    <m/>
    <m/>
    <m/>
    <m/>
    <s v="João Carlos"/>
  </r>
  <r>
    <d v="2026-03-04T00:00:00"/>
    <s v="quarta-feira"/>
    <d v="2026-03-04T00:00:00"/>
    <s v="SIM"/>
    <x v="13"/>
    <s v="BECO 16"/>
    <m/>
    <n v="3"/>
    <m/>
    <m/>
    <m/>
    <m/>
    <m/>
    <m/>
    <m/>
    <s v="João Carlos"/>
  </r>
  <r>
    <d v="2026-03-04T00:00:00"/>
    <s v="quarta-feira"/>
    <d v="2026-03-04T00:00:00"/>
    <s v="SIM"/>
    <x v="13"/>
    <s v="BECO 11"/>
    <m/>
    <n v="3"/>
    <m/>
    <m/>
    <m/>
    <m/>
    <m/>
    <m/>
    <m/>
    <s v="João Carlos"/>
  </r>
  <r>
    <d v="2026-03-04T00:00:00"/>
    <s v="quarta-feira"/>
    <d v="2026-03-04T00:00:00"/>
    <s v="SIM"/>
    <x v="13"/>
    <s v="BECO 17"/>
    <m/>
    <n v="2"/>
    <m/>
    <m/>
    <m/>
    <m/>
    <m/>
    <m/>
    <m/>
    <s v="João Carlos"/>
  </r>
  <r>
    <d v="2026-03-05T00:00:00"/>
    <s v="quinta-feira"/>
    <d v="2026-03-05T00:00:00"/>
    <s v="SIM"/>
    <x v="15"/>
    <s v="JOÃO CARLOS DA SILVA "/>
    <m/>
    <m/>
    <n v="40"/>
    <m/>
    <m/>
    <m/>
    <m/>
    <m/>
    <m/>
    <s v="João Carlos"/>
  </r>
  <r>
    <d v="2026-03-05T00:00:00"/>
    <s v="quinta-feira"/>
    <d v="2026-03-05T00:00:00"/>
    <s v="SIM"/>
    <x v="13"/>
    <s v="BECO 16"/>
    <m/>
    <n v="4"/>
    <m/>
    <m/>
    <m/>
    <m/>
    <m/>
    <m/>
    <m/>
    <s v="João Carlos"/>
  </r>
  <r>
    <d v="2026-03-06T00:00:00"/>
    <s v="sexta-feira"/>
    <d v="2026-03-06T00:00:00"/>
    <s v="SIM"/>
    <x v="13"/>
    <s v="BECO 11 "/>
    <m/>
    <n v="3"/>
    <m/>
    <m/>
    <m/>
    <m/>
    <m/>
    <m/>
    <m/>
    <s v="João Carlos"/>
  </r>
  <r>
    <d v="2026-03-05T00:00:00"/>
    <s v="quinta-feira"/>
    <d v="2026-03-05T00:00:00"/>
    <s v="SIM"/>
    <x v="13"/>
    <s v="BECO 14"/>
    <m/>
    <n v="2"/>
    <m/>
    <m/>
    <m/>
    <m/>
    <m/>
    <m/>
    <m/>
    <s v="João Carlos"/>
  </r>
  <r>
    <d v="2026-03-06T00:00:00"/>
    <s v="sexta-feira"/>
    <d v="2026-03-06T00:00:00"/>
    <s v="SIM"/>
    <x v="14"/>
    <s v="JOÃO CARLOS DA SILVA "/>
    <n v="18"/>
    <m/>
    <m/>
    <m/>
    <m/>
    <m/>
    <m/>
    <m/>
    <m/>
    <s v="João Carlos"/>
  </r>
  <r>
    <d v="2026-03-06T00:00:00"/>
    <s v="sexta-feira"/>
    <d v="2026-03-06T00:00:00"/>
    <s v="SIM"/>
    <x v="13"/>
    <s v="BECO 14"/>
    <m/>
    <n v="7"/>
    <m/>
    <m/>
    <m/>
    <m/>
    <m/>
    <m/>
    <m/>
    <s v="João Carlos"/>
  </r>
  <r>
    <d v="2026-03-06T00:00:00"/>
    <s v="sexta-feira"/>
    <d v="2026-03-06T00:00:00"/>
    <s v="SIM"/>
    <x v="13"/>
    <s v="JOÃO CARLOS DA SILVA "/>
    <n v="3"/>
    <m/>
    <m/>
    <m/>
    <m/>
    <m/>
    <m/>
    <m/>
    <m/>
    <s v="João Carlos"/>
  </r>
  <r>
    <d v="2026-03-06T00:00:00"/>
    <s v="sexta-feira"/>
    <d v="2026-03-06T00:00:00"/>
    <s v="SIM"/>
    <x v="15"/>
    <s v="JOÃO CARLOS DA SILVA "/>
    <m/>
    <m/>
    <n v="15"/>
    <m/>
    <m/>
    <m/>
    <m/>
    <m/>
    <m/>
    <s v="João Carlos"/>
  </r>
  <r>
    <d v="2026-03-07T00:00:00"/>
    <s v="sábado"/>
    <d v="2026-03-07T00:00:00"/>
    <s v="SIM"/>
    <x v="13"/>
    <s v="JOÃO CARLOS DA SILVA "/>
    <n v="5"/>
    <m/>
    <m/>
    <m/>
    <m/>
    <m/>
    <m/>
    <m/>
    <m/>
    <s v="João Carlos"/>
  </r>
  <r>
    <d v="2026-03-08T00:00:00"/>
    <s v="domingo"/>
    <d v="2026-03-08T00:00:00"/>
    <s v="NÃO"/>
    <x v="0"/>
    <m/>
    <m/>
    <m/>
    <m/>
    <m/>
    <m/>
    <m/>
    <m/>
    <m/>
    <m/>
    <s v="João Carlos"/>
  </r>
  <r>
    <d v="2026-03-09T00:00:00"/>
    <s v="segunda-feira"/>
    <d v="2026-03-09T00:00:00"/>
    <s v="SIM"/>
    <x v="13"/>
    <s v="BECO 14"/>
    <m/>
    <n v="4"/>
    <m/>
    <m/>
    <m/>
    <m/>
    <m/>
    <m/>
    <m/>
    <s v="João Carlos"/>
  </r>
  <r>
    <d v="2026-03-09T00:00:00"/>
    <s v="segunda-feira"/>
    <d v="2026-03-09T00:00:00"/>
    <s v="SIM"/>
    <x v="14"/>
    <s v="JOÃO CARLOS DA SILVA "/>
    <n v="5"/>
    <m/>
    <m/>
    <m/>
    <m/>
    <m/>
    <m/>
    <m/>
    <m/>
    <s v="João Carlos"/>
  </r>
  <r>
    <d v="2026-03-09T00:00:00"/>
    <s v="segunda-feira"/>
    <d v="2026-03-09T00:00:00"/>
    <s v="SIM"/>
    <x v="15"/>
    <s v="JOÃO CARLOS DA SILVA "/>
    <n v="6"/>
    <m/>
    <m/>
    <m/>
    <m/>
    <m/>
    <m/>
    <m/>
    <m/>
    <s v="João Carlos"/>
  </r>
  <r>
    <d v="2026-03-10T00:00:00"/>
    <s v="terça-feira"/>
    <d v="2026-03-10T00:00:00"/>
    <s v="NÃO"/>
    <x v="0"/>
    <s v="CHUVA"/>
    <m/>
    <m/>
    <m/>
    <m/>
    <m/>
    <m/>
    <m/>
    <m/>
    <m/>
    <s v="João Carlos"/>
  </r>
  <r>
    <d v="2026-03-11T00:00:00"/>
    <s v="quarta-feira"/>
    <d v="2026-03-11T00:00:00"/>
    <s v="SIM"/>
    <x v="13"/>
    <s v="JOÃO CARLOS DA SILVA "/>
    <m/>
    <m/>
    <m/>
    <m/>
    <m/>
    <m/>
    <n v="7"/>
    <m/>
    <m/>
    <s v="João Carlos"/>
  </r>
  <r>
    <d v="2026-03-11T00:00:00"/>
    <s v="quarta-feira"/>
    <d v="2026-03-11T00:00:00"/>
    <s v="SIM"/>
    <x v="15"/>
    <s v="JOÃO CARLOS DA SILVA "/>
    <m/>
    <m/>
    <m/>
    <m/>
    <m/>
    <m/>
    <n v="7"/>
    <m/>
    <m/>
    <s v="João Carlos"/>
  </r>
  <r>
    <d v="2026-03-11T00:00:00"/>
    <s v="quarta-feira"/>
    <d v="2026-03-11T00:00:00"/>
    <s v="SIM"/>
    <x v="14"/>
    <s v="JOÃO CARLOS DA SILVA "/>
    <m/>
    <m/>
    <m/>
    <m/>
    <m/>
    <m/>
    <n v="7"/>
    <m/>
    <m/>
    <s v="João Carlos"/>
  </r>
  <r>
    <d v="2026-03-12T00:00:00"/>
    <s v="quinta-feira"/>
    <d v="2026-03-12T00:00:00"/>
    <s v="SIM"/>
    <x v="13"/>
    <s v="JOÃO CARLOS DA SILVA "/>
    <m/>
    <m/>
    <m/>
    <m/>
    <m/>
    <m/>
    <n v="5"/>
    <m/>
    <m/>
    <s v="João Carlos"/>
  </r>
  <r>
    <d v="2026-03-12T00:00:00"/>
    <s v="quinta-feira"/>
    <d v="2026-03-12T00:00:00"/>
    <s v="SIM"/>
    <x v="14"/>
    <s v="JOÃO CARLOS DA SILVA "/>
    <m/>
    <m/>
    <m/>
    <m/>
    <m/>
    <m/>
    <n v="3"/>
    <m/>
    <m/>
    <s v="João Carlos"/>
  </r>
  <r>
    <d v="2026-03-12T00:00:00"/>
    <s v="quinta-feira"/>
    <d v="2026-03-12T00:00:00"/>
    <s v="SIM"/>
    <x v="15"/>
    <s v="JOÃO CARLOS DA SILVA "/>
    <m/>
    <m/>
    <m/>
    <m/>
    <m/>
    <m/>
    <n v="4"/>
    <m/>
    <m/>
    <s v="João Carlos"/>
  </r>
  <r>
    <d v="2026-03-13T00:00:00"/>
    <s v="sexta-feira"/>
    <d v="2026-03-13T00:00:00"/>
    <s v="SIM"/>
    <x v="13"/>
    <s v="JOÃO CARLOS DA SILVA "/>
    <m/>
    <m/>
    <m/>
    <m/>
    <n v="1"/>
    <m/>
    <m/>
    <m/>
    <m/>
    <s v="João Carlos"/>
  </r>
  <r>
    <d v="2026-03-13T00:00:00"/>
    <s v="sexta-feira"/>
    <d v="2026-03-13T00:00:00"/>
    <s v="SIM"/>
    <x v="14"/>
    <s v="JOÃO CARLOS DA SILVA "/>
    <m/>
    <m/>
    <m/>
    <m/>
    <n v="1"/>
    <m/>
    <m/>
    <m/>
    <m/>
    <s v="João Carlos"/>
  </r>
  <r>
    <d v="2026-03-13T00:00:00"/>
    <s v="sexta-feira"/>
    <d v="2026-03-13T00:00:00"/>
    <s v="SIM"/>
    <x v="15"/>
    <s v="JOÃO CARLOS DA SILVA "/>
    <m/>
    <m/>
    <m/>
    <m/>
    <n v="1"/>
    <m/>
    <m/>
    <m/>
    <m/>
    <s v="João Carlos"/>
  </r>
  <r>
    <d v="2026-03-14T00:00:00"/>
    <s v="sábado"/>
    <d v="2026-03-14T00:00:00"/>
    <s v="SIM"/>
    <x v="13"/>
    <s v="JOÃO CARLOS DA SILVA "/>
    <m/>
    <m/>
    <m/>
    <m/>
    <n v="1"/>
    <m/>
    <m/>
    <m/>
    <m/>
    <s v="João Carlos"/>
  </r>
  <r>
    <d v="2026-03-14T00:00:00"/>
    <s v="sábado"/>
    <d v="2026-03-14T00:00:00"/>
    <s v="SIM"/>
    <x v="14"/>
    <s v="JOÃO CARLOS DA SILVA "/>
    <m/>
    <m/>
    <m/>
    <m/>
    <n v="1"/>
    <m/>
    <m/>
    <m/>
    <m/>
    <s v="João Carlos"/>
  </r>
  <r>
    <d v="2026-03-14T00:00:00"/>
    <s v="sábado"/>
    <d v="2026-03-14T00:00:00"/>
    <s v="SIM"/>
    <x v="15"/>
    <s v="JOÃO CARLOS DA SILVA "/>
    <m/>
    <m/>
    <m/>
    <m/>
    <n v="1"/>
    <m/>
    <m/>
    <m/>
    <m/>
    <s v="João Carlos"/>
  </r>
  <r>
    <d v="2026-03-15T00:00:00"/>
    <s v="domingo"/>
    <d v="2026-03-15T00:00:00"/>
    <s v="SIM"/>
    <x v="13"/>
    <s v="JOÃO CARLOS DA SILVA "/>
    <m/>
    <m/>
    <m/>
    <m/>
    <n v="1"/>
    <m/>
    <m/>
    <m/>
    <m/>
    <s v="João Carlos"/>
  </r>
  <r>
    <d v="2026-03-16T00:00:00"/>
    <s v="segunda-feira"/>
    <d v="2026-03-16T00:00:00"/>
    <s v="SIM"/>
    <x v="13"/>
    <s v="JOÃO CARLOS DA SILVA "/>
    <m/>
    <n v="3"/>
    <m/>
    <m/>
    <m/>
    <m/>
    <m/>
    <m/>
    <m/>
    <s v="João Carlos"/>
  </r>
  <r>
    <d v="2026-03-16T00:00:00"/>
    <s v="segunda-feira"/>
    <d v="2026-03-16T00:00:00"/>
    <s v="SIM"/>
    <x v="14"/>
    <s v="JOÃO CARLOS DA SILVA "/>
    <m/>
    <m/>
    <n v="30"/>
    <m/>
    <m/>
    <m/>
    <m/>
    <m/>
    <m/>
    <s v="João Carlos"/>
  </r>
  <r>
    <d v="2026-03-16T00:00:00"/>
    <s v="segunda-feira"/>
    <d v="2026-03-16T00:00:00"/>
    <s v="SIM"/>
    <x v="15"/>
    <s v="JOÃO CARLOS DA SILVA "/>
    <m/>
    <m/>
    <n v="30"/>
    <m/>
    <m/>
    <m/>
    <m/>
    <m/>
    <m/>
    <s v="João Carlos"/>
  </r>
  <r>
    <d v="2026-03-17T00:00:00"/>
    <s v="terça-feira"/>
    <d v="2026-03-17T00:00:00"/>
    <s v="SIM"/>
    <x v="13"/>
    <s v="BECO 8"/>
    <m/>
    <n v="1"/>
    <m/>
    <m/>
    <m/>
    <m/>
    <m/>
    <m/>
    <m/>
    <s v="João Carlos"/>
  </r>
  <r>
    <d v="2026-03-17T00:00:00"/>
    <s v="terça-feira"/>
    <d v="2026-03-17T00:00:00"/>
    <s v="SIM"/>
    <x v="14"/>
    <s v="JOÃO CARLOS DA SILVA "/>
    <m/>
    <m/>
    <n v="40"/>
    <m/>
    <m/>
    <m/>
    <m/>
    <m/>
    <m/>
    <s v="João Carlos"/>
  </r>
  <r>
    <d v="2026-03-17T00:00:00"/>
    <s v="terça-feira"/>
    <d v="2026-03-17T00:00:00"/>
    <s v="SIM"/>
    <x v="15"/>
    <s v="JOÃO CARLOS DA SILVA "/>
    <m/>
    <m/>
    <n v="45"/>
    <m/>
    <m/>
    <m/>
    <m/>
    <m/>
    <m/>
    <s v="João Carlos"/>
  </r>
  <r>
    <d v="2026-03-18T00:00:00"/>
    <s v="quarta-feira"/>
    <d v="2026-03-18T00:00:00"/>
    <s v="SIM"/>
    <x v="15"/>
    <s v="JOÃO CARLOS DA SILVA "/>
    <m/>
    <m/>
    <n v="12"/>
    <m/>
    <m/>
    <m/>
    <m/>
    <m/>
    <m/>
    <s v="João Carlos"/>
  </r>
  <r>
    <d v="2026-03-19T00:00:00"/>
    <s v="quinta-feira"/>
    <d v="2026-03-19T00:00:00"/>
    <s v="SIM"/>
    <x v="13"/>
    <s v="BECO 9"/>
    <m/>
    <n v="2"/>
    <m/>
    <m/>
    <m/>
    <m/>
    <m/>
    <m/>
    <m/>
    <s v="João Carlos"/>
  </r>
  <r>
    <d v="2026-03-19T00:00:00"/>
    <s v="quinta-feira"/>
    <d v="2026-03-19T00:00:00"/>
    <s v="SIM"/>
    <x v="13"/>
    <s v="JOÃO CARLOS DA SILVA "/>
    <n v="3"/>
    <m/>
    <m/>
    <m/>
    <m/>
    <m/>
    <m/>
    <n v="3"/>
    <m/>
    <s v="João Carlos"/>
  </r>
  <r>
    <d v="2026-03-19T00:00:00"/>
    <s v="quinta-feira"/>
    <d v="2026-03-19T00:00:00"/>
    <s v="SIM"/>
    <x v="14"/>
    <s v="JOÃO CARLOS DA SILVA "/>
    <n v="7"/>
    <m/>
    <m/>
    <m/>
    <m/>
    <m/>
    <m/>
    <n v="7"/>
    <m/>
    <s v="João Carlos"/>
  </r>
  <r>
    <d v="2026-03-19T00:00:00"/>
    <s v="quinta-feira"/>
    <d v="2026-03-19T00:00:00"/>
    <s v="SIM"/>
    <x v="15"/>
    <s v="JOÃO CARLOS DA SILVA "/>
    <n v="4"/>
    <m/>
    <n v="8"/>
    <m/>
    <m/>
    <m/>
    <m/>
    <n v="4"/>
    <m/>
    <s v="João Carlos"/>
  </r>
  <r>
    <d v="2026-03-20T00:00:00"/>
    <s v="sexta-feira"/>
    <d v="2026-03-20T00:00:00"/>
    <s v="SIM"/>
    <x v="13"/>
    <s v="BECO 9"/>
    <m/>
    <n v="4"/>
    <m/>
    <m/>
    <m/>
    <m/>
    <m/>
    <m/>
    <m/>
    <s v="João Carlos"/>
  </r>
  <r>
    <d v="2026-03-20T00:00:00"/>
    <s v="sexta-feira"/>
    <d v="2026-03-20T00:00:00"/>
    <s v="SIM"/>
    <x v="15"/>
    <s v="JOÃO CARLOS DA SILVA "/>
    <n v="4"/>
    <m/>
    <m/>
    <m/>
    <m/>
    <m/>
    <m/>
    <n v="4"/>
    <m/>
    <s v="João Carlos"/>
  </r>
  <r>
    <d v="2026-03-21T00:00:00"/>
    <s v="sábado"/>
    <d v="2026-03-21T00:00:00"/>
    <s v="NÃO"/>
    <x v="0"/>
    <m/>
    <m/>
    <m/>
    <m/>
    <m/>
    <m/>
    <m/>
    <m/>
    <m/>
    <m/>
    <s v="João Carlos"/>
  </r>
  <r>
    <d v="2026-03-22T00:00:00"/>
    <s v="domingo"/>
    <d v="2026-03-22T00:00:00"/>
    <s v="NÃO"/>
    <x v="0"/>
    <m/>
    <m/>
    <m/>
    <m/>
    <m/>
    <m/>
    <m/>
    <m/>
    <m/>
    <m/>
    <s v="João Carlos"/>
  </r>
  <r>
    <d v="2026-03-23T00:00:00"/>
    <s v="segunda-feira"/>
    <d v="2026-03-23T00:00:00"/>
    <s v="SIM"/>
    <x v="14"/>
    <s v="JOÃO CARLOS DA SILVA "/>
    <m/>
    <m/>
    <m/>
    <m/>
    <m/>
    <m/>
    <n v="8"/>
    <m/>
    <m/>
    <s v="João Carlos"/>
  </r>
  <r>
    <d v="2026-03-23T00:00:00"/>
    <s v="segunda-feira"/>
    <d v="2026-03-23T00:00:00"/>
    <s v="SIM"/>
    <x v="15"/>
    <s v="JOÃO CARLOS DA SILVA "/>
    <m/>
    <m/>
    <m/>
    <m/>
    <m/>
    <m/>
    <n v="8"/>
    <m/>
    <m/>
    <s v="João Carlos"/>
  </r>
  <r>
    <d v="2026-03-24T00:00:00"/>
    <s v="terça-feira"/>
    <d v="2026-03-24T00:00:00"/>
    <s v="SIM"/>
    <x v="14"/>
    <s v="JOÃO CARLOS DA SILVA "/>
    <m/>
    <m/>
    <m/>
    <m/>
    <m/>
    <m/>
    <n v="6"/>
    <m/>
    <m/>
    <s v="João Carlos"/>
  </r>
  <r>
    <d v="2026-03-24T00:00:00"/>
    <s v="terça-feira"/>
    <d v="2026-03-24T00:00:00"/>
    <s v="SIM"/>
    <x v="15"/>
    <s v="JOÃO CARLOS DA SILVA "/>
    <m/>
    <m/>
    <m/>
    <m/>
    <m/>
    <m/>
    <n v="6"/>
    <m/>
    <m/>
    <s v="João Carlos"/>
  </r>
  <r>
    <d v="2026-03-25T00:00:00"/>
    <s v="quarta-feira"/>
    <d v="2026-03-25T00:00:00"/>
    <s v="SIM"/>
    <x v="14"/>
    <s v="JOÃO CARLOS DA SILVA "/>
    <m/>
    <m/>
    <m/>
    <m/>
    <m/>
    <n v="8"/>
    <m/>
    <m/>
    <m/>
    <s v="João Carlos"/>
  </r>
  <r>
    <d v="2026-03-25T00:00:00"/>
    <s v="quarta-feira"/>
    <d v="2026-03-25T00:00:00"/>
    <s v="SIM"/>
    <x v="15"/>
    <s v="JOÃO CARLOS DA SILVA "/>
    <m/>
    <m/>
    <m/>
    <m/>
    <m/>
    <n v="8"/>
    <m/>
    <m/>
    <m/>
    <s v="João Carlos"/>
  </r>
  <r>
    <d v="2026-03-26T00:00:00"/>
    <s v="quinta-feira"/>
    <d v="2026-03-26T00:00:00"/>
    <s v="SIM"/>
    <x v="14"/>
    <s v="JOÃO CARLOS DA SILVA "/>
    <m/>
    <m/>
    <m/>
    <m/>
    <m/>
    <n v="8"/>
    <m/>
    <m/>
    <m/>
    <s v="João Carlos"/>
  </r>
  <r>
    <d v="2026-03-26T00:00:00"/>
    <s v="quinta-feira"/>
    <d v="2026-03-26T00:00:00"/>
    <s v="SIM"/>
    <x v="15"/>
    <s v="BECO 14"/>
    <m/>
    <n v="4"/>
    <m/>
    <m/>
    <m/>
    <m/>
    <m/>
    <m/>
    <m/>
    <s v="João Carlos"/>
  </r>
  <r>
    <d v="2026-03-27T00:00:00"/>
    <s v="sexta-feira"/>
    <d v="2026-03-27T00:00:00"/>
    <s v="SIM"/>
    <x v="14"/>
    <s v="JOÃO CARLOS DA SILVA "/>
    <m/>
    <m/>
    <m/>
    <m/>
    <m/>
    <m/>
    <n v="5"/>
    <m/>
    <m/>
    <s v="João Carlos"/>
  </r>
  <r>
    <d v="2026-03-27T00:00:00"/>
    <s v="sexta-feira"/>
    <d v="2026-03-27T00:00:00"/>
    <s v="SIM"/>
    <x v="15"/>
    <s v="BECO 3"/>
    <m/>
    <n v="4"/>
    <m/>
    <m/>
    <m/>
    <m/>
    <m/>
    <m/>
    <m/>
    <s v="João Carlos"/>
  </r>
  <r>
    <d v="2026-03-28T00:00:00"/>
    <s v="sábado"/>
    <d v="2026-03-28T00:00:00"/>
    <s v="NÃO"/>
    <x v="0"/>
    <m/>
    <m/>
    <m/>
    <m/>
    <m/>
    <m/>
    <m/>
    <m/>
    <m/>
    <m/>
    <s v="João Carlos"/>
  </r>
  <r>
    <d v="2026-03-29T00:00:00"/>
    <s v="domingo"/>
    <d v="2026-03-29T00:00:00"/>
    <s v="NÃO"/>
    <x v="0"/>
    <m/>
    <m/>
    <m/>
    <m/>
    <m/>
    <m/>
    <m/>
    <m/>
    <m/>
    <m/>
    <s v="João Carlos"/>
  </r>
  <r>
    <d v="2026-03-30T00:00:00"/>
    <s v="segunda-feira"/>
    <d v="2026-03-30T00:00:00"/>
    <s v="SIM"/>
    <x v="13"/>
    <s v="BECO 12 "/>
    <m/>
    <m/>
    <m/>
    <m/>
    <n v="2"/>
    <m/>
    <m/>
    <m/>
    <m/>
    <s v="João Carlos"/>
  </r>
  <r>
    <d v="2026-03-30T00:00:00"/>
    <s v="segunda-feira"/>
    <d v="2026-03-30T00:00:00"/>
    <s v="SIM"/>
    <x v="16"/>
    <s v="JOÃO CARLOS DA SILVA "/>
    <n v="4"/>
    <m/>
    <m/>
    <m/>
    <m/>
    <m/>
    <n v="4"/>
    <n v="4"/>
    <m/>
    <s v="João Carlos"/>
  </r>
  <r>
    <d v="2026-03-31T00:00:00"/>
    <s v="terça-feira"/>
    <d v="2026-03-31T00:00:00"/>
    <s v="SIM"/>
    <x v="13"/>
    <s v="BECO 12 "/>
    <m/>
    <m/>
    <m/>
    <n v="3"/>
    <m/>
    <m/>
    <m/>
    <m/>
    <m/>
    <s v="João Carlos"/>
  </r>
  <r>
    <d v="2026-03-31T00:00:00"/>
    <s v="terça-feira"/>
    <d v="2026-03-31T00:00:00"/>
    <s v="SIM"/>
    <x v="14"/>
    <s v="JOÃO CARLOS DA SILVA "/>
    <n v="4"/>
    <m/>
    <m/>
    <m/>
    <m/>
    <m/>
    <n v="4"/>
    <n v="4"/>
    <m/>
    <s v="João Carlos"/>
  </r>
  <r>
    <d v="2026-03-31T00:00:00"/>
    <s v="terça-feira"/>
    <d v="2026-03-31T00:00:00"/>
    <s v="SIM"/>
    <x v="14"/>
    <s v="BECO 11"/>
    <m/>
    <n v="3"/>
    <m/>
    <m/>
    <m/>
    <m/>
    <m/>
    <m/>
    <m/>
    <s v="João Carlos"/>
  </r>
  <r>
    <d v="2026-04-01T00:00:00"/>
    <s v="quarta-feira"/>
    <d v="2026-04-01T00:00:00"/>
    <s v="SIM"/>
    <x v="13"/>
    <s v="BECO 17 "/>
    <m/>
    <n v="2"/>
    <m/>
    <m/>
    <m/>
    <m/>
    <m/>
    <m/>
    <m/>
    <s v="João Carlos"/>
  </r>
  <r>
    <d v="2026-04-01T00:00:00"/>
    <s v="quarta-feira"/>
    <d v="2026-04-01T00:00:00"/>
    <s v="SIM"/>
    <x v="13"/>
    <s v="BECO 11"/>
    <m/>
    <n v="3"/>
    <m/>
    <m/>
    <m/>
    <m/>
    <m/>
    <m/>
    <m/>
    <s v="João Carlos"/>
  </r>
  <r>
    <d v="2026-04-01T00:00:00"/>
    <s v="quarta-feira"/>
    <d v="2026-04-01T00:00:00"/>
    <s v="SIM"/>
    <x v="13"/>
    <s v="BECO 17 "/>
    <m/>
    <n v="2"/>
    <m/>
    <m/>
    <m/>
    <m/>
    <m/>
    <m/>
    <m/>
    <s v="João Carlos"/>
  </r>
  <r>
    <d v="2026-04-02T00:00:00"/>
    <s v="quinta-feira"/>
    <d v="2026-04-02T00:00:00"/>
    <s v="SIM"/>
    <x v="13"/>
    <s v="BECO 17 "/>
    <m/>
    <n v="2"/>
    <m/>
    <m/>
    <m/>
    <m/>
    <m/>
    <m/>
    <m/>
    <s v="João Carlos"/>
  </r>
  <r>
    <d v="2026-04-02T00:00:00"/>
    <s v="quinta-feira"/>
    <d v="2026-04-02T00:00:00"/>
    <s v="SIM"/>
    <x v="13"/>
    <s v="BECO 11"/>
    <m/>
    <n v="2"/>
    <m/>
    <m/>
    <m/>
    <m/>
    <m/>
    <m/>
    <m/>
    <s v="João Carlos"/>
  </r>
  <r>
    <d v="2026-04-02T00:00:00"/>
    <s v="quinta-feira"/>
    <d v="2026-04-02T00:00:00"/>
    <s v="SIM"/>
    <x v="13"/>
    <s v="BECO 17 "/>
    <m/>
    <n v="1"/>
    <m/>
    <m/>
    <m/>
    <m/>
    <m/>
    <m/>
    <m/>
    <s v="João Carlos"/>
  </r>
  <r>
    <d v="2026-04-02T00:00:00"/>
    <s v="quinta-feira"/>
    <d v="2026-04-02T00:00:00"/>
    <s v="SIM"/>
    <x v="14"/>
    <s v="JOÃO CARLOS DA SILVA "/>
    <n v="3"/>
    <m/>
    <m/>
    <m/>
    <m/>
    <m/>
    <n v="3"/>
    <n v="3"/>
    <m/>
    <s v="João Carlos"/>
  </r>
  <r>
    <d v="2026-04-03T00:00:00"/>
    <s v="sexta-feira"/>
    <d v="2026-04-03T00:00:00"/>
    <s v="NÃO"/>
    <x v="0"/>
    <m/>
    <m/>
    <m/>
    <m/>
    <m/>
    <m/>
    <m/>
    <m/>
    <m/>
    <m/>
    <s v="João Carlos"/>
  </r>
  <r>
    <d v="2026-04-04T00:00:00"/>
    <s v="sábado"/>
    <d v="2026-04-04T00:00:00"/>
    <s v="NÃO"/>
    <x v="0"/>
    <m/>
    <m/>
    <m/>
    <m/>
    <m/>
    <m/>
    <m/>
    <m/>
    <m/>
    <m/>
    <s v="João Carlos"/>
  </r>
  <r>
    <d v="2026-04-05T00:00:00"/>
    <s v="domingo"/>
    <d v="2026-04-05T00:00:00"/>
    <s v="NÃO"/>
    <x v="0"/>
    <m/>
    <m/>
    <m/>
    <m/>
    <m/>
    <m/>
    <m/>
    <m/>
    <m/>
    <m/>
    <s v="João Carlos"/>
  </r>
  <r>
    <d v="2026-04-06T00:00:00"/>
    <s v="segunda-feira"/>
    <d v="2026-04-06T00:00:00"/>
    <s v="NÃO"/>
    <x v="0"/>
    <m/>
    <m/>
    <m/>
    <m/>
    <m/>
    <m/>
    <m/>
    <m/>
    <m/>
    <m/>
    <s v="João Carlos"/>
  </r>
  <r>
    <d v="2026-04-07T00:00:00"/>
    <s v="terça-feira"/>
    <d v="2026-04-07T00:00:00"/>
    <s v="NÃO"/>
    <x v="0"/>
    <m/>
    <m/>
    <m/>
    <m/>
    <m/>
    <m/>
    <m/>
    <m/>
    <m/>
    <m/>
    <s v="João Carlos"/>
  </r>
  <r>
    <d v="2026-04-08T00:00:00"/>
    <s v="quarta-feira"/>
    <d v="2026-04-08T00:00:00"/>
    <s v="NÃO"/>
    <x v="0"/>
    <m/>
    <m/>
    <m/>
    <m/>
    <m/>
    <m/>
    <m/>
    <m/>
    <m/>
    <m/>
    <s v="João Carlos"/>
  </r>
  <r>
    <d v="2026-04-09T00:00:00"/>
    <s v="quinta-feira"/>
    <d v="2026-04-09T00:00:00"/>
    <m/>
    <x v="0"/>
    <m/>
    <m/>
    <m/>
    <m/>
    <m/>
    <m/>
    <m/>
    <m/>
    <m/>
    <m/>
    <s v="João Carlos"/>
  </r>
  <r>
    <d v="2026-04-10T00:00:00"/>
    <s v="sexta-feira"/>
    <d v="2026-04-10T00:00:00"/>
    <m/>
    <x v="0"/>
    <m/>
    <m/>
    <m/>
    <m/>
    <m/>
    <m/>
    <m/>
    <m/>
    <m/>
    <m/>
    <s v="João Carlos"/>
  </r>
  <r>
    <d v="2026-04-11T00:00:00"/>
    <s v="sábado"/>
    <d v="2026-04-11T00:00:00"/>
    <s v="NÃO"/>
    <x v="0"/>
    <m/>
    <m/>
    <m/>
    <m/>
    <m/>
    <m/>
    <m/>
    <m/>
    <m/>
    <m/>
    <s v="João Carlos"/>
  </r>
  <r>
    <d v="2026-04-12T00:00:00"/>
    <s v="domingo"/>
    <d v="2026-04-12T00:00:00"/>
    <s v="NÃO"/>
    <x v="0"/>
    <m/>
    <m/>
    <m/>
    <m/>
    <m/>
    <m/>
    <m/>
    <m/>
    <m/>
    <m/>
    <s v="João Carlos"/>
  </r>
  <r>
    <d v="2026-04-13T00:00:00"/>
    <s v="segunda-feira"/>
    <d v="2026-04-13T00:00:00"/>
    <m/>
    <x v="0"/>
    <m/>
    <m/>
    <m/>
    <m/>
    <m/>
    <m/>
    <m/>
    <m/>
    <m/>
    <m/>
    <s v="João Carlos"/>
  </r>
  <r>
    <d v="2026-04-14T00:00:00"/>
    <s v="terça-feira"/>
    <d v="2026-04-14T00:00:00"/>
    <m/>
    <x v="0"/>
    <m/>
    <m/>
    <m/>
    <m/>
    <m/>
    <m/>
    <m/>
    <m/>
    <m/>
    <m/>
    <s v="João Carlos"/>
  </r>
  <r>
    <d v="2026-04-15T00:00:00"/>
    <s v="quarta-feira"/>
    <d v="2026-04-15T00:00:00"/>
    <m/>
    <x v="0"/>
    <m/>
    <m/>
    <m/>
    <m/>
    <m/>
    <m/>
    <m/>
    <m/>
    <m/>
    <m/>
    <s v="João Carlos"/>
  </r>
  <r>
    <d v="2026-04-16T00:00:00"/>
    <s v="quinta-feira"/>
    <d v="2026-04-16T00:00:00"/>
    <m/>
    <x v="0"/>
    <m/>
    <m/>
    <m/>
    <m/>
    <m/>
    <m/>
    <m/>
    <m/>
    <m/>
    <m/>
    <s v="João Carlos"/>
  </r>
  <r>
    <d v="2026-04-17T00:00:00"/>
    <s v="sexta-feira"/>
    <d v="2026-04-17T00:00:00"/>
    <m/>
    <x v="0"/>
    <m/>
    <m/>
    <m/>
    <m/>
    <m/>
    <m/>
    <m/>
    <m/>
    <m/>
    <m/>
    <s v="João Carlos"/>
  </r>
  <r>
    <d v="2026-04-18T00:00:00"/>
    <s v="sábado"/>
    <d v="2026-04-18T00:00:00"/>
    <s v="NÃO"/>
    <x v="0"/>
    <m/>
    <m/>
    <m/>
    <m/>
    <m/>
    <m/>
    <m/>
    <m/>
    <m/>
    <m/>
    <s v="João Carlos"/>
  </r>
  <r>
    <d v="2026-04-19T00:00:00"/>
    <s v="domingo"/>
    <d v="2026-04-19T00:00:00"/>
    <s v="NÃO"/>
    <x v="0"/>
    <m/>
    <m/>
    <m/>
    <m/>
    <m/>
    <m/>
    <m/>
    <m/>
    <m/>
    <m/>
    <s v="João Carlos"/>
  </r>
  <r>
    <d v="2026-04-20T00:00:00"/>
    <s v="segunda-feira"/>
    <d v="2026-04-20T00:00:00"/>
    <m/>
    <x v="0"/>
    <m/>
    <m/>
    <m/>
    <m/>
    <m/>
    <m/>
    <m/>
    <m/>
    <m/>
    <m/>
    <s v="João Carlos"/>
  </r>
  <r>
    <d v="2026-04-21T00:00:00"/>
    <s v="terça-feira"/>
    <d v="2026-04-21T00:00:00"/>
    <m/>
    <x v="0"/>
    <m/>
    <m/>
    <m/>
    <m/>
    <m/>
    <m/>
    <m/>
    <m/>
    <m/>
    <m/>
    <s v="João Carlos"/>
  </r>
  <r>
    <d v="2026-04-22T00:00:00"/>
    <s v="quarta-feira"/>
    <d v="2026-04-22T00:00:00"/>
    <m/>
    <x v="0"/>
    <m/>
    <m/>
    <m/>
    <m/>
    <m/>
    <m/>
    <m/>
    <m/>
    <m/>
    <m/>
    <s v="João Carlos"/>
  </r>
  <r>
    <d v="2026-04-23T00:00:00"/>
    <s v="quinta-feira"/>
    <d v="2026-04-23T00:00:00"/>
    <m/>
    <x v="0"/>
    <m/>
    <m/>
    <m/>
    <m/>
    <m/>
    <m/>
    <m/>
    <m/>
    <m/>
    <m/>
    <s v="João Carlos"/>
  </r>
  <r>
    <d v="2026-04-24T00:00:00"/>
    <s v="sexta-feira"/>
    <d v="2026-04-24T00:00:00"/>
    <m/>
    <x v="0"/>
    <m/>
    <m/>
    <m/>
    <m/>
    <m/>
    <m/>
    <m/>
    <m/>
    <m/>
    <m/>
    <s v="João Carlos"/>
  </r>
  <r>
    <d v="2026-04-25T00:00:00"/>
    <s v="sábado"/>
    <d v="2026-04-25T00:00:00"/>
    <s v="NÃO"/>
    <x v="0"/>
    <m/>
    <m/>
    <m/>
    <m/>
    <m/>
    <m/>
    <m/>
    <m/>
    <m/>
    <m/>
    <s v="João Carlos"/>
  </r>
  <r>
    <d v="2026-04-26T00:00:00"/>
    <s v="domingo"/>
    <d v="2026-04-26T00:00:00"/>
    <s v="NÃO"/>
    <x v="0"/>
    <m/>
    <m/>
    <m/>
    <m/>
    <m/>
    <m/>
    <m/>
    <m/>
    <m/>
    <m/>
    <s v="João Carlos"/>
  </r>
  <r>
    <d v="2026-04-27T00:00:00"/>
    <s v="segunda-feira"/>
    <d v="2026-04-27T00:00:00"/>
    <m/>
    <x v="0"/>
    <m/>
    <m/>
    <m/>
    <m/>
    <m/>
    <m/>
    <m/>
    <m/>
    <m/>
    <m/>
    <s v="João Carlos"/>
  </r>
  <r>
    <d v="2026-04-28T00:00:00"/>
    <s v="terça-feira"/>
    <d v="2026-04-28T00:00:00"/>
    <m/>
    <x v="0"/>
    <m/>
    <m/>
    <m/>
    <m/>
    <m/>
    <m/>
    <m/>
    <m/>
    <m/>
    <m/>
    <s v="João Carlos"/>
  </r>
  <r>
    <d v="2026-04-29T00:00:00"/>
    <s v="quarta-feira"/>
    <d v="2026-04-29T00:00:00"/>
    <m/>
    <x v="0"/>
    <m/>
    <m/>
    <m/>
    <m/>
    <m/>
    <m/>
    <m/>
    <m/>
    <m/>
    <m/>
    <s v="João Carlos"/>
  </r>
  <r>
    <d v="2026-04-30T00:00:00"/>
    <s v="quinta-feira"/>
    <d v="2026-04-30T00:00:00"/>
    <m/>
    <x v="0"/>
    <m/>
    <m/>
    <m/>
    <m/>
    <m/>
    <m/>
    <m/>
    <m/>
    <m/>
    <m/>
    <s v="João Carlos"/>
  </r>
  <r>
    <d v="2026-05-01T00:00:00"/>
    <s v="sexta-feira"/>
    <d v="2026-05-01T00:00:00"/>
    <m/>
    <x v="0"/>
    <m/>
    <m/>
    <m/>
    <m/>
    <m/>
    <m/>
    <m/>
    <m/>
    <m/>
    <m/>
    <s v="João Carlos"/>
  </r>
  <r>
    <d v="2026-05-02T00:00:00"/>
    <s v="sábado"/>
    <d v="2026-05-02T00:00:00"/>
    <s v="NÃO"/>
    <x v="0"/>
    <m/>
    <m/>
    <m/>
    <m/>
    <m/>
    <m/>
    <m/>
    <m/>
    <m/>
    <m/>
    <s v="João Carlos"/>
  </r>
  <r>
    <d v="2026-05-03T00:00:00"/>
    <s v="domingo"/>
    <d v="2026-05-03T00:00:00"/>
    <s v="NÃO"/>
    <x v="0"/>
    <m/>
    <m/>
    <m/>
    <m/>
    <m/>
    <m/>
    <m/>
    <m/>
    <m/>
    <m/>
    <s v="João Carlos"/>
  </r>
  <r>
    <d v="2026-05-04T00:00:00"/>
    <s v="segunda-feira"/>
    <d v="2026-05-04T00:00:00"/>
    <m/>
    <x v="0"/>
    <m/>
    <m/>
    <m/>
    <m/>
    <m/>
    <m/>
    <m/>
    <m/>
    <m/>
    <m/>
    <s v="João Carlos"/>
  </r>
  <r>
    <d v="2026-05-05T00:00:00"/>
    <s v="terça-feira"/>
    <d v="2026-05-05T00:00:00"/>
    <m/>
    <x v="0"/>
    <m/>
    <m/>
    <m/>
    <m/>
    <m/>
    <m/>
    <m/>
    <m/>
    <m/>
    <m/>
    <s v="João Carlos"/>
  </r>
  <r>
    <d v="2026-05-06T00:00:00"/>
    <s v="quarta-feira"/>
    <d v="2026-05-06T00:00:00"/>
    <m/>
    <x v="0"/>
    <m/>
    <m/>
    <m/>
    <m/>
    <m/>
    <m/>
    <m/>
    <m/>
    <m/>
    <m/>
    <s v="João Carlos"/>
  </r>
  <r>
    <d v="2026-05-07T00:00:00"/>
    <s v="quinta-feira"/>
    <d v="2026-05-07T00:00:00"/>
    <m/>
    <x v="0"/>
    <m/>
    <m/>
    <m/>
    <m/>
    <m/>
    <m/>
    <m/>
    <m/>
    <m/>
    <m/>
    <s v="João Carlos"/>
  </r>
  <r>
    <d v="2026-05-08T00:00:00"/>
    <s v="sexta-feira"/>
    <d v="2026-05-08T00:00:00"/>
    <m/>
    <x v="0"/>
    <m/>
    <m/>
    <m/>
    <m/>
    <m/>
    <m/>
    <m/>
    <m/>
    <m/>
    <m/>
    <s v="João Carlos"/>
  </r>
  <r>
    <d v="2026-05-09T00:00:00"/>
    <s v="sábado"/>
    <d v="2026-05-09T00:00:00"/>
    <s v="NÃO"/>
    <x v="0"/>
    <m/>
    <m/>
    <m/>
    <m/>
    <m/>
    <m/>
    <m/>
    <m/>
    <m/>
    <m/>
    <s v="João Carlos"/>
  </r>
  <r>
    <d v="2026-05-10T00:00:00"/>
    <s v="domingo"/>
    <d v="2026-05-10T00:00:00"/>
    <s v="NÃO"/>
    <x v="0"/>
    <m/>
    <m/>
    <m/>
    <m/>
    <m/>
    <m/>
    <m/>
    <m/>
    <m/>
    <m/>
    <s v="João Carlos"/>
  </r>
  <r>
    <d v="2026-05-11T00:00:00"/>
    <s v="segunda-feira"/>
    <d v="2026-05-11T00:00:00"/>
    <m/>
    <x v="0"/>
    <m/>
    <m/>
    <m/>
    <m/>
    <m/>
    <m/>
    <m/>
    <m/>
    <m/>
    <m/>
    <s v="João Carlos"/>
  </r>
  <r>
    <d v="2026-05-12T00:00:00"/>
    <s v="terça-feira"/>
    <d v="2026-05-12T00:00:00"/>
    <m/>
    <x v="0"/>
    <m/>
    <m/>
    <m/>
    <m/>
    <m/>
    <m/>
    <m/>
    <m/>
    <m/>
    <m/>
    <s v="João Carlos"/>
  </r>
  <r>
    <d v="2026-05-13T00:00:00"/>
    <s v="quarta-feira"/>
    <d v="2026-05-13T00:00:00"/>
    <m/>
    <x v="0"/>
    <m/>
    <m/>
    <m/>
    <m/>
    <m/>
    <m/>
    <m/>
    <m/>
    <m/>
    <m/>
    <s v="João Carlos"/>
  </r>
  <r>
    <d v="2026-05-14T00:00:00"/>
    <s v="quinta-feira"/>
    <d v="2026-05-14T00:00:00"/>
    <m/>
    <x v="0"/>
    <m/>
    <m/>
    <m/>
    <m/>
    <m/>
    <m/>
    <m/>
    <m/>
    <m/>
    <m/>
    <s v="João Carlos"/>
  </r>
  <r>
    <d v="2026-05-15T00:00:00"/>
    <s v="sexta-feira"/>
    <d v="2026-05-15T00:00:00"/>
    <m/>
    <x v="0"/>
    <m/>
    <m/>
    <m/>
    <m/>
    <m/>
    <m/>
    <m/>
    <m/>
    <m/>
    <m/>
    <s v="João Carlos"/>
  </r>
  <r>
    <d v="2026-05-16T00:00:00"/>
    <s v="sábado"/>
    <d v="2026-05-16T00:00:00"/>
    <s v="NÃO"/>
    <x v="0"/>
    <m/>
    <m/>
    <m/>
    <m/>
    <m/>
    <m/>
    <m/>
    <m/>
    <m/>
    <m/>
    <s v="João Carlos"/>
  </r>
  <r>
    <d v="2026-05-17T00:00:00"/>
    <s v="domingo"/>
    <d v="2026-05-17T00:00:00"/>
    <s v="NÃO"/>
    <x v="0"/>
    <m/>
    <m/>
    <m/>
    <m/>
    <m/>
    <m/>
    <m/>
    <m/>
    <m/>
    <m/>
    <s v="João Carlos"/>
  </r>
  <r>
    <d v="2026-05-18T00:00:00"/>
    <s v="segunda-feira"/>
    <d v="2026-05-18T00:00:00"/>
    <m/>
    <x v="0"/>
    <m/>
    <m/>
    <m/>
    <m/>
    <m/>
    <m/>
    <m/>
    <m/>
    <m/>
    <m/>
    <s v="João Carlos"/>
  </r>
  <r>
    <d v="2026-05-19T00:00:00"/>
    <s v="terça-feira"/>
    <d v="2026-05-19T00:00:00"/>
    <m/>
    <x v="0"/>
    <m/>
    <m/>
    <m/>
    <m/>
    <m/>
    <m/>
    <m/>
    <m/>
    <m/>
    <m/>
    <s v="João Carlos"/>
  </r>
  <r>
    <d v="2026-05-20T00:00:00"/>
    <s v="quarta-feira"/>
    <d v="2026-05-20T00:00:00"/>
    <m/>
    <x v="0"/>
    <m/>
    <m/>
    <m/>
    <m/>
    <m/>
    <m/>
    <m/>
    <m/>
    <m/>
    <m/>
    <s v="João Carlos"/>
  </r>
  <r>
    <d v="2026-05-21T00:00:00"/>
    <s v="quinta-feira"/>
    <d v="2026-05-21T00:00:00"/>
    <m/>
    <x v="0"/>
    <m/>
    <m/>
    <m/>
    <m/>
    <m/>
    <m/>
    <m/>
    <m/>
    <m/>
    <m/>
    <s v="João Carlos"/>
  </r>
  <r>
    <d v="2026-05-22T00:00:00"/>
    <s v="sexta-feira"/>
    <d v="2026-05-22T00:00:00"/>
    <m/>
    <x v="0"/>
    <m/>
    <m/>
    <m/>
    <m/>
    <m/>
    <m/>
    <m/>
    <m/>
    <m/>
    <m/>
    <s v="João Carlos"/>
  </r>
  <r>
    <d v="2026-05-23T00:00:00"/>
    <s v="sábado"/>
    <d v="2026-05-23T00:00:00"/>
    <s v="NÃO"/>
    <x v="0"/>
    <m/>
    <m/>
    <m/>
    <m/>
    <m/>
    <m/>
    <m/>
    <m/>
    <m/>
    <m/>
    <s v="João Carlos"/>
  </r>
  <r>
    <d v="2026-05-24T00:00:00"/>
    <s v="domingo"/>
    <d v="2026-05-24T00:00:00"/>
    <s v="NÃO"/>
    <x v="0"/>
    <m/>
    <m/>
    <m/>
    <m/>
    <m/>
    <m/>
    <m/>
    <m/>
    <m/>
    <m/>
    <s v="João Carlos"/>
  </r>
  <r>
    <d v="2026-05-25T00:00:00"/>
    <s v="segunda-feira"/>
    <d v="2026-05-25T00:00:00"/>
    <m/>
    <x v="0"/>
    <m/>
    <m/>
    <m/>
    <m/>
    <m/>
    <m/>
    <m/>
    <m/>
    <m/>
    <m/>
    <s v="João Carlos"/>
  </r>
  <r>
    <d v="2026-05-26T00:00:00"/>
    <s v="terça-feira"/>
    <d v="2026-05-26T00:00:00"/>
    <m/>
    <x v="0"/>
    <m/>
    <m/>
    <m/>
    <m/>
    <m/>
    <m/>
    <m/>
    <m/>
    <m/>
    <m/>
    <s v="João Carlos"/>
  </r>
  <r>
    <d v="2026-05-27T00:00:00"/>
    <s v="quarta-feira"/>
    <d v="2026-05-27T00:00:00"/>
    <m/>
    <x v="0"/>
    <m/>
    <m/>
    <m/>
    <m/>
    <m/>
    <m/>
    <m/>
    <m/>
    <m/>
    <m/>
    <s v="João Carlos"/>
  </r>
  <r>
    <d v="2026-05-28T00:00:00"/>
    <s v="quinta-feira"/>
    <d v="2026-05-28T00:00:00"/>
    <m/>
    <x v="0"/>
    <m/>
    <m/>
    <m/>
    <m/>
    <m/>
    <m/>
    <m/>
    <m/>
    <m/>
    <m/>
    <s v="João Carlos"/>
  </r>
  <r>
    <d v="2026-05-29T00:00:00"/>
    <s v="sexta-feira"/>
    <d v="2026-05-29T00:00:00"/>
    <m/>
    <x v="0"/>
    <m/>
    <m/>
    <m/>
    <m/>
    <m/>
    <m/>
    <m/>
    <m/>
    <m/>
    <m/>
    <s v="João Carlos"/>
  </r>
  <r>
    <d v="2026-05-30T00:00:00"/>
    <s v="sábado"/>
    <d v="2026-05-30T00:00:00"/>
    <s v="NÃO"/>
    <x v="0"/>
    <m/>
    <m/>
    <m/>
    <m/>
    <m/>
    <m/>
    <m/>
    <m/>
    <m/>
    <m/>
    <s v="João Carlos"/>
  </r>
  <r>
    <d v="2026-05-31T00:00:00"/>
    <s v="domingo"/>
    <d v="2026-05-31T00:00:00"/>
    <s v="NÃO"/>
    <x v="0"/>
    <m/>
    <m/>
    <m/>
    <m/>
    <m/>
    <m/>
    <m/>
    <m/>
    <m/>
    <m/>
    <s v="João Carlos"/>
  </r>
  <r>
    <d v="2026-06-01T00:00:00"/>
    <s v="segunda-feira"/>
    <d v="2026-06-01T00:00:00"/>
    <m/>
    <x v="0"/>
    <m/>
    <m/>
    <m/>
    <m/>
    <m/>
    <m/>
    <m/>
    <m/>
    <m/>
    <m/>
    <s v="João Carlos"/>
  </r>
  <r>
    <d v="2026-06-02T00:00:00"/>
    <s v="terça-feira"/>
    <d v="2026-06-02T00:00:00"/>
    <m/>
    <x v="0"/>
    <m/>
    <m/>
    <m/>
    <m/>
    <m/>
    <m/>
    <m/>
    <m/>
    <m/>
    <m/>
    <s v="João Carlos"/>
  </r>
  <r>
    <d v="2026-06-03T00:00:00"/>
    <s v="quarta-feira"/>
    <d v="2026-06-03T00:00:00"/>
    <m/>
    <x v="0"/>
    <m/>
    <m/>
    <m/>
    <m/>
    <m/>
    <m/>
    <m/>
    <m/>
    <m/>
    <m/>
    <s v="João Carlos"/>
  </r>
  <r>
    <d v="2026-06-04T00:00:00"/>
    <s v="quinta-feira"/>
    <d v="2026-06-04T00:00:00"/>
    <m/>
    <x v="0"/>
    <m/>
    <m/>
    <m/>
    <m/>
    <m/>
    <m/>
    <m/>
    <m/>
    <m/>
    <m/>
    <s v="João Carlos"/>
  </r>
  <r>
    <d v="2026-06-05T00:00:00"/>
    <s v="sexta-feira"/>
    <d v="2026-06-05T00:00:00"/>
    <m/>
    <x v="0"/>
    <m/>
    <m/>
    <m/>
    <m/>
    <m/>
    <m/>
    <m/>
    <m/>
    <m/>
    <m/>
    <s v="João Carlos"/>
  </r>
  <r>
    <d v="2026-06-06T00:00:00"/>
    <s v="sábado"/>
    <d v="2026-06-06T00:00:00"/>
    <s v="NÃO"/>
    <x v="0"/>
    <m/>
    <m/>
    <m/>
    <m/>
    <m/>
    <m/>
    <m/>
    <m/>
    <m/>
    <m/>
    <s v="João Carlos"/>
  </r>
  <r>
    <d v="2026-06-07T00:00:00"/>
    <s v="domingo"/>
    <d v="2026-06-07T00:00:00"/>
    <s v="NÃO"/>
    <x v="0"/>
    <m/>
    <m/>
    <m/>
    <m/>
    <m/>
    <m/>
    <m/>
    <m/>
    <m/>
    <m/>
    <s v="João Carlos"/>
  </r>
  <r>
    <d v="2026-06-08T00:00:00"/>
    <s v="segunda-feira"/>
    <d v="2026-06-08T00:00:00"/>
    <m/>
    <x v="0"/>
    <m/>
    <m/>
    <m/>
    <m/>
    <m/>
    <m/>
    <m/>
    <m/>
    <m/>
    <m/>
    <s v="João Carlos"/>
  </r>
  <r>
    <d v="2026-06-09T00:00:00"/>
    <s v="terça-feira"/>
    <d v="2026-06-09T00:00:00"/>
    <m/>
    <x v="0"/>
    <m/>
    <m/>
    <m/>
    <m/>
    <m/>
    <m/>
    <m/>
    <m/>
    <m/>
    <m/>
    <s v="João Carlos"/>
  </r>
  <r>
    <d v="2026-06-10T00:00:00"/>
    <s v="quarta-feira"/>
    <d v="2026-06-10T00:00:00"/>
    <m/>
    <x v="0"/>
    <m/>
    <m/>
    <m/>
    <m/>
    <m/>
    <m/>
    <m/>
    <m/>
    <m/>
    <m/>
    <s v="João Carlos"/>
  </r>
  <r>
    <d v="2026-06-11T00:00:00"/>
    <s v="quinta-feira"/>
    <d v="2026-06-11T00:00:00"/>
    <m/>
    <x v="0"/>
    <m/>
    <m/>
    <m/>
    <m/>
    <m/>
    <m/>
    <m/>
    <m/>
    <m/>
    <m/>
    <s v="João Carlos"/>
  </r>
  <r>
    <d v="2026-06-12T00:00:00"/>
    <s v="sexta-feira"/>
    <d v="2026-06-12T00:00:00"/>
    <m/>
    <x v="0"/>
    <m/>
    <m/>
    <m/>
    <m/>
    <m/>
    <m/>
    <m/>
    <m/>
    <m/>
    <m/>
    <s v="João Carlos"/>
  </r>
  <r>
    <d v="2026-06-13T00:00:00"/>
    <s v="sábado"/>
    <d v="2026-06-13T00:00:00"/>
    <s v="NÃO"/>
    <x v="0"/>
    <m/>
    <m/>
    <m/>
    <m/>
    <m/>
    <m/>
    <m/>
    <m/>
    <m/>
    <m/>
    <s v="João Carlos"/>
  </r>
  <r>
    <d v="2026-06-14T00:00:00"/>
    <s v="domingo"/>
    <d v="2026-06-14T00:00:00"/>
    <s v="NÃO"/>
    <x v="0"/>
    <m/>
    <m/>
    <m/>
    <m/>
    <m/>
    <m/>
    <m/>
    <m/>
    <m/>
    <m/>
    <s v="João Carlos"/>
  </r>
  <r>
    <d v="2026-06-15T00:00:00"/>
    <s v="segunda-feira"/>
    <d v="2026-06-15T00:00:00"/>
    <m/>
    <x v="0"/>
    <m/>
    <m/>
    <m/>
    <m/>
    <m/>
    <m/>
    <m/>
    <m/>
    <m/>
    <m/>
    <s v="João Carlos"/>
  </r>
  <r>
    <d v="2026-06-16T00:00:00"/>
    <s v="terça-feira"/>
    <d v="2026-06-16T00:00:00"/>
    <m/>
    <x v="0"/>
    <m/>
    <m/>
    <m/>
    <m/>
    <m/>
    <m/>
    <m/>
    <m/>
    <m/>
    <m/>
    <s v="João Carlos"/>
  </r>
  <r>
    <d v="2026-06-17T00:00:00"/>
    <s v="quarta-feira"/>
    <d v="2026-06-17T00:00:00"/>
    <m/>
    <x v="0"/>
    <m/>
    <m/>
    <m/>
    <m/>
    <m/>
    <m/>
    <m/>
    <m/>
    <m/>
    <m/>
    <s v="João Carlos"/>
  </r>
  <r>
    <d v="2026-06-18T00:00:00"/>
    <s v="quinta-feira"/>
    <d v="2026-06-18T00:00:00"/>
    <m/>
    <x v="0"/>
    <m/>
    <m/>
    <m/>
    <m/>
    <m/>
    <m/>
    <m/>
    <m/>
    <m/>
    <m/>
    <s v="João Carlos"/>
  </r>
  <r>
    <d v="2026-06-19T00:00:00"/>
    <s v="sexta-feira"/>
    <d v="2026-06-19T00:00:00"/>
    <m/>
    <x v="0"/>
    <m/>
    <m/>
    <m/>
    <m/>
    <m/>
    <m/>
    <m/>
    <m/>
    <m/>
    <m/>
    <s v="João Carlos"/>
  </r>
  <r>
    <d v="2026-06-20T00:00:00"/>
    <s v="sábado"/>
    <d v="2026-06-20T00:00:00"/>
    <s v="NÃO"/>
    <x v="0"/>
    <m/>
    <m/>
    <m/>
    <m/>
    <m/>
    <m/>
    <m/>
    <m/>
    <m/>
    <m/>
    <s v="João Carlos"/>
  </r>
  <r>
    <d v="2026-06-21T00:00:00"/>
    <s v="domingo"/>
    <d v="2026-06-21T00:00:00"/>
    <s v="NÃO"/>
    <x v="0"/>
    <m/>
    <m/>
    <m/>
    <m/>
    <m/>
    <m/>
    <m/>
    <m/>
    <m/>
    <m/>
    <s v="João Carlos"/>
  </r>
  <r>
    <d v="2026-06-22T00:00:00"/>
    <s v="segunda-feira"/>
    <d v="2026-06-22T00:00:00"/>
    <m/>
    <x v="0"/>
    <m/>
    <m/>
    <m/>
    <m/>
    <m/>
    <m/>
    <m/>
    <m/>
    <m/>
    <m/>
    <s v="João Carlos"/>
  </r>
  <r>
    <d v="2026-06-23T00:00:00"/>
    <s v="terça-feira"/>
    <d v="2026-06-23T00:00:00"/>
    <m/>
    <x v="0"/>
    <m/>
    <m/>
    <m/>
    <m/>
    <m/>
    <m/>
    <m/>
    <m/>
    <m/>
    <m/>
    <s v="João Carlos"/>
  </r>
  <r>
    <d v="2026-06-24T00:00:00"/>
    <s v="quarta-feira"/>
    <d v="2026-06-24T00:00:00"/>
    <m/>
    <x v="0"/>
    <m/>
    <m/>
    <m/>
    <m/>
    <m/>
    <m/>
    <m/>
    <m/>
    <m/>
    <m/>
    <s v="João Carlos"/>
  </r>
  <r>
    <d v="2026-06-25T00:00:00"/>
    <s v="quinta-feira"/>
    <d v="2026-06-25T00:00:00"/>
    <m/>
    <x v="0"/>
    <m/>
    <m/>
    <m/>
    <m/>
    <m/>
    <m/>
    <m/>
    <m/>
    <m/>
    <m/>
    <s v="João Carlos"/>
  </r>
  <r>
    <d v="2026-06-26T00:00:00"/>
    <s v="sexta-feira"/>
    <d v="2026-06-26T00:00:00"/>
    <m/>
    <x v="0"/>
    <m/>
    <m/>
    <m/>
    <m/>
    <m/>
    <m/>
    <m/>
    <m/>
    <m/>
    <m/>
    <s v="João Carlos"/>
  </r>
  <r>
    <d v="2026-06-27T00:00:00"/>
    <s v="sábado"/>
    <d v="2026-06-27T00:00:00"/>
    <s v="NÃO"/>
    <x v="0"/>
    <m/>
    <m/>
    <m/>
    <m/>
    <m/>
    <m/>
    <m/>
    <m/>
    <m/>
    <m/>
    <s v="João Carlos"/>
  </r>
  <r>
    <d v="2026-06-28T00:00:00"/>
    <s v="domingo"/>
    <d v="2026-06-28T00:00:00"/>
    <s v="NÃO"/>
    <x v="0"/>
    <m/>
    <m/>
    <m/>
    <m/>
    <m/>
    <m/>
    <m/>
    <m/>
    <m/>
    <m/>
    <s v="João Carlos"/>
  </r>
  <r>
    <d v="2026-06-29T00:00:00"/>
    <s v="segunda-feira"/>
    <d v="2026-06-29T00:00:00"/>
    <m/>
    <x v="0"/>
    <m/>
    <m/>
    <m/>
    <m/>
    <m/>
    <m/>
    <m/>
    <m/>
    <m/>
    <m/>
    <s v="João Carlos"/>
  </r>
  <r>
    <d v="2026-06-30T00:00:00"/>
    <s v="terça-feira"/>
    <d v="2026-06-30T00:00:00"/>
    <m/>
    <x v="0"/>
    <m/>
    <m/>
    <m/>
    <m/>
    <m/>
    <m/>
    <m/>
    <m/>
    <m/>
    <m/>
    <s v="João Carlos"/>
  </r>
  <r>
    <d v="2026-07-01T00:00:00"/>
    <s v="quarta-feira"/>
    <d v="2026-07-01T00:00:00"/>
    <m/>
    <x v="0"/>
    <m/>
    <m/>
    <m/>
    <m/>
    <m/>
    <m/>
    <m/>
    <m/>
    <m/>
    <m/>
    <s v="João Carlos"/>
  </r>
  <r>
    <d v="2026-07-02T00:00:00"/>
    <s v="quinta-feira"/>
    <d v="2026-07-02T00:00:00"/>
    <m/>
    <x v="0"/>
    <m/>
    <m/>
    <m/>
    <m/>
    <m/>
    <m/>
    <m/>
    <m/>
    <m/>
    <m/>
    <s v="João Carlos"/>
  </r>
  <r>
    <d v="2026-07-03T00:00:00"/>
    <s v="sexta-feira"/>
    <d v="2026-07-03T00:00:00"/>
    <m/>
    <x v="0"/>
    <m/>
    <m/>
    <m/>
    <m/>
    <m/>
    <m/>
    <m/>
    <m/>
    <m/>
    <m/>
    <s v="João Carlos"/>
  </r>
  <r>
    <d v="2026-07-04T00:00:00"/>
    <s v="sábado"/>
    <d v="2026-07-04T00:00:00"/>
    <s v="NÃO"/>
    <x v="0"/>
    <m/>
    <m/>
    <m/>
    <m/>
    <m/>
    <m/>
    <m/>
    <m/>
    <m/>
    <m/>
    <s v="João Carlos"/>
  </r>
  <r>
    <d v="2026-07-05T00:00:00"/>
    <s v="domingo"/>
    <d v="2026-07-05T00:00:00"/>
    <s v="NÃO"/>
    <x v="0"/>
    <m/>
    <m/>
    <m/>
    <m/>
    <m/>
    <m/>
    <m/>
    <m/>
    <m/>
    <m/>
    <s v="João Carlos"/>
  </r>
  <r>
    <d v="2026-07-06T00:00:00"/>
    <s v="segunda-feira"/>
    <d v="2026-07-06T00:00:00"/>
    <m/>
    <x v="0"/>
    <m/>
    <m/>
    <m/>
    <m/>
    <m/>
    <m/>
    <m/>
    <m/>
    <m/>
    <m/>
    <s v="João Carlos"/>
  </r>
  <r>
    <d v="2026-07-07T00:00:00"/>
    <s v="terça-feira"/>
    <d v="2026-07-07T00:00:00"/>
    <m/>
    <x v="0"/>
    <m/>
    <m/>
    <m/>
    <m/>
    <m/>
    <m/>
    <m/>
    <m/>
    <m/>
    <m/>
    <s v="João Carlos"/>
  </r>
  <r>
    <d v="2026-07-08T00:00:00"/>
    <s v="quarta-feira"/>
    <d v="2026-07-08T00:00:00"/>
    <m/>
    <x v="0"/>
    <m/>
    <m/>
    <m/>
    <m/>
    <m/>
    <m/>
    <m/>
    <m/>
    <m/>
    <m/>
    <s v="João Carlos"/>
  </r>
  <r>
    <d v="2026-07-09T00:00:00"/>
    <s v="quinta-feira"/>
    <d v="2026-07-09T00:00:00"/>
    <m/>
    <x v="0"/>
    <m/>
    <m/>
    <m/>
    <m/>
    <m/>
    <m/>
    <m/>
    <m/>
    <m/>
    <m/>
    <s v="João Carlos"/>
  </r>
  <r>
    <d v="2026-07-10T00:00:00"/>
    <s v="sexta-feira"/>
    <d v="2026-07-10T00:00:00"/>
    <m/>
    <x v="0"/>
    <m/>
    <m/>
    <m/>
    <m/>
    <m/>
    <m/>
    <m/>
    <m/>
    <m/>
    <m/>
    <s v="João Carlos"/>
  </r>
  <r>
    <d v="2026-07-11T00:00:00"/>
    <s v="sábado"/>
    <d v="2026-07-11T00:00:00"/>
    <s v="NÃO"/>
    <x v="0"/>
    <m/>
    <m/>
    <m/>
    <m/>
    <m/>
    <m/>
    <m/>
    <m/>
    <m/>
    <m/>
    <s v="João Carlos"/>
  </r>
  <r>
    <d v="2026-07-12T00:00:00"/>
    <s v="domingo"/>
    <d v="2026-07-12T00:00:00"/>
    <s v="NÃO"/>
    <x v="0"/>
    <m/>
    <m/>
    <m/>
    <m/>
    <m/>
    <m/>
    <m/>
    <m/>
    <m/>
    <m/>
    <s v="João Carlos"/>
  </r>
  <r>
    <d v="2026-07-13T00:00:00"/>
    <s v="segunda-feira"/>
    <d v="2026-07-13T00:00:00"/>
    <m/>
    <x v="0"/>
    <m/>
    <m/>
    <m/>
    <m/>
    <m/>
    <m/>
    <m/>
    <m/>
    <m/>
    <m/>
    <s v="João Carlos"/>
  </r>
  <r>
    <d v="2026-07-14T00:00:00"/>
    <s v="terça-feira"/>
    <d v="2026-07-14T00:00:00"/>
    <m/>
    <x v="0"/>
    <m/>
    <m/>
    <m/>
    <m/>
    <m/>
    <m/>
    <m/>
    <m/>
    <m/>
    <m/>
    <s v="João Carlos"/>
  </r>
  <r>
    <d v="2026-07-15T00:00:00"/>
    <s v="quarta-feira"/>
    <d v="2026-07-15T00:00:00"/>
    <m/>
    <x v="0"/>
    <m/>
    <m/>
    <m/>
    <m/>
    <m/>
    <m/>
    <m/>
    <m/>
    <m/>
    <m/>
    <s v="João Carlos"/>
  </r>
  <r>
    <d v="2026-07-16T00:00:00"/>
    <s v="quinta-feira"/>
    <d v="2026-07-16T00:00:00"/>
    <m/>
    <x v="0"/>
    <m/>
    <m/>
    <m/>
    <m/>
    <m/>
    <m/>
    <m/>
    <m/>
    <m/>
    <m/>
    <s v="João Carlos"/>
  </r>
  <r>
    <d v="2026-07-17T00:00:00"/>
    <s v="sexta-feira"/>
    <d v="2026-07-17T00:00:00"/>
    <m/>
    <x v="0"/>
    <m/>
    <m/>
    <m/>
    <m/>
    <m/>
    <m/>
    <m/>
    <m/>
    <m/>
    <m/>
    <s v="João Carlos"/>
  </r>
  <r>
    <d v="2026-07-18T00:00:00"/>
    <s v="sábado"/>
    <d v="2026-07-18T00:00:00"/>
    <s v="NÃO"/>
    <x v="0"/>
    <m/>
    <m/>
    <m/>
    <m/>
    <m/>
    <m/>
    <m/>
    <m/>
    <m/>
    <m/>
    <s v="João Carlos"/>
  </r>
  <r>
    <d v="2026-07-19T00:00:00"/>
    <s v="domingo"/>
    <d v="2026-07-19T00:00:00"/>
    <s v="NÃO"/>
    <x v="0"/>
    <m/>
    <m/>
    <m/>
    <m/>
    <m/>
    <m/>
    <m/>
    <m/>
    <m/>
    <m/>
    <s v="João Carlos"/>
  </r>
  <r>
    <d v="2026-07-20T00:00:00"/>
    <s v="segunda-feira"/>
    <d v="2026-07-20T00:00:00"/>
    <m/>
    <x v="0"/>
    <m/>
    <m/>
    <m/>
    <m/>
    <m/>
    <m/>
    <m/>
    <m/>
    <m/>
    <m/>
    <s v="João Carlos"/>
  </r>
  <r>
    <d v="2026-07-21T00:00:00"/>
    <s v="terça-feira"/>
    <d v="2026-07-21T00:00:00"/>
    <m/>
    <x v="0"/>
    <m/>
    <m/>
    <m/>
    <m/>
    <m/>
    <m/>
    <m/>
    <m/>
    <m/>
    <m/>
    <s v="João Carlos"/>
  </r>
  <r>
    <d v="2026-07-22T00:00:00"/>
    <s v="quarta-feira"/>
    <d v="2026-07-22T00:00:00"/>
    <m/>
    <x v="0"/>
    <m/>
    <m/>
    <m/>
    <m/>
    <m/>
    <m/>
    <m/>
    <m/>
    <m/>
    <m/>
    <s v="João Carlos"/>
  </r>
  <r>
    <d v="2026-07-23T00:00:00"/>
    <s v="quinta-feira"/>
    <d v="2026-07-23T00:00:00"/>
    <m/>
    <x v="0"/>
    <m/>
    <m/>
    <m/>
    <m/>
    <m/>
    <m/>
    <m/>
    <m/>
    <m/>
    <m/>
    <s v="João Carlos"/>
  </r>
  <r>
    <d v="2026-07-24T00:00:00"/>
    <s v="sexta-feira"/>
    <d v="2026-07-24T00:00:00"/>
    <m/>
    <x v="0"/>
    <m/>
    <m/>
    <m/>
    <m/>
    <m/>
    <m/>
    <m/>
    <m/>
    <m/>
    <m/>
    <s v="João Carlos"/>
  </r>
  <r>
    <d v="2026-07-25T00:00:00"/>
    <s v="sábado"/>
    <d v="2026-07-25T00:00:00"/>
    <s v="NÃO"/>
    <x v="0"/>
    <m/>
    <m/>
    <m/>
    <m/>
    <m/>
    <m/>
    <m/>
    <m/>
    <m/>
    <m/>
    <s v="João Carlos"/>
  </r>
  <r>
    <d v="2026-07-26T00:00:00"/>
    <s v="domingo"/>
    <d v="2026-07-26T00:00:00"/>
    <s v="NÃO"/>
    <x v="0"/>
    <m/>
    <m/>
    <m/>
    <m/>
    <m/>
    <m/>
    <m/>
    <m/>
    <m/>
    <m/>
    <s v="João Carlos"/>
  </r>
  <r>
    <d v="2026-07-27T00:00:00"/>
    <s v="segunda-feira"/>
    <d v="2026-07-27T00:00:00"/>
    <m/>
    <x v="0"/>
    <m/>
    <m/>
    <m/>
    <m/>
    <m/>
    <m/>
    <m/>
    <m/>
    <m/>
    <m/>
    <s v="João Carlos"/>
  </r>
  <r>
    <d v="2026-07-28T00:00:00"/>
    <s v="terça-feira"/>
    <d v="2026-07-28T00:00:00"/>
    <m/>
    <x v="0"/>
    <m/>
    <m/>
    <m/>
    <m/>
    <m/>
    <m/>
    <m/>
    <m/>
    <m/>
    <m/>
    <s v="João Carlos"/>
  </r>
  <r>
    <d v="2026-07-29T00:00:00"/>
    <s v="quarta-feira"/>
    <d v="2026-07-29T00:00:00"/>
    <m/>
    <x v="0"/>
    <m/>
    <m/>
    <m/>
    <m/>
    <m/>
    <m/>
    <m/>
    <m/>
    <m/>
    <m/>
    <s v="João Carlos"/>
  </r>
  <r>
    <d v="2026-07-30T00:00:00"/>
    <s v="quinta-feira"/>
    <d v="2026-07-30T00:00:00"/>
    <m/>
    <x v="0"/>
    <m/>
    <m/>
    <m/>
    <m/>
    <m/>
    <m/>
    <m/>
    <m/>
    <m/>
    <m/>
    <s v="João Carlos"/>
  </r>
  <r>
    <d v="2026-07-31T00:00:00"/>
    <s v="sexta-feira"/>
    <d v="2026-07-31T00:00:00"/>
    <m/>
    <x v="0"/>
    <m/>
    <m/>
    <m/>
    <m/>
    <m/>
    <m/>
    <m/>
    <m/>
    <m/>
    <m/>
    <s v="João Carlos"/>
  </r>
  <r>
    <d v="2026-08-01T00:00:00"/>
    <s v="sábado"/>
    <d v="2026-08-01T00:00:00"/>
    <s v="NÃO"/>
    <x v="0"/>
    <m/>
    <m/>
    <m/>
    <m/>
    <m/>
    <m/>
    <m/>
    <m/>
    <m/>
    <m/>
    <s v="João Carlos"/>
  </r>
  <r>
    <d v="2026-08-02T00:00:00"/>
    <s v="domingo"/>
    <d v="2026-08-02T00:00:00"/>
    <s v="NÃO"/>
    <x v="0"/>
    <m/>
    <m/>
    <m/>
    <m/>
    <m/>
    <m/>
    <m/>
    <m/>
    <m/>
    <m/>
    <s v="João Carlos"/>
  </r>
  <r>
    <d v="2026-08-03T00:00:00"/>
    <s v="segunda-feira"/>
    <d v="2026-08-03T00:00:00"/>
    <m/>
    <x v="0"/>
    <m/>
    <m/>
    <m/>
    <m/>
    <m/>
    <m/>
    <m/>
    <m/>
    <m/>
    <m/>
    <s v="João Carlos"/>
  </r>
  <r>
    <d v="2026-08-04T00:00:00"/>
    <s v="terça-feira"/>
    <d v="2026-08-04T00:00:00"/>
    <m/>
    <x v="0"/>
    <m/>
    <m/>
    <m/>
    <m/>
    <m/>
    <m/>
    <m/>
    <m/>
    <m/>
    <m/>
    <s v="João Carlos"/>
  </r>
  <r>
    <d v="2026-08-05T00:00:00"/>
    <s v="quarta-feira"/>
    <d v="2026-08-05T00:00:00"/>
    <m/>
    <x v="0"/>
    <m/>
    <m/>
    <m/>
    <m/>
    <m/>
    <m/>
    <m/>
    <m/>
    <m/>
    <m/>
    <s v="João Carlos"/>
  </r>
  <r>
    <d v="2026-08-06T00:00:00"/>
    <s v="quinta-feira"/>
    <d v="2026-08-06T00:00:00"/>
    <m/>
    <x v="0"/>
    <m/>
    <m/>
    <m/>
    <m/>
    <m/>
    <m/>
    <m/>
    <m/>
    <m/>
    <m/>
    <s v="João Carlos"/>
  </r>
  <r>
    <d v="2026-08-07T00:00:00"/>
    <s v="sexta-feira"/>
    <d v="2026-08-07T00:00:00"/>
    <m/>
    <x v="0"/>
    <m/>
    <m/>
    <m/>
    <m/>
    <m/>
    <m/>
    <m/>
    <m/>
    <m/>
    <m/>
    <s v="João Carlos"/>
  </r>
  <r>
    <d v="2026-08-08T00:00:00"/>
    <s v="sábado"/>
    <d v="2026-08-08T00:00:00"/>
    <s v="NÃO"/>
    <x v="0"/>
    <m/>
    <m/>
    <m/>
    <m/>
    <m/>
    <m/>
    <m/>
    <m/>
    <m/>
    <m/>
    <s v="João Carlos"/>
  </r>
  <r>
    <d v="2026-08-09T00:00:00"/>
    <s v="domingo"/>
    <d v="2026-08-09T00:00:00"/>
    <s v="NÃO"/>
    <x v="0"/>
    <m/>
    <m/>
    <m/>
    <m/>
    <m/>
    <m/>
    <m/>
    <m/>
    <m/>
    <m/>
    <s v="João Carlos"/>
  </r>
  <r>
    <d v="2026-08-10T00:00:00"/>
    <s v="segunda-feira"/>
    <d v="2026-08-10T00:00:00"/>
    <m/>
    <x v="0"/>
    <m/>
    <m/>
    <m/>
    <m/>
    <m/>
    <m/>
    <m/>
    <m/>
    <m/>
    <m/>
    <s v="João Carlos"/>
  </r>
  <r>
    <d v="2026-08-11T00:00:00"/>
    <s v="terça-feira"/>
    <d v="2026-08-11T00:00:00"/>
    <m/>
    <x v="0"/>
    <m/>
    <m/>
    <m/>
    <m/>
    <m/>
    <m/>
    <m/>
    <m/>
    <m/>
    <m/>
    <s v="João Carlos"/>
  </r>
  <r>
    <d v="2026-08-12T00:00:00"/>
    <s v="quarta-feira"/>
    <d v="2026-08-12T00:00:00"/>
    <m/>
    <x v="0"/>
    <m/>
    <m/>
    <m/>
    <m/>
    <m/>
    <m/>
    <m/>
    <m/>
    <m/>
    <m/>
    <s v="João Carlos"/>
  </r>
  <r>
    <d v="2026-08-13T00:00:00"/>
    <s v="quinta-feira"/>
    <d v="2026-08-13T00:00:00"/>
    <m/>
    <x v="0"/>
    <m/>
    <m/>
    <m/>
    <m/>
    <m/>
    <m/>
    <m/>
    <m/>
    <m/>
    <m/>
    <s v="João Carlos"/>
  </r>
  <r>
    <d v="2026-08-14T00:00:00"/>
    <s v="sexta-feira"/>
    <d v="2026-08-14T00:00:00"/>
    <m/>
    <x v="0"/>
    <m/>
    <m/>
    <m/>
    <m/>
    <m/>
    <m/>
    <m/>
    <m/>
    <m/>
    <m/>
    <s v="João Carlos"/>
  </r>
  <r>
    <d v="2026-08-15T00:00:00"/>
    <s v="sábado"/>
    <d v="2026-08-15T00:00:00"/>
    <s v="NÃO"/>
    <x v="0"/>
    <m/>
    <m/>
    <m/>
    <m/>
    <m/>
    <m/>
    <m/>
    <m/>
    <m/>
    <m/>
    <s v="João Carlos"/>
  </r>
  <r>
    <d v="2026-08-16T00:00:00"/>
    <s v="domingo"/>
    <d v="2026-08-16T00:00:00"/>
    <s v="NÃO"/>
    <x v="0"/>
    <m/>
    <m/>
    <m/>
    <m/>
    <m/>
    <m/>
    <m/>
    <m/>
    <m/>
    <m/>
    <s v="João Carlos"/>
  </r>
  <r>
    <d v="2026-08-17T00:00:00"/>
    <s v="segunda-feira"/>
    <d v="2026-08-17T00:00:00"/>
    <m/>
    <x v="0"/>
    <m/>
    <m/>
    <m/>
    <m/>
    <m/>
    <m/>
    <m/>
    <m/>
    <m/>
    <m/>
    <s v="João Carlos"/>
  </r>
  <r>
    <d v="2026-08-18T00:00:00"/>
    <s v="terça-feira"/>
    <d v="2026-08-18T00:00:00"/>
    <m/>
    <x v="0"/>
    <m/>
    <m/>
    <m/>
    <m/>
    <m/>
    <m/>
    <m/>
    <m/>
    <m/>
    <m/>
    <s v="João Carlos"/>
  </r>
  <r>
    <d v="2026-08-19T00:00:00"/>
    <s v="quarta-feira"/>
    <d v="2026-08-19T00:00:00"/>
    <m/>
    <x v="0"/>
    <m/>
    <m/>
    <m/>
    <m/>
    <m/>
    <m/>
    <m/>
    <m/>
    <m/>
    <m/>
    <s v="João Carlos"/>
  </r>
  <r>
    <d v="2026-08-20T00:00:00"/>
    <s v="quinta-feira"/>
    <d v="2026-08-20T00:00:00"/>
    <m/>
    <x v="0"/>
    <m/>
    <m/>
    <m/>
    <m/>
    <m/>
    <m/>
    <m/>
    <m/>
    <m/>
    <m/>
    <s v="João Carlos"/>
  </r>
  <r>
    <d v="2026-08-21T00:00:00"/>
    <s v="sexta-feira"/>
    <d v="2026-08-21T00:00:00"/>
    <m/>
    <x v="0"/>
    <m/>
    <m/>
    <m/>
    <m/>
    <m/>
    <m/>
    <m/>
    <m/>
    <m/>
    <m/>
    <s v="João Carlos"/>
  </r>
  <r>
    <d v="2026-08-22T00:00:00"/>
    <s v="sábado"/>
    <d v="2026-08-22T00:00:00"/>
    <s v="NÃO"/>
    <x v="0"/>
    <m/>
    <m/>
    <m/>
    <m/>
    <m/>
    <m/>
    <m/>
    <m/>
    <m/>
    <m/>
    <s v="João Carlos"/>
  </r>
  <r>
    <d v="2026-08-23T00:00:00"/>
    <s v="domingo"/>
    <d v="2026-08-23T00:00:00"/>
    <s v="NÃO"/>
    <x v="0"/>
    <m/>
    <m/>
    <m/>
    <m/>
    <m/>
    <m/>
    <m/>
    <m/>
    <m/>
    <m/>
    <s v="João Carlos"/>
  </r>
  <r>
    <d v="2026-08-24T00:00:00"/>
    <s v="segunda-feira"/>
    <d v="2026-08-24T00:00:00"/>
    <m/>
    <x v="0"/>
    <m/>
    <m/>
    <m/>
    <m/>
    <m/>
    <m/>
    <m/>
    <m/>
    <m/>
    <m/>
    <s v="João Carlos"/>
  </r>
  <r>
    <d v="2026-08-25T00:00:00"/>
    <s v="terça-feira"/>
    <d v="2026-08-25T00:00:00"/>
    <m/>
    <x v="0"/>
    <m/>
    <m/>
    <m/>
    <m/>
    <m/>
    <m/>
    <m/>
    <m/>
    <m/>
    <m/>
    <s v="João Carlos"/>
  </r>
  <r>
    <d v="2026-08-26T00:00:00"/>
    <s v="quarta-feira"/>
    <d v="2026-08-26T00:00:00"/>
    <m/>
    <x v="0"/>
    <m/>
    <m/>
    <m/>
    <m/>
    <m/>
    <m/>
    <m/>
    <m/>
    <m/>
    <m/>
    <s v="João Carlos"/>
  </r>
  <r>
    <d v="2026-08-27T00:00:00"/>
    <s v="quinta-feira"/>
    <d v="2026-08-27T00:00:00"/>
    <m/>
    <x v="0"/>
    <m/>
    <m/>
    <m/>
    <m/>
    <m/>
    <m/>
    <m/>
    <m/>
    <m/>
    <m/>
    <s v="João Carlos"/>
  </r>
  <r>
    <d v="2026-08-28T00:00:00"/>
    <s v="sexta-feira"/>
    <d v="2026-08-28T00:00:00"/>
    <m/>
    <x v="0"/>
    <m/>
    <m/>
    <m/>
    <m/>
    <m/>
    <m/>
    <m/>
    <m/>
    <m/>
    <m/>
    <s v="João Carlos"/>
  </r>
  <r>
    <d v="2026-08-29T00:00:00"/>
    <s v="sábado"/>
    <d v="2026-08-29T00:00:00"/>
    <s v="NÃO"/>
    <x v="0"/>
    <m/>
    <m/>
    <m/>
    <m/>
    <m/>
    <m/>
    <m/>
    <m/>
    <m/>
    <m/>
    <s v="João Carlos"/>
  </r>
  <r>
    <d v="2026-08-30T00:00:00"/>
    <s v="domingo"/>
    <d v="2026-08-30T00:00:00"/>
    <s v="NÃO"/>
    <x v="0"/>
    <m/>
    <m/>
    <m/>
    <m/>
    <m/>
    <m/>
    <m/>
    <m/>
    <m/>
    <m/>
    <s v="João Carlos"/>
  </r>
  <r>
    <d v="2026-08-31T00:00:00"/>
    <s v="segunda-feira"/>
    <d v="2026-08-31T00:00:00"/>
    <m/>
    <x v="0"/>
    <m/>
    <m/>
    <m/>
    <m/>
    <m/>
    <m/>
    <m/>
    <m/>
    <m/>
    <m/>
    <s v="João Carlos"/>
  </r>
  <r>
    <d v="2026-09-01T00:00:00"/>
    <s v="terça-feira"/>
    <d v="2026-09-01T00:00:00"/>
    <m/>
    <x v="0"/>
    <m/>
    <m/>
    <m/>
    <m/>
    <m/>
    <m/>
    <m/>
    <m/>
    <m/>
    <m/>
    <s v="João Carlos"/>
  </r>
  <r>
    <d v="2026-09-02T00:00:00"/>
    <s v="quarta-feira"/>
    <d v="2026-09-02T00:00:00"/>
    <m/>
    <x v="0"/>
    <m/>
    <m/>
    <m/>
    <m/>
    <m/>
    <m/>
    <m/>
    <m/>
    <m/>
    <m/>
    <s v="João Carlos"/>
  </r>
  <r>
    <d v="2026-09-03T00:00:00"/>
    <s v="quinta-feira"/>
    <d v="2026-09-03T00:00:00"/>
    <m/>
    <x v="0"/>
    <m/>
    <m/>
    <m/>
    <m/>
    <m/>
    <m/>
    <m/>
    <m/>
    <m/>
    <m/>
    <s v="João Carlos"/>
  </r>
  <r>
    <d v="2026-09-04T00:00:00"/>
    <s v="sexta-feira"/>
    <d v="2026-09-04T00:00:00"/>
    <m/>
    <x v="0"/>
    <m/>
    <m/>
    <m/>
    <m/>
    <m/>
    <m/>
    <m/>
    <m/>
    <m/>
    <m/>
    <s v="João Carlos"/>
  </r>
  <r>
    <d v="2026-09-05T00:00:00"/>
    <s v="sábado"/>
    <d v="2026-09-05T00:00:00"/>
    <s v="NÃO"/>
    <x v="0"/>
    <m/>
    <m/>
    <m/>
    <m/>
    <m/>
    <m/>
    <m/>
    <m/>
    <m/>
    <m/>
    <s v="João Carlos"/>
  </r>
  <r>
    <d v="2026-09-06T00:00:00"/>
    <s v="domingo"/>
    <d v="2026-09-06T00:00:00"/>
    <s v="NÃO"/>
    <x v="0"/>
    <m/>
    <m/>
    <m/>
    <m/>
    <m/>
    <m/>
    <m/>
    <m/>
    <m/>
    <m/>
    <s v="João Carlos"/>
  </r>
  <r>
    <d v="2026-09-07T00:00:00"/>
    <s v="segunda-feira"/>
    <d v="2026-09-07T00:00:00"/>
    <m/>
    <x v="0"/>
    <m/>
    <m/>
    <m/>
    <m/>
    <m/>
    <m/>
    <m/>
    <m/>
    <m/>
    <m/>
    <s v="João Carlos"/>
  </r>
  <r>
    <d v="2026-09-08T00:00:00"/>
    <s v="terça-feira"/>
    <d v="2026-09-08T00:00:00"/>
    <m/>
    <x v="0"/>
    <m/>
    <m/>
    <m/>
    <m/>
    <m/>
    <m/>
    <m/>
    <m/>
    <m/>
    <m/>
    <s v="João Carlos"/>
  </r>
  <r>
    <d v="2026-09-09T00:00:00"/>
    <s v="quarta-feira"/>
    <d v="2026-09-09T00:00:00"/>
    <m/>
    <x v="0"/>
    <m/>
    <m/>
    <m/>
    <m/>
    <m/>
    <m/>
    <m/>
    <m/>
    <m/>
    <m/>
    <s v="João Carlos"/>
  </r>
  <r>
    <d v="2026-09-10T00:00:00"/>
    <s v="quinta-feira"/>
    <d v="2026-09-10T00:00:00"/>
    <m/>
    <x v="0"/>
    <m/>
    <m/>
    <m/>
    <m/>
    <m/>
    <m/>
    <m/>
    <m/>
    <m/>
    <m/>
    <s v="João Carlos"/>
  </r>
  <r>
    <d v="2026-09-11T00:00:00"/>
    <s v="sexta-feira"/>
    <d v="2026-09-11T00:00:00"/>
    <m/>
    <x v="0"/>
    <m/>
    <m/>
    <m/>
    <m/>
    <m/>
    <m/>
    <m/>
    <m/>
    <m/>
    <m/>
    <s v="João Carlos"/>
  </r>
  <r>
    <d v="2026-09-12T00:00:00"/>
    <s v="sábado"/>
    <d v="2026-09-12T00:00:00"/>
    <s v="NÃO"/>
    <x v="0"/>
    <m/>
    <m/>
    <m/>
    <m/>
    <m/>
    <m/>
    <m/>
    <m/>
    <m/>
    <m/>
    <s v="João Carlos"/>
  </r>
  <r>
    <d v="2026-09-13T00:00:00"/>
    <s v="domingo"/>
    <d v="2026-09-13T00:00:00"/>
    <s v="NÃO"/>
    <x v="0"/>
    <m/>
    <m/>
    <m/>
    <m/>
    <m/>
    <m/>
    <m/>
    <m/>
    <m/>
    <m/>
    <s v="João Carlos"/>
  </r>
  <r>
    <d v="2026-09-14T00:00:00"/>
    <s v="segunda-feira"/>
    <d v="2026-09-14T00:00:00"/>
    <m/>
    <x v="0"/>
    <m/>
    <m/>
    <m/>
    <m/>
    <m/>
    <m/>
    <m/>
    <m/>
    <m/>
    <m/>
    <s v="João Carlos"/>
  </r>
  <r>
    <d v="2026-09-15T00:00:00"/>
    <s v="terça-feira"/>
    <d v="2026-09-15T00:00:00"/>
    <m/>
    <x v="0"/>
    <m/>
    <m/>
    <m/>
    <m/>
    <m/>
    <m/>
    <m/>
    <m/>
    <m/>
    <m/>
    <s v="João Carlos"/>
  </r>
  <r>
    <d v="2026-09-16T00:00:00"/>
    <s v="quarta-feira"/>
    <d v="2026-09-16T00:00:00"/>
    <m/>
    <x v="0"/>
    <m/>
    <m/>
    <m/>
    <m/>
    <m/>
    <m/>
    <m/>
    <m/>
    <m/>
    <m/>
    <s v="João Carlos"/>
  </r>
  <r>
    <d v="2026-09-17T00:00:00"/>
    <s v="quinta-feira"/>
    <d v="2026-09-17T00:00:00"/>
    <m/>
    <x v="0"/>
    <m/>
    <m/>
    <m/>
    <m/>
    <m/>
    <m/>
    <m/>
    <m/>
    <m/>
    <m/>
    <s v="João Carlos"/>
  </r>
  <r>
    <d v="2026-09-18T00:00:00"/>
    <s v="sexta-feira"/>
    <d v="2026-09-18T00:00:00"/>
    <m/>
    <x v="0"/>
    <m/>
    <m/>
    <m/>
    <m/>
    <m/>
    <m/>
    <m/>
    <m/>
    <m/>
    <m/>
    <s v="João Carlos"/>
  </r>
  <r>
    <d v="2026-09-19T00:00:00"/>
    <s v="sábado"/>
    <d v="2026-09-19T00:00:00"/>
    <s v="NÃO"/>
    <x v="0"/>
    <m/>
    <m/>
    <m/>
    <m/>
    <m/>
    <m/>
    <m/>
    <m/>
    <m/>
    <m/>
    <s v="João Carlos"/>
  </r>
  <r>
    <d v="2026-09-20T00:00:00"/>
    <s v="domingo"/>
    <d v="2026-09-20T00:00:00"/>
    <s v="NÃO"/>
    <x v="0"/>
    <m/>
    <m/>
    <m/>
    <m/>
    <m/>
    <m/>
    <m/>
    <m/>
    <m/>
    <m/>
    <s v="João Carlos"/>
  </r>
  <r>
    <d v="2026-09-21T00:00:00"/>
    <s v="segunda-feira"/>
    <d v="2026-09-21T00:00:00"/>
    <m/>
    <x v="0"/>
    <m/>
    <m/>
    <m/>
    <m/>
    <m/>
    <m/>
    <m/>
    <m/>
    <m/>
    <m/>
    <s v="João Carlos"/>
  </r>
  <r>
    <d v="2026-09-22T00:00:00"/>
    <s v="terça-feira"/>
    <d v="2026-09-22T00:00:00"/>
    <m/>
    <x v="0"/>
    <m/>
    <m/>
    <m/>
    <m/>
    <m/>
    <m/>
    <m/>
    <m/>
    <m/>
    <m/>
    <s v="João Carlos"/>
  </r>
  <r>
    <d v="2026-09-23T00:00:00"/>
    <s v="quarta-feira"/>
    <d v="2026-09-23T00:00:00"/>
    <m/>
    <x v="0"/>
    <m/>
    <m/>
    <m/>
    <m/>
    <m/>
    <m/>
    <m/>
    <m/>
    <m/>
    <m/>
    <s v="João Carlos"/>
  </r>
  <r>
    <d v="2026-09-24T00:00:00"/>
    <s v="quinta-feira"/>
    <d v="2026-09-24T00:00:00"/>
    <m/>
    <x v="0"/>
    <m/>
    <m/>
    <m/>
    <m/>
    <m/>
    <m/>
    <m/>
    <m/>
    <m/>
    <m/>
    <s v="João Carlos"/>
  </r>
  <r>
    <d v="2026-09-25T00:00:00"/>
    <s v="sexta-feira"/>
    <d v="2026-09-25T00:00:00"/>
    <m/>
    <x v="0"/>
    <m/>
    <m/>
    <m/>
    <m/>
    <m/>
    <m/>
    <m/>
    <m/>
    <m/>
    <m/>
    <s v="João Carlos"/>
  </r>
  <r>
    <d v="2026-09-26T00:00:00"/>
    <s v="sábado"/>
    <d v="2026-09-26T00:00:00"/>
    <s v="NÃO"/>
    <x v="0"/>
    <m/>
    <m/>
    <m/>
    <m/>
    <m/>
    <m/>
    <m/>
    <m/>
    <m/>
    <m/>
    <s v="João Carlos"/>
  </r>
  <r>
    <d v="2026-09-27T00:00:00"/>
    <s v="domingo"/>
    <d v="2026-09-27T00:00:00"/>
    <s v="NÃO"/>
    <x v="0"/>
    <m/>
    <m/>
    <m/>
    <m/>
    <m/>
    <m/>
    <m/>
    <m/>
    <m/>
    <m/>
    <s v="João Carlos"/>
  </r>
  <r>
    <d v="2026-09-28T00:00:00"/>
    <s v="segunda-feira"/>
    <d v="2026-09-28T00:00:00"/>
    <m/>
    <x v="0"/>
    <m/>
    <m/>
    <m/>
    <m/>
    <m/>
    <m/>
    <m/>
    <m/>
    <m/>
    <m/>
    <s v="João Carlos"/>
  </r>
  <r>
    <d v="2026-09-29T00:00:00"/>
    <s v="terça-feira"/>
    <d v="2026-09-29T00:00:00"/>
    <m/>
    <x v="0"/>
    <m/>
    <m/>
    <m/>
    <m/>
    <m/>
    <m/>
    <m/>
    <m/>
    <m/>
    <m/>
    <s v="João Carlos"/>
  </r>
  <r>
    <d v="2026-09-30T00:00:00"/>
    <s v="quarta-feira"/>
    <d v="2026-09-30T00:00:00"/>
    <m/>
    <x v="0"/>
    <m/>
    <m/>
    <m/>
    <m/>
    <m/>
    <m/>
    <m/>
    <m/>
    <m/>
    <m/>
    <s v="João Carlos"/>
  </r>
  <r>
    <d v="2026-10-01T00:00:00"/>
    <s v="quinta-feira"/>
    <d v="2026-10-01T00:00:00"/>
    <m/>
    <x v="0"/>
    <m/>
    <m/>
    <m/>
    <m/>
    <m/>
    <m/>
    <m/>
    <m/>
    <m/>
    <m/>
    <s v="João Carlos"/>
  </r>
  <r>
    <d v="2026-10-02T00:00:00"/>
    <s v="sexta-feira"/>
    <d v="2026-10-02T00:00:00"/>
    <m/>
    <x v="0"/>
    <m/>
    <m/>
    <m/>
    <m/>
    <m/>
    <m/>
    <m/>
    <m/>
    <m/>
    <m/>
    <s v="João Carlos"/>
  </r>
  <r>
    <d v="2026-10-03T00:00:00"/>
    <s v="sábado"/>
    <d v="2026-10-03T00:00:00"/>
    <s v="NÃO"/>
    <x v="0"/>
    <m/>
    <m/>
    <m/>
    <m/>
    <m/>
    <m/>
    <m/>
    <m/>
    <m/>
    <m/>
    <s v="João Carlos"/>
  </r>
  <r>
    <d v="2026-10-04T00:00:00"/>
    <s v="domingo"/>
    <d v="2026-10-04T00:00:00"/>
    <s v="NÃO"/>
    <x v="0"/>
    <m/>
    <m/>
    <m/>
    <m/>
    <m/>
    <m/>
    <m/>
    <m/>
    <m/>
    <m/>
    <s v="João Carlos"/>
  </r>
  <r>
    <d v="2026-10-05T00:00:00"/>
    <s v="segunda-feira"/>
    <d v="2026-10-05T00:00:00"/>
    <m/>
    <x v="0"/>
    <m/>
    <m/>
    <m/>
    <m/>
    <m/>
    <m/>
    <m/>
    <m/>
    <m/>
    <m/>
    <s v="João Carlos"/>
  </r>
  <r>
    <d v="2026-10-06T00:00:00"/>
    <s v="terça-feira"/>
    <d v="2026-10-06T00:00:00"/>
    <m/>
    <x v="0"/>
    <m/>
    <m/>
    <m/>
    <m/>
    <m/>
    <m/>
    <m/>
    <m/>
    <m/>
    <m/>
    <s v="João Carlos"/>
  </r>
  <r>
    <d v="2026-10-07T00:00:00"/>
    <s v="quarta-feira"/>
    <d v="2026-10-07T00:00:00"/>
    <m/>
    <x v="0"/>
    <m/>
    <m/>
    <m/>
    <m/>
    <m/>
    <m/>
    <m/>
    <m/>
    <m/>
    <m/>
    <s v="João Carlos"/>
  </r>
  <r>
    <d v="2026-10-08T00:00:00"/>
    <s v="quinta-feira"/>
    <d v="2026-10-08T00:00:00"/>
    <m/>
    <x v="0"/>
    <m/>
    <m/>
    <m/>
    <m/>
    <m/>
    <m/>
    <m/>
    <m/>
    <m/>
    <m/>
    <s v="João Carlos"/>
  </r>
  <r>
    <d v="2026-10-09T00:00:00"/>
    <s v="sexta-feira"/>
    <d v="2026-10-09T00:00:00"/>
    <m/>
    <x v="0"/>
    <m/>
    <m/>
    <m/>
    <m/>
    <m/>
    <m/>
    <m/>
    <m/>
    <m/>
    <m/>
    <s v="João Carlos"/>
  </r>
  <r>
    <d v="2026-10-10T00:00:00"/>
    <s v="sábado"/>
    <d v="2026-10-10T00:00:00"/>
    <s v="NÃO"/>
    <x v="0"/>
    <m/>
    <m/>
    <m/>
    <m/>
    <m/>
    <m/>
    <m/>
    <m/>
    <m/>
    <m/>
    <s v="João Carlos"/>
  </r>
  <r>
    <d v="2026-10-11T00:00:00"/>
    <s v="domingo"/>
    <d v="2026-10-11T00:00:00"/>
    <s v="NÃO"/>
    <x v="0"/>
    <m/>
    <m/>
    <m/>
    <m/>
    <m/>
    <m/>
    <m/>
    <m/>
    <m/>
    <m/>
    <s v="João Carlos"/>
  </r>
  <r>
    <d v="2026-10-12T00:00:00"/>
    <s v="segunda-feira"/>
    <d v="2026-10-12T00:00:00"/>
    <m/>
    <x v="0"/>
    <m/>
    <m/>
    <m/>
    <m/>
    <m/>
    <m/>
    <m/>
    <m/>
    <m/>
    <m/>
    <s v="João Carlos"/>
  </r>
  <r>
    <d v="2026-10-13T00:00:00"/>
    <s v="terça-feira"/>
    <d v="2026-10-13T00:00:00"/>
    <m/>
    <x v="0"/>
    <m/>
    <m/>
    <m/>
    <m/>
    <m/>
    <m/>
    <m/>
    <m/>
    <m/>
    <m/>
    <s v="João Carlos"/>
  </r>
  <r>
    <d v="2026-10-14T00:00:00"/>
    <s v="quarta-feira"/>
    <d v="2026-10-14T00:00:00"/>
    <m/>
    <x v="0"/>
    <m/>
    <m/>
    <m/>
    <m/>
    <m/>
    <m/>
    <m/>
    <m/>
    <m/>
    <m/>
    <s v="João Carlos"/>
  </r>
  <r>
    <d v="2026-10-15T00:00:00"/>
    <s v="quinta-feira"/>
    <d v="2026-10-15T00:00:00"/>
    <m/>
    <x v="0"/>
    <m/>
    <m/>
    <m/>
    <m/>
    <m/>
    <m/>
    <m/>
    <m/>
    <m/>
    <m/>
    <s v="João Carlos"/>
  </r>
  <r>
    <d v="2026-10-16T00:00:00"/>
    <s v="sexta-feira"/>
    <d v="2026-10-16T00:00:00"/>
    <m/>
    <x v="0"/>
    <m/>
    <m/>
    <m/>
    <m/>
    <m/>
    <m/>
    <m/>
    <m/>
    <m/>
    <m/>
    <s v="João Carlos"/>
  </r>
  <r>
    <d v="2026-10-17T00:00:00"/>
    <s v="sábado"/>
    <d v="2026-10-17T00:00:00"/>
    <s v="NÃO"/>
    <x v="0"/>
    <m/>
    <m/>
    <m/>
    <m/>
    <m/>
    <m/>
    <m/>
    <m/>
    <m/>
    <m/>
    <s v="João Carlos"/>
  </r>
  <r>
    <d v="2026-10-18T00:00:00"/>
    <s v="domingo"/>
    <d v="2026-10-18T00:00:00"/>
    <s v="NÃO"/>
    <x v="0"/>
    <m/>
    <m/>
    <m/>
    <m/>
    <m/>
    <m/>
    <m/>
    <m/>
    <m/>
    <m/>
    <s v="João Carlos"/>
  </r>
  <r>
    <d v="2026-10-19T00:00:00"/>
    <s v="segunda-feira"/>
    <d v="2026-10-19T00:00:00"/>
    <m/>
    <x v="0"/>
    <m/>
    <m/>
    <m/>
    <m/>
    <m/>
    <m/>
    <m/>
    <m/>
    <m/>
    <m/>
    <s v="João Carlos"/>
  </r>
  <r>
    <d v="2026-10-20T00:00:00"/>
    <s v="terça-feira"/>
    <d v="2026-10-20T00:00:00"/>
    <m/>
    <x v="0"/>
    <m/>
    <m/>
    <m/>
    <m/>
    <m/>
    <m/>
    <m/>
    <m/>
    <m/>
    <m/>
    <s v="João Carlos"/>
  </r>
  <r>
    <d v="2026-10-21T00:00:00"/>
    <s v="quarta-feira"/>
    <d v="2026-10-21T00:00:00"/>
    <m/>
    <x v="0"/>
    <m/>
    <m/>
    <m/>
    <m/>
    <m/>
    <m/>
    <m/>
    <m/>
    <m/>
    <m/>
    <s v="João Carlos"/>
  </r>
  <r>
    <d v="2026-10-22T00:00:00"/>
    <s v="quinta-feira"/>
    <d v="2026-10-22T00:00:00"/>
    <m/>
    <x v="0"/>
    <m/>
    <m/>
    <m/>
    <m/>
    <m/>
    <m/>
    <m/>
    <m/>
    <m/>
    <m/>
    <s v="João Carlos"/>
  </r>
  <r>
    <d v="2026-10-23T00:00:00"/>
    <s v="sexta-feira"/>
    <d v="2026-10-23T00:00:00"/>
    <m/>
    <x v="0"/>
    <m/>
    <m/>
    <m/>
    <m/>
    <m/>
    <m/>
    <m/>
    <m/>
    <m/>
    <m/>
    <s v="João Carlos"/>
  </r>
  <r>
    <d v="2026-10-24T00:00:00"/>
    <s v="sábado"/>
    <d v="2026-10-24T00:00:00"/>
    <s v="NÃO"/>
    <x v="0"/>
    <m/>
    <m/>
    <m/>
    <m/>
    <m/>
    <m/>
    <m/>
    <m/>
    <m/>
    <m/>
    <s v="João Carlos"/>
  </r>
  <r>
    <d v="2026-10-25T00:00:00"/>
    <s v="domingo"/>
    <d v="2026-10-25T00:00:00"/>
    <s v="NÃO"/>
    <x v="0"/>
    <m/>
    <m/>
    <m/>
    <m/>
    <m/>
    <m/>
    <m/>
    <m/>
    <m/>
    <m/>
    <s v="João Carlos"/>
  </r>
  <r>
    <d v="2026-10-26T00:00:00"/>
    <s v="segunda-feira"/>
    <d v="2026-10-26T00:00:00"/>
    <m/>
    <x v="0"/>
    <m/>
    <m/>
    <m/>
    <m/>
    <m/>
    <m/>
    <m/>
    <m/>
    <m/>
    <m/>
    <s v="João Carlos"/>
  </r>
  <r>
    <d v="2026-10-27T00:00:00"/>
    <s v="terça-feira"/>
    <d v="2026-10-27T00:00:00"/>
    <m/>
    <x v="0"/>
    <m/>
    <m/>
    <m/>
    <m/>
    <m/>
    <m/>
    <m/>
    <m/>
    <m/>
    <m/>
    <s v="João Carlos"/>
  </r>
  <r>
    <d v="2026-10-28T00:00:00"/>
    <s v="quarta-feira"/>
    <d v="2026-10-28T00:00:00"/>
    <m/>
    <x v="0"/>
    <m/>
    <m/>
    <m/>
    <m/>
    <m/>
    <m/>
    <m/>
    <m/>
    <m/>
    <m/>
    <s v="João Carlos"/>
  </r>
  <r>
    <d v="2026-10-29T00:00:00"/>
    <s v="quinta-feira"/>
    <d v="2026-10-29T00:00:00"/>
    <m/>
    <x v="0"/>
    <m/>
    <m/>
    <m/>
    <m/>
    <m/>
    <m/>
    <m/>
    <m/>
    <m/>
    <m/>
    <s v="João Carlos"/>
  </r>
  <r>
    <d v="2026-10-30T00:00:00"/>
    <s v="sexta-feira"/>
    <d v="2026-10-30T00:00:00"/>
    <m/>
    <x v="0"/>
    <m/>
    <m/>
    <m/>
    <m/>
    <m/>
    <m/>
    <m/>
    <m/>
    <m/>
    <m/>
    <s v="João Carlos"/>
  </r>
  <r>
    <d v="2026-10-31T00:00:00"/>
    <s v="sábado"/>
    <d v="2026-10-31T00:00:00"/>
    <s v="NÃO"/>
    <x v="0"/>
    <m/>
    <m/>
    <m/>
    <m/>
    <m/>
    <m/>
    <m/>
    <m/>
    <m/>
    <m/>
    <s v="João Carlos"/>
  </r>
  <r>
    <d v="2026-11-01T00:00:00"/>
    <s v="domingo"/>
    <d v="2026-11-01T00:00:00"/>
    <s v="NÃO"/>
    <x v="0"/>
    <m/>
    <m/>
    <m/>
    <m/>
    <m/>
    <m/>
    <m/>
    <m/>
    <m/>
    <m/>
    <s v="João Carlos"/>
  </r>
  <r>
    <d v="2026-11-02T00:00:00"/>
    <s v="segunda-feira"/>
    <d v="2026-11-02T00:00:00"/>
    <m/>
    <x v="0"/>
    <m/>
    <m/>
    <m/>
    <m/>
    <m/>
    <m/>
    <m/>
    <m/>
    <m/>
    <m/>
    <s v="João Carlos"/>
  </r>
  <r>
    <d v="2026-11-03T00:00:00"/>
    <s v="terça-feira"/>
    <d v="2026-11-03T00:00:00"/>
    <m/>
    <x v="0"/>
    <m/>
    <m/>
    <m/>
    <m/>
    <m/>
    <m/>
    <m/>
    <m/>
    <m/>
    <m/>
    <s v="João Carlos"/>
  </r>
  <r>
    <d v="2026-11-04T00:00:00"/>
    <s v="quarta-feira"/>
    <d v="2026-11-04T00:00:00"/>
    <m/>
    <x v="0"/>
    <m/>
    <m/>
    <m/>
    <m/>
    <m/>
    <m/>
    <m/>
    <m/>
    <m/>
    <m/>
    <s v="João Carlos"/>
  </r>
  <r>
    <d v="2026-11-05T00:00:00"/>
    <s v="quinta-feira"/>
    <d v="2026-11-05T00:00:00"/>
    <m/>
    <x v="0"/>
    <m/>
    <m/>
    <m/>
    <m/>
    <m/>
    <m/>
    <m/>
    <m/>
    <m/>
    <m/>
    <s v="João Carlos"/>
  </r>
  <r>
    <d v="2026-11-06T00:00:00"/>
    <s v="sexta-feira"/>
    <d v="2026-11-06T00:00:00"/>
    <m/>
    <x v="0"/>
    <m/>
    <m/>
    <m/>
    <m/>
    <m/>
    <m/>
    <m/>
    <m/>
    <m/>
    <m/>
    <s v="João Carlos"/>
  </r>
  <r>
    <d v="2026-11-07T00:00:00"/>
    <s v="sábado"/>
    <d v="2026-11-07T00:00:00"/>
    <s v="NÃO"/>
    <x v="0"/>
    <m/>
    <m/>
    <m/>
    <m/>
    <m/>
    <m/>
    <m/>
    <m/>
    <m/>
    <m/>
    <s v="João Carlos"/>
  </r>
  <r>
    <d v="2026-11-08T00:00:00"/>
    <s v="domingo"/>
    <d v="2026-11-08T00:00:00"/>
    <s v="NÃO"/>
    <x v="0"/>
    <m/>
    <m/>
    <m/>
    <m/>
    <m/>
    <m/>
    <m/>
    <m/>
    <m/>
    <m/>
    <s v="João Carlos"/>
  </r>
  <r>
    <d v="2026-11-09T00:00:00"/>
    <s v="segunda-feira"/>
    <d v="2026-11-09T00:00:00"/>
    <m/>
    <x v="0"/>
    <m/>
    <m/>
    <m/>
    <m/>
    <m/>
    <m/>
    <m/>
    <m/>
    <m/>
    <m/>
    <s v="João Carlos"/>
  </r>
  <r>
    <d v="2026-11-10T00:00:00"/>
    <s v="terça-feira"/>
    <d v="2026-11-10T00:00:00"/>
    <m/>
    <x v="0"/>
    <m/>
    <m/>
    <m/>
    <m/>
    <m/>
    <m/>
    <m/>
    <m/>
    <m/>
    <m/>
    <s v="João Carlos"/>
  </r>
  <r>
    <d v="2026-11-11T00:00:00"/>
    <s v="quarta-feira"/>
    <d v="2026-11-11T00:00:00"/>
    <m/>
    <x v="0"/>
    <m/>
    <m/>
    <m/>
    <m/>
    <m/>
    <m/>
    <m/>
    <m/>
    <m/>
    <m/>
    <s v="João Carlos"/>
  </r>
  <r>
    <d v="2026-11-12T00:00:00"/>
    <s v="quinta-feira"/>
    <d v="2026-11-12T00:00:00"/>
    <m/>
    <x v="0"/>
    <m/>
    <m/>
    <m/>
    <m/>
    <m/>
    <m/>
    <m/>
    <m/>
    <m/>
    <m/>
    <s v="João Carlos"/>
  </r>
  <r>
    <d v="2026-11-13T00:00:00"/>
    <s v="sexta-feira"/>
    <d v="2026-11-13T00:00:00"/>
    <m/>
    <x v="0"/>
    <m/>
    <m/>
    <m/>
    <m/>
    <m/>
    <m/>
    <m/>
    <m/>
    <m/>
    <m/>
    <s v="João Carlos"/>
  </r>
  <r>
    <d v="2026-11-14T00:00:00"/>
    <s v="sábado"/>
    <d v="2026-11-14T00:00:00"/>
    <s v="NÃO"/>
    <x v="0"/>
    <m/>
    <m/>
    <m/>
    <m/>
    <m/>
    <m/>
    <m/>
    <m/>
    <m/>
    <m/>
    <s v="João Carlos"/>
  </r>
  <r>
    <d v="2026-11-15T00:00:00"/>
    <s v="domingo"/>
    <d v="2026-11-15T00:00:00"/>
    <s v="NÃO"/>
    <x v="0"/>
    <m/>
    <m/>
    <m/>
    <m/>
    <m/>
    <m/>
    <m/>
    <m/>
    <m/>
    <m/>
    <s v="João Carlos"/>
  </r>
  <r>
    <d v="2026-11-16T00:00:00"/>
    <s v="segunda-feira"/>
    <d v="2026-11-16T00:00:00"/>
    <m/>
    <x v="0"/>
    <m/>
    <m/>
    <m/>
    <m/>
    <m/>
    <m/>
    <m/>
    <m/>
    <m/>
    <m/>
    <s v="João Carlos"/>
  </r>
  <r>
    <d v="2026-11-17T00:00:00"/>
    <s v="terça-feira"/>
    <d v="2026-11-17T00:00:00"/>
    <m/>
    <x v="0"/>
    <m/>
    <m/>
    <m/>
    <m/>
    <m/>
    <m/>
    <m/>
    <m/>
    <m/>
    <m/>
    <s v="João Carlos"/>
  </r>
  <r>
    <d v="2026-11-18T00:00:00"/>
    <s v="quarta-feira"/>
    <d v="2026-11-18T00:00:00"/>
    <m/>
    <x v="0"/>
    <m/>
    <m/>
    <m/>
    <m/>
    <m/>
    <m/>
    <m/>
    <m/>
    <m/>
    <m/>
    <s v="João Carlos"/>
  </r>
  <r>
    <d v="2026-11-19T00:00:00"/>
    <s v="quinta-feira"/>
    <d v="2026-11-19T00:00:00"/>
    <m/>
    <x v="0"/>
    <m/>
    <m/>
    <m/>
    <m/>
    <m/>
    <m/>
    <m/>
    <m/>
    <m/>
    <m/>
    <s v="João Carlos"/>
  </r>
  <r>
    <d v="2026-11-20T00:00:00"/>
    <s v="sexta-feira"/>
    <d v="2026-11-20T00:00:00"/>
    <m/>
    <x v="0"/>
    <m/>
    <m/>
    <m/>
    <m/>
    <m/>
    <m/>
    <m/>
    <m/>
    <m/>
    <m/>
    <s v="João Carlos"/>
  </r>
  <r>
    <d v="2026-11-21T00:00:00"/>
    <s v="sábado"/>
    <d v="2026-11-21T00:00:00"/>
    <s v="NÃO"/>
    <x v="0"/>
    <m/>
    <m/>
    <m/>
    <m/>
    <m/>
    <m/>
    <m/>
    <m/>
    <m/>
    <m/>
    <s v="João Carlos"/>
  </r>
  <r>
    <d v="2026-11-22T00:00:00"/>
    <s v="domingo"/>
    <d v="2026-11-22T00:00:00"/>
    <s v="NÃO"/>
    <x v="0"/>
    <m/>
    <m/>
    <m/>
    <m/>
    <m/>
    <m/>
    <m/>
    <m/>
    <m/>
    <m/>
    <s v="João Carlos"/>
  </r>
  <r>
    <d v="2026-11-23T00:00:00"/>
    <s v="segunda-feira"/>
    <d v="2026-11-23T00:00:00"/>
    <m/>
    <x v="0"/>
    <m/>
    <m/>
    <m/>
    <m/>
    <m/>
    <m/>
    <m/>
    <m/>
    <m/>
    <m/>
    <s v="João Carlos"/>
  </r>
  <r>
    <d v="2026-11-24T00:00:00"/>
    <s v="terça-feira"/>
    <d v="2026-11-24T00:00:00"/>
    <m/>
    <x v="0"/>
    <m/>
    <m/>
    <m/>
    <m/>
    <m/>
    <m/>
    <m/>
    <m/>
    <m/>
    <m/>
    <s v="João Carlos"/>
  </r>
  <r>
    <d v="2026-11-25T00:00:00"/>
    <s v="quarta-feira"/>
    <d v="2026-11-25T00:00:00"/>
    <m/>
    <x v="0"/>
    <m/>
    <m/>
    <m/>
    <m/>
    <m/>
    <m/>
    <m/>
    <m/>
    <m/>
    <m/>
    <s v="João Carlos"/>
  </r>
  <r>
    <d v="2026-11-26T00:00:00"/>
    <s v="quinta-feira"/>
    <d v="2026-11-26T00:00:00"/>
    <m/>
    <x v="0"/>
    <m/>
    <m/>
    <m/>
    <m/>
    <m/>
    <m/>
    <m/>
    <m/>
    <m/>
    <m/>
    <s v="João Carlos"/>
  </r>
  <r>
    <d v="2026-11-27T00:00:00"/>
    <s v="sexta-feira"/>
    <d v="2026-11-27T00:00:00"/>
    <m/>
    <x v="0"/>
    <m/>
    <m/>
    <m/>
    <m/>
    <m/>
    <m/>
    <m/>
    <m/>
    <m/>
    <m/>
    <s v="João Carlos"/>
  </r>
  <r>
    <d v="2026-11-28T00:00:00"/>
    <s v="sábado"/>
    <d v="2026-11-28T00:00:00"/>
    <s v="NÃO"/>
    <x v="0"/>
    <m/>
    <m/>
    <m/>
    <m/>
    <m/>
    <m/>
    <m/>
    <m/>
    <m/>
    <m/>
    <s v="João Carlos"/>
  </r>
  <r>
    <d v="2026-11-29T00:00:00"/>
    <s v="domingo"/>
    <d v="2026-11-29T00:00:00"/>
    <s v="NÃO"/>
    <x v="0"/>
    <m/>
    <m/>
    <m/>
    <m/>
    <m/>
    <m/>
    <m/>
    <m/>
    <m/>
    <m/>
    <s v="João Carlos"/>
  </r>
  <r>
    <d v="2026-11-30T00:00:00"/>
    <s v="segunda-feira"/>
    <d v="2026-11-30T00:00:00"/>
    <m/>
    <x v="0"/>
    <m/>
    <m/>
    <m/>
    <m/>
    <m/>
    <m/>
    <m/>
    <m/>
    <m/>
    <m/>
    <s v="João Carlos"/>
  </r>
  <r>
    <d v="2026-12-01T00:00:00"/>
    <s v="terça-feira"/>
    <d v="2026-12-01T00:00:00"/>
    <m/>
    <x v="0"/>
    <m/>
    <m/>
    <m/>
    <m/>
    <m/>
    <m/>
    <m/>
    <m/>
    <m/>
    <m/>
    <s v="João Carlos"/>
  </r>
  <r>
    <d v="2026-12-02T00:00:00"/>
    <s v="quarta-feira"/>
    <d v="2026-12-02T00:00:00"/>
    <m/>
    <x v="0"/>
    <m/>
    <m/>
    <m/>
    <m/>
    <m/>
    <m/>
    <m/>
    <m/>
    <m/>
    <m/>
    <s v="João Carlos"/>
  </r>
  <r>
    <d v="2026-12-03T00:00:00"/>
    <s v="quinta-feira"/>
    <d v="2026-12-03T00:00:00"/>
    <m/>
    <x v="0"/>
    <m/>
    <m/>
    <m/>
    <m/>
    <m/>
    <m/>
    <m/>
    <m/>
    <m/>
    <m/>
    <s v="João Carlos"/>
  </r>
  <r>
    <d v="2026-12-04T00:00:00"/>
    <s v="sexta-feira"/>
    <d v="2026-12-04T00:00:00"/>
    <m/>
    <x v="0"/>
    <m/>
    <m/>
    <m/>
    <m/>
    <m/>
    <m/>
    <m/>
    <m/>
    <m/>
    <m/>
    <s v="João Carlos"/>
  </r>
  <r>
    <d v="2026-12-05T00:00:00"/>
    <s v="sábado"/>
    <d v="2026-12-05T00:00:00"/>
    <s v="NÃO"/>
    <x v="0"/>
    <m/>
    <m/>
    <m/>
    <m/>
    <m/>
    <m/>
    <m/>
    <m/>
    <m/>
    <m/>
    <s v="João Carlos"/>
  </r>
  <r>
    <d v="2026-12-06T00:00:00"/>
    <s v="domingo"/>
    <d v="2026-12-06T00:00:00"/>
    <s v="NÃO"/>
    <x v="0"/>
    <m/>
    <m/>
    <m/>
    <m/>
    <m/>
    <m/>
    <m/>
    <m/>
    <m/>
    <m/>
    <s v="João Carlos"/>
  </r>
  <r>
    <d v="2026-12-07T00:00:00"/>
    <s v="segunda-feira"/>
    <d v="2026-12-07T00:00:00"/>
    <m/>
    <x v="0"/>
    <m/>
    <m/>
    <m/>
    <m/>
    <m/>
    <m/>
    <m/>
    <m/>
    <m/>
    <m/>
    <s v="João Carlos"/>
  </r>
  <r>
    <d v="2026-12-08T00:00:00"/>
    <s v="terça-feira"/>
    <d v="2026-12-08T00:00:00"/>
    <m/>
    <x v="0"/>
    <m/>
    <m/>
    <m/>
    <m/>
    <m/>
    <m/>
    <m/>
    <m/>
    <m/>
    <m/>
    <s v="João Carlos"/>
  </r>
  <r>
    <d v="2026-12-09T00:00:00"/>
    <s v="quarta-feira"/>
    <d v="2026-12-09T00:00:00"/>
    <m/>
    <x v="0"/>
    <m/>
    <m/>
    <m/>
    <m/>
    <m/>
    <m/>
    <m/>
    <m/>
    <m/>
    <m/>
    <s v="João Carlos"/>
  </r>
  <r>
    <d v="2026-12-10T00:00:00"/>
    <s v="quinta-feira"/>
    <d v="2026-12-10T00:00:00"/>
    <m/>
    <x v="0"/>
    <m/>
    <m/>
    <m/>
    <m/>
    <m/>
    <m/>
    <m/>
    <m/>
    <m/>
    <m/>
    <s v="João Carlos"/>
  </r>
  <r>
    <d v="2026-12-11T00:00:00"/>
    <s v="sexta-feira"/>
    <d v="2026-12-11T00:00:00"/>
    <m/>
    <x v="0"/>
    <m/>
    <m/>
    <m/>
    <m/>
    <m/>
    <m/>
    <m/>
    <m/>
    <m/>
    <m/>
    <s v="João Carlos"/>
  </r>
  <r>
    <d v="2026-12-12T00:00:00"/>
    <s v="sábado"/>
    <d v="2026-12-12T00:00:00"/>
    <s v="NÃO"/>
    <x v="0"/>
    <m/>
    <m/>
    <m/>
    <m/>
    <m/>
    <m/>
    <m/>
    <m/>
    <m/>
    <m/>
    <s v="João Carlos"/>
  </r>
  <r>
    <d v="2026-12-13T00:00:00"/>
    <s v="domingo"/>
    <d v="2026-12-13T00:00:00"/>
    <s v="NÃO"/>
    <x v="0"/>
    <m/>
    <m/>
    <m/>
    <m/>
    <m/>
    <m/>
    <m/>
    <m/>
    <m/>
    <m/>
    <s v="João Carlos"/>
  </r>
  <r>
    <d v="2026-12-14T00:00:00"/>
    <s v="segunda-feira"/>
    <d v="2026-12-14T00:00:00"/>
    <m/>
    <x v="0"/>
    <m/>
    <m/>
    <m/>
    <m/>
    <m/>
    <m/>
    <m/>
    <m/>
    <m/>
    <m/>
    <s v="João Carlos"/>
  </r>
  <r>
    <d v="2026-12-15T00:00:00"/>
    <s v="terça-feira"/>
    <d v="2026-12-15T00:00:00"/>
    <m/>
    <x v="0"/>
    <m/>
    <m/>
    <m/>
    <m/>
    <m/>
    <m/>
    <m/>
    <m/>
    <m/>
    <m/>
    <s v="João Carlos"/>
  </r>
  <r>
    <d v="2026-12-16T00:00:00"/>
    <s v="quarta-feira"/>
    <d v="2026-12-16T00:00:00"/>
    <m/>
    <x v="0"/>
    <m/>
    <m/>
    <m/>
    <m/>
    <m/>
    <m/>
    <m/>
    <m/>
    <m/>
    <m/>
    <s v="João Carlos"/>
  </r>
  <r>
    <d v="2026-12-17T00:00:00"/>
    <s v="quinta-feira"/>
    <d v="2026-12-17T00:00:00"/>
    <m/>
    <x v="0"/>
    <m/>
    <m/>
    <m/>
    <m/>
    <m/>
    <m/>
    <m/>
    <m/>
    <m/>
    <m/>
    <s v="João Carlos"/>
  </r>
  <r>
    <d v="2026-12-18T00:00:00"/>
    <s v="sexta-feira"/>
    <d v="2026-12-18T00:00:00"/>
    <m/>
    <x v="0"/>
    <m/>
    <m/>
    <m/>
    <m/>
    <m/>
    <m/>
    <m/>
    <m/>
    <m/>
    <m/>
    <s v="João Carlos"/>
  </r>
  <r>
    <d v="2026-12-19T00:00:00"/>
    <s v="sábado"/>
    <d v="2026-12-19T00:00:00"/>
    <s v="NÃO"/>
    <x v="0"/>
    <m/>
    <m/>
    <m/>
    <m/>
    <m/>
    <m/>
    <m/>
    <m/>
    <m/>
    <m/>
    <s v="João Carlos"/>
  </r>
  <r>
    <d v="2026-12-20T00:00:00"/>
    <s v="domingo"/>
    <d v="2026-12-20T00:00:00"/>
    <s v="NÃO"/>
    <x v="0"/>
    <m/>
    <m/>
    <m/>
    <m/>
    <m/>
    <m/>
    <m/>
    <m/>
    <m/>
    <m/>
    <s v="João Carlos"/>
  </r>
  <r>
    <d v="2026-12-21T00:00:00"/>
    <s v="segunda-feira"/>
    <d v="2026-12-21T00:00:00"/>
    <m/>
    <x v="0"/>
    <m/>
    <m/>
    <m/>
    <m/>
    <m/>
    <m/>
    <m/>
    <m/>
    <m/>
    <m/>
    <s v="João Carlos"/>
  </r>
  <r>
    <d v="2026-12-22T00:00:00"/>
    <s v="terça-feira"/>
    <d v="2026-12-22T00:00:00"/>
    <m/>
    <x v="0"/>
    <m/>
    <m/>
    <m/>
    <m/>
    <m/>
    <m/>
    <m/>
    <m/>
    <m/>
    <m/>
    <s v="João Carlos"/>
  </r>
  <r>
    <d v="2026-12-23T00:00:00"/>
    <s v="quarta-feira"/>
    <d v="2026-12-23T00:00:00"/>
    <m/>
    <x v="0"/>
    <m/>
    <m/>
    <m/>
    <m/>
    <m/>
    <m/>
    <m/>
    <m/>
    <m/>
    <m/>
    <s v="João Carlos"/>
  </r>
  <r>
    <d v="2026-12-24T00:00:00"/>
    <s v="quinta-feira"/>
    <d v="2026-12-24T00:00:00"/>
    <m/>
    <x v="0"/>
    <m/>
    <m/>
    <m/>
    <m/>
    <m/>
    <m/>
    <m/>
    <m/>
    <m/>
    <m/>
    <s v="João Carlos"/>
  </r>
  <r>
    <d v="2026-12-25T00:00:00"/>
    <s v="sexta-feira"/>
    <d v="2026-12-25T00:00:00"/>
    <m/>
    <x v="0"/>
    <m/>
    <m/>
    <m/>
    <m/>
    <m/>
    <m/>
    <m/>
    <m/>
    <m/>
    <m/>
    <s v="João Carlos"/>
  </r>
  <r>
    <d v="2026-12-26T00:00:00"/>
    <s v="sábado"/>
    <d v="2026-12-26T00:00:00"/>
    <s v="NÃO"/>
    <x v="0"/>
    <m/>
    <m/>
    <m/>
    <m/>
    <m/>
    <m/>
    <m/>
    <m/>
    <m/>
    <m/>
    <s v="João Carlos"/>
  </r>
  <r>
    <d v="2026-12-27T00:00:00"/>
    <s v="domingo"/>
    <d v="2026-12-27T00:00:00"/>
    <s v="NÃO"/>
    <x v="0"/>
    <m/>
    <m/>
    <m/>
    <m/>
    <m/>
    <m/>
    <m/>
    <m/>
    <m/>
    <m/>
    <s v="João Carlos"/>
  </r>
  <r>
    <d v="2026-12-28T00:00:00"/>
    <s v="segunda-feira"/>
    <d v="2026-12-28T00:00:00"/>
    <m/>
    <x v="0"/>
    <m/>
    <m/>
    <m/>
    <m/>
    <m/>
    <m/>
    <m/>
    <m/>
    <m/>
    <m/>
    <s v="João Carlos"/>
  </r>
  <r>
    <d v="2026-12-29T00:00:00"/>
    <s v="terça-feira"/>
    <d v="2026-12-29T00:00:00"/>
    <m/>
    <x v="0"/>
    <m/>
    <m/>
    <m/>
    <m/>
    <m/>
    <m/>
    <m/>
    <m/>
    <m/>
    <m/>
    <s v="João Carlos"/>
  </r>
  <r>
    <d v="2026-12-30T00:00:00"/>
    <s v="quarta-feira"/>
    <d v="2026-12-30T00:00:00"/>
    <m/>
    <x v="0"/>
    <m/>
    <m/>
    <m/>
    <m/>
    <m/>
    <m/>
    <m/>
    <m/>
    <m/>
    <m/>
    <s v="João Carlos"/>
  </r>
  <r>
    <d v="2026-12-31T00:00:00"/>
    <s v="quinta-feira"/>
    <d v="2026-12-31T00:00:00"/>
    <m/>
    <x v="0"/>
    <m/>
    <m/>
    <m/>
    <m/>
    <m/>
    <m/>
    <m/>
    <m/>
    <m/>
    <m/>
    <s v="João Carlos"/>
  </r>
  <r>
    <d v="2027-01-01T00:00:00"/>
    <s v="sexta-feira"/>
    <d v="2027-01-01T00:00:00"/>
    <m/>
    <x v="0"/>
    <m/>
    <m/>
    <m/>
    <m/>
    <m/>
    <m/>
    <m/>
    <m/>
    <m/>
    <m/>
    <s v="João Carlos"/>
  </r>
  <r>
    <d v="2027-01-02T00:00:00"/>
    <s v="sábado"/>
    <d v="2027-01-02T00:00:00"/>
    <s v="NÃO"/>
    <x v="0"/>
    <m/>
    <m/>
    <m/>
    <m/>
    <m/>
    <m/>
    <m/>
    <m/>
    <m/>
    <m/>
    <s v="João Carlos"/>
  </r>
  <r>
    <d v="2027-01-03T00:00:00"/>
    <s v="domingo"/>
    <d v="2027-01-03T00:00:00"/>
    <s v="NÃO"/>
    <x v="0"/>
    <m/>
    <m/>
    <m/>
    <m/>
    <m/>
    <m/>
    <m/>
    <m/>
    <m/>
    <m/>
    <s v="João Carlos"/>
  </r>
  <r>
    <d v="2027-01-04T00:00:00"/>
    <s v="segunda-feira"/>
    <d v="2027-01-04T00:00:00"/>
    <m/>
    <x v="0"/>
    <m/>
    <m/>
    <m/>
    <m/>
    <m/>
    <m/>
    <m/>
    <m/>
    <m/>
    <m/>
    <s v="João Carlos"/>
  </r>
  <r>
    <d v="2027-01-05T00:00:00"/>
    <s v="terça-feira"/>
    <d v="2027-01-05T00:00:00"/>
    <m/>
    <x v="0"/>
    <m/>
    <m/>
    <m/>
    <m/>
    <m/>
    <m/>
    <m/>
    <m/>
    <m/>
    <m/>
    <s v="João Carlos"/>
  </r>
  <r>
    <d v="2027-01-06T00:00:00"/>
    <s v="quarta-feira"/>
    <d v="2027-01-06T00:00:00"/>
    <m/>
    <x v="0"/>
    <m/>
    <m/>
    <m/>
    <m/>
    <m/>
    <m/>
    <m/>
    <m/>
    <m/>
    <m/>
    <s v="João Carlos"/>
  </r>
  <r>
    <d v="2027-01-07T00:00:00"/>
    <s v="quinta-feira"/>
    <d v="2027-01-07T00:00:00"/>
    <m/>
    <x v="0"/>
    <m/>
    <m/>
    <m/>
    <m/>
    <m/>
    <m/>
    <m/>
    <m/>
    <m/>
    <m/>
    <s v="João Carlos"/>
  </r>
  <r>
    <d v="2027-01-08T00:00:00"/>
    <s v="sexta-feira"/>
    <d v="2027-01-08T00:00:00"/>
    <m/>
    <x v="0"/>
    <m/>
    <m/>
    <m/>
    <m/>
    <m/>
    <m/>
    <m/>
    <m/>
    <m/>
    <m/>
    <s v="João Carlos"/>
  </r>
  <r>
    <d v="2027-01-09T00:00:00"/>
    <s v="sábado"/>
    <d v="2027-01-09T00:00:00"/>
    <s v="NÃO"/>
    <x v="0"/>
    <m/>
    <m/>
    <m/>
    <m/>
    <m/>
    <m/>
    <m/>
    <m/>
    <m/>
    <m/>
    <s v="João Carlos"/>
  </r>
  <r>
    <d v="2027-01-10T00:00:00"/>
    <s v="domingo"/>
    <d v="2027-01-10T00:00:00"/>
    <s v="NÃO"/>
    <x v="0"/>
    <m/>
    <m/>
    <m/>
    <m/>
    <m/>
    <m/>
    <m/>
    <m/>
    <m/>
    <m/>
    <s v="João Carlos"/>
  </r>
  <r>
    <d v="2027-01-11T00:00:00"/>
    <s v="segunda-feira"/>
    <d v="2027-01-11T00:00:00"/>
    <m/>
    <x v="0"/>
    <m/>
    <m/>
    <m/>
    <m/>
    <m/>
    <m/>
    <m/>
    <m/>
    <m/>
    <m/>
    <s v="João Carlos"/>
  </r>
  <r>
    <d v="2027-01-12T00:00:00"/>
    <s v="terça-feira"/>
    <d v="2027-01-12T00:00:00"/>
    <m/>
    <x v="0"/>
    <m/>
    <m/>
    <m/>
    <m/>
    <m/>
    <m/>
    <m/>
    <m/>
    <m/>
    <m/>
    <s v="João Carlos"/>
  </r>
  <r>
    <d v="2027-01-13T00:00:00"/>
    <s v="quarta-feira"/>
    <d v="2027-01-13T00:00:00"/>
    <m/>
    <x v="0"/>
    <m/>
    <m/>
    <m/>
    <m/>
    <m/>
    <m/>
    <m/>
    <m/>
    <m/>
    <m/>
    <s v="João Carlos"/>
  </r>
  <r>
    <d v="2027-01-14T00:00:00"/>
    <s v="quinta-feira"/>
    <d v="2027-01-14T00:00:00"/>
    <m/>
    <x v="0"/>
    <m/>
    <m/>
    <m/>
    <m/>
    <m/>
    <m/>
    <m/>
    <m/>
    <m/>
    <m/>
    <s v="João Carlos"/>
  </r>
  <r>
    <d v="2027-01-15T00:00:00"/>
    <s v="sexta-feira"/>
    <d v="2027-01-15T00:00:00"/>
    <m/>
    <x v="0"/>
    <m/>
    <m/>
    <m/>
    <m/>
    <m/>
    <m/>
    <m/>
    <m/>
    <m/>
    <m/>
    <s v="João Carlos"/>
  </r>
  <r>
    <d v="2027-01-16T00:00:00"/>
    <s v="sábado"/>
    <d v="2027-01-16T00:00:00"/>
    <s v="NÃO"/>
    <x v="0"/>
    <m/>
    <m/>
    <m/>
    <m/>
    <m/>
    <m/>
    <m/>
    <m/>
    <m/>
    <m/>
    <s v="João Carlos"/>
  </r>
  <r>
    <d v="2027-01-17T00:00:00"/>
    <s v="domingo"/>
    <d v="2027-01-17T00:00:00"/>
    <s v="NÃO"/>
    <x v="0"/>
    <m/>
    <m/>
    <m/>
    <m/>
    <m/>
    <m/>
    <m/>
    <m/>
    <m/>
    <m/>
    <s v="João Carlos"/>
  </r>
  <r>
    <d v="2027-01-18T00:00:00"/>
    <s v="segunda-feira"/>
    <d v="2027-01-18T00:00:00"/>
    <m/>
    <x v="0"/>
    <m/>
    <m/>
    <m/>
    <m/>
    <m/>
    <m/>
    <m/>
    <m/>
    <m/>
    <m/>
    <s v="João Carlos"/>
  </r>
  <r>
    <d v="2027-01-19T00:00:00"/>
    <s v="terça-feira"/>
    <d v="2027-01-19T00:00:00"/>
    <m/>
    <x v="0"/>
    <m/>
    <m/>
    <m/>
    <m/>
    <m/>
    <m/>
    <m/>
    <m/>
    <m/>
    <m/>
    <s v="João Carlos"/>
  </r>
  <r>
    <d v="2027-01-20T00:00:00"/>
    <s v="quarta-feira"/>
    <d v="2027-01-20T00:00:00"/>
    <m/>
    <x v="0"/>
    <m/>
    <m/>
    <m/>
    <m/>
    <m/>
    <m/>
    <m/>
    <m/>
    <m/>
    <m/>
    <s v="João Carlos"/>
  </r>
  <r>
    <d v="2027-01-21T00:00:00"/>
    <s v="quinta-feira"/>
    <d v="2027-01-21T00:00:00"/>
    <m/>
    <x v="0"/>
    <m/>
    <m/>
    <m/>
    <m/>
    <m/>
    <m/>
    <m/>
    <m/>
    <m/>
    <m/>
    <s v="João Carlos"/>
  </r>
  <r>
    <d v="2027-01-22T00:00:00"/>
    <s v="sexta-feira"/>
    <d v="2027-01-22T00:00:00"/>
    <m/>
    <x v="0"/>
    <m/>
    <m/>
    <m/>
    <m/>
    <m/>
    <m/>
    <m/>
    <m/>
    <m/>
    <m/>
    <s v="João Carlos"/>
  </r>
  <r>
    <d v="2027-01-23T00:00:00"/>
    <s v="sábado"/>
    <d v="2027-01-23T00:00:00"/>
    <s v="NÃO"/>
    <x v="0"/>
    <m/>
    <m/>
    <m/>
    <m/>
    <m/>
    <m/>
    <m/>
    <m/>
    <m/>
    <m/>
    <s v="João Carlos"/>
  </r>
  <r>
    <d v="2027-01-24T00:00:00"/>
    <s v="domingo"/>
    <d v="2027-01-24T00:00:00"/>
    <s v="NÃO"/>
    <x v="0"/>
    <m/>
    <m/>
    <m/>
    <m/>
    <m/>
    <m/>
    <m/>
    <m/>
    <m/>
    <m/>
    <s v="João Carlos"/>
  </r>
  <r>
    <d v="2027-01-25T00:00:00"/>
    <s v="segunda-feira"/>
    <d v="2027-01-25T00:00:00"/>
    <m/>
    <x v="0"/>
    <m/>
    <m/>
    <m/>
    <m/>
    <m/>
    <m/>
    <m/>
    <m/>
    <m/>
    <m/>
    <s v="João Carlos"/>
  </r>
  <r>
    <d v="2027-01-26T00:00:00"/>
    <s v="terça-feira"/>
    <d v="2027-01-26T00:00:00"/>
    <m/>
    <x v="0"/>
    <m/>
    <m/>
    <m/>
    <m/>
    <m/>
    <m/>
    <m/>
    <m/>
    <m/>
    <m/>
    <s v="João Carlos"/>
  </r>
  <r>
    <d v="2027-01-27T00:00:00"/>
    <s v="quarta-feira"/>
    <d v="2027-01-27T00:00:00"/>
    <m/>
    <x v="0"/>
    <m/>
    <m/>
    <m/>
    <m/>
    <m/>
    <m/>
    <m/>
    <m/>
    <m/>
    <m/>
    <s v="João Carlos"/>
  </r>
  <r>
    <d v="2027-01-28T00:00:00"/>
    <s v="quinta-feira"/>
    <d v="2027-01-28T00:00:00"/>
    <m/>
    <x v="0"/>
    <m/>
    <m/>
    <m/>
    <m/>
    <m/>
    <m/>
    <m/>
    <m/>
    <m/>
    <m/>
    <s v="João Carlos"/>
  </r>
  <r>
    <d v="2027-01-29T00:00:00"/>
    <s v="sexta-feira"/>
    <d v="2027-01-29T00:00:00"/>
    <m/>
    <x v="0"/>
    <m/>
    <m/>
    <m/>
    <m/>
    <m/>
    <m/>
    <m/>
    <m/>
    <m/>
    <m/>
    <s v="João Carlos"/>
  </r>
  <r>
    <d v="2027-01-30T00:00:00"/>
    <s v="sábado"/>
    <d v="2027-01-30T00:00:00"/>
    <s v="NÃO"/>
    <x v="0"/>
    <m/>
    <m/>
    <m/>
    <m/>
    <m/>
    <m/>
    <m/>
    <m/>
    <m/>
    <m/>
    <s v="João Carlos"/>
  </r>
  <r>
    <d v="2027-01-31T00:00:00"/>
    <s v="domingo"/>
    <d v="2027-01-31T00:00:00"/>
    <s v="NÃO"/>
    <x v="0"/>
    <m/>
    <m/>
    <m/>
    <m/>
    <m/>
    <m/>
    <m/>
    <m/>
    <m/>
    <m/>
    <s v="João Carlos"/>
  </r>
  <r>
    <d v="2027-02-01T00:00:00"/>
    <s v="segunda-feira"/>
    <d v="2027-02-01T00:00:00"/>
    <m/>
    <x v="0"/>
    <m/>
    <m/>
    <m/>
    <m/>
    <m/>
    <m/>
    <m/>
    <m/>
    <m/>
    <m/>
    <s v="João Carlos"/>
  </r>
  <r>
    <d v="2027-02-02T00:00:00"/>
    <s v="terça-feira"/>
    <d v="2027-02-02T00:00:00"/>
    <m/>
    <x v="0"/>
    <m/>
    <m/>
    <m/>
    <m/>
    <m/>
    <m/>
    <m/>
    <m/>
    <m/>
    <m/>
    <s v="João Carlos"/>
  </r>
  <r>
    <d v="2027-02-03T00:00:00"/>
    <s v="quarta-feira"/>
    <d v="2027-02-03T00:00:00"/>
    <m/>
    <x v="0"/>
    <m/>
    <m/>
    <m/>
    <m/>
    <m/>
    <m/>
    <m/>
    <m/>
    <m/>
    <m/>
    <s v="João Carlos"/>
  </r>
  <r>
    <d v="2027-02-04T00:00:00"/>
    <s v="quinta-feira"/>
    <d v="2027-02-04T00:00:00"/>
    <m/>
    <x v="0"/>
    <m/>
    <m/>
    <m/>
    <m/>
    <m/>
    <m/>
    <m/>
    <m/>
    <m/>
    <m/>
    <s v="João Carlos"/>
  </r>
  <r>
    <d v="2027-02-05T00:00:00"/>
    <s v="sexta-feira"/>
    <d v="2027-02-05T00:00:00"/>
    <m/>
    <x v="0"/>
    <m/>
    <m/>
    <m/>
    <m/>
    <m/>
    <m/>
    <m/>
    <m/>
    <m/>
    <m/>
    <s v="João Carlos"/>
  </r>
  <r>
    <d v="2027-02-06T00:00:00"/>
    <s v="sábado"/>
    <d v="2027-02-06T00:00:00"/>
    <s v="NÃO"/>
    <x v="0"/>
    <m/>
    <m/>
    <m/>
    <m/>
    <m/>
    <m/>
    <m/>
    <m/>
    <m/>
    <m/>
    <s v="João Carlos"/>
  </r>
  <r>
    <d v="2027-02-07T00:00:00"/>
    <s v="domingo"/>
    <d v="2027-02-07T00:00:00"/>
    <s v="NÃO"/>
    <x v="0"/>
    <m/>
    <m/>
    <m/>
    <m/>
    <m/>
    <m/>
    <m/>
    <m/>
    <m/>
    <m/>
    <s v="João Carlos"/>
  </r>
  <r>
    <d v="2027-02-08T00:00:00"/>
    <s v="segunda-feira"/>
    <d v="2027-02-08T00:00:00"/>
    <m/>
    <x v="0"/>
    <m/>
    <m/>
    <m/>
    <m/>
    <m/>
    <m/>
    <m/>
    <m/>
    <m/>
    <m/>
    <s v="João Carlos"/>
  </r>
  <r>
    <d v="2027-02-09T00:00:00"/>
    <s v="terça-feira"/>
    <d v="2027-02-09T00:00:00"/>
    <m/>
    <x v="0"/>
    <m/>
    <m/>
    <m/>
    <m/>
    <m/>
    <m/>
    <m/>
    <m/>
    <m/>
    <m/>
    <s v="João Carlos"/>
  </r>
  <r>
    <d v="2027-02-10T00:00:00"/>
    <s v="quarta-feira"/>
    <d v="2027-02-10T00:00:00"/>
    <m/>
    <x v="0"/>
    <m/>
    <m/>
    <m/>
    <m/>
    <m/>
    <m/>
    <m/>
    <m/>
    <m/>
    <m/>
    <s v="João Carlos"/>
  </r>
  <r>
    <d v="2027-02-11T00:00:00"/>
    <s v="quinta-feira"/>
    <d v="2027-02-11T00:00:00"/>
    <m/>
    <x v="0"/>
    <m/>
    <m/>
    <m/>
    <m/>
    <m/>
    <m/>
    <m/>
    <m/>
    <m/>
    <m/>
    <s v="João Carlos"/>
  </r>
  <r>
    <d v="2027-02-12T00:00:00"/>
    <s v="sexta-feira"/>
    <d v="2027-02-12T00:00:00"/>
    <m/>
    <x v="0"/>
    <m/>
    <m/>
    <m/>
    <m/>
    <m/>
    <m/>
    <m/>
    <m/>
    <m/>
    <m/>
    <s v="João Carlos"/>
  </r>
  <r>
    <d v="2027-02-13T00:00:00"/>
    <s v="sábado"/>
    <d v="2027-02-13T00:00:00"/>
    <s v="NÃO"/>
    <x v="0"/>
    <m/>
    <m/>
    <m/>
    <m/>
    <m/>
    <m/>
    <m/>
    <m/>
    <m/>
    <m/>
    <s v="João Carlos"/>
  </r>
  <r>
    <d v="2027-02-14T00:00:00"/>
    <s v="domingo"/>
    <d v="2027-02-14T00:00:00"/>
    <s v="NÃO"/>
    <x v="0"/>
    <m/>
    <m/>
    <m/>
    <m/>
    <m/>
    <m/>
    <m/>
    <m/>
    <m/>
    <m/>
    <s v="João Carlos"/>
  </r>
  <r>
    <d v="2027-02-15T00:00:00"/>
    <s v="segunda-feira"/>
    <d v="2027-02-15T00:00:00"/>
    <m/>
    <x v="0"/>
    <m/>
    <m/>
    <m/>
    <m/>
    <m/>
    <m/>
    <m/>
    <m/>
    <m/>
    <m/>
    <s v="João Carlos"/>
  </r>
  <r>
    <d v="2025-11-01T00:00:00"/>
    <s v="sábado"/>
    <d v="2025-11-01T00:00:00"/>
    <s v="NÃO"/>
    <x v="0"/>
    <m/>
    <m/>
    <m/>
    <m/>
    <m/>
    <m/>
    <m/>
    <m/>
    <m/>
    <m/>
    <s v="São Manoel"/>
  </r>
  <r>
    <d v="2025-11-02T00:00:00"/>
    <s v="domingo"/>
    <d v="2025-11-02T00:00:00"/>
    <s v="NÃO"/>
    <x v="0"/>
    <m/>
    <m/>
    <m/>
    <m/>
    <m/>
    <m/>
    <m/>
    <m/>
    <m/>
    <m/>
    <s v="São Manoel"/>
  </r>
  <r>
    <d v="2025-11-03T00:00:00"/>
    <s v="segunda-feira"/>
    <d v="2025-11-03T00:00:00"/>
    <m/>
    <x v="0"/>
    <m/>
    <m/>
    <m/>
    <m/>
    <m/>
    <m/>
    <m/>
    <m/>
    <m/>
    <m/>
    <s v="São Manoel"/>
  </r>
  <r>
    <d v="2025-11-04T00:00:00"/>
    <s v="terça-feira"/>
    <d v="2025-11-04T00:00:00"/>
    <m/>
    <x v="0"/>
    <m/>
    <m/>
    <m/>
    <m/>
    <m/>
    <m/>
    <m/>
    <m/>
    <m/>
    <m/>
    <s v="São Manoel"/>
  </r>
  <r>
    <d v="2025-11-05T00:00:00"/>
    <s v="quarta-feira"/>
    <d v="2025-11-05T00:00:00"/>
    <m/>
    <x v="0"/>
    <m/>
    <m/>
    <m/>
    <m/>
    <m/>
    <m/>
    <m/>
    <m/>
    <m/>
    <m/>
    <s v="São Manoel"/>
  </r>
  <r>
    <d v="2025-11-06T00:00:00"/>
    <s v="quinta-feira"/>
    <d v="2025-11-06T00:00:00"/>
    <m/>
    <x v="0"/>
    <m/>
    <m/>
    <m/>
    <m/>
    <m/>
    <m/>
    <m/>
    <m/>
    <m/>
    <m/>
    <s v="São Manoel"/>
  </r>
  <r>
    <d v="2025-11-07T00:00:00"/>
    <s v="sexta-feira"/>
    <d v="2025-11-07T00:00:00"/>
    <m/>
    <x v="0"/>
    <m/>
    <m/>
    <m/>
    <m/>
    <m/>
    <m/>
    <m/>
    <m/>
    <m/>
    <m/>
    <s v="São Manoel"/>
  </r>
  <r>
    <d v="2025-11-08T00:00:00"/>
    <s v="sábado"/>
    <d v="2025-11-08T00:00:00"/>
    <s v="NÃO"/>
    <x v="0"/>
    <m/>
    <m/>
    <m/>
    <m/>
    <m/>
    <m/>
    <m/>
    <m/>
    <m/>
    <m/>
    <s v="São Manoel"/>
  </r>
  <r>
    <d v="2025-11-09T00:00:00"/>
    <s v="domingo"/>
    <d v="2025-11-09T00:00:00"/>
    <s v="NÃO"/>
    <x v="0"/>
    <m/>
    <m/>
    <m/>
    <m/>
    <m/>
    <m/>
    <m/>
    <m/>
    <m/>
    <m/>
    <s v="São Manoel"/>
  </r>
  <r>
    <d v="2025-11-10T00:00:00"/>
    <s v="segunda-feira"/>
    <d v="2025-11-10T00:00:00"/>
    <m/>
    <x v="0"/>
    <m/>
    <m/>
    <m/>
    <m/>
    <m/>
    <m/>
    <m/>
    <m/>
    <m/>
    <m/>
    <s v="São Manoel"/>
  </r>
  <r>
    <d v="2025-11-11T00:00:00"/>
    <s v="terça-feira"/>
    <d v="2025-11-11T00:00:00"/>
    <m/>
    <x v="0"/>
    <m/>
    <m/>
    <m/>
    <m/>
    <m/>
    <m/>
    <m/>
    <m/>
    <m/>
    <m/>
    <s v="São Manoel"/>
  </r>
  <r>
    <d v="2025-11-12T00:00:00"/>
    <s v="quarta-feira"/>
    <d v="2025-11-12T00:00:00"/>
    <m/>
    <x v="0"/>
    <m/>
    <m/>
    <m/>
    <m/>
    <m/>
    <m/>
    <m/>
    <m/>
    <m/>
    <m/>
    <s v="São Manoel"/>
  </r>
  <r>
    <d v="2025-11-13T00:00:00"/>
    <s v="quinta-feira"/>
    <d v="2025-11-13T00:00:00"/>
    <m/>
    <x v="0"/>
    <m/>
    <m/>
    <m/>
    <m/>
    <m/>
    <m/>
    <m/>
    <m/>
    <m/>
    <m/>
    <s v="São Manoel"/>
  </r>
  <r>
    <d v="2025-11-14T00:00:00"/>
    <s v="sexta-feira"/>
    <d v="2025-11-14T00:00:00"/>
    <m/>
    <x v="0"/>
    <m/>
    <m/>
    <m/>
    <m/>
    <m/>
    <m/>
    <m/>
    <m/>
    <m/>
    <m/>
    <s v="São Manoel"/>
  </r>
  <r>
    <d v="2025-11-15T00:00:00"/>
    <s v="sábado"/>
    <d v="2025-11-15T00:00:00"/>
    <s v="NÃO"/>
    <x v="0"/>
    <m/>
    <m/>
    <m/>
    <m/>
    <m/>
    <m/>
    <m/>
    <m/>
    <m/>
    <m/>
    <s v="São Manoel"/>
  </r>
  <r>
    <d v="2025-11-16T00:00:00"/>
    <s v="domingo"/>
    <d v="2025-11-16T00:00:00"/>
    <s v="NÃO"/>
    <x v="0"/>
    <m/>
    <m/>
    <m/>
    <m/>
    <m/>
    <m/>
    <m/>
    <m/>
    <m/>
    <m/>
    <s v="São Manoel"/>
  </r>
  <r>
    <d v="2025-11-17T00:00:00"/>
    <s v="segunda-feira"/>
    <d v="2025-11-17T00:00:00"/>
    <m/>
    <x v="0"/>
    <m/>
    <m/>
    <m/>
    <m/>
    <m/>
    <m/>
    <m/>
    <m/>
    <m/>
    <m/>
    <s v="São Manoel"/>
  </r>
  <r>
    <d v="2025-11-18T00:00:00"/>
    <s v="terça-feira"/>
    <d v="2025-11-18T00:00:00"/>
    <m/>
    <x v="0"/>
    <m/>
    <m/>
    <m/>
    <m/>
    <m/>
    <m/>
    <m/>
    <m/>
    <m/>
    <m/>
    <s v="São Manoel"/>
  </r>
  <r>
    <d v="2025-11-19T00:00:00"/>
    <s v="quarta-feira"/>
    <d v="2025-11-19T00:00:00"/>
    <m/>
    <x v="0"/>
    <m/>
    <m/>
    <m/>
    <m/>
    <m/>
    <m/>
    <m/>
    <m/>
    <m/>
    <m/>
    <s v="São Manoel"/>
  </r>
  <r>
    <d v="2025-11-20T00:00:00"/>
    <s v="quinta-feira"/>
    <d v="2025-11-20T00:00:00"/>
    <m/>
    <x v="0"/>
    <m/>
    <m/>
    <m/>
    <m/>
    <m/>
    <m/>
    <m/>
    <m/>
    <m/>
    <m/>
    <s v="São Manoel"/>
  </r>
  <r>
    <d v="2025-11-21T00:00:00"/>
    <s v="sexta-feira"/>
    <d v="2025-11-21T00:00:00"/>
    <m/>
    <x v="0"/>
    <m/>
    <m/>
    <m/>
    <m/>
    <m/>
    <m/>
    <m/>
    <m/>
    <m/>
    <m/>
    <s v="São Manoel"/>
  </r>
  <r>
    <d v="2025-11-22T00:00:00"/>
    <s v="sábado"/>
    <d v="2025-11-22T00:00:00"/>
    <s v="NÃO"/>
    <x v="0"/>
    <m/>
    <m/>
    <m/>
    <m/>
    <m/>
    <m/>
    <m/>
    <m/>
    <m/>
    <m/>
    <s v="São Manoel"/>
  </r>
  <r>
    <d v="2025-11-23T00:00:00"/>
    <s v="domingo"/>
    <d v="2025-11-23T00:00:00"/>
    <s v="NÃO"/>
    <x v="0"/>
    <m/>
    <m/>
    <m/>
    <m/>
    <m/>
    <m/>
    <m/>
    <m/>
    <m/>
    <m/>
    <s v="São Manoel"/>
  </r>
  <r>
    <d v="2025-11-24T00:00:00"/>
    <s v="segunda-feira"/>
    <d v="2025-11-24T00:00:00"/>
    <m/>
    <x v="0"/>
    <m/>
    <m/>
    <m/>
    <m/>
    <m/>
    <m/>
    <m/>
    <m/>
    <m/>
    <m/>
    <s v="São Manoel"/>
  </r>
  <r>
    <d v="2025-11-25T00:00:00"/>
    <s v="terça-feira"/>
    <d v="2025-11-25T00:00:00"/>
    <m/>
    <x v="0"/>
    <m/>
    <m/>
    <m/>
    <m/>
    <m/>
    <m/>
    <m/>
    <m/>
    <m/>
    <m/>
    <s v="São Manoel"/>
  </r>
  <r>
    <d v="2025-11-26T00:00:00"/>
    <s v="quarta-feira"/>
    <d v="2025-11-26T00:00:00"/>
    <m/>
    <x v="0"/>
    <m/>
    <m/>
    <m/>
    <m/>
    <m/>
    <m/>
    <m/>
    <m/>
    <m/>
    <m/>
    <s v="São Manoel"/>
  </r>
  <r>
    <d v="2025-11-27T00:00:00"/>
    <s v="quinta-feira"/>
    <d v="2025-11-27T00:00:00"/>
    <m/>
    <x v="0"/>
    <m/>
    <m/>
    <m/>
    <m/>
    <m/>
    <m/>
    <m/>
    <m/>
    <m/>
    <m/>
    <s v="São Manoel"/>
  </r>
  <r>
    <d v="2025-11-28T00:00:00"/>
    <s v="sexta-feira"/>
    <d v="2025-11-28T00:00:00"/>
    <m/>
    <x v="0"/>
    <m/>
    <m/>
    <m/>
    <m/>
    <m/>
    <m/>
    <m/>
    <m/>
    <m/>
    <m/>
    <s v="São Manoel"/>
  </r>
  <r>
    <d v="2025-11-29T00:00:00"/>
    <s v="sábado"/>
    <d v="2025-11-29T00:00:00"/>
    <s v="NÃO"/>
    <x v="0"/>
    <m/>
    <m/>
    <m/>
    <m/>
    <m/>
    <m/>
    <m/>
    <m/>
    <m/>
    <m/>
    <s v="São Manoel"/>
  </r>
  <r>
    <d v="2025-11-30T00:00:00"/>
    <s v="domingo"/>
    <d v="2025-11-30T00:00:00"/>
    <s v="NÃO"/>
    <x v="0"/>
    <m/>
    <m/>
    <m/>
    <m/>
    <m/>
    <m/>
    <m/>
    <m/>
    <m/>
    <m/>
    <s v="São Manoel"/>
  </r>
  <r>
    <d v="2025-12-01T00:00:00"/>
    <s v="segunda-feira"/>
    <d v="2025-12-01T00:00:00"/>
    <m/>
    <x v="0"/>
    <m/>
    <m/>
    <m/>
    <m/>
    <m/>
    <m/>
    <m/>
    <m/>
    <m/>
    <m/>
    <s v="São Manoel"/>
  </r>
  <r>
    <d v="2025-12-02T00:00:00"/>
    <s v="terça-feira"/>
    <d v="2025-12-02T00:00:00"/>
    <m/>
    <x v="0"/>
    <m/>
    <m/>
    <m/>
    <m/>
    <m/>
    <m/>
    <m/>
    <m/>
    <m/>
    <m/>
    <s v="São Manoel"/>
  </r>
  <r>
    <d v="2025-12-03T00:00:00"/>
    <s v="quarta-feira"/>
    <d v="2025-12-03T00:00:00"/>
    <m/>
    <x v="0"/>
    <m/>
    <m/>
    <m/>
    <m/>
    <m/>
    <m/>
    <m/>
    <m/>
    <m/>
    <m/>
    <s v="São Manoel"/>
  </r>
  <r>
    <d v="2025-12-04T00:00:00"/>
    <s v="quinta-feira"/>
    <d v="2025-12-04T00:00:00"/>
    <m/>
    <x v="0"/>
    <m/>
    <m/>
    <m/>
    <m/>
    <m/>
    <m/>
    <m/>
    <m/>
    <m/>
    <m/>
    <s v="São Manoel"/>
  </r>
  <r>
    <d v="2025-12-05T00:00:00"/>
    <s v="sexta-feira"/>
    <d v="2025-12-05T00:00:00"/>
    <m/>
    <x v="0"/>
    <m/>
    <m/>
    <m/>
    <m/>
    <m/>
    <m/>
    <m/>
    <m/>
    <m/>
    <m/>
    <s v="São Manoel"/>
  </r>
  <r>
    <d v="2025-12-06T00:00:00"/>
    <s v="sábado"/>
    <d v="2025-12-06T00:00:00"/>
    <s v="NÃO"/>
    <x v="0"/>
    <m/>
    <m/>
    <m/>
    <m/>
    <m/>
    <m/>
    <m/>
    <m/>
    <m/>
    <m/>
    <s v="São Manoel"/>
  </r>
  <r>
    <d v="2025-12-07T00:00:00"/>
    <s v="domingo"/>
    <d v="2025-12-07T00:00:00"/>
    <s v="NÃO"/>
    <x v="0"/>
    <m/>
    <m/>
    <m/>
    <m/>
    <m/>
    <m/>
    <m/>
    <m/>
    <m/>
    <m/>
    <s v="São Manoel"/>
  </r>
  <r>
    <d v="2025-12-08T00:00:00"/>
    <s v="segunda-feira"/>
    <d v="2025-12-08T00:00:00"/>
    <m/>
    <x v="0"/>
    <m/>
    <m/>
    <m/>
    <m/>
    <m/>
    <m/>
    <m/>
    <m/>
    <m/>
    <m/>
    <s v="São Manoel"/>
  </r>
  <r>
    <d v="2025-12-09T00:00:00"/>
    <s v="terça-feira"/>
    <d v="2025-12-09T00:00:00"/>
    <m/>
    <x v="0"/>
    <m/>
    <m/>
    <m/>
    <m/>
    <m/>
    <m/>
    <m/>
    <m/>
    <m/>
    <m/>
    <s v="São Manoel"/>
  </r>
  <r>
    <d v="2025-12-10T00:00:00"/>
    <s v="quarta-feira"/>
    <d v="2025-12-10T00:00:00"/>
    <m/>
    <x v="0"/>
    <m/>
    <m/>
    <m/>
    <m/>
    <m/>
    <m/>
    <m/>
    <m/>
    <m/>
    <m/>
    <s v="São Manoel"/>
  </r>
  <r>
    <d v="2025-12-11T00:00:00"/>
    <s v="quinta-feira"/>
    <d v="2025-12-11T00:00:00"/>
    <m/>
    <x v="0"/>
    <m/>
    <m/>
    <m/>
    <m/>
    <m/>
    <m/>
    <m/>
    <m/>
    <m/>
    <m/>
    <s v="São Manoel"/>
  </r>
  <r>
    <d v="2025-12-12T00:00:00"/>
    <s v="sexta-feira"/>
    <d v="2025-12-12T00:00:00"/>
    <m/>
    <x v="0"/>
    <m/>
    <m/>
    <m/>
    <m/>
    <m/>
    <m/>
    <m/>
    <m/>
    <m/>
    <m/>
    <s v="São Manoel"/>
  </r>
  <r>
    <d v="2025-12-13T00:00:00"/>
    <s v="sábado"/>
    <d v="2025-12-13T00:00:00"/>
    <s v="NÃO"/>
    <x v="0"/>
    <m/>
    <m/>
    <m/>
    <m/>
    <m/>
    <m/>
    <m/>
    <m/>
    <m/>
    <m/>
    <s v="São Manoel"/>
  </r>
  <r>
    <d v="2025-12-14T00:00:00"/>
    <s v="domingo"/>
    <d v="2025-12-14T00:00:00"/>
    <s v="NÃO"/>
    <x v="0"/>
    <m/>
    <m/>
    <m/>
    <m/>
    <m/>
    <m/>
    <m/>
    <m/>
    <m/>
    <m/>
    <s v="São Manoel"/>
  </r>
  <r>
    <d v="2025-12-15T00:00:00"/>
    <s v="segunda-feira"/>
    <d v="2025-12-15T00:00:00"/>
    <m/>
    <x v="0"/>
    <m/>
    <m/>
    <m/>
    <m/>
    <m/>
    <m/>
    <m/>
    <m/>
    <m/>
    <m/>
    <s v="São Manoel"/>
  </r>
  <r>
    <d v="2025-12-16T00:00:00"/>
    <s v="terça-feira"/>
    <d v="2025-12-16T00:00:00"/>
    <m/>
    <x v="0"/>
    <m/>
    <m/>
    <m/>
    <m/>
    <m/>
    <m/>
    <m/>
    <m/>
    <m/>
    <m/>
    <s v="São Manoel"/>
  </r>
  <r>
    <d v="2025-12-17T00:00:00"/>
    <s v="quarta-feira"/>
    <d v="2025-12-17T00:00:00"/>
    <m/>
    <x v="0"/>
    <m/>
    <m/>
    <m/>
    <m/>
    <m/>
    <m/>
    <m/>
    <m/>
    <m/>
    <m/>
    <s v="São Manoel"/>
  </r>
  <r>
    <d v="2025-12-18T00:00:00"/>
    <s v="quinta-feira"/>
    <d v="2025-12-18T00:00:00"/>
    <m/>
    <x v="0"/>
    <m/>
    <m/>
    <m/>
    <m/>
    <m/>
    <m/>
    <m/>
    <m/>
    <m/>
    <m/>
    <s v="São Manoel"/>
  </r>
  <r>
    <d v="2025-12-19T00:00:00"/>
    <s v="sexta-feira"/>
    <d v="2025-12-19T00:00:00"/>
    <m/>
    <x v="0"/>
    <m/>
    <m/>
    <m/>
    <m/>
    <m/>
    <m/>
    <m/>
    <m/>
    <m/>
    <m/>
    <s v="São Manoel"/>
  </r>
  <r>
    <d v="2025-12-20T00:00:00"/>
    <s v="sábado"/>
    <d v="2025-12-20T00:00:00"/>
    <s v="NÃO"/>
    <x v="0"/>
    <m/>
    <m/>
    <m/>
    <m/>
    <m/>
    <m/>
    <m/>
    <m/>
    <m/>
    <m/>
    <s v="São Manoel"/>
  </r>
  <r>
    <d v="2025-12-21T00:00:00"/>
    <s v="domingo"/>
    <d v="2025-12-21T00:00:00"/>
    <s v="NÃO"/>
    <x v="0"/>
    <m/>
    <m/>
    <m/>
    <m/>
    <m/>
    <m/>
    <m/>
    <m/>
    <m/>
    <m/>
    <s v="São Manoel"/>
  </r>
  <r>
    <d v="2025-12-22T00:00:00"/>
    <s v="segunda-feira"/>
    <d v="2025-12-22T00:00:00"/>
    <m/>
    <x v="0"/>
    <m/>
    <m/>
    <m/>
    <m/>
    <m/>
    <m/>
    <m/>
    <m/>
    <m/>
    <m/>
    <s v="São Manoel"/>
  </r>
  <r>
    <d v="2025-12-23T00:00:00"/>
    <s v="terça-feira"/>
    <d v="2025-12-23T00:00:00"/>
    <m/>
    <x v="0"/>
    <m/>
    <m/>
    <m/>
    <m/>
    <m/>
    <m/>
    <m/>
    <m/>
    <m/>
    <m/>
    <s v="São Manoel"/>
  </r>
  <r>
    <d v="2025-12-24T00:00:00"/>
    <s v="quarta-feira"/>
    <d v="2025-12-24T00:00:00"/>
    <m/>
    <x v="0"/>
    <m/>
    <m/>
    <m/>
    <m/>
    <m/>
    <m/>
    <m/>
    <m/>
    <m/>
    <m/>
    <s v="São Manoel"/>
  </r>
  <r>
    <d v="2025-12-25T00:00:00"/>
    <s v="quinta-feira"/>
    <d v="2025-12-25T00:00:00"/>
    <m/>
    <x v="0"/>
    <m/>
    <m/>
    <m/>
    <m/>
    <m/>
    <m/>
    <m/>
    <m/>
    <m/>
    <m/>
    <s v="São Manoel"/>
  </r>
  <r>
    <d v="2025-12-26T00:00:00"/>
    <s v="sexta-feira"/>
    <d v="2025-12-26T00:00:00"/>
    <m/>
    <x v="0"/>
    <m/>
    <m/>
    <m/>
    <m/>
    <m/>
    <m/>
    <m/>
    <m/>
    <m/>
    <m/>
    <s v="São Manoel"/>
  </r>
  <r>
    <d v="2025-12-27T00:00:00"/>
    <s v="sábado"/>
    <d v="2025-12-27T00:00:00"/>
    <s v="NÃO"/>
    <x v="0"/>
    <m/>
    <m/>
    <m/>
    <m/>
    <m/>
    <m/>
    <m/>
    <m/>
    <m/>
    <m/>
    <s v="São Manoel"/>
  </r>
  <r>
    <d v="2025-12-28T00:00:00"/>
    <s v="domingo"/>
    <d v="2025-12-28T00:00:00"/>
    <s v="NÃO"/>
    <x v="0"/>
    <m/>
    <m/>
    <m/>
    <m/>
    <m/>
    <m/>
    <m/>
    <m/>
    <m/>
    <m/>
    <s v="São Manoel"/>
  </r>
  <r>
    <d v="2025-12-29T00:00:00"/>
    <s v="segunda-feira"/>
    <d v="2025-12-29T00:00:00"/>
    <m/>
    <x v="0"/>
    <m/>
    <m/>
    <m/>
    <m/>
    <m/>
    <m/>
    <m/>
    <m/>
    <m/>
    <m/>
    <s v="São Manoel"/>
  </r>
  <r>
    <d v="2025-12-30T00:00:00"/>
    <s v="terça-feira"/>
    <d v="2025-12-30T00:00:00"/>
    <m/>
    <x v="0"/>
    <m/>
    <m/>
    <m/>
    <m/>
    <m/>
    <m/>
    <m/>
    <m/>
    <m/>
    <m/>
    <s v="São Manoel"/>
  </r>
  <r>
    <d v="2025-12-31T00:00:00"/>
    <s v="quarta-feira"/>
    <d v="2025-12-31T00:00:00"/>
    <m/>
    <x v="0"/>
    <m/>
    <m/>
    <m/>
    <m/>
    <m/>
    <m/>
    <m/>
    <m/>
    <m/>
    <m/>
    <s v="São Manoel"/>
  </r>
  <r>
    <d v="2026-01-01T00:00:00"/>
    <s v="quinta-feira"/>
    <d v="2026-01-01T00:00:00"/>
    <m/>
    <x v="0"/>
    <m/>
    <m/>
    <m/>
    <m/>
    <m/>
    <m/>
    <m/>
    <m/>
    <m/>
    <m/>
    <s v="São Manoel"/>
  </r>
  <r>
    <d v="2026-01-02T00:00:00"/>
    <s v="sexta-feira"/>
    <d v="2026-01-02T00:00:00"/>
    <m/>
    <x v="0"/>
    <m/>
    <m/>
    <m/>
    <m/>
    <m/>
    <m/>
    <m/>
    <m/>
    <m/>
    <m/>
    <s v="São Manoel"/>
  </r>
  <r>
    <d v="2026-01-03T00:00:00"/>
    <s v="sábado"/>
    <d v="2026-01-03T00:00:00"/>
    <s v="NÃO"/>
    <x v="0"/>
    <m/>
    <m/>
    <m/>
    <m/>
    <m/>
    <m/>
    <m/>
    <m/>
    <m/>
    <m/>
    <s v="São Manoel"/>
  </r>
  <r>
    <d v="2026-01-04T00:00:00"/>
    <s v="domingo"/>
    <d v="2026-01-04T00:00:00"/>
    <s v="NÃO"/>
    <x v="0"/>
    <m/>
    <m/>
    <m/>
    <m/>
    <m/>
    <m/>
    <m/>
    <m/>
    <m/>
    <m/>
    <s v="São Manoel"/>
  </r>
  <r>
    <d v="2026-01-05T00:00:00"/>
    <s v="segunda-feira"/>
    <d v="2026-01-05T00:00:00"/>
    <m/>
    <x v="0"/>
    <m/>
    <m/>
    <m/>
    <m/>
    <m/>
    <m/>
    <m/>
    <m/>
    <m/>
    <m/>
    <s v="São Manoel"/>
  </r>
  <r>
    <d v="2026-01-06T00:00:00"/>
    <s v="terça-feira"/>
    <d v="2026-01-06T00:00:00"/>
    <m/>
    <x v="0"/>
    <m/>
    <m/>
    <m/>
    <m/>
    <m/>
    <m/>
    <m/>
    <m/>
    <m/>
    <m/>
    <s v="São Manoel"/>
  </r>
  <r>
    <d v="2026-01-07T00:00:00"/>
    <s v="quarta-feira"/>
    <d v="2026-01-07T00:00:00"/>
    <m/>
    <x v="0"/>
    <m/>
    <m/>
    <m/>
    <m/>
    <m/>
    <m/>
    <m/>
    <m/>
    <m/>
    <m/>
    <s v="São Manoel"/>
  </r>
  <r>
    <d v="2026-01-08T00:00:00"/>
    <s v="quinta-feira"/>
    <d v="2026-01-08T00:00:00"/>
    <s v="SIM"/>
    <x v="17"/>
    <s v="Diversas até 28/02 - SM"/>
    <n v="0"/>
    <n v="0"/>
    <n v="0.02"/>
    <n v="18.010000000000002"/>
    <n v="0"/>
    <n v="0"/>
    <n v="0"/>
    <n v="0"/>
    <n v="0"/>
    <s v="São Manoel"/>
  </r>
  <r>
    <d v="2026-01-09T00:00:00"/>
    <s v="sexta-feira"/>
    <d v="2026-01-09T00:00:00"/>
    <s v="SIM"/>
    <x v="17"/>
    <s v="Diversas até 28/02 - SM"/>
    <n v="0"/>
    <n v="9"/>
    <n v="0.01"/>
    <n v="36.020000000000003"/>
    <n v="0"/>
    <n v="0"/>
    <n v="0"/>
    <n v="0"/>
    <n v="0"/>
    <s v="São Manoel"/>
  </r>
  <r>
    <d v="2026-01-10T00:00:00"/>
    <s v="sábado"/>
    <d v="2026-01-10T00:00:00"/>
    <s v="SIM"/>
    <x v="17"/>
    <s v="Diversas até 28/02 - SM"/>
    <m/>
    <n v="11"/>
    <m/>
    <n v="18"/>
    <n v="0"/>
    <n v="0"/>
    <n v="0"/>
    <n v="0"/>
    <n v="0"/>
    <s v="São Manoel"/>
  </r>
  <r>
    <d v="2026-01-11T00:00:00"/>
    <s v="domingo"/>
    <d v="2026-01-11T00:00:00"/>
    <s v="NÃO"/>
    <x v="0"/>
    <m/>
    <m/>
    <m/>
    <m/>
    <m/>
    <m/>
    <m/>
    <m/>
    <m/>
    <m/>
    <s v="São Manoel"/>
  </r>
  <r>
    <d v="2026-01-12T00:00:00"/>
    <s v="segunda-feira"/>
    <d v="2026-01-12T00:00:00"/>
    <s v="SIM"/>
    <x v="17"/>
    <s v="Diversas até 28/02 - SM"/>
    <n v="0"/>
    <n v="11"/>
    <n v="0.03"/>
    <n v="12"/>
    <n v="0"/>
    <n v="0"/>
    <n v="0"/>
    <m/>
    <m/>
    <s v="São Manoel"/>
  </r>
  <r>
    <d v="2026-01-13T00:00:00"/>
    <s v="terça-feira"/>
    <d v="2026-01-13T00:00:00"/>
    <s v="SIM"/>
    <x v="17"/>
    <s v="Diversas até 28/02 - SM"/>
    <m/>
    <m/>
    <n v="24"/>
    <n v="60"/>
    <m/>
    <m/>
    <n v="0"/>
    <m/>
    <m/>
    <s v="São Manoel"/>
  </r>
  <r>
    <d v="2026-01-14T00:00:00"/>
    <s v="quarta-feira"/>
    <d v="2026-01-14T00:00:00"/>
    <s v="SIM"/>
    <x v="17"/>
    <s v="Diversas até 28/02 - SM"/>
    <n v="0"/>
    <n v="0"/>
    <n v="0.01"/>
    <n v="30"/>
    <n v="0"/>
    <n v="0"/>
    <n v="12"/>
    <n v="0"/>
    <n v="0"/>
    <s v="São Manoel"/>
  </r>
  <r>
    <d v="2026-01-15T00:00:00"/>
    <s v="quinta-feira"/>
    <d v="2026-01-15T00:00:00"/>
    <s v="SIM"/>
    <x v="17"/>
    <s v="Diversas até 28/02 - SM"/>
    <n v="0"/>
    <n v="0"/>
    <n v="0.01"/>
    <n v="30"/>
    <n v="0"/>
    <n v="0"/>
    <n v="2"/>
    <n v="0"/>
    <m/>
    <s v="São Manoel"/>
  </r>
  <r>
    <d v="2026-01-16T00:00:00"/>
    <s v="sexta-feira"/>
    <d v="2026-01-16T00:00:00"/>
    <s v="SIM"/>
    <x v="17"/>
    <s v="Diversas até 28/02 - SM"/>
    <n v="0"/>
    <n v="6"/>
    <n v="0.01"/>
    <n v="30"/>
    <n v="0"/>
    <n v="0"/>
    <n v="2"/>
    <n v="0"/>
    <n v="0"/>
    <s v="São Manoel"/>
  </r>
  <r>
    <d v="2026-01-17T00:00:00"/>
    <s v="sábado"/>
    <d v="2026-01-17T00:00:00"/>
    <s v="SIM"/>
    <x v="17"/>
    <s v="Diversas até 28/02 - SM"/>
    <n v="0"/>
    <n v="0"/>
    <n v="0"/>
    <n v="6"/>
    <n v="0"/>
    <n v="0"/>
    <n v="0"/>
    <n v="0"/>
    <n v="0"/>
    <s v="São Manoel"/>
  </r>
  <r>
    <d v="2026-01-18T00:00:00"/>
    <s v="domingo"/>
    <d v="2026-01-18T00:00:00"/>
    <s v="NÃO"/>
    <x v="0"/>
    <m/>
    <m/>
    <m/>
    <m/>
    <m/>
    <m/>
    <m/>
    <m/>
    <m/>
    <m/>
    <s v="São Manoel"/>
  </r>
  <r>
    <d v="2026-01-19T00:00:00"/>
    <s v="segunda-feira"/>
    <d v="2026-01-19T00:00:00"/>
    <s v="SIM"/>
    <x v="17"/>
    <s v="Diversas até 28/02 - SM"/>
    <n v="0"/>
    <n v="0"/>
    <n v="0.01"/>
    <n v="60.01"/>
    <n v="0"/>
    <n v="0"/>
    <n v="0"/>
    <n v="0"/>
    <n v="0"/>
    <s v="São Manoel"/>
  </r>
  <r>
    <d v="2026-01-20T00:00:00"/>
    <s v="terça-feira"/>
    <d v="2026-01-20T00:00:00"/>
    <s v="SIM"/>
    <x v="17"/>
    <s v="Diversas até 28/02 - SM"/>
    <n v="3"/>
    <n v="2"/>
    <n v="58"/>
    <n v="6"/>
    <n v="0"/>
    <n v="0"/>
    <n v="0"/>
    <n v="0"/>
    <n v="0"/>
    <s v="São Manoel"/>
  </r>
  <r>
    <d v="2026-01-21T00:00:00"/>
    <s v="quarta-feira"/>
    <d v="2026-01-21T00:00:00"/>
    <s v="SIM"/>
    <x v="17"/>
    <s v="Diversas até 28/02 - SM"/>
    <n v="2"/>
    <n v="3"/>
    <n v="70.02000000000001"/>
    <n v="64"/>
    <n v="0"/>
    <n v="0"/>
    <n v="0"/>
    <n v="0"/>
    <n v="0"/>
    <s v="São Manoel"/>
  </r>
  <r>
    <d v="2026-01-22T00:00:00"/>
    <s v="quinta-feira"/>
    <d v="2026-01-22T00:00:00"/>
    <s v="SIM"/>
    <x v="17"/>
    <s v="Diversas até 28/02 - SM"/>
    <n v="0"/>
    <n v="0"/>
    <n v="20.020000000000003"/>
    <n v="6.0299999999999994"/>
    <n v="0"/>
    <n v="0"/>
    <n v="0"/>
    <n v="0"/>
    <n v="0"/>
    <s v="São Manoel"/>
  </r>
  <r>
    <d v="2026-01-23T00:00:00"/>
    <s v="sexta-feira"/>
    <d v="2026-01-23T00:00:00"/>
    <s v="SIM"/>
    <x v="17"/>
    <s v="Diversas até 28/02 - SM"/>
    <n v="3"/>
    <n v="0"/>
    <n v="30.020000000000003"/>
    <n v="60"/>
    <n v="0"/>
    <n v="0"/>
    <n v="0"/>
    <n v="0"/>
    <n v="0"/>
    <s v="São Manoel"/>
  </r>
  <r>
    <d v="2026-01-24T00:00:00"/>
    <s v="sábado"/>
    <d v="2026-01-24T00:00:00"/>
    <s v="SIM"/>
    <x v="17"/>
    <s v="Diversas até 28/02 - SM"/>
    <n v="0"/>
    <n v="0"/>
    <n v="55"/>
    <n v="9"/>
    <n v="0"/>
    <n v="0"/>
    <n v="0"/>
    <n v="0"/>
    <n v="0"/>
    <s v="São Manoel"/>
  </r>
  <r>
    <d v="2026-01-25T00:00:00"/>
    <s v="domingo"/>
    <d v="2026-01-25T00:00:00"/>
    <s v="NÃO"/>
    <x v="0"/>
    <m/>
    <m/>
    <m/>
    <m/>
    <m/>
    <m/>
    <m/>
    <m/>
    <m/>
    <m/>
    <s v="São Manoel"/>
  </r>
  <r>
    <d v="2026-01-26T00:00:00"/>
    <s v="segunda-feira"/>
    <d v="2026-01-26T00:00:00"/>
    <s v="NÃO"/>
    <x v="0"/>
    <m/>
    <m/>
    <m/>
    <m/>
    <m/>
    <m/>
    <m/>
    <m/>
    <m/>
    <m/>
    <s v="São Manoel"/>
  </r>
  <r>
    <d v="2026-01-27T00:00:00"/>
    <s v="terça-feira"/>
    <d v="2026-01-27T00:00:00"/>
    <s v="NÃO"/>
    <x v="0"/>
    <m/>
    <m/>
    <m/>
    <m/>
    <m/>
    <m/>
    <m/>
    <m/>
    <m/>
    <m/>
    <s v="São Manoel"/>
  </r>
  <r>
    <d v="2026-01-28T00:00:00"/>
    <s v="quarta-feira"/>
    <d v="2026-01-28T00:00:00"/>
    <s v="SIM"/>
    <x v="17"/>
    <s v="Diversas até 28/02 - SM"/>
    <n v="2"/>
    <n v="2"/>
    <n v="113"/>
    <n v="48"/>
    <n v="0"/>
    <n v="6"/>
    <n v="2"/>
    <n v="0"/>
    <n v="0"/>
    <s v="São Manoel"/>
  </r>
  <r>
    <d v="2026-01-29T00:00:00"/>
    <s v="quinta-feira"/>
    <d v="2026-01-29T00:00:00"/>
    <s v="SIM"/>
    <x v="17"/>
    <s v="Diversas até 28/02 - SM"/>
    <n v="0"/>
    <n v="0"/>
    <n v="6"/>
    <n v="8"/>
    <n v="1"/>
    <n v="0"/>
    <n v="28"/>
    <n v="0"/>
    <n v="0"/>
    <s v="São Manoel"/>
  </r>
  <r>
    <d v="2026-01-30T00:00:00"/>
    <s v="sexta-feira"/>
    <d v="2026-01-30T00:00:00"/>
    <s v="SIM"/>
    <x v="17"/>
    <s v="Diversas até 28/02 - SM"/>
    <n v="0"/>
    <n v="5"/>
    <n v="42"/>
    <n v="6"/>
    <n v="0"/>
    <n v="0"/>
    <n v="0"/>
    <n v="0"/>
    <n v="0"/>
    <s v="São Manoel"/>
  </r>
  <r>
    <d v="2026-01-31T00:00:00"/>
    <s v="sábado"/>
    <d v="2026-01-31T00:00:00"/>
    <s v="SIM"/>
    <x v="17"/>
    <s v="Diversas até 28/02 - SM"/>
    <n v="0"/>
    <n v="0"/>
    <n v="30"/>
    <n v="6"/>
    <n v="0"/>
    <n v="0"/>
    <n v="7"/>
    <n v="0"/>
    <n v="0"/>
    <s v="São Manoel"/>
  </r>
  <r>
    <d v="2026-02-01T00:00:00"/>
    <s v="domingo"/>
    <d v="2026-02-01T00:00:00"/>
    <s v="NÃO"/>
    <x v="0"/>
    <m/>
    <m/>
    <m/>
    <m/>
    <m/>
    <m/>
    <m/>
    <m/>
    <m/>
    <m/>
    <s v="São Manoel"/>
  </r>
  <r>
    <d v="2026-02-02T00:00:00"/>
    <s v="segunda-feira"/>
    <d v="2026-02-02T00:00:00"/>
    <s v="SIM"/>
    <x v="17"/>
    <s v="Diversas até 28/02 - SM"/>
    <n v="4"/>
    <n v="6"/>
    <n v="0"/>
    <n v="12"/>
    <n v="2"/>
    <n v="0"/>
    <n v="19"/>
    <n v="0"/>
    <n v="0"/>
    <s v="São Manoel"/>
  </r>
  <r>
    <d v="2026-02-03T00:00:00"/>
    <s v="terça-feira"/>
    <d v="2026-02-03T00:00:00"/>
    <s v="SIM"/>
    <x v="17"/>
    <s v="Diversas até 28/02 - SM"/>
    <n v="1"/>
    <n v="7"/>
    <n v="30"/>
    <n v="6"/>
    <n v="0"/>
    <n v="0"/>
    <n v="13"/>
    <n v="0"/>
    <n v="0"/>
    <s v="São Manoel"/>
  </r>
  <r>
    <d v="2026-02-04T00:00:00"/>
    <s v="quarta-feira"/>
    <d v="2026-02-04T00:00:00"/>
    <s v="SIM"/>
    <x v="17"/>
    <s v="Diversas até 28/02 - SM"/>
    <n v="0"/>
    <n v="3"/>
    <n v="85"/>
    <n v="20"/>
    <n v="0"/>
    <n v="0"/>
    <n v="4"/>
    <n v="0"/>
    <n v="0"/>
    <s v="São Manoel"/>
  </r>
  <r>
    <d v="2026-02-05T00:00:00"/>
    <s v="quinta-feira"/>
    <d v="2026-02-05T00:00:00"/>
    <s v="SIM"/>
    <x v="17"/>
    <s v="Diversas até 28/02 - SM"/>
    <n v="0"/>
    <n v="0"/>
    <n v="53"/>
    <n v="0"/>
    <n v="0"/>
    <n v="2"/>
    <n v="4"/>
    <n v="0"/>
    <n v="0"/>
    <s v="São Manoel"/>
  </r>
  <r>
    <d v="2026-02-06T00:00:00"/>
    <s v="sexta-feira"/>
    <d v="2026-02-06T00:00:00"/>
    <s v="SIM"/>
    <x v="17"/>
    <s v="Diversas até 28/02 - SM"/>
    <n v="0"/>
    <n v="3"/>
    <n v="96"/>
    <n v="6"/>
    <n v="0"/>
    <n v="12"/>
    <n v="0"/>
    <n v="0"/>
    <n v="0"/>
    <s v="São Manoel"/>
  </r>
  <r>
    <d v="2026-02-07T00:00:00"/>
    <s v="sábado"/>
    <d v="2026-02-07T00:00:00"/>
    <s v="NÃO"/>
    <x v="0"/>
    <m/>
    <m/>
    <m/>
    <m/>
    <m/>
    <m/>
    <m/>
    <m/>
    <m/>
    <m/>
    <s v="São Manoel"/>
  </r>
  <r>
    <d v="2026-02-08T00:00:00"/>
    <s v="domingo"/>
    <d v="2026-02-08T00:00:00"/>
    <s v="NÃO"/>
    <x v="0"/>
    <m/>
    <m/>
    <m/>
    <m/>
    <m/>
    <m/>
    <m/>
    <m/>
    <m/>
    <m/>
    <s v="São Manoel"/>
  </r>
  <r>
    <d v="2026-02-09T00:00:00"/>
    <s v="segunda-feira"/>
    <d v="2026-02-09T00:00:00"/>
    <s v="SIM"/>
    <x v="17"/>
    <s v="Diversas até 28/02 - SM"/>
    <n v="3"/>
    <n v="4"/>
    <n v="55"/>
    <n v="42.5"/>
    <n v="2"/>
    <n v="0"/>
    <n v="0"/>
    <n v="0"/>
    <n v="0"/>
    <s v="São Manoel"/>
  </r>
  <r>
    <d v="2026-02-10T00:00:00"/>
    <s v="terça-feira"/>
    <d v="2026-02-10T00:00:00"/>
    <s v="SIM"/>
    <x v="17"/>
    <s v="Diversas até 28/02 - SM"/>
    <n v="10"/>
    <n v="4"/>
    <n v="8"/>
    <n v="72"/>
    <n v="1"/>
    <n v="0"/>
    <n v="0"/>
    <n v="0"/>
    <n v="0"/>
    <s v="São Manoel"/>
  </r>
  <r>
    <d v="2026-02-11T00:00:00"/>
    <s v="quarta-feira"/>
    <d v="2026-02-11T00:00:00"/>
    <s v="SIM"/>
    <x v="17"/>
    <s v="Diversas até 28/02 - SM"/>
    <n v="0"/>
    <n v="4"/>
    <n v="18"/>
    <n v="51.5"/>
    <n v="0"/>
    <n v="0"/>
    <n v="7"/>
    <n v="0"/>
    <n v="0"/>
    <s v="São Manoel"/>
  </r>
  <r>
    <d v="2026-02-12T00:00:00"/>
    <s v="quinta-feira"/>
    <d v="2026-02-12T00:00:00"/>
    <s v="SIM"/>
    <x v="17"/>
    <s v="Diversas até 28/02 - SM"/>
    <n v="5"/>
    <n v="4"/>
    <n v="12"/>
    <n v="48"/>
    <n v="0"/>
    <n v="0"/>
    <n v="0"/>
    <n v="0"/>
    <n v="0"/>
    <s v="São Manoel"/>
  </r>
  <r>
    <d v="2026-02-13T00:00:00"/>
    <s v="sexta-feira"/>
    <d v="2026-02-13T00:00:00"/>
    <s v="SIM"/>
    <x v="17"/>
    <s v="Diversas até 28/02 - SM"/>
    <n v="0"/>
    <n v="0"/>
    <n v="25"/>
    <n v="12"/>
    <n v="1"/>
    <n v="0"/>
    <n v="0"/>
    <n v="0"/>
    <n v="0"/>
    <s v="São Manoel"/>
  </r>
  <r>
    <d v="2026-02-14T00:00:00"/>
    <s v="sábado"/>
    <d v="2026-02-14T00:00:00"/>
    <s v="NÃO"/>
    <x v="0"/>
    <m/>
    <m/>
    <m/>
    <m/>
    <m/>
    <m/>
    <m/>
    <m/>
    <m/>
    <m/>
    <s v="São Manoel"/>
  </r>
  <r>
    <d v="2026-02-15T00:00:00"/>
    <s v="domingo"/>
    <d v="2026-02-15T00:00:00"/>
    <s v="NÃO"/>
    <x v="0"/>
    <m/>
    <m/>
    <m/>
    <m/>
    <m/>
    <m/>
    <m/>
    <m/>
    <m/>
    <m/>
    <s v="São Manoel"/>
  </r>
  <r>
    <d v="2026-02-16T00:00:00"/>
    <s v="segunda-feira"/>
    <d v="2026-02-16T00:00:00"/>
    <s v="NÃO"/>
    <x v="0"/>
    <m/>
    <m/>
    <m/>
    <m/>
    <m/>
    <m/>
    <m/>
    <m/>
    <m/>
    <m/>
    <s v="São Manoel"/>
  </r>
  <r>
    <d v="2026-02-17T00:00:00"/>
    <s v="terça-feira"/>
    <d v="2026-02-17T00:00:00"/>
    <s v="NÃO"/>
    <x v="0"/>
    <m/>
    <m/>
    <m/>
    <m/>
    <m/>
    <m/>
    <m/>
    <m/>
    <m/>
    <m/>
    <s v="São Manoel"/>
  </r>
  <r>
    <d v="2026-02-18T00:00:00"/>
    <s v="quarta-feira"/>
    <d v="2026-02-18T00:00:00"/>
    <s v="SIM"/>
    <x v="17"/>
    <s v="Diversas até 28/02 - SM"/>
    <n v="5"/>
    <n v="0"/>
    <n v="37"/>
    <n v="18"/>
    <n v="0"/>
    <n v="0"/>
    <n v="0"/>
    <n v="0"/>
    <n v="0"/>
    <s v="São Manoel"/>
  </r>
  <r>
    <d v="2026-02-19T00:00:00"/>
    <s v="quinta-feira"/>
    <d v="2026-02-19T00:00:00"/>
    <s v="SIM"/>
    <x v="17"/>
    <s v="Diversas até 28/02 - SM"/>
    <n v="0"/>
    <n v="5"/>
    <n v="36"/>
    <n v="66"/>
    <n v="2"/>
    <n v="0"/>
    <n v="0"/>
    <n v="0"/>
    <n v="0"/>
    <s v="São Manoel"/>
  </r>
  <r>
    <d v="2026-02-20T00:00:00"/>
    <s v="sexta-feira"/>
    <d v="2026-02-20T00:00:00"/>
    <s v="SIM"/>
    <x v="17"/>
    <s v="Diversas até 28/02 - SM"/>
    <n v="5"/>
    <n v="0"/>
    <n v="24"/>
    <n v="66"/>
    <n v="2"/>
    <n v="0"/>
    <n v="0"/>
    <n v="0"/>
    <n v="0"/>
    <s v="São Manoel"/>
  </r>
  <r>
    <d v="2026-02-21T00:00:00"/>
    <s v="sábado"/>
    <d v="2026-02-21T00:00:00"/>
    <s v="NÃO"/>
    <x v="0"/>
    <m/>
    <m/>
    <m/>
    <m/>
    <m/>
    <m/>
    <m/>
    <m/>
    <m/>
    <m/>
    <s v="São Manoel"/>
  </r>
  <r>
    <d v="2026-02-22T00:00:00"/>
    <s v="domingo"/>
    <d v="2026-02-22T00:00:00"/>
    <s v="NÃO"/>
    <x v="0"/>
    <m/>
    <m/>
    <m/>
    <m/>
    <m/>
    <m/>
    <m/>
    <m/>
    <m/>
    <m/>
    <s v="São Manoel"/>
  </r>
  <r>
    <d v="2026-02-23T00:00:00"/>
    <s v="segunda-feira"/>
    <d v="2026-02-23T00:00:00"/>
    <s v="SIM"/>
    <x v="17"/>
    <s v="Diversas até 28/02 - SM"/>
    <n v="6"/>
    <n v="28"/>
    <n v="12"/>
    <n v="32"/>
    <n v="0"/>
    <n v="0"/>
    <n v="0"/>
    <n v="0"/>
    <n v="0"/>
    <s v="São Manoel"/>
  </r>
  <r>
    <d v="2026-02-24T00:00:00"/>
    <s v="terça-feira"/>
    <d v="2026-02-24T00:00:00"/>
    <s v="SIM"/>
    <x v="17"/>
    <s v="Diversas até 28/02 - SM"/>
    <n v="6"/>
    <n v="6"/>
    <n v="88"/>
    <n v="22"/>
    <n v="2"/>
    <n v="7"/>
    <n v="0"/>
    <m/>
    <m/>
    <s v="São Manoel"/>
  </r>
  <r>
    <d v="2026-02-25T00:00:00"/>
    <s v="quarta-feira"/>
    <d v="2026-02-25T00:00:00"/>
    <s v="SIM"/>
    <x v="17"/>
    <s v="Diversas até 28/02 - SM"/>
    <n v="0"/>
    <n v="13"/>
    <n v="42"/>
    <n v="26"/>
    <n v="1"/>
    <n v="0"/>
    <n v="0"/>
    <n v="0"/>
    <n v="0"/>
    <s v="São Manoel"/>
  </r>
  <r>
    <d v="2026-02-26T00:00:00"/>
    <s v="quinta-feira"/>
    <d v="2026-02-26T00:00:00"/>
    <s v="NÃO"/>
    <x v="0"/>
    <m/>
    <m/>
    <m/>
    <m/>
    <m/>
    <m/>
    <m/>
    <m/>
    <m/>
    <m/>
    <s v="São Manoel"/>
  </r>
  <r>
    <d v="2026-02-27T00:00:00"/>
    <s v="sexta-feira"/>
    <d v="2026-02-27T00:00:00"/>
    <s v="SIM"/>
    <x v="17"/>
    <s v="Diversas até 28/02 - SM"/>
    <n v="2"/>
    <n v="25"/>
    <n v="0"/>
    <n v="0"/>
    <n v="0"/>
    <n v="0"/>
    <n v="0"/>
    <n v="0"/>
    <n v="0"/>
    <s v="São Manoel"/>
  </r>
  <r>
    <d v="2026-02-28T00:00:00"/>
    <s v="sábado"/>
    <d v="2026-02-28T00:00:00"/>
    <s v="SIM"/>
    <x v="17"/>
    <s v="Diversas até 28/02 - SM"/>
    <n v="0"/>
    <n v="6"/>
    <n v="0"/>
    <n v="6"/>
    <n v="0"/>
    <n v="0"/>
    <n v="0"/>
    <n v="0"/>
    <n v="0"/>
    <s v="São Manoel"/>
  </r>
  <r>
    <d v="2026-03-01T00:00:00"/>
    <s v="domingo"/>
    <d v="2026-03-01T00:00:00"/>
    <s v="NÃO"/>
    <x v="0"/>
    <m/>
    <m/>
    <m/>
    <m/>
    <m/>
    <m/>
    <m/>
    <m/>
    <m/>
    <m/>
    <s v="São Manoel"/>
  </r>
  <r>
    <d v="2026-03-02T00:00:00"/>
    <s v="segunda-feira"/>
    <d v="2026-03-02T00:00:00"/>
    <s v="SIM"/>
    <x v="18"/>
    <s v="CAMINHO SÃO MANOEL D"/>
    <m/>
    <n v="9"/>
    <m/>
    <m/>
    <m/>
    <m/>
    <m/>
    <m/>
    <m/>
    <s v="São Manoel"/>
  </r>
  <r>
    <d v="2026-03-02T00:00:00"/>
    <s v="segunda-feira"/>
    <d v="2026-03-02T00:00:00"/>
    <s v="SIM"/>
    <x v="19"/>
    <s v="BECO 3D"/>
    <m/>
    <m/>
    <m/>
    <n v="6"/>
    <m/>
    <m/>
    <m/>
    <m/>
    <m/>
    <s v="São Manoel"/>
  </r>
  <r>
    <d v="2026-03-02T00:00:00"/>
    <s v="segunda-feira"/>
    <d v="2026-03-02T00:00:00"/>
    <s v="SIM"/>
    <x v="20"/>
    <s v="BECO 1D"/>
    <m/>
    <n v="4"/>
    <m/>
    <m/>
    <m/>
    <m/>
    <m/>
    <m/>
    <m/>
    <s v="São Manoel"/>
  </r>
  <r>
    <d v="2026-03-02T00:00:00"/>
    <s v="segunda-feira"/>
    <d v="2026-03-02T00:00:00"/>
    <s v="SIM"/>
    <x v="21"/>
    <s v="BECO 4D"/>
    <m/>
    <m/>
    <m/>
    <n v="6"/>
    <m/>
    <m/>
    <m/>
    <m/>
    <m/>
    <s v="São Manoel"/>
  </r>
  <r>
    <d v="2026-03-02T00:00:00"/>
    <s v="segunda-feira"/>
    <d v="2026-03-02T00:00:00"/>
    <s v="SIM"/>
    <x v="22"/>
    <s v="BECO 16D"/>
    <m/>
    <m/>
    <m/>
    <m/>
    <n v="2"/>
    <m/>
    <m/>
    <m/>
    <m/>
    <s v="São Manoel"/>
  </r>
  <r>
    <d v="2026-03-02T00:00:00"/>
    <s v="segunda-feira"/>
    <d v="2026-03-02T00:00:00"/>
    <s v="SIM"/>
    <x v="23"/>
    <s v="BECO 21D"/>
    <m/>
    <m/>
    <n v="40"/>
    <m/>
    <n v="1"/>
    <m/>
    <m/>
    <m/>
    <m/>
    <s v="São Manoel"/>
  </r>
  <r>
    <d v="2026-03-02T00:00:00"/>
    <s v="segunda-feira"/>
    <d v="2026-03-02T00:00:00"/>
    <s v="SIM"/>
    <x v="24"/>
    <s v="BECO 21E"/>
    <m/>
    <n v="2"/>
    <m/>
    <n v="6"/>
    <m/>
    <m/>
    <m/>
    <m/>
    <m/>
    <s v="São Manoel"/>
  </r>
  <r>
    <d v="2026-03-03T00:00:00"/>
    <s v="terça-feira"/>
    <d v="2026-03-03T00:00:00"/>
    <s v="SIM"/>
    <x v="25"/>
    <s v="CAMINHO SÃO MANOEL D"/>
    <m/>
    <n v="7"/>
    <m/>
    <m/>
    <m/>
    <m/>
    <m/>
    <m/>
    <m/>
    <s v="São Manoel"/>
  </r>
  <r>
    <d v="2026-03-03T00:00:00"/>
    <s v="terça-feira"/>
    <d v="2026-03-03T00:00:00"/>
    <s v="SIM"/>
    <x v="26"/>
    <s v="BECO 5D"/>
    <m/>
    <n v="1"/>
    <m/>
    <n v="3.7"/>
    <m/>
    <m/>
    <m/>
    <m/>
    <m/>
    <s v="São Manoel"/>
  </r>
  <r>
    <d v="2026-03-03T00:00:00"/>
    <s v="terça-feira"/>
    <d v="2026-03-03T00:00:00"/>
    <s v="SIM"/>
    <x v="26"/>
    <s v="BECO 5D"/>
    <m/>
    <n v="3"/>
    <m/>
    <m/>
    <m/>
    <m/>
    <m/>
    <m/>
    <m/>
    <s v="São Manoel"/>
  </r>
  <r>
    <d v="2026-03-03T00:00:00"/>
    <s v="terça-feira"/>
    <d v="2026-03-03T00:00:00"/>
    <s v="SIM"/>
    <x v="21"/>
    <s v="BECO 5D"/>
    <m/>
    <n v="2"/>
    <m/>
    <m/>
    <m/>
    <m/>
    <m/>
    <m/>
    <m/>
    <s v="São Manoel"/>
  </r>
  <r>
    <d v="2026-03-03T00:00:00"/>
    <s v="terça-feira"/>
    <d v="2026-03-03T00:00:00"/>
    <s v="SIM"/>
    <x v="22"/>
    <s v="BECO 3D"/>
    <m/>
    <n v="4"/>
    <m/>
    <m/>
    <m/>
    <m/>
    <m/>
    <m/>
    <m/>
    <s v="São Manoel"/>
  </r>
  <r>
    <d v="2026-03-03T00:00:00"/>
    <s v="terça-feira"/>
    <d v="2026-03-03T00:00:00"/>
    <s v="SIM"/>
    <x v="23"/>
    <s v="BECO 21E "/>
    <n v="2"/>
    <m/>
    <n v="40"/>
    <m/>
    <m/>
    <m/>
    <m/>
    <m/>
    <m/>
    <s v="São Manoel"/>
  </r>
  <r>
    <d v="2026-03-03T00:00:00"/>
    <s v="terça-feira"/>
    <d v="2026-03-03T00:00:00"/>
    <s v="SIM"/>
    <x v="24"/>
    <s v="BECO 21 E "/>
    <m/>
    <m/>
    <m/>
    <n v="9"/>
    <m/>
    <m/>
    <m/>
    <m/>
    <m/>
    <s v="São Manoel"/>
  </r>
  <r>
    <d v="2026-03-04T00:00:00"/>
    <s v="quarta-feira"/>
    <d v="2026-03-04T00:00:00"/>
    <s v="SIM"/>
    <x v="18"/>
    <s v="BECO 3D"/>
    <m/>
    <n v="6"/>
    <m/>
    <m/>
    <m/>
    <m/>
    <m/>
    <m/>
    <m/>
    <s v="São Manoel"/>
  </r>
  <r>
    <d v="2026-03-04T00:00:00"/>
    <s v="quarta-feira"/>
    <d v="2026-03-04T00:00:00"/>
    <s v="SIM"/>
    <x v="24"/>
    <s v="BECO 21 E "/>
    <n v="4"/>
    <m/>
    <m/>
    <m/>
    <n v="1"/>
    <m/>
    <m/>
    <m/>
    <m/>
    <s v="São Manoel"/>
  </r>
  <r>
    <d v="2026-03-05T00:00:00"/>
    <s v="quinta-feira"/>
    <d v="2026-03-05T00:00:00"/>
    <s v="SIM"/>
    <x v="18"/>
    <s v="CAMINHO SÃO MANOEL D"/>
    <m/>
    <n v="3"/>
    <m/>
    <n v="6"/>
    <m/>
    <m/>
    <m/>
    <m/>
    <m/>
    <s v="São Manoel"/>
  </r>
  <r>
    <d v="2026-03-05T00:00:00"/>
    <s v="quinta-feira"/>
    <d v="2026-03-05T00:00:00"/>
    <s v="SIM"/>
    <x v="27"/>
    <s v="BECO 18 D "/>
    <m/>
    <n v="2"/>
    <n v="6"/>
    <n v="6"/>
    <m/>
    <m/>
    <m/>
    <m/>
    <m/>
    <s v="São Manoel"/>
  </r>
  <r>
    <d v="2026-03-05T00:00:00"/>
    <s v="quinta-feira"/>
    <d v="2026-03-05T00:00:00"/>
    <s v="SIM"/>
    <x v="23"/>
    <s v="BECO 22 D "/>
    <m/>
    <m/>
    <m/>
    <n v="6"/>
    <m/>
    <m/>
    <m/>
    <m/>
    <m/>
    <s v="São Manoel"/>
  </r>
  <r>
    <d v="2026-03-05T00:00:00"/>
    <s v="quinta-feira"/>
    <d v="2026-03-05T00:00:00"/>
    <s v="SIM"/>
    <x v="24"/>
    <s v="BECO 20 D "/>
    <n v="34"/>
    <m/>
    <m/>
    <m/>
    <m/>
    <m/>
    <m/>
    <m/>
    <m/>
    <s v="São Manoel"/>
  </r>
  <r>
    <d v="2026-03-06T00:00:00"/>
    <s v="sexta-feira"/>
    <d v="2026-03-06T00:00:00"/>
    <s v="SIM"/>
    <x v="18"/>
    <s v="CAMINHO SÃO MANOEL D"/>
    <m/>
    <n v="2"/>
    <m/>
    <m/>
    <m/>
    <m/>
    <m/>
    <m/>
    <m/>
    <s v="São Manoel"/>
  </r>
  <r>
    <d v="2026-03-06T00:00:00"/>
    <s v="sexta-feira"/>
    <d v="2026-03-06T00:00:00"/>
    <s v="SIM"/>
    <x v="20"/>
    <s v="BECO 3D"/>
    <m/>
    <n v="2"/>
    <m/>
    <m/>
    <m/>
    <m/>
    <m/>
    <m/>
    <m/>
    <s v="São Manoel"/>
  </r>
  <r>
    <d v="2026-03-06T00:00:00"/>
    <s v="sexta-feira"/>
    <d v="2026-03-06T00:00:00"/>
    <s v="SIM"/>
    <x v="22"/>
    <s v="BECO 3D"/>
    <m/>
    <n v="2"/>
    <m/>
    <m/>
    <m/>
    <m/>
    <m/>
    <m/>
    <m/>
    <s v="São Manoel"/>
  </r>
  <r>
    <d v="2026-03-06T00:00:00"/>
    <s v="sexta-feira"/>
    <d v="2026-03-06T00:00:00"/>
    <s v="SIM"/>
    <x v="26"/>
    <s v="BECO 18D"/>
    <m/>
    <m/>
    <m/>
    <n v="6"/>
    <m/>
    <m/>
    <m/>
    <m/>
    <m/>
    <s v="São Manoel"/>
  </r>
  <r>
    <d v="2026-03-06T00:00:00"/>
    <s v="sexta-feira"/>
    <d v="2026-03-06T00:00:00"/>
    <s v="SIM"/>
    <x v="19"/>
    <s v="BECO 6D"/>
    <m/>
    <m/>
    <m/>
    <n v="6"/>
    <m/>
    <m/>
    <m/>
    <m/>
    <m/>
    <s v="São Manoel"/>
  </r>
  <r>
    <d v="2026-03-06T00:00:00"/>
    <s v="sexta-feira"/>
    <d v="2026-03-06T00:00:00"/>
    <s v="SIM"/>
    <x v="23"/>
    <s v="BECO 22 D "/>
    <m/>
    <m/>
    <m/>
    <n v="6"/>
    <n v="1"/>
    <m/>
    <m/>
    <m/>
    <m/>
    <s v="São Manoel"/>
  </r>
  <r>
    <d v="2026-03-06T00:00:00"/>
    <s v="sexta-feira"/>
    <d v="2026-03-06T00:00:00"/>
    <s v="SIM"/>
    <x v="28"/>
    <s v="BECO 21 E "/>
    <n v="7"/>
    <m/>
    <n v="45"/>
    <m/>
    <m/>
    <m/>
    <m/>
    <m/>
    <m/>
    <s v="São Manoel"/>
  </r>
  <r>
    <d v="2026-03-07T00:00:00"/>
    <s v="sábado"/>
    <d v="2026-03-07T00:00:00"/>
    <s v="NÃO"/>
    <x v="0"/>
    <m/>
    <m/>
    <m/>
    <m/>
    <m/>
    <m/>
    <m/>
    <m/>
    <m/>
    <m/>
    <s v="São Manoel"/>
  </r>
  <r>
    <d v="2026-03-08T00:00:00"/>
    <s v="domingo"/>
    <d v="2026-03-08T00:00:00"/>
    <s v="NÃO"/>
    <x v="0"/>
    <m/>
    <m/>
    <m/>
    <m/>
    <m/>
    <m/>
    <m/>
    <m/>
    <m/>
    <m/>
    <s v="São Manoel"/>
  </r>
  <r>
    <d v="2026-03-09T00:00:00"/>
    <s v="segunda-feira"/>
    <d v="2026-03-09T00:00:00"/>
    <s v="SIM"/>
    <x v="23"/>
    <s v="BECO 22 D "/>
    <m/>
    <m/>
    <m/>
    <n v="6"/>
    <m/>
    <m/>
    <m/>
    <m/>
    <m/>
    <s v="São Manoel"/>
  </r>
  <r>
    <d v="2026-03-09T00:00:00"/>
    <s v="segunda-feira"/>
    <d v="2026-03-09T00:00:00"/>
    <s v="SIM"/>
    <x v="28"/>
    <s v="BECO 22 E "/>
    <n v="1"/>
    <m/>
    <m/>
    <m/>
    <m/>
    <m/>
    <m/>
    <m/>
    <m/>
    <s v="São Manoel"/>
  </r>
  <r>
    <d v="2026-03-10T00:00:00"/>
    <s v="terça-feira"/>
    <d v="2026-03-10T00:00:00"/>
    <s v="NÃO"/>
    <x v="0"/>
    <s v="CHUVA"/>
    <m/>
    <m/>
    <m/>
    <m/>
    <m/>
    <m/>
    <m/>
    <m/>
    <m/>
    <s v="São Manoel"/>
  </r>
  <r>
    <d v="2026-03-11T00:00:00"/>
    <s v="quarta-feira"/>
    <d v="2026-03-11T00:00:00"/>
    <s v="SIM"/>
    <x v="28"/>
    <s v="BECO 23 E "/>
    <m/>
    <m/>
    <m/>
    <n v="6"/>
    <m/>
    <m/>
    <m/>
    <m/>
    <m/>
    <s v="São Manoel"/>
  </r>
  <r>
    <d v="2026-03-11T00:00:00"/>
    <s v="quarta-feira"/>
    <d v="2026-03-11T00:00:00"/>
    <s v="SIM"/>
    <x v="28"/>
    <s v="BECO 22 D"/>
    <n v="1"/>
    <m/>
    <m/>
    <m/>
    <m/>
    <m/>
    <m/>
    <m/>
    <m/>
    <s v="São Manoel"/>
  </r>
  <r>
    <d v="2026-03-12T00:00:00"/>
    <s v="quinta-feira"/>
    <d v="2026-03-12T00:00:00"/>
    <s v="NÃO"/>
    <x v="0"/>
    <s v="CHUVA"/>
    <m/>
    <m/>
    <m/>
    <m/>
    <m/>
    <m/>
    <m/>
    <m/>
    <m/>
    <s v="São Manoel"/>
  </r>
  <r>
    <d v="2026-03-13T00:00:00"/>
    <s v="sexta-feira"/>
    <d v="2026-03-13T00:00:00"/>
    <s v="SIM"/>
    <x v="28"/>
    <s v="BECO 22D"/>
    <m/>
    <n v="2"/>
    <m/>
    <n v="6"/>
    <m/>
    <m/>
    <m/>
    <m/>
    <m/>
    <s v="São Manoel"/>
  </r>
  <r>
    <d v="2026-03-13T00:00:00"/>
    <s v="sexta-feira"/>
    <d v="2026-03-13T00:00:00"/>
    <s v="SIM"/>
    <x v="23"/>
    <s v="BECO 4"/>
    <m/>
    <m/>
    <m/>
    <n v="27"/>
    <m/>
    <m/>
    <m/>
    <m/>
    <m/>
    <s v="São Manoel"/>
  </r>
  <r>
    <d v="2026-03-13T00:00:00"/>
    <s v="sexta-feira"/>
    <d v="2026-03-13T00:00:00"/>
    <s v="SIM"/>
    <x v="23"/>
    <s v="BECO 5 E"/>
    <m/>
    <m/>
    <m/>
    <n v="15"/>
    <m/>
    <m/>
    <m/>
    <m/>
    <m/>
    <s v="São Manoel"/>
  </r>
  <r>
    <d v="2026-03-14T00:00:00"/>
    <s v="sábado"/>
    <d v="2026-03-14T00:00:00"/>
    <s v="SIM"/>
    <x v="28"/>
    <s v="BECO 6 E"/>
    <m/>
    <m/>
    <m/>
    <n v="6"/>
    <m/>
    <m/>
    <m/>
    <m/>
    <m/>
    <s v="São Manoel"/>
  </r>
  <r>
    <d v="2026-03-14T00:00:00"/>
    <s v="sábado"/>
    <d v="2026-03-14T00:00:00"/>
    <s v="SIM"/>
    <x v="23"/>
    <s v="BECO 3D"/>
    <m/>
    <m/>
    <m/>
    <n v="3"/>
    <n v="1"/>
    <m/>
    <m/>
    <m/>
    <m/>
    <s v="São Manoel"/>
  </r>
  <r>
    <d v="2026-03-14T00:00:00"/>
    <s v="sábado"/>
    <d v="2026-03-14T00:00:00"/>
    <s v="SIM"/>
    <x v="23"/>
    <s v="BECO 4 D"/>
    <m/>
    <m/>
    <m/>
    <n v="3"/>
    <n v="1"/>
    <m/>
    <m/>
    <m/>
    <m/>
    <s v="São Manoel"/>
  </r>
  <r>
    <d v="2026-03-15T00:00:00"/>
    <s v="domingo"/>
    <d v="2026-03-15T00:00:00"/>
    <s v="SIM"/>
    <x v="23"/>
    <s v="BECO 5E"/>
    <m/>
    <m/>
    <m/>
    <n v="3"/>
    <n v="1"/>
    <m/>
    <m/>
    <m/>
    <m/>
    <s v="São Manoel"/>
  </r>
  <r>
    <d v="2026-03-15T00:00:00"/>
    <s v="domingo"/>
    <d v="2026-03-15T00:00:00"/>
    <s v="SIM"/>
    <x v="23"/>
    <s v="BECO 6 E"/>
    <m/>
    <m/>
    <m/>
    <n v="6"/>
    <m/>
    <m/>
    <m/>
    <m/>
    <m/>
    <s v="São Manoel"/>
  </r>
  <r>
    <d v="2026-03-16T00:00:00"/>
    <s v="segunda-feira"/>
    <d v="2026-03-16T00:00:00"/>
    <s v="SIM"/>
    <x v="20"/>
    <s v="BECO 19 D"/>
    <m/>
    <m/>
    <n v="6"/>
    <n v="6"/>
    <m/>
    <m/>
    <m/>
    <m/>
    <m/>
    <s v="São Manoel"/>
  </r>
  <r>
    <d v="2026-03-16T00:00:00"/>
    <s v="segunda-feira"/>
    <d v="2026-03-16T00:00:00"/>
    <s v="SIM"/>
    <x v="19"/>
    <s v="BECO 16 D"/>
    <m/>
    <m/>
    <m/>
    <n v="6"/>
    <m/>
    <m/>
    <m/>
    <m/>
    <m/>
    <s v="São Manoel"/>
  </r>
  <r>
    <d v="2026-03-16T00:00:00"/>
    <s v="segunda-feira"/>
    <d v="2026-03-16T00:00:00"/>
    <s v="SIM"/>
    <x v="23"/>
    <s v="BECO 5 E "/>
    <m/>
    <m/>
    <m/>
    <m/>
    <n v="1"/>
    <m/>
    <m/>
    <m/>
    <m/>
    <s v="São Manoel"/>
  </r>
  <r>
    <d v="2026-03-16T00:00:00"/>
    <s v="segunda-feira"/>
    <d v="2026-03-16T00:00:00"/>
    <s v="SIM"/>
    <x v="23"/>
    <s v="SÃO MANOEL"/>
    <m/>
    <m/>
    <m/>
    <n v="6"/>
    <m/>
    <m/>
    <m/>
    <m/>
    <m/>
    <s v="São Manoel"/>
  </r>
  <r>
    <d v="2026-03-17T00:00:00"/>
    <s v="terça-feira"/>
    <d v="2026-03-17T00:00:00"/>
    <s v="SIM"/>
    <x v="20"/>
    <s v="BECO 19 D "/>
    <m/>
    <m/>
    <n v="10"/>
    <n v="10"/>
    <m/>
    <m/>
    <m/>
    <m/>
    <m/>
    <s v="São Manoel"/>
  </r>
  <r>
    <d v="2026-03-17T00:00:00"/>
    <s v="terça-feira"/>
    <d v="2026-03-17T00:00:00"/>
    <s v="SIM"/>
    <x v="19"/>
    <s v="BECO 16 D "/>
    <m/>
    <m/>
    <n v="6"/>
    <n v="6"/>
    <m/>
    <m/>
    <m/>
    <m/>
    <m/>
    <s v="São Manoel"/>
  </r>
  <r>
    <d v="2026-03-17T00:00:00"/>
    <s v="terça-feira"/>
    <d v="2026-03-17T00:00:00"/>
    <s v="SIM"/>
    <x v="27"/>
    <s v="BECO 17 D "/>
    <m/>
    <m/>
    <m/>
    <n v="6"/>
    <m/>
    <m/>
    <m/>
    <m/>
    <m/>
    <s v="São Manoel"/>
  </r>
  <r>
    <d v="2026-03-17T00:00:00"/>
    <s v="terça-feira"/>
    <d v="2026-03-17T00:00:00"/>
    <s v="SIM"/>
    <x v="23"/>
    <s v="BECO 22D"/>
    <m/>
    <m/>
    <m/>
    <n v="6"/>
    <m/>
    <m/>
    <m/>
    <m/>
    <m/>
    <s v="São Manoel"/>
  </r>
  <r>
    <d v="2026-03-17T00:00:00"/>
    <s v="terça-feira"/>
    <d v="2026-03-17T00:00:00"/>
    <s v="SIM"/>
    <x v="23"/>
    <s v="SÃO MANOEL"/>
    <m/>
    <m/>
    <m/>
    <n v="6"/>
    <m/>
    <m/>
    <m/>
    <m/>
    <m/>
    <s v="São Manoel"/>
  </r>
  <r>
    <d v="2026-03-18T00:00:00"/>
    <s v="quarta-feira"/>
    <d v="2026-03-18T00:00:00"/>
    <s v="SIM"/>
    <x v="20"/>
    <s v="BECO 19 D "/>
    <m/>
    <m/>
    <n v="6"/>
    <m/>
    <m/>
    <m/>
    <m/>
    <m/>
    <m/>
    <s v="São Manoel"/>
  </r>
  <r>
    <d v="2026-03-18T00:00:00"/>
    <s v="quarta-feira"/>
    <d v="2026-03-18T00:00:00"/>
    <s v="SIM"/>
    <x v="29"/>
    <s v="BECO 6D"/>
    <m/>
    <m/>
    <m/>
    <n v="6"/>
    <m/>
    <m/>
    <m/>
    <m/>
    <m/>
    <s v="São Manoel"/>
  </r>
  <r>
    <d v="2026-03-18T00:00:00"/>
    <s v="quarta-feira"/>
    <d v="2026-03-18T00:00:00"/>
    <s v="SIM"/>
    <x v="30"/>
    <s v="BECO 17 D "/>
    <m/>
    <m/>
    <n v="8"/>
    <n v="8"/>
    <m/>
    <m/>
    <m/>
    <m/>
    <m/>
    <s v="São Manoel"/>
  </r>
  <r>
    <d v="2026-03-18T00:00:00"/>
    <s v="quarta-feira"/>
    <d v="2026-03-18T00:00:00"/>
    <s v="SIM"/>
    <x v="28"/>
    <s v="BECO 22 D "/>
    <m/>
    <m/>
    <m/>
    <n v="4"/>
    <m/>
    <m/>
    <m/>
    <m/>
    <m/>
    <s v="São Manoel"/>
  </r>
  <r>
    <d v="2026-03-19T00:00:00"/>
    <s v="quinta-feira"/>
    <d v="2026-03-19T00:00:00"/>
    <s v="SIM"/>
    <x v="20"/>
    <s v="BECO 19 D "/>
    <m/>
    <m/>
    <n v="6"/>
    <n v="6"/>
    <m/>
    <m/>
    <m/>
    <m/>
    <m/>
    <s v="São Manoel"/>
  </r>
  <r>
    <d v="2026-03-19T00:00:00"/>
    <s v="quinta-feira"/>
    <d v="2026-03-19T00:00:00"/>
    <s v="SIM"/>
    <x v="19"/>
    <s v="BECO 6D"/>
    <m/>
    <m/>
    <m/>
    <n v="6"/>
    <m/>
    <m/>
    <m/>
    <m/>
    <m/>
    <s v="São Manoel"/>
  </r>
  <r>
    <d v="2026-03-19T00:00:00"/>
    <s v="quinta-feira"/>
    <d v="2026-03-19T00:00:00"/>
    <s v="SIM"/>
    <x v="30"/>
    <s v="BECO 17 D "/>
    <m/>
    <m/>
    <n v="6"/>
    <n v="8"/>
    <m/>
    <m/>
    <m/>
    <m/>
    <m/>
    <s v="São Manoel"/>
  </r>
  <r>
    <d v="2026-03-19T00:00:00"/>
    <s v="quinta-feira"/>
    <d v="2026-03-19T00:00:00"/>
    <s v="SIM"/>
    <x v="28"/>
    <s v="SÃO MANOEL"/>
    <n v="5"/>
    <m/>
    <n v="36"/>
    <m/>
    <m/>
    <m/>
    <m/>
    <m/>
    <m/>
    <s v="São Manoel"/>
  </r>
  <r>
    <d v="2026-03-19T00:00:00"/>
    <s v="quinta-feira"/>
    <d v="2026-03-19T00:00:00"/>
    <s v="SIM"/>
    <x v="23"/>
    <s v="BECO 22 D "/>
    <m/>
    <m/>
    <m/>
    <n v="6"/>
    <m/>
    <m/>
    <m/>
    <m/>
    <m/>
    <s v="São Manoel"/>
  </r>
  <r>
    <d v="2026-03-20T00:00:00"/>
    <s v="sexta-feira"/>
    <d v="2026-03-20T00:00:00"/>
    <s v="SIM"/>
    <x v="20"/>
    <s v="BECO 19 D "/>
    <m/>
    <m/>
    <m/>
    <n v="15"/>
    <m/>
    <m/>
    <m/>
    <m/>
    <m/>
    <s v="São Manoel"/>
  </r>
  <r>
    <d v="2026-03-20T00:00:00"/>
    <s v="sexta-feira"/>
    <d v="2026-03-20T00:00:00"/>
    <s v="SIM"/>
    <x v="27"/>
    <s v="BECO 14 E "/>
    <n v="3"/>
    <m/>
    <m/>
    <m/>
    <m/>
    <m/>
    <m/>
    <m/>
    <m/>
    <s v="São Manoel"/>
  </r>
  <r>
    <d v="2026-03-20T00:00:00"/>
    <s v="sexta-feira"/>
    <d v="2026-03-20T00:00:00"/>
    <s v="SIM"/>
    <x v="30"/>
    <s v="BECO 17 D "/>
    <m/>
    <m/>
    <m/>
    <n v="18"/>
    <m/>
    <m/>
    <m/>
    <m/>
    <m/>
    <s v="São Manoel"/>
  </r>
  <r>
    <d v="2026-03-20T00:00:00"/>
    <s v="sexta-feira"/>
    <d v="2026-03-20T00:00:00"/>
    <s v="SIM"/>
    <x v="19"/>
    <s v="BECO 6 D "/>
    <m/>
    <m/>
    <m/>
    <n v="6"/>
    <m/>
    <m/>
    <m/>
    <m/>
    <m/>
    <s v="São Manoel"/>
  </r>
  <r>
    <d v="2026-03-20T00:00:00"/>
    <s v="sexta-feira"/>
    <d v="2026-03-20T00:00:00"/>
    <s v="SIM"/>
    <x v="28"/>
    <s v="SÃO MANOEL"/>
    <m/>
    <m/>
    <n v="36"/>
    <n v="6"/>
    <m/>
    <m/>
    <m/>
    <m/>
    <m/>
    <s v="São Manoel"/>
  </r>
  <r>
    <d v="2026-03-21T00:00:00"/>
    <s v="sábado"/>
    <d v="2026-03-21T00:00:00"/>
    <s v="NÃO"/>
    <x v="0"/>
    <m/>
    <m/>
    <m/>
    <m/>
    <m/>
    <m/>
    <m/>
    <m/>
    <m/>
    <m/>
    <s v="São Manoel"/>
  </r>
  <r>
    <d v="2026-03-22T00:00:00"/>
    <s v="domingo"/>
    <d v="2026-03-22T00:00:00"/>
    <s v="NÃO"/>
    <x v="0"/>
    <m/>
    <m/>
    <m/>
    <m/>
    <m/>
    <m/>
    <m/>
    <m/>
    <m/>
    <m/>
    <s v="São Manoel"/>
  </r>
  <r>
    <d v="2026-03-23T00:00:00"/>
    <s v="segunda-feira"/>
    <d v="2026-03-23T00:00:00"/>
    <s v="SIM"/>
    <x v="30"/>
    <s v="BECO 14 D"/>
    <m/>
    <m/>
    <m/>
    <n v="6"/>
    <m/>
    <m/>
    <m/>
    <m/>
    <m/>
    <s v="São Manoel"/>
  </r>
  <r>
    <d v="2026-03-23T00:00:00"/>
    <s v="segunda-feira"/>
    <d v="2026-03-23T00:00:00"/>
    <s v="SIM"/>
    <x v="19"/>
    <s v="BECO 11 D"/>
    <m/>
    <m/>
    <m/>
    <n v="6"/>
    <m/>
    <m/>
    <m/>
    <m/>
    <m/>
    <s v="São Manoel"/>
  </r>
  <r>
    <d v="2026-03-23T00:00:00"/>
    <s v="segunda-feira"/>
    <d v="2026-03-23T00:00:00"/>
    <s v="SIM"/>
    <x v="28"/>
    <s v="BECO 22 D "/>
    <n v="4"/>
    <m/>
    <n v="57"/>
    <n v="4"/>
    <m/>
    <m/>
    <m/>
    <m/>
    <m/>
    <s v="São Manoel"/>
  </r>
  <r>
    <d v="2026-03-23T00:00:00"/>
    <s v="segunda-feira"/>
    <d v="2026-03-23T00:00:00"/>
    <s v="SIM"/>
    <x v="28"/>
    <s v="SÃO MANOEL"/>
    <n v="7"/>
    <m/>
    <n v="36"/>
    <m/>
    <m/>
    <m/>
    <m/>
    <m/>
    <m/>
    <s v="São Manoel"/>
  </r>
  <r>
    <d v="2026-03-24T00:00:00"/>
    <s v="terça-feira"/>
    <d v="2026-03-24T00:00:00"/>
    <s v="SIM"/>
    <x v="30"/>
    <s v="BECO 14 D"/>
    <m/>
    <m/>
    <m/>
    <n v="6"/>
    <m/>
    <m/>
    <m/>
    <m/>
    <m/>
    <s v="São Manoel"/>
  </r>
  <r>
    <d v="2026-03-24T00:00:00"/>
    <s v="terça-feira"/>
    <d v="2026-03-24T00:00:00"/>
    <s v="SIM"/>
    <x v="29"/>
    <s v="BECO 11 D "/>
    <m/>
    <m/>
    <m/>
    <n v="6"/>
    <m/>
    <m/>
    <m/>
    <m/>
    <m/>
    <s v="São Manoel"/>
  </r>
  <r>
    <d v="2026-03-24T00:00:00"/>
    <s v="terça-feira"/>
    <d v="2026-03-24T00:00:00"/>
    <s v="SIM"/>
    <x v="19"/>
    <s v="BECO 16 D "/>
    <m/>
    <m/>
    <m/>
    <n v="6"/>
    <m/>
    <m/>
    <m/>
    <m/>
    <m/>
    <s v="São Manoel"/>
  </r>
  <r>
    <d v="2026-03-24T00:00:00"/>
    <s v="terça-feira"/>
    <d v="2026-03-24T00:00:00"/>
    <s v="SIM"/>
    <x v="28"/>
    <s v="BECO 22 D "/>
    <m/>
    <m/>
    <n v="57"/>
    <m/>
    <m/>
    <m/>
    <m/>
    <m/>
    <m/>
    <s v="São Manoel"/>
  </r>
  <r>
    <d v="2026-03-24T00:00:00"/>
    <s v="terça-feira"/>
    <d v="2026-03-24T00:00:00"/>
    <s v="SIM"/>
    <x v="28"/>
    <s v="SÃO MANOEL"/>
    <n v="7"/>
    <m/>
    <n v="36"/>
    <m/>
    <m/>
    <m/>
    <m/>
    <m/>
    <m/>
    <s v="São Manoel"/>
  </r>
  <r>
    <d v="2026-03-25T00:00:00"/>
    <s v="quarta-feira"/>
    <d v="2026-03-25T00:00:00"/>
    <s v="SIM"/>
    <x v="30"/>
    <s v="BECO 14 D "/>
    <m/>
    <m/>
    <m/>
    <n v="6"/>
    <m/>
    <m/>
    <m/>
    <m/>
    <m/>
    <s v="São Manoel"/>
  </r>
  <r>
    <d v="2026-03-25T00:00:00"/>
    <s v="quarta-feira"/>
    <d v="2026-03-25T00:00:00"/>
    <s v="SIM"/>
    <x v="19"/>
    <s v="BECO 15 E "/>
    <m/>
    <m/>
    <m/>
    <n v="18"/>
    <m/>
    <m/>
    <m/>
    <m/>
    <m/>
    <s v="São Manoel"/>
  </r>
  <r>
    <d v="2026-03-25T00:00:00"/>
    <s v="quarta-feira"/>
    <d v="2026-03-25T00:00:00"/>
    <s v="SIM"/>
    <x v="28"/>
    <s v="SÃO MANOEL"/>
    <n v="8"/>
    <m/>
    <m/>
    <m/>
    <m/>
    <m/>
    <m/>
    <m/>
    <m/>
    <s v="São Manoel"/>
  </r>
  <r>
    <d v="2026-03-26T00:00:00"/>
    <s v="quinta-feira"/>
    <d v="2026-03-26T00:00:00"/>
    <s v="SIM"/>
    <x v="30"/>
    <s v="BECO 6D"/>
    <m/>
    <n v="5"/>
    <m/>
    <n v="6"/>
    <m/>
    <m/>
    <m/>
    <m/>
    <m/>
    <s v="São Manoel"/>
  </r>
  <r>
    <d v="2026-03-26T00:00:00"/>
    <s v="quinta-feira"/>
    <d v="2026-03-26T00:00:00"/>
    <s v="SIM"/>
    <x v="19"/>
    <s v="BECO 15 E "/>
    <m/>
    <m/>
    <m/>
    <n v="12"/>
    <m/>
    <m/>
    <m/>
    <m/>
    <m/>
    <s v="São Manoel"/>
  </r>
  <r>
    <d v="2026-03-26T00:00:00"/>
    <s v="quinta-feira"/>
    <d v="2026-03-26T00:00:00"/>
    <s v="SIM"/>
    <x v="27"/>
    <s v="BECO 9 E"/>
    <m/>
    <m/>
    <m/>
    <n v="12"/>
    <m/>
    <m/>
    <m/>
    <m/>
    <m/>
    <s v="São Manoel"/>
  </r>
  <r>
    <d v="2026-03-26T00:00:00"/>
    <s v="quinta-feira"/>
    <d v="2026-03-26T00:00:00"/>
    <s v="SIM"/>
    <x v="28"/>
    <s v="BECO 14 D"/>
    <m/>
    <m/>
    <m/>
    <n v="6"/>
    <m/>
    <m/>
    <m/>
    <m/>
    <m/>
    <s v="São Manoel"/>
  </r>
  <r>
    <d v="2026-03-26T00:00:00"/>
    <s v="quinta-feira"/>
    <d v="2026-03-26T00:00:00"/>
    <s v="SIM"/>
    <x v="28"/>
    <s v="SÃO MANOEL"/>
    <n v="3"/>
    <m/>
    <m/>
    <m/>
    <m/>
    <m/>
    <m/>
    <m/>
    <m/>
    <s v="São Manoel"/>
  </r>
  <r>
    <d v="2026-03-27T00:00:00"/>
    <s v="sexta-feira"/>
    <d v="2026-03-27T00:00:00"/>
    <s v="NÃO"/>
    <x v="0"/>
    <m/>
    <m/>
    <m/>
    <m/>
    <m/>
    <m/>
    <m/>
    <m/>
    <m/>
    <m/>
    <s v="São Manoel"/>
  </r>
  <r>
    <d v="2026-03-28T00:00:00"/>
    <s v="sábado"/>
    <d v="2026-03-28T00:00:00"/>
    <s v="NÃO"/>
    <x v="0"/>
    <m/>
    <m/>
    <m/>
    <m/>
    <m/>
    <m/>
    <m/>
    <m/>
    <m/>
    <m/>
    <s v="São Manoel"/>
  </r>
  <r>
    <d v="2026-03-29T00:00:00"/>
    <s v="domingo"/>
    <d v="2026-03-29T00:00:00"/>
    <s v="NÃO"/>
    <x v="0"/>
    <m/>
    <m/>
    <m/>
    <m/>
    <m/>
    <m/>
    <m/>
    <m/>
    <m/>
    <m/>
    <s v="São Manoel"/>
  </r>
  <r>
    <d v="2026-03-30T00:00:00"/>
    <s v="segunda-feira"/>
    <d v="2026-03-30T00:00:00"/>
    <s v="SIM"/>
    <x v="30"/>
    <s v="BECO 14D"/>
    <m/>
    <m/>
    <m/>
    <n v="6"/>
    <m/>
    <m/>
    <m/>
    <m/>
    <m/>
    <s v="São Manoel"/>
  </r>
  <r>
    <d v="2026-03-30T00:00:00"/>
    <s v="segunda-feira"/>
    <d v="2026-03-30T00:00:00"/>
    <s v="SIM"/>
    <x v="19"/>
    <s v="BECO 13 E "/>
    <m/>
    <m/>
    <m/>
    <n v="12"/>
    <m/>
    <m/>
    <m/>
    <m/>
    <m/>
    <s v="São Manoel"/>
  </r>
  <r>
    <d v="2026-03-30T00:00:00"/>
    <s v="segunda-feira"/>
    <d v="2026-03-30T00:00:00"/>
    <s v="SIM"/>
    <x v="20"/>
    <s v="BECO 19 D"/>
    <m/>
    <m/>
    <m/>
    <n v="6"/>
    <m/>
    <m/>
    <m/>
    <m/>
    <m/>
    <s v="São Manoel"/>
  </r>
  <r>
    <d v="2026-03-30T00:00:00"/>
    <s v="segunda-feira"/>
    <d v="2026-03-30T00:00:00"/>
    <s v="SIM"/>
    <x v="28"/>
    <s v="BECO 14 D "/>
    <m/>
    <m/>
    <m/>
    <n v="6"/>
    <m/>
    <m/>
    <m/>
    <m/>
    <m/>
    <s v="São Manoel"/>
  </r>
  <r>
    <d v="2026-03-30T00:00:00"/>
    <s v="segunda-feira"/>
    <d v="2026-03-30T00:00:00"/>
    <s v="SIM"/>
    <x v="28"/>
    <s v="BECO 22 D "/>
    <n v="5"/>
    <m/>
    <m/>
    <m/>
    <m/>
    <m/>
    <m/>
    <m/>
    <m/>
    <s v="São Manoel"/>
  </r>
  <r>
    <d v="2026-03-31T00:00:00"/>
    <s v="terça-feira"/>
    <d v="2026-03-31T00:00:00"/>
    <s v="SIM"/>
    <x v="30"/>
    <s v="BECO 18 E "/>
    <m/>
    <m/>
    <m/>
    <n v="6"/>
    <m/>
    <m/>
    <m/>
    <m/>
    <m/>
    <s v="São Manoel"/>
  </r>
  <r>
    <d v="2026-03-31T00:00:00"/>
    <s v="terça-feira"/>
    <d v="2026-03-31T00:00:00"/>
    <s v="SIM"/>
    <x v="19"/>
    <s v="BECO 13 E "/>
    <m/>
    <m/>
    <m/>
    <n v="6"/>
    <m/>
    <m/>
    <m/>
    <m/>
    <m/>
    <s v="São Manoel"/>
  </r>
  <r>
    <d v="2026-03-31T00:00:00"/>
    <s v="terça-feira"/>
    <d v="2026-03-31T00:00:00"/>
    <s v="SIM"/>
    <x v="20"/>
    <s v="BECO 16 D "/>
    <m/>
    <m/>
    <m/>
    <n v="6"/>
    <m/>
    <m/>
    <m/>
    <m/>
    <m/>
    <s v="São Manoel"/>
  </r>
  <r>
    <d v="2026-03-31T00:00:00"/>
    <s v="terça-feira"/>
    <d v="2026-03-31T00:00:00"/>
    <s v="SIM"/>
    <x v="23"/>
    <s v="SÃO MANOEL"/>
    <n v="1"/>
    <m/>
    <m/>
    <m/>
    <m/>
    <m/>
    <m/>
    <m/>
    <m/>
    <s v="São Manoel"/>
  </r>
  <r>
    <d v="2026-03-31T00:00:00"/>
    <s v="terça-feira"/>
    <d v="2026-03-31T00:00:00"/>
    <s v="SIM"/>
    <x v="28"/>
    <s v="BECO 22 D "/>
    <n v="5"/>
    <m/>
    <m/>
    <m/>
    <m/>
    <m/>
    <m/>
    <m/>
    <m/>
    <s v="São Manoel"/>
  </r>
  <r>
    <d v="2026-04-01T00:00:00"/>
    <s v="quarta-feira"/>
    <d v="2026-04-01T00:00:00"/>
    <s v="NÃO"/>
    <x v="0"/>
    <m/>
    <m/>
    <m/>
    <m/>
    <m/>
    <m/>
    <m/>
    <m/>
    <m/>
    <m/>
    <s v="São Manoel"/>
  </r>
  <r>
    <d v="2026-04-02T00:00:00"/>
    <s v="quinta-feira"/>
    <d v="2026-04-02T00:00:00"/>
    <s v="NÃO"/>
    <x v="0"/>
    <m/>
    <m/>
    <m/>
    <m/>
    <m/>
    <m/>
    <m/>
    <m/>
    <m/>
    <m/>
    <s v="São Manoel"/>
  </r>
  <r>
    <d v="2026-04-03T00:00:00"/>
    <s v="sexta-feira"/>
    <d v="2026-04-03T00:00:00"/>
    <s v="NÃO"/>
    <x v="0"/>
    <m/>
    <m/>
    <m/>
    <m/>
    <m/>
    <m/>
    <m/>
    <m/>
    <m/>
    <m/>
    <s v="São Manoel"/>
  </r>
  <r>
    <d v="2026-04-04T00:00:00"/>
    <s v="sábado"/>
    <d v="2026-04-04T00:00:00"/>
    <s v="NÃO"/>
    <x v="0"/>
    <m/>
    <m/>
    <m/>
    <m/>
    <m/>
    <m/>
    <m/>
    <m/>
    <m/>
    <m/>
    <s v="São Manoel"/>
  </r>
  <r>
    <d v="2026-04-05T00:00:00"/>
    <s v="domingo"/>
    <d v="2026-04-05T00:00:00"/>
    <s v="NÃO"/>
    <x v="0"/>
    <m/>
    <m/>
    <m/>
    <m/>
    <m/>
    <m/>
    <m/>
    <m/>
    <m/>
    <m/>
    <s v="São Manoel"/>
  </r>
  <r>
    <d v="2026-04-06T00:00:00"/>
    <s v="segunda-feira"/>
    <d v="2026-04-06T00:00:00"/>
    <s v="NÃO"/>
    <x v="0"/>
    <m/>
    <m/>
    <m/>
    <m/>
    <m/>
    <m/>
    <m/>
    <m/>
    <m/>
    <m/>
    <s v="São Manoel"/>
  </r>
  <r>
    <d v="2026-04-07T00:00:00"/>
    <s v="terça-feira"/>
    <d v="2026-04-07T00:00:00"/>
    <s v="NÃO"/>
    <x v="0"/>
    <m/>
    <m/>
    <m/>
    <m/>
    <m/>
    <m/>
    <m/>
    <m/>
    <m/>
    <m/>
    <s v="São Manoel"/>
  </r>
  <r>
    <d v="2026-04-08T00:00:00"/>
    <s v="quarta-feira"/>
    <d v="2026-04-08T00:00:00"/>
    <s v="NÃO"/>
    <x v="0"/>
    <m/>
    <m/>
    <m/>
    <m/>
    <m/>
    <m/>
    <m/>
    <m/>
    <m/>
    <m/>
    <s v="São Manoel"/>
  </r>
  <r>
    <d v="2026-04-09T00:00:00"/>
    <s v="quinta-feira"/>
    <d v="2026-04-09T00:00:00"/>
    <m/>
    <x v="0"/>
    <m/>
    <m/>
    <m/>
    <m/>
    <m/>
    <m/>
    <m/>
    <m/>
    <m/>
    <m/>
    <s v="São Manoel"/>
  </r>
  <r>
    <d v="2026-04-10T00:00:00"/>
    <s v="sexta-feira"/>
    <d v="2026-04-10T00:00:00"/>
    <m/>
    <x v="0"/>
    <m/>
    <m/>
    <m/>
    <m/>
    <m/>
    <m/>
    <m/>
    <m/>
    <m/>
    <m/>
    <s v="São Manoel"/>
  </r>
  <r>
    <d v="2026-04-11T00:00:00"/>
    <s v="sábado"/>
    <d v="2026-04-11T00:00:00"/>
    <s v="NÃO"/>
    <x v="0"/>
    <m/>
    <m/>
    <m/>
    <m/>
    <m/>
    <m/>
    <m/>
    <m/>
    <m/>
    <m/>
    <s v="São Manoel"/>
  </r>
  <r>
    <d v="2026-04-12T00:00:00"/>
    <s v="domingo"/>
    <d v="2026-04-12T00:00:00"/>
    <s v="NÃO"/>
    <x v="0"/>
    <m/>
    <m/>
    <m/>
    <m/>
    <m/>
    <m/>
    <m/>
    <m/>
    <m/>
    <m/>
    <s v="São Manoel"/>
  </r>
  <r>
    <d v="2026-04-13T00:00:00"/>
    <s v="segunda-feira"/>
    <d v="2026-04-13T00:00:00"/>
    <m/>
    <x v="0"/>
    <m/>
    <m/>
    <m/>
    <m/>
    <m/>
    <m/>
    <m/>
    <m/>
    <m/>
    <m/>
    <s v="São Manoel"/>
  </r>
  <r>
    <d v="2026-04-14T00:00:00"/>
    <s v="terça-feira"/>
    <d v="2026-04-14T00:00:00"/>
    <m/>
    <x v="0"/>
    <m/>
    <m/>
    <m/>
    <m/>
    <m/>
    <m/>
    <m/>
    <m/>
    <m/>
    <m/>
    <s v="São Manoel"/>
  </r>
  <r>
    <d v="2026-04-15T00:00:00"/>
    <s v="quarta-feira"/>
    <d v="2026-04-15T00:00:00"/>
    <m/>
    <x v="0"/>
    <m/>
    <m/>
    <m/>
    <m/>
    <m/>
    <m/>
    <m/>
    <m/>
    <m/>
    <m/>
    <s v="São Manoel"/>
  </r>
  <r>
    <d v="2026-04-16T00:00:00"/>
    <s v="quinta-feira"/>
    <d v="2026-04-16T00:00:00"/>
    <m/>
    <x v="0"/>
    <m/>
    <m/>
    <m/>
    <m/>
    <m/>
    <m/>
    <m/>
    <m/>
    <m/>
    <m/>
    <s v="São Manoel"/>
  </r>
  <r>
    <d v="2026-04-17T00:00:00"/>
    <s v="sexta-feira"/>
    <d v="2026-04-17T00:00:00"/>
    <m/>
    <x v="0"/>
    <m/>
    <m/>
    <m/>
    <m/>
    <m/>
    <m/>
    <m/>
    <m/>
    <m/>
    <m/>
    <s v="São Manoel"/>
  </r>
  <r>
    <d v="2026-04-18T00:00:00"/>
    <s v="sábado"/>
    <d v="2026-04-18T00:00:00"/>
    <s v="NÃO"/>
    <x v="0"/>
    <m/>
    <m/>
    <m/>
    <m/>
    <m/>
    <m/>
    <m/>
    <m/>
    <m/>
    <m/>
    <s v="São Manoel"/>
  </r>
  <r>
    <d v="2026-04-19T00:00:00"/>
    <s v="domingo"/>
    <d v="2026-04-19T00:00:00"/>
    <s v="NÃO"/>
    <x v="0"/>
    <m/>
    <m/>
    <m/>
    <m/>
    <m/>
    <m/>
    <m/>
    <m/>
    <m/>
    <m/>
    <s v="São Manoel"/>
  </r>
  <r>
    <d v="2026-04-20T00:00:00"/>
    <s v="segunda-feira"/>
    <d v="2026-04-20T00:00:00"/>
    <m/>
    <x v="0"/>
    <m/>
    <m/>
    <m/>
    <m/>
    <m/>
    <m/>
    <m/>
    <m/>
    <m/>
    <m/>
    <s v="São Manoel"/>
  </r>
  <r>
    <d v="2026-04-21T00:00:00"/>
    <s v="terça-feira"/>
    <d v="2026-04-21T00:00:00"/>
    <m/>
    <x v="0"/>
    <m/>
    <m/>
    <m/>
    <m/>
    <m/>
    <m/>
    <m/>
    <m/>
    <m/>
    <m/>
    <s v="São Manoel"/>
  </r>
  <r>
    <d v="2026-04-22T00:00:00"/>
    <s v="quarta-feira"/>
    <d v="2026-04-22T00:00:00"/>
    <m/>
    <x v="0"/>
    <m/>
    <m/>
    <m/>
    <m/>
    <m/>
    <m/>
    <m/>
    <m/>
    <m/>
    <m/>
    <s v="São Manoel"/>
  </r>
  <r>
    <d v="2026-04-23T00:00:00"/>
    <s v="quinta-feira"/>
    <d v="2026-04-23T00:00:00"/>
    <m/>
    <x v="0"/>
    <m/>
    <m/>
    <m/>
    <m/>
    <m/>
    <m/>
    <m/>
    <m/>
    <m/>
    <m/>
    <s v="São Manoel"/>
  </r>
  <r>
    <d v="2026-04-24T00:00:00"/>
    <s v="sexta-feira"/>
    <d v="2026-04-24T00:00:00"/>
    <m/>
    <x v="0"/>
    <m/>
    <m/>
    <m/>
    <m/>
    <m/>
    <m/>
    <m/>
    <m/>
    <m/>
    <m/>
    <s v="São Manoel"/>
  </r>
  <r>
    <d v="2026-04-25T00:00:00"/>
    <s v="sábado"/>
    <d v="2026-04-25T00:00:00"/>
    <s v="NÃO"/>
    <x v="0"/>
    <m/>
    <m/>
    <m/>
    <m/>
    <m/>
    <m/>
    <m/>
    <m/>
    <m/>
    <m/>
    <s v="São Manoel"/>
  </r>
  <r>
    <d v="2026-04-26T00:00:00"/>
    <s v="domingo"/>
    <d v="2026-04-26T00:00:00"/>
    <s v="NÃO"/>
    <x v="0"/>
    <m/>
    <m/>
    <m/>
    <m/>
    <m/>
    <m/>
    <m/>
    <m/>
    <m/>
    <m/>
    <s v="São Manoel"/>
  </r>
  <r>
    <d v="2026-04-27T00:00:00"/>
    <s v="segunda-feira"/>
    <d v="2026-04-27T00:00:00"/>
    <m/>
    <x v="0"/>
    <m/>
    <m/>
    <m/>
    <m/>
    <m/>
    <m/>
    <m/>
    <m/>
    <m/>
    <m/>
    <s v="São Manoel"/>
  </r>
  <r>
    <d v="2026-04-28T00:00:00"/>
    <s v="terça-feira"/>
    <d v="2026-04-28T00:00:00"/>
    <m/>
    <x v="0"/>
    <m/>
    <m/>
    <m/>
    <m/>
    <m/>
    <m/>
    <m/>
    <m/>
    <m/>
    <m/>
    <s v="São Manoel"/>
  </r>
  <r>
    <d v="2026-04-29T00:00:00"/>
    <s v="quarta-feira"/>
    <d v="2026-04-29T00:00:00"/>
    <m/>
    <x v="0"/>
    <m/>
    <m/>
    <m/>
    <m/>
    <m/>
    <m/>
    <m/>
    <m/>
    <m/>
    <m/>
    <s v="São Manoel"/>
  </r>
  <r>
    <d v="2026-04-30T00:00:00"/>
    <s v="quinta-feira"/>
    <d v="2026-04-30T00:00:00"/>
    <m/>
    <x v="0"/>
    <m/>
    <m/>
    <m/>
    <m/>
    <m/>
    <m/>
    <m/>
    <m/>
    <m/>
    <m/>
    <s v="São Manoel"/>
  </r>
  <r>
    <d v="2026-05-01T00:00:00"/>
    <s v="sexta-feira"/>
    <d v="2026-05-01T00:00:00"/>
    <m/>
    <x v="0"/>
    <m/>
    <m/>
    <m/>
    <m/>
    <m/>
    <m/>
    <m/>
    <m/>
    <m/>
    <m/>
    <s v="São Manoel"/>
  </r>
  <r>
    <d v="2026-05-02T00:00:00"/>
    <s v="sábado"/>
    <d v="2026-05-02T00:00:00"/>
    <s v="NÃO"/>
    <x v="0"/>
    <m/>
    <m/>
    <m/>
    <m/>
    <m/>
    <m/>
    <m/>
    <m/>
    <m/>
    <m/>
    <s v="São Manoel"/>
  </r>
  <r>
    <d v="2026-05-03T00:00:00"/>
    <s v="domingo"/>
    <d v="2026-05-03T00:00:00"/>
    <s v="NÃO"/>
    <x v="0"/>
    <m/>
    <m/>
    <m/>
    <m/>
    <m/>
    <m/>
    <m/>
    <m/>
    <m/>
    <m/>
    <s v="São Manoel"/>
  </r>
  <r>
    <d v="2026-05-04T00:00:00"/>
    <s v="segunda-feira"/>
    <d v="2026-05-04T00:00:00"/>
    <m/>
    <x v="0"/>
    <m/>
    <m/>
    <m/>
    <m/>
    <m/>
    <m/>
    <m/>
    <m/>
    <m/>
    <m/>
    <s v="São Manoel"/>
  </r>
  <r>
    <d v="2026-05-05T00:00:00"/>
    <s v="terça-feira"/>
    <d v="2026-05-05T00:00:00"/>
    <m/>
    <x v="0"/>
    <m/>
    <m/>
    <m/>
    <m/>
    <m/>
    <m/>
    <m/>
    <m/>
    <m/>
    <m/>
    <s v="São Manoel"/>
  </r>
  <r>
    <d v="2026-05-06T00:00:00"/>
    <s v="quarta-feira"/>
    <d v="2026-05-06T00:00:00"/>
    <m/>
    <x v="0"/>
    <m/>
    <m/>
    <m/>
    <m/>
    <m/>
    <m/>
    <m/>
    <m/>
    <m/>
    <m/>
    <s v="São Manoel"/>
  </r>
  <r>
    <d v="2026-05-07T00:00:00"/>
    <s v="quinta-feira"/>
    <d v="2026-05-07T00:00:00"/>
    <m/>
    <x v="0"/>
    <m/>
    <m/>
    <m/>
    <m/>
    <m/>
    <m/>
    <m/>
    <m/>
    <m/>
    <m/>
    <s v="São Manoel"/>
  </r>
  <r>
    <d v="2026-05-08T00:00:00"/>
    <s v="sexta-feira"/>
    <d v="2026-05-08T00:00:00"/>
    <m/>
    <x v="0"/>
    <m/>
    <m/>
    <m/>
    <m/>
    <m/>
    <m/>
    <m/>
    <m/>
    <m/>
    <m/>
    <s v="São Manoel"/>
  </r>
  <r>
    <d v="2026-05-09T00:00:00"/>
    <s v="sábado"/>
    <d v="2026-05-09T00:00:00"/>
    <s v="NÃO"/>
    <x v="0"/>
    <m/>
    <m/>
    <m/>
    <m/>
    <m/>
    <m/>
    <m/>
    <m/>
    <m/>
    <m/>
    <s v="São Manoel"/>
  </r>
  <r>
    <d v="2026-05-10T00:00:00"/>
    <s v="domingo"/>
    <d v="2026-05-10T00:00:00"/>
    <s v="NÃO"/>
    <x v="0"/>
    <m/>
    <m/>
    <m/>
    <m/>
    <m/>
    <m/>
    <m/>
    <m/>
    <m/>
    <m/>
    <s v="São Manoel"/>
  </r>
  <r>
    <d v="2026-05-11T00:00:00"/>
    <s v="segunda-feira"/>
    <d v="2026-05-11T00:00:00"/>
    <m/>
    <x v="0"/>
    <m/>
    <m/>
    <m/>
    <m/>
    <m/>
    <m/>
    <m/>
    <m/>
    <m/>
    <m/>
    <s v="São Manoel"/>
  </r>
  <r>
    <d v="2026-05-12T00:00:00"/>
    <s v="terça-feira"/>
    <d v="2026-05-12T00:00:00"/>
    <m/>
    <x v="0"/>
    <m/>
    <m/>
    <m/>
    <m/>
    <m/>
    <m/>
    <m/>
    <m/>
    <m/>
    <m/>
    <s v="São Manoel"/>
  </r>
  <r>
    <d v="2026-05-13T00:00:00"/>
    <s v="quarta-feira"/>
    <d v="2026-05-13T00:00:00"/>
    <m/>
    <x v="0"/>
    <m/>
    <m/>
    <m/>
    <m/>
    <m/>
    <m/>
    <m/>
    <m/>
    <m/>
    <m/>
    <s v="São Manoel"/>
  </r>
  <r>
    <d v="2026-05-14T00:00:00"/>
    <s v="quinta-feira"/>
    <d v="2026-05-14T00:00:00"/>
    <m/>
    <x v="0"/>
    <m/>
    <m/>
    <m/>
    <m/>
    <m/>
    <m/>
    <m/>
    <m/>
    <m/>
    <m/>
    <s v="São Manoel"/>
  </r>
  <r>
    <d v="2026-05-15T00:00:00"/>
    <s v="sexta-feira"/>
    <d v="2026-05-15T00:00:00"/>
    <m/>
    <x v="0"/>
    <m/>
    <m/>
    <m/>
    <m/>
    <m/>
    <m/>
    <m/>
    <m/>
    <m/>
    <m/>
    <s v="São Manoel"/>
  </r>
  <r>
    <d v="2026-05-16T00:00:00"/>
    <s v="sábado"/>
    <d v="2026-05-16T00:00:00"/>
    <s v="NÃO"/>
    <x v="0"/>
    <m/>
    <m/>
    <m/>
    <m/>
    <m/>
    <m/>
    <m/>
    <m/>
    <m/>
    <m/>
    <s v="São Manoel"/>
  </r>
  <r>
    <d v="2026-05-17T00:00:00"/>
    <s v="domingo"/>
    <d v="2026-05-17T00:00:00"/>
    <s v="NÃO"/>
    <x v="0"/>
    <m/>
    <m/>
    <m/>
    <m/>
    <m/>
    <m/>
    <m/>
    <m/>
    <m/>
    <m/>
    <s v="São Manoel"/>
  </r>
  <r>
    <d v="2026-05-18T00:00:00"/>
    <s v="segunda-feira"/>
    <d v="2026-05-18T00:00:00"/>
    <m/>
    <x v="0"/>
    <m/>
    <m/>
    <m/>
    <m/>
    <m/>
    <m/>
    <m/>
    <m/>
    <m/>
    <m/>
    <s v="São Manoel"/>
  </r>
  <r>
    <d v="2026-05-19T00:00:00"/>
    <s v="terça-feira"/>
    <d v="2026-05-19T00:00:00"/>
    <m/>
    <x v="0"/>
    <m/>
    <m/>
    <m/>
    <m/>
    <m/>
    <m/>
    <m/>
    <m/>
    <m/>
    <m/>
    <s v="São Manoel"/>
  </r>
  <r>
    <d v="2026-05-20T00:00:00"/>
    <s v="quarta-feira"/>
    <d v="2026-05-20T00:00:00"/>
    <m/>
    <x v="0"/>
    <m/>
    <m/>
    <m/>
    <m/>
    <m/>
    <m/>
    <m/>
    <m/>
    <m/>
    <m/>
    <s v="São Manoel"/>
  </r>
  <r>
    <d v="2026-05-21T00:00:00"/>
    <s v="quinta-feira"/>
    <d v="2026-05-21T00:00:00"/>
    <m/>
    <x v="0"/>
    <m/>
    <m/>
    <m/>
    <m/>
    <m/>
    <m/>
    <m/>
    <m/>
    <m/>
    <m/>
    <s v="São Manoel"/>
  </r>
  <r>
    <d v="2026-05-22T00:00:00"/>
    <s v="sexta-feira"/>
    <d v="2026-05-22T00:00:00"/>
    <m/>
    <x v="0"/>
    <m/>
    <m/>
    <m/>
    <m/>
    <m/>
    <m/>
    <m/>
    <m/>
    <m/>
    <m/>
    <s v="São Manoel"/>
  </r>
  <r>
    <d v="2026-05-23T00:00:00"/>
    <s v="sábado"/>
    <d v="2026-05-23T00:00:00"/>
    <s v="NÃO"/>
    <x v="0"/>
    <m/>
    <m/>
    <m/>
    <m/>
    <m/>
    <m/>
    <m/>
    <m/>
    <m/>
    <m/>
    <s v="São Manoel"/>
  </r>
  <r>
    <d v="2026-05-24T00:00:00"/>
    <s v="domingo"/>
    <d v="2026-05-24T00:00:00"/>
    <s v="NÃO"/>
    <x v="0"/>
    <m/>
    <m/>
    <m/>
    <m/>
    <m/>
    <m/>
    <m/>
    <m/>
    <m/>
    <m/>
    <s v="São Manoel"/>
  </r>
  <r>
    <d v="2026-05-25T00:00:00"/>
    <s v="segunda-feira"/>
    <d v="2026-05-25T00:00:00"/>
    <m/>
    <x v="0"/>
    <m/>
    <m/>
    <m/>
    <m/>
    <m/>
    <m/>
    <m/>
    <m/>
    <m/>
    <m/>
    <s v="São Manoel"/>
  </r>
  <r>
    <d v="2026-05-26T00:00:00"/>
    <s v="terça-feira"/>
    <d v="2026-05-26T00:00:00"/>
    <m/>
    <x v="0"/>
    <m/>
    <m/>
    <m/>
    <m/>
    <m/>
    <m/>
    <m/>
    <m/>
    <m/>
    <m/>
    <s v="São Manoel"/>
  </r>
  <r>
    <d v="2026-05-27T00:00:00"/>
    <s v="quarta-feira"/>
    <d v="2026-05-27T00:00:00"/>
    <m/>
    <x v="0"/>
    <m/>
    <m/>
    <m/>
    <m/>
    <m/>
    <m/>
    <m/>
    <m/>
    <m/>
    <m/>
    <s v="São Manoel"/>
  </r>
  <r>
    <d v="2026-05-28T00:00:00"/>
    <s v="quinta-feira"/>
    <d v="2026-05-28T00:00:00"/>
    <m/>
    <x v="0"/>
    <m/>
    <m/>
    <m/>
    <m/>
    <m/>
    <m/>
    <m/>
    <m/>
    <m/>
    <m/>
    <s v="São Manoel"/>
  </r>
  <r>
    <d v="2026-05-29T00:00:00"/>
    <s v="sexta-feira"/>
    <d v="2026-05-29T00:00:00"/>
    <m/>
    <x v="0"/>
    <m/>
    <m/>
    <m/>
    <m/>
    <m/>
    <m/>
    <m/>
    <m/>
    <m/>
    <m/>
    <s v="São Manoel"/>
  </r>
  <r>
    <d v="2026-05-30T00:00:00"/>
    <s v="sábado"/>
    <d v="2026-05-30T00:00:00"/>
    <s v="NÃO"/>
    <x v="0"/>
    <m/>
    <m/>
    <m/>
    <m/>
    <m/>
    <m/>
    <m/>
    <m/>
    <m/>
    <m/>
    <s v="São Manoel"/>
  </r>
  <r>
    <d v="2026-05-31T00:00:00"/>
    <s v="domingo"/>
    <d v="2026-05-31T00:00:00"/>
    <s v="NÃO"/>
    <x v="0"/>
    <m/>
    <m/>
    <m/>
    <m/>
    <m/>
    <m/>
    <m/>
    <m/>
    <m/>
    <m/>
    <s v="São Manoel"/>
  </r>
  <r>
    <d v="2026-06-01T00:00:00"/>
    <s v="segunda-feira"/>
    <d v="2026-06-01T00:00:00"/>
    <m/>
    <x v="0"/>
    <m/>
    <m/>
    <m/>
    <m/>
    <m/>
    <m/>
    <m/>
    <m/>
    <m/>
    <m/>
    <s v="São Manoel"/>
  </r>
  <r>
    <d v="2026-06-02T00:00:00"/>
    <s v="terça-feira"/>
    <d v="2026-06-02T00:00:00"/>
    <m/>
    <x v="0"/>
    <m/>
    <m/>
    <m/>
    <m/>
    <m/>
    <m/>
    <m/>
    <m/>
    <m/>
    <m/>
    <s v="São Manoel"/>
  </r>
  <r>
    <d v="2026-06-03T00:00:00"/>
    <s v="quarta-feira"/>
    <d v="2026-06-03T00:00:00"/>
    <m/>
    <x v="0"/>
    <m/>
    <m/>
    <m/>
    <m/>
    <m/>
    <m/>
    <m/>
    <m/>
    <m/>
    <m/>
    <s v="São Manoel"/>
  </r>
  <r>
    <d v="2026-06-04T00:00:00"/>
    <s v="quinta-feira"/>
    <d v="2026-06-04T00:00:00"/>
    <m/>
    <x v="0"/>
    <m/>
    <m/>
    <m/>
    <m/>
    <m/>
    <m/>
    <m/>
    <m/>
    <m/>
    <m/>
    <s v="São Manoel"/>
  </r>
  <r>
    <d v="2026-06-05T00:00:00"/>
    <s v="sexta-feira"/>
    <d v="2026-06-05T00:00:00"/>
    <m/>
    <x v="0"/>
    <m/>
    <m/>
    <m/>
    <m/>
    <m/>
    <m/>
    <m/>
    <m/>
    <m/>
    <m/>
    <s v="São Manoel"/>
  </r>
  <r>
    <d v="2026-06-06T00:00:00"/>
    <s v="sábado"/>
    <d v="2026-06-06T00:00:00"/>
    <s v="NÃO"/>
    <x v="0"/>
    <m/>
    <m/>
    <m/>
    <m/>
    <m/>
    <m/>
    <m/>
    <m/>
    <m/>
    <m/>
    <s v="São Manoel"/>
  </r>
  <r>
    <d v="2026-06-07T00:00:00"/>
    <s v="domingo"/>
    <d v="2026-06-07T00:00:00"/>
    <s v="NÃO"/>
    <x v="0"/>
    <m/>
    <m/>
    <m/>
    <m/>
    <m/>
    <m/>
    <m/>
    <m/>
    <m/>
    <m/>
    <s v="São Manoel"/>
  </r>
  <r>
    <d v="2026-06-08T00:00:00"/>
    <s v="segunda-feira"/>
    <d v="2026-06-08T00:00:00"/>
    <m/>
    <x v="0"/>
    <m/>
    <m/>
    <m/>
    <m/>
    <m/>
    <m/>
    <m/>
    <m/>
    <m/>
    <m/>
    <s v="São Manoel"/>
  </r>
  <r>
    <d v="2026-06-09T00:00:00"/>
    <s v="terça-feira"/>
    <d v="2026-06-09T00:00:00"/>
    <m/>
    <x v="0"/>
    <m/>
    <m/>
    <m/>
    <m/>
    <m/>
    <m/>
    <m/>
    <m/>
    <m/>
    <m/>
    <s v="São Manoel"/>
  </r>
  <r>
    <d v="2026-06-10T00:00:00"/>
    <s v="quarta-feira"/>
    <d v="2026-06-10T00:00:00"/>
    <m/>
    <x v="0"/>
    <m/>
    <m/>
    <m/>
    <m/>
    <m/>
    <m/>
    <m/>
    <m/>
    <m/>
    <m/>
    <s v="São Manoel"/>
  </r>
  <r>
    <d v="2026-06-11T00:00:00"/>
    <s v="quinta-feira"/>
    <d v="2026-06-11T00:00:00"/>
    <m/>
    <x v="0"/>
    <m/>
    <m/>
    <m/>
    <m/>
    <m/>
    <m/>
    <m/>
    <m/>
    <m/>
    <m/>
    <s v="São Manoel"/>
  </r>
  <r>
    <d v="2026-06-12T00:00:00"/>
    <s v="sexta-feira"/>
    <d v="2026-06-12T00:00:00"/>
    <m/>
    <x v="0"/>
    <m/>
    <m/>
    <m/>
    <m/>
    <m/>
    <m/>
    <m/>
    <m/>
    <m/>
    <m/>
    <s v="São Manoel"/>
  </r>
  <r>
    <d v="2026-06-13T00:00:00"/>
    <s v="sábado"/>
    <d v="2026-06-13T00:00:00"/>
    <s v="NÃO"/>
    <x v="0"/>
    <m/>
    <m/>
    <m/>
    <m/>
    <m/>
    <m/>
    <m/>
    <m/>
    <m/>
    <m/>
    <s v="São Manoel"/>
  </r>
  <r>
    <d v="2026-06-14T00:00:00"/>
    <s v="domingo"/>
    <d v="2026-06-14T00:00:00"/>
    <s v="NÃO"/>
    <x v="0"/>
    <m/>
    <m/>
    <m/>
    <m/>
    <m/>
    <m/>
    <m/>
    <m/>
    <m/>
    <m/>
    <s v="São Manoel"/>
  </r>
  <r>
    <d v="2026-06-15T00:00:00"/>
    <s v="segunda-feira"/>
    <d v="2026-06-15T00:00:00"/>
    <m/>
    <x v="0"/>
    <m/>
    <m/>
    <m/>
    <m/>
    <m/>
    <m/>
    <m/>
    <m/>
    <m/>
    <m/>
    <s v="São Manoel"/>
  </r>
  <r>
    <d v="2026-06-16T00:00:00"/>
    <s v="terça-feira"/>
    <d v="2026-06-16T00:00:00"/>
    <m/>
    <x v="0"/>
    <m/>
    <m/>
    <m/>
    <m/>
    <m/>
    <m/>
    <m/>
    <m/>
    <m/>
    <m/>
    <s v="São Manoel"/>
  </r>
  <r>
    <d v="2026-06-17T00:00:00"/>
    <s v="quarta-feira"/>
    <d v="2026-06-17T00:00:00"/>
    <m/>
    <x v="0"/>
    <m/>
    <m/>
    <m/>
    <m/>
    <m/>
    <m/>
    <m/>
    <m/>
    <m/>
    <m/>
    <s v="São Manoel"/>
  </r>
  <r>
    <d v="2026-06-18T00:00:00"/>
    <s v="quinta-feira"/>
    <d v="2026-06-18T00:00:00"/>
    <m/>
    <x v="0"/>
    <m/>
    <m/>
    <m/>
    <m/>
    <m/>
    <m/>
    <m/>
    <m/>
    <m/>
    <m/>
    <s v="São Manoel"/>
  </r>
  <r>
    <d v="2026-06-19T00:00:00"/>
    <s v="sexta-feira"/>
    <d v="2026-06-19T00:00:00"/>
    <m/>
    <x v="0"/>
    <m/>
    <m/>
    <m/>
    <m/>
    <m/>
    <m/>
    <m/>
    <m/>
    <m/>
    <m/>
    <s v="São Manoel"/>
  </r>
  <r>
    <d v="2026-06-20T00:00:00"/>
    <s v="sábado"/>
    <d v="2026-06-20T00:00:00"/>
    <s v="NÃO"/>
    <x v="0"/>
    <m/>
    <m/>
    <m/>
    <m/>
    <m/>
    <m/>
    <m/>
    <m/>
    <m/>
    <m/>
    <s v="São Manoel"/>
  </r>
  <r>
    <d v="2026-06-21T00:00:00"/>
    <s v="domingo"/>
    <d v="2026-06-21T00:00:00"/>
    <s v="NÃO"/>
    <x v="0"/>
    <m/>
    <m/>
    <m/>
    <m/>
    <m/>
    <m/>
    <m/>
    <m/>
    <m/>
    <m/>
    <s v="São Manoel"/>
  </r>
  <r>
    <d v="2026-06-22T00:00:00"/>
    <s v="segunda-feira"/>
    <d v="2026-06-22T00:00:00"/>
    <m/>
    <x v="0"/>
    <m/>
    <m/>
    <m/>
    <m/>
    <m/>
    <m/>
    <m/>
    <m/>
    <m/>
    <m/>
    <s v="São Manoel"/>
  </r>
  <r>
    <d v="2026-06-23T00:00:00"/>
    <s v="terça-feira"/>
    <d v="2026-06-23T00:00:00"/>
    <m/>
    <x v="0"/>
    <m/>
    <m/>
    <m/>
    <m/>
    <m/>
    <m/>
    <m/>
    <m/>
    <m/>
    <m/>
    <s v="São Manoel"/>
  </r>
  <r>
    <d v="2026-06-24T00:00:00"/>
    <s v="quarta-feira"/>
    <d v="2026-06-24T00:00:00"/>
    <m/>
    <x v="0"/>
    <m/>
    <m/>
    <m/>
    <m/>
    <m/>
    <m/>
    <m/>
    <m/>
    <m/>
    <m/>
    <s v="São Manoel"/>
  </r>
  <r>
    <d v="2026-06-25T00:00:00"/>
    <s v="quinta-feira"/>
    <d v="2026-06-25T00:00:00"/>
    <m/>
    <x v="0"/>
    <m/>
    <m/>
    <m/>
    <m/>
    <m/>
    <m/>
    <m/>
    <m/>
    <m/>
    <m/>
    <s v="São Manoel"/>
  </r>
  <r>
    <d v="2026-06-26T00:00:00"/>
    <s v="sexta-feira"/>
    <d v="2026-06-26T00:00:00"/>
    <m/>
    <x v="0"/>
    <m/>
    <m/>
    <m/>
    <m/>
    <m/>
    <m/>
    <m/>
    <m/>
    <m/>
    <m/>
    <s v="São Manoel"/>
  </r>
  <r>
    <d v="2026-06-27T00:00:00"/>
    <s v="sábado"/>
    <d v="2026-06-27T00:00:00"/>
    <s v="NÃO"/>
    <x v="0"/>
    <m/>
    <m/>
    <m/>
    <m/>
    <m/>
    <m/>
    <m/>
    <m/>
    <m/>
    <m/>
    <s v="São Manoel"/>
  </r>
  <r>
    <d v="2026-06-28T00:00:00"/>
    <s v="domingo"/>
    <d v="2026-06-28T00:00:00"/>
    <s v="NÃO"/>
    <x v="0"/>
    <m/>
    <m/>
    <m/>
    <m/>
    <m/>
    <m/>
    <m/>
    <m/>
    <m/>
    <m/>
    <s v="São Manoel"/>
  </r>
  <r>
    <d v="2026-06-29T00:00:00"/>
    <s v="segunda-feira"/>
    <d v="2026-06-29T00:00:00"/>
    <m/>
    <x v="0"/>
    <m/>
    <m/>
    <m/>
    <m/>
    <m/>
    <m/>
    <m/>
    <m/>
    <m/>
    <m/>
    <s v="São Manoel"/>
  </r>
  <r>
    <d v="2026-06-30T00:00:00"/>
    <s v="terça-feira"/>
    <d v="2026-06-30T00:00:00"/>
    <m/>
    <x v="0"/>
    <m/>
    <m/>
    <m/>
    <m/>
    <m/>
    <m/>
    <m/>
    <m/>
    <m/>
    <m/>
    <s v="São Manoel"/>
  </r>
  <r>
    <d v="2026-07-01T00:00:00"/>
    <s v="quarta-feira"/>
    <d v="2026-07-01T00:00:00"/>
    <m/>
    <x v="0"/>
    <m/>
    <m/>
    <m/>
    <m/>
    <m/>
    <m/>
    <m/>
    <m/>
    <m/>
    <m/>
    <s v="São Manoel"/>
  </r>
  <r>
    <d v="2026-07-02T00:00:00"/>
    <s v="quinta-feira"/>
    <d v="2026-07-02T00:00:00"/>
    <m/>
    <x v="0"/>
    <m/>
    <m/>
    <m/>
    <m/>
    <m/>
    <m/>
    <m/>
    <m/>
    <m/>
    <m/>
    <s v="São Manoel"/>
  </r>
  <r>
    <d v="2026-07-03T00:00:00"/>
    <s v="sexta-feira"/>
    <d v="2026-07-03T00:00:00"/>
    <m/>
    <x v="0"/>
    <m/>
    <m/>
    <m/>
    <m/>
    <m/>
    <m/>
    <m/>
    <m/>
    <m/>
    <m/>
    <s v="São Manoel"/>
  </r>
  <r>
    <d v="2026-07-04T00:00:00"/>
    <s v="sábado"/>
    <d v="2026-07-04T00:00:00"/>
    <s v="NÃO"/>
    <x v="0"/>
    <m/>
    <m/>
    <m/>
    <m/>
    <m/>
    <m/>
    <m/>
    <m/>
    <m/>
    <m/>
    <s v="São Manoel"/>
  </r>
  <r>
    <d v="2026-07-05T00:00:00"/>
    <s v="domingo"/>
    <d v="2026-07-05T00:00:00"/>
    <s v="NÃO"/>
    <x v="0"/>
    <m/>
    <m/>
    <m/>
    <m/>
    <m/>
    <m/>
    <m/>
    <m/>
    <m/>
    <m/>
    <s v="São Manoel"/>
  </r>
  <r>
    <d v="2026-07-06T00:00:00"/>
    <s v="segunda-feira"/>
    <d v="2026-07-06T00:00:00"/>
    <m/>
    <x v="0"/>
    <m/>
    <m/>
    <m/>
    <m/>
    <m/>
    <m/>
    <m/>
    <m/>
    <m/>
    <m/>
    <s v="São Manoel"/>
  </r>
  <r>
    <d v="2026-07-07T00:00:00"/>
    <s v="terça-feira"/>
    <d v="2026-07-07T00:00:00"/>
    <m/>
    <x v="0"/>
    <m/>
    <m/>
    <m/>
    <m/>
    <m/>
    <m/>
    <m/>
    <m/>
    <m/>
    <m/>
    <s v="São Manoel"/>
  </r>
  <r>
    <d v="2026-07-08T00:00:00"/>
    <s v="quarta-feira"/>
    <d v="2026-07-08T00:00:00"/>
    <m/>
    <x v="0"/>
    <m/>
    <m/>
    <m/>
    <m/>
    <m/>
    <m/>
    <m/>
    <m/>
    <m/>
    <m/>
    <s v="São Manoel"/>
  </r>
  <r>
    <d v="2026-07-09T00:00:00"/>
    <s v="quinta-feira"/>
    <d v="2026-07-09T00:00:00"/>
    <m/>
    <x v="0"/>
    <m/>
    <m/>
    <m/>
    <m/>
    <m/>
    <m/>
    <m/>
    <m/>
    <m/>
    <m/>
    <s v="São Manoel"/>
  </r>
  <r>
    <d v="2026-07-10T00:00:00"/>
    <s v="sexta-feira"/>
    <d v="2026-07-10T00:00:00"/>
    <m/>
    <x v="0"/>
    <m/>
    <m/>
    <m/>
    <m/>
    <m/>
    <m/>
    <m/>
    <m/>
    <m/>
    <m/>
    <s v="São Manoel"/>
  </r>
  <r>
    <d v="2026-07-11T00:00:00"/>
    <s v="sábado"/>
    <d v="2026-07-11T00:00:00"/>
    <s v="NÃO"/>
    <x v="0"/>
    <m/>
    <m/>
    <m/>
    <m/>
    <m/>
    <m/>
    <m/>
    <m/>
    <m/>
    <m/>
    <s v="São Manoel"/>
  </r>
  <r>
    <d v="2026-07-12T00:00:00"/>
    <s v="domingo"/>
    <d v="2026-07-12T00:00:00"/>
    <s v="NÃO"/>
    <x v="0"/>
    <m/>
    <m/>
    <m/>
    <m/>
    <m/>
    <m/>
    <m/>
    <m/>
    <m/>
    <m/>
    <s v="São Manoel"/>
  </r>
  <r>
    <d v="2026-07-13T00:00:00"/>
    <s v="segunda-feira"/>
    <d v="2026-07-13T00:00:00"/>
    <m/>
    <x v="0"/>
    <m/>
    <m/>
    <m/>
    <m/>
    <m/>
    <m/>
    <m/>
    <m/>
    <m/>
    <m/>
    <s v="São Manoel"/>
  </r>
  <r>
    <d v="2026-07-14T00:00:00"/>
    <s v="terça-feira"/>
    <d v="2026-07-14T00:00:00"/>
    <m/>
    <x v="0"/>
    <m/>
    <m/>
    <m/>
    <m/>
    <m/>
    <m/>
    <m/>
    <m/>
    <m/>
    <m/>
    <s v="São Manoel"/>
  </r>
  <r>
    <d v="2026-07-15T00:00:00"/>
    <s v="quarta-feira"/>
    <d v="2026-07-15T00:00:00"/>
    <m/>
    <x v="0"/>
    <m/>
    <m/>
    <m/>
    <m/>
    <m/>
    <m/>
    <m/>
    <m/>
    <m/>
    <m/>
    <s v="São Manoel"/>
  </r>
  <r>
    <d v="2026-07-16T00:00:00"/>
    <s v="quinta-feira"/>
    <d v="2026-07-16T00:00:00"/>
    <m/>
    <x v="0"/>
    <m/>
    <m/>
    <m/>
    <m/>
    <m/>
    <m/>
    <m/>
    <m/>
    <m/>
    <m/>
    <s v="São Manoel"/>
  </r>
  <r>
    <d v="2026-07-17T00:00:00"/>
    <s v="sexta-feira"/>
    <d v="2026-07-17T00:00:00"/>
    <m/>
    <x v="0"/>
    <m/>
    <m/>
    <m/>
    <m/>
    <m/>
    <m/>
    <m/>
    <m/>
    <m/>
    <m/>
    <s v="São Manoel"/>
  </r>
  <r>
    <d v="2026-07-18T00:00:00"/>
    <s v="sábado"/>
    <d v="2026-07-18T00:00:00"/>
    <s v="NÃO"/>
    <x v="0"/>
    <m/>
    <m/>
    <m/>
    <m/>
    <m/>
    <m/>
    <m/>
    <m/>
    <m/>
    <m/>
    <s v="São Manoel"/>
  </r>
  <r>
    <d v="2026-07-19T00:00:00"/>
    <s v="domingo"/>
    <d v="2026-07-19T00:00:00"/>
    <s v="NÃO"/>
    <x v="0"/>
    <m/>
    <m/>
    <m/>
    <m/>
    <m/>
    <m/>
    <m/>
    <m/>
    <m/>
    <m/>
    <s v="São Manoel"/>
  </r>
  <r>
    <d v="2026-07-20T00:00:00"/>
    <s v="segunda-feira"/>
    <d v="2026-07-20T00:00:00"/>
    <m/>
    <x v="0"/>
    <m/>
    <m/>
    <m/>
    <m/>
    <m/>
    <m/>
    <m/>
    <m/>
    <m/>
    <m/>
    <s v="São Manoel"/>
  </r>
  <r>
    <d v="2026-07-21T00:00:00"/>
    <s v="terça-feira"/>
    <d v="2026-07-21T00:00:00"/>
    <m/>
    <x v="0"/>
    <m/>
    <m/>
    <m/>
    <m/>
    <m/>
    <m/>
    <m/>
    <m/>
    <m/>
    <m/>
    <s v="São Manoel"/>
  </r>
  <r>
    <d v="2026-07-22T00:00:00"/>
    <s v="quarta-feira"/>
    <d v="2026-07-22T00:00:00"/>
    <m/>
    <x v="0"/>
    <m/>
    <m/>
    <m/>
    <m/>
    <m/>
    <m/>
    <m/>
    <m/>
    <m/>
    <m/>
    <s v="São Manoel"/>
  </r>
  <r>
    <d v="2026-07-23T00:00:00"/>
    <s v="quinta-feira"/>
    <d v="2026-07-23T00:00:00"/>
    <m/>
    <x v="0"/>
    <m/>
    <m/>
    <m/>
    <m/>
    <m/>
    <m/>
    <m/>
    <m/>
    <m/>
    <m/>
    <s v="São Manoel"/>
  </r>
  <r>
    <d v="2026-07-24T00:00:00"/>
    <s v="sexta-feira"/>
    <d v="2026-07-24T00:00:00"/>
    <m/>
    <x v="0"/>
    <m/>
    <m/>
    <m/>
    <m/>
    <m/>
    <m/>
    <m/>
    <m/>
    <m/>
    <m/>
    <s v="São Manoel"/>
  </r>
  <r>
    <d v="2026-07-25T00:00:00"/>
    <s v="sábado"/>
    <d v="2026-07-25T00:00:00"/>
    <s v="NÃO"/>
    <x v="0"/>
    <m/>
    <m/>
    <m/>
    <m/>
    <m/>
    <m/>
    <m/>
    <m/>
    <m/>
    <m/>
    <s v="São Manoel"/>
  </r>
  <r>
    <d v="2026-07-26T00:00:00"/>
    <s v="domingo"/>
    <d v="2026-07-26T00:00:00"/>
    <s v="NÃO"/>
    <x v="0"/>
    <m/>
    <m/>
    <m/>
    <m/>
    <m/>
    <m/>
    <m/>
    <m/>
    <m/>
    <m/>
    <s v="São Manoel"/>
  </r>
  <r>
    <d v="2026-07-27T00:00:00"/>
    <s v="segunda-feira"/>
    <d v="2026-07-27T00:00:00"/>
    <m/>
    <x v="0"/>
    <m/>
    <m/>
    <m/>
    <m/>
    <m/>
    <m/>
    <m/>
    <m/>
    <m/>
    <m/>
    <s v="São Manoel"/>
  </r>
  <r>
    <d v="2026-07-28T00:00:00"/>
    <s v="terça-feira"/>
    <d v="2026-07-28T00:00:00"/>
    <m/>
    <x v="0"/>
    <m/>
    <m/>
    <m/>
    <m/>
    <m/>
    <m/>
    <m/>
    <m/>
    <m/>
    <m/>
    <s v="São Manoel"/>
  </r>
  <r>
    <d v="2026-07-29T00:00:00"/>
    <s v="quarta-feira"/>
    <d v="2026-07-29T00:00:00"/>
    <m/>
    <x v="0"/>
    <m/>
    <m/>
    <m/>
    <m/>
    <m/>
    <m/>
    <m/>
    <m/>
    <m/>
    <m/>
    <s v="São Manoel"/>
  </r>
  <r>
    <d v="2026-07-30T00:00:00"/>
    <s v="quinta-feira"/>
    <d v="2026-07-30T00:00:00"/>
    <m/>
    <x v="0"/>
    <m/>
    <m/>
    <m/>
    <m/>
    <m/>
    <m/>
    <m/>
    <m/>
    <m/>
    <m/>
    <s v="São Manoel"/>
  </r>
  <r>
    <d v="2026-07-31T00:00:00"/>
    <s v="sexta-feira"/>
    <d v="2026-07-31T00:00:00"/>
    <m/>
    <x v="0"/>
    <m/>
    <m/>
    <m/>
    <m/>
    <m/>
    <m/>
    <m/>
    <m/>
    <m/>
    <m/>
    <s v="São Manoel"/>
  </r>
  <r>
    <d v="2026-08-01T00:00:00"/>
    <s v="sábado"/>
    <d v="2026-08-01T00:00:00"/>
    <s v="NÃO"/>
    <x v="0"/>
    <m/>
    <m/>
    <m/>
    <m/>
    <m/>
    <m/>
    <m/>
    <m/>
    <m/>
    <m/>
    <s v="São Manoel"/>
  </r>
  <r>
    <d v="2026-08-02T00:00:00"/>
    <s v="domingo"/>
    <d v="2026-08-02T00:00:00"/>
    <s v="NÃO"/>
    <x v="0"/>
    <m/>
    <m/>
    <m/>
    <m/>
    <m/>
    <m/>
    <m/>
    <m/>
    <m/>
    <m/>
    <s v="São Manoel"/>
  </r>
  <r>
    <d v="2026-08-03T00:00:00"/>
    <s v="segunda-feira"/>
    <d v="2026-08-03T00:00:00"/>
    <m/>
    <x v="0"/>
    <m/>
    <m/>
    <m/>
    <m/>
    <m/>
    <m/>
    <m/>
    <m/>
    <m/>
    <m/>
    <s v="São Manoel"/>
  </r>
  <r>
    <d v="2026-08-04T00:00:00"/>
    <s v="terça-feira"/>
    <d v="2026-08-04T00:00:00"/>
    <m/>
    <x v="0"/>
    <m/>
    <m/>
    <m/>
    <m/>
    <m/>
    <m/>
    <m/>
    <m/>
    <m/>
    <m/>
    <s v="São Manoel"/>
  </r>
  <r>
    <d v="2026-08-05T00:00:00"/>
    <s v="quarta-feira"/>
    <d v="2026-08-05T00:00:00"/>
    <m/>
    <x v="0"/>
    <m/>
    <m/>
    <m/>
    <m/>
    <m/>
    <m/>
    <m/>
    <m/>
    <m/>
    <m/>
    <s v="São Manoel"/>
  </r>
  <r>
    <d v="2026-08-06T00:00:00"/>
    <s v="quinta-feira"/>
    <d v="2026-08-06T00:00:00"/>
    <m/>
    <x v="0"/>
    <m/>
    <m/>
    <m/>
    <m/>
    <m/>
    <m/>
    <m/>
    <m/>
    <m/>
    <m/>
    <s v="São Manoel"/>
  </r>
  <r>
    <d v="2026-08-07T00:00:00"/>
    <s v="sexta-feira"/>
    <d v="2026-08-07T00:00:00"/>
    <m/>
    <x v="0"/>
    <m/>
    <m/>
    <m/>
    <m/>
    <m/>
    <m/>
    <m/>
    <m/>
    <m/>
    <m/>
    <s v="São Manoel"/>
  </r>
  <r>
    <d v="2026-08-08T00:00:00"/>
    <s v="sábado"/>
    <d v="2026-08-08T00:00:00"/>
    <s v="NÃO"/>
    <x v="0"/>
    <m/>
    <m/>
    <m/>
    <m/>
    <m/>
    <m/>
    <m/>
    <m/>
    <m/>
    <m/>
    <s v="São Manoel"/>
  </r>
  <r>
    <d v="2026-08-09T00:00:00"/>
    <s v="domingo"/>
    <d v="2026-08-09T00:00:00"/>
    <s v="NÃO"/>
    <x v="0"/>
    <m/>
    <m/>
    <m/>
    <m/>
    <m/>
    <m/>
    <m/>
    <m/>
    <m/>
    <m/>
    <s v="São Manoel"/>
  </r>
  <r>
    <d v="2026-08-10T00:00:00"/>
    <s v="segunda-feira"/>
    <d v="2026-08-10T00:00:00"/>
    <m/>
    <x v="0"/>
    <m/>
    <m/>
    <m/>
    <m/>
    <m/>
    <m/>
    <m/>
    <m/>
    <m/>
    <m/>
    <s v="São Manoel"/>
  </r>
  <r>
    <d v="2026-08-11T00:00:00"/>
    <s v="terça-feira"/>
    <d v="2026-08-11T00:00:00"/>
    <m/>
    <x v="0"/>
    <m/>
    <m/>
    <m/>
    <m/>
    <m/>
    <m/>
    <m/>
    <m/>
    <m/>
    <m/>
    <s v="São Manoel"/>
  </r>
  <r>
    <d v="2026-08-12T00:00:00"/>
    <s v="quarta-feira"/>
    <d v="2026-08-12T00:00:00"/>
    <m/>
    <x v="0"/>
    <m/>
    <m/>
    <m/>
    <m/>
    <m/>
    <m/>
    <m/>
    <m/>
    <m/>
    <m/>
    <s v="São Manoel"/>
  </r>
  <r>
    <d v="2026-08-13T00:00:00"/>
    <s v="quinta-feira"/>
    <d v="2026-08-13T00:00:00"/>
    <m/>
    <x v="0"/>
    <m/>
    <m/>
    <m/>
    <m/>
    <m/>
    <m/>
    <m/>
    <m/>
    <m/>
    <m/>
    <s v="São Manoel"/>
  </r>
  <r>
    <d v="2026-08-14T00:00:00"/>
    <s v="sexta-feira"/>
    <d v="2026-08-14T00:00:00"/>
    <m/>
    <x v="0"/>
    <m/>
    <m/>
    <m/>
    <m/>
    <m/>
    <m/>
    <m/>
    <m/>
    <m/>
    <m/>
    <s v="São Manoel"/>
  </r>
  <r>
    <d v="2026-08-15T00:00:00"/>
    <s v="sábado"/>
    <d v="2026-08-15T00:00:00"/>
    <s v="NÃO"/>
    <x v="0"/>
    <m/>
    <m/>
    <m/>
    <m/>
    <m/>
    <m/>
    <m/>
    <m/>
    <m/>
    <m/>
    <s v="São Manoel"/>
  </r>
  <r>
    <d v="2026-08-16T00:00:00"/>
    <s v="domingo"/>
    <d v="2026-08-16T00:00:00"/>
    <s v="NÃO"/>
    <x v="0"/>
    <m/>
    <m/>
    <m/>
    <m/>
    <m/>
    <m/>
    <m/>
    <m/>
    <m/>
    <m/>
    <s v="São Manoel"/>
  </r>
  <r>
    <d v="2026-08-17T00:00:00"/>
    <s v="segunda-feira"/>
    <d v="2026-08-17T00:00:00"/>
    <m/>
    <x v="0"/>
    <m/>
    <m/>
    <m/>
    <m/>
    <m/>
    <m/>
    <m/>
    <m/>
    <m/>
    <m/>
    <s v="São Manoel"/>
  </r>
  <r>
    <d v="2026-08-18T00:00:00"/>
    <s v="terça-feira"/>
    <d v="2026-08-18T00:00:00"/>
    <m/>
    <x v="0"/>
    <m/>
    <m/>
    <m/>
    <m/>
    <m/>
    <m/>
    <m/>
    <m/>
    <m/>
    <m/>
    <s v="São Manoel"/>
  </r>
  <r>
    <d v="2026-08-19T00:00:00"/>
    <s v="quarta-feira"/>
    <d v="2026-08-19T00:00:00"/>
    <m/>
    <x v="0"/>
    <m/>
    <m/>
    <m/>
    <m/>
    <m/>
    <m/>
    <m/>
    <m/>
    <m/>
    <m/>
    <s v="São Manoel"/>
  </r>
  <r>
    <d v="2026-08-20T00:00:00"/>
    <s v="quinta-feira"/>
    <d v="2026-08-20T00:00:00"/>
    <m/>
    <x v="0"/>
    <m/>
    <m/>
    <m/>
    <m/>
    <m/>
    <m/>
    <m/>
    <m/>
    <m/>
    <m/>
    <s v="São Manoel"/>
  </r>
  <r>
    <d v="2026-08-21T00:00:00"/>
    <s v="sexta-feira"/>
    <d v="2026-08-21T00:00:00"/>
    <m/>
    <x v="0"/>
    <m/>
    <m/>
    <m/>
    <m/>
    <m/>
    <m/>
    <m/>
    <m/>
    <m/>
    <m/>
    <s v="São Manoel"/>
  </r>
  <r>
    <d v="2026-08-22T00:00:00"/>
    <s v="sábado"/>
    <d v="2026-08-22T00:00:00"/>
    <s v="NÃO"/>
    <x v="0"/>
    <m/>
    <m/>
    <m/>
    <m/>
    <m/>
    <m/>
    <m/>
    <m/>
    <m/>
    <m/>
    <s v="São Manoel"/>
  </r>
  <r>
    <d v="2026-08-23T00:00:00"/>
    <s v="domingo"/>
    <d v="2026-08-23T00:00:00"/>
    <s v="NÃO"/>
    <x v="0"/>
    <m/>
    <m/>
    <m/>
    <m/>
    <m/>
    <m/>
    <m/>
    <m/>
    <m/>
    <m/>
    <s v="São Manoel"/>
  </r>
  <r>
    <d v="2026-08-24T00:00:00"/>
    <s v="segunda-feira"/>
    <d v="2026-08-24T00:00:00"/>
    <m/>
    <x v="0"/>
    <m/>
    <m/>
    <m/>
    <m/>
    <m/>
    <m/>
    <m/>
    <m/>
    <m/>
    <m/>
    <s v="São Manoel"/>
  </r>
  <r>
    <d v="2026-08-25T00:00:00"/>
    <s v="terça-feira"/>
    <d v="2026-08-25T00:00:00"/>
    <m/>
    <x v="0"/>
    <m/>
    <m/>
    <m/>
    <m/>
    <m/>
    <m/>
    <m/>
    <m/>
    <m/>
    <m/>
    <s v="São Manoel"/>
  </r>
  <r>
    <d v="2026-08-26T00:00:00"/>
    <s v="quarta-feira"/>
    <d v="2026-08-26T00:00:00"/>
    <m/>
    <x v="0"/>
    <m/>
    <m/>
    <m/>
    <m/>
    <m/>
    <m/>
    <m/>
    <m/>
    <m/>
    <m/>
    <s v="São Manoel"/>
  </r>
  <r>
    <d v="2026-08-27T00:00:00"/>
    <s v="quinta-feira"/>
    <d v="2026-08-27T00:00:00"/>
    <m/>
    <x v="0"/>
    <m/>
    <m/>
    <m/>
    <m/>
    <m/>
    <m/>
    <m/>
    <m/>
    <m/>
    <m/>
    <s v="São Manoel"/>
  </r>
  <r>
    <d v="2026-08-28T00:00:00"/>
    <s v="sexta-feira"/>
    <d v="2026-08-28T00:00:00"/>
    <m/>
    <x v="0"/>
    <m/>
    <m/>
    <m/>
    <m/>
    <m/>
    <m/>
    <m/>
    <m/>
    <m/>
    <m/>
    <s v="São Manoel"/>
  </r>
  <r>
    <d v="2026-08-29T00:00:00"/>
    <s v="sábado"/>
    <d v="2026-08-29T00:00:00"/>
    <s v="NÃO"/>
    <x v="0"/>
    <m/>
    <m/>
    <m/>
    <m/>
    <m/>
    <m/>
    <m/>
    <m/>
    <m/>
    <m/>
    <s v="São Manoel"/>
  </r>
  <r>
    <d v="2026-08-30T00:00:00"/>
    <s v="domingo"/>
    <d v="2026-08-30T00:00:00"/>
    <s v="NÃO"/>
    <x v="0"/>
    <m/>
    <m/>
    <m/>
    <m/>
    <m/>
    <m/>
    <m/>
    <m/>
    <m/>
    <m/>
    <s v="São Manoel"/>
  </r>
  <r>
    <d v="2026-08-31T00:00:00"/>
    <s v="segunda-feira"/>
    <d v="2026-08-31T00:00:00"/>
    <m/>
    <x v="0"/>
    <m/>
    <m/>
    <m/>
    <m/>
    <m/>
    <m/>
    <m/>
    <m/>
    <m/>
    <m/>
    <s v="São Manoel"/>
  </r>
  <r>
    <d v="2026-09-01T00:00:00"/>
    <s v="terça-feira"/>
    <d v="2026-09-01T00:00:00"/>
    <m/>
    <x v="0"/>
    <m/>
    <m/>
    <m/>
    <m/>
    <m/>
    <m/>
    <m/>
    <m/>
    <m/>
    <m/>
    <s v="São Manoel"/>
  </r>
  <r>
    <d v="2026-09-02T00:00:00"/>
    <s v="quarta-feira"/>
    <d v="2026-09-02T00:00:00"/>
    <m/>
    <x v="0"/>
    <m/>
    <m/>
    <m/>
    <m/>
    <m/>
    <m/>
    <m/>
    <m/>
    <m/>
    <m/>
    <s v="São Manoel"/>
  </r>
  <r>
    <d v="2026-09-03T00:00:00"/>
    <s v="quinta-feira"/>
    <d v="2026-09-03T00:00:00"/>
    <m/>
    <x v="0"/>
    <m/>
    <m/>
    <m/>
    <m/>
    <m/>
    <m/>
    <m/>
    <m/>
    <m/>
    <m/>
    <s v="São Manoel"/>
  </r>
  <r>
    <d v="2026-09-04T00:00:00"/>
    <s v="sexta-feira"/>
    <d v="2026-09-04T00:00:00"/>
    <m/>
    <x v="0"/>
    <m/>
    <m/>
    <m/>
    <m/>
    <m/>
    <m/>
    <m/>
    <m/>
    <m/>
    <m/>
    <s v="São Manoel"/>
  </r>
  <r>
    <d v="2026-09-05T00:00:00"/>
    <s v="sábado"/>
    <d v="2026-09-05T00:00:00"/>
    <s v="NÃO"/>
    <x v="0"/>
    <m/>
    <m/>
    <m/>
    <m/>
    <m/>
    <m/>
    <m/>
    <m/>
    <m/>
    <m/>
    <s v="São Manoel"/>
  </r>
  <r>
    <d v="2026-09-06T00:00:00"/>
    <s v="domingo"/>
    <d v="2026-09-06T00:00:00"/>
    <s v="NÃO"/>
    <x v="0"/>
    <m/>
    <m/>
    <m/>
    <m/>
    <m/>
    <m/>
    <m/>
    <m/>
    <m/>
    <m/>
    <s v="São Manoel"/>
  </r>
  <r>
    <d v="2026-09-07T00:00:00"/>
    <s v="segunda-feira"/>
    <d v="2026-09-07T00:00:00"/>
    <m/>
    <x v="0"/>
    <m/>
    <m/>
    <m/>
    <m/>
    <m/>
    <m/>
    <m/>
    <m/>
    <m/>
    <m/>
    <s v="São Manoel"/>
  </r>
  <r>
    <d v="2026-09-08T00:00:00"/>
    <s v="terça-feira"/>
    <d v="2026-09-08T00:00:00"/>
    <m/>
    <x v="0"/>
    <m/>
    <m/>
    <m/>
    <m/>
    <m/>
    <m/>
    <m/>
    <m/>
    <m/>
    <m/>
    <s v="São Manoel"/>
  </r>
  <r>
    <d v="2026-09-09T00:00:00"/>
    <s v="quarta-feira"/>
    <d v="2026-09-09T00:00:00"/>
    <m/>
    <x v="0"/>
    <m/>
    <m/>
    <m/>
    <m/>
    <m/>
    <m/>
    <m/>
    <m/>
    <m/>
    <m/>
    <s v="São Manoel"/>
  </r>
  <r>
    <d v="2026-09-10T00:00:00"/>
    <s v="quinta-feira"/>
    <d v="2026-09-10T00:00:00"/>
    <m/>
    <x v="0"/>
    <m/>
    <m/>
    <m/>
    <m/>
    <m/>
    <m/>
    <m/>
    <m/>
    <m/>
    <m/>
    <s v="São Manoel"/>
  </r>
  <r>
    <d v="2026-09-11T00:00:00"/>
    <s v="sexta-feira"/>
    <d v="2026-09-11T00:00:00"/>
    <m/>
    <x v="0"/>
    <m/>
    <m/>
    <m/>
    <m/>
    <m/>
    <m/>
    <m/>
    <m/>
    <m/>
    <m/>
    <s v="São Manoel"/>
  </r>
  <r>
    <d v="2026-09-12T00:00:00"/>
    <s v="sábado"/>
    <d v="2026-09-12T00:00:00"/>
    <s v="NÃO"/>
    <x v="0"/>
    <m/>
    <m/>
    <m/>
    <m/>
    <m/>
    <m/>
    <m/>
    <m/>
    <m/>
    <m/>
    <s v="São Manoel"/>
  </r>
  <r>
    <d v="2026-09-13T00:00:00"/>
    <s v="domingo"/>
    <d v="2026-09-13T00:00:00"/>
    <s v="NÃO"/>
    <x v="0"/>
    <m/>
    <m/>
    <m/>
    <m/>
    <m/>
    <m/>
    <m/>
    <m/>
    <m/>
    <m/>
    <s v="São Manoel"/>
  </r>
  <r>
    <d v="2026-09-14T00:00:00"/>
    <s v="segunda-feira"/>
    <d v="2026-09-14T00:00:00"/>
    <m/>
    <x v="0"/>
    <m/>
    <m/>
    <m/>
    <m/>
    <m/>
    <m/>
    <m/>
    <m/>
    <m/>
    <m/>
    <s v="São Manoel"/>
  </r>
  <r>
    <d v="2026-09-15T00:00:00"/>
    <s v="terça-feira"/>
    <d v="2026-09-15T00:00:00"/>
    <m/>
    <x v="0"/>
    <m/>
    <m/>
    <m/>
    <m/>
    <m/>
    <m/>
    <m/>
    <m/>
    <m/>
    <m/>
    <s v="São Manoel"/>
  </r>
  <r>
    <d v="2026-09-16T00:00:00"/>
    <s v="quarta-feira"/>
    <d v="2026-09-16T00:00:00"/>
    <m/>
    <x v="0"/>
    <m/>
    <m/>
    <m/>
    <m/>
    <m/>
    <m/>
    <m/>
    <m/>
    <m/>
    <m/>
    <s v="São Manoel"/>
  </r>
  <r>
    <d v="2026-09-17T00:00:00"/>
    <s v="quinta-feira"/>
    <d v="2026-09-17T00:00:00"/>
    <m/>
    <x v="0"/>
    <m/>
    <m/>
    <m/>
    <m/>
    <m/>
    <m/>
    <m/>
    <m/>
    <m/>
    <m/>
    <s v="São Manoel"/>
  </r>
  <r>
    <d v="2026-09-18T00:00:00"/>
    <s v="sexta-feira"/>
    <d v="2026-09-18T00:00:00"/>
    <m/>
    <x v="0"/>
    <m/>
    <m/>
    <m/>
    <m/>
    <m/>
    <m/>
    <m/>
    <m/>
    <m/>
    <m/>
    <s v="São Manoel"/>
  </r>
  <r>
    <d v="2026-09-19T00:00:00"/>
    <s v="sábado"/>
    <d v="2026-09-19T00:00:00"/>
    <s v="NÃO"/>
    <x v="0"/>
    <m/>
    <m/>
    <m/>
    <m/>
    <m/>
    <m/>
    <m/>
    <m/>
    <m/>
    <m/>
    <s v="São Manoel"/>
  </r>
  <r>
    <d v="2026-09-20T00:00:00"/>
    <s v="domingo"/>
    <d v="2026-09-20T00:00:00"/>
    <s v="NÃO"/>
    <x v="0"/>
    <m/>
    <m/>
    <m/>
    <m/>
    <m/>
    <m/>
    <m/>
    <m/>
    <m/>
    <m/>
    <s v="São Manoel"/>
  </r>
  <r>
    <d v="2026-09-21T00:00:00"/>
    <s v="segunda-feira"/>
    <d v="2026-09-21T00:00:00"/>
    <m/>
    <x v="0"/>
    <m/>
    <m/>
    <m/>
    <m/>
    <m/>
    <m/>
    <m/>
    <m/>
    <m/>
    <m/>
    <s v="São Manoel"/>
  </r>
  <r>
    <d v="2026-09-22T00:00:00"/>
    <s v="terça-feira"/>
    <d v="2026-09-22T00:00:00"/>
    <m/>
    <x v="0"/>
    <m/>
    <m/>
    <m/>
    <m/>
    <m/>
    <m/>
    <m/>
    <m/>
    <m/>
    <m/>
    <s v="São Manoel"/>
  </r>
  <r>
    <d v="2026-09-23T00:00:00"/>
    <s v="quarta-feira"/>
    <d v="2026-09-23T00:00:00"/>
    <m/>
    <x v="0"/>
    <m/>
    <m/>
    <m/>
    <m/>
    <m/>
    <m/>
    <m/>
    <m/>
    <m/>
    <m/>
    <s v="São Manoel"/>
  </r>
  <r>
    <d v="2026-09-24T00:00:00"/>
    <s v="quinta-feira"/>
    <d v="2026-09-24T00:00:00"/>
    <m/>
    <x v="0"/>
    <m/>
    <m/>
    <m/>
    <m/>
    <m/>
    <m/>
    <m/>
    <m/>
    <m/>
    <m/>
    <s v="São Manoel"/>
  </r>
  <r>
    <d v="2026-09-25T00:00:00"/>
    <s v="sexta-feira"/>
    <d v="2026-09-25T00:00:00"/>
    <m/>
    <x v="0"/>
    <m/>
    <m/>
    <m/>
    <m/>
    <m/>
    <m/>
    <m/>
    <m/>
    <m/>
    <m/>
    <s v="São Manoel"/>
  </r>
  <r>
    <d v="2026-09-26T00:00:00"/>
    <s v="sábado"/>
    <d v="2026-09-26T00:00:00"/>
    <s v="NÃO"/>
    <x v="0"/>
    <m/>
    <m/>
    <m/>
    <m/>
    <m/>
    <m/>
    <m/>
    <m/>
    <m/>
    <m/>
    <s v="São Manoel"/>
  </r>
  <r>
    <d v="2026-09-27T00:00:00"/>
    <s v="domingo"/>
    <d v="2026-09-27T00:00:00"/>
    <s v="NÃO"/>
    <x v="0"/>
    <m/>
    <m/>
    <m/>
    <m/>
    <m/>
    <m/>
    <m/>
    <m/>
    <m/>
    <m/>
    <s v="São Manoel"/>
  </r>
  <r>
    <d v="2026-09-28T00:00:00"/>
    <s v="segunda-feira"/>
    <d v="2026-09-28T00:00:00"/>
    <m/>
    <x v="0"/>
    <m/>
    <m/>
    <m/>
    <m/>
    <m/>
    <m/>
    <m/>
    <m/>
    <m/>
    <m/>
    <s v="São Manoel"/>
  </r>
  <r>
    <d v="2026-09-29T00:00:00"/>
    <s v="terça-feira"/>
    <d v="2026-09-29T00:00:00"/>
    <m/>
    <x v="0"/>
    <m/>
    <m/>
    <m/>
    <m/>
    <m/>
    <m/>
    <m/>
    <m/>
    <m/>
    <m/>
    <s v="São Manoel"/>
  </r>
  <r>
    <d v="2026-09-30T00:00:00"/>
    <s v="quarta-feira"/>
    <d v="2026-09-30T00:00:00"/>
    <m/>
    <x v="0"/>
    <m/>
    <m/>
    <m/>
    <m/>
    <m/>
    <m/>
    <m/>
    <m/>
    <m/>
    <m/>
    <s v="São Manoel"/>
  </r>
  <r>
    <d v="2026-10-01T00:00:00"/>
    <s v="quinta-feira"/>
    <d v="2026-10-01T00:00:00"/>
    <m/>
    <x v="0"/>
    <m/>
    <m/>
    <m/>
    <m/>
    <m/>
    <m/>
    <m/>
    <m/>
    <m/>
    <m/>
    <s v="São Manoel"/>
  </r>
  <r>
    <d v="2026-10-02T00:00:00"/>
    <s v="sexta-feira"/>
    <d v="2026-10-02T00:00:00"/>
    <m/>
    <x v="0"/>
    <m/>
    <m/>
    <m/>
    <m/>
    <m/>
    <m/>
    <m/>
    <m/>
    <m/>
    <m/>
    <s v="São Manoel"/>
  </r>
  <r>
    <d v="2026-10-03T00:00:00"/>
    <s v="sábado"/>
    <d v="2026-10-03T00:00:00"/>
    <s v="NÃO"/>
    <x v="0"/>
    <m/>
    <m/>
    <m/>
    <m/>
    <m/>
    <m/>
    <m/>
    <m/>
    <m/>
    <m/>
    <s v="São Manoel"/>
  </r>
  <r>
    <d v="2026-10-04T00:00:00"/>
    <s v="domingo"/>
    <d v="2026-10-04T00:00:00"/>
    <s v="NÃO"/>
    <x v="0"/>
    <m/>
    <m/>
    <m/>
    <m/>
    <m/>
    <m/>
    <m/>
    <m/>
    <m/>
    <m/>
    <s v="São Manoel"/>
  </r>
  <r>
    <d v="2026-10-05T00:00:00"/>
    <s v="segunda-feira"/>
    <d v="2026-10-05T00:00:00"/>
    <m/>
    <x v="0"/>
    <m/>
    <m/>
    <m/>
    <m/>
    <m/>
    <m/>
    <m/>
    <m/>
    <m/>
    <m/>
    <s v="São Manoel"/>
  </r>
  <r>
    <d v="2026-10-06T00:00:00"/>
    <s v="terça-feira"/>
    <d v="2026-10-06T00:00:00"/>
    <m/>
    <x v="0"/>
    <m/>
    <m/>
    <m/>
    <m/>
    <m/>
    <m/>
    <m/>
    <m/>
    <m/>
    <m/>
    <s v="São Manoel"/>
  </r>
  <r>
    <d v="2026-10-07T00:00:00"/>
    <s v="quarta-feira"/>
    <d v="2026-10-07T00:00:00"/>
    <m/>
    <x v="0"/>
    <m/>
    <m/>
    <m/>
    <m/>
    <m/>
    <m/>
    <m/>
    <m/>
    <m/>
    <m/>
    <s v="São Manoel"/>
  </r>
  <r>
    <d v="2026-10-08T00:00:00"/>
    <s v="quinta-feira"/>
    <d v="2026-10-08T00:00:00"/>
    <m/>
    <x v="0"/>
    <m/>
    <m/>
    <m/>
    <m/>
    <m/>
    <m/>
    <m/>
    <m/>
    <m/>
    <m/>
    <s v="São Manoel"/>
  </r>
  <r>
    <d v="2026-10-09T00:00:00"/>
    <s v="sexta-feira"/>
    <d v="2026-10-09T00:00:00"/>
    <m/>
    <x v="0"/>
    <m/>
    <m/>
    <m/>
    <m/>
    <m/>
    <m/>
    <m/>
    <m/>
    <m/>
    <m/>
    <s v="São Manoel"/>
  </r>
  <r>
    <d v="2026-10-10T00:00:00"/>
    <s v="sábado"/>
    <d v="2026-10-10T00:00:00"/>
    <s v="NÃO"/>
    <x v="0"/>
    <m/>
    <m/>
    <m/>
    <m/>
    <m/>
    <m/>
    <m/>
    <m/>
    <m/>
    <m/>
    <s v="São Manoel"/>
  </r>
  <r>
    <d v="2026-10-11T00:00:00"/>
    <s v="domingo"/>
    <d v="2026-10-11T00:00:00"/>
    <s v="NÃO"/>
    <x v="0"/>
    <m/>
    <m/>
    <m/>
    <m/>
    <m/>
    <m/>
    <m/>
    <m/>
    <m/>
    <m/>
    <s v="São Manoel"/>
  </r>
  <r>
    <d v="2026-10-12T00:00:00"/>
    <s v="segunda-feira"/>
    <d v="2026-10-12T00:00:00"/>
    <m/>
    <x v="0"/>
    <m/>
    <m/>
    <m/>
    <m/>
    <m/>
    <m/>
    <m/>
    <m/>
    <m/>
    <m/>
    <s v="São Manoel"/>
  </r>
  <r>
    <d v="2026-10-13T00:00:00"/>
    <s v="terça-feira"/>
    <d v="2026-10-13T00:00:00"/>
    <m/>
    <x v="0"/>
    <m/>
    <m/>
    <m/>
    <m/>
    <m/>
    <m/>
    <m/>
    <m/>
    <m/>
    <m/>
    <s v="São Manoel"/>
  </r>
  <r>
    <d v="2026-10-14T00:00:00"/>
    <s v="quarta-feira"/>
    <d v="2026-10-14T00:00:00"/>
    <m/>
    <x v="0"/>
    <m/>
    <m/>
    <m/>
    <m/>
    <m/>
    <m/>
    <m/>
    <m/>
    <m/>
    <m/>
    <s v="São Manoel"/>
  </r>
  <r>
    <d v="2026-10-15T00:00:00"/>
    <s v="quinta-feira"/>
    <d v="2026-10-15T00:00:00"/>
    <m/>
    <x v="0"/>
    <m/>
    <m/>
    <m/>
    <m/>
    <m/>
    <m/>
    <m/>
    <m/>
    <m/>
    <m/>
    <s v="São Manoel"/>
  </r>
  <r>
    <d v="2026-10-16T00:00:00"/>
    <s v="sexta-feira"/>
    <d v="2026-10-16T00:00:00"/>
    <m/>
    <x v="0"/>
    <m/>
    <m/>
    <m/>
    <m/>
    <m/>
    <m/>
    <m/>
    <m/>
    <m/>
    <m/>
    <s v="São Manoel"/>
  </r>
  <r>
    <d v="2026-10-17T00:00:00"/>
    <s v="sábado"/>
    <d v="2026-10-17T00:00:00"/>
    <s v="NÃO"/>
    <x v="0"/>
    <m/>
    <m/>
    <m/>
    <m/>
    <m/>
    <m/>
    <m/>
    <m/>
    <m/>
    <m/>
    <s v="São Manoel"/>
  </r>
  <r>
    <d v="2026-10-18T00:00:00"/>
    <s v="domingo"/>
    <d v="2026-10-18T00:00:00"/>
    <s v="NÃO"/>
    <x v="0"/>
    <m/>
    <m/>
    <m/>
    <m/>
    <m/>
    <m/>
    <m/>
    <m/>
    <m/>
    <m/>
    <s v="São Manoel"/>
  </r>
  <r>
    <d v="2026-10-19T00:00:00"/>
    <s v="segunda-feira"/>
    <d v="2026-10-19T00:00:00"/>
    <m/>
    <x v="0"/>
    <m/>
    <m/>
    <m/>
    <m/>
    <m/>
    <m/>
    <m/>
    <m/>
    <m/>
    <m/>
    <s v="São Manoel"/>
  </r>
  <r>
    <d v="2026-10-20T00:00:00"/>
    <s v="terça-feira"/>
    <d v="2026-10-20T00:00:00"/>
    <m/>
    <x v="0"/>
    <m/>
    <m/>
    <m/>
    <m/>
    <m/>
    <m/>
    <m/>
    <m/>
    <m/>
    <m/>
    <s v="São Manoel"/>
  </r>
  <r>
    <d v="2026-10-21T00:00:00"/>
    <s v="quarta-feira"/>
    <d v="2026-10-21T00:00:00"/>
    <m/>
    <x v="0"/>
    <m/>
    <m/>
    <m/>
    <m/>
    <m/>
    <m/>
    <m/>
    <m/>
    <m/>
    <m/>
    <s v="São Manoel"/>
  </r>
  <r>
    <d v="2026-10-22T00:00:00"/>
    <s v="quinta-feira"/>
    <d v="2026-10-22T00:00:00"/>
    <m/>
    <x v="0"/>
    <m/>
    <m/>
    <m/>
    <m/>
    <m/>
    <m/>
    <m/>
    <m/>
    <m/>
    <m/>
    <s v="São Manoel"/>
  </r>
  <r>
    <d v="2026-10-23T00:00:00"/>
    <s v="sexta-feira"/>
    <d v="2026-10-23T00:00:00"/>
    <m/>
    <x v="0"/>
    <m/>
    <m/>
    <m/>
    <m/>
    <m/>
    <m/>
    <m/>
    <m/>
    <m/>
    <m/>
    <s v="São Manoel"/>
  </r>
  <r>
    <d v="2026-10-24T00:00:00"/>
    <s v="sábado"/>
    <d v="2026-10-24T00:00:00"/>
    <s v="NÃO"/>
    <x v="0"/>
    <m/>
    <m/>
    <m/>
    <m/>
    <m/>
    <m/>
    <m/>
    <m/>
    <m/>
    <m/>
    <s v="São Manoel"/>
  </r>
  <r>
    <d v="2026-10-25T00:00:00"/>
    <s v="domingo"/>
    <d v="2026-10-25T00:00:00"/>
    <s v="NÃO"/>
    <x v="0"/>
    <m/>
    <m/>
    <m/>
    <m/>
    <m/>
    <m/>
    <m/>
    <m/>
    <m/>
    <m/>
    <s v="São Manoel"/>
  </r>
  <r>
    <d v="2026-10-26T00:00:00"/>
    <s v="segunda-feira"/>
    <d v="2026-10-26T00:00:00"/>
    <m/>
    <x v="0"/>
    <m/>
    <m/>
    <m/>
    <m/>
    <m/>
    <m/>
    <m/>
    <m/>
    <m/>
    <m/>
    <s v="São Manoel"/>
  </r>
  <r>
    <d v="2026-10-27T00:00:00"/>
    <s v="terça-feira"/>
    <d v="2026-10-27T00:00:00"/>
    <m/>
    <x v="0"/>
    <m/>
    <m/>
    <m/>
    <m/>
    <m/>
    <m/>
    <m/>
    <m/>
    <m/>
    <m/>
    <s v="São Manoel"/>
  </r>
  <r>
    <d v="2026-10-28T00:00:00"/>
    <s v="quarta-feira"/>
    <d v="2026-10-28T00:00:00"/>
    <m/>
    <x v="0"/>
    <m/>
    <m/>
    <m/>
    <m/>
    <m/>
    <m/>
    <m/>
    <m/>
    <m/>
    <m/>
    <s v="São Manoel"/>
  </r>
  <r>
    <d v="2026-10-29T00:00:00"/>
    <s v="quinta-feira"/>
    <d v="2026-10-29T00:00:00"/>
    <m/>
    <x v="0"/>
    <m/>
    <m/>
    <m/>
    <m/>
    <m/>
    <m/>
    <m/>
    <m/>
    <m/>
    <m/>
    <s v="São Manoel"/>
  </r>
  <r>
    <d v="2026-10-30T00:00:00"/>
    <s v="sexta-feira"/>
    <d v="2026-10-30T00:00:00"/>
    <m/>
    <x v="0"/>
    <m/>
    <m/>
    <m/>
    <m/>
    <m/>
    <m/>
    <m/>
    <m/>
    <m/>
    <m/>
    <s v="São Manoel"/>
  </r>
  <r>
    <d v="2026-10-31T00:00:00"/>
    <s v="sábado"/>
    <d v="2026-10-31T00:00:00"/>
    <s v="NÃO"/>
    <x v="0"/>
    <m/>
    <m/>
    <m/>
    <m/>
    <m/>
    <m/>
    <m/>
    <m/>
    <m/>
    <m/>
    <s v="São Manoel"/>
  </r>
  <r>
    <d v="2026-11-01T00:00:00"/>
    <s v="domingo"/>
    <d v="2026-11-01T00:00:00"/>
    <s v="NÃO"/>
    <x v="0"/>
    <m/>
    <m/>
    <m/>
    <m/>
    <m/>
    <m/>
    <m/>
    <m/>
    <m/>
    <m/>
    <s v="São Manoel"/>
  </r>
  <r>
    <d v="2026-11-02T00:00:00"/>
    <s v="segunda-feira"/>
    <d v="2026-11-02T00:00:00"/>
    <m/>
    <x v="0"/>
    <m/>
    <m/>
    <m/>
    <m/>
    <m/>
    <m/>
    <m/>
    <m/>
    <m/>
    <m/>
    <s v="São Manoel"/>
  </r>
  <r>
    <d v="2026-11-03T00:00:00"/>
    <s v="terça-feira"/>
    <d v="2026-11-03T00:00:00"/>
    <m/>
    <x v="0"/>
    <m/>
    <m/>
    <m/>
    <m/>
    <m/>
    <m/>
    <m/>
    <m/>
    <m/>
    <m/>
    <s v="São Manoel"/>
  </r>
  <r>
    <d v="2026-11-04T00:00:00"/>
    <s v="quarta-feira"/>
    <d v="2026-11-04T00:00:00"/>
    <m/>
    <x v="0"/>
    <m/>
    <m/>
    <m/>
    <m/>
    <m/>
    <m/>
    <m/>
    <m/>
    <m/>
    <m/>
    <s v="São Manoel"/>
  </r>
  <r>
    <d v="2026-11-05T00:00:00"/>
    <s v="quinta-feira"/>
    <d v="2026-11-05T00:00:00"/>
    <m/>
    <x v="0"/>
    <m/>
    <m/>
    <m/>
    <m/>
    <m/>
    <m/>
    <m/>
    <m/>
    <m/>
    <m/>
    <s v="São Manoel"/>
  </r>
  <r>
    <d v="2026-11-06T00:00:00"/>
    <s v="sexta-feira"/>
    <d v="2026-11-06T00:00:00"/>
    <m/>
    <x v="0"/>
    <m/>
    <m/>
    <m/>
    <m/>
    <m/>
    <m/>
    <m/>
    <m/>
    <m/>
    <m/>
    <s v="São Manoel"/>
  </r>
  <r>
    <d v="2026-11-07T00:00:00"/>
    <s v="sábado"/>
    <d v="2026-11-07T00:00:00"/>
    <s v="NÃO"/>
    <x v="0"/>
    <m/>
    <m/>
    <m/>
    <m/>
    <m/>
    <m/>
    <m/>
    <m/>
    <m/>
    <m/>
    <s v="São Manoel"/>
  </r>
  <r>
    <d v="2026-11-08T00:00:00"/>
    <s v="domingo"/>
    <d v="2026-11-08T00:00:00"/>
    <s v="NÃO"/>
    <x v="0"/>
    <m/>
    <m/>
    <m/>
    <m/>
    <m/>
    <m/>
    <m/>
    <m/>
    <m/>
    <m/>
    <s v="São Manoel"/>
  </r>
  <r>
    <d v="2026-11-09T00:00:00"/>
    <s v="segunda-feira"/>
    <d v="2026-11-09T00:00:00"/>
    <m/>
    <x v="0"/>
    <m/>
    <m/>
    <m/>
    <m/>
    <m/>
    <m/>
    <m/>
    <m/>
    <m/>
    <m/>
    <s v="São Manoel"/>
  </r>
  <r>
    <d v="2026-11-10T00:00:00"/>
    <s v="terça-feira"/>
    <d v="2026-11-10T00:00:00"/>
    <m/>
    <x v="0"/>
    <m/>
    <m/>
    <m/>
    <m/>
    <m/>
    <m/>
    <m/>
    <m/>
    <m/>
    <m/>
    <s v="São Manoel"/>
  </r>
  <r>
    <d v="2026-11-11T00:00:00"/>
    <s v="quarta-feira"/>
    <d v="2026-11-11T00:00:00"/>
    <m/>
    <x v="0"/>
    <m/>
    <m/>
    <m/>
    <m/>
    <m/>
    <m/>
    <m/>
    <m/>
    <m/>
    <m/>
    <s v="São Manoel"/>
  </r>
  <r>
    <d v="2026-11-12T00:00:00"/>
    <s v="quinta-feira"/>
    <d v="2026-11-12T00:00:00"/>
    <m/>
    <x v="0"/>
    <m/>
    <m/>
    <m/>
    <m/>
    <m/>
    <m/>
    <m/>
    <m/>
    <m/>
    <m/>
    <s v="São Manoel"/>
  </r>
  <r>
    <d v="2026-11-13T00:00:00"/>
    <s v="sexta-feira"/>
    <d v="2026-11-13T00:00:00"/>
    <m/>
    <x v="0"/>
    <m/>
    <m/>
    <m/>
    <m/>
    <m/>
    <m/>
    <m/>
    <m/>
    <m/>
    <m/>
    <s v="São Manoel"/>
  </r>
  <r>
    <d v="2026-11-14T00:00:00"/>
    <s v="sábado"/>
    <d v="2026-11-14T00:00:00"/>
    <s v="NÃO"/>
    <x v="0"/>
    <m/>
    <m/>
    <m/>
    <m/>
    <m/>
    <m/>
    <m/>
    <m/>
    <m/>
    <m/>
    <s v="São Manoel"/>
  </r>
  <r>
    <d v="2026-11-15T00:00:00"/>
    <s v="domingo"/>
    <d v="2026-11-15T00:00:00"/>
    <s v="NÃO"/>
    <x v="0"/>
    <m/>
    <m/>
    <m/>
    <m/>
    <m/>
    <m/>
    <m/>
    <m/>
    <m/>
    <m/>
    <s v="São Manoel"/>
  </r>
  <r>
    <d v="2026-11-16T00:00:00"/>
    <s v="segunda-feira"/>
    <d v="2026-11-16T00:00:00"/>
    <m/>
    <x v="0"/>
    <m/>
    <m/>
    <m/>
    <m/>
    <m/>
    <m/>
    <m/>
    <m/>
    <m/>
    <m/>
    <s v="São Manoel"/>
  </r>
  <r>
    <d v="2026-11-17T00:00:00"/>
    <s v="terça-feira"/>
    <d v="2026-11-17T00:00:00"/>
    <m/>
    <x v="0"/>
    <m/>
    <m/>
    <m/>
    <m/>
    <m/>
    <m/>
    <m/>
    <m/>
    <m/>
    <m/>
    <s v="São Manoel"/>
  </r>
  <r>
    <d v="2026-11-18T00:00:00"/>
    <s v="quarta-feira"/>
    <d v="2026-11-18T00:00:00"/>
    <m/>
    <x v="0"/>
    <m/>
    <m/>
    <m/>
    <m/>
    <m/>
    <m/>
    <m/>
    <m/>
    <m/>
    <m/>
    <s v="São Manoel"/>
  </r>
  <r>
    <d v="2026-11-19T00:00:00"/>
    <s v="quinta-feira"/>
    <d v="2026-11-19T00:00:00"/>
    <m/>
    <x v="0"/>
    <m/>
    <m/>
    <m/>
    <m/>
    <m/>
    <m/>
    <m/>
    <m/>
    <m/>
    <m/>
    <s v="São Manoel"/>
  </r>
  <r>
    <d v="2026-11-20T00:00:00"/>
    <s v="sexta-feira"/>
    <d v="2026-11-20T00:00:00"/>
    <m/>
    <x v="0"/>
    <m/>
    <m/>
    <m/>
    <m/>
    <m/>
    <m/>
    <m/>
    <m/>
    <m/>
    <m/>
    <s v="São Manoel"/>
  </r>
  <r>
    <d v="2026-11-21T00:00:00"/>
    <s v="sábado"/>
    <d v="2026-11-21T00:00:00"/>
    <s v="NÃO"/>
    <x v="0"/>
    <m/>
    <m/>
    <m/>
    <m/>
    <m/>
    <m/>
    <m/>
    <m/>
    <m/>
    <m/>
    <s v="São Manoel"/>
  </r>
  <r>
    <d v="2026-11-22T00:00:00"/>
    <s v="domingo"/>
    <d v="2026-11-22T00:00:00"/>
    <s v="NÃO"/>
    <x v="0"/>
    <m/>
    <m/>
    <m/>
    <m/>
    <m/>
    <m/>
    <m/>
    <m/>
    <m/>
    <m/>
    <s v="São Manoel"/>
  </r>
  <r>
    <d v="2026-11-23T00:00:00"/>
    <s v="segunda-feira"/>
    <d v="2026-11-23T00:00:00"/>
    <m/>
    <x v="0"/>
    <m/>
    <m/>
    <m/>
    <m/>
    <m/>
    <m/>
    <m/>
    <m/>
    <m/>
    <m/>
    <s v="São Manoel"/>
  </r>
  <r>
    <d v="2026-11-24T00:00:00"/>
    <s v="terça-feira"/>
    <d v="2026-11-24T00:00:00"/>
    <m/>
    <x v="0"/>
    <m/>
    <m/>
    <m/>
    <m/>
    <m/>
    <m/>
    <m/>
    <m/>
    <m/>
    <m/>
    <s v="São Manoel"/>
  </r>
  <r>
    <d v="2026-11-25T00:00:00"/>
    <s v="quarta-feira"/>
    <d v="2026-11-25T00:00:00"/>
    <m/>
    <x v="0"/>
    <m/>
    <m/>
    <m/>
    <m/>
    <m/>
    <m/>
    <m/>
    <m/>
    <m/>
    <m/>
    <s v="São Manoel"/>
  </r>
  <r>
    <d v="2026-11-26T00:00:00"/>
    <s v="quinta-feira"/>
    <d v="2026-11-26T00:00:00"/>
    <m/>
    <x v="0"/>
    <m/>
    <m/>
    <m/>
    <m/>
    <m/>
    <m/>
    <m/>
    <m/>
    <m/>
    <m/>
    <s v="São Manoel"/>
  </r>
  <r>
    <d v="2026-11-27T00:00:00"/>
    <s v="sexta-feira"/>
    <d v="2026-11-27T00:00:00"/>
    <m/>
    <x v="0"/>
    <m/>
    <m/>
    <m/>
    <m/>
    <m/>
    <m/>
    <m/>
    <m/>
    <m/>
    <m/>
    <s v="São Manoel"/>
  </r>
  <r>
    <d v="2026-11-28T00:00:00"/>
    <s v="sábado"/>
    <d v="2026-11-28T00:00:00"/>
    <s v="NÃO"/>
    <x v="0"/>
    <m/>
    <m/>
    <m/>
    <m/>
    <m/>
    <m/>
    <m/>
    <m/>
    <m/>
    <m/>
    <s v="São Manoel"/>
  </r>
  <r>
    <d v="2026-11-29T00:00:00"/>
    <s v="domingo"/>
    <d v="2026-11-29T00:00:00"/>
    <s v="NÃO"/>
    <x v="0"/>
    <m/>
    <m/>
    <m/>
    <m/>
    <m/>
    <m/>
    <m/>
    <m/>
    <m/>
    <m/>
    <s v="São Manoel"/>
  </r>
  <r>
    <d v="2026-11-30T00:00:00"/>
    <s v="segunda-feira"/>
    <d v="2026-11-30T00:00:00"/>
    <m/>
    <x v="0"/>
    <m/>
    <m/>
    <m/>
    <m/>
    <m/>
    <m/>
    <m/>
    <m/>
    <m/>
    <m/>
    <s v="São Manoel"/>
  </r>
  <r>
    <d v="2026-12-01T00:00:00"/>
    <s v="terça-feira"/>
    <d v="2026-12-01T00:00:00"/>
    <m/>
    <x v="0"/>
    <m/>
    <m/>
    <m/>
    <m/>
    <m/>
    <m/>
    <m/>
    <m/>
    <m/>
    <m/>
    <s v="São Manoel"/>
  </r>
  <r>
    <d v="2026-12-02T00:00:00"/>
    <s v="quarta-feira"/>
    <d v="2026-12-02T00:00:00"/>
    <m/>
    <x v="0"/>
    <m/>
    <m/>
    <m/>
    <m/>
    <m/>
    <m/>
    <m/>
    <m/>
    <m/>
    <m/>
    <s v="São Manoel"/>
  </r>
  <r>
    <d v="2026-12-03T00:00:00"/>
    <s v="quinta-feira"/>
    <d v="2026-12-03T00:00:00"/>
    <m/>
    <x v="0"/>
    <m/>
    <m/>
    <m/>
    <m/>
    <m/>
    <m/>
    <m/>
    <m/>
    <m/>
    <m/>
    <s v="São Manoel"/>
  </r>
  <r>
    <d v="2026-12-04T00:00:00"/>
    <s v="sexta-feira"/>
    <d v="2026-12-04T00:00:00"/>
    <m/>
    <x v="0"/>
    <m/>
    <m/>
    <m/>
    <m/>
    <m/>
    <m/>
    <m/>
    <m/>
    <m/>
    <m/>
    <s v="São Manoel"/>
  </r>
  <r>
    <d v="2026-12-05T00:00:00"/>
    <s v="sábado"/>
    <d v="2026-12-05T00:00:00"/>
    <s v="NÃO"/>
    <x v="0"/>
    <m/>
    <m/>
    <m/>
    <m/>
    <m/>
    <m/>
    <m/>
    <m/>
    <m/>
    <m/>
    <s v="São Manoel"/>
  </r>
  <r>
    <d v="2026-12-06T00:00:00"/>
    <s v="domingo"/>
    <d v="2026-12-06T00:00:00"/>
    <s v="NÃO"/>
    <x v="0"/>
    <m/>
    <m/>
    <m/>
    <m/>
    <m/>
    <m/>
    <m/>
    <m/>
    <m/>
    <m/>
    <s v="São Manoel"/>
  </r>
  <r>
    <d v="2026-12-07T00:00:00"/>
    <s v="segunda-feira"/>
    <d v="2026-12-07T00:00:00"/>
    <m/>
    <x v="0"/>
    <m/>
    <m/>
    <m/>
    <m/>
    <m/>
    <m/>
    <m/>
    <m/>
    <m/>
    <m/>
    <s v="São Manoel"/>
  </r>
  <r>
    <d v="2026-12-08T00:00:00"/>
    <s v="terça-feira"/>
    <d v="2026-12-08T00:00:00"/>
    <m/>
    <x v="0"/>
    <m/>
    <m/>
    <m/>
    <m/>
    <m/>
    <m/>
    <m/>
    <m/>
    <m/>
    <m/>
    <s v="São Manoel"/>
  </r>
  <r>
    <d v="2026-12-09T00:00:00"/>
    <s v="quarta-feira"/>
    <d v="2026-12-09T00:00:00"/>
    <m/>
    <x v="0"/>
    <m/>
    <m/>
    <m/>
    <m/>
    <m/>
    <m/>
    <m/>
    <m/>
    <m/>
    <m/>
    <s v="São Manoel"/>
  </r>
  <r>
    <d v="2026-12-10T00:00:00"/>
    <s v="quinta-feira"/>
    <d v="2026-12-10T00:00:00"/>
    <m/>
    <x v="0"/>
    <m/>
    <m/>
    <m/>
    <m/>
    <m/>
    <m/>
    <m/>
    <m/>
    <m/>
    <m/>
    <s v="São Manoel"/>
  </r>
  <r>
    <d v="2026-12-11T00:00:00"/>
    <s v="sexta-feira"/>
    <d v="2026-12-11T00:00:00"/>
    <m/>
    <x v="0"/>
    <m/>
    <m/>
    <m/>
    <m/>
    <m/>
    <m/>
    <m/>
    <m/>
    <m/>
    <m/>
    <s v="São Manoel"/>
  </r>
  <r>
    <d v="2026-12-12T00:00:00"/>
    <s v="sábado"/>
    <d v="2026-12-12T00:00:00"/>
    <s v="NÃO"/>
    <x v="0"/>
    <m/>
    <m/>
    <m/>
    <m/>
    <m/>
    <m/>
    <m/>
    <m/>
    <m/>
    <m/>
    <s v="São Manoel"/>
  </r>
  <r>
    <d v="2026-12-13T00:00:00"/>
    <s v="domingo"/>
    <d v="2026-12-13T00:00:00"/>
    <s v="NÃO"/>
    <x v="0"/>
    <m/>
    <m/>
    <m/>
    <m/>
    <m/>
    <m/>
    <m/>
    <m/>
    <m/>
    <m/>
    <s v="São Manoel"/>
  </r>
  <r>
    <d v="2026-12-14T00:00:00"/>
    <s v="segunda-feira"/>
    <d v="2026-12-14T00:00:00"/>
    <m/>
    <x v="0"/>
    <m/>
    <m/>
    <m/>
    <m/>
    <m/>
    <m/>
    <m/>
    <m/>
    <m/>
    <m/>
    <s v="São Manoel"/>
  </r>
  <r>
    <d v="2026-12-15T00:00:00"/>
    <s v="terça-feira"/>
    <d v="2026-12-15T00:00:00"/>
    <m/>
    <x v="0"/>
    <m/>
    <m/>
    <m/>
    <m/>
    <m/>
    <m/>
    <m/>
    <m/>
    <m/>
    <m/>
    <s v="São Manoel"/>
  </r>
  <r>
    <d v="2026-12-16T00:00:00"/>
    <s v="quarta-feira"/>
    <d v="2026-12-16T00:00:00"/>
    <m/>
    <x v="0"/>
    <m/>
    <m/>
    <m/>
    <m/>
    <m/>
    <m/>
    <m/>
    <m/>
    <m/>
    <m/>
    <s v="São Manoel"/>
  </r>
  <r>
    <d v="2026-12-17T00:00:00"/>
    <s v="quinta-feira"/>
    <d v="2026-12-17T00:00:00"/>
    <m/>
    <x v="0"/>
    <m/>
    <m/>
    <m/>
    <m/>
    <m/>
    <m/>
    <m/>
    <m/>
    <m/>
    <m/>
    <s v="São Manoel"/>
  </r>
  <r>
    <d v="2026-12-18T00:00:00"/>
    <s v="sexta-feira"/>
    <d v="2026-12-18T00:00:00"/>
    <m/>
    <x v="0"/>
    <m/>
    <m/>
    <m/>
    <m/>
    <m/>
    <m/>
    <m/>
    <m/>
    <m/>
    <m/>
    <s v="São Manoel"/>
  </r>
  <r>
    <d v="2026-12-19T00:00:00"/>
    <s v="sábado"/>
    <d v="2026-12-19T00:00:00"/>
    <s v="NÃO"/>
    <x v="0"/>
    <m/>
    <m/>
    <m/>
    <m/>
    <m/>
    <m/>
    <m/>
    <m/>
    <m/>
    <m/>
    <s v="São Manoel"/>
  </r>
  <r>
    <d v="2026-12-20T00:00:00"/>
    <s v="domingo"/>
    <d v="2026-12-20T00:00:00"/>
    <s v="NÃO"/>
    <x v="0"/>
    <m/>
    <m/>
    <m/>
    <m/>
    <m/>
    <m/>
    <m/>
    <m/>
    <m/>
    <m/>
    <s v="São Manoel"/>
  </r>
  <r>
    <d v="2026-12-21T00:00:00"/>
    <s v="segunda-feira"/>
    <d v="2026-12-21T00:00:00"/>
    <m/>
    <x v="0"/>
    <m/>
    <m/>
    <m/>
    <m/>
    <m/>
    <m/>
    <m/>
    <m/>
    <m/>
    <m/>
    <s v="São Manoel"/>
  </r>
  <r>
    <d v="2026-12-22T00:00:00"/>
    <s v="terça-feira"/>
    <d v="2026-12-22T00:00:00"/>
    <m/>
    <x v="0"/>
    <m/>
    <m/>
    <m/>
    <m/>
    <m/>
    <m/>
    <m/>
    <m/>
    <m/>
    <m/>
    <s v="São Manoel"/>
  </r>
  <r>
    <d v="2026-12-23T00:00:00"/>
    <s v="quarta-feira"/>
    <d v="2026-12-23T00:00:00"/>
    <m/>
    <x v="0"/>
    <m/>
    <m/>
    <m/>
    <m/>
    <m/>
    <m/>
    <m/>
    <m/>
    <m/>
    <m/>
    <s v="São Manoel"/>
  </r>
  <r>
    <d v="2026-12-24T00:00:00"/>
    <s v="quinta-feira"/>
    <d v="2026-12-24T00:00:00"/>
    <m/>
    <x v="0"/>
    <m/>
    <m/>
    <m/>
    <m/>
    <m/>
    <m/>
    <m/>
    <m/>
    <m/>
    <m/>
    <s v="São Manoel"/>
  </r>
  <r>
    <d v="2026-12-25T00:00:00"/>
    <s v="sexta-feira"/>
    <d v="2026-12-25T00:00:00"/>
    <m/>
    <x v="0"/>
    <m/>
    <m/>
    <m/>
    <m/>
    <m/>
    <m/>
    <m/>
    <m/>
    <m/>
    <m/>
    <s v="São Manoel"/>
  </r>
  <r>
    <d v="2026-12-26T00:00:00"/>
    <s v="sábado"/>
    <d v="2026-12-26T00:00:00"/>
    <s v="NÃO"/>
    <x v="0"/>
    <m/>
    <m/>
    <m/>
    <m/>
    <m/>
    <m/>
    <m/>
    <m/>
    <m/>
    <m/>
    <s v="São Manoel"/>
  </r>
  <r>
    <d v="2026-12-27T00:00:00"/>
    <s v="domingo"/>
    <d v="2026-12-27T00:00:00"/>
    <s v="NÃO"/>
    <x v="0"/>
    <m/>
    <m/>
    <m/>
    <m/>
    <m/>
    <m/>
    <m/>
    <m/>
    <m/>
    <m/>
    <s v="São Manoel"/>
  </r>
  <r>
    <d v="2026-12-28T00:00:00"/>
    <s v="segunda-feira"/>
    <d v="2026-12-28T00:00:00"/>
    <m/>
    <x v="0"/>
    <m/>
    <m/>
    <m/>
    <m/>
    <m/>
    <m/>
    <m/>
    <m/>
    <m/>
    <m/>
    <s v="São Manoel"/>
  </r>
  <r>
    <d v="2026-12-29T00:00:00"/>
    <s v="terça-feira"/>
    <d v="2026-12-29T00:00:00"/>
    <m/>
    <x v="0"/>
    <m/>
    <m/>
    <m/>
    <m/>
    <m/>
    <m/>
    <m/>
    <m/>
    <m/>
    <m/>
    <s v="São Manoel"/>
  </r>
  <r>
    <d v="2026-12-30T00:00:00"/>
    <s v="quarta-feira"/>
    <d v="2026-12-30T00:00:00"/>
    <m/>
    <x v="0"/>
    <m/>
    <m/>
    <m/>
    <m/>
    <m/>
    <m/>
    <m/>
    <m/>
    <m/>
    <m/>
    <s v="São Manoel"/>
  </r>
  <r>
    <d v="2026-12-31T00:00:00"/>
    <s v="quinta-feira"/>
    <d v="2026-12-31T00:00:00"/>
    <m/>
    <x v="0"/>
    <m/>
    <m/>
    <m/>
    <m/>
    <m/>
    <m/>
    <m/>
    <m/>
    <m/>
    <m/>
    <s v="São Manoel"/>
  </r>
  <r>
    <d v="2027-01-01T00:00:00"/>
    <s v="sexta-feira"/>
    <d v="2027-01-01T00:00:00"/>
    <m/>
    <x v="0"/>
    <m/>
    <m/>
    <m/>
    <m/>
    <m/>
    <m/>
    <m/>
    <m/>
    <m/>
    <m/>
    <s v="São Manoel"/>
  </r>
  <r>
    <d v="2027-01-02T00:00:00"/>
    <s v="sábado"/>
    <d v="2027-01-02T00:00:00"/>
    <s v="NÃO"/>
    <x v="0"/>
    <m/>
    <m/>
    <m/>
    <m/>
    <m/>
    <m/>
    <m/>
    <m/>
    <m/>
    <m/>
    <s v="São Manoel"/>
  </r>
  <r>
    <d v="2027-01-03T00:00:00"/>
    <s v="domingo"/>
    <d v="2027-01-03T00:00:00"/>
    <s v="NÃO"/>
    <x v="0"/>
    <m/>
    <m/>
    <m/>
    <m/>
    <m/>
    <m/>
    <m/>
    <m/>
    <m/>
    <m/>
    <s v="São Manoel"/>
  </r>
  <r>
    <d v="2027-01-04T00:00:00"/>
    <s v="segunda-feira"/>
    <d v="2027-01-04T00:00:00"/>
    <m/>
    <x v="0"/>
    <m/>
    <m/>
    <m/>
    <m/>
    <m/>
    <m/>
    <m/>
    <m/>
    <m/>
    <m/>
    <s v="São Manoel"/>
  </r>
  <r>
    <d v="2027-01-05T00:00:00"/>
    <s v="terça-feira"/>
    <d v="2027-01-05T00:00:00"/>
    <m/>
    <x v="0"/>
    <m/>
    <m/>
    <m/>
    <m/>
    <m/>
    <m/>
    <m/>
    <m/>
    <m/>
    <m/>
    <s v="São Manoel"/>
  </r>
  <r>
    <d v="2027-01-06T00:00:00"/>
    <s v="quarta-feira"/>
    <d v="2027-01-06T00:00:00"/>
    <m/>
    <x v="0"/>
    <m/>
    <m/>
    <m/>
    <m/>
    <m/>
    <m/>
    <m/>
    <m/>
    <m/>
    <m/>
    <s v="São Manoel"/>
  </r>
  <r>
    <d v="2027-01-07T00:00:00"/>
    <s v="quinta-feira"/>
    <d v="2027-01-07T00:00:00"/>
    <m/>
    <x v="0"/>
    <m/>
    <m/>
    <m/>
    <m/>
    <m/>
    <m/>
    <m/>
    <m/>
    <m/>
    <m/>
    <s v="São Manoel"/>
  </r>
  <r>
    <d v="2027-01-08T00:00:00"/>
    <s v="sexta-feira"/>
    <d v="2027-01-08T00:00:00"/>
    <m/>
    <x v="0"/>
    <m/>
    <m/>
    <m/>
    <m/>
    <m/>
    <m/>
    <m/>
    <m/>
    <m/>
    <m/>
    <s v="São Manoel"/>
  </r>
  <r>
    <d v="2027-01-09T00:00:00"/>
    <s v="sábado"/>
    <d v="2027-01-09T00:00:00"/>
    <s v="NÃO"/>
    <x v="0"/>
    <m/>
    <m/>
    <m/>
    <m/>
    <m/>
    <m/>
    <m/>
    <m/>
    <m/>
    <m/>
    <s v="São Manoel"/>
  </r>
  <r>
    <d v="2027-01-10T00:00:00"/>
    <s v="domingo"/>
    <d v="2027-01-10T00:00:00"/>
    <s v="NÃO"/>
    <x v="0"/>
    <m/>
    <m/>
    <m/>
    <m/>
    <m/>
    <m/>
    <m/>
    <m/>
    <m/>
    <m/>
    <s v="São Manoel"/>
  </r>
  <r>
    <d v="2027-01-11T00:00:00"/>
    <s v="segunda-feira"/>
    <d v="2027-01-11T00:00:00"/>
    <m/>
    <x v="0"/>
    <m/>
    <m/>
    <m/>
    <m/>
    <m/>
    <m/>
    <m/>
    <m/>
    <m/>
    <m/>
    <s v="São Manoel"/>
  </r>
  <r>
    <d v="2027-01-12T00:00:00"/>
    <s v="terça-feira"/>
    <d v="2027-01-12T00:00:00"/>
    <m/>
    <x v="0"/>
    <m/>
    <m/>
    <m/>
    <m/>
    <m/>
    <m/>
    <m/>
    <m/>
    <m/>
    <m/>
    <s v="São Manoel"/>
  </r>
  <r>
    <d v="2027-01-13T00:00:00"/>
    <s v="quarta-feira"/>
    <d v="2027-01-13T00:00:00"/>
    <m/>
    <x v="0"/>
    <m/>
    <m/>
    <m/>
    <m/>
    <m/>
    <m/>
    <m/>
    <m/>
    <m/>
    <m/>
    <s v="São Manoel"/>
  </r>
  <r>
    <d v="2027-01-14T00:00:00"/>
    <s v="quinta-feira"/>
    <d v="2027-01-14T00:00:00"/>
    <m/>
    <x v="0"/>
    <m/>
    <m/>
    <m/>
    <m/>
    <m/>
    <m/>
    <m/>
    <m/>
    <m/>
    <m/>
    <s v="São Manoel"/>
  </r>
  <r>
    <d v="2027-01-15T00:00:00"/>
    <s v="sexta-feira"/>
    <d v="2027-01-15T00:00:00"/>
    <m/>
    <x v="0"/>
    <m/>
    <m/>
    <m/>
    <m/>
    <m/>
    <m/>
    <m/>
    <m/>
    <m/>
    <m/>
    <s v="São Manoel"/>
  </r>
  <r>
    <d v="2027-01-16T00:00:00"/>
    <s v="sábado"/>
    <d v="2027-01-16T00:00:00"/>
    <s v="NÃO"/>
    <x v="0"/>
    <m/>
    <m/>
    <m/>
    <m/>
    <m/>
    <m/>
    <m/>
    <m/>
    <m/>
    <m/>
    <s v="São Manoel"/>
  </r>
  <r>
    <d v="2027-01-17T00:00:00"/>
    <s v="domingo"/>
    <d v="2027-01-17T00:00:00"/>
    <s v="NÃO"/>
    <x v="0"/>
    <m/>
    <m/>
    <m/>
    <m/>
    <m/>
    <m/>
    <m/>
    <m/>
    <m/>
    <m/>
    <s v="São Manoel"/>
  </r>
  <r>
    <d v="2027-01-18T00:00:00"/>
    <s v="segunda-feira"/>
    <d v="2027-01-18T00:00:00"/>
    <m/>
    <x v="0"/>
    <m/>
    <m/>
    <m/>
    <m/>
    <m/>
    <m/>
    <m/>
    <m/>
    <m/>
    <m/>
    <s v="São Manoel"/>
  </r>
  <r>
    <d v="2027-01-19T00:00:00"/>
    <s v="terça-feira"/>
    <d v="2027-01-19T00:00:00"/>
    <m/>
    <x v="0"/>
    <m/>
    <m/>
    <m/>
    <m/>
    <m/>
    <m/>
    <m/>
    <m/>
    <m/>
    <m/>
    <s v="São Manoel"/>
  </r>
  <r>
    <d v="2027-01-20T00:00:00"/>
    <s v="quarta-feira"/>
    <d v="2027-01-20T00:00:00"/>
    <m/>
    <x v="0"/>
    <m/>
    <m/>
    <m/>
    <m/>
    <m/>
    <m/>
    <m/>
    <m/>
    <m/>
    <m/>
    <s v="São Manoel"/>
  </r>
  <r>
    <d v="2027-01-21T00:00:00"/>
    <s v="quinta-feira"/>
    <d v="2027-01-21T00:00:00"/>
    <m/>
    <x v="0"/>
    <m/>
    <m/>
    <m/>
    <m/>
    <m/>
    <m/>
    <m/>
    <m/>
    <m/>
    <m/>
    <s v="São Manoel"/>
  </r>
  <r>
    <d v="2027-01-22T00:00:00"/>
    <s v="sexta-feira"/>
    <d v="2027-01-22T00:00:00"/>
    <m/>
    <x v="0"/>
    <m/>
    <m/>
    <m/>
    <m/>
    <m/>
    <m/>
    <m/>
    <m/>
    <m/>
    <m/>
    <s v="São Manoel"/>
  </r>
  <r>
    <d v="2027-01-23T00:00:00"/>
    <s v="sábado"/>
    <d v="2027-01-23T00:00:00"/>
    <s v="NÃO"/>
    <x v="0"/>
    <m/>
    <m/>
    <m/>
    <m/>
    <m/>
    <m/>
    <m/>
    <m/>
    <m/>
    <m/>
    <s v="São Manoel"/>
  </r>
  <r>
    <d v="2027-01-24T00:00:00"/>
    <s v="domingo"/>
    <d v="2027-01-24T00:00:00"/>
    <s v="NÃO"/>
    <x v="0"/>
    <m/>
    <m/>
    <m/>
    <m/>
    <m/>
    <m/>
    <m/>
    <m/>
    <m/>
    <m/>
    <s v="São Manoel"/>
  </r>
  <r>
    <d v="2027-01-25T00:00:00"/>
    <s v="segunda-feira"/>
    <d v="2027-01-25T00:00:00"/>
    <m/>
    <x v="0"/>
    <m/>
    <m/>
    <m/>
    <m/>
    <m/>
    <m/>
    <m/>
    <m/>
    <m/>
    <m/>
    <s v="São Manoel"/>
  </r>
  <r>
    <d v="2027-01-26T00:00:00"/>
    <s v="terça-feira"/>
    <d v="2027-01-26T00:00:00"/>
    <m/>
    <x v="0"/>
    <m/>
    <m/>
    <m/>
    <m/>
    <m/>
    <m/>
    <m/>
    <m/>
    <m/>
    <m/>
    <s v="São Manoel"/>
  </r>
  <r>
    <d v="2027-01-27T00:00:00"/>
    <s v="quarta-feira"/>
    <d v="2027-01-27T00:00:00"/>
    <m/>
    <x v="0"/>
    <m/>
    <m/>
    <m/>
    <m/>
    <m/>
    <m/>
    <m/>
    <m/>
    <m/>
    <m/>
    <s v="São Manoel"/>
  </r>
  <r>
    <d v="2027-01-28T00:00:00"/>
    <s v="quinta-feira"/>
    <d v="2027-01-28T00:00:00"/>
    <m/>
    <x v="0"/>
    <m/>
    <m/>
    <m/>
    <m/>
    <m/>
    <m/>
    <m/>
    <m/>
    <m/>
    <m/>
    <s v="São Manoel"/>
  </r>
  <r>
    <d v="2027-01-29T00:00:00"/>
    <s v="sexta-feira"/>
    <d v="2027-01-29T00:00:00"/>
    <m/>
    <x v="0"/>
    <m/>
    <m/>
    <m/>
    <m/>
    <m/>
    <m/>
    <m/>
    <m/>
    <m/>
    <m/>
    <s v="São Manoel"/>
  </r>
  <r>
    <d v="2027-01-30T00:00:00"/>
    <s v="sábado"/>
    <d v="2027-01-30T00:00:00"/>
    <s v="NÃO"/>
    <x v="0"/>
    <m/>
    <m/>
    <m/>
    <m/>
    <m/>
    <m/>
    <m/>
    <m/>
    <m/>
    <m/>
    <s v="São Manoel"/>
  </r>
  <r>
    <d v="2027-01-31T00:00:00"/>
    <s v="domingo"/>
    <d v="2027-01-31T00:00:00"/>
    <s v="NÃO"/>
    <x v="0"/>
    <m/>
    <m/>
    <m/>
    <m/>
    <m/>
    <m/>
    <m/>
    <m/>
    <m/>
    <m/>
    <s v="São Manoel"/>
  </r>
  <r>
    <d v="2027-02-01T00:00:00"/>
    <s v="segunda-feira"/>
    <d v="2027-02-01T00:00:00"/>
    <m/>
    <x v="0"/>
    <m/>
    <m/>
    <m/>
    <m/>
    <m/>
    <m/>
    <m/>
    <m/>
    <m/>
    <m/>
    <s v="São Manoel"/>
  </r>
  <r>
    <d v="2027-02-02T00:00:00"/>
    <s v="terça-feira"/>
    <d v="2027-02-02T00:00:00"/>
    <m/>
    <x v="0"/>
    <m/>
    <m/>
    <m/>
    <m/>
    <m/>
    <m/>
    <m/>
    <m/>
    <m/>
    <m/>
    <s v="São Manoel"/>
  </r>
  <r>
    <d v="2027-02-03T00:00:00"/>
    <s v="quarta-feira"/>
    <d v="2027-02-03T00:00:00"/>
    <m/>
    <x v="0"/>
    <m/>
    <m/>
    <m/>
    <m/>
    <m/>
    <m/>
    <m/>
    <m/>
    <m/>
    <m/>
    <s v="São Manoel"/>
  </r>
  <r>
    <d v="2027-02-04T00:00:00"/>
    <s v="quinta-feira"/>
    <d v="2027-02-04T00:00:00"/>
    <m/>
    <x v="0"/>
    <m/>
    <m/>
    <m/>
    <m/>
    <m/>
    <m/>
    <m/>
    <m/>
    <m/>
    <m/>
    <s v="São Manoel"/>
  </r>
  <r>
    <d v="2027-02-05T00:00:00"/>
    <s v="sexta-feira"/>
    <d v="2027-02-05T00:00:00"/>
    <m/>
    <x v="0"/>
    <m/>
    <m/>
    <m/>
    <m/>
    <m/>
    <m/>
    <m/>
    <m/>
    <m/>
    <m/>
    <s v="São Manoel"/>
  </r>
  <r>
    <d v="2027-02-06T00:00:00"/>
    <s v="sábado"/>
    <d v="2027-02-06T00:00:00"/>
    <s v="NÃO"/>
    <x v="0"/>
    <m/>
    <m/>
    <m/>
    <m/>
    <m/>
    <m/>
    <m/>
    <m/>
    <m/>
    <m/>
    <s v="São Manoel"/>
  </r>
  <r>
    <d v="2027-02-07T00:00:00"/>
    <s v="domingo"/>
    <d v="2027-02-07T00:00:00"/>
    <s v="NÃO"/>
    <x v="0"/>
    <m/>
    <m/>
    <m/>
    <m/>
    <m/>
    <m/>
    <m/>
    <m/>
    <m/>
    <m/>
    <s v="São Manoel"/>
  </r>
  <r>
    <d v="2027-02-08T00:00:00"/>
    <s v="segunda-feira"/>
    <d v="2027-02-08T00:00:00"/>
    <m/>
    <x v="0"/>
    <m/>
    <m/>
    <m/>
    <m/>
    <m/>
    <m/>
    <m/>
    <m/>
    <m/>
    <m/>
    <s v="São Manoel"/>
  </r>
  <r>
    <d v="2027-02-09T00:00:00"/>
    <s v="terça-feira"/>
    <d v="2027-02-09T00:00:00"/>
    <m/>
    <x v="0"/>
    <m/>
    <m/>
    <m/>
    <m/>
    <m/>
    <m/>
    <m/>
    <m/>
    <m/>
    <m/>
    <s v="São Manoel"/>
  </r>
  <r>
    <d v="2027-02-10T00:00:00"/>
    <s v="quarta-feira"/>
    <d v="2027-02-10T00:00:00"/>
    <m/>
    <x v="0"/>
    <m/>
    <m/>
    <m/>
    <m/>
    <m/>
    <m/>
    <m/>
    <m/>
    <m/>
    <m/>
    <s v="São Manoel"/>
  </r>
  <r>
    <d v="2027-02-11T00:00:00"/>
    <s v="quinta-feira"/>
    <d v="2027-02-11T00:00:00"/>
    <m/>
    <x v="0"/>
    <m/>
    <m/>
    <m/>
    <m/>
    <m/>
    <m/>
    <m/>
    <m/>
    <m/>
    <m/>
    <s v="São Manoel"/>
  </r>
  <r>
    <d v="2027-02-12T00:00:00"/>
    <s v="sexta-feira"/>
    <d v="2027-02-12T00:00:00"/>
    <m/>
    <x v="0"/>
    <m/>
    <m/>
    <m/>
    <m/>
    <m/>
    <m/>
    <m/>
    <m/>
    <m/>
    <m/>
    <s v="São Manoel"/>
  </r>
  <r>
    <d v="2027-02-13T00:00:00"/>
    <s v="sábado"/>
    <d v="2027-02-13T00:00:00"/>
    <s v="NÃO"/>
    <x v="0"/>
    <m/>
    <m/>
    <m/>
    <m/>
    <m/>
    <m/>
    <m/>
    <m/>
    <m/>
    <m/>
    <s v="São Manoel"/>
  </r>
  <r>
    <d v="2027-02-14T00:00:00"/>
    <s v="domingo"/>
    <d v="2027-02-14T00:00:00"/>
    <s v="NÃO"/>
    <x v="0"/>
    <m/>
    <m/>
    <m/>
    <m/>
    <m/>
    <m/>
    <m/>
    <m/>
    <m/>
    <m/>
    <s v="São Manoel"/>
  </r>
  <r>
    <d v="2027-02-15T00:00:00"/>
    <s v="segunda-feira"/>
    <d v="2027-02-15T00:00:00"/>
    <m/>
    <x v="0"/>
    <m/>
    <m/>
    <m/>
    <m/>
    <m/>
    <m/>
    <m/>
    <m/>
    <m/>
    <m/>
    <s v="São Manoel"/>
  </r>
  <r>
    <d v="2025-11-01T00:00:00"/>
    <s v="sábado"/>
    <d v="2025-11-01T00:00:00"/>
    <s v="NÃO"/>
    <x v="0"/>
    <m/>
    <m/>
    <m/>
    <m/>
    <m/>
    <m/>
    <m/>
    <m/>
    <m/>
    <m/>
    <s v="Vila Israel"/>
  </r>
  <r>
    <d v="2025-11-02T00:00:00"/>
    <s v="domingo"/>
    <d v="2025-11-02T00:00:00"/>
    <s v="NÃO"/>
    <x v="0"/>
    <m/>
    <m/>
    <m/>
    <m/>
    <m/>
    <m/>
    <m/>
    <m/>
    <m/>
    <m/>
    <s v="Vila Israel"/>
  </r>
  <r>
    <d v="2025-11-03T00:00:00"/>
    <s v="segunda-feira"/>
    <d v="2025-11-03T00:00:00"/>
    <m/>
    <x v="0"/>
    <m/>
    <m/>
    <m/>
    <m/>
    <m/>
    <m/>
    <m/>
    <m/>
    <m/>
    <m/>
    <s v="Vila Israel"/>
  </r>
  <r>
    <d v="2025-11-04T00:00:00"/>
    <s v="terça-feira"/>
    <d v="2025-11-04T00:00:00"/>
    <m/>
    <x v="0"/>
    <m/>
    <m/>
    <m/>
    <m/>
    <m/>
    <m/>
    <m/>
    <m/>
    <m/>
    <m/>
    <s v="Vila Israel"/>
  </r>
  <r>
    <d v="2025-11-05T00:00:00"/>
    <s v="quarta-feira"/>
    <d v="2025-11-05T00:00:00"/>
    <m/>
    <x v="0"/>
    <m/>
    <m/>
    <m/>
    <m/>
    <m/>
    <m/>
    <m/>
    <m/>
    <m/>
    <m/>
    <s v="Vila Israel"/>
  </r>
  <r>
    <d v="2025-11-06T00:00:00"/>
    <s v="quinta-feira"/>
    <d v="2025-11-06T00:00:00"/>
    <m/>
    <x v="0"/>
    <m/>
    <m/>
    <m/>
    <m/>
    <m/>
    <m/>
    <m/>
    <m/>
    <m/>
    <m/>
    <s v="Vila Israel"/>
  </r>
  <r>
    <d v="2025-11-07T00:00:00"/>
    <s v="sexta-feira"/>
    <d v="2025-11-07T00:00:00"/>
    <m/>
    <x v="0"/>
    <m/>
    <m/>
    <m/>
    <m/>
    <m/>
    <m/>
    <m/>
    <m/>
    <m/>
    <m/>
    <s v="Vila Israel"/>
  </r>
  <r>
    <d v="2025-11-08T00:00:00"/>
    <s v="sábado"/>
    <d v="2025-11-08T00:00:00"/>
    <s v="NÃO"/>
    <x v="0"/>
    <m/>
    <m/>
    <m/>
    <m/>
    <m/>
    <m/>
    <m/>
    <m/>
    <m/>
    <m/>
    <s v="Vila Israel"/>
  </r>
  <r>
    <d v="2025-11-09T00:00:00"/>
    <s v="domingo"/>
    <d v="2025-11-09T00:00:00"/>
    <s v="NÃO"/>
    <x v="0"/>
    <m/>
    <m/>
    <m/>
    <m/>
    <m/>
    <m/>
    <m/>
    <m/>
    <m/>
    <m/>
    <s v="Vila Israel"/>
  </r>
  <r>
    <d v="2025-11-10T00:00:00"/>
    <s v="segunda-feira"/>
    <d v="2025-11-10T00:00:00"/>
    <m/>
    <x v="0"/>
    <m/>
    <m/>
    <m/>
    <m/>
    <m/>
    <m/>
    <m/>
    <m/>
    <m/>
    <m/>
    <s v="Vila Israel"/>
  </r>
  <r>
    <d v="2025-11-11T00:00:00"/>
    <s v="terça-feira"/>
    <d v="2025-11-11T00:00:00"/>
    <m/>
    <x v="0"/>
    <m/>
    <m/>
    <m/>
    <m/>
    <m/>
    <m/>
    <m/>
    <m/>
    <m/>
    <m/>
    <s v="Vila Israel"/>
  </r>
  <r>
    <d v="2025-11-12T00:00:00"/>
    <s v="quarta-feira"/>
    <d v="2025-11-12T00:00:00"/>
    <m/>
    <x v="0"/>
    <m/>
    <m/>
    <m/>
    <m/>
    <m/>
    <m/>
    <m/>
    <m/>
    <m/>
    <m/>
    <s v="Vila Israel"/>
  </r>
  <r>
    <d v="2025-11-13T00:00:00"/>
    <s v="quinta-feira"/>
    <d v="2025-11-13T00:00:00"/>
    <m/>
    <x v="0"/>
    <m/>
    <m/>
    <m/>
    <m/>
    <m/>
    <m/>
    <m/>
    <m/>
    <m/>
    <m/>
    <s v="Vila Israel"/>
  </r>
  <r>
    <d v="2025-11-14T00:00:00"/>
    <s v="sexta-feira"/>
    <d v="2025-11-14T00:00:00"/>
    <m/>
    <x v="0"/>
    <m/>
    <m/>
    <m/>
    <m/>
    <m/>
    <m/>
    <m/>
    <m/>
    <m/>
    <m/>
    <s v="Vila Israel"/>
  </r>
  <r>
    <d v="2025-11-15T00:00:00"/>
    <s v="sábado"/>
    <d v="2025-11-15T00:00:00"/>
    <s v="NÃO"/>
    <x v="0"/>
    <m/>
    <m/>
    <m/>
    <m/>
    <m/>
    <m/>
    <m/>
    <m/>
    <m/>
    <m/>
    <s v="Vila Israel"/>
  </r>
  <r>
    <d v="2025-11-16T00:00:00"/>
    <s v="domingo"/>
    <d v="2025-11-16T00:00:00"/>
    <s v="NÃO"/>
    <x v="0"/>
    <m/>
    <m/>
    <m/>
    <m/>
    <m/>
    <m/>
    <m/>
    <m/>
    <m/>
    <m/>
    <s v="Vila Israel"/>
  </r>
  <r>
    <d v="2025-11-17T00:00:00"/>
    <s v="segunda-feira"/>
    <d v="2025-11-17T00:00:00"/>
    <m/>
    <x v="0"/>
    <m/>
    <m/>
    <m/>
    <m/>
    <m/>
    <m/>
    <m/>
    <m/>
    <m/>
    <m/>
    <s v="Vila Israel"/>
  </r>
  <r>
    <d v="2025-11-18T00:00:00"/>
    <s v="terça-feira"/>
    <d v="2025-11-18T00:00:00"/>
    <m/>
    <x v="0"/>
    <m/>
    <m/>
    <m/>
    <m/>
    <m/>
    <m/>
    <m/>
    <m/>
    <m/>
    <m/>
    <s v="Vila Israel"/>
  </r>
  <r>
    <d v="2025-11-19T00:00:00"/>
    <s v="quarta-feira"/>
    <d v="2025-11-19T00:00:00"/>
    <m/>
    <x v="0"/>
    <m/>
    <m/>
    <m/>
    <m/>
    <m/>
    <m/>
    <m/>
    <m/>
    <m/>
    <m/>
    <s v="Vila Israel"/>
  </r>
  <r>
    <d v="2025-11-20T00:00:00"/>
    <s v="quinta-feira"/>
    <d v="2025-11-20T00:00:00"/>
    <m/>
    <x v="0"/>
    <m/>
    <m/>
    <m/>
    <m/>
    <m/>
    <m/>
    <m/>
    <m/>
    <m/>
    <m/>
    <s v="Vila Israel"/>
  </r>
  <r>
    <d v="2025-11-21T00:00:00"/>
    <s v="sexta-feira"/>
    <d v="2025-11-21T00:00:00"/>
    <m/>
    <x v="0"/>
    <m/>
    <m/>
    <m/>
    <m/>
    <m/>
    <m/>
    <m/>
    <m/>
    <m/>
    <m/>
    <s v="Vila Israel"/>
  </r>
  <r>
    <d v="2025-11-22T00:00:00"/>
    <s v="sábado"/>
    <d v="2025-11-22T00:00:00"/>
    <s v="NÃO"/>
    <x v="0"/>
    <m/>
    <m/>
    <m/>
    <m/>
    <m/>
    <m/>
    <m/>
    <m/>
    <m/>
    <m/>
    <s v="Vila Israel"/>
  </r>
  <r>
    <d v="2025-11-23T00:00:00"/>
    <s v="domingo"/>
    <d v="2025-11-23T00:00:00"/>
    <s v="NÃO"/>
    <x v="0"/>
    <m/>
    <m/>
    <m/>
    <m/>
    <m/>
    <m/>
    <m/>
    <m/>
    <m/>
    <m/>
    <s v="Vila Israel"/>
  </r>
  <r>
    <d v="2025-11-24T00:00:00"/>
    <s v="segunda-feira"/>
    <d v="2025-11-24T00:00:00"/>
    <m/>
    <x v="0"/>
    <m/>
    <m/>
    <m/>
    <m/>
    <m/>
    <m/>
    <m/>
    <m/>
    <m/>
    <m/>
    <s v="Vila Israel"/>
  </r>
  <r>
    <d v="2025-11-25T00:00:00"/>
    <s v="terça-feira"/>
    <d v="2025-11-25T00:00:00"/>
    <m/>
    <x v="0"/>
    <m/>
    <m/>
    <m/>
    <m/>
    <m/>
    <m/>
    <m/>
    <m/>
    <m/>
    <m/>
    <s v="Vila Israel"/>
  </r>
  <r>
    <d v="2025-11-26T00:00:00"/>
    <s v="quarta-feira"/>
    <d v="2025-11-26T00:00:00"/>
    <m/>
    <x v="0"/>
    <m/>
    <m/>
    <m/>
    <m/>
    <m/>
    <m/>
    <m/>
    <m/>
    <m/>
    <m/>
    <s v="Vila Israel"/>
  </r>
  <r>
    <d v="2025-11-27T00:00:00"/>
    <s v="quinta-feira"/>
    <d v="2025-11-27T00:00:00"/>
    <m/>
    <x v="0"/>
    <m/>
    <m/>
    <m/>
    <m/>
    <m/>
    <m/>
    <m/>
    <m/>
    <m/>
    <m/>
    <s v="Vila Israel"/>
  </r>
  <r>
    <d v="2025-11-28T00:00:00"/>
    <s v="sexta-feira"/>
    <d v="2025-11-28T00:00:00"/>
    <m/>
    <x v="0"/>
    <m/>
    <m/>
    <m/>
    <m/>
    <m/>
    <m/>
    <m/>
    <m/>
    <m/>
    <m/>
    <s v="Vila Israel"/>
  </r>
  <r>
    <d v="2025-11-29T00:00:00"/>
    <s v="sábado"/>
    <d v="2025-11-29T00:00:00"/>
    <s v="NÃO"/>
    <x v="0"/>
    <m/>
    <m/>
    <m/>
    <m/>
    <m/>
    <m/>
    <m/>
    <m/>
    <m/>
    <m/>
    <s v="Vila Israel"/>
  </r>
  <r>
    <d v="2025-11-30T00:00:00"/>
    <s v="domingo"/>
    <d v="2025-11-30T00:00:00"/>
    <s v="NÃO"/>
    <x v="0"/>
    <m/>
    <m/>
    <m/>
    <m/>
    <m/>
    <m/>
    <m/>
    <m/>
    <m/>
    <m/>
    <s v="Vila Israel"/>
  </r>
  <r>
    <d v="2025-12-01T00:00:00"/>
    <s v="segunda-feira"/>
    <d v="2025-12-01T00:00:00"/>
    <m/>
    <x v="0"/>
    <m/>
    <m/>
    <m/>
    <m/>
    <m/>
    <m/>
    <m/>
    <m/>
    <m/>
    <m/>
    <s v="Vila Israel"/>
  </r>
  <r>
    <d v="2025-12-02T00:00:00"/>
    <s v="terça-feira"/>
    <d v="2025-12-02T00:00:00"/>
    <m/>
    <x v="0"/>
    <m/>
    <m/>
    <m/>
    <m/>
    <m/>
    <m/>
    <m/>
    <m/>
    <m/>
    <m/>
    <s v="Vila Israel"/>
  </r>
  <r>
    <d v="2025-12-03T00:00:00"/>
    <s v="quarta-feira"/>
    <d v="2025-12-03T00:00:00"/>
    <m/>
    <x v="0"/>
    <m/>
    <m/>
    <m/>
    <m/>
    <m/>
    <m/>
    <m/>
    <m/>
    <m/>
    <m/>
    <s v="Vila Israel"/>
  </r>
  <r>
    <d v="2025-12-04T00:00:00"/>
    <s v="quinta-feira"/>
    <d v="2025-12-04T00:00:00"/>
    <m/>
    <x v="0"/>
    <m/>
    <m/>
    <m/>
    <m/>
    <m/>
    <m/>
    <m/>
    <m/>
    <m/>
    <m/>
    <s v="Vila Israel"/>
  </r>
  <r>
    <d v="2025-12-05T00:00:00"/>
    <s v="sexta-feira"/>
    <d v="2025-12-05T00:00:00"/>
    <m/>
    <x v="0"/>
    <m/>
    <m/>
    <m/>
    <m/>
    <m/>
    <m/>
    <m/>
    <m/>
    <m/>
    <m/>
    <s v="Vila Israel"/>
  </r>
  <r>
    <d v="2025-12-06T00:00:00"/>
    <s v="sábado"/>
    <d v="2025-12-06T00:00:00"/>
    <s v="NÃO"/>
    <x v="0"/>
    <m/>
    <m/>
    <m/>
    <m/>
    <m/>
    <m/>
    <m/>
    <m/>
    <m/>
    <m/>
    <s v="Vila Israel"/>
  </r>
  <r>
    <d v="2025-12-07T00:00:00"/>
    <s v="domingo"/>
    <d v="2025-12-07T00:00:00"/>
    <s v="NÃO"/>
    <x v="0"/>
    <m/>
    <m/>
    <m/>
    <m/>
    <m/>
    <m/>
    <m/>
    <m/>
    <m/>
    <m/>
    <s v="Vila Israel"/>
  </r>
  <r>
    <d v="2025-12-08T00:00:00"/>
    <s v="segunda-feira"/>
    <d v="2025-12-08T00:00:00"/>
    <m/>
    <x v="0"/>
    <m/>
    <m/>
    <m/>
    <m/>
    <m/>
    <m/>
    <m/>
    <m/>
    <m/>
    <m/>
    <s v="Vila Israel"/>
  </r>
  <r>
    <d v="2025-12-09T00:00:00"/>
    <s v="terça-feira"/>
    <d v="2025-12-09T00:00:00"/>
    <m/>
    <x v="0"/>
    <m/>
    <m/>
    <m/>
    <m/>
    <m/>
    <m/>
    <m/>
    <m/>
    <m/>
    <m/>
    <s v="Vila Israel"/>
  </r>
  <r>
    <d v="2025-12-10T00:00:00"/>
    <s v="quarta-feira"/>
    <d v="2025-12-10T00:00:00"/>
    <m/>
    <x v="0"/>
    <m/>
    <m/>
    <m/>
    <m/>
    <m/>
    <m/>
    <m/>
    <m/>
    <m/>
    <m/>
    <s v="Vila Israel"/>
  </r>
  <r>
    <d v="2025-12-11T00:00:00"/>
    <s v="quinta-feira"/>
    <d v="2025-12-11T00:00:00"/>
    <m/>
    <x v="0"/>
    <m/>
    <m/>
    <m/>
    <m/>
    <m/>
    <m/>
    <m/>
    <m/>
    <m/>
    <m/>
    <s v="Vila Israel"/>
  </r>
  <r>
    <d v="2025-12-12T00:00:00"/>
    <s v="sexta-feira"/>
    <d v="2025-12-12T00:00:00"/>
    <m/>
    <x v="0"/>
    <m/>
    <m/>
    <m/>
    <m/>
    <m/>
    <m/>
    <m/>
    <m/>
    <m/>
    <m/>
    <s v="Vila Israel"/>
  </r>
  <r>
    <d v="2025-12-13T00:00:00"/>
    <s v="sábado"/>
    <d v="2025-12-13T00:00:00"/>
    <s v="NÃO"/>
    <x v="0"/>
    <m/>
    <m/>
    <m/>
    <m/>
    <m/>
    <m/>
    <m/>
    <m/>
    <m/>
    <m/>
    <s v="Vila Israel"/>
  </r>
  <r>
    <d v="2025-12-14T00:00:00"/>
    <s v="domingo"/>
    <d v="2025-12-14T00:00:00"/>
    <s v="NÃO"/>
    <x v="0"/>
    <m/>
    <m/>
    <m/>
    <m/>
    <m/>
    <m/>
    <m/>
    <m/>
    <m/>
    <m/>
    <s v="Vila Israel"/>
  </r>
  <r>
    <d v="2025-12-15T00:00:00"/>
    <s v="segunda-feira"/>
    <d v="2025-12-15T00:00:00"/>
    <m/>
    <x v="0"/>
    <m/>
    <m/>
    <m/>
    <m/>
    <m/>
    <m/>
    <m/>
    <m/>
    <m/>
    <m/>
    <s v="Vila Israel"/>
  </r>
  <r>
    <d v="2025-12-16T00:00:00"/>
    <s v="terça-feira"/>
    <d v="2025-12-16T00:00:00"/>
    <m/>
    <x v="0"/>
    <m/>
    <m/>
    <m/>
    <m/>
    <m/>
    <m/>
    <m/>
    <m/>
    <m/>
    <m/>
    <s v="Vila Israel"/>
  </r>
  <r>
    <d v="2025-12-17T00:00:00"/>
    <s v="quarta-feira"/>
    <d v="2025-12-17T00:00:00"/>
    <m/>
    <x v="0"/>
    <m/>
    <m/>
    <m/>
    <m/>
    <m/>
    <m/>
    <m/>
    <m/>
    <m/>
    <m/>
    <s v="Vila Israel"/>
  </r>
  <r>
    <d v="2025-12-18T00:00:00"/>
    <s v="quinta-feira"/>
    <d v="2025-12-18T00:00:00"/>
    <m/>
    <x v="0"/>
    <m/>
    <m/>
    <m/>
    <m/>
    <m/>
    <m/>
    <m/>
    <m/>
    <m/>
    <m/>
    <s v="Vila Israel"/>
  </r>
  <r>
    <d v="2025-12-19T00:00:00"/>
    <s v="sexta-feira"/>
    <d v="2025-12-19T00:00:00"/>
    <m/>
    <x v="0"/>
    <m/>
    <m/>
    <m/>
    <m/>
    <m/>
    <m/>
    <m/>
    <m/>
    <m/>
    <m/>
    <s v="Vila Israel"/>
  </r>
  <r>
    <d v="2025-12-20T00:00:00"/>
    <s v="sábado"/>
    <d v="2025-12-20T00:00:00"/>
    <s v="NÃO"/>
    <x v="0"/>
    <m/>
    <m/>
    <m/>
    <m/>
    <m/>
    <m/>
    <m/>
    <m/>
    <m/>
    <m/>
    <s v="Vila Israel"/>
  </r>
  <r>
    <d v="2025-12-21T00:00:00"/>
    <s v="domingo"/>
    <d v="2025-12-21T00:00:00"/>
    <s v="NÃO"/>
    <x v="0"/>
    <m/>
    <m/>
    <m/>
    <m/>
    <m/>
    <m/>
    <m/>
    <m/>
    <m/>
    <m/>
    <s v="Vila Israel"/>
  </r>
  <r>
    <d v="2025-12-22T00:00:00"/>
    <s v="segunda-feira"/>
    <d v="2025-12-22T00:00:00"/>
    <m/>
    <x v="0"/>
    <m/>
    <m/>
    <m/>
    <m/>
    <m/>
    <m/>
    <m/>
    <m/>
    <m/>
    <m/>
    <s v="Vila Israel"/>
  </r>
  <r>
    <d v="2025-12-23T00:00:00"/>
    <s v="terça-feira"/>
    <d v="2025-12-23T00:00:00"/>
    <m/>
    <x v="0"/>
    <m/>
    <m/>
    <m/>
    <m/>
    <m/>
    <m/>
    <m/>
    <m/>
    <m/>
    <m/>
    <s v="Vila Israel"/>
  </r>
  <r>
    <d v="2025-12-24T00:00:00"/>
    <s v="quarta-feira"/>
    <d v="2025-12-24T00:00:00"/>
    <m/>
    <x v="0"/>
    <m/>
    <m/>
    <m/>
    <m/>
    <m/>
    <m/>
    <m/>
    <m/>
    <m/>
    <m/>
    <s v="Vila Israel"/>
  </r>
  <r>
    <d v="2025-12-25T00:00:00"/>
    <s v="quinta-feira"/>
    <d v="2025-12-25T00:00:00"/>
    <m/>
    <x v="0"/>
    <m/>
    <m/>
    <m/>
    <m/>
    <m/>
    <m/>
    <m/>
    <m/>
    <m/>
    <m/>
    <s v="Vila Israel"/>
  </r>
  <r>
    <d v="2025-12-26T00:00:00"/>
    <s v="sexta-feira"/>
    <d v="2025-12-26T00:00:00"/>
    <m/>
    <x v="0"/>
    <m/>
    <m/>
    <m/>
    <m/>
    <m/>
    <m/>
    <m/>
    <m/>
    <m/>
    <m/>
    <s v="Vila Israel"/>
  </r>
  <r>
    <d v="2025-12-27T00:00:00"/>
    <s v="sábado"/>
    <d v="2025-12-27T00:00:00"/>
    <s v="NÃO"/>
    <x v="0"/>
    <m/>
    <m/>
    <m/>
    <m/>
    <m/>
    <m/>
    <m/>
    <m/>
    <m/>
    <m/>
    <s v="Vila Israel"/>
  </r>
  <r>
    <d v="2025-12-28T00:00:00"/>
    <s v="domingo"/>
    <d v="2025-12-28T00:00:00"/>
    <s v="NÃO"/>
    <x v="0"/>
    <m/>
    <m/>
    <m/>
    <m/>
    <m/>
    <m/>
    <m/>
    <m/>
    <m/>
    <m/>
    <s v="Vila Israel"/>
  </r>
  <r>
    <d v="2025-12-29T00:00:00"/>
    <s v="segunda-feira"/>
    <d v="2025-12-29T00:00:00"/>
    <m/>
    <x v="0"/>
    <m/>
    <m/>
    <m/>
    <m/>
    <m/>
    <m/>
    <m/>
    <m/>
    <m/>
    <m/>
    <s v="Vila Israel"/>
  </r>
  <r>
    <d v="2025-12-30T00:00:00"/>
    <s v="terça-feira"/>
    <d v="2025-12-30T00:00:00"/>
    <m/>
    <x v="0"/>
    <m/>
    <m/>
    <m/>
    <m/>
    <m/>
    <m/>
    <m/>
    <m/>
    <m/>
    <m/>
    <s v="Vila Israel"/>
  </r>
  <r>
    <d v="2025-12-31T00:00:00"/>
    <s v="quarta-feira"/>
    <d v="2025-12-31T00:00:00"/>
    <m/>
    <x v="0"/>
    <m/>
    <m/>
    <m/>
    <m/>
    <m/>
    <m/>
    <m/>
    <m/>
    <m/>
    <m/>
    <s v="Vila Israel"/>
  </r>
  <r>
    <d v="2026-01-01T00:00:00"/>
    <s v="quinta-feira"/>
    <d v="2026-01-01T00:00:00"/>
    <m/>
    <x v="0"/>
    <m/>
    <m/>
    <m/>
    <m/>
    <m/>
    <m/>
    <m/>
    <m/>
    <m/>
    <m/>
    <s v="Vila Israel"/>
  </r>
  <r>
    <d v="2026-01-02T00:00:00"/>
    <s v="sexta-feira"/>
    <d v="2026-01-02T00:00:00"/>
    <m/>
    <x v="0"/>
    <m/>
    <m/>
    <m/>
    <m/>
    <m/>
    <m/>
    <m/>
    <m/>
    <m/>
    <m/>
    <s v="Vila Israel"/>
  </r>
  <r>
    <d v="2026-01-03T00:00:00"/>
    <s v="sábado"/>
    <d v="2026-01-03T00:00:00"/>
    <s v="NÃO"/>
    <x v="0"/>
    <m/>
    <m/>
    <m/>
    <m/>
    <m/>
    <m/>
    <m/>
    <m/>
    <m/>
    <m/>
    <s v="Vila Israel"/>
  </r>
  <r>
    <d v="2026-01-04T00:00:00"/>
    <s v="domingo"/>
    <d v="2026-01-04T00:00:00"/>
    <s v="NÃO"/>
    <x v="0"/>
    <m/>
    <m/>
    <m/>
    <m/>
    <m/>
    <m/>
    <m/>
    <m/>
    <m/>
    <m/>
    <s v="Vila Israel"/>
  </r>
  <r>
    <d v="2026-01-05T00:00:00"/>
    <s v="segunda-feira"/>
    <d v="2026-01-05T00:00:00"/>
    <s v="NÃO"/>
    <x v="0"/>
    <m/>
    <m/>
    <m/>
    <m/>
    <m/>
    <m/>
    <m/>
    <m/>
    <m/>
    <m/>
    <s v="Vila Israel"/>
  </r>
  <r>
    <d v="2026-01-06T00:00:00"/>
    <s v="terça-feira"/>
    <d v="2026-01-06T00:00:00"/>
    <s v="SIM"/>
    <x v="31"/>
    <s v="Diversas até 28/02 - VI"/>
    <n v="0"/>
    <n v="0"/>
    <n v="0"/>
    <n v="36"/>
    <n v="1"/>
    <n v="0"/>
    <n v="0"/>
    <n v="0"/>
    <n v="0"/>
    <s v="Vila Israel"/>
  </r>
  <r>
    <d v="2026-01-07T00:00:00"/>
    <s v="quarta-feira"/>
    <d v="2026-01-07T00:00:00"/>
    <s v="NÃO"/>
    <x v="0"/>
    <m/>
    <m/>
    <m/>
    <m/>
    <m/>
    <m/>
    <m/>
    <m/>
    <m/>
    <m/>
    <s v="Vila Israel"/>
  </r>
  <r>
    <d v="2026-01-08T00:00:00"/>
    <s v="quinta-feira"/>
    <d v="2026-01-08T00:00:00"/>
    <s v="SIM"/>
    <x v="31"/>
    <s v="Diversas até 28/02 - VI"/>
    <n v="0"/>
    <n v="0"/>
    <n v="0"/>
    <n v="44"/>
    <n v="4"/>
    <n v="0"/>
    <n v="0"/>
    <n v="0"/>
    <n v="0"/>
    <s v="Vila Israel"/>
  </r>
  <r>
    <d v="2026-01-09T00:00:00"/>
    <s v="sexta-feira"/>
    <d v="2026-01-09T00:00:00"/>
    <s v="SIM"/>
    <x v="31"/>
    <s v="Diversas até 28/02 - VI"/>
    <n v="0"/>
    <n v="0"/>
    <n v="0"/>
    <n v="48"/>
    <n v="4"/>
    <n v="0"/>
    <n v="0"/>
    <n v="0"/>
    <n v="0"/>
    <s v="Vila Israel"/>
  </r>
  <r>
    <d v="2026-01-10T00:00:00"/>
    <s v="sábado"/>
    <d v="2026-01-10T00:00:00"/>
    <s v="NÃO"/>
    <x v="0"/>
    <m/>
    <m/>
    <m/>
    <m/>
    <m/>
    <m/>
    <m/>
    <m/>
    <m/>
    <m/>
    <s v="Vila Israel"/>
  </r>
  <r>
    <d v="2026-01-11T00:00:00"/>
    <s v="domingo"/>
    <d v="2026-01-11T00:00:00"/>
    <s v="NÃO"/>
    <x v="0"/>
    <m/>
    <m/>
    <m/>
    <m/>
    <m/>
    <m/>
    <m/>
    <m/>
    <m/>
    <m/>
    <s v="Vila Israel"/>
  </r>
  <r>
    <d v="2026-01-12T00:00:00"/>
    <s v="segunda-feira"/>
    <d v="2026-01-12T00:00:00"/>
    <s v="SIM"/>
    <x v="31"/>
    <s v="Diversas até 28/02 - VI"/>
    <n v="0"/>
    <n v="0"/>
    <n v="0"/>
    <n v="44"/>
    <n v="4"/>
    <n v="0"/>
    <n v="0"/>
    <n v="0"/>
    <n v="0"/>
    <s v="Vila Israel"/>
  </r>
  <r>
    <d v="2026-01-13T00:00:00"/>
    <s v="terça-feira"/>
    <d v="2026-01-13T00:00:00"/>
    <s v="SIM"/>
    <x v="31"/>
    <s v="Diversas até 28/02 - VI"/>
    <n v="0"/>
    <n v="4"/>
    <n v="36"/>
    <n v="0"/>
    <n v="1"/>
    <n v="0"/>
    <n v="0"/>
    <n v="0"/>
    <n v="0"/>
    <s v="Vila Israel"/>
  </r>
  <r>
    <d v="2026-01-14T00:00:00"/>
    <s v="quarta-feira"/>
    <d v="2026-01-14T00:00:00"/>
    <s v="SIM"/>
    <x v="31"/>
    <s v="Diversas até 28/02 - VI"/>
    <n v="0"/>
    <n v="0"/>
    <n v="0"/>
    <n v="18"/>
    <n v="1"/>
    <n v="0"/>
    <n v="0"/>
    <n v="0"/>
    <n v="0"/>
    <s v="Vila Israel"/>
  </r>
  <r>
    <d v="2026-01-15T00:00:00"/>
    <s v="quinta-feira"/>
    <d v="2026-01-15T00:00:00"/>
    <s v="SIM"/>
    <x v="31"/>
    <s v="Diversas até 28/02 - VI"/>
    <n v="0"/>
    <n v="0"/>
    <n v="0"/>
    <n v="12"/>
    <n v="0"/>
    <n v="0"/>
    <n v="0"/>
    <n v="0"/>
    <n v="0"/>
    <s v="Vila Israel"/>
  </r>
  <r>
    <d v="2026-01-16T00:00:00"/>
    <s v="sexta-feira"/>
    <d v="2026-01-16T00:00:00"/>
    <s v="NÃO"/>
    <x v="0"/>
    <m/>
    <m/>
    <m/>
    <m/>
    <m/>
    <m/>
    <m/>
    <m/>
    <m/>
    <m/>
    <s v="Vila Israel"/>
  </r>
  <r>
    <d v="2026-01-17T00:00:00"/>
    <s v="sábado"/>
    <d v="2026-01-17T00:00:00"/>
    <s v="NÃO"/>
    <x v="0"/>
    <m/>
    <m/>
    <m/>
    <m/>
    <m/>
    <m/>
    <m/>
    <m/>
    <m/>
    <m/>
    <s v="Vila Israel"/>
  </r>
  <r>
    <d v="2026-01-18T00:00:00"/>
    <s v="domingo"/>
    <d v="2026-01-18T00:00:00"/>
    <s v="NÃO"/>
    <x v="0"/>
    <m/>
    <m/>
    <m/>
    <m/>
    <m/>
    <m/>
    <m/>
    <m/>
    <m/>
    <m/>
    <s v="Vila Israel"/>
  </r>
  <r>
    <d v="2026-01-19T00:00:00"/>
    <s v="segunda-feira"/>
    <d v="2026-01-19T00:00:00"/>
    <s v="NÃO"/>
    <x v="0"/>
    <m/>
    <m/>
    <m/>
    <m/>
    <m/>
    <m/>
    <m/>
    <m/>
    <m/>
    <m/>
    <s v="Vila Israel"/>
  </r>
  <r>
    <d v="2026-01-20T00:00:00"/>
    <s v="terça-feira"/>
    <d v="2026-01-20T00:00:00"/>
    <s v="NÃO"/>
    <x v="0"/>
    <m/>
    <m/>
    <m/>
    <m/>
    <m/>
    <m/>
    <m/>
    <m/>
    <m/>
    <m/>
    <s v="Vila Israel"/>
  </r>
  <r>
    <d v="2026-01-21T00:00:00"/>
    <s v="quarta-feira"/>
    <d v="2026-01-21T00:00:00"/>
    <s v="SIM"/>
    <x v="31"/>
    <s v="Diversas até 28/02 - VI"/>
    <n v="10"/>
    <n v="0"/>
    <n v="11"/>
    <n v="18"/>
    <n v="0"/>
    <n v="0"/>
    <n v="0"/>
    <n v="0"/>
    <n v="0"/>
    <s v="Vila Israel"/>
  </r>
  <r>
    <d v="2026-01-22T00:00:00"/>
    <s v="quinta-feira"/>
    <d v="2026-01-22T00:00:00"/>
    <s v="NÃO"/>
    <x v="0"/>
    <m/>
    <m/>
    <m/>
    <m/>
    <m/>
    <m/>
    <m/>
    <m/>
    <m/>
    <m/>
    <s v="Vila Israel"/>
  </r>
  <r>
    <d v="2026-01-23T00:00:00"/>
    <s v="sexta-feira"/>
    <d v="2026-01-23T00:00:00"/>
    <s v="SIM"/>
    <x v="31"/>
    <s v="Diversas até 28/02 - VI"/>
    <n v="0"/>
    <n v="0"/>
    <n v="0"/>
    <n v="10"/>
    <n v="3"/>
    <n v="0"/>
    <n v="0"/>
    <n v="0"/>
    <n v="0"/>
    <s v="Vila Israel"/>
  </r>
  <r>
    <d v="2026-01-24T00:00:00"/>
    <s v="sábado"/>
    <d v="2026-01-24T00:00:00"/>
    <s v="NÃO"/>
    <x v="0"/>
    <m/>
    <m/>
    <m/>
    <m/>
    <m/>
    <m/>
    <m/>
    <m/>
    <m/>
    <m/>
    <s v="Vila Israel"/>
  </r>
  <r>
    <d v="2026-01-25T00:00:00"/>
    <s v="domingo"/>
    <d v="2026-01-25T00:00:00"/>
    <s v="NÃO"/>
    <x v="0"/>
    <m/>
    <m/>
    <m/>
    <m/>
    <m/>
    <m/>
    <m/>
    <m/>
    <m/>
    <m/>
    <s v="Vila Israel"/>
  </r>
  <r>
    <d v="2026-01-26T00:00:00"/>
    <s v="segunda-feira"/>
    <d v="2026-01-26T00:00:00"/>
    <s v="SIM"/>
    <x v="31"/>
    <s v="Diversas até 28/02 - VI"/>
    <n v="0"/>
    <n v="0"/>
    <n v="0"/>
    <n v="12"/>
    <n v="1"/>
    <n v="0"/>
    <n v="0"/>
    <n v="0"/>
    <n v="0"/>
    <s v="Vila Israel"/>
  </r>
  <r>
    <d v="2026-01-27T00:00:00"/>
    <s v="terça-feira"/>
    <d v="2026-01-27T00:00:00"/>
    <s v="SIM"/>
    <x v="31"/>
    <s v="Diversas até 28/02 - VI"/>
    <n v="0"/>
    <n v="1"/>
    <n v="20"/>
    <n v="18"/>
    <n v="1"/>
    <n v="0"/>
    <n v="0"/>
    <n v="0"/>
    <n v="0"/>
    <s v="Vila Israel"/>
  </r>
  <r>
    <d v="2026-01-28T00:00:00"/>
    <s v="quarta-feira"/>
    <d v="2026-01-28T00:00:00"/>
    <s v="SIM"/>
    <x v="31"/>
    <s v="Diversas até 28/02 - VI"/>
    <n v="0"/>
    <n v="13"/>
    <n v="0"/>
    <n v="24"/>
    <n v="4"/>
    <n v="0"/>
    <n v="0"/>
    <n v="0"/>
    <n v="0"/>
    <s v="Vila Israel"/>
  </r>
  <r>
    <d v="2026-01-29T00:00:00"/>
    <s v="quinta-feira"/>
    <d v="2026-01-29T00:00:00"/>
    <s v="SIM"/>
    <x v="31"/>
    <s v="Diversas até 28/02 - VI"/>
    <n v="8"/>
    <n v="2"/>
    <n v="50"/>
    <n v="25"/>
    <n v="0"/>
    <n v="0"/>
    <n v="0"/>
    <n v="0"/>
    <n v="0"/>
    <s v="Vila Israel"/>
  </r>
  <r>
    <d v="2026-01-30T00:00:00"/>
    <s v="sexta-feira"/>
    <d v="2026-01-30T00:00:00"/>
    <s v="SIM"/>
    <x v="31"/>
    <s v="Diversas até 28/02 - VI"/>
    <n v="0"/>
    <n v="0"/>
    <n v="0"/>
    <n v="0"/>
    <n v="2"/>
    <n v="0"/>
    <n v="0"/>
    <n v="0"/>
    <n v="0"/>
    <s v="Vila Israel"/>
  </r>
  <r>
    <d v="2026-01-31T00:00:00"/>
    <s v="sábado"/>
    <d v="2026-01-31T00:00:00"/>
    <s v="NÃO"/>
    <x v="0"/>
    <m/>
    <m/>
    <m/>
    <m/>
    <m/>
    <m/>
    <m/>
    <m/>
    <m/>
    <m/>
    <s v="Vila Israel"/>
  </r>
  <r>
    <d v="2026-02-01T00:00:00"/>
    <s v="domingo"/>
    <d v="2026-02-01T00:00:00"/>
    <s v="NÃO"/>
    <x v="0"/>
    <m/>
    <m/>
    <m/>
    <m/>
    <m/>
    <m/>
    <m/>
    <m/>
    <m/>
    <m/>
    <s v="Vila Israel"/>
  </r>
  <r>
    <d v="2026-02-02T00:00:00"/>
    <s v="segunda-feira"/>
    <d v="2026-02-02T00:00:00"/>
    <s v="SIM"/>
    <x v="31"/>
    <s v="Diversas até 28/02 - VI"/>
    <n v="2"/>
    <n v="0"/>
    <n v="35"/>
    <n v="0"/>
    <n v="2"/>
    <n v="0"/>
    <n v="0"/>
    <n v="0"/>
    <n v="0"/>
    <s v="Vila Israel"/>
  </r>
  <r>
    <d v="2026-02-03T00:00:00"/>
    <s v="terça-feira"/>
    <d v="2026-02-03T00:00:00"/>
    <s v="SIM"/>
    <x v="31"/>
    <s v="Diversas até 28/02 - VI"/>
    <n v="5"/>
    <n v="6"/>
    <n v="62"/>
    <n v="0"/>
    <n v="2"/>
    <n v="0"/>
    <n v="0"/>
    <n v="0"/>
    <n v="0"/>
    <s v="Vila Israel"/>
  </r>
  <r>
    <d v="2026-02-04T00:00:00"/>
    <s v="quarta-feira"/>
    <d v="2026-02-04T00:00:00"/>
    <s v="SIM"/>
    <x v="31"/>
    <s v="Diversas até 28/02 - VI"/>
    <n v="0"/>
    <n v="0"/>
    <n v="16"/>
    <n v="0"/>
    <n v="0"/>
    <n v="0"/>
    <n v="0"/>
    <n v="0"/>
    <n v="0"/>
    <s v="Vila Israel"/>
  </r>
  <r>
    <d v="2026-02-05T00:00:00"/>
    <s v="quinta-feira"/>
    <d v="2026-02-05T00:00:00"/>
    <s v="NÃO"/>
    <x v="0"/>
    <m/>
    <m/>
    <m/>
    <m/>
    <m/>
    <m/>
    <m/>
    <m/>
    <m/>
    <m/>
    <s v="Vila Israel"/>
  </r>
  <r>
    <d v="2026-02-06T00:00:00"/>
    <s v="sexta-feira"/>
    <d v="2026-02-06T00:00:00"/>
    <s v="SIM"/>
    <x v="31"/>
    <s v="Diversas até 28/02 - VI"/>
    <n v="0"/>
    <n v="0"/>
    <n v="0"/>
    <n v="0"/>
    <n v="2"/>
    <n v="0"/>
    <n v="0"/>
    <n v="0"/>
    <n v="0"/>
    <s v="Vila Israel"/>
  </r>
  <r>
    <d v="2026-02-07T00:00:00"/>
    <s v="sábado"/>
    <d v="2026-02-07T00:00:00"/>
    <s v="NÃO"/>
    <x v="0"/>
    <m/>
    <m/>
    <m/>
    <m/>
    <m/>
    <m/>
    <m/>
    <m/>
    <m/>
    <m/>
    <s v="Vila Israel"/>
  </r>
  <r>
    <d v="2026-02-08T00:00:00"/>
    <s v="domingo"/>
    <d v="2026-02-08T00:00:00"/>
    <s v="NÃO"/>
    <x v="0"/>
    <m/>
    <m/>
    <m/>
    <m/>
    <m/>
    <m/>
    <m/>
    <m/>
    <m/>
    <m/>
    <s v="Vila Israel"/>
  </r>
  <r>
    <d v="2026-02-09T00:00:00"/>
    <s v="segunda-feira"/>
    <d v="2026-02-09T00:00:00"/>
    <s v="SIM"/>
    <x v="31"/>
    <s v="Diversas até 28/02 - VI"/>
    <n v="0"/>
    <n v="0"/>
    <n v="64"/>
    <n v="0"/>
    <n v="1"/>
    <n v="0"/>
    <n v="0"/>
    <n v="0"/>
    <n v="0"/>
    <s v="Vila Israel"/>
  </r>
  <r>
    <d v="2026-02-10T00:00:00"/>
    <s v="terça-feira"/>
    <d v="2026-02-10T00:00:00"/>
    <s v="NÃO"/>
    <x v="0"/>
    <m/>
    <m/>
    <m/>
    <m/>
    <m/>
    <m/>
    <m/>
    <m/>
    <m/>
    <m/>
    <s v="Vila Israel"/>
  </r>
  <r>
    <d v="2026-02-11T00:00:00"/>
    <s v="quarta-feira"/>
    <d v="2026-02-11T00:00:00"/>
    <s v="SIM"/>
    <x v="31"/>
    <s v="Diversas até 28/02 - VI"/>
    <n v="0"/>
    <n v="0"/>
    <n v="0"/>
    <n v="12"/>
    <n v="2"/>
    <n v="0"/>
    <n v="0"/>
    <n v="0"/>
    <n v="0"/>
    <s v="Vila Israel"/>
  </r>
  <r>
    <d v="2026-02-12T00:00:00"/>
    <s v="quinta-feira"/>
    <d v="2026-02-12T00:00:00"/>
    <s v="SIM"/>
    <x v="31"/>
    <s v="Diversas até 28/02 - VI"/>
    <n v="1"/>
    <n v="0"/>
    <n v="0"/>
    <n v="18"/>
    <n v="2"/>
    <n v="0"/>
    <n v="0"/>
    <n v="0"/>
    <n v="0"/>
    <s v="Vila Israel"/>
  </r>
  <r>
    <d v="2026-02-13T00:00:00"/>
    <s v="sexta-feira"/>
    <d v="2026-02-13T00:00:00"/>
    <s v="SIM"/>
    <x v="31"/>
    <s v="Diversas até 28/02 - VI"/>
    <n v="0"/>
    <n v="0"/>
    <n v="26"/>
    <n v="0"/>
    <n v="0"/>
    <n v="0"/>
    <n v="0"/>
    <n v="0"/>
    <n v="0"/>
    <s v="Vila Israel"/>
  </r>
  <r>
    <d v="2026-02-14T00:00:00"/>
    <s v="sábado"/>
    <d v="2026-02-14T00:00:00"/>
    <s v="NÃO"/>
    <x v="0"/>
    <m/>
    <m/>
    <m/>
    <m/>
    <m/>
    <m/>
    <m/>
    <m/>
    <m/>
    <m/>
    <s v="Vila Israel"/>
  </r>
  <r>
    <d v="2026-02-15T00:00:00"/>
    <s v="domingo"/>
    <d v="2026-02-15T00:00:00"/>
    <s v="NÃO"/>
    <x v="0"/>
    <m/>
    <m/>
    <m/>
    <m/>
    <m/>
    <m/>
    <m/>
    <m/>
    <m/>
    <m/>
    <s v="Vila Israel"/>
  </r>
  <r>
    <d v="2026-02-16T00:00:00"/>
    <s v="segunda-feira"/>
    <d v="2026-02-16T00:00:00"/>
    <s v="SIM"/>
    <x v="31"/>
    <s v="Diversas até 28/02 - VI"/>
    <n v="0"/>
    <n v="0"/>
    <n v="0"/>
    <n v="0"/>
    <n v="1"/>
    <n v="0"/>
    <n v="3"/>
    <n v="0"/>
    <n v="0"/>
    <s v="Vila Israel"/>
  </r>
  <r>
    <d v="2026-02-17T00:00:00"/>
    <s v="terça-feira"/>
    <d v="2026-02-17T00:00:00"/>
    <s v="NÃO"/>
    <x v="0"/>
    <m/>
    <m/>
    <m/>
    <m/>
    <m/>
    <m/>
    <m/>
    <m/>
    <m/>
    <m/>
    <s v="Vila Israel"/>
  </r>
  <r>
    <d v="2026-02-18T00:00:00"/>
    <s v="quarta-feira"/>
    <d v="2026-02-18T00:00:00"/>
    <s v="SIM"/>
    <x v="31"/>
    <s v="Diversas até 28/02 - VI"/>
    <n v="0"/>
    <n v="0"/>
    <n v="0"/>
    <n v="0"/>
    <n v="1"/>
    <n v="0"/>
    <n v="20"/>
    <n v="0"/>
    <n v="0"/>
    <s v="Vila Israel"/>
  </r>
  <r>
    <d v="2026-02-19T00:00:00"/>
    <s v="quinta-feira"/>
    <d v="2026-02-19T00:00:00"/>
    <s v="SIM"/>
    <x v="31"/>
    <s v="Diversas até 28/02 - VI"/>
    <n v="0"/>
    <n v="0"/>
    <n v="0"/>
    <n v="0"/>
    <n v="1"/>
    <n v="0"/>
    <n v="10"/>
    <n v="0"/>
    <n v="0"/>
    <s v="Vila Israel"/>
  </r>
  <r>
    <d v="2026-02-20T00:00:00"/>
    <s v="sexta-feira"/>
    <d v="2026-02-20T00:00:00"/>
    <s v="NÃO"/>
    <x v="0"/>
    <m/>
    <m/>
    <m/>
    <m/>
    <m/>
    <m/>
    <m/>
    <m/>
    <m/>
    <m/>
    <s v="Vila Israel"/>
  </r>
  <r>
    <d v="2026-02-21T00:00:00"/>
    <s v="sábado"/>
    <d v="2026-02-21T00:00:00"/>
    <s v="NÃO"/>
    <x v="0"/>
    <m/>
    <m/>
    <m/>
    <m/>
    <m/>
    <m/>
    <m/>
    <m/>
    <m/>
    <m/>
    <s v="Vila Israel"/>
  </r>
  <r>
    <d v="2026-02-22T00:00:00"/>
    <s v="domingo"/>
    <d v="2026-02-22T00:00:00"/>
    <s v="NÃO"/>
    <x v="0"/>
    <m/>
    <m/>
    <m/>
    <m/>
    <m/>
    <m/>
    <m/>
    <m/>
    <m/>
    <m/>
    <s v="Vila Israel"/>
  </r>
  <r>
    <d v="2026-02-23T00:00:00"/>
    <s v="segunda-feira"/>
    <d v="2026-02-23T00:00:00"/>
    <s v="SIM"/>
    <x v="31"/>
    <s v="Diversas até 28/02 - VI"/>
    <n v="0"/>
    <n v="0"/>
    <n v="0"/>
    <n v="6"/>
    <n v="0"/>
    <n v="0"/>
    <n v="4"/>
    <n v="0"/>
    <n v="0"/>
    <s v="Vila Israel"/>
  </r>
  <r>
    <d v="2026-02-24T00:00:00"/>
    <s v="terça-feira"/>
    <d v="2026-02-24T00:00:00"/>
    <s v="SIM"/>
    <x v="31"/>
    <s v="Diversas até 28/02 - VI"/>
    <n v="0"/>
    <n v="0"/>
    <n v="0"/>
    <n v="0"/>
    <n v="0"/>
    <n v="0"/>
    <n v="8"/>
    <n v="0"/>
    <n v="0"/>
    <s v="Vila Israel"/>
  </r>
  <r>
    <d v="2026-02-25T00:00:00"/>
    <s v="quarta-feira"/>
    <d v="2026-02-25T00:00:00"/>
    <s v="SIM"/>
    <x v="31"/>
    <s v="Diversas até 28/02 - VI"/>
    <n v="0"/>
    <n v="0"/>
    <n v="0"/>
    <n v="12"/>
    <n v="2"/>
    <n v="4"/>
    <n v="0"/>
    <n v="0"/>
    <n v="0"/>
    <s v="Vila Israel"/>
  </r>
  <r>
    <d v="2026-02-26T00:00:00"/>
    <s v="quinta-feira"/>
    <d v="2026-02-26T00:00:00"/>
    <s v="NÃO"/>
    <x v="0"/>
    <m/>
    <m/>
    <m/>
    <m/>
    <m/>
    <m/>
    <m/>
    <m/>
    <m/>
    <m/>
    <s v="Vila Israel"/>
  </r>
  <r>
    <d v="2026-02-27T00:00:00"/>
    <s v="sexta-feira"/>
    <d v="2026-02-27T00:00:00"/>
    <s v="SIM"/>
    <x v="31"/>
    <s v="Diversas até 28/02 - VI"/>
    <n v="6"/>
    <n v="1"/>
    <n v="0"/>
    <n v="12"/>
    <n v="0"/>
    <n v="9"/>
    <n v="1"/>
    <n v="0"/>
    <n v="0"/>
    <s v="Vila Israel"/>
  </r>
  <r>
    <d v="2026-02-28T00:00:00"/>
    <s v="sábado"/>
    <d v="2026-02-28T00:00:00"/>
    <s v="NÃO"/>
    <x v="0"/>
    <m/>
    <m/>
    <m/>
    <m/>
    <m/>
    <m/>
    <m/>
    <m/>
    <m/>
    <m/>
    <s v="Vila Israel"/>
  </r>
  <r>
    <d v="2026-03-01T00:00:00"/>
    <s v="domingo"/>
    <d v="2026-03-01T00:00:00"/>
    <s v="NÃO"/>
    <x v="0"/>
    <m/>
    <m/>
    <m/>
    <m/>
    <m/>
    <m/>
    <m/>
    <m/>
    <m/>
    <m/>
    <s v="Vila Israel"/>
  </r>
  <r>
    <d v="2026-03-02T00:00:00"/>
    <s v="segunda-feira"/>
    <d v="2026-03-02T00:00:00"/>
    <s v="SIM"/>
    <x v="32"/>
    <s v="ESCADARIA 8"/>
    <m/>
    <m/>
    <m/>
    <n v="12"/>
    <m/>
    <n v="1"/>
    <n v="1"/>
    <m/>
    <m/>
    <s v="Vila Israel"/>
  </r>
  <r>
    <d v="2026-03-02T00:00:00"/>
    <s v="segunda-feira"/>
    <d v="2026-03-02T00:00:00"/>
    <s v="SIM"/>
    <x v="33"/>
    <s v="RUA PRINCIPAL"/>
    <n v="8"/>
    <m/>
    <m/>
    <n v="12"/>
    <n v="1"/>
    <m/>
    <m/>
    <m/>
    <m/>
    <s v="Vila Israel"/>
  </r>
  <r>
    <d v="2026-03-02T00:00:00"/>
    <s v="segunda-feira"/>
    <d v="2026-03-02T00:00:00"/>
    <s v="SIM"/>
    <x v="34"/>
    <s v="RUA PRINCIPAL"/>
    <m/>
    <m/>
    <m/>
    <m/>
    <m/>
    <n v="3"/>
    <m/>
    <m/>
    <m/>
    <s v="Vila Israel"/>
  </r>
  <r>
    <d v="2026-03-02T00:00:00"/>
    <s v="segunda-feira"/>
    <d v="2026-03-02T00:00:00"/>
    <s v="SIM"/>
    <x v="35"/>
    <s v="ESCADRAIA 7"/>
    <m/>
    <m/>
    <m/>
    <m/>
    <m/>
    <m/>
    <n v="7"/>
    <m/>
    <m/>
    <s v="Vila Israel"/>
  </r>
  <r>
    <d v="2026-03-03T00:00:00"/>
    <s v="terça-feira"/>
    <d v="2026-03-03T00:00:00"/>
    <s v="NÃO"/>
    <x v="36"/>
    <m/>
    <m/>
    <m/>
    <m/>
    <m/>
    <m/>
    <m/>
    <m/>
    <m/>
    <m/>
    <s v="Vila Israel"/>
  </r>
  <r>
    <d v="2026-03-04T00:00:00"/>
    <s v="quarta-feira"/>
    <d v="2026-03-04T00:00:00"/>
    <s v="SIM"/>
    <x v="32"/>
    <s v="ESCADARIA 8"/>
    <m/>
    <n v="2"/>
    <m/>
    <n v="6"/>
    <m/>
    <n v="1"/>
    <m/>
    <m/>
    <m/>
    <s v="Vila Israel"/>
  </r>
  <r>
    <d v="2026-03-04T00:00:00"/>
    <s v="quarta-feira"/>
    <d v="2026-03-04T00:00:00"/>
    <s v="SIM"/>
    <x v="33"/>
    <s v="RUA PRINCIPAL"/>
    <n v="2"/>
    <m/>
    <m/>
    <m/>
    <m/>
    <m/>
    <m/>
    <m/>
    <m/>
    <s v="Vila Israel"/>
  </r>
  <r>
    <d v="2026-03-04T00:00:00"/>
    <s v="quarta-feira"/>
    <d v="2026-03-04T00:00:00"/>
    <s v="SIM"/>
    <x v="34"/>
    <s v="RUA PRINCIPAL"/>
    <m/>
    <n v="1"/>
    <m/>
    <n v="6"/>
    <m/>
    <n v="6"/>
    <m/>
    <m/>
    <m/>
    <s v="Vila Israel"/>
  </r>
  <r>
    <d v="2026-03-05T00:00:00"/>
    <s v="quinta-feira"/>
    <d v="2026-03-05T00:00:00"/>
    <s v="SIM"/>
    <x v="32"/>
    <s v="ESCADARIA 8"/>
    <m/>
    <n v="1"/>
    <m/>
    <n v="6"/>
    <m/>
    <n v="1"/>
    <m/>
    <m/>
    <m/>
    <s v="Vila Israel"/>
  </r>
  <r>
    <d v="2026-03-05T00:00:00"/>
    <s v="quinta-feira"/>
    <d v="2026-03-05T00:00:00"/>
    <s v="SIM"/>
    <x v="33"/>
    <s v="RUA PRINCIPAL"/>
    <n v="3"/>
    <m/>
    <m/>
    <m/>
    <m/>
    <m/>
    <m/>
    <m/>
    <m/>
    <s v="Vila Israel"/>
  </r>
  <r>
    <d v="2026-03-05T00:00:00"/>
    <s v="quinta-feira"/>
    <d v="2026-03-05T00:00:00"/>
    <s v="SIM"/>
    <x v="34"/>
    <s v="RUA PRINCIPAL"/>
    <m/>
    <m/>
    <m/>
    <n v="6"/>
    <m/>
    <n v="4"/>
    <n v="3"/>
    <m/>
    <m/>
    <s v="Vila Israel"/>
  </r>
  <r>
    <d v="2026-03-06T00:00:00"/>
    <s v="sexta-feira"/>
    <d v="2026-03-06T00:00:00"/>
    <s v="SIM"/>
    <x v="32"/>
    <s v="ESCADARIA 8"/>
    <m/>
    <n v="2"/>
    <m/>
    <n v="6"/>
    <m/>
    <m/>
    <m/>
    <m/>
    <m/>
    <s v="Vila Israel"/>
  </r>
  <r>
    <d v="2026-03-06T00:00:00"/>
    <s v="sexta-feira"/>
    <d v="2026-03-06T00:00:00"/>
    <s v="SIM"/>
    <x v="33"/>
    <s v="ESCADARIA 7 "/>
    <n v="1"/>
    <m/>
    <n v="15"/>
    <m/>
    <m/>
    <m/>
    <m/>
    <m/>
    <m/>
    <s v="Vila Israel"/>
  </r>
  <r>
    <d v="2026-03-07T00:00:00"/>
    <s v="sábado"/>
    <d v="2026-03-07T00:00:00"/>
    <s v="NÃO"/>
    <x v="0"/>
    <m/>
    <m/>
    <m/>
    <m/>
    <m/>
    <m/>
    <m/>
    <m/>
    <m/>
    <m/>
    <s v="Vila Israel"/>
  </r>
  <r>
    <d v="2026-03-08T00:00:00"/>
    <s v="domingo"/>
    <d v="2026-03-08T00:00:00"/>
    <s v="NÃO"/>
    <x v="0"/>
    <m/>
    <m/>
    <m/>
    <m/>
    <m/>
    <m/>
    <m/>
    <m/>
    <m/>
    <m/>
    <s v="Vila Israel"/>
  </r>
  <r>
    <d v="2026-03-09T00:00:00"/>
    <s v="segunda-feira"/>
    <d v="2026-03-09T00:00:00"/>
    <s v="NÃO"/>
    <x v="0"/>
    <s v="CHUVA"/>
    <m/>
    <m/>
    <m/>
    <m/>
    <m/>
    <m/>
    <m/>
    <m/>
    <m/>
    <s v="Vila Israel"/>
  </r>
  <r>
    <d v="2026-03-10T00:00:00"/>
    <s v="terça-feira"/>
    <d v="2026-03-10T00:00:00"/>
    <s v="NÃO"/>
    <x v="0"/>
    <s v="CHUVA"/>
    <m/>
    <m/>
    <m/>
    <m/>
    <m/>
    <m/>
    <m/>
    <m/>
    <m/>
    <s v="Vila Israel"/>
  </r>
  <r>
    <d v="2026-03-11T00:00:00"/>
    <s v="quarta-feira"/>
    <d v="2026-03-11T00:00:00"/>
    <s v="NÃO"/>
    <x v="0"/>
    <s v="CHUVA"/>
    <m/>
    <m/>
    <m/>
    <m/>
    <m/>
    <m/>
    <m/>
    <m/>
    <m/>
    <s v="Vila Israel"/>
  </r>
  <r>
    <d v="2026-03-12T00:00:00"/>
    <s v="quinta-feira"/>
    <d v="2026-03-12T00:00:00"/>
    <s v="NÃO"/>
    <x v="0"/>
    <s v="CHUVA"/>
    <m/>
    <m/>
    <m/>
    <m/>
    <m/>
    <m/>
    <m/>
    <m/>
    <m/>
    <s v="Vila Israel"/>
  </r>
  <r>
    <d v="2026-03-13T00:00:00"/>
    <s v="sexta-feira"/>
    <d v="2026-03-13T00:00:00"/>
    <s v="SIM"/>
    <x v="33"/>
    <s v="ESCADARIA 7 "/>
    <m/>
    <n v="2"/>
    <m/>
    <m/>
    <m/>
    <m/>
    <m/>
    <m/>
    <m/>
    <s v="Vila Israel"/>
  </r>
  <r>
    <d v="2026-03-14T00:00:00"/>
    <s v="sábado"/>
    <d v="2026-03-14T00:00:00"/>
    <s v="NÃO"/>
    <x v="0"/>
    <m/>
    <m/>
    <m/>
    <m/>
    <m/>
    <m/>
    <m/>
    <m/>
    <m/>
    <m/>
    <s v="Vila Israel"/>
  </r>
  <r>
    <d v="2026-03-15T00:00:00"/>
    <s v="domingo"/>
    <d v="2026-03-15T00:00:00"/>
    <s v="NÃO"/>
    <x v="0"/>
    <m/>
    <m/>
    <m/>
    <m/>
    <m/>
    <m/>
    <m/>
    <m/>
    <m/>
    <m/>
    <s v="Vila Israel"/>
  </r>
  <r>
    <d v="2026-03-16T00:00:00"/>
    <s v="segunda-feira"/>
    <d v="2026-03-16T00:00:00"/>
    <s v="SIM"/>
    <x v="33"/>
    <s v="ESCADARIA 7 "/>
    <n v="7"/>
    <m/>
    <m/>
    <m/>
    <m/>
    <m/>
    <m/>
    <m/>
    <m/>
    <s v="Vila Israel"/>
  </r>
  <r>
    <d v="2026-03-16T00:00:00"/>
    <s v="segunda-feira"/>
    <d v="2026-03-16T00:00:00"/>
    <s v="SIM"/>
    <x v="32"/>
    <s v="ESCADARIA 8"/>
    <m/>
    <m/>
    <m/>
    <m/>
    <n v="1"/>
    <m/>
    <m/>
    <m/>
    <m/>
    <s v="Vila Israel"/>
  </r>
  <r>
    <d v="2026-03-17T00:00:00"/>
    <s v="terça-feira"/>
    <d v="2026-03-17T00:00:00"/>
    <s v="SIM"/>
    <x v="32"/>
    <s v="ESCADARIA 8"/>
    <m/>
    <m/>
    <m/>
    <m/>
    <n v="1"/>
    <m/>
    <m/>
    <m/>
    <m/>
    <s v="Vila Israel"/>
  </r>
  <r>
    <d v="2026-03-17T00:00:00"/>
    <s v="terça-feira"/>
    <d v="2026-03-17T00:00:00"/>
    <s v="SIM"/>
    <x v="33"/>
    <s v="ESCADARIA 7 "/>
    <m/>
    <n v="4"/>
    <n v="24"/>
    <m/>
    <n v="1"/>
    <m/>
    <m/>
    <m/>
    <m/>
    <s v="Vila Israel"/>
  </r>
  <r>
    <d v="2026-03-17T00:00:00"/>
    <s v="terça-feira"/>
    <d v="2026-03-17T00:00:00"/>
    <s v="SIM"/>
    <x v="37"/>
    <s v="ESCADARIA 7 "/>
    <m/>
    <n v="1"/>
    <m/>
    <m/>
    <m/>
    <n v="3"/>
    <m/>
    <m/>
    <m/>
    <s v="Vila Israel"/>
  </r>
  <r>
    <d v="2026-03-17T00:00:00"/>
    <s v="terça-feira"/>
    <d v="2026-03-17T00:00:00"/>
    <s v="SIM"/>
    <x v="18"/>
    <s v="CAMINHO FAZENDINHA "/>
    <m/>
    <n v="4"/>
    <m/>
    <n v="12"/>
    <n v="1"/>
    <n v="1"/>
    <m/>
    <m/>
    <m/>
    <s v="Vila Israel"/>
  </r>
  <r>
    <d v="2026-03-18T00:00:00"/>
    <s v="quarta-feira"/>
    <d v="2026-03-18T00:00:00"/>
    <s v="SIM"/>
    <x v="32"/>
    <s v="ESCADARIA 8"/>
    <m/>
    <m/>
    <m/>
    <m/>
    <n v="1"/>
    <n v="1"/>
    <m/>
    <m/>
    <m/>
    <s v="Vila Israel"/>
  </r>
  <r>
    <d v="2026-03-18T00:00:00"/>
    <s v="quarta-feira"/>
    <d v="2026-03-18T00:00:00"/>
    <s v="SIM"/>
    <x v="33"/>
    <s v="ESCADARIA 7 "/>
    <m/>
    <n v="4"/>
    <n v="32"/>
    <m/>
    <m/>
    <n v="1"/>
    <m/>
    <m/>
    <m/>
    <s v="Vila Israel"/>
  </r>
  <r>
    <d v="2026-03-18T00:00:00"/>
    <s v="quarta-feira"/>
    <d v="2026-03-18T00:00:00"/>
    <s v="SIM"/>
    <x v="37"/>
    <s v="ESCADARIA 7 "/>
    <m/>
    <m/>
    <m/>
    <m/>
    <m/>
    <n v="1"/>
    <m/>
    <m/>
    <m/>
    <s v="Vila Israel"/>
  </r>
  <r>
    <d v="2026-03-18T00:00:00"/>
    <s v="quarta-feira"/>
    <d v="2026-03-18T00:00:00"/>
    <s v="SIM"/>
    <x v="34"/>
    <s v="CAMINHO FAZENDINHA "/>
    <m/>
    <m/>
    <m/>
    <m/>
    <m/>
    <n v="3"/>
    <m/>
    <m/>
    <m/>
    <s v="Vila Israel"/>
  </r>
  <r>
    <d v="2026-03-19T00:00:00"/>
    <s v="quinta-feira"/>
    <d v="2026-03-19T00:00:00"/>
    <s v="SIM"/>
    <x v="32"/>
    <s v="ESCADARIA 8"/>
    <m/>
    <m/>
    <m/>
    <m/>
    <m/>
    <n v="4"/>
    <m/>
    <m/>
    <m/>
    <s v="Vila Israel"/>
  </r>
  <r>
    <d v="2026-03-19T00:00:00"/>
    <s v="quinta-feira"/>
    <d v="2026-03-19T00:00:00"/>
    <s v="SIM"/>
    <x v="35"/>
    <s v="ESCADARIA 8"/>
    <m/>
    <m/>
    <n v="25"/>
    <m/>
    <m/>
    <m/>
    <m/>
    <m/>
    <m/>
    <s v="Vila Israel"/>
  </r>
  <r>
    <d v="2026-03-19T00:00:00"/>
    <s v="quinta-feira"/>
    <d v="2026-03-19T00:00:00"/>
    <s v="SIM"/>
    <x v="34"/>
    <s v="RUA PRINCIPAL"/>
    <m/>
    <m/>
    <m/>
    <m/>
    <m/>
    <n v="2"/>
    <m/>
    <m/>
    <m/>
    <s v="Vila Israel"/>
  </r>
  <r>
    <d v="2026-03-19T00:00:00"/>
    <s v="quinta-feira"/>
    <d v="2026-03-19T00:00:00"/>
    <s v="SIM"/>
    <x v="37"/>
    <s v="ESCADARIA 7 "/>
    <m/>
    <m/>
    <m/>
    <m/>
    <m/>
    <n v="2"/>
    <n v="1"/>
    <m/>
    <m/>
    <s v="Vila Israel"/>
  </r>
  <r>
    <d v="2026-03-20T00:00:00"/>
    <s v="sexta-feira"/>
    <d v="2026-03-20T00:00:00"/>
    <s v="SIM"/>
    <x v="35"/>
    <s v="ESCADARIA 8"/>
    <m/>
    <m/>
    <n v="20"/>
    <m/>
    <m/>
    <m/>
    <m/>
    <m/>
    <m/>
    <s v="Vila Israel"/>
  </r>
  <r>
    <d v="2026-03-20T00:00:00"/>
    <s v="sexta-feira"/>
    <d v="2026-03-20T00:00:00"/>
    <s v="SIM"/>
    <x v="35"/>
    <s v="ESCADARIA 8"/>
    <m/>
    <m/>
    <n v="63"/>
    <m/>
    <m/>
    <n v="6"/>
    <m/>
    <m/>
    <m/>
    <s v="Vila Israel"/>
  </r>
  <r>
    <d v="2026-03-20T00:00:00"/>
    <s v="sexta-feira"/>
    <d v="2026-03-20T00:00:00"/>
    <s v="SIM"/>
    <x v="38"/>
    <s v="ESCADARIA 7 "/>
    <m/>
    <m/>
    <m/>
    <m/>
    <m/>
    <n v="2"/>
    <n v="2"/>
    <m/>
    <m/>
    <s v="Vila Israel"/>
  </r>
  <r>
    <d v="2026-03-21T00:00:00"/>
    <s v="sábado"/>
    <d v="2026-03-21T00:00:00"/>
    <s v="NÃO"/>
    <x v="0"/>
    <m/>
    <m/>
    <m/>
    <m/>
    <m/>
    <m/>
    <m/>
    <m/>
    <m/>
    <m/>
    <s v="Vila Israel"/>
  </r>
  <r>
    <d v="2026-03-22T00:00:00"/>
    <s v="domingo"/>
    <d v="2026-03-22T00:00:00"/>
    <s v="NÃO"/>
    <x v="0"/>
    <m/>
    <m/>
    <m/>
    <m/>
    <m/>
    <m/>
    <m/>
    <m/>
    <m/>
    <m/>
    <s v="Vila Israel"/>
  </r>
  <r>
    <d v="2026-03-23T00:00:00"/>
    <s v="segunda-feira"/>
    <d v="2026-03-23T00:00:00"/>
    <s v="SIM"/>
    <x v="32"/>
    <s v="ESCADARIA 8 "/>
    <m/>
    <n v="3"/>
    <m/>
    <n v="12"/>
    <m/>
    <m/>
    <m/>
    <m/>
    <m/>
    <s v="Vila Israel"/>
  </r>
  <r>
    <d v="2026-03-23T00:00:00"/>
    <s v="segunda-feira"/>
    <d v="2026-03-23T00:00:00"/>
    <s v="SIM"/>
    <x v="35"/>
    <s v="ESCADARIA 8"/>
    <m/>
    <m/>
    <n v="10"/>
    <m/>
    <m/>
    <m/>
    <m/>
    <m/>
    <m/>
    <s v="Vila Israel"/>
  </r>
  <r>
    <d v="2026-03-24T00:00:00"/>
    <s v="terça-feira"/>
    <d v="2026-03-24T00:00:00"/>
    <s v="SIM"/>
    <x v="32"/>
    <s v="ESCADARIA 8"/>
    <m/>
    <n v="2"/>
    <m/>
    <n v="8"/>
    <m/>
    <m/>
    <m/>
    <m/>
    <m/>
    <s v="Vila Israel"/>
  </r>
  <r>
    <d v="2026-03-25T00:00:00"/>
    <s v="quarta-feira"/>
    <d v="2026-03-25T00:00:00"/>
    <s v="SIM"/>
    <x v="32"/>
    <s v="ESCADARIA 8"/>
    <m/>
    <n v="2"/>
    <m/>
    <n v="6"/>
    <n v="1"/>
    <m/>
    <m/>
    <m/>
    <m/>
    <s v="Vila Israel"/>
  </r>
  <r>
    <d v="2026-03-25T00:00:00"/>
    <s v="quarta-feira"/>
    <d v="2026-03-25T00:00:00"/>
    <s v="SIM"/>
    <x v="35"/>
    <s v="ESCADARIA 8"/>
    <m/>
    <n v="2"/>
    <n v="32"/>
    <m/>
    <m/>
    <m/>
    <m/>
    <m/>
    <m/>
    <s v="Vila Israel"/>
  </r>
  <r>
    <d v="2026-03-25T00:00:00"/>
    <s v="quarta-feira"/>
    <d v="2026-03-25T00:00:00"/>
    <s v="SIM"/>
    <x v="35"/>
    <s v="ESCADARIA 6"/>
    <m/>
    <m/>
    <m/>
    <m/>
    <m/>
    <n v="5"/>
    <m/>
    <m/>
    <m/>
    <s v="Vila Israel"/>
  </r>
  <r>
    <d v="2026-03-26T00:00:00"/>
    <s v="quinta-feira"/>
    <d v="2026-03-26T00:00:00"/>
    <s v="SIM"/>
    <x v="32"/>
    <s v="ESCADARIA 8"/>
    <m/>
    <n v="2"/>
    <m/>
    <n v="6"/>
    <m/>
    <m/>
    <m/>
    <m/>
    <m/>
    <s v="Vila Israel"/>
  </r>
  <r>
    <d v="2026-03-26T00:00:00"/>
    <s v="quinta-feira"/>
    <d v="2026-03-26T00:00:00"/>
    <s v="SIM"/>
    <x v="35"/>
    <s v="ESCADARIA 8"/>
    <m/>
    <m/>
    <n v="12"/>
    <m/>
    <m/>
    <m/>
    <m/>
    <m/>
    <m/>
    <s v="Vila Israel"/>
  </r>
  <r>
    <d v="2026-03-26T00:00:00"/>
    <s v="quinta-feira"/>
    <d v="2026-03-26T00:00:00"/>
    <s v="SIM"/>
    <x v="33"/>
    <s v="ESCADARIA 6"/>
    <m/>
    <m/>
    <m/>
    <m/>
    <m/>
    <n v="3"/>
    <m/>
    <m/>
    <m/>
    <s v="Vila Israel"/>
  </r>
  <r>
    <d v="2026-03-27T00:00:00"/>
    <s v="sexta-feira"/>
    <d v="2026-03-27T00:00:00"/>
    <s v="SIM"/>
    <x v="39"/>
    <s v="ESCADARIA 7 "/>
    <m/>
    <m/>
    <m/>
    <m/>
    <m/>
    <n v="10"/>
    <m/>
    <m/>
    <m/>
    <s v="Vila Israel"/>
  </r>
  <r>
    <d v="2026-03-28T00:00:00"/>
    <s v="sábado"/>
    <d v="2026-03-28T00:00:00"/>
    <s v="NÃO"/>
    <x v="0"/>
    <m/>
    <m/>
    <m/>
    <m/>
    <m/>
    <m/>
    <m/>
    <m/>
    <m/>
    <m/>
    <s v="Vila Israel"/>
  </r>
  <r>
    <d v="2026-03-29T00:00:00"/>
    <s v="domingo"/>
    <d v="2026-03-29T00:00:00"/>
    <s v="NÃO"/>
    <x v="0"/>
    <m/>
    <m/>
    <m/>
    <m/>
    <m/>
    <m/>
    <m/>
    <m/>
    <m/>
    <m/>
    <s v="Vila Israel"/>
  </r>
  <r>
    <d v="2026-03-30T00:00:00"/>
    <s v="segunda-feira"/>
    <d v="2026-03-30T00:00:00"/>
    <s v="SIM"/>
    <x v="32"/>
    <s v="ESCADARIA 8"/>
    <n v="9"/>
    <n v="3"/>
    <m/>
    <n v="8"/>
    <n v="1"/>
    <n v="10"/>
    <m/>
    <m/>
    <m/>
    <s v="Vila Israel"/>
  </r>
  <r>
    <d v="2026-03-30T00:00:00"/>
    <s v="segunda-feira"/>
    <d v="2026-03-30T00:00:00"/>
    <s v="SIM"/>
    <x v="35"/>
    <s v="CAMINHO DO MICHEL"/>
    <m/>
    <n v="5"/>
    <m/>
    <n v="12"/>
    <m/>
    <m/>
    <m/>
    <m/>
    <m/>
    <s v="Vila Israel"/>
  </r>
  <r>
    <d v="2026-03-31T00:00:00"/>
    <s v="terça-feira"/>
    <d v="2026-03-31T00:00:00"/>
    <s v="SIM"/>
    <x v="35"/>
    <s v="ESCADARIA 8 "/>
    <m/>
    <m/>
    <n v="20"/>
    <m/>
    <m/>
    <m/>
    <m/>
    <m/>
    <m/>
    <s v="Vila Israel"/>
  </r>
  <r>
    <d v="2026-03-31T00:00:00"/>
    <s v="terça-feira"/>
    <d v="2026-03-31T00:00:00"/>
    <s v="SIM"/>
    <x v="33"/>
    <s v="CAMINHO MICHEL"/>
    <m/>
    <m/>
    <m/>
    <m/>
    <m/>
    <n v="6"/>
    <m/>
    <m/>
    <m/>
    <s v="Vila Israel"/>
  </r>
  <r>
    <d v="2026-04-01T00:00:00"/>
    <s v="quarta-feira"/>
    <d v="2026-04-01T00:00:00"/>
    <s v="SIM"/>
    <x v="35"/>
    <s v="ESCADARIA 8"/>
    <n v="5"/>
    <m/>
    <m/>
    <m/>
    <m/>
    <m/>
    <m/>
    <m/>
    <m/>
    <s v="Vila Israel"/>
  </r>
  <r>
    <d v="2026-04-01T00:00:00"/>
    <s v="quarta-feira"/>
    <d v="2026-04-01T00:00:00"/>
    <s v="SIM"/>
    <x v="32"/>
    <s v="ESCADARIA 8"/>
    <m/>
    <m/>
    <m/>
    <m/>
    <n v="1"/>
    <m/>
    <m/>
    <m/>
    <m/>
    <s v="Vila Israel"/>
  </r>
  <r>
    <d v="2026-04-02T00:00:00"/>
    <s v="quinta-feira"/>
    <d v="2026-04-02T00:00:00"/>
    <s v="NÃO"/>
    <x v="0"/>
    <m/>
    <m/>
    <m/>
    <m/>
    <m/>
    <m/>
    <m/>
    <m/>
    <m/>
    <m/>
    <s v="Vila Israel"/>
  </r>
  <r>
    <d v="2026-04-03T00:00:00"/>
    <s v="sexta-feira"/>
    <d v="2026-04-03T00:00:00"/>
    <s v="NÃO"/>
    <x v="0"/>
    <m/>
    <m/>
    <m/>
    <m/>
    <m/>
    <m/>
    <m/>
    <m/>
    <m/>
    <m/>
    <s v="Vila Israel"/>
  </r>
  <r>
    <d v="2026-04-04T00:00:00"/>
    <s v="sábado"/>
    <d v="2026-04-04T00:00:00"/>
    <s v="NÃO"/>
    <x v="0"/>
    <m/>
    <m/>
    <m/>
    <m/>
    <m/>
    <m/>
    <m/>
    <m/>
    <m/>
    <m/>
    <s v="Vila Israel"/>
  </r>
  <r>
    <d v="2026-04-05T00:00:00"/>
    <s v="domingo"/>
    <d v="2026-04-05T00:00:00"/>
    <s v="NÃO"/>
    <x v="0"/>
    <m/>
    <m/>
    <m/>
    <m/>
    <m/>
    <m/>
    <m/>
    <m/>
    <m/>
    <m/>
    <s v="Vila Israel"/>
  </r>
  <r>
    <d v="2026-04-06T00:00:00"/>
    <s v="segunda-feira"/>
    <d v="2026-04-06T00:00:00"/>
    <s v="NÃO"/>
    <x v="0"/>
    <m/>
    <m/>
    <m/>
    <m/>
    <m/>
    <m/>
    <m/>
    <m/>
    <m/>
    <m/>
    <s v="Vila Israel"/>
  </r>
  <r>
    <d v="2026-04-07T00:00:00"/>
    <s v="terça-feira"/>
    <d v="2026-04-07T00:00:00"/>
    <s v="NÃO"/>
    <x v="0"/>
    <m/>
    <m/>
    <m/>
    <m/>
    <m/>
    <m/>
    <m/>
    <m/>
    <m/>
    <m/>
    <s v="Vila Israel"/>
  </r>
  <r>
    <d v="2026-04-08T00:00:00"/>
    <s v="quarta-feira"/>
    <d v="2026-04-08T00:00:00"/>
    <s v="NÃO"/>
    <x v="0"/>
    <m/>
    <m/>
    <m/>
    <m/>
    <m/>
    <m/>
    <m/>
    <m/>
    <m/>
    <m/>
    <s v="Vila Israel"/>
  </r>
  <r>
    <d v="2026-04-09T00:00:00"/>
    <s v="quinta-feira"/>
    <d v="2026-04-09T00:00:00"/>
    <m/>
    <x v="0"/>
    <m/>
    <m/>
    <m/>
    <m/>
    <m/>
    <m/>
    <m/>
    <m/>
    <m/>
    <m/>
    <s v="Vila Israel"/>
  </r>
  <r>
    <d v="2026-04-10T00:00:00"/>
    <s v="sexta-feira"/>
    <d v="2026-04-10T00:00:00"/>
    <m/>
    <x v="0"/>
    <m/>
    <m/>
    <m/>
    <m/>
    <m/>
    <m/>
    <m/>
    <m/>
    <m/>
    <m/>
    <s v="Vila Israel"/>
  </r>
  <r>
    <d v="2026-04-11T00:00:00"/>
    <s v="sábado"/>
    <d v="2026-04-11T00:00:00"/>
    <s v="NÃO"/>
    <x v="0"/>
    <m/>
    <m/>
    <m/>
    <m/>
    <m/>
    <m/>
    <m/>
    <m/>
    <m/>
    <m/>
    <s v="Vila Israel"/>
  </r>
  <r>
    <d v="2026-04-12T00:00:00"/>
    <s v="domingo"/>
    <d v="2026-04-12T00:00:00"/>
    <s v="NÃO"/>
    <x v="0"/>
    <m/>
    <m/>
    <m/>
    <m/>
    <m/>
    <m/>
    <m/>
    <m/>
    <m/>
    <m/>
    <s v="Vila Israel"/>
  </r>
  <r>
    <d v="2026-04-13T00:00:00"/>
    <s v="segunda-feira"/>
    <d v="2026-04-13T00:00:00"/>
    <m/>
    <x v="0"/>
    <m/>
    <m/>
    <m/>
    <m/>
    <m/>
    <m/>
    <m/>
    <m/>
    <m/>
    <m/>
    <s v="Vila Israel"/>
  </r>
  <r>
    <d v="2026-04-14T00:00:00"/>
    <s v="terça-feira"/>
    <d v="2026-04-14T00:00:00"/>
    <m/>
    <x v="0"/>
    <m/>
    <m/>
    <m/>
    <m/>
    <m/>
    <m/>
    <m/>
    <m/>
    <m/>
    <m/>
    <s v="Vila Israel"/>
  </r>
  <r>
    <d v="2026-04-15T00:00:00"/>
    <s v="quarta-feira"/>
    <d v="2026-04-15T00:00:00"/>
    <m/>
    <x v="0"/>
    <m/>
    <m/>
    <m/>
    <m/>
    <m/>
    <m/>
    <m/>
    <m/>
    <m/>
    <m/>
    <s v="Vila Israel"/>
  </r>
  <r>
    <d v="2026-04-16T00:00:00"/>
    <s v="quinta-feira"/>
    <d v="2026-04-16T00:00:00"/>
    <m/>
    <x v="0"/>
    <m/>
    <m/>
    <m/>
    <m/>
    <m/>
    <m/>
    <m/>
    <m/>
    <m/>
    <m/>
    <s v="Vila Israel"/>
  </r>
  <r>
    <d v="2026-04-17T00:00:00"/>
    <s v="sexta-feira"/>
    <d v="2026-04-17T00:00:00"/>
    <m/>
    <x v="0"/>
    <m/>
    <m/>
    <m/>
    <m/>
    <m/>
    <m/>
    <m/>
    <m/>
    <m/>
    <m/>
    <s v="Vila Israel"/>
  </r>
  <r>
    <d v="2026-04-18T00:00:00"/>
    <s v="sábado"/>
    <d v="2026-04-18T00:00:00"/>
    <s v="NÃO"/>
    <x v="0"/>
    <m/>
    <m/>
    <m/>
    <m/>
    <m/>
    <m/>
    <m/>
    <m/>
    <m/>
    <m/>
    <s v="Vila Israel"/>
  </r>
  <r>
    <d v="2026-04-19T00:00:00"/>
    <s v="domingo"/>
    <d v="2026-04-19T00:00:00"/>
    <s v="NÃO"/>
    <x v="0"/>
    <m/>
    <m/>
    <m/>
    <m/>
    <m/>
    <m/>
    <m/>
    <m/>
    <m/>
    <m/>
    <s v="Vila Israel"/>
  </r>
  <r>
    <d v="2026-04-20T00:00:00"/>
    <s v="segunda-feira"/>
    <d v="2026-04-20T00:00:00"/>
    <m/>
    <x v="0"/>
    <m/>
    <m/>
    <m/>
    <m/>
    <m/>
    <m/>
    <m/>
    <m/>
    <m/>
    <m/>
    <s v="Vila Israel"/>
  </r>
  <r>
    <d v="2026-04-21T00:00:00"/>
    <s v="terça-feira"/>
    <d v="2026-04-21T00:00:00"/>
    <m/>
    <x v="0"/>
    <m/>
    <m/>
    <m/>
    <m/>
    <m/>
    <m/>
    <m/>
    <m/>
    <m/>
    <m/>
    <s v="Vila Israel"/>
  </r>
  <r>
    <d v="2026-04-22T00:00:00"/>
    <s v="quarta-feira"/>
    <d v="2026-04-22T00:00:00"/>
    <m/>
    <x v="0"/>
    <m/>
    <m/>
    <m/>
    <m/>
    <m/>
    <m/>
    <m/>
    <m/>
    <m/>
    <m/>
    <s v="Vila Israel"/>
  </r>
  <r>
    <d v="2026-04-23T00:00:00"/>
    <s v="quinta-feira"/>
    <d v="2026-04-23T00:00:00"/>
    <m/>
    <x v="0"/>
    <m/>
    <m/>
    <m/>
    <m/>
    <m/>
    <m/>
    <m/>
    <m/>
    <m/>
    <m/>
    <s v="Vila Israel"/>
  </r>
  <r>
    <d v="2026-04-24T00:00:00"/>
    <s v="sexta-feira"/>
    <d v="2026-04-24T00:00:00"/>
    <m/>
    <x v="0"/>
    <m/>
    <m/>
    <m/>
    <m/>
    <m/>
    <m/>
    <m/>
    <m/>
    <m/>
    <m/>
    <s v="Vila Israel"/>
  </r>
  <r>
    <d v="2026-04-25T00:00:00"/>
    <s v="sábado"/>
    <d v="2026-04-25T00:00:00"/>
    <s v="NÃO"/>
    <x v="0"/>
    <m/>
    <m/>
    <m/>
    <m/>
    <m/>
    <m/>
    <m/>
    <m/>
    <m/>
    <m/>
    <s v="Vila Israel"/>
  </r>
  <r>
    <d v="2026-04-26T00:00:00"/>
    <s v="domingo"/>
    <d v="2026-04-26T00:00:00"/>
    <s v="NÃO"/>
    <x v="0"/>
    <m/>
    <m/>
    <m/>
    <m/>
    <m/>
    <m/>
    <m/>
    <m/>
    <m/>
    <m/>
    <s v="Vila Israel"/>
  </r>
  <r>
    <d v="2026-04-27T00:00:00"/>
    <s v="segunda-feira"/>
    <d v="2026-04-27T00:00:00"/>
    <m/>
    <x v="0"/>
    <m/>
    <m/>
    <m/>
    <m/>
    <m/>
    <m/>
    <m/>
    <m/>
    <m/>
    <m/>
    <s v="Vila Israel"/>
  </r>
  <r>
    <d v="2026-04-28T00:00:00"/>
    <s v="terça-feira"/>
    <d v="2026-04-28T00:00:00"/>
    <m/>
    <x v="0"/>
    <m/>
    <m/>
    <m/>
    <m/>
    <m/>
    <m/>
    <m/>
    <m/>
    <m/>
    <m/>
    <s v="Vila Israel"/>
  </r>
  <r>
    <d v="2026-04-29T00:00:00"/>
    <s v="quarta-feira"/>
    <d v="2026-04-29T00:00:00"/>
    <m/>
    <x v="0"/>
    <m/>
    <m/>
    <m/>
    <m/>
    <m/>
    <m/>
    <m/>
    <m/>
    <m/>
    <m/>
    <s v="Vila Israel"/>
  </r>
  <r>
    <d v="2026-04-30T00:00:00"/>
    <s v="quinta-feira"/>
    <d v="2026-04-30T00:00:00"/>
    <m/>
    <x v="0"/>
    <m/>
    <m/>
    <m/>
    <m/>
    <m/>
    <m/>
    <m/>
    <m/>
    <m/>
    <m/>
    <s v="Vila Israel"/>
  </r>
  <r>
    <d v="2026-05-01T00:00:00"/>
    <s v="sexta-feira"/>
    <d v="2026-05-01T00:00:00"/>
    <m/>
    <x v="0"/>
    <m/>
    <m/>
    <m/>
    <m/>
    <m/>
    <m/>
    <m/>
    <m/>
    <m/>
    <m/>
    <s v="Vila Israel"/>
  </r>
  <r>
    <d v="2026-05-02T00:00:00"/>
    <s v="sábado"/>
    <d v="2026-05-02T00:00:00"/>
    <s v="NÃO"/>
    <x v="0"/>
    <m/>
    <m/>
    <m/>
    <m/>
    <m/>
    <m/>
    <m/>
    <m/>
    <m/>
    <m/>
    <s v="Vila Israel"/>
  </r>
  <r>
    <d v="2026-05-03T00:00:00"/>
    <s v="domingo"/>
    <d v="2026-05-03T00:00:00"/>
    <s v="NÃO"/>
    <x v="0"/>
    <m/>
    <m/>
    <m/>
    <m/>
    <m/>
    <m/>
    <m/>
    <m/>
    <m/>
    <m/>
    <s v="Vila Israel"/>
  </r>
  <r>
    <d v="2026-05-04T00:00:00"/>
    <s v="segunda-feira"/>
    <d v="2026-05-04T00:00:00"/>
    <m/>
    <x v="0"/>
    <m/>
    <m/>
    <m/>
    <m/>
    <m/>
    <m/>
    <m/>
    <m/>
    <m/>
    <m/>
    <s v="Vila Israel"/>
  </r>
  <r>
    <d v="2026-05-05T00:00:00"/>
    <s v="terça-feira"/>
    <d v="2026-05-05T00:00:00"/>
    <m/>
    <x v="0"/>
    <m/>
    <m/>
    <m/>
    <m/>
    <m/>
    <m/>
    <m/>
    <m/>
    <m/>
    <m/>
    <s v="Vila Israel"/>
  </r>
  <r>
    <d v="2026-05-06T00:00:00"/>
    <s v="quarta-feira"/>
    <d v="2026-05-06T00:00:00"/>
    <m/>
    <x v="0"/>
    <m/>
    <m/>
    <m/>
    <m/>
    <m/>
    <m/>
    <m/>
    <m/>
    <m/>
    <m/>
    <s v="Vila Israel"/>
  </r>
  <r>
    <d v="2026-05-07T00:00:00"/>
    <s v="quinta-feira"/>
    <d v="2026-05-07T00:00:00"/>
    <m/>
    <x v="0"/>
    <m/>
    <m/>
    <m/>
    <m/>
    <m/>
    <m/>
    <m/>
    <m/>
    <m/>
    <m/>
    <s v="Vila Israel"/>
  </r>
  <r>
    <d v="2026-05-08T00:00:00"/>
    <s v="sexta-feira"/>
    <d v="2026-05-08T00:00:00"/>
    <m/>
    <x v="0"/>
    <m/>
    <m/>
    <m/>
    <m/>
    <m/>
    <m/>
    <m/>
    <m/>
    <m/>
    <m/>
    <s v="Vila Israel"/>
  </r>
  <r>
    <d v="2026-05-09T00:00:00"/>
    <s v="sábado"/>
    <d v="2026-05-09T00:00:00"/>
    <s v="NÃO"/>
    <x v="0"/>
    <m/>
    <m/>
    <m/>
    <m/>
    <m/>
    <m/>
    <m/>
    <m/>
    <m/>
    <m/>
    <s v="Vila Israel"/>
  </r>
  <r>
    <d v="2026-05-10T00:00:00"/>
    <s v="domingo"/>
    <d v="2026-05-10T00:00:00"/>
    <s v="NÃO"/>
    <x v="0"/>
    <m/>
    <m/>
    <m/>
    <m/>
    <m/>
    <m/>
    <m/>
    <m/>
    <m/>
    <m/>
    <s v="Vila Israel"/>
  </r>
  <r>
    <d v="2026-05-11T00:00:00"/>
    <s v="segunda-feira"/>
    <d v="2026-05-11T00:00:00"/>
    <m/>
    <x v="0"/>
    <m/>
    <m/>
    <m/>
    <m/>
    <m/>
    <m/>
    <m/>
    <m/>
    <m/>
    <m/>
    <s v="Vila Israel"/>
  </r>
  <r>
    <d v="2026-05-12T00:00:00"/>
    <s v="terça-feira"/>
    <d v="2026-05-12T00:00:00"/>
    <m/>
    <x v="0"/>
    <m/>
    <m/>
    <m/>
    <m/>
    <m/>
    <m/>
    <m/>
    <m/>
    <m/>
    <m/>
    <s v="Vila Israel"/>
  </r>
  <r>
    <d v="2026-05-13T00:00:00"/>
    <s v="quarta-feira"/>
    <d v="2026-05-13T00:00:00"/>
    <m/>
    <x v="0"/>
    <m/>
    <m/>
    <m/>
    <m/>
    <m/>
    <m/>
    <m/>
    <m/>
    <m/>
    <m/>
    <s v="Vila Israel"/>
  </r>
  <r>
    <d v="2026-05-14T00:00:00"/>
    <s v="quinta-feira"/>
    <d v="2026-05-14T00:00:00"/>
    <m/>
    <x v="0"/>
    <m/>
    <m/>
    <m/>
    <m/>
    <m/>
    <m/>
    <m/>
    <m/>
    <m/>
    <m/>
    <s v="Vila Israel"/>
  </r>
  <r>
    <d v="2026-05-15T00:00:00"/>
    <s v="sexta-feira"/>
    <d v="2026-05-15T00:00:00"/>
    <m/>
    <x v="0"/>
    <m/>
    <m/>
    <m/>
    <m/>
    <m/>
    <m/>
    <m/>
    <m/>
    <m/>
    <m/>
    <s v="Vila Israel"/>
  </r>
  <r>
    <d v="2026-05-16T00:00:00"/>
    <s v="sábado"/>
    <d v="2026-05-16T00:00:00"/>
    <s v="NÃO"/>
    <x v="0"/>
    <m/>
    <m/>
    <m/>
    <m/>
    <m/>
    <m/>
    <m/>
    <m/>
    <m/>
    <m/>
    <s v="Vila Israel"/>
  </r>
  <r>
    <d v="2026-05-17T00:00:00"/>
    <s v="domingo"/>
    <d v="2026-05-17T00:00:00"/>
    <s v="NÃO"/>
    <x v="0"/>
    <m/>
    <m/>
    <m/>
    <m/>
    <m/>
    <m/>
    <m/>
    <m/>
    <m/>
    <m/>
    <s v="Vila Israel"/>
  </r>
  <r>
    <d v="2026-05-18T00:00:00"/>
    <s v="segunda-feira"/>
    <d v="2026-05-18T00:00:00"/>
    <m/>
    <x v="0"/>
    <m/>
    <m/>
    <m/>
    <m/>
    <m/>
    <m/>
    <m/>
    <m/>
    <m/>
    <m/>
    <s v="Vila Israel"/>
  </r>
  <r>
    <d v="2026-05-19T00:00:00"/>
    <s v="terça-feira"/>
    <d v="2026-05-19T00:00:00"/>
    <m/>
    <x v="0"/>
    <m/>
    <m/>
    <m/>
    <m/>
    <m/>
    <m/>
    <m/>
    <m/>
    <m/>
    <m/>
    <s v="Vila Israel"/>
  </r>
  <r>
    <d v="2026-05-20T00:00:00"/>
    <s v="quarta-feira"/>
    <d v="2026-05-20T00:00:00"/>
    <m/>
    <x v="0"/>
    <m/>
    <m/>
    <m/>
    <m/>
    <m/>
    <m/>
    <m/>
    <m/>
    <m/>
    <m/>
    <s v="Vila Israel"/>
  </r>
  <r>
    <d v="2026-05-21T00:00:00"/>
    <s v="quinta-feira"/>
    <d v="2026-05-21T00:00:00"/>
    <m/>
    <x v="0"/>
    <m/>
    <m/>
    <m/>
    <m/>
    <m/>
    <m/>
    <m/>
    <m/>
    <m/>
    <m/>
    <s v="Vila Israel"/>
  </r>
  <r>
    <d v="2026-05-22T00:00:00"/>
    <s v="sexta-feira"/>
    <d v="2026-05-22T00:00:00"/>
    <m/>
    <x v="0"/>
    <m/>
    <m/>
    <m/>
    <m/>
    <m/>
    <m/>
    <m/>
    <m/>
    <m/>
    <m/>
    <s v="Vila Israel"/>
  </r>
  <r>
    <d v="2026-05-23T00:00:00"/>
    <s v="sábado"/>
    <d v="2026-05-23T00:00:00"/>
    <s v="NÃO"/>
    <x v="0"/>
    <m/>
    <m/>
    <m/>
    <m/>
    <m/>
    <m/>
    <m/>
    <m/>
    <m/>
    <m/>
    <s v="Vila Israel"/>
  </r>
  <r>
    <d v="2026-05-24T00:00:00"/>
    <s v="domingo"/>
    <d v="2026-05-24T00:00:00"/>
    <s v="NÃO"/>
    <x v="0"/>
    <m/>
    <m/>
    <m/>
    <m/>
    <m/>
    <m/>
    <m/>
    <m/>
    <m/>
    <m/>
    <s v="Vila Israel"/>
  </r>
  <r>
    <d v="2026-05-25T00:00:00"/>
    <s v="segunda-feira"/>
    <d v="2026-05-25T00:00:00"/>
    <m/>
    <x v="0"/>
    <m/>
    <m/>
    <m/>
    <m/>
    <m/>
    <m/>
    <m/>
    <m/>
    <m/>
    <m/>
    <s v="Vila Israel"/>
  </r>
  <r>
    <d v="2026-05-26T00:00:00"/>
    <s v="terça-feira"/>
    <d v="2026-05-26T00:00:00"/>
    <m/>
    <x v="0"/>
    <m/>
    <m/>
    <m/>
    <m/>
    <m/>
    <m/>
    <m/>
    <m/>
    <m/>
    <m/>
    <s v="Vila Israel"/>
  </r>
  <r>
    <d v="2026-05-27T00:00:00"/>
    <s v="quarta-feira"/>
    <d v="2026-05-27T00:00:00"/>
    <m/>
    <x v="0"/>
    <m/>
    <m/>
    <m/>
    <m/>
    <m/>
    <m/>
    <m/>
    <m/>
    <m/>
    <m/>
    <s v="Vila Israel"/>
  </r>
  <r>
    <d v="2026-05-28T00:00:00"/>
    <s v="quinta-feira"/>
    <d v="2026-05-28T00:00:00"/>
    <m/>
    <x v="0"/>
    <m/>
    <m/>
    <m/>
    <m/>
    <m/>
    <m/>
    <m/>
    <m/>
    <m/>
    <m/>
    <s v="Vila Israel"/>
  </r>
  <r>
    <d v="2026-05-29T00:00:00"/>
    <s v="sexta-feira"/>
    <d v="2026-05-29T00:00:00"/>
    <m/>
    <x v="0"/>
    <m/>
    <m/>
    <m/>
    <m/>
    <m/>
    <m/>
    <m/>
    <m/>
    <m/>
    <m/>
    <s v="Vila Israel"/>
  </r>
  <r>
    <d v="2026-05-30T00:00:00"/>
    <s v="sábado"/>
    <d v="2026-05-30T00:00:00"/>
    <s v="NÃO"/>
    <x v="0"/>
    <m/>
    <m/>
    <m/>
    <m/>
    <m/>
    <m/>
    <m/>
    <m/>
    <m/>
    <m/>
    <s v="Vila Israel"/>
  </r>
  <r>
    <d v="2026-05-31T00:00:00"/>
    <s v="domingo"/>
    <d v="2026-05-31T00:00:00"/>
    <s v="NÃO"/>
    <x v="0"/>
    <m/>
    <m/>
    <m/>
    <m/>
    <m/>
    <m/>
    <m/>
    <m/>
    <m/>
    <m/>
    <s v="Vila Israel"/>
  </r>
  <r>
    <d v="2026-06-01T00:00:00"/>
    <s v="segunda-feira"/>
    <d v="2026-06-01T00:00:00"/>
    <m/>
    <x v="0"/>
    <m/>
    <m/>
    <m/>
    <m/>
    <m/>
    <m/>
    <m/>
    <m/>
    <m/>
    <m/>
    <s v="Vila Israel"/>
  </r>
  <r>
    <d v="2026-06-02T00:00:00"/>
    <s v="terça-feira"/>
    <d v="2026-06-02T00:00:00"/>
    <m/>
    <x v="0"/>
    <m/>
    <m/>
    <m/>
    <m/>
    <m/>
    <m/>
    <m/>
    <m/>
    <m/>
    <m/>
    <s v="Vila Israel"/>
  </r>
  <r>
    <d v="2026-06-03T00:00:00"/>
    <s v="quarta-feira"/>
    <d v="2026-06-03T00:00:00"/>
    <m/>
    <x v="0"/>
    <m/>
    <m/>
    <m/>
    <m/>
    <m/>
    <m/>
    <m/>
    <m/>
    <m/>
    <m/>
    <s v="Vila Israel"/>
  </r>
  <r>
    <d v="2026-06-04T00:00:00"/>
    <s v="quinta-feira"/>
    <d v="2026-06-04T00:00:00"/>
    <m/>
    <x v="0"/>
    <m/>
    <m/>
    <m/>
    <m/>
    <m/>
    <m/>
    <m/>
    <m/>
    <m/>
    <m/>
    <s v="Vila Israel"/>
  </r>
  <r>
    <d v="2026-06-05T00:00:00"/>
    <s v="sexta-feira"/>
    <d v="2026-06-05T00:00:00"/>
    <m/>
    <x v="0"/>
    <m/>
    <m/>
    <m/>
    <m/>
    <m/>
    <m/>
    <m/>
    <m/>
    <m/>
    <m/>
    <s v="Vila Israel"/>
  </r>
  <r>
    <d v="2026-06-06T00:00:00"/>
    <s v="sábado"/>
    <d v="2026-06-06T00:00:00"/>
    <s v="NÃO"/>
    <x v="0"/>
    <m/>
    <m/>
    <m/>
    <m/>
    <m/>
    <m/>
    <m/>
    <m/>
    <m/>
    <m/>
    <s v="Vila Israel"/>
  </r>
  <r>
    <d v="2026-06-07T00:00:00"/>
    <s v="domingo"/>
    <d v="2026-06-07T00:00:00"/>
    <s v="NÃO"/>
    <x v="0"/>
    <m/>
    <m/>
    <m/>
    <m/>
    <m/>
    <m/>
    <m/>
    <m/>
    <m/>
    <m/>
    <s v="Vila Israel"/>
  </r>
  <r>
    <d v="2026-06-08T00:00:00"/>
    <s v="segunda-feira"/>
    <d v="2026-06-08T00:00:00"/>
    <m/>
    <x v="0"/>
    <m/>
    <m/>
    <m/>
    <m/>
    <m/>
    <m/>
    <m/>
    <m/>
    <m/>
    <m/>
    <s v="Vila Israel"/>
  </r>
  <r>
    <d v="2026-06-09T00:00:00"/>
    <s v="terça-feira"/>
    <d v="2026-06-09T00:00:00"/>
    <m/>
    <x v="0"/>
    <m/>
    <m/>
    <m/>
    <m/>
    <m/>
    <m/>
    <m/>
    <m/>
    <m/>
    <m/>
    <s v="Vila Israel"/>
  </r>
  <r>
    <d v="2026-06-10T00:00:00"/>
    <s v="quarta-feira"/>
    <d v="2026-06-10T00:00:00"/>
    <m/>
    <x v="0"/>
    <m/>
    <m/>
    <m/>
    <m/>
    <m/>
    <m/>
    <m/>
    <m/>
    <m/>
    <m/>
    <s v="Vila Israel"/>
  </r>
  <r>
    <d v="2026-06-11T00:00:00"/>
    <s v="quinta-feira"/>
    <d v="2026-06-11T00:00:00"/>
    <m/>
    <x v="0"/>
    <m/>
    <m/>
    <m/>
    <m/>
    <m/>
    <m/>
    <m/>
    <m/>
    <m/>
    <m/>
    <s v="Vila Israel"/>
  </r>
  <r>
    <d v="2026-06-12T00:00:00"/>
    <s v="sexta-feira"/>
    <d v="2026-06-12T00:00:00"/>
    <m/>
    <x v="0"/>
    <m/>
    <m/>
    <m/>
    <m/>
    <m/>
    <m/>
    <m/>
    <m/>
    <m/>
    <m/>
    <s v="Vila Israel"/>
  </r>
  <r>
    <d v="2026-06-13T00:00:00"/>
    <s v="sábado"/>
    <d v="2026-06-13T00:00:00"/>
    <s v="NÃO"/>
    <x v="0"/>
    <m/>
    <m/>
    <m/>
    <m/>
    <m/>
    <m/>
    <m/>
    <m/>
    <m/>
    <m/>
    <s v="Vila Israel"/>
  </r>
  <r>
    <d v="2026-06-14T00:00:00"/>
    <s v="domingo"/>
    <d v="2026-06-14T00:00:00"/>
    <s v="NÃO"/>
    <x v="0"/>
    <m/>
    <m/>
    <m/>
    <m/>
    <m/>
    <m/>
    <m/>
    <m/>
    <m/>
    <m/>
    <s v="Vila Israel"/>
  </r>
  <r>
    <d v="2026-06-15T00:00:00"/>
    <s v="segunda-feira"/>
    <d v="2026-06-15T00:00:00"/>
    <m/>
    <x v="0"/>
    <m/>
    <m/>
    <m/>
    <m/>
    <m/>
    <m/>
    <m/>
    <m/>
    <m/>
    <m/>
    <s v="Vila Israel"/>
  </r>
  <r>
    <d v="2026-06-16T00:00:00"/>
    <s v="terça-feira"/>
    <d v="2026-06-16T00:00:00"/>
    <m/>
    <x v="0"/>
    <m/>
    <m/>
    <m/>
    <m/>
    <m/>
    <m/>
    <m/>
    <m/>
    <m/>
    <m/>
    <s v="Vila Israel"/>
  </r>
  <r>
    <d v="2026-06-17T00:00:00"/>
    <s v="quarta-feira"/>
    <d v="2026-06-17T00:00:00"/>
    <m/>
    <x v="0"/>
    <m/>
    <m/>
    <m/>
    <m/>
    <m/>
    <m/>
    <m/>
    <m/>
    <m/>
    <m/>
    <s v="Vila Israel"/>
  </r>
  <r>
    <d v="2026-06-18T00:00:00"/>
    <s v="quinta-feira"/>
    <d v="2026-06-18T00:00:00"/>
    <m/>
    <x v="0"/>
    <m/>
    <m/>
    <m/>
    <m/>
    <m/>
    <m/>
    <m/>
    <m/>
    <m/>
    <m/>
    <s v="Vila Israel"/>
  </r>
  <r>
    <d v="2026-06-19T00:00:00"/>
    <s v="sexta-feira"/>
    <d v="2026-06-19T00:00:00"/>
    <m/>
    <x v="0"/>
    <m/>
    <m/>
    <m/>
    <m/>
    <m/>
    <m/>
    <m/>
    <m/>
    <m/>
    <m/>
    <s v="Vila Israel"/>
  </r>
  <r>
    <d v="2026-06-20T00:00:00"/>
    <s v="sábado"/>
    <d v="2026-06-20T00:00:00"/>
    <s v="NÃO"/>
    <x v="0"/>
    <m/>
    <m/>
    <m/>
    <m/>
    <m/>
    <m/>
    <m/>
    <m/>
    <m/>
    <m/>
    <s v="Vila Israel"/>
  </r>
  <r>
    <d v="2026-06-21T00:00:00"/>
    <s v="domingo"/>
    <d v="2026-06-21T00:00:00"/>
    <s v="NÃO"/>
    <x v="0"/>
    <m/>
    <m/>
    <m/>
    <m/>
    <m/>
    <m/>
    <m/>
    <m/>
    <m/>
    <m/>
    <s v="Vila Israel"/>
  </r>
  <r>
    <d v="2026-06-22T00:00:00"/>
    <s v="segunda-feira"/>
    <d v="2026-06-22T00:00:00"/>
    <m/>
    <x v="0"/>
    <m/>
    <m/>
    <m/>
    <m/>
    <m/>
    <m/>
    <m/>
    <m/>
    <m/>
    <m/>
    <s v="Vila Israel"/>
  </r>
  <r>
    <d v="2026-06-23T00:00:00"/>
    <s v="terça-feira"/>
    <d v="2026-06-23T00:00:00"/>
    <m/>
    <x v="0"/>
    <m/>
    <m/>
    <m/>
    <m/>
    <m/>
    <m/>
    <m/>
    <m/>
    <m/>
    <m/>
    <s v="Vila Israel"/>
  </r>
  <r>
    <d v="2026-06-24T00:00:00"/>
    <s v="quarta-feira"/>
    <d v="2026-06-24T00:00:00"/>
    <m/>
    <x v="0"/>
    <m/>
    <m/>
    <m/>
    <m/>
    <m/>
    <m/>
    <m/>
    <m/>
    <m/>
    <m/>
    <s v="Vila Israel"/>
  </r>
  <r>
    <d v="2026-06-25T00:00:00"/>
    <s v="quinta-feira"/>
    <d v="2026-06-25T00:00:00"/>
    <m/>
    <x v="0"/>
    <m/>
    <m/>
    <m/>
    <m/>
    <m/>
    <m/>
    <m/>
    <m/>
    <m/>
    <m/>
    <s v="Vila Israel"/>
  </r>
  <r>
    <d v="2026-06-26T00:00:00"/>
    <s v="sexta-feira"/>
    <d v="2026-06-26T00:00:00"/>
    <m/>
    <x v="0"/>
    <m/>
    <m/>
    <m/>
    <m/>
    <m/>
    <m/>
    <m/>
    <m/>
    <m/>
    <m/>
    <s v="Vila Israel"/>
  </r>
  <r>
    <d v="2026-06-27T00:00:00"/>
    <s v="sábado"/>
    <d v="2026-06-27T00:00:00"/>
    <s v="NÃO"/>
    <x v="0"/>
    <m/>
    <m/>
    <m/>
    <m/>
    <m/>
    <m/>
    <m/>
    <m/>
    <m/>
    <m/>
    <s v="Vila Israel"/>
  </r>
  <r>
    <d v="2026-06-28T00:00:00"/>
    <s v="domingo"/>
    <d v="2026-06-28T00:00:00"/>
    <s v="NÃO"/>
    <x v="0"/>
    <m/>
    <m/>
    <m/>
    <m/>
    <m/>
    <m/>
    <m/>
    <m/>
    <m/>
    <m/>
    <s v="Vila Israel"/>
  </r>
  <r>
    <d v="2026-06-29T00:00:00"/>
    <s v="segunda-feira"/>
    <d v="2026-06-29T00:00:00"/>
    <m/>
    <x v="0"/>
    <m/>
    <m/>
    <m/>
    <m/>
    <m/>
    <m/>
    <m/>
    <m/>
    <m/>
    <m/>
    <s v="Vila Israel"/>
  </r>
  <r>
    <d v="2026-06-30T00:00:00"/>
    <s v="terça-feira"/>
    <d v="2026-06-30T00:00:00"/>
    <m/>
    <x v="0"/>
    <m/>
    <m/>
    <m/>
    <m/>
    <m/>
    <m/>
    <m/>
    <m/>
    <m/>
    <m/>
    <s v="Vila Israel"/>
  </r>
  <r>
    <d v="2026-07-01T00:00:00"/>
    <s v="quarta-feira"/>
    <d v="2026-07-01T00:00:00"/>
    <m/>
    <x v="0"/>
    <m/>
    <m/>
    <m/>
    <m/>
    <m/>
    <m/>
    <m/>
    <m/>
    <m/>
    <m/>
    <s v="Vila Israel"/>
  </r>
  <r>
    <d v="2026-07-02T00:00:00"/>
    <s v="quinta-feira"/>
    <d v="2026-07-02T00:00:00"/>
    <m/>
    <x v="0"/>
    <m/>
    <m/>
    <m/>
    <m/>
    <m/>
    <m/>
    <m/>
    <m/>
    <m/>
    <m/>
    <s v="Vila Israel"/>
  </r>
  <r>
    <d v="2026-07-03T00:00:00"/>
    <s v="sexta-feira"/>
    <d v="2026-07-03T00:00:00"/>
    <m/>
    <x v="0"/>
    <m/>
    <m/>
    <m/>
    <m/>
    <m/>
    <m/>
    <m/>
    <m/>
    <m/>
    <m/>
    <s v="Vila Israel"/>
  </r>
  <r>
    <d v="2026-07-04T00:00:00"/>
    <s v="sábado"/>
    <d v="2026-07-04T00:00:00"/>
    <s v="NÃO"/>
    <x v="0"/>
    <m/>
    <m/>
    <m/>
    <m/>
    <m/>
    <m/>
    <m/>
    <m/>
    <m/>
    <m/>
    <s v="Vila Israel"/>
  </r>
  <r>
    <d v="2026-07-05T00:00:00"/>
    <s v="domingo"/>
    <d v="2026-07-05T00:00:00"/>
    <s v="NÃO"/>
    <x v="0"/>
    <m/>
    <m/>
    <m/>
    <m/>
    <m/>
    <m/>
    <m/>
    <m/>
    <m/>
    <m/>
    <s v="Vila Israel"/>
  </r>
  <r>
    <d v="2026-07-06T00:00:00"/>
    <s v="segunda-feira"/>
    <d v="2026-07-06T00:00:00"/>
    <m/>
    <x v="0"/>
    <m/>
    <m/>
    <m/>
    <m/>
    <m/>
    <m/>
    <m/>
    <m/>
    <m/>
    <m/>
    <s v="Vila Israel"/>
  </r>
  <r>
    <d v="2026-07-07T00:00:00"/>
    <s v="terça-feira"/>
    <d v="2026-07-07T00:00:00"/>
    <m/>
    <x v="0"/>
    <m/>
    <m/>
    <m/>
    <m/>
    <m/>
    <m/>
    <m/>
    <m/>
    <m/>
    <m/>
    <s v="Vila Israel"/>
  </r>
  <r>
    <d v="2026-07-08T00:00:00"/>
    <s v="quarta-feira"/>
    <d v="2026-07-08T00:00:00"/>
    <m/>
    <x v="0"/>
    <m/>
    <m/>
    <m/>
    <m/>
    <m/>
    <m/>
    <m/>
    <m/>
    <m/>
    <m/>
    <s v="Vila Israel"/>
  </r>
  <r>
    <d v="2026-07-09T00:00:00"/>
    <s v="quinta-feira"/>
    <d v="2026-07-09T00:00:00"/>
    <m/>
    <x v="0"/>
    <m/>
    <m/>
    <m/>
    <m/>
    <m/>
    <m/>
    <m/>
    <m/>
    <m/>
    <m/>
    <s v="Vila Israel"/>
  </r>
  <r>
    <d v="2026-07-10T00:00:00"/>
    <s v="sexta-feira"/>
    <d v="2026-07-10T00:00:00"/>
    <m/>
    <x v="0"/>
    <m/>
    <m/>
    <m/>
    <m/>
    <m/>
    <m/>
    <m/>
    <m/>
    <m/>
    <m/>
    <s v="Vila Israel"/>
  </r>
  <r>
    <d v="2026-07-11T00:00:00"/>
    <s v="sábado"/>
    <d v="2026-07-11T00:00:00"/>
    <s v="NÃO"/>
    <x v="0"/>
    <m/>
    <m/>
    <m/>
    <m/>
    <m/>
    <m/>
    <m/>
    <m/>
    <m/>
    <m/>
    <s v="Vila Israel"/>
  </r>
  <r>
    <d v="2026-07-12T00:00:00"/>
    <s v="domingo"/>
    <d v="2026-07-12T00:00:00"/>
    <s v="NÃO"/>
    <x v="0"/>
    <m/>
    <m/>
    <m/>
    <m/>
    <m/>
    <m/>
    <m/>
    <m/>
    <m/>
    <m/>
    <s v="Vila Israel"/>
  </r>
  <r>
    <d v="2026-07-13T00:00:00"/>
    <s v="segunda-feira"/>
    <d v="2026-07-13T00:00:00"/>
    <m/>
    <x v="0"/>
    <m/>
    <m/>
    <m/>
    <m/>
    <m/>
    <m/>
    <m/>
    <m/>
    <m/>
    <m/>
    <s v="Vila Israel"/>
  </r>
  <r>
    <d v="2026-07-14T00:00:00"/>
    <s v="terça-feira"/>
    <d v="2026-07-14T00:00:00"/>
    <m/>
    <x v="0"/>
    <m/>
    <m/>
    <m/>
    <m/>
    <m/>
    <m/>
    <m/>
    <m/>
    <m/>
    <m/>
    <s v="Vila Israel"/>
  </r>
  <r>
    <d v="2026-07-15T00:00:00"/>
    <s v="quarta-feira"/>
    <d v="2026-07-15T00:00:00"/>
    <m/>
    <x v="0"/>
    <m/>
    <m/>
    <m/>
    <m/>
    <m/>
    <m/>
    <m/>
    <m/>
    <m/>
    <m/>
    <s v="Vila Israel"/>
  </r>
  <r>
    <d v="2026-07-16T00:00:00"/>
    <s v="quinta-feira"/>
    <d v="2026-07-16T00:00:00"/>
    <m/>
    <x v="0"/>
    <m/>
    <m/>
    <m/>
    <m/>
    <m/>
    <m/>
    <m/>
    <m/>
    <m/>
    <m/>
    <s v="Vila Israel"/>
  </r>
  <r>
    <d v="2026-07-17T00:00:00"/>
    <s v="sexta-feira"/>
    <d v="2026-07-17T00:00:00"/>
    <m/>
    <x v="0"/>
    <m/>
    <m/>
    <m/>
    <m/>
    <m/>
    <m/>
    <m/>
    <m/>
    <m/>
    <m/>
    <s v="Vila Israel"/>
  </r>
  <r>
    <d v="2026-07-18T00:00:00"/>
    <s v="sábado"/>
    <d v="2026-07-18T00:00:00"/>
    <s v="NÃO"/>
    <x v="0"/>
    <m/>
    <m/>
    <m/>
    <m/>
    <m/>
    <m/>
    <m/>
    <m/>
    <m/>
    <m/>
    <s v="Vila Israel"/>
  </r>
  <r>
    <d v="2026-07-19T00:00:00"/>
    <s v="domingo"/>
    <d v="2026-07-19T00:00:00"/>
    <s v="NÃO"/>
    <x v="0"/>
    <m/>
    <m/>
    <m/>
    <m/>
    <m/>
    <m/>
    <m/>
    <m/>
    <m/>
    <m/>
    <s v="Vila Israel"/>
  </r>
  <r>
    <d v="2026-07-20T00:00:00"/>
    <s v="segunda-feira"/>
    <d v="2026-07-20T00:00:00"/>
    <m/>
    <x v="0"/>
    <m/>
    <m/>
    <m/>
    <m/>
    <m/>
    <m/>
    <m/>
    <m/>
    <m/>
    <m/>
    <s v="Vila Israel"/>
  </r>
  <r>
    <d v="2026-07-21T00:00:00"/>
    <s v="terça-feira"/>
    <d v="2026-07-21T00:00:00"/>
    <m/>
    <x v="0"/>
    <m/>
    <m/>
    <m/>
    <m/>
    <m/>
    <m/>
    <m/>
    <m/>
    <m/>
    <m/>
    <s v="Vila Israel"/>
  </r>
  <r>
    <d v="2026-07-22T00:00:00"/>
    <s v="quarta-feira"/>
    <d v="2026-07-22T00:00:00"/>
    <m/>
    <x v="0"/>
    <m/>
    <m/>
    <m/>
    <m/>
    <m/>
    <m/>
    <m/>
    <m/>
    <m/>
    <m/>
    <s v="Vila Israel"/>
  </r>
  <r>
    <d v="2026-07-23T00:00:00"/>
    <s v="quinta-feira"/>
    <d v="2026-07-23T00:00:00"/>
    <m/>
    <x v="0"/>
    <m/>
    <m/>
    <m/>
    <m/>
    <m/>
    <m/>
    <m/>
    <m/>
    <m/>
    <m/>
    <s v="Vila Israel"/>
  </r>
  <r>
    <d v="2026-07-24T00:00:00"/>
    <s v="sexta-feira"/>
    <d v="2026-07-24T00:00:00"/>
    <m/>
    <x v="0"/>
    <m/>
    <m/>
    <m/>
    <m/>
    <m/>
    <m/>
    <m/>
    <m/>
    <m/>
    <m/>
    <s v="Vila Israel"/>
  </r>
  <r>
    <d v="2026-07-25T00:00:00"/>
    <s v="sábado"/>
    <d v="2026-07-25T00:00:00"/>
    <s v="NÃO"/>
    <x v="0"/>
    <m/>
    <m/>
    <m/>
    <m/>
    <m/>
    <m/>
    <m/>
    <m/>
    <m/>
    <m/>
    <s v="Vila Israel"/>
  </r>
  <r>
    <d v="2026-07-26T00:00:00"/>
    <s v="domingo"/>
    <d v="2026-07-26T00:00:00"/>
    <s v="NÃO"/>
    <x v="0"/>
    <m/>
    <m/>
    <m/>
    <m/>
    <m/>
    <m/>
    <m/>
    <m/>
    <m/>
    <m/>
    <s v="Vila Israel"/>
  </r>
  <r>
    <d v="2026-07-27T00:00:00"/>
    <s v="segunda-feira"/>
    <d v="2026-07-27T00:00:00"/>
    <m/>
    <x v="0"/>
    <m/>
    <m/>
    <m/>
    <m/>
    <m/>
    <m/>
    <m/>
    <m/>
    <m/>
    <m/>
    <s v="Vila Israel"/>
  </r>
  <r>
    <d v="2026-07-28T00:00:00"/>
    <s v="terça-feira"/>
    <d v="2026-07-28T00:00:00"/>
    <m/>
    <x v="0"/>
    <m/>
    <m/>
    <m/>
    <m/>
    <m/>
    <m/>
    <m/>
    <m/>
    <m/>
    <m/>
    <s v="Vila Israel"/>
  </r>
  <r>
    <d v="2026-07-29T00:00:00"/>
    <s v="quarta-feira"/>
    <d v="2026-07-29T00:00:00"/>
    <m/>
    <x v="0"/>
    <m/>
    <m/>
    <m/>
    <m/>
    <m/>
    <m/>
    <m/>
    <m/>
    <m/>
    <m/>
    <s v="Vila Israel"/>
  </r>
  <r>
    <d v="2026-07-30T00:00:00"/>
    <s v="quinta-feira"/>
    <d v="2026-07-30T00:00:00"/>
    <m/>
    <x v="0"/>
    <m/>
    <m/>
    <m/>
    <m/>
    <m/>
    <m/>
    <m/>
    <m/>
    <m/>
    <m/>
    <s v="Vila Israel"/>
  </r>
  <r>
    <d v="2026-07-31T00:00:00"/>
    <s v="sexta-feira"/>
    <d v="2026-07-31T00:00:00"/>
    <m/>
    <x v="0"/>
    <m/>
    <m/>
    <m/>
    <m/>
    <m/>
    <m/>
    <m/>
    <m/>
    <m/>
    <m/>
    <s v="Vila Israel"/>
  </r>
  <r>
    <d v="2026-08-01T00:00:00"/>
    <s v="sábado"/>
    <d v="2026-08-01T00:00:00"/>
    <s v="NÃO"/>
    <x v="0"/>
    <m/>
    <m/>
    <m/>
    <m/>
    <m/>
    <m/>
    <m/>
    <m/>
    <m/>
    <m/>
    <s v="Vila Israel"/>
  </r>
  <r>
    <d v="2026-08-02T00:00:00"/>
    <s v="domingo"/>
    <d v="2026-08-02T00:00:00"/>
    <s v="NÃO"/>
    <x v="0"/>
    <m/>
    <m/>
    <m/>
    <m/>
    <m/>
    <m/>
    <m/>
    <m/>
    <m/>
    <m/>
    <s v="Vila Israel"/>
  </r>
  <r>
    <d v="2026-08-03T00:00:00"/>
    <s v="segunda-feira"/>
    <d v="2026-08-03T00:00:00"/>
    <m/>
    <x v="0"/>
    <m/>
    <m/>
    <m/>
    <m/>
    <m/>
    <m/>
    <m/>
    <m/>
    <m/>
    <m/>
    <s v="Vila Israel"/>
  </r>
  <r>
    <d v="2026-08-04T00:00:00"/>
    <s v="terça-feira"/>
    <d v="2026-08-04T00:00:00"/>
    <m/>
    <x v="0"/>
    <m/>
    <m/>
    <m/>
    <m/>
    <m/>
    <m/>
    <m/>
    <m/>
    <m/>
    <m/>
    <s v="Vila Israel"/>
  </r>
  <r>
    <d v="2026-08-05T00:00:00"/>
    <s v="quarta-feira"/>
    <d v="2026-08-05T00:00:00"/>
    <m/>
    <x v="0"/>
    <m/>
    <m/>
    <m/>
    <m/>
    <m/>
    <m/>
    <m/>
    <m/>
    <m/>
    <m/>
    <s v="Vila Israel"/>
  </r>
  <r>
    <d v="2026-08-06T00:00:00"/>
    <s v="quinta-feira"/>
    <d v="2026-08-06T00:00:00"/>
    <m/>
    <x v="0"/>
    <m/>
    <m/>
    <m/>
    <m/>
    <m/>
    <m/>
    <m/>
    <m/>
    <m/>
    <m/>
    <s v="Vila Israel"/>
  </r>
  <r>
    <d v="2026-08-07T00:00:00"/>
    <s v="sexta-feira"/>
    <d v="2026-08-07T00:00:00"/>
    <m/>
    <x v="0"/>
    <m/>
    <m/>
    <m/>
    <m/>
    <m/>
    <m/>
    <m/>
    <m/>
    <m/>
    <m/>
    <s v="Vila Israel"/>
  </r>
  <r>
    <d v="2026-08-08T00:00:00"/>
    <s v="sábado"/>
    <d v="2026-08-08T00:00:00"/>
    <s v="NÃO"/>
    <x v="0"/>
    <m/>
    <m/>
    <m/>
    <m/>
    <m/>
    <m/>
    <m/>
    <m/>
    <m/>
    <m/>
    <s v="Vila Israel"/>
  </r>
  <r>
    <d v="2026-08-09T00:00:00"/>
    <s v="domingo"/>
    <d v="2026-08-09T00:00:00"/>
    <s v="NÃO"/>
    <x v="0"/>
    <m/>
    <m/>
    <m/>
    <m/>
    <m/>
    <m/>
    <m/>
    <m/>
    <m/>
    <m/>
    <s v="Vila Israel"/>
  </r>
  <r>
    <d v="2026-08-10T00:00:00"/>
    <s v="segunda-feira"/>
    <d v="2026-08-10T00:00:00"/>
    <m/>
    <x v="0"/>
    <m/>
    <m/>
    <m/>
    <m/>
    <m/>
    <m/>
    <m/>
    <m/>
    <m/>
    <m/>
    <s v="Vila Israel"/>
  </r>
  <r>
    <d v="2026-08-11T00:00:00"/>
    <s v="terça-feira"/>
    <d v="2026-08-11T00:00:00"/>
    <m/>
    <x v="0"/>
    <m/>
    <m/>
    <m/>
    <m/>
    <m/>
    <m/>
    <m/>
    <m/>
    <m/>
    <m/>
    <s v="Vila Israel"/>
  </r>
  <r>
    <d v="2026-08-12T00:00:00"/>
    <s v="quarta-feira"/>
    <d v="2026-08-12T00:00:00"/>
    <m/>
    <x v="0"/>
    <m/>
    <m/>
    <m/>
    <m/>
    <m/>
    <m/>
    <m/>
    <m/>
    <m/>
    <m/>
    <s v="Vila Israel"/>
  </r>
  <r>
    <d v="2026-08-13T00:00:00"/>
    <s v="quinta-feira"/>
    <d v="2026-08-13T00:00:00"/>
    <m/>
    <x v="0"/>
    <m/>
    <m/>
    <m/>
    <m/>
    <m/>
    <m/>
    <m/>
    <m/>
    <m/>
    <m/>
    <s v="Vila Israel"/>
  </r>
  <r>
    <d v="2026-08-14T00:00:00"/>
    <s v="sexta-feira"/>
    <d v="2026-08-14T00:00:00"/>
    <m/>
    <x v="0"/>
    <m/>
    <m/>
    <m/>
    <m/>
    <m/>
    <m/>
    <m/>
    <m/>
    <m/>
    <m/>
    <s v="Vila Israel"/>
  </r>
  <r>
    <d v="2026-08-15T00:00:00"/>
    <s v="sábado"/>
    <d v="2026-08-15T00:00:00"/>
    <s v="NÃO"/>
    <x v="0"/>
    <m/>
    <m/>
    <m/>
    <m/>
    <m/>
    <m/>
    <m/>
    <m/>
    <m/>
    <m/>
    <s v="Vila Israel"/>
  </r>
  <r>
    <d v="2026-08-16T00:00:00"/>
    <s v="domingo"/>
    <d v="2026-08-16T00:00:00"/>
    <s v="NÃO"/>
    <x v="0"/>
    <m/>
    <m/>
    <m/>
    <m/>
    <m/>
    <m/>
    <m/>
    <m/>
    <m/>
    <m/>
    <s v="Vila Israel"/>
  </r>
  <r>
    <d v="2026-08-17T00:00:00"/>
    <s v="segunda-feira"/>
    <d v="2026-08-17T00:00:00"/>
    <m/>
    <x v="0"/>
    <m/>
    <m/>
    <m/>
    <m/>
    <m/>
    <m/>
    <m/>
    <m/>
    <m/>
    <m/>
    <s v="Vila Israel"/>
  </r>
  <r>
    <d v="2026-08-18T00:00:00"/>
    <s v="terça-feira"/>
    <d v="2026-08-18T00:00:00"/>
    <m/>
    <x v="0"/>
    <m/>
    <m/>
    <m/>
    <m/>
    <m/>
    <m/>
    <m/>
    <m/>
    <m/>
    <m/>
    <s v="Vila Israel"/>
  </r>
  <r>
    <d v="2026-08-19T00:00:00"/>
    <s v="quarta-feira"/>
    <d v="2026-08-19T00:00:00"/>
    <m/>
    <x v="0"/>
    <m/>
    <m/>
    <m/>
    <m/>
    <m/>
    <m/>
    <m/>
    <m/>
    <m/>
    <m/>
    <s v="Vila Israel"/>
  </r>
  <r>
    <d v="2026-08-20T00:00:00"/>
    <s v="quinta-feira"/>
    <d v="2026-08-20T00:00:00"/>
    <m/>
    <x v="0"/>
    <m/>
    <m/>
    <m/>
    <m/>
    <m/>
    <m/>
    <m/>
    <m/>
    <m/>
    <m/>
    <s v="Vila Israel"/>
  </r>
  <r>
    <d v="2026-08-21T00:00:00"/>
    <s v="sexta-feira"/>
    <d v="2026-08-21T00:00:00"/>
    <m/>
    <x v="0"/>
    <m/>
    <m/>
    <m/>
    <m/>
    <m/>
    <m/>
    <m/>
    <m/>
    <m/>
    <m/>
    <s v="Vila Israel"/>
  </r>
  <r>
    <d v="2026-08-22T00:00:00"/>
    <s v="sábado"/>
    <d v="2026-08-22T00:00:00"/>
    <s v="NÃO"/>
    <x v="0"/>
    <m/>
    <m/>
    <m/>
    <m/>
    <m/>
    <m/>
    <m/>
    <m/>
    <m/>
    <m/>
    <s v="Vila Israel"/>
  </r>
  <r>
    <d v="2026-08-23T00:00:00"/>
    <s v="domingo"/>
    <d v="2026-08-23T00:00:00"/>
    <s v="NÃO"/>
    <x v="0"/>
    <m/>
    <m/>
    <m/>
    <m/>
    <m/>
    <m/>
    <m/>
    <m/>
    <m/>
    <m/>
    <s v="Vila Israel"/>
  </r>
  <r>
    <d v="2026-08-24T00:00:00"/>
    <s v="segunda-feira"/>
    <d v="2026-08-24T00:00:00"/>
    <m/>
    <x v="0"/>
    <m/>
    <m/>
    <m/>
    <m/>
    <m/>
    <m/>
    <m/>
    <m/>
    <m/>
    <m/>
    <s v="Vila Israel"/>
  </r>
  <r>
    <d v="2026-08-25T00:00:00"/>
    <s v="terça-feira"/>
    <d v="2026-08-25T00:00:00"/>
    <m/>
    <x v="0"/>
    <m/>
    <m/>
    <m/>
    <m/>
    <m/>
    <m/>
    <m/>
    <m/>
    <m/>
    <m/>
    <s v="Vila Israel"/>
  </r>
  <r>
    <d v="2026-08-26T00:00:00"/>
    <s v="quarta-feira"/>
    <d v="2026-08-26T00:00:00"/>
    <m/>
    <x v="0"/>
    <m/>
    <m/>
    <m/>
    <m/>
    <m/>
    <m/>
    <m/>
    <m/>
    <m/>
    <m/>
    <s v="Vila Israel"/>
  </r>
  <r>
    <d v="2026-08-27T00:00:00"/>
    <s v="quinta-feira"/>
    <d v="2026-08-27T00:00:00"/>
    <m/>
    <x v="0"/>
    <m/>
    <m/>
    <m/>
    <m/>
    <m/>
    <m/>
    <m/>
    <m/>
    <m/>
    <m/>
    <s v="Vila Israel"/>
  </r>
  <r>
    <d v="2026-08-28T00:00:00"/>
    <s v="sexta-feira"/>
    <d v="2026-08-28T00:00:00"/>
    <m/>
    <x v="0"/>
    <m/>
    <m/>
    <m/>
    <m/>
    <m/>
    <m/>
    <m/>
    <m/>
    <m/>
    <m/>
    <s v="Vila Israel"/>
  </r>
  <r>
    <d v="2026-08-29T00:00:00"/>
    <s v="sábado"/>
    <d v="2026-08-29T00:00:00"/>
    <s v="NÃO"/>
    <x v="0"/>
    <m/>
    <m/>
    <m/>
    <m/>
    <m/>
    <m/>
    <m/>
    <m/>
    <m/>
    <m/>
    <s v="Vila Israel"/>
  </r>
  <r>
    <d v="2026-08-30T00:00:00"/>
    <s v="domingo"/>
    <d v="2026-08-30T00:00:00"/>
    <s v="NÃO"/>
    <x v="0"/>
    <m/>
    <m/>
    <m/>
    <m/>
    <m/>
    <m/>
    <m/>
    <m/>
    <m/>
    <m/>
    <s v="Vila Israel"/>
  </r>
  <r>
    <d v="2026-08-31T00:00:00"/>
    <s v="segunda-feira"/>
    <d v="2026-08-31T00:00:00"/>
    <m/>
    <x v="0"/>
    <m/>
    <m/>
    <m/>
    <m/>
    <m/>
    <m/>
    <m/>
    <m/>
    <m/>
    <m/>
    <s v="Vila Israel"/>
  </r>
  <r>
    <d v="2026-09-01T00:00:00"/>
    <s v="terça-feira"/>
    <d v="2026-09-01T00:00:00"/>
    <m/>
    <x v="0"/>
    <m/>
    <m/>
    <m/>
    <m/>
    <m/>
    <m/>
    <m/>
    <m/>
    <m/>
    <m/>
    <s v="Vila Israel"/>
  </r>
  <r>
    <d v="2026-09-02T00:00:00"/>
    <s v="quarta-feira"/>
    <d v="2026-09-02T00:00:00"/>
    <m/>
    <x v="0"/>
    <m/>
    <m/>
    <m/>
    <m/>
    <m/>
    <m/>
    <m/>
    <m/>
    <m/>
    <m/>
    <s v="Vila Israel"/>
  </r>
  <r>
    <d v="2026-09-03T00:00:00"/>
    <s v="quinta-feira"/>
    <d v="2026-09-03T00:00:00"/>
    <m/>
    <x v="0"/>
    <m/>
    <m/>
    <m/>
    <m/>
    <m/>
    <m/>
    <m/>
    <m/>
    <m/>
    <m/>
    <s v="Vila Israel"/>
  </r>
  <r>
    <d v="2026-09-04T00:00:00"/>
    <s v="sexta-feira"/>
    <d v="2026-09-04T00:00:00"/>
    <m/>
    <x v="0"/>
    <m/>
    <m/>
    <m/>
    <m/>
    <m/>
    <m/>
    <m/>
    <m/>
    <m/>
    <m/>
    <s v="Vila Israel"/>
  </r>
  <r>
    <d v="2026-09-05T00:00:00"/>
    <s v="sábado"/>
    <d v="2026-09-05T00:00:00"/>
    <s v="NÃO"/>
    <x v="0"/>
    <m/>
    <m/>
    <m/>
    <m/>
    <m/>
    <m/>
    <m/>
    <m/>
    <m/>
    <m/>
    <s v="Vila Israel"/>
  </r>
  <r>
    <d v="2026-09-06T00:00:00"/>
    <s v="domingo"/>
    <d v="2026-09-06T00:00:00"/>
    <s v="NÃO"/>
    <x v="0"/>
    <m/>
    <m/>
    <m/>
    <m/>
    <m/>
    <m/>
    <m/>
    <m/>
    <m/>
    <m/>
    <s v="Vila Israel"/>
  </r>
  <r>
    <d v="2026-09-07T00:00:00"/>
    <s v="segunda-feira"/>
    <d v="2026-09-07T00:00:00"/>
    <m/>
    <x v="0"/>
    <m/>
    <m/>
    <m/>
    <m/>
    <m/>
    <m/>
    <m/>
    <m/>
    <m/>
    <m/>
    <s v="Vila Israel"/>
  </r>
  <r>
    <d v="2026-09-08T00:00:00"/>
    <s v="terça-feira"/>
    <d v="2026-09-08T00:00:00"/>
    <m/>
    <x v="0"/>
    <m/>
    <m/>
    <m/>
    <m/>
    <m/>
    <m/>
    <m/>
    <m/>
    <m/>
    <m/>
    <s v="Vila Israel"/>
  </r>
  <r>
    <d v="2026-09-09T00:00:00"/>
    <s v="quarta-feira"/>
    <d v="2026-09-09T00:00:00"/>
    <m/>
    <x v="0"/>
    <m/>
    <m/>
    <m/>
    <m/>
    <m/>
    <m/>
    <m/>
    <m/>
    <m/>
    <m/>
    <s v="Vila Israel"/>
  </r>
  <r>
    <d v="2026-09-10T00:00:00"/>
    <s v="quinta-feira"/>
    <d v="2026-09-10T00:00:00"/>
    <m/>
    <x v="0"/>
    <m/>
    <m/>
    <m/>
    <m/>
    <m/>
    <m/>
    <m/>
    <m/>
    <m/>
    <m/>
    <s v="Vila Israel"/>
  </r>
  <r>
    <d v="2026-09-11T00:00:00"/>
    <s v="sexta-feira"/>
    <d v="2026-09-11T00:00:00"/>
    <m/>
    <x v="0"/>
    <m/>
    <m/>
    <m/>
    <m/>
    <m/>
    <m/>
    <m/>
    <m/>
    <m/>
    <m/>
    <s v="Vila Israel"/>
  </r>
  <r>
    <d v="2026-09-12T00:00:00"/>
    <s v="sábado"/>
    <d v="2026-09-12T00:00:00"/>
    <s v="NÃO"/>
    <x v="0"/>
    <m/>
    <m/>
    <m/>
    <m/>
    <m/>
    <m/>
    <m/>
    <m/>
    <m/>
    <m/>
    <s v="Vila Israel"/>
  </r>
  <r>
    <d v="2026-09-13T00:00:00"/>
    <s v="domingo"/>
    <d v="2026-09-13T00:00:00"/>
    <s v="NÃO"/>
    <x v="0"/>
    <m/>
    <m/>
    <m/>
    <m/>
    <m/>
    <m/>
    <m/>
    <m/>
    <m/>
    <m/>
    <s v="Vila Israel"/>
  </r>
  <r>
    <d v="2026-09-14T00:00:00"/>
    <s v="segunda-feira"/>
    <d v="2026-09-14T00:00:00"/>
    <m/>
    <x v="0"/>
    <m/>
    <m/>
    <m/>
    <m/>
    <m/>
    <m/>
    <m/>
    <m/>
    <m/>
    <m/>
    <s v="Vila Israel"/>
  </r>
  <r>
    <d v="2026-09-15T00:00:00"/>
    <s v="terça-feira"/>
    <d v="2026-09-15T00:00:00"/>
    <m/>
    <x v="0"/>
    <m/>
    <m/>
    <m/>
    <m/>
    <m/>
    <m/>
    <m/>
    <m/>
    <m/>
    <m/>
    <s v="Vila Israel"/>
  </r>
  <r>
    <d v="2026-09-16T00:00:00"/>
    <s v="quarta-feira"/>
    <d v="2026-09-16T00:00:00"/>
    <m/>
    <x v="0"/>
    <m/>
    <m/>
    <m/>
    <m/>
    <m/>
    <m/>
    <m/>
    <m/>
    <m/>
    <m/>
    <s v="Vila Israel"/>
  </r>
  <r>
    <d v="2026-09-17T00:00:00"/>
    <s v="quinta-feira"/>
    <d v="2026-09-17T00:00:00"/>
    <m/>
    <x v="0"/>
    <m/>
    <m/>
    <m/>
    <m/>
    <m/>
    <m/>
    <m/>
    <m/>
    <m/>
    <m/>
    <s v="Vila Israel"/>
  </r>
  <r>
    <d v="2026-09-18T00:00:00"/>
    <s v="sexta-feira"/>
    <d v="2026-09-18T00:00:00"/>
    <m/>
    <x v="0"/>
    <m/>
    <m/>
    <m/>
    <m/>
    <m/>
    <m/>
    <m/>
    <m/>
    <m/>
    <m/>
    <s v="Vila Israel"/>
  </r>
  <r>
    <d v="2026-09-19T00:00:00"/>
    <s v="sábado"/>
    <d v="2026-09-19T00:00:00"/>
    <s v="NÃO"/>
    <x v="0"/>
    <m/>
    <m/>
    <m/>
    <m/>
    <m/>
    <m/>
    <m/>
    <m/>
    <m/>
    <m/>
    <s v="Vila Israel"/>
  </r>
  <r>
    <d v="2026-09-20T00:00:00"/>
    <s v="domingo"/>
    <d v="2026-09-20T00:00:00"/>
    <s v="NÃO"/>
    <x v="0"/>
    <m/>
    <m/>
    <m/>
    <m/>
    <m/>
    <m/>
    <m/>
    <m/>
    <m/>
    <m/>
    <s v="Vila Israel"/>
  </r>
  <r>
    <d v="2026-09-21T00:00:00"/>
    <s v="segunda-feira"/>
    <d v="2026-09-21T00:00:00"/>
    <m/>
    <x v="0"/>
    <m/>
    <m/>
    <m/>
    <m/>
    <m/>
    <m/>
    <m/>
    <m/>
    <m/>
    <m/>
    <s v="Vila Israel"/>
  </r>
  <r>
    <d v="2026-09-22T00:00:00"/>
    <s v="terça-feira"/>
    <d v="2026-09-22T00:00:00"/>
    <m/>
    <x v="0"/>
    <m/>
    <m/>
    <m/>
    <m/>
    <m/>
    <m/>
    <m/>
    <m/>
    <m/>
    <m/>
    <s v="Vila Israel"/>
  </r>
  <r>
    <d v="2026-09-23T00:00:00"/>
    <s v="quarta-feira"/>
    <d v="2026-09-23T00:00:00"/>
    <m/>
    <x v="0"/>
    <m/>
    <m/>
    <m/>
    <m/>
    <m/>
    <m/>
    <m/>
    <m/>
    <m/>
    <m/>
    <s v="Vila Israel"/>
  </r>
  <r>
    <d v="2026-09-24T00:00:00"/>
    <s v="quinta-feira"/>
    <d v="2026-09-24T00:00:00"/>
    <m/>
    <x v="0"/>
    <m/>
    <m/>
    <m/>
    <m/>
    <m/>
    <m/>
    <m/>
    <m/>
    <m/>
    <m/>
    <s v="Vila Israel"/>
  </r>
  <r>
    <d v="2026-09-25T00:00:00"/>
    <s v="sexta-feira"/>
    <d v="2026-09-25T00:00:00"/>
    <m/>
    <x v="0"/>
    <m/>
    <m/>
    <m/>
    <m/>
    <m/>
    <m/>
    <m/>
    <m/>
    <m/>
    <m/>
    <s v="Vila Israel"/>
  </r>
  <r>
    <d v="2026-09-26T00:00:00"/>
    <s v="sábado"/>
    <d v="2026-09-26T00:00:00"/>
    <s v="NÃO"/>
    <x v="0"/>
    <m/>
    <m/>
    <m/>
    <m/>
    <m/>
    <m/>
    <m/>
    <m/>
    <m/>
    <m/>
    <s v="Vila Israel"/>
  </r>
  <r>
    <d v="2026-09-27T00:00:00"/>
    <s v="domingo"/>
    <d v="2026-09-27T00:00:00"/>
    <s v="NÃO"/>
    <x v="0"/>
    <m/>
    <m/>
    <m/>
    <m/>
    <m/>
    <m/>
    <m/>
    <m/>
    <m/>
    <m/>
    <s v="Vila Israel"/>
  </r>
  <r>
    <d v="2026-09-28T00:00:00"/>
    <s v="segunda-feira"/>
    <d v="2026-09-28T00:00:00"/>
    <m/>
    <x v="0"/>
    <m/>
    <m/>
    <m/>
    <m/>
    <m/>
    <m/>
    <m/>
    <m/>
    <m/>
    <m/>
    <s v="Vila Israel"/>
  </r>
  <r>
    <d v="2026-09-29T00:00:00"/>
    <s v="terça-feira"/>
    <d v="2026-09-29T00:00:00"/>
    <m/>
    <x v="0"/>
    <m/>
    <m/>
    <m/>
    <m/>
    <m/>
    <m/>
    <m/>
    <m/>
    <m/>
    <m/>
    <s v="Vila Israel"/>
  </r>
  <r>
    <d v="2026-09-30T00:00:00"/>
    <s v="quarta-feira"/>
    <d v="2026-09-30T00:00:00"/>
    <m/>
    <x v="0"/>
    <m/>
    <m/>
    <m/>
    <m/>
    <m/>
    <m/>
    <m/>
    <m/>
    <m/>
    <m/>
    <s v="Vila Israel"/>
  </r>
  <r>
    <d v="2026-10-01T00:00:00"/>
    <s v="quinta-feira"/>
    <d v="2026-10-01T00:00:00"/>
    <m/>
    <x v="0"/>
    <m/>
    <m/>
    <m/>
    <m/>
    <m/>
    <m/>
    <m/>
    <m/>
    <m/>
    <m/>
    <s v="Vila Israel"/>
  </r>
  <r>
    <d v="2026-10-02T00:00:00"/>
    <s v="sexta-feira"/>
    <d v="2026-10-02T00:00:00"/>
    <m/>
    <x v="0"/>
    <m/>
    <m/>
    <m/>
    <m/>
    <m/>
    <m/>
    <m/>
    <m/>
    <m/>
    <m/>
    <s v="Vila Israel"/>
  </r>
  <r>
    <d v="2026-10-03T00:00:00"/>
    <s v="sábado"/>
    <d v="2026-10-03T00:00:00"/>
    <s v="NÃO"/>
    <x v="0"/>
    <m/>
    <m/>
    <m/>
    <m/>
    <m/>
    <m/>
    <m/>
    <m/>
    <m/>
    <m/>
    <s v="Vila Israel"/>
  </r>
  <r>
    <d v="2026-10-04T00:00:00"/>
    <s v="domingo"/>
    <d v="2026-10-04T00:00:00"/>
    <s v="NÃO"/>
    <x v="0"/>
    <m/>
    <m/>
    <m/>
    <m/>
    <m/>
    <m/>
    <m/>
    <m/>
    <m/>
    <m/>
    <s v="Vila Israel"/>
  </r>
  <r>
    <d v="2026-10-05T00:00:00"/>
    <s v="segunda-feira"/>
    <d v="2026-10-05T00:00:00"/>
    <m/>
    <x v="0"/>
    <m/>
    <m/>
    <m/>
    <m/>
    <m/>
    <m/>
    <m/>
    <m/>
    <m/>
    <m/>
    <s v="Vila Israel"/>
  </r>
  <r>
    <d v="2026-10-06T00:00:00"/>
    <s v="terça-feira"/>
    <d v="2026-10-06T00:00:00"/>
    <m/>
    <x v="0"/>
    <m/>
    <m/>
    <m/>
    <m/>
    <m/>
    <m/>
    <m/>
    <m/>
    <m/>
    <m/>
    <s v="Vila Israel"/>
  </r>
  <r>
    <d v="2026-10-07T00:00:00"/>
    <s v="quarta-feira"/>
    <d v="2026-10-07T00:00:00"/>
    <m/>
    <x v="0"/>
    <m/>
    <m/>
    <m/>
    <m/>
    <m/>
    <m/>
    <m/>
    <m/>
    <m/>
    <m/>
    <s v="Vila Israel"/>
  </r>
  <r>
    <d v="2026-10-08T00:00:00"/>
    <s v="quinta-feira"/>
    <d v="2026-10-08T00:00:00"/>
    <m/>
    <x v="0"/>
    <m/>
    <m/>
    <m/>
    <m/>
    <m/>
    <m/>
    <m/>
    <m/>
    <m/>
    <m/>
    <s v="Vila Israel"/>
  </r>
  <r>
    <d v="2026-10-09T00:00:00"/>
    <s v="sexta-feira"/>
    <d v="2026-10-09T00:00:00"/>
    <m/>
    <x v="0"/>
    <m/>
    <m/>
    <m/>
    <m/>
    <m/>
    <m/>
    <m/>
    <m/>
    <m/>
    <m/>
    <s v="Vila Israel"/>
  </r>
  <r>
    <d v="2026-10-10T00:00:00"/>
    <s v="sábado"/>
    <d v="2026-10-10T00:00:00"/>
    <s v="NÃO"/>
    <x v="0"/>
    <m/>
    <m/>
    <m/>
    <m/>
    <m/>
    <m/>
    <m/>
    <m/>
    <m/>
    <m/>
    <s v="Vila Israel"/>
  </r>
  <r>
    <d v="2026-10-11T00:00:00"/>
    <s v="domingo"/>
    <d v="2026-10-11T00:00:00"/>
    <s v="NÃO"/>
    <x v="0"/>
    <m/>
    <m/>
    <m/>
    <m/>
    <m/>
    <m/>
    <m/>
    <m/>
    <m/>
    <m/>
    <s v="Vila Israel"/>
  </r>
  <r>
    <d v="2026-10-12T00:00:00"/>
    <s v="segunda-feira"/>
    <d v="2026-10-12T00:00:00"/>
    <m/>
    <x v="0"/>
    <m/>
    <m/>
    <m/>
    <m/>
    <m/>
    <m/>
    <m/>
    <m/>
    <m/>
    <m/>
    <s v="Vila Israel"/>
  </r>
  <r>
    <d v="2026-10-13T00:00:00"/>
    <s v="terça-feira"/>
    <d v="2026-10-13T00:00:00"/>
    <m/>
    <x v="0"/>
    <m/>
    <m/>
    <m/>
    <m/>
    <m/>
    <m/>
    <m/>
    <m/>
    <m/>
    <m/>
    <s v="Vila Israel"/>
  </r>
  <r>
    <d v="2026-10-14T00:00:00"/>
    <s v="quarta-feira"/>
    <d v="2026-10-14T00:00:00"/>
    <m/>
    <x v="0"/>
    <m/>
    <m/>
    <m/>
    <m/>
    <m/>
    <m/>
    <m/>
    <m/>
    <m/>
    <m/>
    <s v="Vila Israel"/>
  </r>
  <r>
    <d v="2026-10-15T00:00:00"/>
    <s v="quinta-feira"/>
    <d v="2026-10-15T00:00:00"/>
    <m/>
    <x v="0"/>
    <m/>
    <m/>
    <m/>
    <m/>
    <m/>
    <m/>
    <m/>
    <m/>
    <m/>
    <m/>
    <s v="Vila Israel"/>
  </r>
  <r>
    <d v="2026-10-16T00:00:00"/>
    <s v="sexta-feira"/>
    <d v="2026-10-16T00:00:00"/>
    <m/>
    <x v="0"/>
    <m/>
    <m/>
    <m/>
    <m/>
    <m/>
    <m/>
    <m/>
    <m/>
    <m/>
    <m/>
    <s v="Vila Israel"/>
  </r>
  <r>
    <d v="2026-10-17T00:00:00"/>
    <s v="sábado"/>
    <d v="2026-10-17T00:00:00"/>
    <s v="NÃO"/>
    <x v="0"/>
    <m/>
    <m/>
    <m/>
    <m/>
    <m/>
    <m/>
    <m/>
    <m/>
    <m/>
    <m/>
    <s v="Vila Israel"/>
  </r>
  <r>
    <d v="2026-10-18T00:00:00"/>
    <s v="domingo"/>
    <d v="2026-10-18T00:00:00"/>
    <s v="NÃO"/>
    <x v="0"/>
    <m/>
    <m/>
    <m/>
    <m/>
    <m/>
    <m/>
    <m/>
    <m/>
    <m/>
    <m/>
    <s v="Vila Israel"/>
  </r>
  <r>
    <d v="2026-10-19T00:00:00"/>
    <s v="segunda-feira"/>
    <d v="2026-10-19T00:00:00"/>
    <m/>
    <x v="0"/>
    <m/>
    <m/>
    <m/>
    <m/>
    <m/>
    <m/>
    <m/>
    <m/>
    <m/>
    <m/>
    <s v="Vila Israel"/>
  </r>
  <r>
    <d v="2026-10-20T00:00:00"/>
    <s v="terça-feira"/>
    <d v="2026-10-20T00:00:00"/>
    <m/>
    <x v="0"/>
    <m/>
    <m/>
    <m/>
    <m/>
    <m/>
    <m/>
    <m/>
    <m/>
    <m/>
    <m/>
    <s v="Vila Israel"/>
  </r>
  <r>
    <d v="2026-10-21T00:00:00"/>
    <s v="quarta-feira"/>
    <d v="2026-10-21T00:00:00"/>
    <m/>
    <x v="0"/>
    <m/>
    <m/>
    <m/>
    <m/>
    <m/>
    <m/>
    <m/>
    <m/>
    <m/>
    <m/>
    <s v="Vila Israel"/>
  </r>
  <r>
    <d v="2026-10-22T00:00:00"/>
    <s v="quinta-feira"/>
    <d v="2026-10-22T00:00:00"/>
    <m/>
    <x v="0"/>
    <m/>
    <m/>
    <m/>
    <m/>
    <m/>
    <m/>
    <m/>
    <m/>
    <m/>
    <m/>
    <s v="Vila Israel"/>
  </r>
  <r>
    <d v="2026-10-23T00:00:00"/>
    <s v="sexta-feira"/>
    <d v="2026-10-23T00:00:00"/>
    <m/>
    <x v="0"/>
    <m/>
    <m/>
    <m/>
    <m/>
    <m/>
    <m/>
    <m/>
    <m/>
    <m/>
    <m/>
    <s v="Vila Israel"/>
  </r>
  <r>
    <d v="2026-10-24T00:00:00"/>
    <s v="sábado"/>
    <d v="2026-10-24T00:00:00"/>
    <s v="NÃO"/>
    <x v="0"/>
    <m/>
    <m/>
    <m/>
    <m/>
    <m/>
    <m/>
    <m/>
    <m/>
    <m/>
    <m/>
    <s v="Vila Israel"/>
  </r>
  <r>
    <d v="2026-10-25T00:00:00"/>
    <s v="domingo"/>
    <d v="2026-10-25T00:00:00"/>
    <s v="NÃO"/>
    <x v="0"/>
    <m/>
    <m/>
    <m/>
    <m/>
    <m/>
    <m/>
    <m/>
    <m/>
    <m/>
    <m/>
    <s v="Vila Israel"/>
  </r>
  <r>
    <d v="2026-10-26T00:00:00"/>
    <s v="segunda-feira"/>
    <d v="2026-10-26T00:00:00"/>
    <m/>
    <x v="0"/>
    <m/>
    <m/>
    <m/>
    <m/>
    <m/>
    <m/>
    <m/>
    <m/>
    <m/>
    <m/>
    <s v="Vila Israel"/>
  </r>
  <r>
    <d v="2026-10-27T00:00:00"/>
    <s v="terça-feira"/>
    <d v="2026-10-27T00:00:00"/>
    <m/>
    <x v="0"/>
    <m/>
    <m/>
    <m/>
    <m/>
    <m/>
    <m/>
    <m/>
    <m/>
    <m/>
    <m/>
    <s v="Vila Israel"/>
  </r>
  <r>
    <d v="2026-10-28T00:00:00"/>
    <s v="quarta-feira"/>
    <d v="2026-10-28T00:00:00"/>
    <m/>
    <x v="0"/>
    <m/>
    <m/>
    <m/>
    <m/>
    <m/>
    <m/>
    <m/>
    <m/>
    <m/>
    <m/>
    <s v="Vila Israel"/>
  </r>
  <r>
    <d v="2026-10-29T00:00:00"/>
    <s v="quinta-feira"/>
    <d v="2026-10-29T00:00:00"/>
    <m/>
    <x v="0"/>
    <m/>
    <m/>
    <m/>
    <m/>
    <m/>
    <m/>
    <m/>
    <m/>
    <m/>
    <m/>
    <s v="Vila Israel"/>
  </r>
  <r>
    <d v="2026-10-30T00:00:00"/>
    <s v="sexta-feira"/>
    <d v="2026-10-30T00:00:00"/>
    <m/>
    <x v="0"/>
    <m/>
    <m/>
    <m/>
    <m/>
    <m/>
    <m/>
    <m/>
    <m/>
    <m/>
    <m/>
    <s v="Vila Israel"/>
  </r>
  <r>
    <d v="2026-10-31T00:00:00"/>
    <s v="sábado"/>
    <d v="2026-10-31T00:00:00"/>
    <s v="NÃO"/>
    <x v="0"/>
    <m/>
    <m/>
    <m/>
    <m/>
    <m/>
    <m/>
    <m/>
    <m/>
    <m/>
    <m/>
    <s v="Vila Israel"/>
  </r>
  <r>
    <d v="2026-11-01T00:00:00"/>
    <s v="domingo"/>
    <d v="2026-11-01T00:00:00"/>
    <s v="NÃO"/>
    <x v="0"/>
    <m/>
    <m/>
    <m/>
    <m/>
    <m/>
    <m/>
    <m/>
    <m/>
    <m/>
    <m/>
    <s v="Vila Israel"/>
  </r>
  <r>
    <d v="2026-11-02T00:00:00"/>
    <s v="segunda-feira"/>
    <d v="2026-11-02T00:00:00"/>
    <m/>
    <x v="0"/>
    <m/>
    <m/>
    <m/>
    <m/>
    <m/>
    <m/>
    <m/>
    <m/>
    <m/>
    <m/>
    <s v="Vila Israel"/>
  </r>
  <r>
    <d v="2026-11-03T00:00:00"/>
    <s v="terça-feira"/>
    <d v="2026-11-03T00:00:00"/>
    <m/>
    <x v="0"/>
    <m/>
    <m/>
    <m/>
    <m/>
    <m/>
    <m/>
    <m/>
    <m/>
    <m/>
    <m/>
    <s v="Vila Israel"/>
  </r>
  <r>
    <d v="2026-11-04T00:00:00"/>
    <s v="quarta-feira"/>
    <d v="2026-11-04T00:00:00"/>
    <m/>
    <x v="0"/>
    <m/>
    <m/>
    <m/>
    <m/>
    <m/>
    <m/>
    <m/>
    <m/>
    <m/>
    <m/>
    <s v="Vila Israel"/>
  </r>
  <r>
    <d v="2026-11-05T00:00:00"/>
    <s v="quinta-feira"/>
    <d v="2026-11-05T00:00:00"/>
    <m/>
    <x v="0"/>
    <m/>
    <m/>
    <m/>
    <m/>
    <m/>
    <m/>
    <m/>
    <m/>
    <m/>
    <m/>
    <s v="Vila Israel"/>
  </r>
  <r>
    <d v="2026-11-06T00:00:00"/>
    <s v="sexta-feira"/>
    <d v="2026-11-06T00:00:00"/>
    <m/>
    <x v="0"/>
    <m/>
    <m/>
    <m/>
    <m/>
    <m/>
    <m/>
    <m/>
    <m/>
    <m/>
    <m/>
    <s v="Vila Israel"/>
  </r>
  <r>
    <d v="2026-11-07T00:00:00"/>
    <s v="sábado"/>
    <d v="2026-11-07T00:00:00"/>
    <s v="NÃO"/>
    <x v="0"/>
    <m/>
    <m/>
    <m/>
    <m/>
    <m/>
    <m/>
    <m/>
    <m/>
    <m/>
    <m/>
    <s v="Vila Israel"/>
  </r>
  <r>
    <d v="2026-11-08T00:00:00"/>
    <s v="domingo"/>
    <d v="2026-11-08T00:00:00"/>
    <s v="NÃO"/>
    <x v="0"/>
    <m/>
    <m/>
    <m/>
    <m/>
    <m/>
    <m/>
    <m/>
    <m/>
    <m/>
    <m/>
    <s v="Vila Israel"/>
  </r>
  <r>
    <d v="2026-11-09T00:00:00"/>
    <s v="segunda-feira"/>
    <d v="2026-11-09T00:00:00"/>
    <m/>
    <x v="0"/>
    <m/>
    <m/>
    <m/>
    <m/>
    <m/>
    <m/>
    <m/>
    <m/>
    <m/>
    <m/>
    <s v="Vila Israel"/>
  </r>
  <r>
    <d v="2026-11-10T00:00:00"/>
    <s v="terça-feira"/>
    <d v="2026-11-10T00:00:00"/>
    <m/>
    <x v="0"/>
    <m/>
    <m/>
    <m/>
    <m/>
    <m/>
    <m/>
    <m/>
    <m/>
    <m/>
    <m/>
    <s v="Vila Israel"/>
  </r>
  <r>
    <d v="2026-11-11T00:00:00"/>
    <s v="quarta-feira"/>
    <d v="2026-11-11T00:00:00"/>
    <m/>
    <x v="0"/>
    <m/>
    <m/>
    <m/>
    <m/>
    <m/>
    <m/>
    <m/>
    <m/>
    <m/>
    <m/>
    <s v="Vila Israel"/>
  </r>
  <r>
    <d v="2026-11-12T00:00:00"/>
    <s v="quinta-feira"/>
    <d v="2026-11-12T00:00:00"/>
    <m/>
    <x v="0"/>
    <m/>
    <m/>
    <m/>
    <m/>
    <m/>
    <m/>
    <m/>
    <m/>
    <m/>
    <m/>
    <s v="Vila Israel"/>
  </r>
  <r>
    <d v="2026-11-13T00:00:00"/>
    <s v="sexta-feira"/>
    <d v="2026-11-13T00:00:00"/>
    <m/>
    <x v="0"/>
    <m/>
    <m/>
    <m/>
    <m/>
    <m/>
    <m/>
    <m/>
    <m/>
    <m/>
    <m/>
    <s v="Vila Israel"/>
  </r>
  <r>
    <d v="2026-11-14T00:00:00"/>
    <s v="sábado"/>
    <d v="2026-11-14T00:00:00"/>
    <s v="NÃO"/>
    <x v="0"/>
    <m/>
    <m/>
    <m/>
    <m/>
    <m/>
    <m/>
    <m/>
    <m/>
    <m/>
    <m/>
    <s v="Vila Israel"/>
  </r>
  <r>
    <d v="2026-11-15T00:00:00"/>
    <s v="domingo"/>
    <d v="2026-11-15T00:00:00"/>
    <s v="NÃO"/>
    <x v="0"/>
    <m/>
    <m/>
    <m/>
    <m/>
    <m/>
    <m/>
    <m/>
    <m/>
    <m/>
    <m/>
    <s v="Vila Israel"/>
  </r>
  <r>
    <d v="2026-11-16T00:00:00"/>
    <s v="segunda-feira"/>
    <d v="2026-11-16T00:00:00"/>
    <m/>
    <x v="0"/>
    <m/>
    <m/>
    <m/>
    <m/>
    <m/>
    <m/>
    <m/>
    <m/>
    <m/>
    <m/>
    <s v="Vila Israel"/>
  </r>
  <r>
    <d v="2026-11-17T00:00:00"/>
    <s v="terça-feira"/>
    <d v="2026-11-17T00:00:00"/>
    <m/>
    <x v="0"/>
    <m/>
    <m/>
    <m/>
    <m/>
    <m/>
    <m/>
    <m/>
    <m/>
    <m/>
    <m/>
    <s v="Vila Israel"/>
  </r>
  <r>
    <d v="2026-11-18T00:00:00"/>
    <s v="quarta-feira"/>
    <d v="2026-11-18T00:00:00"/>
    <m/>
    <x v="0"/>
    <m/>
    <m/>
    <m/>
    <m/>
    <m/>
    <m/>
    <m/>
    <m/>
    <m/>
    <m/>
    <s v="Vila Israel"/>
  </r>
  <r>
    <d v="2026-11-19T00:00:00"/>
    <s v="quinta-feira"/>
    <d v="2026-11-19T00:00:00"/>
    <m/>
    <x v="0"/>
    <m/>
    <m/>
    <m/>
    <m/>
    <m/>
    <m/>
    <m/>
    <m/>
    <m/>
    <m/>
    <s v="Vila Israel"/>
  </r>
  <r>
    <d v="2026-11-20T00:00:00"/>
    <s v="sexta-feira"/>
    <d v="2026-11-20T00:00:00"/>
    <m/>
    <x v="0"/>
    <m/>
    <m/>
    <m/>
    <m/>
    <m/>
    <m/>
    <m/>
    <m/>
    <m/>
    <m/>
    <s v="Vila Israel"/>
  </r>
  <r>
    <d v="2026-11-21T00:00:00"/>
    <s v="sábado"/>
    <d v="2026-11-21T00:00:00"/>
    <s v="NÃO"/>
    <x v="0"/>
    <m/>
    <m/>
    <m/>
    <m/>
    <m/>
    <m/>
    <m/>
    <m/>
    <m/>
    <m/>
    <s v="Vila Israel"/>
  </r>
  <r>
    <d v="2026-11-22T00:00:00"/>
    <s v="domingo"/>
    <d v="2026-11-22T00:00:00"/>
    <s v="NÃO"/>
    <x v="0"/>
    <m/>
    <m/>
    <m/>
    <m/>
    <m/>
    <m/>
    <m/>
    <m/>
    <m/>
    <m/>
    <s v="Vila Israel"/>
  </r>
  <r>
    <d v="2026-11-23T00:00:00"/>
    <s v="segunda-feira"/>
    <d v="2026-11-23T00:00:00"/>
    <m/>
    <x v="0"/>
    <m/>
    <m/>
    <m/>
    <m/>
    <m/>
    <m/>
    <m/>
    <m/>
    <m/>
    <m/>
    <s v="Vila Israel"/>
  </r>
  <r>
    <d v="2026-11-24T00:00:00"/>
    <s v="terça-feira"/>
    <d v="2026-11-24T00:00:00"/>
    <m/>
    <x v="0"/>
    <m/>
    <m/>
    <m/>
    <m/>
    <m/>
    <m/>
    <m/>
    <m/>
    <m/>
    <m/>
    <s v="Vila Israel"/>
  </r>
  <r>
    <d v="2026-11-25T00:00:00"/>
    <s v="quarta-feira"/>
    <d v="2026-11-25T00:00:00"/>
    <m/>
    <x v="0"/>
    <m/>
    <m/>
    <m/>
    <m/>
    <m/>
    <m/>
    <m/>
    <m/>
    <m/>
    <m/>
    <s v="Vila Israel"/>
  </r>
  <r>
    <d v="2026-11-26T00:00:00"/>
    <s v="quinta-feira"/>
    <d v="2026-11-26T00:00:00"/>
    <m/>
    <x v="0"/>
    <m/>
    <m/>
    <m/>
    <m/>
    <m/>
    <m/>
    <m/>
    <m/>
    <m/>
    <m/>
    <s v="Vila Israel"/>
  </r>
  <r>
    <d v="2026-11-27T00:00:00"/>
    <s v="sexta-feira"/>
    <d v="2026-11-27T00:00:00"/>
    <m/>
    <x v="0"/>
    <m/>
    <m/>
    <m/>
    <m/>
    <m/>
    <m/>
    <m/>
    <m/>
    <m/>
    <m/>
    <s v="Vila Israel"/>
  </r>
  <r>
    <d v="2026-11-28T00:00:00"/>
    <s v="sábado"/>
    <d v="2026-11-28T00:00:00"/>
    <s v="NÃO"/>
    <x v="0"/>
    <m/>
    <m/>
    <m/>
    <m/>
    <m/>
    <m/>
    <m/>
    <m/>
    <m/>
    <m/>
    <s v="Vila Israel"/>
  </r>
  <r>
    <d v="2026-11-29T00:00:00"/>
    <s v="domingo"/>
    <d v="2026-11-29T00:00:00"/>
    <s v="NÃO"/>
    <x v="0"/>
    <m/>
    <m/>
    <m/>
    <m/>
    <m/>
    <m/>
    <m/>
    <m/>
    <m/>
    <m/>
    <s v="Vila Israel"/>
  </r>
  <r>
    <d v="2026-11-30T00:00:00"/>
    <s v="segunda-feira"/>
    <d v="2026-11-30T00:00:00"/>
    <m/>
    <x v="0"/>
    <m/>
    <m/>
    <m/>
    <m/>
    <m/>
    <m/>
    <m/>
    <m/>
    <m/>
    <m/>
    <s v="Vila Israel"/>
  </r>
  <r>
    <d v="2026-12-01T00:00:00"/>
    <s v="terça-feira"/>
    <d v="2026-12-01T00:00:00"/>
    <m/>
    <x v="0"/>
    <m/>
    <m/>
    <m/>
    <m/>
    <m/>
    <m/>
    <m/>
    <m/>
    <m/>
    <m/>
    <s v="Vila Israel"/>
  </r>
  <r>
    <d v="2026-12-02T00:00:00"/>
    <s v="quarta-feira"/>
    <d v="2026-12-02T00:00:00"/>
    <m/>
    <x v="0"/>
    <m/>
    <m/>
    <m/>
    <m/>
    <m/>
    <m/>
    <m/>
    <m/>
    <m/>
    <m/>
    <s v="Vila Israel"/>
  </r>
  <r>
    <d v="2026-12-03T00:00:00"/>
    <s v="quinta-feira"/>
    <d v="2026-12-03T00:00:00"/>
    <m/>
    <x v="0"/>
    <m/>
    <m/>
    <m/>
    <m/>
    <m/>
    <m/>
    <m/>
    <m/>
    <m/>
    <m/>
    <s v="Vila Israel"/>
  </r>
  <r>
    <d v="2026-12-04T00:00:00"/>
    <s v="sexta-feira"/>
    <d v="2026-12-04T00:00:00"/>
    <m/>
    <x v="0"/>
    <m/>
    <m/>
    <m/>
    <m/>
    <m/>
    <m/>
    <m/>
    <m/>
    <m/>
    <m/>
    <s v="Vila Israel"/>
  </r>
  <r>
    <d v="2026-12-05T00:00:00"/>
    <s v="sábado"/>
    <d v="2026-12-05T00:00:00"/>
    <s v="NÃO"/>
    <x v="0"/>
    <m/>
    <m/>
    <m/>
    <m/>
    <m/>
    <m/>
    <m/>
    <m/>
    <m/>
    <m/>
    <s v="Vila Israel"/>
  </r>
  <r>
    <d v="2026-12-06T00:00:00"/>
    <s v="domingo"/>
    <d v="2026-12-06T00:00:00"/>
    <s v="NÃO"/>
    <x v="0"/>
    <m/>
    <m/>
    <m/>
    <m/>
    <m/>
    <m/>
    <m/>
    <m/>
    <m/>
    <m/>
    <s v="Vila Israel"/>
  </r>
  <r>
    <d v="2026-12-07T00:00:00"/>
    <s v="segunda-feira"/>
    <d v="2026-12-07T00:00:00"/>
    <m/>
    <x v="0"/>
    <m/>
    <m/>
    <m/>
    <m/>
    <m/>
    <m/>
    <m/>
    <m/>
    <m/>
    <m/>
    <s v="Vila Israel"/>
  </r>
  <r>
    <d v="2026-12-08T00:00:00"/>
    <s v="terça-feira"/>
    <d v="2026-12-08T00:00:00"/>
    <m/>
    <x v="0"/>
    <m/>
    <m/>
    <m/>
    <m/>
    <m/>
    <m/>
    <m/>
    <m/>
    <m/>
    <m/>
    <s v="Vila Israel"/>
  </r>
  <r>
    <d v="2026-12-09T00:00:00"/>
    <s v="quarta-feira"/>
    <d v="2026-12-09T00:00:00"/>
    <m/>
    <x v="0"/>
    <m/>
    <m/>
    <m/>
    <m/>
    <m/>
    <m/>
    <m/>
    <m/>
    <m/>
    <m/>
    <s v="Vila Israel"/>
  </r>
  <r>
    <d v="2026-12-10T00:00:00"/>
    <s v="quinta-feira"/>
    <d v="2026-12-10T00:00:00"/>
    <m/>
    <x v="0"/>
    <m/>
    <m/>
    <m/>
    <m/>
    <m/>
    <m/>
    <m/>
    <m/>
    <m/>
    <m/>
    <s v="Vila Israel"/>
  </r>
  <r>
    <d v="2026-12-11T00:00:00"/>
    <s v="sexta-feira"/>
    <d v="2026-12-11T00:00:00"/>
    <m/>
    <x v="0"/>
    <m/>
    <m/>
    <m/>
    <m/>
    <m/>
    <m/>
    <m/>
    <m/>
    <m/>
    <m/>
    <s v="Vila Israel"/>
  </r>
  <r>
    <d v="2026-12-12T00:00:00"/>
    <s v="sábado"/>
    <d v="2026-12-12T00:00:00"/>
    <s v="NÃO"/>
    <x v="0"/>
    <m/>
    <m/>
    <m/>
    <m/>
    <m/>
    <m/>
    <m/>
    <m/>
    <m/>
    <m/>
    <s v="Vila Israel"/>
  </r>
  <r>
    <d v="2026-12-13T00:00:00"/>
    <s v="domingo"/>
    <d v="2026-12-13T00:00:00"/>
    <s v="NÃO"/>
    <x v="0"/>
    <m/>
    <m/>
    <m/>
    <m/>
    <m/>
    <m/>
    <m/>
    <m/>
    <m/>
    <m/>
    <s v="Vila Israel"/>
  </r>
  <r>
    <d v="2026-12-14T00:00:00"/>
    <s v="segunda-feira"/>
    <d v="2026-12-14T00:00:00"/>
    <m/>
    <x v="0"/>
    <m/>
    <m/>
    <m/>
    <m/>
    <m/>
    <m/>
    <m/>
    <m/>
    <m/>
    <m/>
    <s v="Vila Israel"/>
  </r>
  <r>
    <d v="2026-12-15T00:00:00"/>
    <s v="terça-feira"/>
    <d v="2026-12-15T00:00:00"/>
    <m/>
    <x v="0"/>
    <m/>
    <m/>
    <m/>
    <m/>
    <m/>
    <m/>
    <m/>
    <m/>
    <m/>
    <m/>
    <s v="Vila Israel"/>
  </r>
  <r>
    <d v="2026-12-16T00:00:00"/>
    <s v="quarta-feira"/>
    <d v="2026-12-16T00:00:00"/>
    <m/>
    <x v="0"/>
    <m/>
    <m/>
    <m/>
    <m/>
    <m/>
    <m/>
    <m/>
    <m/>
    <m/>
    <m/>
    <s v="Vila Israel"/>
  </r>
  <r>
    <d v="2026-12-17T00:00:00"/>
    <s v="quinta-feira"/>
    <d v="2026-12-17T00:00:00"/>
    <m/>
    <x v="0"/>
    <m/>
    <m/>
    <m/>
    <m/>
    <m/>
    <m/>
    <m/>
    <m/>
    <m/>
    <m/>
    <s v="Vila Israel"/>
  </r>
  <r>
    <d v="2026-12-18T00:00:00"/>
    <s v="sexta-feira"/>
    <d v="2026-12-18T00:00:00"/>
    <m/>
    <x v="0"/>
    <m/>
    <m/>
    <m/>
    <m/>
    <m/>
    <m/>
    <m/>
    <m/>
    <m/>
    <m/>
    <s v="Vila Israel"/>
  </r>
  <r>
    <d v="2026-12-19T00:00:00"/>
    <s v="sábado"/>
    <d v="2026-12-19T00:00:00"/>
    <s v="NÃO"/>
    <x v="0"/>
    <m/>
    <m/>
    <m/>
    <m/>
    <m/>
    <m/>
    <m/>
    <m/>
    <m/>
    <m/>
    <s v="Vila Israel"/>
  </r>
  <r>
    <d v="2026-12-20T00:00:00"/>
    <s v="domingo"/>
    <d v="2026-12-20T00:00:00"/>
    <s v="NÃO"/>
    <x v="0"/>
    <m/>
    <m/>
    <m/>
    <m/>
    <m/>
    <m/>
    <m/>
    <m/>
    <m/>
    <m/>
    <s v="Vila Israel"/>
  </r>
  <r>
    <d v="2026-12-21T00:00:00"/>
    <s v="segunda-feira"/>
    <d v="2026-12-21T00:00:00"/>
    <m/>
    <x v="0"/>
    <m/>
    <m/>
    <m/>
    <m/>
    <m/>
    <m/>
    <m/>
    <m/>
    <m/>
    <m/>
    <s v="Vila Israel"/>
  </r>
  <r>
    <d v="2026-12-22T00:00:00"/>
    <s v="terça-feira"/>
    <d v="2026-12-22T00:00:00"/>
    <m/>
    <x v="0"/>
    <m/>
    <m/>
    <m/>
    <m/>
    <m/>
    <m/>
    <m/>
    <m/>
    <m/>
    <m/>
    <s v="Vila Israel"/>
  </r>
  <r>
    <d v="2026-12-23T00:00:00"/>
    <s v="quarta-feira"/>
    <d v="2026-12-23T00:00:00"/>
    <m/>
    <x v="0"/>
    <m/>
    <m/>
    <m/>
    <m/>
    <m/>
    <m/>
    <m/>
    <m/>
    <m/>
    <m/>
    <s v="Vila Israel"/>
  </r>
  <r>
    <d v="2026-12-24T00:00:00"/>
    <s v="quinta-feira"/>
    <d v="2026-12-24T00:00:00"/>
    <m/>
    <x v="0"/>
    <m/>
    <m/>
    <m/>
    <m/>
    <m/>
    <m/>
    <m/>
    <m/>
    <m/>
    <m/>
    <s v="Vila Israel"/>
  </r>
  <r>
    <d v="2026-12-25T00:00:00"/>
    <s v="sexta-feira"/>
    <d v="2026-12-25T00:00:00"/>
    <m/>
    <x v="0"/>
    <m/>
    <m/>
    <m/>
    <m/>
    <m/>
    <m/>
    <m/>
    <m/>
    <m/>
    <m/>
    <s v="Vila Israel"/>
  </r>
  <r>
    <d v="2026-12-26T00:00:00"/>
    <s v="sábado"/>
    <d v="2026-12-26T00:00:00"/>
    <s v="NÃO"/>
    <x v="0"/>
    <m/>
    <m/>
    <m/>
    <m/>
    <m/>
    <m/>
    <m/>
    <m/>
    <m/>
    <m/>
    <s v="Vila Israel"/>
  </r>
  <r>
    <d v="2026-12-27T00:00:00"/>
    <s v="domingo"/>
    <d v="2026-12-27T00:00:00"/>
    <s v="NÃO"/>
    <x v="0"/>
    <m/>
    <m/>
    <m/>
    <m/>
    <m/>
    <m/>
    <m/>
    <m/>
    <m/>
    <m/>
    <s v="Vila Israel"/>
  </r>
  <r>
    <d v="2026-12-28T00:00:00"/>
    <s v="segunda-feira"/>
    <d v="2026-12-28T00:00:00"/>
    <m/>
    <x v="0"/>
    <m/>
    <m/>
    <m/>
    <m/>
    <m/>
    <m/>
    <m/>
    <m/>
    <m/>
    <m/>
    <s v="Vila Israel"/>
  </r>
  <r>
    <d v="2026-12-29T00:00:00"/>
    <s v="terça-feira"/>
    <d v="2026-12-29T00:00:00"/>
    <m/>
    <x v="0"/>
    <m/>
    <m/>
    <m/>
    <m/>
    <m/>
    <m/>
    <m/>
    <m/>
    <m/>
    <m/>
    <s v="Vila Israel"/>
  </r>
  <r>
    <d v="2026-12-30T00:00:00"/>
    <s v="quarta-feira"/>
    <d v="2026-12-30T00:00:00"/>
    <m/>
    <x v="0"/>
    <m/>
    <m/>
    <m/>
    <m/>
    <m/>
    <m/>
    <m/>
    <m/>
    <m/>
    <m/>
    <s v="Vila Israel"/>
  </r>
  <r>
    <d v="2026-12-31T00:00:00"/>
    <s v="quinta-feira"/>
    <d v="2026-12-31T00:00:00"/>
    <m/>
    <x v="0"/>
    <m/>
    <m/>
    <m/>
    <m/>
    <m/>
    <m/>
    <m/>
    <m/>
    <m/>
    <m/>
    <s v="Vila Israel"/>
  </r>
  <r>
    <d v="2027-01-01T00:00:00"/>
    <s v="sexta-feira"/>
    <d v="2027-01-01T00:00:00"/>
    <m/>
    <x v="0"/>
    <m/>
    <m/>
    <m/>
    <m/>
    <m/>
    <m/>
    <m/>
    <m/>
    <m/>
    <m/>
    <s v="Vila Israel"/>
  </r>
  <r>
    <d v="2027-01-02T00:00:00"/>
    <s v="sábado"/>
    <d v="2027-01-02T00:00:00"/>
    <s v="NÃO"/>
    <x v="0"/>
    <m/>
    <m/>
    <m/>
    <m/>
    <m/>
    <m/>
    <m/>
    <m/>
    <m/>
    <m/>
    <s v="Vila Israel"/>
  </r>
  <r>
    <d v="2027-01-03T00:00:00"/>
    <s v="domingo"/>
    <d v="2027-01-03T00:00:00"/>
    <s v="NÃO"/>
    <x v="0"/>
    <m/>
    <m/>
    <m/>
    <m/>
    <m/>
    <m/>
    <m/>
    <m/>
    <m/>
    <m/>
    <s v="Vila Israel"/>
  </r>
  <r>
    <d v="2027-01-04T00:00:00"/>
    <s v="segunda-feira"/>
    <d v="2027-01-04T00:00:00"/>
    <m/>
    <x v="0"/>
    <m/>
    <m/>
    <m/>
    <m/>
    <m/>
    <m/>
    <m/>
    <m/>
    <m/>
    <m/>
    <s v="Vila Israel"/>
  </r>
  <r>
    <d v="2027-01-05T00:00:00"/>
    <s v="terça-feira"/>
    <d v="2027-01-05T00:00:00"/>
    <m/>
    <x v="0"/>
    <m/>
    <m/>
    <m/>
    <m/>
    <m/>
    <m/>
    <m/>
    <m/>
    <m/>
    <m/>
    <s v="Vila Israel"/>
  </r>
  <r>
    <d v="2027-01-06T00:00:00"/>
    <s v="quarta-feira"/>
    <d v="2027-01-06T00:00:00"/>
    <m/>
    <x v="0"/>
    <m/>
    <m/>
    <m/>
    <m/>
    <m/>
    <m/>
    <m/>
    <m/>
    <m/>
    <m/>
    <s v="Vila Israel"/>
  </r>
  <r>
    <d v="2027-01-07T00:00:00"/>
    <s v="quinta-feira"/>
    <d v="2027-01-07T00:00:00"/>
    <m/>
    <x v="0"/>
    <m/>
    <m/>
    <m/>
    <m/>
    <m/>
    <m/>
    <m/>
    <m/>
    <m/>
    <m/>
    <s v="Vila Israel"/>
  </r>
  <r>
    <d v="2027-01-08T00:00:00"/>
    <s v="sexta-feira"/>
    <d v="2027-01-08T00:00:00"/>
    <m/>
    <x v="0"/>
    <m/>
    <m/>
    <m/>
    <m/>
    <m/>
    <m/>
    <m/>
    <m/>
    <m/>
    <m/>
    <s v="Vila Israel"/>
  </r>
  <r>
    <d v="2027-01-09T00:00:00"/>
    <s v="sábado"/>
    <d v="2027-01-09T00:00:00"/>
    <s v="NÃO"/>
    <x v="0"/>
    <m/>
    <m/>
    <m/>
    <m/>
    <m/>
    <m/>
    <m/>
    <m/>
    <m/>
    <m/>
    <s v="Vila Israel"/>
  </r>
  <r>
    <d v="2027-01-10T00:00:00"/>
    <s v="domingo"/>
    <d v="2027-01-10T00:00:00"/>
    <s v="NÃO"/>
    <x v="0"/>
    <m/>
    <m/>
    <m/>
    <m/>
    <m/>
    <m/>
    <m/>
    <m/>
    <m/>
    <m/>
    <s v="Vila Israel"/>
  </r>
  <r>
    <d v="2027-01-11T00:00:00"/>
    <s v="segunda-feira"/>
    <d v="2027-01-11T00:00:00"/>
    <m/>
    <x v="0"/>
    <m/>
    <m/>
    <m/>
    <m/>
    <m/>
    <m/>
    <m/>
    <m/>
    <m/>
    <m/>
    <s v="Vila Israel"/>
  </r>
  <r>
    <d v="2027-01-12T00:00:00"/>
    <s v="terça-feira"/>
    <d v="2027-01-12T00:00:00"/>
    <m/>
    <x v="0"/>
    <m/>
    <m/>
    <m/>
    <m/>
    <m/>
    <m/>
    <m/>
    <m/>
    <m/>
    <m/>
    <s v="Vila Israel"/>
  </r>
  <r>
    <d v="2027-01-13T00:00:00"/>
    <s v="quarta-feira"/>
    <d v="2027-01-13T00:00:00"/>
    <m/>
    <x v="0"/>
    <m/>
    <m/>
    <m/>
    <m/>
    <m/>
    <m/>
    <m/>
    <m/>
    <m/>
    <m/>
    <s v="Vila Israel"/>
  </r>
  <r>
    <d v="2027-01-14T00:00:00"/>
    <s v="quinta-feira"/>
    <d v="2027-01-14T00:00:00"/>
    <m/>
    <x v="0"/>
    <m/>
    <m/>
    <m/>
    <m/>
    <m/>
    <m/>
    <m/>
    <m/>
    <m/>
    <m/>
    <s v="Vila Israel"/>
  </r>
  <r>
    <d v="2027-01-15T00:00:00"/>
    <s v="sexta-feira"/>
    <d v="2027-01-15T00:00:00"/>
    <m/>
    <x v="0"/>
    <m/>
    <m/>
    <m/>
    <m/>
    <m/>
    <m/>
    <m/>
    <m/>
    <m/>
    <m/>
    <s v="Vila Israel"/>
  </r>
  <r>
    <d v="2027-01-16T00:00:00"/>
    <s v="sábado"/>
    <d v="2027-01-16T00:00:00"/>
    <s v="NÃO"/>
    <x v="0"/>
    <m/>
    <m/>
    <m/>
    <m/>
    <m/>
    <m/>
    <m/>
    <m/>
    <m/>
    <m/>
    <s v="Vila Israel"/>
  </r>
  <r>
    <d v="2027-01-17T00:00:00"/>
    <s v="domingo"/>
    <d v="2027-01-17T00:00:00"/>
    <s v="NÃO"/>
    <x v="0"/>
    <m/>
    <m/>
    <m/>
    <m/>
    <m/>
    <m/>
    <m/>
    <m/>
    <m/>
    <m/>
    <s v="Vila Israel"/>
  </r>
  <r>
    <d v="2027-01-18T00:00:00"/>
    <s v="segunda-feira"/>
    <d v="2027-01-18T00:00:00"/>
    <m/>
    <x v="0"/>
    <m/>
    <m/>
    <m/>
    <m/>
    <m/>
    <m/>
    <m/>
    <m/>
    <m/>
    <m/>
    <s v="Vila Israel"/>
  </r>
  <r>
    <d v="2027-01-19T00:00:00"/>
    <s v="terça-feira"/>
    <d v="2027-01-19T00:00:00"/>
    <m/>
    <x v="0"/>
    <m/>
    <m/>
    <m/>
    <m/>
    <m/>
    <m/>
    <m/>
    <m/>
    <m/>
    <m/>
    <s v="Vila Israel"/>
  </r>
  <r>
    <d v="2027-01-20T00:00:00"/>
    <s v="quarta-feira"/>
    <d v="2027-01-20T00:00:00"/>
    <m/>
    <x v="0"/>
    <m/>
    <m/>
    <m/>
    <m/>
    <m/>
    <m/>
    <m/>
    <m/>
    <m/>
    <m/>
    <s v="Vila Israel"/>
  </r>
  <r>
    <d v="2027-01-21T00:00:00"/>
    <s v="quinta-feira"/>
    <d v="2027-01-21T00:00:00"/>
    <m/>
    <x v="0"/>
    <m/>
    <m/>
    <m/>
    <m/>
    <m/>
    <m/>
    <m/>
    <m/>
    <m/>
    <m/>
    <s v="Vila Israel"/>
  </r>
  <r>
    <d v="2027-01-22T00:00:00"/>
    <s v="sexta-feira"/>
    <d v="2027-01-22T00:00:00"/>
    <m/>
    <x v="0"/>
    <m/>
    <m/>
    <m/>
    <m/>
    <m/>
    <m/>
    <m/>
    <m/>
    <m/>
    <m/>
    <s v="Vila Israel"/>
  </r>
  <r>
    <d v="2027-01-23T00:00:00"/>
    <s v="sábado"/>
    <d v="2027-01-23T00:00:00"/>
    <s v="NÃO"/>
    <x v="0"/>
    <m/>
    <m/>
    <m/>
    <m/>
    <m/>
    <m/>
    <m/>
    <m/>
    <m/>
    <m/>
    <s v="Vila Israel"/>
  </r>
  <r>
    <d v="2027-01-24T00:00:00"/>
    <s v="domingo"/>
    <d v="2027-01-24T00:00:00"/>
    <s v="NÃO"/>
    <x v="0"/>
    <m/>
    <m/>
    <m/>
    <m/>
    <m/>
    <m/>
    <m/>
    <m/>
    <m/>
    <m/>
    <s v="Vila Israel"/>
  </r>
  <r>
    <d v="2027-01-25T00:00:00"/>
    <s v="segunda-feira"/>
    <d v="2027-01-25T00:00:00"/>
    <m/>
    <x v="0"/>
    <m/>
    <m/>
    <m/>
    <m/>
    <m/>
    <m/>
    <m/>
    <m/>
    <m/>
    <m/>
    <s v="Vila Israel"/>
  </r>
  <r>
    <d v="2027-01-26T00:00:00"/>
    <s v="terça-feira"/>
    <d v="2027-01-26T00:00:00"/>
    <m/>
    <x v="0"/>
    <m/>
    <m/>
    <m/>
    <m/>
    <m/>
    <m/>
    <m/>
    <m/>
    <m/>
    <m/>
    <s v="Vila Israel"/>
  </r>
  <r>
    <d v="2027-01-27T00:00:00"/>
    <s v="quarta-feira"/>
    <d v="2027-01-27T00:00:00"/>
    <m/>
    <x v="0"/>
    <m/>
    <m/>
    <m/>
    <m/>
    <m/>
    <m/>
    <m/>
    <m/>
    <m/>
    <m/>
    <s v="Vila Israel"/>
  </r>
  <r>
    <d v="2027-01-28T00:00:00"/>
    <s v="quinta-feira"/>
    <d v="2027-01-28T00:00:00"/>
    <m/>
    <x v="0"/>
    <m/>
    <m/>
    <m/>
    <m/>
    <m/>
    <m/>
    <m/>
    <m/>
    <m/>
    <m/>
    <s v="Vila Israel"/>
  </r>
  <r>
    <d v="2027-01-29T00:00:00"/>
    <s v="sexta-feira"/>
    <d v="2027-01-29T00:00:00"/>
    <m/>
    <x v="0"/>
    <m/>
    <m/>
    <m/>
    <m/>
    <m/>
    <m/>
    <m/>
    <m/>
    <m/>
    <m/>
    <s v="Vila Israel"/>
  </r>
  <r>
    <d v="2027-01-30T00:00:00"/>
    <s v="sábado"/>
    <d v="2027-01-30T00:00:00"/>
    <s v="NÃO"/>
    <x v="0"/>
    <m/>
    <m/>
    <m/>
    <m/>
    <m/>
    <m/>
    <m/>
    <m/>
    <m/>
    <m/>
    <s v="Vila Israel"/>
  </r>
  <r>
    <d v="2027-01-31T00:00:00"/>
    <s v="domingo"/>
    <d v="2027-01-31T00:00:00"/>
    <s v="NÃO"/>
    <x v="0"/>
    <m/>
    <m/>
    <m/>
    <m/>
    <m/>
    <m/>
    <m/>
    <m/>
    <m/>
    <m/>
    <s v="Vila Israel"/>
  </r>
  <r>
    <d v="2027-02-01T00:00:00"/>
    <s v="segunda-feira"/>
    <d v="2027-02-01T00:00:00"/>
    <m/>
    <x v="0"/>
    <m/>
    <m/>
    <m/>
    <m/>
    <m/>
    <m/>
    <m/>
    <m/>
    <m/>
    <m/>
    <s v="Vila Israel"/>
  </r>
  <r>
    <d v="2027-02-02T00:00:00"/>
    <s v="terça-feira"/>
    <d v="2027-02-02T00:00:00"/>
    <m/>
    <x v="0"/>
    <m/>
    <m/>
    <m/>
    <m/>
    <m/>
    <m/>
    <m/>
    <m/>
    <m/>
    <m/>
    <s v="Vila Israel"/>
  </r>
  <r>
    <d v="2027-02-03T00:00:00"/>
    <s v="quarta-feira"/>
    <d v="2027-02-03T00:00:00"/>
    <m/>
    <x v="0"/>
    <m/>
    <m/>
    <m/>
    <m/>
    <m/>
    <m/>
    <m/>
    <m/>
    <m/>
    <m/>
    <s v="Vila Israel"/>
  </r>
  <r>
    <d v="2027-02-04T00:00:00"/>
    <s v="quinta-feira"/>
    <d v="2027-02-04T00:00:00"/>
    <m/>
    <x v="0"/>
    <m/>
    <m/>
    <m/>
    <m/>
    <m/>
    <m/>
    <m/>
    <m/>
    <m/>
    <m/>
    <s v="Vila Israel"/>
  </r>
  <r>
    <d v="2027-02-05T00:00:00"/>
    <s v="sexta-feira"/>
    <d v="2027-02-05T00:00:00"/>
    <m/>
    <x v="0"/>
    <m/>
    <m/>
    <m/>
    <m/>
    <m/>
    <m/>
    <m/>
    <m/>
    <m/>
    <m/>
    <s v="Vila Israel"/>
  </r>
  <r>
    <d v="2027-02-06T00:00:00"/>
    <s v="sábado"/>
    <d v="2027-02-06T00:00:00"/>
    <s v="NÃO"/>
    <x v="0"/>
    <m/>
    <m/>
    <m/>
    <m/>
    <m/>
    <m/>
    <m/>
    <m/>
    <m/>
    <m/>
    <s v="Vila Israel"/>
  </r>
  <r>
    <d v="2027-02-07T00:00:00"/>
    <s v="domingo"/>
    <d v="2027-02-07T00:00:00"/>
    <s v="NÃO"/>
    <x v="0"/>
    <m/>
    <m/>
    <m/>
    <m/>
    <m/>
    <m/>
    <m/>
    <m/>
    <m/>
    <m/>
    <s v="Vila Israel"/>
  </r>
  <r>
    <d v="2027-02-08T00:00:00"/>
    <s v="segunda-feira"/>
    <d v="2027-02-08T00:00:00"/>
    <m/>
    <x v="0"/>
    <m/>
    <m/>
    <m/>
    <m/>
    <m/>
    <m/>
    <m/>
    <m/>
    <m/>
    <m/>
    <s v="Vila Israel"/>
  </r>
  <r>
    <d v="2027-02-09T00:00:00"/>
    <s v="terça-feira"/>
    <d v="2027-02-09T00:00:00"/>
    <m/>
    <x v="0"/>
    <m/>
    <m/>
    <m/>
    <m/>
    <m/>
    <m/>
    <m/>
    <m/>
    <m/>
    <m/>
    <s v="Vila Israel"/>
  </r>
  <r>
    <d v="2027-02-10T00:00:00"/>
    <s v="quarta-feira"/>
    <d v="2027-02-10T00:00:00"/>
    <m/>
    <x v="0"/>
    <m/>
    <m/>
    <m/>
    <m/>
    <m/>
    <m/>
    <m/>
    <m/>
    <m/>
    <m/>
    <s v="Vila Israel"/>
  </r>
  <r>
    <d v="2027-02-11T00:00:00"/>
    <s v="quinta-feira"/>
    <d v="2027-02-11T00:00:00"/>
    <m/>
    <x v="0"/>
    <m/>
    <m/>
    <m/>
    <m/>
    <m/>
    <m/>
    <m/>
    <m/>
    <m/>
    <m/>
    <s v="Vila Israel"/>
  </r>
  <r>
    <d v="2027-02-12T00:00:00"/>
    <s v="sexta-feira"/>
    <d v="2027-02-12T00:00:00"/>
    <m/>
    <x v="0"/>
    <m/>
    <m/>
    <m/>
    <m/>
    <m/>
    <m/>
    <m/>
    <m/>
    <m/>
    <m/>
    <s v="Vila Israel"/>
  </r>
  <r>
    <d v="2027-02-13T00:00:00"/>
    <s v="sábado"/>
    <d v="2027-02-13T00:00:00"/>
    <s v="NÃO"/>
    <x v="0"/>
    <m/>
    <m/>
    <m/>
    <m/>
    <m/>
    <m/>
    <m/>
    <m/>
    <m/>
    <m/>
    <s v="Vila Israel"/>
  </r>
  <r>
    <d v="2027-02-14T00:00:00"/>
    <s v="domingo"/>
    <d v="2027-02-14T00:00:00"/>
    <s v="NÃO"/>
    <x v="0"/>
    <m/>
    <m/>
    <m/>
    <m/>
    <m/>
    <m/>
    <m/>
    <m/>
    <m/>
    <m/>
    <s v="Vila Israel"/>
  </r>
  <r>
    <d v="2027-02-15T00:00:00"/>
    <s v="segunda-feira"/>
    <d v="2027-02-15T00:00:00"/>
    <m/>
    <x v="0"/>
    <m/>
    <m/>
    <m/>
    <m/>
    <m/>
    <m/>
    <m/>
    <m/>
    <m/>
    <m/>
    <s v="Vila Israel"/>
  </r>
  <r>
    <d v="2025-11-01T00:00:00"/>
    <s v="sábado"/>
    <d v="2025-11-01T00:00:00"/>
    <s v="NÃO"/>
    <x v="0"/>
    <m/>
    <m/>
    <m/>
    <m/>
    <m/>
    <m/>
    <m/>
    <m/>
    <m/>
    <m/>
    <s v="Vila dos Criadores"/>
  </r>
  <r>
    <d v="2025-11-02T00:00:00"/>
    <s v="domingo"/>
    <d v="2025-11-02T00:00:00"/>
    <s v="NÃO"/>
    <x v="0"/>
    <m/>
    <m/>
    <m/>
    <m/>
    <m/>
    <m/>
    <m/>
    <m/>
    <m/>
    <m/>
    <s v="Vila dos Criadores"/>
  </r>
  <r>
    <d v="2025-11-03T00:00:00"/>
    <s v="segunda-feira"/>
    <d v="2025-11-03T00:00:00"/>
    <m/>
    <x v="0"/>
    <m/>
    <m/>
    <m/>
    <m/>
    <m/>
    <m/>
    <m/>
    <m/>
    <m/>
    <m/>
    <s v="Vila dos Criadores"/>
  </r>
  <r>
    <d v="2025-11-04T00:00:00"/>
    <s v="terça-feira"/>
    <d v="2025-11-04T00:00:00"/>
    <m/>
    <x v="0"/>
    <m/>
    <m/>
    <m/>
    <m/>
    <m/>
    <m/>
    <m/>
    <m/>
    <m/>
    <m/>
    <s v="Vila dos Criadores"/>
  </r>
  <r>
    <d v="2025-11-05T00:00:00"/>
    <s v="quarta-feira"/>
    <d v="2025-11-05T00:00:00"/>
    <m/>
    <x v="0"/>
    <m/>
    <m/>
    <m/>
    <m/>
    <m/>
    <m/>
    <m/>
    <m/>
    <m/>
    <m/>
    <s v="Vila dos Criadores"/>
  </r>
  <r>
    <d v="2025-11-06T00:00:00"/>
    <s v="quinta-feira"/>
    <d v="2025-11-06T00:00:00"/>
    <m/>
    <x v="0"/>
    <m/>
    <m/>
    <m/>
    <m/>
    <m/>
    <m/>
    <m/>
    <m/>
    <m/>
    <m/>
    <s v="Vila dos Criadores"/>
  </r>
  <r>
    <d v="2025-11-07T00:00:00"/>
    <s v="sexta-feira"/>
    <d v="2025-11-07T00:00:00"/>
    <m/>
    <x v="0"/>
    <m/>
    <m/>
    <m/>
    <m/>
    <m/>
    <m/>
    <m/>
    <m/>
    <m/>
    <m/>
    <s v="Vila dos Criadores"/>
  </r>
  <r>
    <d v="2025-11-08T00:00:00"/>
    <s v="sábado"/>
    <d v="2025-11-08T00:00:00"/>
    <s v="NÃO"/>
    <x v="0"/>
    <m/>
    <m/>
    <m/>
    <m/>
    <m/>
    <m/>
    <m/>
    <m/>
    <m/>
    <m/>
    <s v="Vila dos Criadores"/>
  </r>
  <r>
    <d v="2025-11-09T00:00:00"/>
    <s v="domingo"/>
    <d v="2025-11-09T00:00:00"/>
    <s v="NÃO"/>
    <x v="0"/>
    <m/>
    <m/>
    <m/>
    <m/>
    <m/>
    <m/>
    <m/>
    <m/>
    <m/>
    <m/>
    <s v="Vila dos Criadores"/>
  </r>
  <r>
    <d v="2025-11-10T00:00:00"/>
    <s v="segunda-feira"/>
    <d v="2025-11-10T00:00:00"/>
    <m/>
    <x v="0"/>
    <m/>
    <m/>
    <m/>
    <m/>
    <m/>
    <m/>
    <m/>
    <m/>
    <m/>
    <m/>
    <s v="Vila dos Criadores"/>
  </r>
  <r>
    <d v="2025-11-11T00:00:00"/>
    <s v="terça-feira"/>
    <d v="2025-11-11T00:00:00"/>
    <m/>
    <x v="0"/>
    <m/>
    <m/>
    <m/>
    <m/>
    <m/>
    <m/>
    <m/>
    <m/>
    <m/>
    <m/>
    <s v="Vila dos Criadores"/>
  </r>
  <r>
    <d v="2025-11-12T00:00:00"/>
    <s v="quarta-feira"/>
    <d v="2025-11-12T00:00:00"/>
    <m/>
    <x v="0"/>
    <m/>
    <m/>
    <m/>
    <m/>
    <m/>
    <m/>
    <m/>
    <m/>
    <m/>
    <m/>
    <s v="Vila dos Criadores"/>
  </r>
  <r>
    <d v="2025-11-13T00:00:00"/>
    <s v="quinta-feira"/>
    <d v="2025-11-13T00:00:00"/>
    <m/>
    <x v="0"/>
    <m/>
    <m/>
    <m/>
    <m/>
    <m/>
    <m/>
    <m/>
    <m/>
    <m/>
    <m/>
    <s v="Vila dos Criadores"/>
  </r>
  <r>
    <d v="2025-11-14T00:00:00"/>
    <s v="sexta-feira"/>
    <d v="2025-11-14T00:00:00"/>
    <m/>
    <x v="0"/>
    <m/>
    <m/>
    <m/>
    <m/>
    <m/>
    <m/>
    <m/>
    <m/>
    <m/>
    <m/>
    <s v="Vila dos Criadores"/>
  </r>
  <r>
    <d v="2025-11-15T00:00:00"/>
    <s v="sábado"/>
    <d v="2025-11-15T00:00:00"/>
    <s v="NÃO"/>
    <x v="0"/>
    <m/>
    <m/>
    <m/>
    <m/>
    <m/>
    <m/>
    <m/>
    <m/>
    <m/>
    <m/>
    <s v="Vila dos Criadores"/>
  </r>
  <r>
    <d v="2025-11-16T00:00:00"/>
    <s v="domingo"/>
    <d v="2025-11-16T00:00:00"/>
    <s v="NÃO"/>
    <x v="0"/>
    <m/>
    <m/>
    <m/>
    <m/>
    <m/>
    <m/>
    <m/>
    <m/>
    <m/>
    <m/>
    <s v="Vila dos Criadores"/>
  </r>
  <r>
    <d v="2025-11-17T00:00:00"/>
    <s v="segunda-feira"/>
    <d v="2025-11-17T00:00:00"/>
    <m/>
    <x v="0"/>
    <m/>
    <m/>
    <m/>
    <m/>
    <m/>
    <m/>
    <m/>
    <m/>
    <m/>
    <m/>
    <s v="Vila dos Criadores"/>
  </r>
  <r>
    <d v="2025-11-18T00:00:00"/>
    <s v="terça-feira"/>
    <d v="2025-11-18T00:00:00"/>
    <m/>
    <x v="0"/>
    <m/>
    <m/>
    <m/>
    <m/>
    <m/>
    <m/>
    <m/>
    <m/>
    <m/>
    <m/>
    <s v="Vila dos Criadores"/>
  </r>
  <r>
    <d v="2025-11-19T00:00:00"/>
    <s v="quarta-feira"/>
    <d v="2025-11-19T00:00:00"/>
    <m/>
    <x v="0"/>
    <m/>
    <m/>
    <m/>
    <m/>
    <m/>
    <m/>
    <m/>
    <m/>
    <m/>
    <m/>
    <s v="Vila dos Criadores"/>
  </r>
  <r>
    <d v="2025-11-20T00:00:00"/>
    <s v="quinta-feira"/>
    <d v="2025-11-20T00:00:00"/>
    <m/>
    <x v="0"/>
    <m/>
    <m/>
    <m/>
    <m/>
    <m/>
    <m/>
    <m/>
    <m/>
    <m/>
    <m/>
    <s v="Vila dos Criadores"/>
  </r>
  <r>
    <d v="2025-11-21T00:00:00"/>
    <s v="sexta-feira"/>
    <d v="2025-11-21T00:00:00"/>
    <m/>
    <x v="0"/>
    <m/>
    <m/>
    <m/>
    <m/>
    <m/>
    <m/>
    <m/>
    <m/>
    <m/>
    <m/>
    <s v="Vila dos Criadores"/>
  </r>
  <r>
    <d v="2025-11-22T00:00:00"/>
    <s v="sábado"/>
    <d v="2025-11-22T00:00:00"/>
    <s v="NÃO"/>
    <x v="0"/>
    <m/>
    <m/>
    <m/>
    <m/>
    <m/>
    <m/>
    <m/>
    <m/>
    <m/>
    <m/>
    <s v="Vila dos Criadores"/>
  </r>
  <r>
    <d v="2025-11-23T00:00:00"/>
    <s v="domingo"/>
    <d v="2025-11-23T00:00:00"/>
    <s v="NÃO"/>
    <x v="0"/>
    <m/>
    <m/>
    <m/>
    <m/>
    <m/>
    <m/>
    <m/>
    <m/>
    <m/>
    <m/>
    <s v="Vila dos Criadores"/>
  </r>
  <r>
    <d v="2025-11-24T00:00:00"/>
    <s v="segunda-feira"/>
    <d v="2025-11-24T00:00:00"/>
    <m/>
    <x v="0"/>
    <m/>
    <m/>
    <m/>
    <m/>
    <m/>
    <m/>
    <m/>
    <m/>
    <m/>
    <m/>
    <s v="Vila dos Criadores"/>
  </r>
  <r>
    <d v="2025-11-25T00:00:00"/>
    <s v="terça-feira"/>
    <d v="2025-11-25T00:00:00"/>
    <m/>
    <x v="0"/>
    <m/>
    <m/>
    <m/>
    <m/>
    <m/>
    <m/>
    <m/>
    <m/>
    <m/>
    <m/>
    <s v="Vila dos Criadores"/>
  </r>
  <r>
    <d v="2025-11-26T00:00:00"/>
    <s v="quarta-feira"/>
    <d v="2025-11-26T00:00:00"/>
    <m/>
    <x v="0"/>
    <m/>
    <m/>
    <m/>
    <m/>
    <m/>
    <m/>
    <m/>
    <m/>
    <m/>
    <m/>
    <s v="Vila dos Criadores"/>
  </r>
  <r>
    <d v="2025-11-27T00:00:00"/>
    <s v="quinta-feira"/>
    <d v="2025-11-27T00:00:00"/>
    <m/>
    <x v="0"/>
    <m/>
    <m/>
    <m/>
    <m/>
    <m/>
    <m/>
    <m/>
    <m/>
    <m/>
    <m/>
    <s v="Vila dos Criadores"/>
  </r>
  <r>
    <d v="2025-11-28T00:00:00"/>
    <s v="sexta-feira"/>
    <d v="2025-11-28T00:00:00"/>
    <m/>
    <x v="0"/>
    <m/>
    <m/>
    <m/>
    <m/>
    <m/>
    <m/>
    <m/>
    <m/>
    <m/>
    <m/>
    <s v="Vila dos Criadores"/>
  </r>
  <r>
    <d v="2025-11-29T00:00:00"/>
    <s v="sábado"/>
    <d v="2025-11-29T00:00:00"/>
    <s v="NÃO"/>
    <x v="0"/>
    <m/>
    <m/>
    <m/>
    <m/>
    <m/>
    <m/>
    <m/>
    <m/>
    <m/>
    <m/>
    <s v="Vila dos Criadores"/>
  </r>
  <r>
    <d v="2025-11-30T00:00:00"/>
    <s v="domingo"/>
    <d v="2025-11-30T00:00:00"/>
    <s v="NÃO"/>
    <x v="0"/>
    <m/>
    <m/>
    <m/>
    <m/>
    <m/>
    <m/>
    <m/>
    <m/>
    <m/>
    <m/>
    <s v="Vila dos Criadores"/>
  </r>
  <r>
    <d v="2025-12-01T00:00:00"/>
    <s v="segunda-feira"/>
    <d v="2025-12-01T00:00:00"/>
    <m/>
    <x v="0"/>
    <m/>
    <m/>
    <m/>
    <m/>
    <m/>
    <m/>
    <m/>
    <m/>
    <m/>
    <m/>
    <s v="Vila dos Criadores"/>
  </r>
  <r>
    <d v="2025-12-02T00:00:00"/>
    <s v="terça-feira"/>
    <d v="2025-12-02T00:00:00"/>
    <m/>
    <x v="0"/>
    <m/>
    <m/>
    <m/>
    <m/>
    <m/>
    <m/>
    <m/>
    <m/>
    <m/>
    <m/>
    <s v="Vila dos Criadores"/>
  </r>
  <r>
    <d v="2025-12-03T00:00:00"/>
    <s v="quarta-feira"/>
    <d v="2025-12-03T00:00:00"/>
    <m/>
    <x v="0"/>
    <m/>
    <m/>
    <m/>
    <m/>
    <m/>
    <m/>
    <m/>
    <m/>
    <m/>
    <m/>
    <s v="Vila dos Criadores"/>
  </r>
  <r>
    <d v="2025-12-04T00:00:00"/>
    <s v="quinta-feira"/>
    <d v="2025-12-04T00:00:00"/>
    <m/>
    <x v="0"/>
    <m/>
    <m/>
    <m/>
    <m/>
    <m/>
    <m/>
    <m/>
    <m/>
    <m/>
    <m/>
    <s v="Vila dos Criadores"/>
  </r>
  <r>
    <d v="2025-12-05T00:00:00"/>
    <s v="sexta-feira"/>
    <d v="2025-12-05T00:00:00"/>
    <m/>
    <x v="0"/>
    <m/>
    <m/>
    <m/>
    <m/>
    <m/>
    <m/>
    <m/>
    <m/>
    <m/>
    <m/>
    <s v="Vila dos Criadores"/>
  </r>
  <r>
    <d v="2025-12-06T00:00:00"/>
    <s v="sábado"/>
    <d v="2025-12-06T00:00:00"/>
    <s v="NÃO"/>
    <x v="0"/>
    <m/>
    <m/>
    <m/>
    <m/>
    <m/>
    <m/>
    <m/>
    <m/>
    <m/>
    <m/>
    <s v="Vila dos Criadores"/>
  </r>
  <r>
    <d v="2025-12-07T00:00:00"/>
    <s v="domingo"/>
    <d v="2025-12-07T00:00:00"/>
    <s v="NÃO"/>
    <x v="0"/>
    <m/>
    <m/>
    <m/>
    <m/>
    <m/>
    <m/>
    <m/>
    <m/>
    <m/>
    <m/>
    <s v="Vila dos Criadores"/>
  </r>
  <r>
    <d v="2025-12-08T00:00:00"/>
    <s v="segunda-feira"/>
    <d v="2025-12-08T00:00:00"/>
    <m/>
    <x v="0"/>
    <m/>
    <m/>
    <m/>
    <m/>
    <m/>
    <m/>
    <m/>
    <m/>
    <m/>
    <m/>
    <s v="Vila dos Criadores"/>
  </r>
  <r>
    <d v="2025-12-09T00:00:00"/>
    <s v="terça-feira"/>
    <d v="2025-12-09T00:00:00"/>
    <m/>
    <x v="0"/>
    <m/>
    <m/>
    <m/>
    <m/>
    <m/>
    <m/>
    <m/>
    <m/>
    <m/>
    <m/>
    <s v="Vila dos Criadores"/>
  </r>
  <r>
    <d v="2025-12-10T00:00:00"/>
    <s v="quarta-feira"/>
    <d v="2025-12-10T00:00:00"/>
    <m/>
    <x v="0"/>
    <m/>
    <m/>
    <m/>
    <m/>
    <m/>
    <m/>
    <m/>
    <m/>
    <m/>
    <m/>
    <s v="Vila dos Criadores"/>
  </r>
  <r>
    <d v="2025-12-11T00:00:00"/>
    <s v="quinta-feira"/>
    <d v="2025-12-11T00:00:00"/>
    <m/>
    <x v="0"/>
    <m/>
    <m/>
    <m/>
    <m/>
    <m/>
    <m/>
    <m/>
    <m/>
    <m/>
    <m/>
    <s v="Vila dos Criadores"/>
  </r>
  <r>
    <d v="2025-12-12T00:00:00"/>
    <s v="sexta-feira"/>
    <d v="2025-12-12T00:00:00"/>
    <m/>
    <x v="0"/>
    <m/>
    <m/>
    <m/>
    <m/>
    <m/>
    <m/>
    <m/>
    <m/>
    <m/>
    <m/>
    <s v="Vila dos Criadores"/>
  </r>
  <r>
    <d v="2025-12-13T00:00:00"/>
    <s v="sábado"/>
    <d v="2025-12-13T00:00:00"/>
    <s v="NÃO"/>
    <x v="0"/>
    <m/>
    <m/>
    <m/>
    <m/>
    <m/>
    <m/>
    <m/>
    <m/>
    <m/>
    <m/>
    <s v="Vila dos Criadores"/>
  </r>
  <r>
    <d v="2025-12-14T00:00:00"/>
    <s v="domingo"/>
    <d v="2025-12-14T00:00:00"/>
    <s v="NÃO"/>
    <x v="0"/>
    <m/>
    <m/>
    <m/>
    <m/>
    <m/>
    <m/>
    <m/>
    <m/>
    <m/>
    <m/>
    <s v="Vila dos Criadores"/>
  </r>
  <r>
    <d v="2025-12-15T00:00:00"/>
    <s v="segunda-feira"/>
    <d v="2025-12-15T00:00:00"/>
    <m/>
    <x v="0"/>
    <m/>
    <m/>
    <m/>
    <m/>
    <m/>
    <m/>
    <m/>
    <m/>
    <m/>
    <m/>
    <s v="Vila dos Criadores"/>
  </r>
  <r>
    <d v="2025-12-16T00:00:00"/>
    <s v="terça-feira"/>
    <d v="2025-12-16T00:00:00"/>
    <m/>
    <x v="0"/>
    <m/>
    <m/>
    <m/>
    <m/>
    <m/>
    <m/>
    <m/>
    <m/>
    <m/>
    <m/>
    <s v="Vila dos Criadores"/>
  </r>
  <r>
    <d v="2025-12-17T00:00:00"/>
    <s v="quarta-feira"/>
    <d v="2025-12-17T00:00:00"/>
    <m/>
    <x v="0"/>
    <m/>
    <m/>
    <m/>
    <m/>
    <m/>
    <m/>
    <m/>
    <m/>
    <m/>
    <m/>
    <s v="Vila dos Criadores"/>
  </r>
  <r>
    <d v="2025-12-18T00:00:00"/>
    <s v="quinta-feira"/>
    <d v="2025-12-18T00:00:00"/>
    <m/>
    <x v="0"/>
    <m/>
    <m/>
    <m/>
    <m/>
    <m/>
    <m/>
    <m/>
    <m/>
    <m/>
    <m/>
    <s v="Vila dos Criadores"/>
  </r>
  <r>
    <d v="2025-12-19T00:00:00"/>
    <s v="sexta-feira"/>
    <d v="2025-12-19T00:00:00"/>
    <m/>
    <x v="0"/>
    <m/>
    <m/>
    <m/>
    <m/>
    <m/>
    <m/>
    <m/>
    <m/>
    <m/>
    <m/>
    <s v="Vila dos Criadores"/>
  </r>
  <r>
    <d v="2025-12-20T00:00:00"/>
    <s v="sábado"/>
    <d v="2025-12-20T00:00:00"/>
    <s v="NÃO"/>
    <x v="0"/>
    <m/>
    <m/>
    <m/>
    <m/>
    <m/>
    <m/>
    <m/>
    <m/>
    <m/>
    <m/>
    <s v="Vila dos Criadores"/>
  </r>
  <r>
    <d v="2025-12-21T00:00:00"/>
    <s v="domingo"/>
    <d v="2025-12-21T00:00:00"/>
    <s v="NÃO"/>
    <x v="0"/>
    <m/>
    <m/>
    <m/>
    <m/>
    <m/>
    <m/>
    <m/>
    <m/>
    <m/>
    <m/>
    <s v="Vila dos Criadores"/>
  </r>
  <r>
    <d v="2025-12-22T00:00:00"/>
    <s v="segunda-feira"/>
    <d v="2025-12-22T00:00:00"/>
    <m/>
    <x v="0"/>
    <m/>
    <m/>
    <m/>
    <m/>
    <m/>
    <m/>
    <m/>
    <m/>
    <m/>
    <m/>
    <s v="Vila dos Criadores"/>
  </r>
  <r>
    <d v="2025-12-23T00:00:00"/>
    <s v="terça-feira"/>
    <d v="2025-12-23T00:00:00"/>
    <m/>
    <x v="0"/>
    <m/>
    <m/>
    <m/>
    <m/>
    <m/>
    <m/>
    <m/>
    <m/>
    <m/>
    <m/>
    <s v="Vila dos Criadores"/>
  </r>
  <r>
    <d v="2025-12-24T00:00:00"/>
    <s v="quarta-feira"/>
    <d v="2025-12-24T00:00:00"/>
    <m/>
    <x v="0"/>
    <m/>
    <m/>
    <m/>
    <m/>
    <m/>
    <m/>
    <m/>
    <m/>
    <m/>
    <m/>
    <s v="Vila dos Criadores"/>
  </r>
  <r>
    <d v="2025-12-25T00:00:00"/>
    <s v="quinta-feira"/>
    <d v="2025-12-25T00:00:00"/>
    <m/>
    <x v="0"/>
    <m/>
    <m/>
    <m/>
    <m/>
    <m/>
    <m/>
    <m/>
    <m/>
    <m/>
    <m/>
    <s v="Vila dos Criadores"/>
  </r>
  <r>
    <d v="2025-12-26T00:00:00"/>
    <s v="sexta-feira"/>
    <d v="2025-12-26T00:00:00"/>
    <m/>
    <x v="0"/>
    <m/>
    <m/>
    <m/>
    <m/>
    <m/>
    <m/>
    <m/>
    <m/>
    <m/>
    <m/>
    <s v="Vila dos Criadores"/>
  </r>
  <r>
    <d v="2025-12-27T00:00:00"/>
    <s v="sábado"/>
    <d v="2025-12-27T00:00:00"/>
    <s v="NÃO"/>
    <x v="0"/>
    <m/>
    <m/>
    <m/>
    <m/>
    <m/>
    <m/>
    <m/>
    <m/>
    <m/>
    <m/>
    <s v="Vila dos Criadores"/>
  </r>
  <r>
    <d v="2025-12-28T00:00:00"/>
    <s v="domingo"/>
    <d v="2025-12-28T00:00:00"/>
    <s v="NÃO"/>
    <x v="0"/>
    <m/>
    <m/>
    <m/>
    <m/>
    <m/>
    <m/>
    <m/>
    <m/>
    <m/>
    <m/>
    <s v="Vila dos Criadores"/>
  </r>
  <r>
    <d v="2025-12-29T00:00:00"/>
    <s v="segunda-feira"/>
    <d v="2025-12-29T00:00:00"/>
    <m/>
    <x v="0"/>
    <m/>
    <m/>
    <m/>
    <m/>
    <m/>
    <m/>
    <m/>
    <m/>
    <m/>
    <m/>
    <s v="Vila dos Criadores"/>
  </r>
  <r>
    <d v="2025-12-30T00:00:00"/>
    <s v="terça-feira"/>
    <d v="2025-12-30T00:00:00"/>
    <m/>
    <x v="0"/>
    <m/>
    <m/>
    <m/>
    <m/>
    <m/>
    <m/>
    <m/>
    <m/>
    <m/>
    <m/>
    <s v="Vila dos Criadores"/>
  </r>
  <r>
    <d v="2025-12-31T00:00:00"/>
    <s v="quarta-feira"/>
    <d v="2025-12-31T00:00:00"/>
    <m/>
    <x v="0"/>
    <m/>
    <m/>
    <m/>
    <m/>
    <m/>
    <m/>
    <m/>
    <m/>
    <m/>
    <m/>
    <s v="Vila dos Criadores"/>
  </r>
  <r>
    <d v="2026-01-01T00:00:00"/>
    <s v="quinta-feira"/>
    <d v="2026-01-01T00:00:00"/>
    <m/>
    <x v="0"/>
    <m/>
    <m/>
    <m/>
    <m/>
    <m/>
    <m/>
    <m/>
    <m/>
    <m/>
    <m/>
    <s v="Vila dos Criadores"/>
  </r>
  <r>
    <d v="2026-01-02T00:00:00"/>
    <s v="sexta-feira"/>
    <d v="2026-01-02T00:00:00"/>
    <m/>
    <x v="0"/>
    <m/>
    <m/>
    <m/>
    <m/>
    <m/>
    <m/>
    <m/>
    <m/>
    <m/>
    <m/>
    <s v="Vila dos Criadores"/>
  </r>
  <r>
    <d v="2026-01-03T00:00:00"/>
    <s v="sábado"/>
    <d v="2026-01-03T00:00:00"/>
    <s v="NÃO"/>
    <x v="0"/>
    <m/>
    <m/>
    <m/>
    <m/>
    <m/>
    <m/>
    <m/>
    <m/>
    <m/>
    <m/>
    <s v="Vila dos Criadores"/>
  </r>
  <r>
    <d v="2026-01-04T00:00:00"/>
    <s v="domingo"/>
    <d v="2026-01-04T00:00:00"/>
    <s v="NÃO"/>
    <x v="0"/>
    <m/>
    <m/>
    <m/>
    <m/>
    <m/>
    <m/>
    <m/>
    <m/>
    <m/>
    <m/>
    <s v="Vila dos Criadores"/>
  </r>
  <r>
    <d v="2026-01-05T00:00:00"/>
    <s v="segunda-feira"/>
    <d v="2026-01-05T00:00:00"/>
    <s v="SIM"/>
    <x v="40"/>
    <s v="Diversas até 28/02 - VC"/>
    <n v="0"/>
    <n v="0"/>
    <n v="0"/>
    <n v="0"/>
    <n v="0"/>
    <n v="0"/>
    <n v="3"/>
    <n v="0"/>
    <n v="0"/>
    <s v="Vila dos Criadores"/>
  </r>
  <r>
    <d v="2026-01-06T00:00:00"/>
    <s v="terça-feira"/>
    <d v="2026-01-06T00:00:00"/>
    <s v="SIM"/>
    <x v="40"/>
    <s v="Diversas até 28/02 - VC"/>
    <n v="0"/>
    <n v="0"/>
    <n v="0"/>
    <n v="0"/>
    <n v="0"/>
    <n v="0"/>
    <n v="11"/>
    <n v="8"/>
    <m/>
    <s v="Vila dos Criadores"/>
  </r>
  <r>
    <d v="2026-01-07T00:00:00"/>
    <s v="quarta-feira"/>
    <d v="2026-01-07T00:00:00"/>
    <s v="SIM"/>
    <x v="40"/>
    <s v="Diversas até 28/02 - VC"/>
    <n v="0"/>
    <n v="0"/>
    <n v="0"/>
    <n v="0"/>
    <n v="0"/>
    <n v="0"/>
    <n v="7"/>
    <n v="7"/>
    <n v="0"/>
    <s v="Vila dos Criadores"/>
  </r>
  <r>
    <d v="2026-01-08T00:00:00"/>
    <s v="quinta-feira"/>
    <d v="2026-01-08T00:00:00"/>
    <s v="SIM"/>
    <x v="40"/>
    <s v="Diversas até 28/02 - VC"/>
    <n v="8"/>
    <n v="0"/>
    <n v="0"/>
    <n v="0"/>
    <n v="0"/>
    <n v="0"/>
    <n v="8"/>
    <n v="8"/>
    <n v="0"/>
    <s v="Vila dos Criadores"/>
  </r>
  <r>
    <d v="2026-01-09T00:00:00"/>
    <s v="sexta-feira"/>
    <d v="2026-01-09T00:00:00"/>
    <s v="SIM"/>
    <x v="40"/>
    <s v="Diversas até 28/02 - VC"/>
    <n v="0"/>
    <n v="0"/>
    <n v="0"/>
    <n v="0"/>
    <n v="0"/>
    <n v="0"/>
    <n v="15"/>
    <n v="2"/>
    <n v="0"/>
    <s v="Vila dos Criadores"/>
  </r>
  <r>
    <d v="2026-01-10T00:00:00"/>
    <s v="sábado"/>
    <d v="2026-01-10T00:00:00"/>
    <s v="SIM"/>
    <x v="40"/>
    <s v="Diversas até 28/02 - VC"/>
    <n v="0"/>
    <n v="0"/>
    <n v="0"/>
    <n v="0"/>
    <n v="0"/>
    <n v="0"/>
    <n v="17"/>
    <n v="0"/>
    <n v="0"/>
    <s v="Vila dos Criadores"/>
  </r>
  <r>
    <d v="2026-01-11T00:00:00"/>
    <s v="domingo"/>
    <d v="2026-01-11T00:00:00"/>
    <s v="NÃO"/>
    <x v="0"/>
    <m/>
    <m/>
    <m/>
    <m/>
    <m/>
    <m/>
    <m/>
    <m/>
    <m/>
    <m/>
    <s v="Vila dos Criadores"/>
  </r>
  <r>
    <d v="2026-01-12T00:00:00"/>
    <s v="segunda-feira"/>
    <d v="2026-01-12T00:00:00"/>
    <s v="SIM"/>
    <x v="40"/>
    <s v="Diversas até 28/02 - VC"/>
    <n v="0"/>
    <n v="7"/>
    <n v="0"/>
    <n v="0"/>
    <n v="0"/>
    <n v="0"/>
    <n v="7"/>
    <n v="1"/>
    <n v="0"/>
    <s v="Vila dos Criadores"/>
  </r>
  <r>
    <d v="2026-01-13T00:00:00"/>
    <s v="terça-feira"/>
    <d v="2026-01-13T00:00:00"/>
    <s v="SIM"/>
    <x v="40"/>
    <s v="Diversas até 28/02 - VC"/>
    <n v="0"/>
    <n v="13"/>
    <n v="0"/>
    <n v="0"/>
    <n v="0"/>
    <n v="0"/>
    <n v="12"/>
    <n v="0"/>
    <n v="0"/>
    <s v="Vila dos Criadores"/>
  </r>
  <r>
    <d v="2026-01-14T00:00:00"/>
    <s v="quarta-feira"/>
    <d v="2026-01-14T00:00:00"/>
    <s v="SIM"/>
    <x v="40"/>
    <s v="Diversas até 28/02 - VC"/>
    <n v="0"/>
    <n v="0"/>
    <n v="0"/>
    <n v="0"/>
    <n v="0"/>
    <n v="0"/>
    <n v="10"/>
    <n v="0"/>
    <n v="0"/>
    <s v="Vila dos Criadores"/>
  </r>
  <r>
    <d v="2026-01-15T00:00:00"/>
    <s v="quinta-feira"/>
    <d v="2026-01-15T00:00:00"/>
    <s v="SIM"/>
    <x v="40"/>
    <s v="Diversas até 28/02 - VC"/>
    <n v="0"/>
    <n v="0"/>
    <n v="0"/>
    <n v="15"/>
    <n v="0"/>
    <n v="0"/>
    <n v="16"/>
    <n v="0"/>
    <n v="0"/>
    <s v="Vila dos Criadores"/>
  </r>
  <r>
    <d v="2026-01-16T00:00:00"/>
    <s v="sexta-feira"/>
    <d v="2026-01-16T00:00:00"/>
    <s v="SIM"/>
    <x v="40"/>
    <s v="Diversas até 28/02 - VC"/>
    <n v="1"/>
    <n v="0"/>
    <n v="0"/>
    <n v="23"/>
    <n v="3"/>
    <n v="0"/>
    <n v="10"/>
    <n v="2"/>
    <m/>
    <s v="Vila dos Criadores"/>
  </r>
  <r>
    <d v="2026-01-17T00:00:00"/>
    <s v="sábado"/>
    <d v="2026-01-17T00:00:00"/>
    <s v="SIM"/>
    <x v="40"/>
    <s v="Diversas até 28/02 - VC"/>
    <n v="0"/>
    <n v="0"/>
    <n v="0"/>
    <n v="6"/>
    <n v="1"/>
    <n v="0"/>
    <n v="3"/>
    <n v="0"/>
    <n v="0"/>
    <s v="Vila dos Criadores"/>
  </r>
  <r>
    <d v="2026-01-18T00:00:00"/>
    <s v="domingo"/>
    <d v="2026-01-18T00:00:00"/>
    <s v="NÃO"/>
    <x v="0"/>
    <m/>
    <m/>
    <m/>
    <m/>
    <m/>
    <m/>
    <m/>
    <m/>
    <m/>
    <m/>
    <s v="Vila dos Criadores"/>
  </r>
  <r>
    <d v="2026-01-19T00:00:00"/>
    <s v="segunda-feira"/>
    <d v="2026-01-19T00:00:00"/>
    <s v="SIM"/>
    <x v="40"/>
    <s v="Diversas até 28/02 - VC"/>
    <n v="0"/>
    <n v="0"/>
    <n v="0"/>
    <n v="6"/>
    <n v="0"/>
    <n v="0"/>
    <n v="5"/>
    <n v="0"/>
    <n v="0"/>
    <s v="Vila dos Criadores"/>
  </r>
  <r>
    <d v="2026-01-20T00:00:00"/>
    <s v="terça-feira"/>
    <d v="2026-01-20T00:00:00"/>
    <s v="SIM"/>
    <x v="40"/>
    <s v="Diversas até 28/02 - VC"/>
    <n v="0"/>
    <n v="0"/>
    <n v="0"/>
    <n v="6"/>
    <n v="0"/>
    <n v="0"/>
    <n v="9"/>
    <n v="0"/>
    <n v="0"/>
    <s v="Vila dos Criadores"/>
  </r>
  <r>
    <d v="2026-01-21T00:00:00"/>
    <s v="quarta-feira"/>
    <d v="2026-01-21T00:00:00"/>
    <s v="SIM"/>
    <x v="40"/>
    <s v="Diversas até 28/02 - VC"/>
    <n v="0"/>
    <n v="0"/>
    <n v="0"/>
    <n v="18"/>
    <n v="2"/>
    <n v="0"/>
    <n v="9"/>
    <n v="0"/>
    <n v="0"/>
    <s v="Vila dos Criadores"/>
  </r>
  <r>
    <d v="2026-01-22T00:00:00"/>
    <s v="quinta-feira"/>
    <d v="2026-01-22T00:00:00"/>
    <s v="SIM"/>
    <x v="40"/>
    <s v="Diversas até 28/02 - VC"/>
    <n v="0"/>
    <n v="0"/>
    <n v="0"/>
    <n v="30"/>
    <n v="0"/>
    <n v="0"/>
    <n v="7"/>
    <n v="0"/>
    <n v="0"/>
    <s v="Vila dos Criadores"/>
  </r>
  <r>
    <d v="2026-01-23T00:00:00"/>
    <s v="sexta-feira"/>
    <d v="2026-01-23T00:00:00"/>
    <s v="SIM"/>
    <x v="40"/>
    <s v="Diversas até 28/02 - VC"/>
    <n v="0"/>
    <n v="0"/>
    <n v="0"/>
    <n v="28.2"/>
    <n v="1"/>
    <n v="0"/>
    <n v="3"/>
    <n v="0"/>
    <n v="0"/>
    <s v="Vila dos Criadores"/>
  </r>
  <r>
    <d v="2026-01-24T00:00:00"/>
    <s v="sábado"/>
    <d v="2026-01-24T00:00:00"/>
    <s v="NÃO"/>
    <x v="0"/>
    <m/>
    <m/>
    <m/>
    <m/>
    <m/>
    <m/>
    <m/>
    <m/>
    <m/>
    <m/>
    <s v="Vila dos Criadores"/>
  </r>
  <r>
    <d v="2026-01-25T00:00:00"/>
    <s v="domingo"/>
    <d v="2026-01-25T00:00:00"/>
    <s v="NÃO"/>
    <x v="0"/>
    <m/>
    <m/>
    <m/>
    <m/>
    <m/>
    <m/>
    <m/>
    <m/>
    <m/>
    <m/>
    <s v="Vila dos Criadores"/>
  </r>
  <r>
    <d v="2026-01-26T00:00:00"/>
    <s v="segunda-feira"/>
    <d v="2026-01-26T00:00:00"/>
    <s v="NÃO"/>
    <x v="0"/>
    <m/>
    <m/>
    <m/>
    <m/>
    <m/>
    <m/>
    <m/>
    <m/>
    <m/>
    <m/>
    <s v="Vila dos Criadores"/>
  </r>
  <r>
    <d v="2026-01-27T00:00:00"/>
    <s v="terça-feira"/>
    <d v="2026-01-27T00:00:00"/>
    <s v="SIM"/>
    <x v="40"/>
    <s v="Diversas até 28/02 - VC"/>
    <n v="0"/>
    <n v="0"/>
    <n v="0"/>
    <n v="18"/>
    <n v="2"/>
    <n v="3"/>
    <n v="4"/>
    <n v="0"/>
    <n v="0"/>
    <s v="Vila dos Criadores"/>
  </r>
  <r>
    <d v="2026-01-28T00:00:00"/>
    <s v="quarta-feira"/>
    <d v="2026-01-28T00:00:00"/>
    <s v="SIM"/>
    <x v="40"/>
    <s v="Diversas até 28/02 - VC"/>
    <n v="0"/>
    <n v="0"/>
    <n v="0"/>
    <n v="30"/>
    <n v="1"/>
    <n v="4"/>
    <n v="0"/>
    <n v="0"/>
    <n v="0"/>
    <s v="Vila dos Criadores"/>
  </r>
  <r>
    <d v="2026-01-29T00:00:00"/>
    <s v="quinta-feira"/>
    <d v="2026-01-29T00:00:00"/>
    <s v="SIM"/>
    <x v="40"/>
    <s v="Diversas até 28/02 - VC"/>
    <n v="0"/>
    <n v="0"/>
    <n v="0"/>
    <n v="6"/>
    <n v="3"/>
    <n v="1"/>
    <n v="8"/>
    <n v="8"/>
    <n v="0"/>
    <s v="Vila dos Criadores"/>
  </r>
  <r>
    <d v="2026-01-30T00:00:00"/>
    <s v="sexta-feira"/>
    <d v="2026-01-30T00:00:00"/>
    <s v="SIM"/>
    <x v="40"/>
    <s v="Diversas até 28/02 - VC"/>
    <n v="0"/>
    <n v="0"/>
    <n v="0"/>
    <n v="12"/>
    <n v="0"/>
    <n v="2"/>
    <n v="0"/>
    <n v="5"/>
    <n v="0"/>
    <s v="Vila dos Criadores"/>
  </r>
  <r>
    <d v="2026-01-31T00:00:00"/>
    <s v="sábado"/>
    <d v="2026-01-31T00:00:00"/>
    <s v="SIM"/>
    <x v="40"/>
    <s v="Diversas até 28/02 - VC"/>
    <n v="1"/>
    <n v="0"/>
    <n v="0"/>
    <n v="6"/>
    <n v="0"/>
    <n v="0"/>
    <n v="1"/>
    <n v="0"/>
    <n v="0"/>
    <s v="Vila dos Criadores"/>
  </r>
  <r>
    <d v="2026-02-01T00:00:00"/>
    <s v="domingo"/>
    <d v="2026-02-01T00:00:00"/>
    <s v="NÃO"/>
    <x v="0"/>
    <m/>
    <m/>
    <m/>
    <m/>
    <m/>
    <m/>
    <m/>
    <m/>
    <m/>
    <m/>
    <s v="Vila dos Criadores"/>
  </r>
  <r>
    <d v="2026-02-02T00:00:00"/>
    <s v="segunda-feira"/>
    <d v="2026-02-02T00:00:00"/>
    <s v="SIM"/>
    <x v="40"/>
    <s v="Diversas até 28/02 - VC"/>
    <n v="0"/>
    <n v="0"/>
    <n v="0"/>
    <n v="12"/>
    <n v="1"/>
    <n v="0"/>
    <n v="5"/>
    <n v="4"/>
    <n v="0"/>
    <s v="Vila dos Criadores"/>
  </r>
  <r>
    <d v="2026-02-03T00:00:00"/>
    <s v="terça-feira"/>
    <d v="2026-02-03T00:00:00"/>
    <s v="SIM"/>
    <x v="40"/>
    <s v="Diversas até 28/02 - VC"/>
    <n v="0"/>
    <n v="0"/>
    <n v="0"/>
    <n v="8"/>
    <n v="0"/>
    <n v="0"/>
    <n v="5"/>
    <n v="6"/>
    <n v="0"/>
    <s v="Vila dos Criadores"/>
  </r>
  <r>
    <d v="2026-02-04T00:00:00"/>
    <s v="quarta-feira"/>
    <d v="2026-02-04T00:00:00"/>
    <s v="SIM"/>
    <x v="40"/>
    <s v="Diversas até 28/02 - VC"/>
    <n v="0"/>
    <n v="0"/>
    <n v="0"/>
    <n v="12"/>
    <n v="1"/>
    <n v="0"/>
    <n v="0"/>
    <n v="6"/>
    <n v="0"/>
    <s v="Vila dos Criadores"/>
  </r>
  <r>
    <d v="2026-02-05T00:00:00"/>
    <s v="quinta-feira"/>
    <d v="2026-02-05T00:00:00"/>
    <s v="SIM"/>
    <x v="40"/>
    <s v="Diversas até 28/02 - VC"/>
    <n v="0"/>
    <n v="0"/>
    <n v="54"/>
    <n v="12"/>
    <n v="0"/>
    <n v="1"/>
    <n v="3"/>
    <n v="0"/>
    <n v="0"/>
    <s v="Vila dos Criadores"/>
  </r>
  <r>
    <d v="2026-02-06T00:00:00"/>
    <s v="sexta-feira"/>
    <d v="2026-02-06T00:00:00"/>
    <s v="SIM"/>
    <x v="40"/>
    <s v="Diversas até 28/02 - VC"/>
    <n v="0"/>
    <n v="3"/>
    <n v="27"/>
    <n v="12"/>
    <n v="0"/>
    <n v="0"/>
    <n v="0"/>
    <n v="0"/>
    <n v="0"/>
    <s v="Vila dos Criadores"/>
  </r>
  <r>
    <d v="2026-02-07T00:00:00"/>
    <s v="sábado"/>
    <d v="2026-02-07T00:00:00"/>
    <s v="SIM"/>
    <x v="40"/>
    <s v="Diversas até 28/02 - VC"/>
    <n v="0"/>
    <n v="4"/>
    <n v="6"/>
    <n v="0"/>
    <n v="0"/>
    <n v="0"/>
    <n v="0"/>
    <n v="0"/>
    <n v="0"/>
    <s v="Vila dos Criadores"/>
  </r>
  <r>
    <d v="2026-02-08T00:00:00"/>
    <s v="domingo"/>
    <d v="2026-02-08T00:00:00"/>
    <s v="NÃO"/>
    <x v="0"/>
    <m/>
    <m/>
    <m/>
    <m/>
    <m/>
    <m/>
    <m/>
    <m/>
    <m/>
    <m/>
    <s v="Vila dos Criadores"/>
  </r>
  <r>
    <d v="2026-02-09T00:00:00"/>
    <s v="segunda-feira"/>
    <d v="2026-02-09T00:00:00"/>
    <s v="SIM"/>
    <x v="40"/>
    <s v="Diversas até 28/02 - VC"/>
    <n v="0"/>
    <n v="0"/>
    <n v="58"/>
    <n v="0"/>
    <n v="0"/>
    <n v="0"/>
    <n v="0"/>
    <n v="0"/>
    <n v="0"/>
    <s v="Vila dos Criadores"/>
  </r>
  <r>
    <d v="2026-02-10T00:00:00"/>
    <s v="terça-feira"/>
    <d v="2026-02-10T00:00:00"/>
    <s v="SIM"/>
    <x v="40"/>
    <s v="Diversas até 28/02 - VC"/>
    <n v="0"/>
    <n v="0"/>
    <n v="0"/>
    <n v="109"/>
    <n v="0"/>
    <n v="0"/>
    <n v="3"/>
    <n v="0"/>
    <n v="0"/>
    <s v="Vila dos Criadores"/>
  </r>
  <r>
    <d v="2026-02-11T00:00:00"/>
    <s v="quarta-feira"/>
    <d v="2026-02-11T00:00:00"/>
    <s v="SIM"/>
    <x v="40"/>
    <s v="Diversas até 28/02 - VC"/>
    <n v="0"/>
    <n v="0"/>
    <n v="0"/>
    <n v="102"/>
    <n v="0"/>
    <n v="0"/>
    <n v="0"/>
    <n v="0"/>
    <n v="0"/>
    <s v="Vila dos Criadores"/>
  </r>
  <r>
    <d v="2026-02-12T00:00:00"/>
    <s v="quinta-feira"/>
    <d v="2026-02-12T00:00:00"/>
    <s v="SIM"/>
    <x v="40"/>
    <s v="Diversas até 28/02 - VC"/>
    <n v="0"/>
    <n v="3"/>
    <n v="44"/>
    <n v="10"/>
    <n v="0"/>
    <n v="0"/>
    <n v="0"/>
    <n v="0"/>
    <n v="0"/>
    <s v="Vila dos Criadores"/>
  </r>
  <r>
    <d v="2026-02-13T00:00:00"/>
    <s v="sexta-feira"/>
    <d v="2026-02-13T00:00:00"/>
    <s v="SIM"/>
    <x v="40"/>
    <s v="Diversas até 28/02 - VC"/>
    <n v="0"/>
    <n v="0"/>
    <n v="30"/>
    <n v="12"/>
    <n v="0"/>
    <n v="0"/>
    <n v="0"/>
    <n v="0"/>
    <m/>
    <s v="Vila dos Criadores"/>
  </r>
  <r>
    <d v="2026-02-14T00:00:00"/>
    <s v="sábado"/>
    <d v="2026-02-14T00:00:00"/>
    <s v="NÃO"/>
    <x v="0"/>
    <m/>
    <m/>
    <m/>
    <m/>
    <m/>
    <m/>
    <m/>
    <m/>
    <m/>
    <m/>
    <s v="Vila dos Criadores"/>
  </r>
  <r>
    <d v="2026-02-15T00:00:00"/>
    <s v="domingo"/>
    <d v="2026-02-15T00:00:00"/>
    <s v="NÃO"/>
    <x v="0"/>
    <m/>
    <m/>
    <m/>
    <m/>
    <m/>
    <m/>
    <m/>
    <m/>
    <m/>
    <m/>
    <s v="Vila dos Criadores"/>
  </r>
  <r>
    <d v="2026-02-16T00:00:00"/>
    <s v="segunda-feira"/>
    <d v="2026-02-16T00:00:00"/>
    <s v="SIM"/>
    <x v="40"/>
    <s v="Diversas até 28/02 - VC"/>
    <n v="11"/>
    <n v="4"/>
    <n v="44"/>
    <n v="12"/>
    <n v="0"/>
    <n v="0"/>
    <n v="0"/>
    <n v="11"/>
    <n v="0"/>
    <s v="Vila dos Criadores"/>
  </r>
  <r>
    <d v="2026-02-17T00:00:00"/>
    <s v="terça-feira"/>
    <d v="2026-02-17T00:00:00"/>
    <s v="SIM"/>
    <x v="40"/>
    <s v="Diversas até 28/02 - VC"/>
    <n v="0"/>
    <n v="0"/>
    <n v="0"/>
    <n v="4"/>
    <n v="0"/>
    <n v="0"/>
    <n v="2"/>
    <n v="0"/>
    <n v="0"/>
    <s v="Vila dos Criadores"/>
  </r>
  <r>
    <d v="2026-02-18T00:00:00"/>
    <s v="quarta-feira"/>
    <d v="2026-02-18T00:00:00"/>
    <s v="SIM"/>
    <x v="40"/>
    <s v="Diversas até 28/02 - VC"/>
    <n v="3"/>
    <n v="0"/>
    <n v="0"/>
    <n v="0"/>
    <n v="0"/>
    <n v="0"/>
    <n v="0"/>
    <n v="0"/>
    <n v="0"/>
    <s v="Vila dos Criadores"/>
  </r>
  <r>
    <d v="2026-02-19T00:00:00"/>
    <s v="quinta-feira"/>
    <d v="2026-02-19T00:00:00"/>
    <s v="SIM"/>
    <x v="40"/>
    <s v="Diversas até 28/02 - VC"/>
    <n v="1"/>
    <n v="0"/>
    <n v="0"/>
    <n v="22.3"/>
    <n v="1"/>
    <n v="0"/>
    <n v="1"/>
    <n v="1"/>
    <n v="0"/>
    <s v="Vila dos Criadores"/>
  </r>
  <r>
    <d v="2026-02-20T00:00:00"/>
    <s v="sexta-feira"/>
    <d v="2026-02-20T00:00:00"/>
    <s v="SIM"/>
    <x v="40"/>
    <s v="Diversas até 28/02 - VC"/>
    <n v="0"/>
    <n v="2"/>
    <n v="0"/>
    <n v="30"/>
    <n v="2"/>
    <n v="0"/>
    <n v="6"/>
    <n v="0"/>
    <n v="0"/>
    <s v="Vila dos Criadores"/>
  </r>
  <r>
    <d v="2026-02-21T00:00:00"/>
    <s v="sábado"/>
    <d v="2026-02-21T00:00:00"/>
    <s v="SIM"/>
    <x v="40"/>
    <s v="Diversas até 28/02 - VC"/>
    <n v="13"/>
    <n v="0"/>
    <n v="0"/>
    <n v="6"/>
    <n v="0"/>
    <n v="0"/>
    <n v="0"/>
    <n v="3"/>
    <n v="0"/>
    <s v="Vila dos Criadores"/>
  </r>
  <r>
    <d v="2026-02-22T00:00:00"/>
    <s v="domingo"/>
    <d v="2026-02-22T00:00:00"/>
    <s v="NÃO"/>
    <x v="0"/>
    <m/>
    <m/>
    <m/>
    <m/>
    <m/>
    <m/>
    <m/>
    <m/>
    <m/>
    <m/>
    <s v="Vila dos Criadores"/>
  </r>
  <r>
    <d v="2026-02-23T00:00:00"/>
    <s v="segunda-feira"/>
    <d v="2026-02-23T00:00:00"/>
    <s v="SIM"/>
    <x v="40"/>
    <s v="Diversas até 28/02 - VC"/>
    <n v="8"/>
    <n v="2"/>
    <n v="0"/>
    <n v="18"/>
    <n v="1"/>
    <n v="0"/>
    <n v="0"/>
    <n v="0"/>
    <n v="0"/>
    <s v="Vila dos Criadores"/>
  </r>
  <r>
    <d v="2026-02-24T00:00:00"/>
    <s v="terça-feira"/>
    <d v="2026-02-24T00:00:00"/>
    <s v="SIM"/>
    <x v="40"/>
    <s v="Diversas até 28/02 - VC"/>
    <n v="10"/>
    <n v="0"/>
    <n v="0"/>
    <n v="0"/>
    <n v="0"/>
    <n v="0"/>
    <n v="0"/>
    <n v="0"/>
    <n v="0"/>
    <s v="Vila dos Criadores"/>
  </r>
  <r>
    <d v="2026-02-25T00:00:00"/>
    <s v="quarta-feira"/>
    <d v="2026-02-25T00:00:00"/>
    <s v="SIM"/>
    <x v="40"/>
    <s v="Diversas até 28/02 - VC"/>
    <n v="6"/>
    <n v="0"/>
    <n v="0"/>
    <n v="12"/>
    <n v="0"/>
    <n v="0"/>
    <n v="0"/>
    <n v="5"/>
    <n v="0"/>
    <s v="Vila dos Criadores"/>
  </r>
  <r>
    <d v="2026-02-26T00:00:00"/>
    <s v="quinta-feira"/>
    <d v="2026-02-26T00:00:00"/>
    <s v="NÃO"/>
    <x v="0"/>
    <m/>
    <m/>
    <m/>
    <m/>
    <m/>
    <m/>
    <m/>
    <m/>
    <m/>
    <m/>
    <s v="Vila dos Criadores"/>
  </r>
  <r>
    <d v="2026-02-27T00:00:00"/>
    <s v="sexta-feira"/>
    <d v="2026-02-27T00:00:00"/>
    <s v="SIM"/>
    <x v="40"/>
    <s v="Diversas até 28/02 - VC"/>
    <m/>
    <m/>
    <m/>
    <n v="6"/>
    <n v="1"/>
    <m/>
    <m/>
    <m/>
    <m/>
    <s v="Vila dos Criadores"/>
  </r>
  <r>
    <d v="2026-02-28T00:00:00"/>
    <s v="sábado"/>
    <d v="2026-02-28T00:00:00"/>
    <s v="NÃO"/>
    <x v="0"/>
    <m/>
    <m/>
    <m/>
    <m/>
    <m/>
    <m/>
    <m/>
    <m/>
    <m/>
    <m/>
    <s v="Vila dos Criadores"/>
  </r>
  <r>
    <d v="2026-03-01T00:00:00"/>
    <s v="domingo"/>
    <d v="2026-03-01T00:00:00"/>
    <s v="NÃO"/>
    <x v="0"/>
    <m/>
    <m/>
    <m/>
    <m/>
    <m/>
    <m/>
    <m/>
    <m/>
    <m/>
    <m/>
    <s v="Vila dos Criadores"/>
  </r>
  <r>
    <d v="2026-03-02T00:00:00"/>
    <s v="segunda-feira"/>
    <d v="2026-03-02T00:00:00"/>
    <s v="SIM"/>
    <x v="41"/>
    <s v="BECO DO K9"/>
    <m/>
    <m/>
    <m/>
    <n v="6"/>
    <n v="1"/>
    <m/>
    <m/>
    <m/>
    <m/>
    <s v="Vila dos Criadores"/>
  </r>
  <r>
    <d v="2026-03-02T00:00:00"/>
    <s v="segunda-feira"/>
    <d v="2026-03-02T00:00:00"/>
    <s v="SIM"/>
    <x v="42"/>
    <s v="RUA A "/>
    <m/>
    <m/>
    <m/>
    <m/>
    <m/>
    <m/>
    <m/>
    <n v="3"/>
    <m/>
    <s v="Vila dos Criadores"/>
  </r>
  <r>
    <d v="2026-03-02T00:00:00"/>
    <s v="segunda-feira"/>
    <d v="2026-03-02T00:00:00"/>
    <s v="SIM"/>
    <x v="42"/>
    <s v="RUA H "/>
    <m/>
    <m/>
    <m/>
    <m/>
    <m/>
    <m/>
    <m/>
    <n v="2"/>
    <m/>
    <s v="Vila dos Criadores"/>
  </r>
  <r>
    <d v="2026-03-03T00:00:00"/>
    <s v="terça-feira"/>
    <d v="2026-03-03T00:00:00"/>
    <s v="SIM"/>
    <x v="43"/>
    <s v="BECO DA CAPOEIRA"/>
    <m/>
    <n v="4"/>
    <m/>
    <n v="12"/>
    <m/>
    <m/>
    <m/>
    <m/>
    <m/>
    <s v="Vila dos Criadores"/>
  </r>
  <r>
    <d v="2026-03-03T00:00:00"/>
    <s v="terça-feira"/>
    <d v="2026-03-03T00:00:00"/>
    <s v="SIM"/>
    <x v="42"/>
    <s v="RUA A "/>
    <m/>
    <m/>
    <m/>
    <m/>
    <m/>
    <m/>
    <m/>
    <n v="8"/>
    <m/>
    <s v="Vila dos Criadores"/>
  </r>
  <r>
    <d v="2026-03-03T00:00:00"/>
    <s v="terça-feira"/>
    <d v="2026-03-03T00:00:00"/>
    <s v="SIM"/>
    <x v="42"/>
    <s v="RUA H "/>
    <n v="8"/>
    <m/>
    <m/>
    <m/>
    <m/>
    <m/>
    <m/>
    <m/>
    <m/>
    <s v="Vila dos Criadores"/>
  </r>
  <r>
    <d v="2026-03-04T00:00:00"/>
    <s v="quarta-feira"/>
    <d v="2026-03-04T00:00:00"/>
    <s v="SIM"/>
    <x v="43"/>
    <s v="BECO DA CAPOEIRA"/>
    <m/>
    <n v="2"/>
    <m/>
    <n v="6"/>
    <m/>
    <m/>
    <m/>
    <m/>
    <m/>
    <s v="Vila dos Criadores"/>
  </r>
  <r>
    <d v="2026-03-04T00:00:00"/>
    <s v="quarta-feira"/>
    <d v="2026-03-04T00:00:00"/>
    <s v="SIM"/>
    <x v="41"/>
    <s v="BECO K9"/>
    <m/>
    <m/>
    <m/>
    <n v="6"/>
    <m/>
    <m/>
    <m/>
    <m/>
    <m/>
    <s v="Vila dos Criadores"/>
  </r>
  <r>
    <d v="2026-03-04T00:00:00"/>
    <s v="quarta-feira"/>
    <d v="2026-03-04T00:00:00"/>
    <s v="SIM"/>
    <x v="42"/>
    <s v="RUA H "/>
    <m/>
    <m/>
    <m/>
    <m/>
    <m/>
    <m/>
    <m/>
    <n v="9"/>
    <m/>
    <s v="Vila dos Criadores"/>
  </r>
  <r>
    <d v="2026-03-04T00:00:00"/>
    <s v="quarta-feira"/>
    <d v="2026-03-04T00:00:00"/>
    <s v="SIM"/>
    <x v="42"/>
    <s v="TRAVESSA DO CAMPO"/>
    <n v="7"/>
    <m/>
    <m/>
    <m/>
    <m/>
    <m/>
    <m/>
    <n v="9"/>
    <m/>
    <s v="Vila dos Criadores"/>
  </r>
  <r>
    <d v="2026-03-05T00:00:00"/>
    <s v="quinta-feira"/>
    <d v="2026-03-05T00:00:00"/>
    <s v="SIM"/>
    <x v="43"/>
    <s v="BECO DA CAPOEIRA "/>
    <m/>
    <n v="2"/>
    <m/>
    <n v="6"/>
    <m/>
    <m/>
    <m/>
    <m/>
    <m/>
    <s v="Vila dos Criadores"/>
  </r>
  <r>
    <d v="2026-03-05T00:00:00"/>
    <s v="quinta-feira"/>
    <d v="2026-03-05T00:00:00"/>
    <s v="SIM"/>
    <x v="42"/>
    <s v="RUA H "/>
    <n v="8"/>
    <m/>
    <m/>
    <m/>
    <m/>
    <m/>
    <m/>
    <n v="8"/>
    <m/>
    <s v="Vila dos Criadores"/>
  </r>
  <r>
    <d v="2026-03-05T00:00:00"/>
    <s v="quinta-feira"/>
    <d v="2026-03-05T00:00:00"/>
    <s v="SIM"/>
    <x v="41"/>
    <s v="BECO DO K9"/>
    <n v="8"/>
    <m/>
    <m/>
    <n v="6"/>
    <m/>
    <m/>
    <m/>
    <m/>
    <m/>
    <s v="Vila dos Criadores"/>
  </r>
  <r>
    <d v="2026-03-06T00:00:00"/>
    <s v="sexta-feira"/>
    <d v="2026-03-06T00:00:00"/>
    <s v="SIM"/>
    <x v="43"/>
    <s v="BECO DA CAPOEIRA"/>
    <m/>
    <n v="2"/>
    <m/>
    <n v="6"/>
    <n v="1"/>
    <m/>
    <m/>
    <m/>
    <m/>
    <s v="Vila dos Criadores"/>
  </r>
  <r>
    <d v="2026-03-06T00:00:00"/>
    <s v="sexta-feira"/>
    <d v="2026-03-06T00:00:00"/>
    <s v="SIM"/>
    <x v="41"/>
    <s v="BECO  DO K9"/>
    <m/>
    <m/>
    <m/>
    <n v="5"/>
    <m/>
    <m/>
    <m/>
    <m/>
    <m/>
    <s v="Vila dos Criadores"/>
  </r>
  <r>
    <d v="2026-03-06T00:00:00"/>
    <s v="sexta-feira"/>
    <d v="2026-03-06T00:00:00"/>
    <s v="SIM"/>
    <x v="42"/>
    <s v="FUNDÃO DA B"/>
    <n v="1"/>
    <m/>
    <m/>
    <m/>
    <m/>
    <m/>
    <n v="5"/>
    <n v="3"/>
    <m/>
    <s v="Vila dos Criadores"/>
  </r>
  <r>
    <d v="2026-03-07T00:00:00"/>
    <s v="sábado"/>
    <d v="2026-03-07T00:00:00"/>
    <s v="NÃO"/>
    <x v="0"/>
    <m/>
    <m/>
    <m/>
    <m/>
    <m/>
    <m/>
    <m/>
    <m/>
    <m/>
    <m/>
    <s v="Vila dos Criadores"/>
  </r>
  <r>
    <d v="2026-03-08T00:00:00"/>
    <s v="domingo"/>
    <d v="2026-03-08T00:00:00"/>
    <s v="NÃO"/>
    <x v="0"/>
    <m/>
    <m/>
    <m/>
    <m/>
    <m/>
    <m/>
    <m/>
    <m/>
    <m/>
    <m/>
    <s v="Vila dos Criadores"/>
  </r>
  <r>
    <d v="2026-03-09T00:00:00"/>
    <s v="segunda-feira"/>
    <d v="2026-03-09T00:00:00"/>
    <s v="SIM"/>
    <x v="43"/>
    <s v="BECO DA CAPOEIRA "/>
    <m/>
    <m/>
    <m/>
    <n v="6"/>
    <m/>
    <m/>
    <m/>
    <m/>
    <m/>
    <s v="Vila dos Criadores"/>
  </r>
  <r>
    <d v="2026-03-09T00:00:00"/>
    <s v="segunda-feira"/>
    <d v="2026-03-09T00:00:00"/>
    <s v="SIM"/>
    <x v="41"/>
    <s v="BECO K9"/>
    <m/>
    <m/>
    <m/>
    <n v="3"/>
    <m/>
    <m/>
    <m/>
    <m/>
    <m/>
    <s v="Vila dos Criadores"/>
  </r>
  <r>
    <d v="2026-03-09T00:00:00"/>
    <s v="segunda-feira"/>
    <d v="2026-03-09T00:00:00"/>
    <s v="SIM"/>
    <x v="42"/>
    <s v="TRAVESSA DO CAMPO"/>
    <n v="5"/>
    <m/>
    <m/>
    <m/>
    <m/>
    <m/>
    <m/>
    <n v="5"/>
    <m/>
    <s v="Vila dos Criadores"/>
  </r>
  <r>
    <d v="2026-03-10T00:00:00"/>
    <s v="terça-feira"/>
    <d v="2026-03-10T00:00:00"/>
    <s v="NÃO"/>
    <x v="0"/>
    <s v="CHUVA"/>
    <m/>
    <m/>
    <m/>
    <m/>
    <m/>
    <m/>
    <m/>
    <m/>
    <m/>
    <s v="Vila dos Criadores"/>
  </r>
  <r>
    <d v="2026-03-11T00:00:00"/>
    <s v="quarta-feira"/>
    <d v="2026-03-11T00:00:00"/>
    <s v="SIM"/>
    <x v="44"/>
    <s v="RUA DA CAPADÓCIA "/>
    <n v="6"/>
    <m/>
    <n v="4"/>
    <m/>
    <m/>
    <m/>
    <m/>
    <m/>
    <m/>
    <s v="Vila dos Criadores"/>
  </r>
  <r>
    <d v="2026-03-11T00:00:00"/>
    <s v="quarta-feira"/>
    <d v="2026-03-11T00:00:00"/>
    <s v="SIM"/>
    <x v="43"/>
    <s v="BECO DA CAPOEIRA"/>
    <m/>
    <n v="4"/>
    <m/>
    <n v="6"/>
    <n v="1"/>
    <m/>
    <m/>
    <m/>
    <m/>
    <s v="Vila dos Criadores"/>
  </r>
  <r>
    <d v="2026-03-11T00:00:00"/>
    <s v="quarta-feira"/>
    <d v="2026-03-11T00:00:00"/>
    <s v="SIM"/>
    <x v="41"/>
    <s v="BECO DO K9"/>
    <m/>
    <m/>
    <m/>
    <n v="3"/>
    <n v="1"/>
    <m/>
    <m/>
    <m/>
    <m/>
    <s v="Vila dos Criadores"/>
  </r>
  <r>
    <d v="2026-03-11T00:00:00"/>
    <s v="quarta-feira"/>
    <d v="2026-03-11T00:00:00"/>
    <s v="SIM"/>
    <x v="42"/>
    <s v="TRAVESSA DO CAMPO"/>
    <n v="2"/>
    <m/>
    <m/>
    <m/>
    <m/>
    <m/>
    <n v="2"/>
    <m/>
    <m/>
    <s v="Vila dos Criadores"/>
  </r>
  <r>
    <d v="2026-03-12T00:00:00"/>
    <s v="quinta-feira"/>
    <d v="2026-03-12T00:00:00"/>
    <s v="SIM"/>
    <x v="43"/>
    <s v="TRAVESSA DA KELLY "/>
    <n v="6"/>
    <m/>
    <m/>
    <n v="34"/>
    <m/>
    <m/>
    <m/>
    <m/>
    <m/>
    <s v="Vila dos Criadores"/>
  </r>
  <r>
    <d v="2026-03-12T00:00:00"/>
    <s v="quinta-feira"/>
    <d v="2026-03-12T00:00:00"/>
    <s v="SIM"/>
    <x v="42"/>
    <s v="TREVESSA DO CAMPO "/>
    <m/>
    <m/>
    <m/>
    <m/>
    <m/>
    <m/>
    <m/>
    <n v="2"/>
    <m/>
    <s v="Vila dos Criadores"/>
  </r>
  <r>
    <d v="2026-03-12T00:00:00"/>
    <s v="quinta-feira"/>
    <d v="2026-03-12T00:00:00"/>
    <s v="SIM"/>
    <x v="42"/>
    <s v="RUA "/>
    <n v="2"/>
    <m/>
    <m/>
    <m/>
    <m/>
    <m/>
    <m/>
    <m/>
    <m/>
    <s v="Vila dos Criadores"/>
  </r>
  <r>
    <d v="2026-03-13T00:00:00"/>
    <s v="sexta-feira"/>
    <d v="2026-03-13T00:00:00"/>
    <s v="SIM"/>
    <x v="43"/>
    <s v="PROJETA F "/>
    <n v="4"/>
    <m/>
    <n v="66"/>
    <m/>
    <m/>
    <m/>
    <m/>
    <m/>
    <m/>
    <s v="Vila dos Criadores"/>
  </r>
  <r>
    <d v="2026-03-13T00:00:00"/>
    <s v="sexta-feira"/>
    <d v="2026-03-13T00:00:00"/>
    <s v="SIM"/>
    <x v="41"/>
    <s v="BECO DO K9"/>
    <m/>
    <m/>
    <m/>
    <n v="6"/>
    <n v="2"/>
    <m/>
    <m/>
    <m/>
    <m/>
    <s v="Vila dos Criadores"/>
  </r>
  <r>
    <d v="2026-03-13T00:00:00"/>
    <s v="sexta-feira"/>
    <d v="2026-03-13T00:00:00"/>
    <s v="SIM"/>
    <x v="42"/>
    <s v="FAMILIA BARROS"/>
    <n v="2"/>
    <m/>
    <m/>
    <m/>
    <m/>
    <m/>
    <n v="2"/>
    <n v="2"/>
    <m/>
    <s v="Vila dos Criadores"/>
  </r>
  <r>
    <d v="2026-03-14T00:00:00"/>
    <s v="sábado"/>
    <d v="2026-03-14T00:00:00"/>
    <s v="SIM"/>
    <x v="45"/>
    <s v="RUA DA CAPADOCIA"/>
    <n v="6"/>
    <m/>
    <n v="41"/>
    <m/>
    <m/>
    <m/>
    <m/>
    <m/>
    <m/>
    <s v="Vila dos Criadores"/>
  </r>
  <r>
    <d v="2026-03-15T00:00:00"/>
    <s v="domingo"/>
    <d v="2026-03-15T00:00:00"/>
    <s v="NÃO"/>
    <x v="0"/>
    <m/>
    <m/>
    <m/>
    <m/>
    <m/>
    <m/>
    <m/>
    <m/>
    <m/>
    <m/>
    <s v="Vila dos Criadores"/>
  </r>
  <r>
    <d v="2026-03-16T00:00:00"/>
    <s v="segunda-feira"/>
    <d v="2026-03-16T00:00:00"/>
    <s v="SIM"/>
    <x v="43"/>
    <s v="PROJETA F "/>
    <n v="6"/>
    <m/>
    <n v="100"/>
    <m/>
    <m/>
    <m/>
    <m/>
    <m/>
    <m/>
    <s v="Vila dos Criadores"/>
  </r>
  <r>
    <d v="2026-03-16T00:00:00"/>
    <s v="segunda-feira"/>
    <d v="2026-03-16T00:00:00"/>
    <s v="SIM"/>
    <x v="41"/>
    <s v="BECO DO K9"/>
    <m/>
    <m/>
    <m/>
    <n v="6"/>
    <n v="1"/>
    <m/>
    <m/>
    <m/>
    <m/>
    <s v="Vila dos Criadores"/>
  </r>
  <r>
    <d v="2026-03-16T00:00:00"/>
    <s v="segunda-feira"/>
    <d v="2026-03-16T00:00:00"/>
    <s v="SIM"/>
    <x v="42"/>
    <s v="FAMILIA BARROS"/>
    <n v="7"/>
    <m/>
    <m/>
    <m/>
    <m/>
    <m/>
    <n v="2"/>
    <n v="2"/>
    <m/>
    <s v="Vila dos Criadores"/>
  </r>
  <r>
    <d v="2026-03-16T00:00:00"/>
    <s v="segunda-feira"/>
    <d v="2026-03-16T00:00:00"/>
    <s v="SIM"/>
    <x v="44"/>
    <s v="RUA CAPADÓCIA "/>
    <n v="7"/>
    <m/>
    <n v="157"/>
    <m/>
    <m/>
    <m/>
    <m/>
    <n v="7"/>
    <m/>
    <s v="Vila dos Criadores"/>
  </r>
  <r>
    <d v="2026-03-17T00:00:00"/>
    <s v="terça-feira"/>
    <d v="2026-03-17T00:00:00"/>
    <s v="SIM"/>
    <x v="5"/>
    <s v="PROJETA F "/>
    <n v="4"/>
    <m/>
    <n v="50"/>
    <m/>
    <m/>
    <m/>
    <m/>
    <m/>
    <m/>
    <s v="Vila dos Criadores"/>
  </r>
  <r>
    <d v="2026-03-17T00:00:00"/>
    <s v="terça-feira"/>
    <d v="2026-03-17T00:00:00"/>
    <s v="SIM"/>
    <x v="43"/>
    <s v="BECO SHEIK"/>
    <m/>
    <m/>
    <m/>
    <n v="6"/>
    <m/>
    <m/>
    <m/>
    <m/>
    <m/>
    <s v="Vila dos Criadores"/>
  </r>
  <r>
    <d v="2026-03-17T00:00:00"/>
    <s v="terça-feira"/>
    <d v="2026-03-17T00:00:00"/>
    <s v="SIM"/>
    <x v="41"/>
    <s v="BECO K9"/>
    <n v="1"/>
    <n v="4"/>
    <m/>
    <m/>
    <m/>
    <m/>
    <m/>
    <m/>
    <m/>
    <s v="Vila dos Criadores"/>
  </r>
  <r>
    <d v="2026-03-17T00:00:00"/>
    <s v="terça-feira"/>
    <d v="2026-03-17T00:00:00"/>
    <s v="SIM"/>
    <x v="44"/>
    <s v="RUA CAPADÓCIA "/>
    <n v="7"/>
    <m/>
    <n v="40"/>
    <m/>
    <m/>
    <m/>
    <m/>
    <m/>
    <m/>
    <s v="Vila dos Criadores"/>
  </r>
  <r>
    <d v="2026-03-18T00:00:00"/>
    <s v="quarta-feira"/>
    <d v="2026-03-18T00:00:00"/>
    <s v="SIM"/>
    <x v="43"/>
    <s v="BECO DO SHEIK "/>
    <m/>
    <m/>
    <m/>
    <n v="6"/>
    <m/>
    <m/>
    <m/>
    <m/>
    <m/>
    <s v="Vila dos Criadores"/>
  </r>
  <r>
    <d v="2026-03-18T00:00:00"/>
    <s v="quarta-feira"/>
    <d v="2026-03-18T00:00:00"/>
    <s v="SIM"/>
    <x v="46"/>
    <s v="BECO DO K9"/>
    <m/>
    <n v="2"/>
    <m/>
    <n v="6"/>
    <m/>
    <m/>
    <m/>
    <m/>
    <m/>
    <s v="Vila dos Criadores"/>
  </r>
  <r>
    <d v="2026-03-18T00:00:00"/>
    <s v="quarta-feira"/>
    <d v="2026-03-18T00:00:00"/>
    <s v="SIM"/>
    <x v="5"/>
    <s v="PROJETO F"/>
    <n v="8"/>
    <m/>
    <m/>
    <n v="90"/>
    <m/>
    <m/>
    <m/>
    <m/>
    <m/>
    <s v="Vila dos Criadores"/>
  </r>
  <r>
    <d v="2026-03-19T00:00:00"/>
    <s v="quinta-feira"/>
    <d v="2026-03-19T00:00:00"/>
    <s v="SIM"/>
    <x v="43"/>
    <s v="BECO DO SHEIK "/>
    <m/>
    <m/>
    <m/>
    <n v="6"/>
    <m/>
    <m/>
    <m/>
    <m/>
    <m/>
    <s v="Vila dos Criadores"/>
  </r>
  <r>
    <d v="2026-03-19T00:00:00"/>
    <s v="quinta-feira"/>
    <d v="2026-03-19T00:00:00"/>
    <s v="SIM"/>
    <x v="43"/>
    <s v="RUA D"/>
    <m/>
    <m/>
    <m/>
    <n v="6"/>
    <n v="1"/>
    <m/>
    <m/>
    <m/>
    <m/>
    <s v="Vila dos Criadores"/>
  </r>
  <r>
    <d v="2026-03-19T00:00:00"/>
    <s v="quinta-feira"/>
    <d v="2026-03-19T00:00:00"/>
    <s v="SIM"/>
    <x v="46"/>
    <s v="BECO DO K9"/>
    <m/>
    <m/>
    <m/>
    <n v="6"/>
    <n v="1"/>
    <m/>
    <m/>
    <m/>
    <m/>
    <s v="Vila dos Criadores"/>
  </r>
  <r>
    <d v="2026-03-19T00:00:00"/>
    <s v="quinta-feira"/>
    <d v="2026-03-19T00:00:00"/>
    <s v="SIM"/>
    <x v="5"/>
    <s v="PROJETADA F"/>
    <n v="5"/>
    <m/>
    <n v="81"/>
    <m/>
    <m/>
    <m/>
    <m/>
    <m/>
    <m/>
    <s v="Vila dos Criadores"/>
  </r>
  <r>
    <d v="2026-03-19T00:00:00"/>
    <s v="quinta-feira"/>
    <d v="2026-03-19T00:00:00"/>
    <s v="SIM"/>
    <x v="47"/>
    <s v="RUA DA CAPADÓCIA "/>
    <n v="3"/>
    <m/>
    <n v="20"/>
    <m/>
    <m/>
    <m/>
    <m/>
    <n v="3"/>
    <m/>
    <s v="Vila dos Criadores"/>
  </r>
  <r>
    <d v="2026-03-20T00:00:00"/>
    <s v="sexta-feira"/>
    <d v="2026-03-20T00:00:00"/>
    <s v="SIM"/>
    <x v="43"/>
    <s v="BECO DO SHEIK "/>
    <m/>
    <n v="3"/>
    <m/>
    <n v="6"/>
    <m/>
    <m/>
    <m/>
    <m/>
    <m/>
    <s v="Vila dos Criadores"/>
  </r>
  <r>
    <d v="2026-03-20T00:00:00"/>
    <s v="sexta-feira"/>
    <d v="2026-03-20T00:00:00"/>
    <s v="SIM"/>
    <x v="43"/>
    <s v="RUA D"/>
    <m/>
    <m/>
    <m/>
    <n v="6"/>
    <n v="1"/>
    <m/>
    <m/>
    <m/>
    <m/>
    <s v="Vila dos Criadores"/>
  </r>
  <r>
    <d v="2026-03-21T00:00:00"/>
    <s v="sábado"/>
    <d v="2026-03-21T00:00:00"/>
    <s v="NÃO"/>
    <x v="0"/>
    <m/>
    <m/>
    <m/>
    <m/>
    <m/>
    <m/>
    <m/>
    <m/>
    <m/>
    <m/>
    <s v="Vila dos Criadores"/>
  </r>
  <r>
    <d v="2026-03-22T00:00:00"/>
    <s v="domingo"/>
    <d v="2026-03-22T00:00:00"/>
    <s v="NÃO"/>
    <x v="0"/>
    <m/>
    <m/>
    <m/>
    <m/>
    <m/>
    <m/>
    <m/>
    <m/>
    <m/>
    <m/>
    <s v="Vila dos Criadores"/>
  </r>
  <r>
    <d v="2026-03-23T00:00:00"/>
    <s v="segunda-feira"/>
    <d v="2026-03-23T00:00:00"/>
    <s v="SIM"/>
    <x v="43"/>
    <s v="BECO DO SHEIK "/>
    <m/>
    <n v="2"/>
    <m/>
    <n v="6"/>
    <m/>
    <m/>
    <m/>
    <m/>
    <m/>
    <s v="Vila dos Criadores"/>
  </r>
  <r>
    <d v="2026-03-23T00:00:00"/>
    <s v="segunda-feira"/>
    <d v="2026-03-23T00:00:00"/>
    <s v="SIM"/>
    <x v="48"/>
    <s v="RUA D"/>
    <m/>
    <n v="5"/>
    <m/>
    <n v="12"/>
    <n v="1"/>
    <m/>
    <m/>
    <m/>
    <m/>
    <s v="Vila dos Criadores"/>
  </r>
  <r>
    <d v="2026-03-23T00:00:00"/>
    <s v="segunda-feira"/>
    <d v="2026-03-23T00:00:00"/>
    <s v="SIM"/>
    <x v="46"/>
    <s v="BECO K9"/>
    <m/>
    <m/>
    <m/>
    <n v="4"/>
    <n v="1"/>
    <m/>
    <m/>
    <m/>
    <m/>
    <s v="Vila dos Criadores"/>
  </r>
  <r>
    <d v="2026-03-23T00:00:00"/>
    <s v="segunda-feira"/>
    <d v="2026-03-23T00:00:00"/>
    <s v="SIM"/>
    <x v="5"/>
    <s v="PROJETA F "/>
    <n v="5"/>
    <m/>
    <n v="59"/>
    <m/>
    <m/>
    <m/>
    <m/>
    <m/>
    <m/>
    <s v="Vila dos Criadores"/>
  </r>
  <r>
    <d v="2026-03-23T00:00:00"/>
    <s v="segunda-feira"/>
    <d v="2026-03-23T00:00:00"/>
    <s v="SIM"/>
    <x v="47"/>
    <s v="CAPADÓCIA "/>
    <m/>
    <m/>
    <n v="37"/>
    <m/>
    <m/>
    <m/>
    <m/>
    <m/>
    <m/>
    <s v="Vila dos Criadores"/>
  </r>
  <r>
    <d v="2026-03-24T00:00:00"/>
    <s v="terça-feira"/>
    <d v="2026-03-24T00:00:00"/>
    <s v="SIM"/>
    <x v="43"/>
    <s v="BECO DO SHEIK "/>
    <m/>
    <n v="2"/>
    <m/>
    <n v="6"/>
    <n v="1"/>
    <m/>
    <m/>
    <m/>
    <m/>
    <s v="Vila dos Criadores"/>
  </r>
  <r>
    <d v="2026-03-24T00:00:00"/>
    <s v="terça-feira"/>
    <d v="2026-03-24T00:00:00"/>
    <s v="SIM"/>
    <x v="48"/>
    <s v="RUA D "/>
    <m/>
    <n v="1"/>
    <m/>
    <n v="6"/>
    <n v="1"/>
    <m/>
    <m/>
    <m/>
    <m/>
    <s v="Vila dos Criadores"/>
  </r>
  <r>
    <d v="2026-03-24T00:00:00"/>
    <s v="terça-feira"/>
    <d v="2026-03-24T00:00:00"/>
    <s v="SIM"/>
    <x v="5"/>
    <s v="TRAVESSA DO LEANDRO "/>
    <m/>
    <m/>
    <n v="73"/>
    <m/>
    <m/>
    <m/>
    <m/>
    <m/>
    <m/>
    <s v="Vila dos Criadores"/>
  </r>
  <r>
    <d v="2026-03-24T00:00:00"/>
    <s v="terça-feira"/>
    <d v="2026-03-24T00:00:00"/>
    <s v="SIM"/>
    <x v="49"/>
    <s v="RUA DA CAPADOCIA"/>
    <n v="2"/>
    <m/>
    <m/>
    <m/>
    <m/>
    <m/>
    <m/>
    <m/>
    <m/>
    <s v="Vila dos Criadores"/>
  </r>
  <r>
    <d v="2026-03-25T00:00:00"/>
    <s v="quarta-feira"/>
    <d v="2026-03-25T00:00:00"/>
    <s v="SIM"/>
    <x v="43"/>
    <s v="BECO DO SHEIK "/>
    <m/>
    <n v="2"/>
    <m/>
    <n v="3"/>
    <n v="1"/>
    <m/>
    <m/>
    <m/>
    <m/>
    <s v="Vila dos Criadores"/>
  </r>
  <r>
    <d v="2026-03-25T00:00:00"/>
    <s v="quarta-feira"/>
    <d v="2026-03-25T00:00:00"/>
    <s v="SIM"/>
    <x v="50"/>
    <s v="RUA D"/>
    <m/>
    <n v="4"/>
    <m/>
    <n v="27"/>
    <n v="1"/>
    <m/>
    <m/>
    <m/>
    <m/>
    <s v="Vila dos Criadores"/>
  </r>
  <r>
    <d v="2026-03-25T00:00:00"/>
    <s v="quarta-feira"/>
    <d v="2026-03-25T00:00:00"/>
    <s v="SIM"/>
    <x v="46"/>
    <s v="BECO K9"/>
    <m/>
    <n v="1"/>
    <m/>
    <n v="8"/>
    <m/>
    <m/>
    <m/>
    <m/>
    <m/>
    <s v="Vila dos Criadores"/>
  </r>
  <r>
    <d v="2026-03-26T00:00:00"/>
    <s v="quinta-feira"/>
    <d v="2026-03-26T00:00:00"/>
    <s v="SIM"/>
    <x v="43"/>
    <s v="BECO DO SHEIK "/>
    <m/>
    <m/>
    <m/>
    <n v="5"/>
    <n v="1"/>
    <m/>
    <m/>
    <m/>
    <m/>
    <s v="Vila dos Criadores"/>
  </r>
  <r>
    <d v="2026-03-26T00:00:00"/>
    <s v="quinta-feira"/>
    <d v="2026-03-26T00:00:00"/>
    <s v="SIM"/>
    <x v="48"/>
    <s v="RUA C"/>
    <m/>
    <n v="4"/>
    <m/>
    <n v="21"/>
    <n v="1"/>
    <m/>
    <m/>
    <m/>
    <m/>
    <s v="Vila dos Criadores"/>
  </r>
  <r>
    <d v="2026-03-26T00:00:00"/>
    <s v="quinta-feira"/>
    <d v="2026-03-26T00:00:00"/>
    <s v="SIM"/>
    <x v="5"/>
    <s v="BECO DO LIBANES "/>
    <m/>
    <m/>
    <n v="40"/>
    <m/>
    <m/>
    <m/>
    <m/>
    <m/>
    <m/>
    <s v="Vila dos Criadores"/>
  </r>
  <r>
    <d v="2026-03-26T00:00:00"/>
    <s v="quinta-feira"/>
    <d v="2026-03-26T00:00:00"/>
    <s v="SIM"/>
    <x v="47"/>
    <s v="RUA DA CAPADÓCIA "/>
    <n v="1"/>
    <m/>
    <m/>
    <m/>
    <m/>
    <m/>
    <m/>
    <n v="17"/>
    <m/>
    <s v="Vila dos Criadores"/>
  </r>
  <r>
    <d v="2026-03-27T00:00:00"/>
    <s v="sexta-feira"/>
    <d v="2026-03-27T00:00:00"/>
    <s v="SIM"/>
    <x v="43"/>
    <s v="BECO DO SHEIK "/>
    <m/>
    <m/>
    <m/>
    <n v="5"/>
    <n v="1"/>
    <m/>
    <m/>
    <m/>
    <m/>
    <s v="Vila dos Criadores"/>
  </r>
  <r>
    <d v="2026-03-27T00:00:00"/>
    <s v="sexta-feira"/>
    <d v="2026-03-27T00:00:00"/>
    <s v="SIM"/>
    <x v="48"/>
    <s v="RUA C"/>
    <m/>
    <n v="6"/>
    <m/>
    <n v="24"/>
    <m/>
    <m/>
    <m/>
    <m/>
    <m/>
    <s v="Vila dos Criadores"/>
  </r>
  <r>
    <d v="2026-03-27T00:00:00"/>
    <s v="sexta-feira"/>
    <d v="2026-03-27T00:00:00"/>
    <s v="SIM"/>
    <x v="41"/>
    <s v="BECO K9"/>
    <m/>
    <n v="1"/>
    <m/>
    <n v="6"/>
    <m/>
    <m/>
    <m/>
    <m/>
    <m/>
    <s v="Vila dos Criadores"/>
  </r>
  <r>
    <d v="2026-03-27T00:00:00"/>
    <s v="sexta-feira"/>
    <d v="2026-03-27T00:00:00"/>
    <s v="SIM"/>
    <x v="5"/>
    <s v="PROJETADA F"/>
    <m/>
    <m/>
    <n v="12"/>
    <m/>
    <m/>
    <m/>
    <m/>
    <m/>
    <m/>
    <s v="Vila dos Criadores"/>
  </r>
  <r>
    <d v="2026-03-27T00:00:00"/>
    <s v="sexta-feira"/>
    <d v="2026-03-27T00:00:00"/>
    <s v="SIM"/>
    <x v="47"/>
    <s v="TRAVESSA DO PEDRINHO"/>
    <n v="4"/>
    <m/>
    <m/>
    <m/>
    <m/>
    <m/>
    <m/>
    <n v="4"/>
    <m/>
    <s v="Vila dos Criadores"/>
  </r>
  <r>
    <d v="2026-03-28T00:00:00"/>
    <s v="sábado"/>
    <d v="2026-03-28T00:00:00"/>
    <s v="NÃO"/>
    <x v="0"/>
    <m/>
    <m/>
    <m/>
    <m/>
    <m/>
    <m/>
    <m/>
    <m/>
    <m/>
    <m/>
    <s v="Vila dos Criadores"/>
  </r>
  <r>
    <d v="2026-03-29T00:00:00"/>
    <s v="domingo"/>
    <d v="2026-03-29T00:00:00"/>
    <s v="NÃO"/>
    <x v="0"/>
    <m/>
    <m/>
    <m/>
    <m/>
    <m/>
    <m/>
    <m/>
    <m/>
    <m/>
    <m/>
    <s v="Vila dos Criadores"/>
  </r>
  <r>
    <d v="2026-03-30T00:00:00"/>
    <s v="segunda-feira"/>
    <d v="2026-03-30T00:00:00"/>
    <s v="SIM"/>
    <x v="51"/>
    <s v="RUA C"/>
    <m/>
    <n v="1"/>
    <m/>
    <n v="12"/>
    <n v="1"/>
    <m/>
    <m/>
    <m/>
    <m/>
    <s v="Vila dos Criadores"/>
  </r>
  <r>
    <d v="2026-03-30T00:00:00"/>
    <s v="segunda-feira"/>
    <d v="2026-03-30T00:00:00"/>
    <s v="SIM"/>
    <x v="43"/>
    <s v="BECO DO SHEIK "/>
    <m/>
    <n v="2"/>
    <m/>
    <n v="6"/>
    <n v="1"/>
    <m/>
    <m/>
    <m/>
    <m/>
    <s v="Vila dos Criadores"/>
  </r>
  <r>
    <d v="2026-03-30T00:00:00"/>
    <s v="segunda-feira"/>
    <d v="2026-03-30T00:00:00"/>
    <s v="SIM"/>
    <x v="46"/>
    <s v="BECO K9"/>
    <m/>
    <n v="1"/>
    <m/>
    <n v="6"/>
    <m/>
    <m/>
    <m/>
    <m/>
    <m/>
    <s v="Vila dos Criadores"/>
  </r>
  <r>
    <d v="2026-03-30T00:00:00"/>
    <s v="segunda-feira"/>
    <d v="2026-03-30T00:00:00"/>
    <s v="SIM"/>
    <x v="5"/>
    <s v="BECO DA PAZ "/>
    <m/>
    <m/>
    <n v="20"/>
    <m/>
    <m/>
    <m/>
    <m/>
    <m/>
    <m/>
    <s v="Vila dos Criadores"/>
  </r>
  <r>
    <d v="2026-03-30T00:00:00"/>
    <s v="segunda-feira"/>
    <d v="2026-03-30T00:00:00"/>
    <s v="SIM"/>
    <x v="5"/>
    <s v="RUA C "/>
    <m/>
    <m/>
    <m/>
    <m/>
    <m/>
    <m/>
    <n v="1"/>
    <m/>
    <m/>
    <s v="Vila dos Criadores"/>
  </r>
  <r>
    <d v="2026-03-30T00:00:00"/>
    <s v="segunda-feira"/>
    <d v="2026-03-30T00:00:00"/>
    <s v="SIM"/>
    <x v="5"/>
    <s v="RUA A "/>
    <m/>
    <m/>
    <m/>
    <m/>
    <m/>
    <m/>
    <n v="3"/>
    <m/>
    <m/>
    <s v="Vila dos Criadores"/>
  </r>
  <r>
    <d v="2026-03-31T00:00:00"/>
    <s v="terça-feira"/>
    <d v="2026-03-31T00:00:00"/>
    <s v="SIM"/>
    <x v="51"/>
    <s v="RUA C"/>
    <m/>
    <n v="8"/>
    <m/>
    <n v="40"/>
    <n v="1"/>
    <m/>
    <m/>
    <m/>
    <m/>
    <s v="Vila dos Criadores"/>
  </r>
  <r>
    <d v="2026-03-31T00:00:00"/>
    <s v="terça-feira"/>
    <d v="2026-03-31T00:00:00"/>
    <s v="SIM"/>
    <x v="43"/>
    <s v="BECO DO SHEIK "/>
    <m/>
    <n v="1"/>
    <m/>
    <n v="6"/>
    <m/>
    <m/>
    <m/>
    <m/>
    <m/>
    <s v="Vila dos Criadores"/>
  </r>
  <r>
    <d v="2026-03-31T00:00:00"/>
    <s v="terça-feira"/>
    <d v="2026-03-31T00:00:00"/>
    <s v="SIM"/>
    <x v="41"/>
    <s v="BECO K9"/>
    <m/>
    <m/>
    <m/>
    <n v="2"/>
    <n v="1"/>
    <m/>
    <m/>
    <m/>
    <m/>
    <s v="Vila dos Criadores"/>
  </r>
  <r>
    <d v="2026-03-31T00:00:00"/>
    <s v="terça-feira"/>
    <d v="2026-03-31T00:00:00"/>
    <s v="SIM"/>
    <x v="5"/>
    <s v="BECO DA PAZ "/>
    <n v="4"/>
    <m/>
    <n v="20"/>
    <m/>
    <m/>
    <m/>
    <m/>
    <m/>
    <m/>
    <s v="Vila dos Criadores"/>
  </r>
  <r>
    <d v="2026-03-31T00:00:00"/>
    <s v="terça-feira"/>
    <d v="2026-03-31T00:00:00"/>
    <s v="SIM"/>
    <x v="5"/>
    <s v="RUA A "/>
    <m/>
    <m/>
    <m/>
    <m/>
    <m/>
    <m/>
    <n v="3"/>
    <m/>
    <m/>
    <s v="Vila dos Criadores"/>
  </r>
  <r>
    <d v="2026-04-01T00:00:00"/>
    <s v="quarta-feira"/>
    <d v="2026-04-01T00:00:00"/>
    <s v="SIM"/>
    <x v="43"/>
    <s v="BECO DO SHEIK "/>
    <m/>
    <n v="2"/>
    <m/>
    <n v="6"/>
    <m/>
    <m/>
    <m/>
    <m/>
    <m/>
    <s v="Vila dos Criadores"/>
  </r>
  <r>
    <d v="2026-04-01T00:00:00"/>
    <s v="quarta-feira"/>
    <d v="2026-04-01T00:00:00"/>
    <s v="SIM"/>
    <x v="46"/>
    <s v="BECO DA NEIDE"/>
    <m/>
    <m/>
    <m/>
    <n v="6"/>
    <n v="1"/>
    <m/>
    <m/>
    <m/>
    <m/>
    <s v="Vila dos Criadores"/>
  </r>
  <r>
    <d v="2026-04-02T00:00:00"/>
    <s v="quinta-feira"/>
    <d v="2026-04-02T00:00:00"/>
    <s v="NÃO"/>
    <x v="0"/>
    <m/>
    <m/>
    <m/>
    <m/>
    <m/>
    <m/>
    <m/>
    <m/>
    <m/>
    <m/>
    <s v="Vila dos Criadores"/>
  </r>
  <r>
    <d v="2026-04-03T00:00:00"/>
    <s v="sexta-feira"/>
    <d v="2026-04-03T00:00:00"/>
    <s v="NÃO"/>
    <x v="0"/>
    <m/>
    <m/>
    <m/>
    <m/>
    <m/>
    <m/>
    <m/>
    <m/>
    <m/>
    <m/>
    <s v="Vila dos Criadores"/>
  </r>
  <r>
    <d v="2026-04-04T00:00:00"/>
    <s v="sábado"/>
    <d v="2026-04-04T00:00:00"/>
    <s v="NÃO"/>
    <x v="0"/>
    <m/>
    <m/>
    <m/>
    <m/>
    <m/>
    <m/>
    <m/>
    <m/>
    <m/>
    <m/>
    <s v="Vila dos Criadores"/>
  </r>
  <r>
    <d v="2026-04-05T00:00:00"/>
    <s v="domingo"/>
    <d v="2026-04-05T00:00:00"/>
    <s v="NÃO"/>
    <x v="0"/>
    <m/>
    <m/>
    <m/>
    <m/>
    <m/>
    <m/>
    <m/>
    <m/>
    <m/>
    <m/>
    <s v="Vila dos Criadores"/>
  </r>
  <r>
    <d v="2026-04-06T00:00:00"/>
    <s v="segunda-feira"/>
    <d v="2026-04-06T00:00:00"/>
    <s v="NÃO"/>
    <x v="0"/>
    <m/>
    <m/>
    <m/>
    <m/>
    <m/>
    <m/>
    <m/>
    <m/>
    <m/>
    <m/>
    <s v="Vila dos Criadores"/>
  </r>
  <r>
    <d v="2026-04-07T00:00:00"/>
    <s v="terça-feira"/>
    <d v="2026-04-07T00:00:00"/>
    <s v="NÃO"/>
    <x v="0"/>
    <m/>
    <m/>
    <m/>
    <m/>
    <m/>
    <m/>
    <m/>
    <m/>
    <m/>
    <m/>
    <s v="Vila dos Criadores"/>
  </r>
  <r>
    <d v="2026-04-08T00:00:00"/>
    <s v="quarta-feira"/>
    <d v="2026-04-08T00:00:00"/>
    <s v="NÃO"/>
    <x v="0"/>
    <m/>
    <m/>
    <m/>
    <m/>
    <m/>
    <m/>
    <m/>
    <m/>
    <m/>
    <m/>
    <s v="Vila dos Criadores"/>
  </r>
  <r>
    <d v="2026-04-09T00:00:00"/>
    <s v="quinta-feira"/>
    <d v="2026-04-09T00:00:00"/>
    <m/>
    <x v="0"/>
    <m/>
    <m/>
    <m/>
    <m/>
    <m/>
    <m/>
    <m/>
    <m/>
    <m/>
    <m/>
    <s v="Vila dos Criadores"/>
  </r>
  <r>
    <d v="2026-04-10T00:00:00"/>
    <s v="sexta-feira"/>
    <d v="2026-04-10T00:00:00"/>
    <m/>
    <x v="0"/>
    <m/>
    <m/>
    <m/>
    <m/>
    <m/>
    <m/>
    <m/>
    <m/>
    <m/>
    <m/>
    <s v="Vila dos Criadores"/>
  </r>
  <r>
    <d v="2026-04-11T00:00:00"/>
    <s v="sábado"/>
    <d v="2026-04-11T00:00:00"/>
    <s v="NÃO"/>
    <x v="0"/>
    <m/>
    <m/>
    <m/>
    <m/>
    <m/>
    <m/>
    <m/>
    <m/>
    <m/>
    <m/>
    <s v="Vila dos Criadores"/>
  </r>
  <r>
    <d v="2026-04-12T00:00:00"/>
    <s v="domingo"/>
    <d v="2026-04-12T00:00:00"/>
    <s v="NÃO"/>
    <x v="0"/>
    <m/>
    <m/>
    <m/>
    <m/>
    <m/>
    <m/>
    <m/>
    <m/>
    <m/>
    <m/>
    <s v="Vila dos Criadores"/>
  </r>
  <r>
    <d v="2026-04-13T00:00:00"/>
    <s v="segunda-feira"/>
    <d v="2026-04-13T00:00:00"/>
    <m/>
    <x v="0"/>
    <m/>
    <m/>
    <m/>
    <m/>
    <m/>
    <m/>
    <m/>
    <m/>
    <m/>
    <m/>
    <s v="Vila dos Criadores"/>
  </r>
  <r>
    <d v="2026-04-14T00:00:00"/>
    <s v="terça-feira"/>
    <d v="2026-04-14T00:00:00"/>
    <m/>
    <x v="0"/>
    <m/>
    <m/>
    <m/>
    <m/>
    <m/>
    <m/>
    <m/>
    <m/>
    <m/>
    <m/>
    <s v="Vila dos Criadores"/>
  </r>
  <r>
    <d v="2026-04-15T00:00:00"/>
    <s v="quarta-feira"/>
    <d v="2026-04-15T00:00:00"/>
    <m/>
    <x v="0"/>
    <m/>
    <m/>
    <m/>
    <m/>
    <m/>
    <m/>
    <m/>
    <m/>
    <m/>
    <m/>
    <s v="Vila dos Criadores"/>
  </r>
  <r>
    <d v="2026-04-16T00:00:00"/>
    <s v="quinta-feira"/>
    <d v="2026-04-16T00:00:00"/>
    <m/>
    <x v="0"/>
    <m/>
    <m/>
    <m/>
    <m/>
    <m/>
    <m/>
    <m/>
    <m/>
    <m/>
    <m/>
    <s v="Vila dos Criadores"/>
  </r>
  <r>
    <d v="2026-04-17T00:00:00"/>
    <s v="sexta-feira"/>
    <d v="2026-04-17T00:00:00"/>
    <m/>
    <x v="0"/>
    <m/>
    <m/>
    <m/>
    <m/>
    <m/>
    <m/>
    <m/>
    <m/>
    <m/>
    <m/>
    <s v="Vila dos Criadores"/>
  </r>
  <r>
    <d v="2026-04-18T00:00:00"/>
    <s v="sábado"/>
    <d v="2026-04-18T00:00:00"/>
    <s v="NÃO"/>
    <x v="0"/>
    <m/>
    <m/>
    <m/>
    <m/>
    <m/>
    <m/>
    <m/>
    <m/>
    <m/>
    <m/>
    <s v="Vila dos Criadores"/>
  </r>
  <r>
    <d v="2026-04-19T00:00:00"/>
    <s v="domingo"/>
    <d v="2026-04-19T00:00:00"/>
    <s v="NÃO"/>
    <x v="0"/>
    <m/>
    <m/>
    <m/>
    <m/>
    <m/>
    <m/>
    <m/>
    <m/>
    <m/>
    <m/>
    <s v="Vila dos Criadores"/>
  </r>
  <r>
    <d v="2026-04-20T00:00:00"/>
    <s v="segunda-feira"/>
    <d v="2026-04-20T00:00:00"/>
    <m/>
    <x v="0"/>
    <m/>
    <m/>
    <m/>
    <m/>
    <m/>
    <m/>
    <m/>
    <m/>
    <m/>
    <m/>
    <s v="Vila dos Criadores"/>
  </r>
  <r>
    <d v="2026-04-21T00:00:00"/>
    <s v="terça-feira"/>
    <d v="2026-04-21T00:00:00"/>
    <m/>
    <x v="0"/>
    <m/>
    <m/>
    <m/>
    <m/>
    <m/>
    <m/>
    <m/>
    <m/>
    <m/>
    <m/>
    <s v="Vila dos Criadores"/>
  </r>
  <r>
    <d v="2026-04-22T00:00:00"/>
    <s v="quarta-feira"/>
    <d v="2026-04-22T00:00:00"/>
    <m/>
    <x v="0"/>
    <m/>
    <m/>
    <m/>
    <m/>
    <m/>
    <m/>
    <m/>
    <m/>
    <m/>
    <m/>
    <s v="Vila dos Criadores"/>
  </r>
  <r>
    <d v="2026-04-23T00:00:00"/>
    <s v="quinta-feira"/>
    <d v="2026-04-23T00:00:00"/>
    <m/>
    <x v="0"/>
    <m/>
    <m/>
    <m/>
    <m/>
    <m/>
    <m/>
    <m/>
    <m/>
    <m/>
    <m/>
    <s v="Vila dos Criadores"/>
  </r>
  <r>
    <d v="2026-04-24T00:00:00"/>
    <s v="sexta-feira"/>
    <d v="2026-04-24T00:00:00"/>
    <m/>
    <x v="0"/>
    <m/>
    <m/>
    <m/>
    <m/>
    <m/>
    <m/>
    <m/>
    <m/>
    <m/>
    <m/>
    <s v="Vila dos Criadores"/>
  </r>
  <r>
    <d v="2026-04-25T00:00:00"/>
    <s v="sábado"/>
    <d v="2026-04-25T00:00:00"/>
    <s v="NÃO"/>
    <x v="0"/>
    <m/>
    <m/>
    <m/>
    <m/>
    <m/>
    <m/>
    <m/>
    <m/>
    <m/>
    <m/>
    <s v="Vila dos Criadores"/>
  </r>
  <r>
    <d v="2026-04-26T00:00:00"/>
    <s v="domingo"/>
    <d v="2026-04-26T00:00:00"/>
    <s v="NÃO"/>
    <x v="0"/>
    <m/>
    <m/>
    <m/>
    <m/>
    <m/>
    <m/>
    <m/>
    <m/>
    <m/>
    <m/>
    <s v="Vila dos Criadores"/>
  </r>
  <r>
    <d v="2026-04-27T00:00:00"/>
    <s v="segunda-feira"/>
    <d v="2026-04-27T00:00:00"/>
    <m/>
    <x v="0"/>
    <m/>
    <m/>
    <m/>
    <m/>
    <m/>
    <m/>
    <m/>
    <m/>
    <m/>
    <m/>
    <s v="Vila dos Criadores"/>
  </r>
  <r>
    <d v="2026-04-28T00:00:00"/>
    <s v="terça-feira"/>
    <d v="2026-04-28T00:00:00"/>
    <m/>
    <x v="0"/>
    <m/>
    <m/>
    <m/>
    <m/>
    <m/>
    <m/>
    <m/>
    <m/>
    <m/>
    <m/>
    <s v="Vila dos Criadores"/>
  </r>
  <r>
    <d v="2026-04-29T00:00:00"/>
    <s v="quarta-feira"/>
    <d v="2026-04-29T00:00:00"/>
    <m/>
    <x v="0"/>
    <m/>
    <m/>
    <m/>
    <m/>
    <m/>
    <m/>
    <m/>
    <m/>
    <m/>
    <m/>
    <s v="Vila dos Criadores"/>
  </r>
  <r>
    <d v="2026-04-30T00:00:00"/>
    <s v="quinta-feira"/>
    <d v="2026-04-30T00:00:00"/>
    <m/>
    <x v="0"/>
    <m/>
    <m/>
    <m/>
    <m/>
    <m/>
    <m/>
    <m/>
    <m/>
    <m/>
    <m/>
    <s v="Vila dos Criadores"/>
  </r>
  <r>
    <d v="2026-05-01T00:00:00"/>
    <s v="sexta-feira"/>
    <d v="2026-05-01T00:00:00"/>
    <m/>
    <x v="0"/>
    <m/>
    <m/>
    <m/>
    <m/>
    <m/>
    <m/>
    <m/>
    <m/>
    <m/>
    <m/>
    <s v="Vila dos Criadores"/>
  </r>
  <r>
    <d v="2026-05-02T00:00:00"/>
    <s v="sábado"/>
    <d v="2026-05-02T00:00:00"/>
    <s v="NÃO"/>
    <x v="0"/>
    <m/>
    <m/>
    <m/>
    <m/>
    <m/>
    <m/>
    <m/>
    <m/>
    <m/>
    <m/>
    <s v="Vila dos Criadores"/>
  </r>
  <r>
    <d v="2026-05-03T00:00:00"/>
    <s v="domingo"/>
    <d v="2026-05-03T00:00:00"/>
    <s v="NÃO"/>
    <x v="0"/>
    <m/>
    <m/>
    <m/>
    <m/>
    <m/>
    <m/>
    <m/>
    <m/>
    <m/>
    <m/>
    <s v="Vila dos Criadores"/>
  </r>
  <r>
    <d v="2026-05-04T00:00:00"/>
    <s v="segunda-feira"/>
    <d v="2026-05-04T00:00:00"/>
    <m/>
    <x v="0"/>
    <m/>
    <m/>
    <m/>
    <m/>
    <m/>
    <m/>
    <m/>
    <m/>
    <m/>
    <m/>
    <s v="Vila dos Criadores"/>
  </r>
  <r>
    <d v="2026-05-05T00:00:00"/>
    <s v="terça-feira"/>
    <d v="2026-05-05T00:00:00"/>
    <m/>
    <x v="0"/>
    <m/>
    <m/>
    <m/>
    <m/>
    <m/>
    <m/>
    <m/>
    <m/>
    <m/>
    <m/>
    <s v="Vila dos Criadores"/>
  </r>
  <r>
    <d v="2026-05-06T00:00:00"/>
    <s v="quarta-feira"/>
    <d v="2026-05-06T00:00:00"/>
    <m/>
    <x v="0"/>
    <m/>
    <m/>
    <m/>
    <m/>
    <m/>
    <m/>
    <m/>
    <m/>
    <m/>
    <m/>
    <s v="Vila dos Criadores"/>
  </r>
  <r>
    <d v="2026-05-07T00:00:00"/>
    <s v="quinta-feira"/>
    <d v="2026-05-07T00:00:00"/>
    <m/>
    <x v="0"/>
    <m/>
    <m/>
    <m/>
    <m/>
    <m/>
    <m/>
    <m/>
    <m/>
    <m/>
    <m/>
    <s v="Vila dos Criadores"/>
  </r>
  <r>
    <d v="2026-05-08T00:00:00"/>
    <s v="sexta-feira"/>
    <d v="2026-05-08T00:00:00"/>
    <m/>
    <x v="0"/>
    <m/>
    <m/>
    <m/>
    <m/>
    <m/>
    <m/>
    <m/>
    <m/>
    <m/>
    <m/>
    <s v="Vila dos Criadores"/>
  </r>
  <r>
    <d v="2026-05-09T00:00:00"/>
    <s v="sábado"/>
    <d v="2026-05-09T00:00:00"/>
    <s v="NÃO"/>
    <x v="0"/>
    <m/>
    <m/>
    <m/>
    <m/>
    <m/>
    <m/>
    <m/>
    <m/>
    <m/>
    <m/>
    <s v="Vila dos Criadores"/>
  </r>
  <r>
    <d v="2026-05-10T00:00:00"/>
    <s v="domingo"/>
    <d v="2026-05-10T00:00:00"/>
    <s v="NÃO"/>
    <x v="0"/>
    <m/>
    <m/>
    <m/>
    <m/>
    <m/>
    <m/>
    <m/>
    <m/>
    <m/>
    <m/>
    <s v="Vila dos Criadores"/>
  </r>
  <r>
    <d v="2026-05-11T00:00:00"/>
    <s v="segunda-feira"/>
    <d v="2026-05-11T00:00:00"/>
    <m/>
    <x v="0"/>
    <m/>
    <m/>
    <m/>
    <m/>
    <m/>
    <m/>
    <m/>
    <m/>
    <m/>
    <m/>
    <s v="Vila dos Criadores"/>
  </r>
  <r>
    <d v="2026-05-12T00:00:00"/>
    <s v="terça-feira"/>
    <d v="2026-05-12T00:00:00"/>
    <m/>
    <x v="0"/>
    <m/>
    <m/>
    <m/>
    <m/>
    <m/>
    <m/>
    <m/>
    <m/>
    <m/>
    <m/>
    <s v="Vila dos Criadores"/>
  </r>
  <r>
    <d v="2026-05-13T00:00:00"/>
    <s v="quarta-feira"/>
    <d v="2026-05-13T00:00:00"/>
    <m/>
    <x v="0"/>
    <m/>
    <m/>
    <m/>
    <m/>
    <m/>
    <m/>
    <m/>
    <m/>
    <m/>
    <m/>
    <s v="Vila dos Criadores"/>
  </r>
  <r>
    <d v="2026-05-14T00:00:00"/>
    <s v="quinta-feira"/>
    <d v="2026-05-14T00:00:00"/>
    <m/>
    <x v="0"/>
    <m/>
    <m/>
    <m/>
    <m/>
    <m/>
    <m/>
    <m/>
    <m/>
    <m/>
    <m/>
    <s v="Vila dos Criadores"/>
  </r>
  <r>
    <d v="2026-05-15T00:00:00"/>
    <s v="sexta-feira"/>
    <d v="2026-05-15T00:00:00"/>
    <m/>
    <x v="0"/>
    <m/>
    <m/>
    <m/>
    <m/>
    <m/>
    <m/>
    <m/>
    <m/>
    <m/>
    <m/>
    <s v="Vila dos Criadores"/>
  </r>
  <r>
    <d v="2026-05-16T00:00:00"/>
    <s v="sábado"/>
    <d v="2026-05-16T00:00:00"/>
    <s v="NÃO"/>
    <x v="0"/>
    <m/>
    <m/>
    <m/>
    <m/>
    <m/>
    <m/>
    <m/>
    <m/>
    <m/>
    <m/>
    <s v="Vila dos Criadores"/>
  </r>
  <r>
    <d v="2026-05-17T00:00:00"/>
    <s v="domingo"/>
    <d v="2026-05-17T00:00:00"/>
    <s v="NÃO"/>
    <x v="0"/>
    <m/>
    <m/>
    <m/>
    <m/>
    <m/>
    <m/>
    <m/>
    <m/>
    <m/>
    <m/>
    <s v="Vila dos Criadores"/>
  </r>
  <r>
    <d v="2026-05-18T00:00:00"/>
    <s v="segunda-feira"/>
    <d v="2026-05-18T00:00:00"/>
    <m/>
    <x v="0"/>
    <m/>
    <m/>
    <m/>
    <m/>
    <m/>
    <m/>
    <m/>
    <m/>
    <m/>
    <m/>
    <s v="Vila dos Criadores"/>
  </r>
  <r>
    <d v="2026-05-19T00:00:00"/>
    <s v="terça-feira"/>
    <d v="2026-05-19T00:00:00"/>
    <m/>
    <x v="0"/>
    <m/>
    <m/>
    <m/>
    <m/>
    <m/>
    <m/>
    <m/>
    <m/>
    <m/>
    <m/>
    <s v="Vila dos Criadores"/>
  </r>
  <r>
    <d v="2026-05-20T00:00:00"/>
    <s v="quarta-feira"/>
    <d v="2026-05-20T00:00:00"/>
    <m/>
    <x v="0"/>
    <m/>
    <m/>
    <m/>
    <m/>
    <m/>
    <m/>
    <m/>
    <m/>
    <m/>
    <m/>
    <s v="Vila dos Criadores"/>
  </r>
  <r>
    <d v="2026-05-21T00:00:00"/>
    <s v="quinta-feira"/>
    <d v="2026-05-21T00:00:00"/>
    <m/>
    <x v="0"/>
    <m/>
    <m/>
    <m/>
    <m/>
    <m/>
    <m/>
    <m/>
    <m/>
    <m/>
    <m/>
    <s v="Vila dos Criadores"/>
  </r>
  <r>
    <d v="2026-05-22T00:00:00"/>
    <s v="sexta-feira"/>
    <d v="2026-05-22T00:00:00"/>
    <m/>
    <x v="0"/>
    <m/>
    <m/>
    <m/>
    <m/>
    <m/>
    <m/>
    <m/>
    <m/>
    <m/>
    <m/>
    <s v="Vila dos Criadores"/>
  </r>
  <r>
    <d v="2026-05-23T00:00:00"/>
    <s v="sábado"/>
    <d v="2026-05-23T00:00:00"/>
    <s v="NÃO"/>
    <x v="0"/>
    <m/>
    <m/>
    <m/>
    <m/>
    <m/>
    <m/>
    <m/>
    <m/>
    <m/>
    <m/>
    <s v="Vila dos Criadores"/>
  </r>
  <r>
    <d v="2026-05-24T00:00:00"/>
    <s v="domingo"/>
    <d v="2026-05-24T00:00:00"/>
    <s v="NÃO"/>
    <x v="0"/>
    <m/>
    <m/>
    <m/>
    <m/>
    <m/>
    <m/>
    <m/>
    <m/>
    <m/>
    <m/>
    <s v="Vila dos Criadores"/>
  </r>
  <r>
    <d v="2026-05-25T00:00:00"/>
    <s v="segunda-feira"/>
    <d v="2026-05-25T00:00:00"/>
    <m/>
    <x v="0"/>
    <m/>
    <m/>
    <m/>
    <m/>
    <m/>
    <m/>
    <m/>
    <m/>
    <m/>
    <m/>
    <s v="Vila dos Criadores"/>
  </r>
  <r>
    <d v="2026-05-26T00:00:00"/>
    <s v="terça-feira"/>
    <d v="2026-05-26T00:00:00"/>
    <m/>
    <x v="0"/>
    <m/>
    <m/>
    <m/>
    <m/>
    <m/>
    <m/>
    <m/>
    <m/>
    <m/>
    <m/>
    <s v="Vila dos Criadores"/>
  </r>
  <r>
    <d v="2026-05-27T00:00:00"/>
    <s v="quarta-feira"/>
    <d v="2026-05-27T00:00:00"/>
    <m/>
    <x v="0"/>
    <m/>
    <m/>
    <m/>
    <m/>
    <m/>
    <m/>
    <m/>
    <m/>
    <m/>
    <m/>
    <s v="Vila dos Criadores"/>
  </r>
  <r>
    <d v="2026-05-28T00:00:00"/>
    <s v="quinta-feira"/>
    <d v="2026-05-28T00:00:00"/>
    <m/>
    <x v="0"/>
    <m/>
    <m/>
    <m/>
    <m/>
    <m/>
    <m/>
    <m/>
    <m/>
    <m/>
    <m/>
    <s v="Vila dos Criadores"/>
  </r>
  <r>
    <d v="2026-05-29T00:00:00"/>
    <s v="sexta-feira"/>
    <d v="2026-05-29T00:00:00"/>
    <m/>
    <x v="0"/>
    <m/>
    <m/>
    <m/>
    <m/>
    <m/>
    <m/>
    <m/>
    <m/>
    <m/>
    <m/>
    <s v="Vila dos Criadores"/>
  </r>
  <r>
    <d v="2026-05-30T00:00:00"/>
    <s v="sábado"/>
    <d v="2026-05-30T00:00:00"/>
    <s v="NÃO"/>
    <x v="0"/>
    <m/>
    <m/>
    <m/>
    <m/>
    <m/>
    <m/>
    <m/>
    <m/>
    <m/>
    <m/>
    <s v="Vila dos Criadores"/>
  </r>
  <r>
    <d v="2026-05-31T00:00:00"/>
    <s v="domingo"/>
    <d v="2026-05-31T00:00:00"/>
    <s v="NÃO"/>
    <x v="0"/>
    <m/>
    <m/>
    <m/>
    <m/>
    <m/>
    <m/>
    <m/>
    <m/>
    <m/>
    <m/>
    <s v="Vila dos Criadores"/>
  </r>
  <r>
    <d v="2026-06-01T00:00:00"/>
    <s v="segunda-feira"/>
    <d v="2026-06-01T00:00:00"/>
    <m/>
    <x v="0"/>
    <m/>
    <m/>
    <m/>
    <m/>
    <m/>
    <m/>
    <m/>
    <m/>
    <m/>
    <m/>
    <s v="Vila dos Criadores"/>
  </r>
  <r>
    <d v="2026-06-02T00:00:00"/>
    <s v="terça-feira"/>
    <d v="2026-06-02T00:00:00"/>
    <m/>
    <x v="0"/>
    <m/>
    <m/>
    <m/>
    <m/>
    <m/>
    <m/>
    <m/>
    <m/>
    <m/>
    <m/>
    <s v="Vila dos Criadores"/>
  </r>
  <r>
    <d v="2026-06-03T00:00:00"/>
    <s v="quarta-feira"/>
    <d v="2026-06-03T00:00:00"/>
    <m/>
    <x v="0"/>
    <m/>
    <m/>
    <m/>
    <m/>
    <m/>
    <m/>
    <m/>
    <m/>
    <m/>
    <m/>
    <s v="Vila dos Criadores"/>
  </r>
  <r>
    <d v="2026-06-04T00:00:00"/>
    <s v="quinta-feira"/>
    <d v="2026-06-04T00:00:00"/>
    <m/>
    <x v="0"/>
    <m/>
    <m/>
    <m/>
    <m/>
    <m/>
    <m/>
    <m/>
    <m/>
    <m/>
    <m/>
    <s v="Vila dos Criadores"/>
  </r>
  <r>
    <d v="2026-06-05T00:00:00"/>
    <s v="sexta-feira"/>
    <d v="2026-06-05T00:00:00"/>
    <m/>
    <x v="0"/>
    <m/>
    <m/>
    <m/>
    <m/>
    <m/>
    <m/>
    <m/>
    <m/>
    <m/>
    <m/>
    <s v="Vila dos Criadores"/>
  </r>
  <r>
    <d v="2026-06-06T00:00:00"/>
    <s v="sábado"/>
    <d v="2026-06-06T00:00:00"/>
    <s v="NÃO"/>
    <x v="0"/>
    <m/>
    <m/>
    <m/>
    <m/>
    <m/>
    <m/>
    <m/>
    <m/>
    <m/>
    <m/>
    <s v="Vila dos Criadores"/>
  </r>
  <r>
    <d v="2026-06-07T00:00:00"/>
    <s v="domingo"/>
    <d v="2026-06-07T00:00:00"/>
    <s v="NÃO"/>
    <x v="0"/>
    <m/>
    <m/>
    <m/>
    <m/>
    <m/>
    <m/>
    <m/>
    <m/>
    <m/>
    <m/>
    <s v="Vila dos Criadores"/>
  </r>
  <r>
    <d v="2026-06-08T00:00:00"/>
    <s v="segunda-feira"/>
    <d v="2026-06-08T00:00:00"/>
    <m/>
    <x v="0"/>
    <m/>
    <m/>
    <m/>
    <m/>
    <m/>
    <m/>
    <m/>
    <m/>
    <m/>
    <m/>
    <s v="Vila dos Criadores"/>
  </r>
  <r>
    <d v="2026-06-09T00:00:00"/>
    <s v="terça-feira"/>
    <d v="2026-06-09T00:00:00"/>
    <m/>
    <x v="0"/>
    <m/>
    <m/>
    <m/>
    <m/>
    <m/>
    <m/>
    <m/>
    <m/>
    <m/>
    <m/>
    <s v="Vila dos Criadores"/>
  </r>
  <r>
    <d v="2026-06-10T00:00:00"/>
    <s v="quarta-feira"/>
    <d v="2026-06-10T00:00:00"/>
    <m/>
    <x v="0"/>
    <m/>
    <m/>
    <m/>
    <m/>
    <m/>
    <m/>
    <m/>
    <m/>
    <m/>
    <m/>
    <s v="Vila dos Criadores"/>
  </r>
  <r>
    <d v="2026-06-11T00:00:00"/>
    <s v="quinta-feira"/>
    <d v="2026-06-11T00:00:00"/>
    <m/>
    <x v="0"/>
    <m/>
    <m/>
    <m/>
    <m/>
    <m/>
    <m/>
    <m/>
    <m/>
    <m/>
    <m/>
    <s v="Vila dos Criadores"/>
  </r>
  <r>
    <d v="2026-06-12T00:00:00"/>
    <s v="sexta-feira"/>
    <d v="2026-06-12T00:00:00"/>
    <m/>
    <x v="0"/>
    <m/>
    <m/>
    <m/>
    <m/>
    <m/>
    <m/>
    <m/>
    <m/>
    <m/>
    <m/>
    <s v="Vila dos Criadores"/>
  </r>
  <r>
    <d v="2026-06-13T00:00:00"/>
    <s v="sábado"/>
    <d v="2026-06-13T00:00:00"/>
    <s v="NÃO"/>
    <x v="0"/>
    <m/>
    <m/>
    <m/>
    <m/>
    <m/>
    <m/>
    <m/>
    <m/>
    <m/>
    <m/>
    <s v="Vila dos Criadores"/>
  </r>
  <r>
    <d v="2026-06-14T00:00:00"/>
    <s v="domingo"/>
    <d v="2026-06-14T00:00:00"/>
    <s v="NÃO"/>
    <x v="0"/>
    <m/>
    <m/>
    <m/>
    <m/>
    <m/>
    <m/>
    <m/>
    <m/>
    <m/>
    <m/>
    <s v="Vila dos Criadores"/>
  </r>
  <r>
    <d v="2026-06-15T00:00:00"/>
    <s v="segunda-feira"/>
    <d v="2026-06-15T00:00:00"/>
    <m/>
    <x v="0"/>
    <m/>
    <m/>
    <m/>
    <m/>
    <m/>
    <m/>
    <m/>
    <m/>
    <m/>
    <m/>
    <s v="Vila dos Criadores"/>
  </r>
  <r>
    <d v="2026-06-16T00:00:00"/>
    <s v="terça-feira"/>
    <d v="2026-06-16T00:00:00"/>
    <m/>
    <x v="0"/>
    <m/>
    <m/>
    <m/>
    <m/>
    <m/>
    <m/>
    <m/>
    <m/>
    <m/>
    <m/>
    <s v="Vila dos Criadores"/>
  </r>
  <r>
    <d v="2026-06-17T00:00:00"/>
    <s v="quarta-feira"/>
    <d v="2026-06-17T00:00:00"/>
    <m/>
    <x v="0"/>
    <m/>
    <m/>
    <m/>
    <m/>
    <m/>
    <m/>
    <m/>
    <m/>
    <m/>
    <m/>
    <s v="Vila dos Criadores"/>
  </r>
  <r>
    <d v="2026-06-18T00:00:00"/>
    <s v="quinta-feira"/>
    <d v="2026-06-18T00:00:00"/>
    <m/>
    <x v="0"/>
    <m/>
    <m/>
    <m/>
    <m/>
    <m/>
    <m/>
    <m/>
    <m/>
    <m/>
    <m/>
    <s v="Vila dos Criadores"/>
  </r>
  <r>
    <d v="2026-06-19T00:00:00"/>
    <s v="sexta-feira"/>
    <d v="2026-06-19T00:00:00"/>
    <m/>
    <x v="0"/>
    <m/>
    <m/>
    <m/>
    <m/>
    <m/>
    <m/>
    <m/>
    <m/>
    <m/>
    <m/>
    <s v="Vila dos Criadores"/>
  </r>
  <r>
    <d v="2026-06-20T00:00:00"/>
    <s v="sábado"/>
    <d v="2026-06-20T00:00:00"/>
    <s v="NÃO"/>
    <x v="0"/>
    <m/>
    <m/>
    <m/>
    <m/>
    <m/>
    <m/>
    <m/>
    <m/>
    <m/>
    <m/>
    <s v="Vila dos Criadores"/>
  </r>
  <r>
    <d v="2026-06-21T00:00:00"/>
    <s v="domingo"/>
    <d v="2026-06-21T00:00:00"/>
    <s v="NÃO"/>
    <x v="0"/>
    <m/>
    <m/>
    <m/>
    <m/>
    <m/>
    <m/>
    <m/>
    <m/>
    <m/>
    <m/>
    <s v="Vila dos Criadores"/>
  </r>
  <r>
    <d v="2026-06-22T00:00:00"/>
    <s v="segunda-feira"/>
    <d v="2026-06-22T00:00:00"/>
    <m/>
    <x v="0"/>
    <m/>
    <m/>
    <m/>
    <m/>
    <m/>
    <m/>
    <m/>
    <m/>
    <m/>
    <m/>
    <s v="Vila dos Criadores"/>
  </r>
  <r>
    <d v="2026-06-23T00:00:00"/>
    <s v="terça-feira"/>
    <d v="2026-06-23T00:00:00"/>
    <m/>
    <x v="0"/>
    <m/>
    <m/>
    <m/>
    <m/>
    <m/>
    <m/>
    <m/>
    <m/>
    <m/>
    <m/>
    <s v="Vila dos Criadores"/>
  </r>
  <r>
    <d v="2026-06-24T00:00:00"/>
    <s v="quarta-feira"/>
    <d v="2026-06-24T00:00:00"/>
    <m/>
    <x v="0"/>
    <m/>
    <m/>
    <m/>
    <m/>
    <m/>
    <m/>
    <m/>
    <m/>
    <m/>
    <m/>
    <s v="Vila dos Criadores"/>
  </r>
  <r>
    <d v="2026-06-25T00:00:00"/>
    <s v="quinta-feira"/>
    <d v="2026-06-25T00:00:00"/>
    <m/>
    <x v="0"/>
    <m/>
    <m/>
    <m/>
    <m/>
    <m/>
    <m/>
    <m/>
    <m/>
    <m/>
    <m/>
    <s v="Vila dos Criadores"/>
  </r>
  <r>
    <d v="2026-06-26T00:00:00"/>
    <s v="sexta-feira"/>
    <d v="2026-06-26T00:00:00"/>
    <m/>
    <x v="0"/>
    <m/>
    <m/>
    <m/>
    <m/>
    <m/>
    <m/>
    <m/>
    <m/>
    <m/>
    <m/>
    <s v="Vila dos Criadores"/>
  </r>
  <r>
    <d v="2026-06-27T00:00:00"/>
    <s v="sábado"/>
    <d v="2026-06-27T00:00:00"/>
    <s v="NÃO"/>
    <x v="0"/>
    <m/>
    <m/>
    <m/>
    <m/>
    <m/>
    <m/>
    <m/>
    <m/>
    <m/>
    <m/>
    <s v="Vila dos Criadores"/>
  </r>
  <r>
    <d v="2026-06-28T00:00:00"/>
    <s v="domingo"/>
    <d v="2026-06-28T00:00:00"/>
    <s v="NÃO"/>
    <x v="0"/>
    <m/>
    <m/>
    <m/>
    <m/>
    <m/>
    <m/>
    <m/>
    <m/>
    <m/>
    <m/>
    <s v="Vila dos Criadores"/>
  </r>
  <r>
    <d v="2026-06-29T00:00:00"/>
    <s v="segunda-feira"/>
    <d v="2026-06-29T00:00:00"/>
    <m/>
    <x v="0"/>
    <m/>
    <m/>
    <m/>
    <m/>
    <m/>
    <m/>
    <m/>
    <m/>
    <m/>
    <m/>
    <s v="Vila dos Criadores"/>
  </r>
  <r>
    <d v="2026-06-30T00:00:00"/>
    <s v="terça-feira"/>
    <d v="2026-06-30T00:00:00"/>
    <m/>
    <x v="0"/>
    <m/>
    <m/>
    <m/>
    <m/>
    <m/>
    <m/>
    <m/>
    <m/>
    <m/>
    <m/>
    <s v="Vila dos Criadores"/>
  </r>
  <r>
    <d v="2026-07-01T00:00:00"/>
    <s v="quarta-feira"/>
    <d v="2026-07-01T00:00:00"/>
    <m/>
    <x v="0"/>
    <m/>
    <m/>
    <m/>
    <m/>
    <m/>
    <m/>
    <m/>
    <m/>
    <m/>
    <m/>
    <s v="Vila dos Criadores"/>
  </r>
  <r>
    <d v="2026-07-02T00:00:00"/>
    <s v="quinta-feira"/>
    <d v="2026-07-02T00:00:00"/>
    <m/>
    <x v="0"/>
    <m/>
    <m/>
    <m/>
    <m/>
    <m/>
    <m/>
    <m/>
    <m/>
    <m/>
    <m/>
    <s v="Vila dos Criadores"/>
  </r>
  <r>
    <d v="2026-07-03T00:00:00"/>
    <s v="sexta-feira"/>
    <d v="2026-07-03T00:00:00"/>
    <m/>
    <x v="0"/>
    <m/>
    <m/>
    <m/>
    <m/>
    <m/>
    <m/>
    <m/>
    <m/>
    <m/>
    <m/>
    <s v="Vila dos Criadores"/>
  </r>
  <r>
    <d v="2026-07-04T00:00:00"/>
    <s v="sábado"/>
    <d v="2026-07-04T00:00:00"/>
    <s v="NÃO"/>
    <x v="0"/>
    <m/>
    <m/>
    <m/>
    <m/>
    <m/>
    <m/>
    <m/>
    <m/>
    <m/>
    <m/>
    <s v="Vila dos Criadores"/>
  </r>
  <r>
    <d v="2026-07-05T00:00:00"/>
    <s v="domingo"/>
    <d v="2026-07-05T00:00:00"/>
    <s v="NÃO"/>
    <x v="0"/>
    <m/>
    <m/>
    <m/>
    <m/>
    <m/>
    <m/>
    <m/>
    <m/>
    <m/>
    <m/>
    <s v="Vila dos Criadores"/>
  </r>
  <r>
    <d v="2026-07-06T00:00:00"/>
    <s v="segunda-feira"/>
    <d v="2026-07-06T00:00:00"/>
    <m/>
    <x v="0"/>
    <m/>
    <m/>
    <m/>
    <m/>
    <m/>
    <m/>
    <m/>
    <m/>
    <m/>
    <m/>
    <s v="Vila dos Criadores"/>
  </r>
  <r>
    <d v="2026-07-07T00:00:00"/>
    <s v="terça-feira"/>
    <d v="2026-07-07T00:00:00"/>
    <m/>
    <x v="0"/>
    <m/>
    <m/>
    <m/>
    <m/>
    <m/>
    <m/>
    <m/>
    <m/>
    <m/>
    <m/>
    <s v="Vila dos Criadores"/>
  </r>
  <r>
    <d v="2026-07-08T00:00:00"/>
    <s v="quarta-feira"/>
    <d v="2026-07-08T00:00:00"/>
    <m/>
    <x v="0"/>
    <m/>
    <m/>
    <m/>
    <m/>
    <m/>
    <m/>
    <m/>
    <m/>
    <m/>
    <m/>
    <s v="Vila dos Criadores"/>
  </r>
  <r>
    <d v="2026-07-09T00:00:00"/>
    <s v="quinta-feira"/>
    <d v="2026-07-09T00:00:00"/>
    <m/>
    <x v="0"/>
    <m/>
    <m/>
    <m/>
    <m/>
    <m/>
    <m/>
    <m/>
    <m/>
    <m/>
    <m/>
    <s v="Vila dos Criadores"/>
  </r>
  <r>
    <d v="2026-07-10T00:00:00"/>
    <s v="sexta-feira"/>
    <d v="2026-07-10T00:00:00"/>
    <m/>
    <x v="0"/>
    <m/>
    <m/>
    <m/>
    <m/>
    <m/>
    <m/>
    <m/>
    <m/>
    <m/>
    <m/>
    <s v="Vila dos Criadores"/>
  </r>
  <r>
    <d v="2026-07-11T00:00:00"/>
    <s v="sábado"/>
    <d v="2026-07-11T00:00:00"/>
    <s v="NÃO"/>
    <x v="0"/>
    <m/>
    <m/>
    <m/>
    <m/>
    <m/>
    <m/>
    <m/>
    <m/>
    <m/>
    <m/>
    <s v="Vila dos Criadores"/>
  </r>
  <r>
    <d v="2026-07-12T00:00:00"/>
    <s v="domingo"/>
    <d v="2026-07-12T00:00:00"/>
    <s v="NÃO"/>
    <x v="0"/>
    <m/>
    <m/>
    <m/>
    <m/>
    <m/>
    <m/>
    <m/>
    <m/>
    <m/>
    <m/>
    <s v="Vila dos Criadores"/>
  </r>
  <r>
    <d v="2026-07-13T00:00:00"/>
    <s v="segunda-feira"/>
    <d v="2026-07-13T00:00:00"/>
    <m/>
    <x v="0"/>
    <m/>
    <m/>
    <m/>
    <m/>
    <m/>
    <m/>
    <m/>
    <m/>
    <m/>
    <m/>
    <s v="Vila dos Criadores"/>
  </r>
  <r>
    <d v="2026-07-14T00:00:00"/>
    <s v="terça-feira"/>
    <d v="2026-07-14T00:00:00"/>
    <m/>
    <x v="0"/>
    <m/>
    <m/>
    <m/>
    <m/>
    <m/>
    <m/>
    <m/>
    <m/>
    <m/>
    <m/>
    <s v="Vila dos Criadores"/>
  </r>
  <r>
    <d v="2026-07-15T00:00:00"/>
    <s v="quarta-feira"/>
    <d v="2026-07-15T00:00:00"/>
    <m/>
    <x v="0"/>
    <m/>
    <m/>
    <m/>
    <m/>
    <m/>
    <m/>
    <m/>
    <m/>
    <m/>
    <m/>
    <s v="Vila dos Criadores"/>
  </r>
  <r>
    <d v="2026-07-16T00:00:00"/>
    <s v="quinta-feira"/>
    <d v="2026-07-16T00:00:00"/>
    <m/>
    <x v="0"/>
    <m/>
    <m/>
    <m/>
    <m/>
    <m/>
    <m/>
    <m/>
    <m/>
    <m/>
    <m/>
    <s v="Vila dos Criadores"/>
  </r>
  <r>
    <d v="2026-07-17T00:00:00"/>
    <s v="sexta-feira"/>
    <d v="2026-07-17T00:00:00"/>
    <m/>
    <x v="0"/>
    <m/>
    <m/>
    <m/>
    <m/>
    <m/>
    <m/>
    <m/>
    <m/>
    <m/>
    <m/>
    <s v="Vila dos Criadores"/>
  </r>
  <r>
    <d v="2026-07-18T00:00:00"/>
    <s v="sábado"/>
    <d v="2026-07-18T00:00:00"/>
    <s v="NÃO"/>
    <x v="0"/>
    <m/>
    <m/>
    <m/>
    <m/>
    <m/>
    <m/>
    <m/>
    <m/>
    <m/>
    <m/>
    <s v="Vila dos Criadores"/>
  </r>
  <r>
    <d v="2026-07-19T00:00:00"/>
    <s v="domingo"/>
    <d v="2026-07-19T00:00:00"/>
    <s v="NÃO"/>
    <x v="0"/>
    <m/>
    <m/>
    <m/>
    <m/>
    <m/>
    <m/>
    <m/>
    <m/>
    <m/>
    <m/>
    <s v="Vila dos Criadores"/>
  </r>
  <r>
    <d v="2026-07-20T00:00:00"/>
    <s v="segunda-feira"/>
    <d v="2026-07-20T00:00:00"/>
    <m/>
    <x v="0"/>
    <m/>
    <m/>
    <m/>
    <m/>
    <m/>
    <m/>
    <m/>
    <m/>
    <m/>
    <m/>
    <s v="Vila dos Criadores"/>
  </r>
  <r>
    <d v="2026-07-21T00:00:00"/>
    <s v="terça-feira"/>
    <d v="2026-07-21T00:00:00"/>
    <m/>
    <x v="0"/>
    <m/>
    <m/>
    <m/>
    <m/>
    <m/>
    <m/>
    <m/>
    <m/>
    <m/>
    <m/>
    <s v="Vila dos Criadores"/>
  </r>
  <r>
    <d v="2026-07-22T00:00:00"/>
    <s v="quarta-feira"/>
    <d v="2026-07-22T00:00:00"/>
    <m/>
    <x v="0"/>
    <m/>
    <m/>
    <m/>
    <m/>
    <m/>
    <m/>
    <m/>
    <m/>
    <m/>
    <m/>
    <s v="Vila dos Criadores"/>
  </r>
  <r>
    <d v="2026-07-23T00:00:00"/>
    <s v="quinta-feira"/>
    <d v="2026-07-23T00:00:00"/>
    <m/>
    <x v="0"/>
    <m/>
    <m/>
    <m/>
    <m/>
    <m/>
    <m/>
    <m/>
    <m/>
    <m/>
    <m/>
    <s v="Vila dos Criadores"/>
  </r>
  <r>
    <d v="2026-07-24T00:00:00"/>
    <s v="sexta-feira"/>
    <d v="2026-07-24T00:00:00"/>
    <m/>
    <x v="0"/>
    <m/>
    <m/>
    <m/>
    <m/>
    <m/>
    <m/>
    <m/>
    <m/>
    <m/>
    <m/>
    <s v="Vila dos Criadores"/>
  </r>
  <r>
    <d v="2026-07-25T00:00:00"/>
    <s v="sábado"/>
    <d v="2026-07-25T00:00:00"/>
    <s v="NÃO"/>
    <x v="0"/>
    <m/>
    <m/>
    <m/>
    <m/>
    <m/>
    <m/>
    <m/>
    <m/>
    <m/>
    <m/>
    <s v="Vila dos Criadores"/>
  </r>
  <r>
    <d v="2026-07-26T00:00:00"/>
    <s v="domingo"/>
    <d v="2026-07-26T00:00:00"/>
    <s v="NÃO"/>
    <x v="0"/>
    <m/>
    <m/>
    <m/>
    <m/>
    <m/>
    <m/>
    <m/>
    <m/>
    <m/>
    <m/>
    <s v="Vila dos Criadores"/>
  </r>
  <r>
    <d v="2026-07-27T00:00:00"/>
    <s v="segunda-feira"/>
    <d v="2026-07-27T00:00:00"/>
    <m/>
    <x v="0"/>
    <m/>
    <m/>
    <m/>
    <m/>
    <m/>
    <m/>
    <m/>
    <m/>
    <m/>
    <m/>
    <s v="Vila dos Criadores"/>
  </r>
  <r>
    <d v="2026-07-28T00:00:00"/>
    <s v="terça-feira"/>
    <d v="2026-07-28T00:00:00"/>
    <m/>
    <x v="0"/>
    <m/>
    <m/>
    <m/>
    <m/>
    <m/>
    <m/>
    <m/>
    <m/>
    <m/>
    <m/>
    <s v="Vila dos Criadores"/>
  </r>
  <r>
    <d v="2026-07-29T00:00:00"/>
    <s v="quarta-feira"/>
    <d v="2026-07-29T00:00:00"/>
    <m/>
    <x v="0"/>
    <m/>
    <m/>
    <m/>
    <m/>
    <m/>
    <m/>
    <m/>
    <m/>
    <m/>
    <m/>
    <s v="Vila dos Criadores"/>
  </r>
  <r>
    <d v="2026-07-30T00:00:00"/>
    <s v="quinta-feira"/>
    <d v="2026-07-30T00:00:00"/>
    <m/>
    <x v="0"/>
    <m/>
    <m/>
    <m/>
    <m/>
    <m/>
    <m/>
    <m/>
    <m/>
    <m/>
    <m/>
    <s v="Vila dos Criadores"/>
  </r>
  <r>
    <d v="2026-07-31T00:00:00"/>
    <s v="sexta-feira"/>
    <d v="2026-07-31T00:00:00"/>
    <m/>
    <x v="0"/>
    <m/>
    <m/>
    <m/>
    <m/>
    <m/>
    <m/>
    <m/>
    <m/>
    <m/>
    <m/>
    <s v="Vila dos Criadores"/>
  </r>
  <r>
    <d v="2026-08-01T00:00:00"/>
    <s v="sábado"/>
    <d v="2026-08-01T00:00:00"/>
    <s v="NÃO"/>
    <x v="0"/>
    <m/>
    <m/>
    <m/>
    <m/>
    <m/>
    <m/>
    <m/>
    <m/>
    <m/>
    <m/>
    <s v="Vila dos Criadores"/>
  </r>
  <r>
    <d v="2026-08-02T00:00:00"/>
    <s v="domingo"/>
    <d v="2026-08-02T00:00:00"/>
    <s v="NÃO"/>
    <x v="0"/>
    <m/>
    <m/>
    <m/>
    <m/>
    <m/>
    <m/>
    <m/>
    <m/>
    <m/>
    <m/>
    <s v="Vila dos Criadores"/>
  </r>
  <r>
    <d v="2026-08-03T00:00:00"/>
    <s v="segunda-feira"/>
    <d v="2026-08-03T00:00:00"/>
    <m/>
    <x v="0"/>
    <m/>
    <m/>
    <m/>
    <m/>
    <m/>
    <m/>
    <m/>
    <m/>
    <m/>
    <m/>
    <s v="Vila dos Criadores"/>
  </r>
  <r>
    <d v="2026-08-04T00:00:00"/>
    <s v="terça-feira"/>
    <d v="2026-08-04T00:00:00"/>
    <m/>
    <x v="0"/>
    <m/>
    <m/>
    <m/>
    <m/>
    <m/>
    <m/>
    <m/>
    <m/>
    <m/>
    <m/>
    <s v="Vila dos Criadores"/>
  </r>
  <r>
    <d v="2026-08-05T00:00:00"/>
    <s v="quarta-feira"/>
    <d v="2026-08-05T00:00:00"/>
    <m/>
    <x v="0"/>
    <m/>
    <m/>
    <m/>
    <m/>
    <m/>
    <m/>
    <m/>
    <m/>
    <m/>
    <m/>
    <s v="Vila dos Criadores"/>
  </r>
  <r>
    <d v="2026-08-06T00:00:00"/>
    <s v="quinta-feira"/>
    <d v="2026-08-06T00:00:00"/>
    <m/>
    <x v="0"/>
    <m/>
    <m/>
    <m/>
    <m/>
    <m/>
    <m/>
    <m/>
    <m/>
    <m/>
    <m/>
    <s v="Vila dos Criadores"/>
  </r>
  <r>
    <d v="2026-08-07T00:00:00"/>
    <s v="sexta-feira"/>
    <d v="2026-08-07T00:00:00"/>
    <m/>
    <x v="0"/>
    <m/>
    <m/>
    <m/>
    <m/>
    <m/>
    <m/>
    <m/>
    <m/>
    <m/>
    <m/>
    <s v="Vila dos Criadores"/>
  </r>
  <r>
    <d v="2026-08-08T00:00:00"/>
    <s v="sábado"/>
    <d v="2026-08-08T00:00:00"/>
    <s v="NÃO"/>
    <x v="0"/>
    <m/>
    <m/>
    <m/>
    <m/>
    <m/>
    <m/>
    <m/>
    <m/>
    <m/>
    <m/>
    <s v="Vila dos Criadores"/>
  </r>
  <r>
    <d v="2026-08-09T00:00:00"/>
    <s v="domingo"/>
    <d v="2026-08-09T00:00:00"/>
    <s v="NÃO"/>
    <x v="0"/>
    <m/>
    <m/>
    <m/>
    <m/>
    <m/>
    <m/>
    <m/>
    <m/>
    <m/>
    <m/>
    <s v="Vila dos Criadores"/>
  </r>
  <r>
    <d v="2026-08-10T00:00:00"/>
    <s v="segunda-feira"/>
    <d v="2026-08-10T00:00:00"/>
    <m/>
    <x v="0"/>
    <m/>
    <m/>
    <m/>
    <m/>
    <m/>
    <m/>
    <m/>
    <m/>
    <m/>
    <m/>
    <s v="Vila dos Criadores"/>
  </r>
  <r>
    <d v="2026-08-11T00:00:00"/>
    <s v="terça-feira"/>
    <d v="2026-08-11T00:00:00"/>
    <m/>
    <x v="0"/>
    <m/>
    <m/>
    <m/>
    <m/>
    <m/>
    <m/>
    <m/>
    <m/>
    <m/>
    <m/>
    <s v="Vila dos Criadores"/>
  </r>
  <r>
    <d v="2026-08-12T00:00:00"/>
    <s v="quarta-feira"/>
    <d v="2026-08-12T00:00:00"/>
    <m/>
    <x v="0"/>
    <m/>
    <m/>
    <m/>
    <m/>
    <m/>
    <m/>
    <m/>
    <m/>
    <m/>
    <m/>
    <s v="Vila dos Criadores"/>
  </r>
  <r>
    <d v="2026-08-13T00:00:00"/>
    <s v="quinta-feira"/>
    <d v="2026-08-13T00:00:00"/>
    <m/>
    <x v="0"/>
    <m/>
    <m/>
    <m/>
    <m/>
    <m/>
    <m/>
    <m/>
    <m/>
    <m/>
    <m/>
    <s v="Vila dos Criadores"/>
  </r>
  <r>
    <d v="2026-08-14T00:00:00"/>
    <s v="sexta-feira"/>
    <d v="2026-08-14T00:00:00"/>
    <m/>
    <x v="0"/>
    <m/>
    <m/>
    <m/>
    <m/>
    <m/>
    <m/>
    <m/>
    <m/>
    <m/>
    <m/>
    <s v="Vila dos Criadores"/>
  </r>
  <r>
    <d v="2026-08-15T00:00:00"/>
    <s v="sábado"/>
    <d v="2026-08-15T00:00:00"/>
    <s v="NÃO"/>
    <x v="0"/>
    <m/>
    <m/>
    <m/>
    <m/>
    <m/>
    <m/>
    <m/>
    <m/>
    <m/>
    <m/>
    <s v="Vila dos Criadores"/>
  </r>
  <r>
    <d v="2026-08-16T00:00:00"/>
    <s v="domingo"/>
    <d v="2026-08-16T00:00:00"/>
    <s v="NÃO"/>
    <x v="0"/>
    <m/>
    <m/>
    <m/>
    <m/>
    <m/>
    <m/>
    <m/>
    <m/>
    <m/>
    <m/>
    <s v="Vila dos Criadores"/>
  </r>
  <r>
    <d v="2026-08-17T00:00:00"/>
    <s v="segunda-feira"/>
    <d v="2026-08-17T00:00:00"/>
    <m/>
    <x v="0"/>
    <m/>
    <m/>
    <m/>
    <m/>
    <m/>
    <m/>
    <m/>
    <m/>
    <m/>
    <m/>
    <s v="Vila dos Criadores"/>
  </r>
  <r>
    <d v="2026-08-18T00:00:00"/>
    <s v="terça-feira"/>
    <d v="2026-08-18T00:00:00"/>
    <m/>
    <x v="0"/>
    <m/>
    <m/>
    <m/>
    <m/>
    <m/>
    <m/>
    <m/>
    <m/>
    <m/>
    <m/>
    <s v="Vila dos Criadores"/>
  </r>
  <r>
    <d v="2026-08-19T00:00:00"/>
    <s v="quarta-feira"/>
    <d v="2026-08-19T00:00:00"/>
    <m/>
    <x v="0"/>
    <m/>
    <m/>
    <m/>
    <m/>
    <m/>
    <m/>
    <m/>
    <m/>
    <m/>
    <m/>
    <s v="Vila dos Criadores"/>
  </r>
  <r>
    <d v="2026-08-20T00:00:00"/>
    <s v="quinta-feira"/>
    <d v="2026-08-20T00:00:00"/>
    <m/>
    <x v="0"/>
    <m/>
    <m/>
    <m/>
    <m/>
    <m/>
    <m/>
    <m/>
    <m/>
    <m/>
    <m/>
    <s v="Vila dos Criadores"/>
  </r>
  <r>
    <d v="2026-08-21T00:00:00"/>
    <s v="sexta-feira"/>
    <d v="2026-08-21T00:00:00"/>
    <m/>
    <x v="0"/>
    <m/>
    <m/>
    <m/>
    <m/>
    <m/>
    <m/>
    <m/>
    <m/>
    <m/>
    <m/>
    <s v="Vila dos Criadores"/>
  </r>
  <r>
    <d v="2026-08-22T00:00:00"/>
    <s v="sábado"/>
    <d v="2026-08-22T00:00:00"/>
    <s v="NÃO"/>
    <x v="0"/>
    <m/>
    <m/>
    <m/>
    <m/>
    <m/>
    <m/>
    <m/>
    <m/>
    <m/>
    <m/>
    <s v="Vila dos Criadores"/>
  </r>
  <r>
    <d v="2026-08-23T00:00:00"/>
    <s v="domingo"/>
    <d v="2026-08-23T00:00:00"/>
    <s v="NÃO"/>
    <x v="0"/>
    <m/>
    <m/>
    <m/>
    <m/>
    <m/>
    <m/>
    <m/>
    <m/>
    <m/>
    <m/>
    <s v="Vila dos Criadores"/>
  </r>
  <r>
    <d v="2026-08-24T00:00:00"/>
    <s v="segunda-feira"/>
    <d v="2026-08-24T00:00:00"/>
    <m/>
    <x v="0"/>
    <m/>
    <m/>
    <m/>
    <m/>
    <m/>
    <m/>
    <m/>
    <m/>
    <m/>
    <m/>
    <s v="Vila dos Criadores"/>
  </r>
  <r>
    <d v="2026-08-25T00:00:00"/>
    <s v="terça-feira"/>
    <d v="2026-08-25T00:00:00"/>
    <m/>
    <x v="0"/>
    <m/>
    <m/>
    <m/>
    <m/>
    <m/>
    <m/>
    <m/>
    <m/>
    <m/>
    <m/>
    <s v="Vila dos Criadores"/>
  </r>
  <r>
    <d v="2026-08-26T00:00:00"/>
    <s v="quarta-feira"/>
    <d v="2026-08-26T00:00:00"/>
    <m/>
    <x v="0"/>
    <m/>
    <m/>
    <m/>
    <m/>
    <m/>
    <m/>
    <m/>
    <m/>
    <m/>
    <m/>
    <s v="Vila dos Criadores"/>
  </r>
  <r>
    <d v="2026-08-27T00:00:00"/>
    <s v="quinta-feira"/>
    <d v="2026-08-27T00:00:00"/>
    <m/>
    <x v="0"/>
    <m/>
    <m/>
    <m/>
    <m/>
    <m/>
    <m/>
    <m/>
    <m/>
    <m/>
    <m/>
    <s v="Vila dos Criadores"/>
  </r>
  <r>
    <d v="2026-08-28T00:00:00"/>
    <s v="sexta-feira"/>
    <d v="2026-08-28T00:00:00"/>
    <m/>
    <x v="0"/>
    <m/>
    <m/>
    <m/>
    <m/>
    <m/>
    <m/>
    <m/>
    <m/>
    <m/>
    <m/>
    <s v="Vila dos Criadores"/>
  </r>
  <r>
    <d v="2026-08-29T00:00:00"/>
    <s v="sábado"/>
    <d v="2026-08-29T00:00:00"/>
    <s v="NÃO"/>
    <x v="0"/>
    <m/>
    <m/>
    <m/>
    <m/>
    <m/>
    <m/>
    <m/>
    <m/>
    <m/>
    <m/>
    <s v="Vila dos Criadores"/>
  </r>
  <r>
    <d v="2026-08-30T00:00:00"/>
    <s v="domingo"/>
    <d v="2026-08-30T00:00:00"/>
    <s v="NÃO"/>
    <x v="0"/>
    <m/>
    <m/>
    <m/>
    <m/>
    <m/>
    <m/>
    <m/>
    <m/>
    <m/>
    <m/>
    <s v="Vila dos Criadores"/>
  </r>
  <r>
    <d v="2026-08-31T00:00:00"/>
    <s v="segunda-feira"/>
    <d v="2026-08-31T00:00:00"/>
    <m/>
    <x v="0"/>
    <m/>
    <m/>
    <m/>
    <m/>
    <m/>
    <m/>
    <m/>
    <m/>
    <m/>
    <m/>
    <s v="Vila dos Criadores"/>
  </r>
  <r>
    <d v="2026-09-01T00:00:00"/>
    <s v="terça-feira"/>
    <d v="2026-09-01T00:00:00"/>
    <m/>
    <x v="0"/>
    <m/>
    <m/>
    <m/>
    <m/>
    <m/>
    <m/>
    <m/>
    <m/>
    <m/>
    <m/>
    <s v="Vila dos Criadores"/>
  </r>
  <r>
    <d v="2026-09-02T00:00:00"/>
    <s v="quarta-feira"/>
    <d v="2026-09-02T00:00:00"/>
    <m/>
    <x v="0"/>
    <m/>
    <m/>
    <m/>
    <m/>
    <m/>
    <m/>
    <m/>
    <m/>
    <m/>
    <m/>
    <s v="Vila dos Criadores"/>
  </r>
  <r>
    <d v="2026-09-03T00:00:00"/>
    <s v="quinta-feira"/>
    <d v="2026-09-03T00:00:00"/>
    <m/>
    <x v="0"/>
    <m/>
    <m/>
    <m/>
    <m/>
    <m/>
    <m/>
    <m/>
    <m/>
    <m/>
    <m/>
    <s v="Vila dos Criadores"/>
  </r>
  <r>
    <d v="2026-09-04T00:00:00"/>
    <s v="sexta-feira"/>
    <d v="2026-09-04T00:00:00"/>
    <m/>
    <x v="0"/>
    <m/>
    <m/>
    <m/>
    <m/>
    <m/>
    <m/>
    <m/>
    <m/>
    <m/>
    <m/>
    <s v="Vila dos Criadores"/>
  </r>
  <r>
    <d v="2026-09-05T00:00:00"/>
    <s v="sábado"/>
    <d v="2026-09-05T00:00:00"/>
    <s v="NÃO"/>
    <x v="0"/>
    <m/>
    <m/>
    <m/>
    <m/>
    <m/>
    <m/>
    <m/>
    <m/>
    <m/>
    <m/>
    <s v="Vila dos Criadores"/>
  </r>
  <r>
    <d v="2026-09-06T00:00:00"/>
    <s v="domingo"/>
    <d v="2026-09-06T00:00:00"/>
    <s v="NÃO"/>
    <x v="0"/>
    <m/>
    <m/>
    <m/>
    <m/>
    <m/>
    <m/>
    <m/>
    <m/>
    <m/>
    <m/>
    <s v="Vila dos Criadores"/>
  </r>
  <r>
    <d v="2026-09-07T00:00:00"/>
    <s v="segunda-feira"/>
    <d v="2026-09-07T00:00:00"/>
    <m/>
    <x v="0"/>
    <m/>
    <m/>
    <m/>
    <m/>
    <m/>
    <m/>
    <m/>
    <m/>
    <m/>
    <m/>
    <s v="Vila dos Criadores"/>
  </r>
  <r>
    <d v="2026-09-08T00:00:00"/>
    <s v="terça-feira"/>
    <d v="2026-09-08T00:00:00"/>
    <m/>
    <x v="0"/>
    <m/>
    <m/>
    <m/>
    <m/>
    <m/>
    <m/>
    <m/>
    <m/>
    <m/>
    <m/>
    <s v="Vila dos Criadores"/>
  </r>
  <r>
    <d v="2026-09-09T00:00:00"/>
    <s v="quarta-feira"/>
    <d v="2026-09-09T00:00:00"/>
    <m/>
    <x v="0"/>
    <m/>
    <m/>
    <m/>
    <m/>
    <m/>
    <m/>
    <m/>
    <m/>
    <m/>
    <m/>
    <s v="Vila dos Criadores"/>
  </r>
  <r>
    <d v="2026-09-10T00:00:00"/>
    <s v="quinta-feira"/>
    <d v="2026-09-10T00:00:00"/>
    <m/>
    <x v="0"/>
    <m/>
    <m/>
    <m/>
    <m/>
    <m/>
    <m/>
    <m/>
    <m/>
    <m/>
    <m/>
    <s v="Vila dos Criadores"/>
  </r>
  <r>
    <d v="2026-09-11T00:00:00"/>
    <s v="sexta-feira"/>
    <d v="2026-09-11T00:00:00"/>
    <m/>
    <x v="0"/>
    <m/>
    <m/>
    <m/>
    <m/>
    <m/>
    <m/>
    <m/>
    <m/>
    <m/>
    <m/>
    <s v="Vila dos Criadores"/>
  </r>
  <r>
    <d v="2026-09-12T00:00:00"/>
    <s v="sábado"/>
    <d v="2026-09-12T00:00:00"/>
    <s v="NÃO"/>
    <x v="0"/>
    <m/>
    <m/>
    <m/>
    <m/>
    <m/>
    <m/>
    <m/>
    <m/>
    <m/>
    <m/>
    <s v="Vila dos Criadores"/>
  </r>
  <r>
    <d v="2026-09-13T00:00:00"/>
    <s v="domingo"/>
    <d v="2026-09-13T00:00:00"/>
    <s v="NÃO"/>
    <x v="0"/>
    <m/>
    <m/>
    <m/>
    <m/>
    <m/>
    <m/>
    <m/>
    <m/>
    <m/>
    <m/>
    <s v="Vila dos Criadores"/>
  </r>
  <r>
    <d v="2026-09-14T00:00:00"/>
    <s v="segunda-feira"/>
    <d v="2026-09-14T00:00:00"/>
    <m/>
    <x v="0"/>
    <m/>
    <m/>
    <m/>
    <m/>
    <m/>
    <m/>
    <m/>
    <m/>
    <m/>
    <m/>
    <s v="Vila dos Criadores"/>
  </r>
  <r>
    <d v="2026-09-15T00:00:00"/>
    <s v="terça-feira"/>
    <d v="2026-09-15T00:00:00"/>
    <m/>
    <x v="0"/>
    <m/>
    <m/>
    <m/>
    <m/>
    <m/>
    <m/>
    <m/>
    <m/>
    <m/>
    <m/>
    <s v="Vila dos Criadores"/>
  </r>
  <r>
    <d v="2026-09-16T00:00:00"/>
    <s v="quarta-feira"/>
    <d v="2026-09-16T00:00:00"/>
    <m/>
    <x v="0"/>
    <m/>
    <m/>
    <m/>
    <m/>
    <m/>
    <m/>
    <m/>
    <m/>
    <m/>
    <m/>
    <s v="Vila dos Criadores"/>
  </r>
  <r>
    <d v="2026-09-17T00:00:00"/>
    <s v="quinta-feira"/>
    <d v="2026-09-17T00:00:00"/>
    <m/>
    <x v="0"/>
    <m/>
    <m/>
    <m/>
    <m/>
    <m/>
    <m/>
    <m/>
    <m/>
    <m/>
    <m/>
    <s v="Vila dos Criadores"/>
  </r>
  <r>
    <d v="2026-09-18T00:00:00"/>
    <s v="sexta-feira"/>
    <d v="2026-09-18T00:00:00"/>
    <m/>
    <x v="0"/>
    <m/>
    <m/>
    <m/>
    <m/>
    <m/>
    <m/>
    <m/>
    <m/>
    <m/>
    <m/>
    <s v="Vila dos Criadores"/>
  </r>
  <r>
    <d v="2026-09-19T00:00:00"/>
    <s v="sábado"/>
    <d v="2026-09-19T00:00:00"/>
    <s v="NÃO"/>
    <x v="0"/>
    <m/>
    <m/>
    <m/>
    <m/>
    <m/>
    <m/>
    <m/>
    <m/>
    <m/>
    <m/>
    <s v="Vila dos Criadores"/>
  </r>
  <r>
    <d v="2026-09-20T00:00:00"/>
    <s v="domingo"/>
    <d v="2026-09-20T00:00:00"/>
    <s v="NÃO"/>
    <x v="0"/>
    <m/>
    <m/>
    <m/>
    <m/>
    <m/>
    <m/>
    <m/>
    <m/>
    <m/>
    <m/>
    <s v="Vila dos Criadores"/>
  </r>
  <r>
    <d v="2026-09-21T00:00:00"/>
    <s v="segunda-feira"/>
    <d v="2026-09-21T00:00:00"/>
    <m/>
    <x v="0"/>
    <m/>
    <m/>
    <m/>
    <m/>
    <m/>
    <m/>
    <m/>
    <m/>
    <m/>
    <m/>
    <s v="Vila dos Criadores"/>
  </r>
  <r>
    <d v="2026-09-22T00:00:00"/>
    <s v="terça-feira"/>
    <d v="2026-09-22T00:00:00"/>
    <m/>
    <x v="0"/>
    <m/>
    <m/>
    <m/>
    <m/>
    <m/>
    <m/>
    <m/>
    <m/>
    <m/>
    <m/>
    <s v="Vila dos Criadores"/>
  </r>
  <r>
    <d v="2026-09-23T00:00:00"/>
    <s v="quarta-feira"/>
    <d v="2026-09-23T00:00:00"/>
    <m/>
    <x v="0"/>
    <m/>
    <m/>
    <m/>
    <m/>
    <m/>
    <m/>
    <m/>
    <m/>
    <m/>
    <m/>
    <s v="Vila dos Criadores"/>
  </r>
  <r>
    <d v="2026-09-24T00:00:00"/>
    <s v="quinta-feira"/>
    <d v="2026-09-24T00:00:00"/>
    <m/>
    <x v="0"/>
    <m/>
    <m/>
    <m/>
    <m/>
    <m/>
    <m/>
    <m/>
    <m/>
    <m/>
    <m/>
    <s v="Vila dos Criadores"/>
  </r>
  <r>
    <d v="2026-09-25T00:00:00"/>
    <s v="sexta-feira"/>
    <d v="2026-09-25T00:00:00"/>
    <m/>
    <x v="0"/>
    <m/>
    <m/>
    <m/>
    <m/>
    <m/>
    <m/>
    <m/>
    <m/>
    <m/>
    <m/>
    <s v="Vila dos Criadores"/>
  </r>
  <r>
    <d v="2026-09-26T00:00:00"/>
    <s v="sábado"/>
    <d v="2026-09-26T00:00:00"/>
    <s v="NÃO"/>
    <x v="0"/>
    <m/>
    <m/>
    <m/>
    <m/>
    <m/>
    <m/>
    <m/>
    <m/>
    <m/>
    <m/>
    <s v="Vila dos Criadores"/>
  </r>
  <r>
    <d v="2026-09-27T00:00:00"/>
    <s v="domingo"/>
    <d v="2026-09-27T00:00:00"/>
    <s v="NÃO"/>
    <x v="0"/>
    <m/>
    <m/>
    <m/>
    <m/>
    <m/>
    <m/>
    <m/>
    <m/>
    <m/>
    <m/>
    <s v="Vila dos Criadores"/>
  </r>
  <r>
    <d v="2026-09-28T00:00:00"/>
    <s v="segunda-feira"/>
    <d v="2026-09-28T00:00:00"/>
    <m/>
    <x v="0"/>
    <m/>
    <m/>
    <m/>
    <m/>
    <m/>
    <m/>
    <m/>
    <m/>
    <m/>
    <m/>
    <s v="Vila dos Criadores"/>
  </r>
  <r>
    <d v="2026-09-29T00:00:00"/>
    <s v="terça-feira"/>
    <d v="2026-09-29T00:00:00"/>
    <m/>
    <x v="0"/>
    <m/>
    <m/>
    <m/>
    <m/>
    <m/>
    <m/>
    <m/>
    <m/>
    <m/>
    <m/>
    <s v="Vila dos Criadores"/>
  </r>
  <r>
    <d v="2026-09-30T00:00:00"/>
    <s v="quarta-feira"/>
    <d v="2026-09-30T00:00:00"/>
    <m/>
    <x v="0"/>
    <m/>
    <m/>
    <m/>
    <m/>
    <m/>
    <m/>
    <m/>
    <m/>
    <m/>
    <m/>
    <s v="Vila dos Criadores"/>
  </r>
  <r>
    <d v="2026-10-01T00:00:00"/>
    <s v="quinta-feira"/>
    <d v="2026-10-01T00:00:00"/>
    <m/>
    <x v="0"/>
    <m/>
    <m/>
    <m/>
    <m/>
    <m/>
    <m/>
    <m/>
    <m/>
    <m/>
    <m/>
    <s v="Vila dos Criadores"/>
  </r>
  <r>
    <d v="2026-10-02T00:00:00"/>
    <s v="sexta-feira"/>
    <d v="2026-10-02T00:00:00"/>
    <m/>
    <x v="0"/>
    <m/>
    <m/>
    <m/>
    <m/>
    <m/>
    <m/>
    <m/>
    <m/>
    <m/>
    <m/>
    <s v="Vila dos Criadores"/>
  </r>
  <r>
    <d v="2026-10-03T00:00:00"/>
    <s v="sábado"/>
    <d v="2026-10-03T00:00:00"/>
    <s v="NÃO"/>
    <x v="0"/>
    <m/>
    <m/>
    <m/>
    <m/>
    <m/>
    <m/>
    <m/>
    <m/>
    <m/>
    <m/>
    <s v="Vila dos Criadores"/>
  </r>
  <r>
    <d v="2026-10-04T00:00:00"/>
    <s v="domingo"/>
    <d v="2026-10-04T00:00:00"/>
    <s v="NÃO"/>
    <x v="0"/>
    <m/>
    <m/>
    <m/>
    <m/>
    <m/>
    <m/>
    <m/>
    <m/>
    <m/>
    <m/>
    <s v="Vila dos Criadores"/>
  </r>
  <r>
    <d v="2026-10-05T00:00:00"/>
    <s v="segunda-feira"/>
    <d v="2026-10-05T00:00:00"/>
    <m/>
    <x v="0"/>
    <m/>
    <m/>
    <m/>
    <m/>
    <m/>
    <m/>
    <m/>
    <m/>
    <m/>
    <m/>
    <s v="Vila dos Criadores"/>
  </r>
  <r>
    <d v="2026-10-06T00:00:00"/>
    <s v="terça-feira"/>
    <d v="2026-10-06T00:00:00"/>
    <m/>
    <x v="0"/>
    <m/>
    <m/>
    <m/>
    <m/>
    <m/>
    <m/>
    <m/>
    <m/>
    <m/>
    <m/>
    <s v="Vila dos Criadores"/>
  </r>
  <r>
    <d v="2026-10-07T00:00:00"/>
    <s v="quarta-feira"/>
    <d v="2026-10-07T00:00:00"/>
    <m/>
    <x v="0"/>
    <m/>
    <m/>
    <m/>
    <m/>
    <m/>
    <m/>
    <m/>
    <m/>
    <m/>
    <m/>
    <s v="Vila dos Criadores"/>
  </r>
  <r>
    <d v="2026-10-08T00:00:00"/>
    <s v="quinta-feira"/>
    <d v="2026-10-08T00:00:00"/>
    <m/>
    <x v="0"/>
    <m/>
    <m/>
    <m/>
    <m/>
    <m/>
    <m/>
    <m/>
    <m/>
    <m/>
    <m/>
    <s v="Vila dos Criadores"/>
  </r>
  <r>
    <d v="2026-10-09T00:00:00"/>
    <s v="sexta-feira"/>
    <d v="2026-10-09T00:00:00"/>
    <m/>
    <x v="0"/>
    <m/>
    <m/>
    <m/>
    <m/>
    <m/>
    <m/>
    <m/>
    <m/>
    <m/>
    <m/>
    <s v="Vila dos Criadores"/>
  </r>
  <r>
    <d v="2026-10-10T00:00:00"/>
    <s v="sábado"/>
    <d v="2026-10-10T00:00:00"/>
    <s v="NÃO"/>
    <x v="0"/>
    <m/>
    <m/>
    <m/>
    <m/>
    <m/>
    <m/>
    <m/>
    <m/>
    <m/>
    <m/>
    <s v="Vila dos Criadores"/>
  </r>
  <r>
    <d v="2026-10-11T00:00:00"/>
    <s v="domingo"/>
    <d v="2026-10-11T00:00:00"/>
    <s v="NÃO"/>
    <x v="0"/>
    <m/>
    <m/>
    <m/>
    <m/>
    <m/>
    <m/>
    <m/>
    <m/>
    <m/>
    <m/>
    <s v="Vila dos Criadores"/>
  </r>
  <r>
    <d v="2026-10-12T00:00:00"/>
    <s v="segunda-feira"/>
    <d v="2026-10-12T00:00:00"/>
    <m/>
    <x v="0"/>
    <m/>
    <m/>
    <m/>
    <m/>
    <m/>
    <m/>
    <m/>
    <m/>
    <m/>
    <m/>
    <s v="Vila dos Criadores"/>
  </r>
  <r>
    <d v="2026-10-13T00:00:00"/>
    <s v="terça-feira"/>
    <d v="2026-10-13T00:00:00"/>
    <m/>
    <x v="0"/>
    <m/>
    <m/>
    <m/>
    <m/>
    <m/>
    <m/>
    <m/>
    <m/>
    <m/>
    <m/>
    <s v="Vila dos Criadores"/>
  </r>
  <r>
    <d v="2026-10-14T00:00:00"/>
    <s v="quarta-feira"/>
    <d v="2026-10-14T00:00:00"/>
    <m/>
    <x v="0"/>
    <m/>
    <m/>
    <m/>
    <m/>
    <m/>
    <m/>
    <m/>
    <m/>
    <m/>
    <m/>
    <s v="Vila dos Criadores"/>
  </r>
  <r>
    <d v="2026-10-15T00:00:00"/>
    <s v="quinta-feira"/>
    <d v="2026-10-15T00:00:00"/>
    <m/>
    <x v="0"/>
    <m/>
    <m/>
    <m/>
    <m/>
    <m/>
    <m/>
    <m/>
    <m/>
    <m/>
    <m/>
    <s v="Vila dos Criadores"/>
  </r>
  <r>
    <d v="2026-10-16T00:00:00"/>
    <s v="sexta-feira"/>
    <d v="2026-10-16T00:00:00"/>
    <m/>
    <x v="0"/>
    <m/>
    <m/>
    <m/>
    <m/>
    <m/>
    <m/>
    <m/>
    <m/>
    <m/>
    <m/>
    <s v="Vila dos Criadores"/>
  </r>
  <r>
    <d v="2026-10-17T00:00:00"/>
    <s v="sábado"/>
    <d v="2026-10-17T00:00:00"/>
    <s v="NÃO"/>
    <x v="0"/>
    <m/>
    <m/>
    <m/>
    <m/>
    <m/>
    <m/>
    <m/>
    <m/>
    <m/>
    <m/>
    <s v="Vila dos Criadores"/>
  </r>
  <r>
    <d v="2026-10-18T00:00:00"/>
    <s v="domingo"/>
    <d v="2026-10-18T00:00:00"/>
    <s v="NÃO"/>
    <x v="0"/>
    <m/>
    <m/>
    <m/>
    <m/>
    <m/>
    <m/>
    <m/>
    <m/>
    <m/>
    <m/>
    <s v="Vila dos Criadores"/>
  </r>
  <r>
    <d v="2026-10-19T00:00:00"/>
    <s v="segunda-feira"/>
    <d v="2026-10-19T00:00:00"/>
    <m/>
    <x v="0"/>
    <m/>
    <m/>
    <m/>
    <m/>
    <m/>
    <m/>
    <m/>
    <m/>
    <m/>
    <m/>
    <s v="Vila dos Criadores"/>
  </r>
  <r>
    <d v="2026-10-20T00:00:00"/>
    <s v="terça-feira"/>
    <d v="2026-10-20T00:00:00"/>
    <m/>
    <x v="0"/>
    <m/>
    <m/>
    <m/>
    <m/>
    <m/>
    <m/>
    <m/>
    <m/>
    <m/>
    <m/>
    <s v="Vila dos Criadores"/>
  </r>
  <r>
    <d v="2026-10-21T00:00:00"/>
    <s v="quarta-feira"/>
    <d v="2026-10-21T00:00:00"/>
    <m/>
    <x v="0"/>
    <m/>
    <m/>
    <m/>
    <m/>
    <m/>
    <m/>
    <m/>
    <m/>
    <m/>
    <m/>
    <s v="Vila dos Criadores"/>
  </r>
  <r>
    <d v="2026-10-22T00:00:00"/>
    <s v="quinta-feira"/>
    <d v="2026-10-22T00:00:00"/>
    <m/>
    <x v="0"/>
    <m/>
    <m/>
    <m/>
    <m/>
    <m/>
    <m/>
    <m/>
    <m/>
    <m/>
    <m/>
    <s v="Vila dos Criadores"/>
  </r>
  <r>
    <d v="2026-10-23T00:00:00"/>
    <s v="sexta-feira"/>
    <d v="2026-10-23T00:00:00"/>
    <m/>
    <x v="0"/>
    <m/>
    <m/>
    <m/>
    <m/>
    <m/>
    <m/>
    <m/>
    <m/>
    <m/>
    <m/>
    <s v="Vila dos Criadores"/>
  </r>
  <r>
    <d v="2026-10-24T00:00:00"/>
    <s v="sábado"/>
    <d v="2026-10-24T00:00:00"/>
    <s v="NÃO"/>
    <x v="0"/>
    <m/>
    <m/>
    <m/>
    <m/>
    <m/>
    <m/>
    <m/>
    <m/>
    <m/>
    <m/>
    <s v="Vila dos Criadores"/>
  </r>
  <r>
    <d v="2026-10-25T00:00:00"/>
    <s v="domingo"/>
    <d v="2026-10-25T00:00:00"/>
    <s v="NÃO"/>
    <x v="0"/>
    <m/>
    <m/>
    <m/>
    <m/>
    <m/>
    <m/>
    <m/>
    <m/>
    <m/>
    <m/>
    <s v="Vila dos Criadores"/>
  </r>
  <r>
    <d v="2026-10-26T00:00:00"/>
    <s v="segunda-feira"/>
    <d v="2026-10-26T00:00:00"/>
    <m/>
    <x v="0"/>
    <m/>
    <m/>
    <m/>
    <m/>
    <m/>
    <m/>
    <m/>
    <m/>
    <m/>
    <m/>
    <s v="Vila dos Criadores"/>
  </r>
  <r>
    <d v="2026-10-27T00:00:00"/>
    <s v="terça-feira"/>
    <d v="2026-10-27T00:00:00"/>
    <m/>
    <x v="0"/>
    <m/>
    <m/>
    <m/>
    <m/>
    <m/>
    <m/>
    <m/>
    <m/>
    <m/>
    <m/>
    <s v="Vila dos Criadores"/>
  </r>
  <r>
    <d v="2026-10-28T00:00:00"/>
    <s v="quarta-feira"/>
    <d v="2026-10-28T00:00:00"/>
    <m/>
    <x v="0"/>
    <m/>
    <m/>
    <m/>
    <m/>
    <m/>
    <m/>
    <m/>
    <m/>
    <m/>
    <m/>
    <s v="Vila dos Criadores"/>
  </r>
  <r>
    <d v="2026-10-29T00:00:00"/>
    <s v="quinta-feira"/>
    <d v="2026-10-29T00:00:00"/>
    <m/>
    <x v="0"/>
    <m/>
    <m/>
    <m/>
    <m/>
    <m/>
    <m/>
    <m/>
    <m/>
    <m/>
    <m/>
    <s v="Vila dos Criadores"/>
  </r>
  <r>
    <d v="2026-10-30T00:00:00"/>
    <s v="sexta-feira"/>
    <d v="2026-10-30T00:00:00"/>
    <m/>
    <x v="0"/>
    <m/>
    <m/>
    <m/>
    <m/>
    <m/>
    <m/>
    <m/>
    <m/>
    <m/>
    <m/>
    <s v="Vila dos Criadores"/>
  </r>
  <r>
    <d v="2026-10-31T00:00:00"/>
    <s v="sábado"/>
    <d v="2026-10-31T00:00:00"/>
    <s v="NÃO"/>
    <x v="0"/>
    <m/>
    <m/>
    <m/>
    <m/>
    <m/>
    <m/>
    <m/>
    <m/>
    <m/>
    <m/>
    <s v="Vila dos Criadores"/>
  </r>
  <r>
    <d v="2026-11-01T00:00:00"/>
    <s v="domingo"/>
    <d v="2026-11-01T00:00:00"/>
    <s v="NÃO"/>
    <x v="0"/>
    <m/>
    <m/>
    <m/>
    <m/>
    <m/>
    <m/>
    <m/>
    <m/>
    <m/>
    <m/>
    <s v="Vila dos Criadores"/>
  </r>
  <r>
    <d v="2026-11-02T00:00:00"/>
    <s v="segunda-feira"/>
    <d v="2026-11-02T00:00:00"/>
    <m/>
    <x v="0"/>
    <m/>
    <m/>
    <m/>
    <m/>
    <m/>
    <m/>
    <m/>
    <m/>
    <m/>
    <m/>
    <s v="Vila dos Criadores"/>
  </r>
  <r>
    <d v="2026-11-03T00:00:00"/>
    <s v="terça-feira"/>
    <d v="2026-11-03T00:00:00"/>
    <m/>
    <x v="0"/>
    <m/>
    <m/>
    <m/>
    <m/>
    <m/>
    <m/>
    <m/>
    <m/>
    <m/>
    <m/>
    <s v="Vila dos Criadores"/>
  </r>
  <r>
    <d v="2026-11-04T00:00:00"/>
    <s v="quarta-feira"/>
    <d v="2026-11-04T00:00:00"/>
    <m/>
    <x v="0"/>
    <m/>
    <m/>
    <m/>
    <m/>
    <m/>
    <m/>
    <m/>
    <m/>
    <m/>
    <m/>
    <s v="Vila dos Criadores"/>
  </r>
  <r>
    <d v="2026-11-05T00:00:00"/>
    <s v="quinta-feira"/>
    <d v="2026-11-05T00:00:00"/>
    <m/>
    <x v="0"/>
    <m/>
    <m/>
    <m/>
    <m/>
    <m/>
    <m/>
    <m/>
    <m/>
    <m/>
    <m/>
    <s v="Vila dos Criadores"/>
  </r>
  <r>
    <d v="2026-11-06T00:00:00"/>
    <s v="sexta-feira"/>
    <d v="2026-11-06T00:00:00"/>
    <m/>
    <x v="0"/>
    <m/>
    <m/>
    <m/>
    <m/>
    <m/>
    <m/>
    <m/>
    <m/>
    <m/>
    <m/>
    <s v="Vila dos Criadores"/>
  </r>
  <r>
    <d v="2026-11-07T00:00:00"/>
    <s v="sábado"/>
    <d v="2026-11-07T00:00:00"/>
    <s v="NÃO"/>
    <x v="0"/>
    <m/>
    <m/>
    <m/>
    <m/>
    <m/>
    <m/>
    <m/>
    <m/>
    <m/>
    <m/>
    <s v="Vila dos Criadores"/>
  </r>
  <r>
    <d v="2026-11-08T00:00:00"/>
    <s v="domingo"/>
    <d v="2026-11-08T00:00:00"/>
    <s v="NÃO"/>
    <x v="0"/>
    <m/>
    <m/>
    <m/>
    <m/>
    <m/>
    <m/>
    <m/>
    <m/>
    <m/>
    <m/>
    <s v="Vila dos Criadores"/>
  </r>
  <r>
    <d v="2026-11-09T00:00:00"/>
    <s v="segunda-feira"/>
    <d v="2026-11-09T00:00:00"/>
    <m/>
    <x v="0"/>
    <m/>
    <m/>
    <m/>
    <m/>
    <m/>
    <m/>
    <m/>
    <m/>
    <m/>
    <m/>
    <s v="Vila dos Criadores"/>
  </r>
  <r>
    <d v="2026-11-10T00:00:00"/>
    <s v="terça-feira"/>
    <d v="2026-11-10T00:00:00"/>
    <m/>
    <x v="0"/>
    <m/>
    <m/>
    <m/>
    <m/>
    <m/>
    <m/>
    <m/>
    <m/>
    <m/>
    <m/>
    <s v="Vila dos Criadores"/>
  </r>
  <r>
    <d v="2026-11-11T00:00:00"/>
    <s v="quarta-feira"/>
    <d v="2026-11-11T00:00:00"/>
    <m/>
    <x v="0"/>
    <m/>
    <m/>
    <m/>
    <m/>
    <m/>
    <m/>
    <m/>
    <m/>
    <m/>
    <m/>
    <s v="Vila dos Criadores"/>
  </r>
  <r>
    <d v="2026-11-12T00:00:00"/>
    <s v="quinta-feira"/>
    <d v="2026-11-12T00:00:00"/>
    <m/>
    <x v="0"/>
    <m/>
    <m/>
    <m/>
    <m/>
    <m/>
    <m/>
    <m/>
    <m/>
    <m/>
    <m/>
    <s v="Vila dos Criadores"/>
  </r>
  <r>
    <d v="2026-11-13T00:00:00"/>
    <s v="sexta-feira"/>
    <d v="2026-11-13T00:00:00"/>
    <m/>
    <x v="0"/>
    <m/>
    <m/>
    <m/>
    <m/>
    <m/>
    <m/>
    <m/>
    <m/>
    <m/>
    <m/>
    <s v="Vila dos Criadores"/>
  </r>
  <r>
    <d v="2026-11-14T00:00:00"/>
    <s v="sábado"/>
    <d v="2026-11-14T00:00:00"/>
    <s v="NÃO"/>
    <x v="0"/>
    <m/>
    <m/>
    <m/>
    <m/>
    <m/>
    <m/>
    <m/>
    <m/>
    <m/>
    <m/>
    <s v="Vila dos Criadores"/>
  </r>
  <r>
    <d v="2026-11-15T00:00:00"/>
    <s v="domingo"/>
    <d v="2026-11-15T00:00:00"/>
    <s v="NÃO"/>
    <x v="0"/>
    <m/>
    <m/>
    <m/>
    <m/>
    <m/>
    <m/>
    <m/>
    <m/>
    <m/>
    <m/>
    <s v="Vila dos Criadores"/>
  </r>
  <r>
    <d v="2026-11-16T00:00:00"/>
    <s v="segunda-feira"/>
    <d v="2026-11-16T00:00:00"/>
    <m/>
    <x v="0"/>
    <m/>
    <m/>
    <m/>
    <m/>
    <m/>
    <m/>
    <m/>
    <m/>
    <m/>
    <m/>
    <s v="Vila dos Criadores"/>
  </r>
  <r>
    <d v="2026-11-17T00:00:00"/>
    <s v="terça-feira"/>
    <d v="2026-11-17T00:00:00"/>
    <m/>
    <x v="0"/>
    <m/>
    <m/>
    <m/>
    <m/>
    <m/>
    <m/>
    <m/>
    <m/>
    <m/>
    <m/>
    <s v="Vila dos Criadores"/>
  </r>
  <r>
    <d v="2026-11-18T00:00:00"/>
    <s v="quarta-feira"/>
    <d v="2026-11-18T00:00:00"/>
    <m/>
    <x v="0"/>
    <m/>
    <m/>
    <m/>
    <m/>
    <m/>
    <m/>
    <m/>
    <m/>
    <m/>
    <m/>
    <s v="Vila dos Criadores"/>
  </r>
  <r>
    <d v="2026-11-19T00:00:00"/>
    <s v="quinta-feira"/>
    <d v="2026-11-19T00:00:00"/>
    <m/>
    <x v="0"/>
    <m/>
    <m/>
    <m/>
    <m/>
    <m/>
    <m/>
    <m/>
    <m/>
    <m/>
    <m/>
    <s v="Vila dos Criadores"/>
  </r>
  <r>
    <d v="2026-11-20T00:00:00"/>
    <s v="sexta-feira"/>
    <d v="2026-11-20T00:00:00"/>
    <m/>
    <x v="0"/>
    <m/>
    <m/>
    <m/>
    <m/>
    <m/>
    <m/>
    <m/>
    <m/>
    <m/>
    <m/>
    <s v="Vila dos Criadores"/>
  </r>
  <r>
    <d v="2026-11-21T00:00:00"/>
    <s v="sábado"/>
    <d v="2026-11-21T00:00:00"/>
    <s v="NÃO"/>
    <x v="0"/>
    <m/>
    <m/>
    <m/>
    <m/>
    <m/>
    <m/>
    <m/>
    <m/>
    <m/>
    <m/>
    <s v="Vila dos Criadores"/>
  </r>
  <r>
    <d v="2026-11-22T00:00:00"/>
    <s v="domingo"/>
    <d v="2026-11-22T00:00:00"/>
    <s v="NÃO"/>
    <x v="0"/>
    <m/>
    <m/>
    <m/>
    <m/>
    <m/>
    <m/>
    <m/>
    <m/>
    <m/>
    <m/>
    <s v="Vila dos Criadores"/>
  </r>
  <r>
    <d v="2026-11-23T00:00:00"/>
    <s v="segunda-feira"/>
    <d v="2026-11-23T00:00:00"/>
    <m/>
    <x v="0"/>
    <m/>
    <m/>
    <m/>
    <m/>
    <m/>
    <m/>
    <m/>
    <m/>
    <m/>
    <m/>
    <s v="Vila dos Criadores"/>
  </r>
  <r>
    <d v="2026-11-24T00:00:00"/>
    <s v="terça-feira"/>
    <d v="2026-11-24T00:00:00"/>
    <m/>
    <x v="0"/>
    <m/>
    <m/>
    <m/>
    <m/>
    <m/>
    <m/>
    <m/>
    <m/>
    <m/>
    <m/>
    <s v="Vila dos Criadores"/>
  </r>
  <r>
    <d v="2026-11-25T00:00:00"/>
    <s v="quarta-feira"/>
    <d v="2026-11-25T00:00:00"/>
    <m/>
    <x v="0"/>
    <m/>
    <m/>
    <m/>
    <m/>
    <m/>
    <m/>
    <m/>
    <m/>
    <m/>
    <m/>
    <s v="Vila dos Criadores"/>
  </r>
  <r>
    <d v="2026-11-26T00:00:00"/>
    <s v="quinta-feira"/>
    <d v="2026-11-26T00:00:00"/>
    <m/>
    <x v="0"/>
    <m/>
    <m/>
    <m/>
    <m/>
    <m/>
    <m/>
    <m/>
    <m/>
    <m/>
    <m/>
    <s v="Vila dos Criadores"/>
  </r>
  <r>
    <d v="2026-11-27T00:00:00"/>
    <s v="sexta-feira"/>
    <d v="2026-11-27T00:00:00"/>
    <m/>
    <x v="0"/>
    <m/>
    <m/>
    <m/>
    <m/>
    <m/>
    <m/>
    <m/>
    <m/>
    <m/>
    <m/>
    <s v="Vila dos Criadores"/>
  </r>
  <r>
    <d v="2026-11-28T00:00:00"/>
    <s v="sábado"/>
    <d v="2026-11-28T00:00:00"/>
    <s v="NÃO"/>
    <x v="0"/>
    <m/>
    <m/>
    <m/>
    <m/>
    <m/>
    <m/>
    <m/>
    <m/>
    <m/>
    <m/>
    <s v="Vila dos Criadores"/>
  </r>
  <r>
    <d v="2026-11-29T00:00:00"/>
    <s v="domingo"/>
    <d v="2026-11-29T00:00:00"/>
    <s v="NÃO"/>
    <x v="0"/>
    <m/>
    <m/>
    <m/>
    <m/>
    <m/>
    <m/>
    <m/>
    <m/>
    <m/>
    <m/>
    <s v="Vila dos Criadores"/>
  </r>
  <r>
    <d v="2026-11-30T00:00:00"/>
    <s v="segunda-feira"/>
    <d v="2026-11-30T00:00:00"/>
    <m/>
    <x v="0"/>
    <m/>
    <m/>
    <m/>
    <m/>
    <m/>
    <m/>
    <m/>
    <m/>
    <m/>
    <m/>
    <s v="Vila dos Criadores"/>
  </r>
  <r>
    <d v="2026-12-01T00:00:00"/>
    <s v="terça-feira"/>
    <d v="2026-12-01T00:00:00"/>
    <m/>
    <x v="0"/>
    <m/>
    <m/>
    <m/>
    <m/>
    <m/>
    <m/>
    <m/>
    <m/>
    <m/>
    <m/>
    <s v="Vila dos Criadores"/>
  </r>
  <r>
    <d v="2026-12-02T00:00:00"/>
    <s v="quarta-feira"/>
    <d v="2026-12-02T00:00:00"/>
    <m/>
    <x v="0"/>
    <m/>
    <m/>
    <m/>
    <m/>
    <m/>
    <m/>
    <m/>
    <m/>
    <m/>
    <m/>
    <s v="Vila dos Criadores"/>
  </r>
  <r>
    <d v="2026-12-03T00:00:00"/>
    <s v="quinta-feira"/>
    <d v="2026-12-03T00:00:00"/>
    <m/>
    <x v="0"/>
    <m/>
    <m/>
    <m/>
    <m/>
    <m/>
    <m/>
    <m/>
    <m/>
    <m/>
    <m/>
    <s v="Vila dos Criadores"/>
  </r>
  <r>
    <d v="2026-12-04T00:00:00"/>
    <s v="sexta-feira"/>
    <d v="2026-12-04T00:00:00"/>
    <m/>
    <x v="0"/>
    <m/>
    <m/>
    <m/>
    <m/>
    <m/>
    <m/>
    <m/>
    <m/>
    <m/>
    <m/>
    <s v="Vila dos Criadores"/>
  </r>
  <r>
    <d v="2026-12-05T00:00:00"/>
    <s v="sábado"/>
    <d v="2026-12-05T00:00:00"/>
    <s v="NÃO"/>
    <x v="0"/>
    <m/>
    <m/>
    <m/>
    <m/>
    <m/>
    <m/>
    <m/>
    <m/>
    <m/>
    <m/>
    <s v="Vila dos Criadores"/>
  </r>
  <r>
    <d v="2026-12-06T00:00:00"/>
    <s v="domingo"/>
    <d v="2026-12-06T00:00:00"/>
    <s v="NÃO"/>
    <x v="0"/>
    <m/>
    <m/>
    <m/>
    <m/>
    <m/>
    <m/>
    <m/>
    <m/>
    <m/>
    <m/>
    <s v="Vila dos Criadores"/>
  </r>
  <r>
    <d v="2026-12-07T00:00:00"/>
    <s v="segunda-feira"/>
    <d v="2026-12-07T00:00:00"/>
    <m/>
    <x v="0"/>
    <m/>
    <m/>
    <m/>
    <m/>
    <m/>
    <m/>
    <m/>
    <m/>
    <m/>
    <m/>
    <s v="Vila dos Criadores"/>
  </r>
  <r>
    <d v="2026-12-08T00:00:00"/>
    <s v="terça-feira"/>
    <d v="2026-12-08T00:00:00"/>
    <m/>
    <x v="0"/>
    <m/>
    <m/>
    <m/>
    <m/>
    <m/>
    <m/>
    <m/>
    <m/>
    <m/>
    <m/>
    <s v="Vila dos Criadores"/>
  </r>
  <r>
    <d v="2026-12-09T00:00:00"/>
    <s v="quarta-feira"/>
    <d v="2026-12-09T00:00:00"/>
    <m/>
    <x v="0"/>
    <m/>
    <m/>
    <m/>
    <m/>
    <m/>
    <m/>
    <m/>
    <m/>
    <m/>
    <m/>
    <s v="Vila dos Criadores"/>
  </r>
  <r>
    <d v="2026-12-10T00:00:00"/>
    <s v="quinta-feira"/>
    <d v="2026-12-10T00:00:00"/>
    <m/>
    <x v="0"/>
    <m/>
    <m/>
    <m/>
    <m/>
    <m/>
    <m/>
    <m/>
    <m/>
    <m/>
    <m/>
    <s v="Vila dos Criadores"/>
  </r>
  <r>
    <d v="2026-12-11T00:00:00"/>
    <s v="sexta-feira"/>
    <d v="2026-12-11T00:00:00"/>
    <m/>
    <x v="0"/>
    <m/>
    <m/>
    <m/>
    <m/>
    <m/>
    <m/>
    <m/>
    <m/>
    <m/>
    <m/>
    <s v="Vila dos Criadores"/>
  </r>
  <r>
    <d v="2026-12-12T00:00:00"/>
    <s v="sábado"/>
    <d v="2026-12-12T00:00:00"/>
    <s v="NÃO"/>
    <x v="0"/>
    <m/>
    <m/>
    <m/>
    <m/>
    <m/>
    <m/>
    <m/>
    <m/>
    <m/>
    <m/>
    <s v="Vila dos Criadores"/>
  </r>
  <r>
    <d v="2026-12-13T00:00:00"/>
    <s v="domingo"/>
    <d v="2026-12-13T00:00:00"/>
    <s v="NÃO"/>
    <x v="0"/>
    <m/>
    <m/>
    <m/>
    <m/>
    <m/>
    <m/>
    <m/>
    <m/>
    <m/>
    <m/>
    <s v="Vila dos Criadores"/>
  </r>
  <r>
    <d v="2026-12-14T00:00:00"/>
    <s v="segunda-feira"/>
    <d v="2026-12-14T00:00:00"/>
    <m/>
    <x v="0"/>
    <m/>
    <m/>
    <m/>
    <m/>
    <m/>
    <m/>
    <m/>
    <m/>
    <m/>
    <m/>
    <s v="Vila dos Criadores"/>
  </r>
  <r>
    <d v="2026-12-15T00:00:00"/>
    <s v="terça-feira"/>
    <d v="2026-12-15T00:00:00"/>
    <m/>
    <x v="0"/>
    <m/>
    <m/>
    <m/>
    <m/>
    <m/>
    <m/>
    <m/>
    <m/>
    <m/>
    <m/>
    <s v="Vila dos Criadores"/>
  </r>
  <r>
    <d v="2026-12-16T00:00:00"/>
    <s v="quarta-feira"/>
    <d v="2026-12-16T00:00:00"/>
    <m/>
    <x v="0"/>
    <m/>
    <m/>
    <m/>
    <m/>
    <m/>
    <m/>
    <m/>
    <m/>
    <m/>
    <m/>
    <s v="Vila dos Criadores"/>
  </r>
  <r>
    <d v="2026-12-17T00:00:00"/>
    <s v="quinta-feira"/>
    <d v="2026-12-17T00:00:00"/>
    <m/>
    <x v="0"/>
    <m/>
    <m/>
    <m/>
    <m/>
    <m/>
    <m/>
    <m/>
    <m/>
    <m/>
    <m/>
    <s v="Vila dos Criadores"/>
  </r>
  <r>
    <d v="2026-12-18T00:00:00"/>
    <s v="sexta-feira"/>
    <d v="2026-12-18T00:00:00"/>
    <m/>
    <x v="0"/>
    <m/>
    <m/>
    <m/>
    <m/>
    <m/>
    <m/>
    <m/>
    <m/>
    <m/>
    <m/>
    <s v="Vila dos Criadores"/>
  </r>
  <r>
    <d v="2026-12-19T00:00:00"/>
    <s v="sábado"/>
    <d v="2026-12-19T00:00:00"/>
    <s v="NÃO"/>
    <x v="0"/>
    <m/>
    <m/>
    <m/>
    <m/>
    <m/>
    <m/>
    <m/>
    <m/>
    <m/>
    <m/>
    <s v="Vila dos Criadores"/>
  </r>
  <r>
    <d v="2026-12-20T00:00:00"/>
    <s v="domingo"/>
    <d v="2026-12-20T00:00:00"/>
    <s v="NÃO"/>
    <x v="0"/>
    <m/>
    <m/>
    <m/>
    <m/>
    <m/>
    <m/>
    <m/>
    <m/>
    <m/>
    <m/>
    <s v="Vila dos Criadores"/>
  </r>
  <r>
    <d v="2026-12-21T00:00:00"/>
    <s v="segunda-feira"/>
    <d v="2026-12-21T00:00:00"/>
    <m/>
    <x v="0"/>
    <m/>
    <m/>
    <m/>
    <m/>
    <m/>
    <m/>
    <m/>
    <m/>
    <m/>
    <m/>
    <s v="Vila dos Criadores"/>
  </r>
  <r>
    <d v="2026-12-22T00:00:00"/>
    <s v="terça-feira"/>
    <d v="2026-12-22T00:00:00"/>
    <m/>
    <x v="0"/>
    <m/>
    <m/>
    <m/>
    <m/>
    <m/>
    <m/>
    <m/>
    <m/>
    <m/>
    <m/>
    <s v="Vila dos Criadores"/>
  </r>
  <r>
    <d v="2026-12-23T00:00:00"/>
    <s v="quarta-feira"/>
    <d v="2026-12-23T00:00:00"/>
    <m/>
    <x v="0"/>
    <m/>
    <m/>
    <m/>
    <m/>
    <m/>
    <m/>
    <m/>
    <m/>
    <m/>
    <m/>
    <s v="Vila dos Criadores"/>
  </r>
  <r>
    <d v="2026-12-24T00:00:00"/>
    <s v="quinta-feira"/>
    <d v="2026-12-24T00:00:00"/>
    <m/>
    <x v="0"/>
    <m/>
    <m/>
    <m/>
    <m/>
    <m/>
    <m/>
    <m/>
    <m/>
    <m/>
    <m/>
    <s v="Vila dos Criadores"/>
  </r>
  <r>
    <d v="2026-12-25T00:00:00"/>
    <s v="sexta-feira"/>
    <d v="2026-12-25T00:00:00"/>
    <m/>
    <x v="0"/>
    <m/>
    <m/>
    <m/>
    <m/>
    <m/>
    <m/>
    <m/>
    <m/>
    <m/>
    <m/>
    <s v="Vila dos Criadores"/>
  </r>
  <r>
    <d v="2026-12-26T00:00:00"/>
    <s v="sábado"/>
    <d v="2026-12-26T00:00:00"/>
    <s v="NÃO"/>
    <x v="0"/>
    <m/>
    <m/>
    <m/>
    <m/>
    <m/>
    <m/>
    <m/>
    <m/>
    <m/>
    <m/>
    <s v="Vila dos Criadores"/>
  </r>
  <r>
    <d v="2026-12-27T00:00:00"/>
    <s v="domingo"/>
    <d v="2026-12-27T00:00:00"/>
    <s v="NÃO"/>
    <x v="0"/>
    <m/>
    <m/>
    <m/>
    <m/>
    <m/>
    <m/>
    <m/>
    <m/>
    <m/>
    <m/>
    <s v="Vila dos Criadores"/>
  </r>
  <r>
    <d v="2026-12-28T00:00:00"/>
    <s v="segunda-feira"/>
    <d v="2026-12-28T00:00:00"/>
    <m/>
    <x v="0"/>
    <m/>
    <m/>
    <m/>
    <m/>
    <m/>
    <m/>
    <m/>
    <m/>
    <m/>
    <m/>
    <s v="Vila dos Criadores"/>
  </r>
  <r>
    <d v="2026-12-29T00:00:00"/>
    <s v="terça-feira"/>
    <d v="2026-12-29T00:00:00"/>
    <m/>
    <x v="0"/>
    <m/>
    <m/>
    <m/>
    <m/>
    <m/>
    <m/>
    <m/>
    <m/>
    <m/>
    <m/>
    <s v="Vila dos Criadores"/>
  </r>
  <r>
    <d v="2026-12-30T00:00:00"/>
    <s v="quarta-feira"/>
    <d v="2026-12-30T00:00:00"/>
    <m/>
    <x v="0"/>
    <m/>
    <m/>
    <m/>
    <m/>
    <m/>
    <m/>
    <m/>
    <m/>
    <m/>
    <m/>
    <s v="Vila dos Criadores"/>
  </r>
  <r>
    <d v="2026-12-31T00:00:00"/>
    <s v="quinta-feira"/>
    <d v="2026-12-31T00:00:00"/>
    <m/>
    <x v="0"/>
    <m/>
    <m/>
    <m/>
    <m/>
    <m/>
    <m/>
    <m/>
    <m/>
    <m/>
    <m/>
    <s v="Vila dos Criadores"/>
  </r>
  <r>
    <d v="2027-01-01T00:00:00"/>
    <s v="sexta-feira"/>
    <d v="2027-01-01T00:00:00"/>
    <m/>
    <x v="0"/>
    <m/>
    <m/>
    <m/>
    <m/>
    <m/>
    <m/>
    <m/>
    <m/>
    <m/>
    <m/>
    <s v="Vila dos Criadores"/>
  </r>
  <r>
    <d v="2027-01-02T00:00:00"/>
    <s v="sábado"/>
    <d v="2027-01-02T00:00:00"/>
    <s v="NÃO"/>
    <x v="0"/>
    <m/>
    <m/>
    <m/>
    <m/>
    <m/>
    <m/>
    <m/>
    <m/>
    <m/>
    <m/>
    <s v="Vila dos Criadores"/>
  </r>
  <r>
    <d v="2027-01-03T00:00:00"/>
    <s v="domingo"/>
    <d v="2027-01-03T00:00:00"/>
    <s v="NÃO"/>
    <x v="0"/>
    <m/>
    <m/>
    <m/>
    <m/>
    <m/>
    <m/>
    <m/>
    <m/>
    <m/>
    <m/>
    <s v="Vila dos Criadores"/>
  </r>
  <r>
    <d v="2027-01-04T00:00:00"/>
    <s v="segunda-feira"/>
    <d v="2027-01-04T00:00:00"/>
    <m/>
    <x v="0"/>
    <m/>
    <m/>
    <m/>
    <m/>
    <m/>
    <m/>
    <m/>
    <m/>
    <m/>
    <m/>
    <s v="Vila dos Criadores"/>
  </r>
  <r>
    <d v="2027-01-05T00:00:00"/>
    <s v="terça-feira"/>
    <d v="2027-01-05T00:00:00"/>
    <m/>
    <x v="0"/>
    <m/>
    <m/>
    <m/>
    <m/>
    <m/>
    <m/>
    <m/>
    <m/>
    <m/>
    <m/>
    <s v="Vila dos Criadores"/>
  </r>
  <r>
    <d v="2027-01-06T00:00:00"/>
    <s v="quarta-feira"/>
    <d v="2027-01-06T00:00:00"/>
    <m/>
    <x v="0"/>
    <m/>
    <m/>
    <m/>
    <m/>
    <m/>
    <m/>
    <m/>
    <m/>
    <m/>
    <m/>
    <s v="Vila dos Criadores"/>
  </r>
  <r>
    <d v="2027-01-07T00:00:00"/>
    <s v="quinta-feira"/>
    <d v="2027-01-07T00:00:00"/>
    <m/>
    <x v="0"/>
    <m/>
    <m/>
    <m/>
    <m/>
    <m/>
    <m/>
    <m/>
    <m/>
    <m/>
    <m/>
    <s v="Vila dos Criadores"/>
  </r>
  <r>
    <d v="2027-01-08T00:00:00"/>
    <s v="sexta-feira"/>
    <d v="2027-01-08T00:00:00"/>
    <m/>
    <x v="0"/>
    <m/>
    <m/>
    <m/>
    <m/>
    <m/>
    <m/>
    <m/>
    <m/>
    <m/>
    <m/>
    <s v="Vila dos Criadores"/>
  </r>
  <r>
    <d v="2027-01-09T00:00:00"/>
    <s v="sábado"/>
    <d v="2027-01-09T00:00:00"/>
    <s v="NÃO"/>
    <x v="0"/>
    <m/>
    <m/>
    <m/>
    <m/>
    <m/>
    <m/>
    <m/>
    <m/>
    <m/>
    <m/>
    <s v="Vila dos Criadores"/>
  </r>
  <r>
    <d v="2027-01-10T00:00:00"/>
    <s v="domingo"/>
    <d v="2027-01-10T00:00:00"/>
    <s v="NÃO"/>
    <x v="0"/>
    <m/>
    <m/>
    <m/>
    <m/>
    <m/>
    <m/>
    <m/>
    <m/>
    <m/>
    <m/>
    <s v="Vila dos Criadores"/>
  </r>
  <r>
    <d v="2027-01-11T00:00:00"/>
    <s v="segunda-feira"/>
    <d v="2027-01-11T00:00:00"/>
    <m/>
    <x v="0"/>
    <m/>
    <m/>
    <m/>
    <m/>
    <m/>
    <m/>
    <m/>
    <m/>
    <m/>
    <m/>
    <s v="Vila dos Criadores"/>
  </r>
  <r>
    <d v="2027-01-12T00:00:00"/>
    <s v="terça-feira"/>
    <d v="2027-01-12T00:00:00"/>
    <m/>
    <x v="0"/>
    <m/>
    <m/>
    <m/>
    <m/>
    <m/>
    <m/>
    <m/>
    <m/>
    <m/>
    <m/>
    <s v="Vila dos Criadores"/>
  </r>
  <r>
    <d v="2027-01-13T00:00:00"/>
    <s v="quarta-feira"/>
    <d v="2027-01-13T00:00:00"/>
    <m/>
    <x v="0"/>
    <m/>
    <m/>
    <m/>
    <m/>
    <m/>
    <m/>
    <m/>
    <m/>
    <m/>
    <m/>
    <s v="Vila dos Criadores"/>
  </r>
  <r>
    <d v="2027-01-14T00:00:00"/>
    <s v="quinta-feira"/>
    <d v="2027-01-14T00:00:00"/>
    <m/>
    <x v="0"/>
    <m/>
    <m/>
    <m/>
    <m/>
    <m/>
    <m/>
    <m/>
    <m/>
    <m/>
    <m/>
    <s v="Vila dos Criadores"/>
  </r>
  <r>
    <d v="2027-01-15T00:00:00"/>
    <s v="sexta-feira"/>
    <d v="2027-01-15T00:00:00"/>
    <m/>
    <x v="0"/>
    <m/>
    <m/>
    <m/>
    <m/>
    <m/>
    <m/>
    <m/>
    <m/>
    <m/>
    <m/>
    <s v="Vila dos Criadores"/>
  </r>
  <r>
    <d v="2027-01-16T00:00:00"/>
    <s v="sábado"/>
    <d v="2027-01-16T00:00:00"/>
    <s v="NÃO"/>
    <x v="0"/>
    <m/>
    <m/>
    <m/>
    <m/>
    <m/>
    <m/>
    <m/>
    <m/>
    <m/>
    <m/>
    <s v="Vila dos Criadores"/>
  </r>
  <r>
    <d v="2027-01-17T00:00:00"/>
    <s v="domingo"/>
    <d v="2027-01-17T00:00:00"/>
    <s v="NÃO"/>
    <x v="0"/>
    <m/>
    <m/>
    <m/>
    <m/>
    <m/>
    <m/>
    <m/>
    <m/>
    <m/>
    <m/>
    <s v="Vila dos Criadores"/>
  </r>
  <r>
    <d v="2027-01-18T00:00:00"/>
    <s v="segunda-feira"/>
    <d v="2027-01-18T00:00:00"/>
    <m/>
    <x v="0"/>
    <m/>
    <m/>
    <m/>
    <m/>
    <m/>
    <m/>
    <m/>
    <m/>
    <m/>
    <m/>
    <s v="Vila dos Criadores"/>
  </r>
  <r>
    <d v="2027-01-19T00:00:00"/>
    <s v="terça-feira"/>
    <d v="2027-01-19T00:00:00"/>
    <m/>
    <x v="0"/>
    <m/>
    <m/>
    <m/>
    <m/>
    <m/>
    <m/>
    <m/>
    <m/>
    <m/>
    <m/>
    <s v="Vila dos Criadores"/>
  </r>
  <r>
    <d v="2027-01-20T00:00:00"/>
    <s v="quarta-feira"/>
    <d v="2027-01-20T00:00:00"/>
    <m/>
    <x v="0"/>
    <m/>
    <m/>
    <m/>
    <m/>
    <m/>
    <m/>
    <m/>
    <m/>
    <m/>
    <m/>
    <s v="Vila dos Criadores"/>
  </r>
  <r>
    <d v="2027-01-21T00:00:00"/>
    <s v="quinta-feira"/>
    <d v="2027-01-21T00:00:00"/>
    <m/>
    <x v="0"/>
    <m/>
    <m/>
    <m/>
    <m/>
    <m/>
    <m/>
    <m/>
    <m/>
    <m/>
    <m/>
    <s v="Vila dos Criadores"/>
  </r>
  <r>
    <d v="2027-01-22T00:00:00"/>
    <s v="sexta-feira"/>
    <d v="2027-01-22T00:00:00"/>
    <m/>
    <x v="0"/>
    <m/>
    <m/>
    <m/>
    <m/>
    <m/>
    <m/>
    <m/>
    <m/>
    <m/>
    <m/>
    <s v="Vila dos Criadores"/>
  </r>
  <r>
    <d v="2027-01-23T00:00:00"/>
    <s v="sábado"/>
    <d v="2027-01-23T00:00:00"/>
    <s v="NÃO"/>
    <x v="0"/>
    <m/>
    <m/>
    <m/>
    <m/>
    <m/>
    <m/>
    <m/>
    <m/>
    <m/>
    <m/>
    <s v="Vila dos Criadores"/>
  </r>
  <r>
    <d v="2027-01-24T00:00:00"/>
    <s v="domingo"/>
    <d v="2027-01-24T00:00:00"/>
    <s v="NÃO"/>
    <x v="0"/>
    <m/>
    <m/>
    <m/>
    <m/>
    <m/>
    <m/>
    <m/>
    <m/>
    <m/>
    <m/>
    <s v="Vila dos Criadores"/>
  </r>
  <r>
    <d v="2027-01-25T00:00:00"/>
    <s v="segunda-feira"/>
    <d v="2027-01-25T00:00:00"/>
    <m/>
    <x v="0"/>
    <m/>
    <m/>
    <m/>
    <m/>
    <m/>
    <m/>
    <m/>
    <m/>
    <m/>
    <m/>
    <s v="Vila dos Criadores"/>
  </r>
  <r>
    <d v="2027-01-26T00:00:00"/>
    <s v="terça-feira"/>
    <d v="2027-01-26T00:00:00"/>
    <m/>
    <x v="0"/>
    <m/>
    <m/>
    <m/>
    <m/>
    <m/>
    <m/>
    <m/>
    <m/>
    <m/>
    <m/>
    <s v="Vila dos Criadores"/>
  </r>
  <r>
    <d v="2027-01-27T00:00:00"/>
    <s v="quarta-feira"/>
    <d v="2027-01-27T00:00:00"/>
    <m/>
    <x v="0"/>
    <m/>
    <m/>
    <m/>
    <m/>
    <m/>
    <m/>
    <m/>
    <m/>
    <m/>
    <m/>
    <s v="Vila dos Criadores"/>
  </r>
  <r>
    <d v="2027-01-28T00:00:00"/>
    <s v="quinta-feira"/>
    <d v="2027-01-28T00:00:00"/>
    <m/>
    <x v="0"/>
    <m/>
    <m/>
    <m/>
    <m/>
    <m/>
    <m/>
    <m/>
    <m/>
    <m/>
    <m/>
    <s v="Vila dos Criadores"/>
  </r>
  <r>
    <d v="2027-01-29T00:00:00"/>
    <s v="sexta-feira"/>
    <d v="2027-01-29T00:00:00"/>
    <m/>
    <x v="0"/>
    <m/>
    <m/>
    <m/>
    <m/>
    <m/>
    <m/>
    <m/>
    <m/>
    <m/>
    <m/>
    <s v="Vila dos Criadores"/>
  </r>
  <r>
    <d v="2027-01-30T00:00:00"/>
    <s v="sábado"/>
    <d v="2027-01-30T00:00:00"/>
    <s v="NÃO"/>
    <x v="0"/>
    <m/>
    <m/>
    <m/>
    <m/>
    <m/>
    <m/>
    <m/>
    <m/>
    <m/>
    <m/>
    <s v="Vila dos Criadores"/>
  </r>
  <r>
    <d v="2027-01-31T00:00:00"/>
    <s v="domingo"/>
    <d v="2027-01-31T00:00:00"/>
    <s v="NÃO"/>
    <x v="0"/>
    <m/>
    <m/>
    <m/>
    <m/>
    <m/>
    <m/>
    <m/>
    <m/>
    <m/>
    <m/>
    <s v="Vila dos Criadores"/>
  </r>
  <r>
    <d v="2027-02-01T00:00:00"/>
    <s v="segunda-feira"/>
    <d v="2027-02-01T00:00:00"/>
    <m/>
    <x v="0"/>
    <m/>
    <m/>
    <m/>
    <m/>
    <m/>
    <m/>
    <m/>
    <m/>
    <m/>
    <m/>
    <s v="Vila dos Criadores"/>
  </r>
  <r>
    <d v="2027-02-02T00:00:00"/>
    <s v="terça-feira"/>
    <d v="2027-02-02T00:00:00"/>
    <m/>
    <x v="0"/>
    <m/>
    <m/>
    <m/>
    <m/>
    <m/>
    <m/>
    <m/>
    <m/>
    <m/>
    <m/>
    <s v="Vila dos Criadores"/>
  </r>
  <r>
    <d v="2027-02-03T00:00:00"/>
    <s v="quarta-feira"/>
    <d v="2027-02-03T00:00:00"/>
    <m/>
    <x v="0"/>
    <m/>
    <m/>
    <m/>
    <m/>
    <m/>
    <m/>
    <m/>
    <m/>
    <m/>
    <m/>
    <s v="Vila dos Criadores"/>
  </r>
  <r>
    <d v="2027-02-04T00:00:00"/>
    <s v="quinta-feira"/>
    <d v="2027-02-04T00:00:00"/>
    <m/>
    <x v="0"/>
    <m/>
    <m/>
    <m/>
    <m/>
    <m/>
    <m/>
    <m/>
    <m/>
    <m/>
    <m/>
    <s v="Vila dos Criadores"/>
  </r>
  <r>
    <d v="2027-02-05T00:00:00"/>
    <s v="sexta-feira"/>
    <d v="2027-02-05T00:00:00"/>
    <m/>
    <x v="0"/>
    <m/>
    <m/>
    <m/>
    <m/>
    <m/>
    <m/>
    <m/>
    <m/>
    <m/>
    <m/>
    <s v="Vila dos Criadores"/>
  </r>
  <r>
    <d v="2027-02-06T00:00:00"/>
    <s v="sábado"/>
    <d v="2027-02-06T00:00:00"/>
    <s v="NÃO"/>
    <x v="0"/>
    <m/>
    <m/>
    <m/>
    <m/>
    <m/>
    <m/>
    <m/>
    <m/>
    <m/>
    <m/>
    <s v="Vila dos Criadores"/>
  </r>
  <r>
    <d v="2027-02-07T00:00:00"/>
    <s v="domingo"/>
    <d v="2027-02-07T00:00:00"/>
    <s v="NÃO"/>
    <x v="0"/>
    <m/>
    <m/>
    <m/>
    <m/>
    <m/>
    <m/>
    <m/>
    <m/>
    <m/>
    <m/>
    <s v="Vila dos Criadores"/>
  </r>
  <r>
    <d v="2027-02-08T00:00:00"/>
    <s v="segunda-feira"/>
    <d v="2027-02-08T00:00:00"/>
    <m/>
    <x v="0"/>
    <m/>
    <m/>
    <m/>
    <m/>
    <m/>
    <m/>
    <m/>
    <m/>
    <m/>
    <m/>
    <s v="Vila dos Criadores"/>
  </r>
  <r>
    <d v="2027-02-09T00:00:00"/>
    <s v="terça-feira"/>
    <d v="2027-02-09T00:00:00"/>
    <m/>
    <x v="0"/>
    <m/>
    <m/>
    <m/>
    <m/>
    <m/>
    <m/>
    <m/>
    <m/>
    <m/>
    <m/>
    <s v="Vila dos Criadores"/>
  </r>
  <r>
    <d v="2027-02-10T00:00:00"/>
    <s v="quarta-feira"/>
    <d v="2027-02-10T00:00:00"/>
    <m/>
    <x v="0"/>
    <m/>
    <m/>
    <m/>
    <m/>
    <m/>
    <m/>
    <m/>
    <m/>
    <m/>
    <m/>
    <s v="Vila dos Criadores"/>
  </r>
  <r>
    <d v="2027-02-11T00:00:00"/>
    <s v="quinta-feira"/>
    <d v="2027-02-11T00:00:00"/>
    <m/>
    <x v="0"/>
    <m/>
    <m/>
    <m/>
    <m/>
    <m/>
    <m/>
    <m/>
    <m/>
    <m/>
    <m/>
    <s v="Vila dos Criadores"/>
  </r>
  <r>
    <d v="2027-02-12T00:00:00"/>
    <s v="sexta-feira"/>
    <d v="2027-02-12T00:00:00"/>
    <m/>
    <x v="0"/>
    <m/>
    <m/>
    <m/>
    <m/>
    <m/>
    <m/>
    <m/>
    <m/>
    <m/>
    <m/>
    <s v="Vila dos Criadores"/>
  </r>
  <r>
    <d v="2027-02-13T00:00:00"/>
    <s v="sábado"/>
    <d v="2027-02-13T00:00:00"/>
    <s v="NÃO"/>
    <x v="0"/>
    <m/>
    <m/>
    <m/>
    <m/>
    <m/>
    <m/>
    <m/>
    <m/>
    <m/>
    <m/>
    <s v="Vila dos Criadores"/>
  </r>
  <r>
    <d v="2027-02-14T00:00:00"/>
    <s v="domingo"/>
    <d v="2027-02-14T00:00:00"/>
    <s v="NÃO"/>
    <x v="0"/>
    <m/>
    <m/>
    <m/>
    <m/>
    <m/>
    <m/>
    <m/>
    <m/>
    <m/>
    <m/>
    <s v="Vila dos Criadores"/>
  </r>
  <r>
    <d v="2027-02-15T00:00:00"/>
    <s v="segunda-feira"/>
    <d v="2027-02-15T00:00:00"/>
    <m/>
    <x v="0"/>
    <m/>
    <m/>
    <m/>
    <m/>
    <m/>
    <m/>
    <m/>
    <m/>
    <m/>
    <m/>
    <s v="Vila dos Criado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E0F47-77A4-43D5-97E0-8D37622F037A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RUA" fieldListSortAscending="1">
  <location ref="B10:B16" firstHeaderRow="1" firstDataRow="1" firstDataCol="1"/>
  <pivotFields count="16">
    <pivotField showAll="0"/>
    <pivotField showAll="0"/>
    <pivotField showAll="0"/>
    <pivotField showAll="0"/>
    <pivotField axis="axisRow" showAll="0" sortType="ascending">
      <items count="65">
        <item m="1" x="58"/>
        <item m="1" x="54"/>
        <item m="1" x="52"/>
        <item m="1" x="53"/>
        <item m="1" x="55"/>
        <item m="1" x="57"/>
        <item m="1" x="56"/>
        <item x="12"/>
        <item x="1"/>
        <item x="6"/>
        <item x="17"/>
        <item x="40"/>
        <item x="31"/>
        <item x="36"/>
        <item x="34"/>
        <item x="42"/>
        <item x="44"/>
        <item x="45"/>
        <item x="20"/>
        <item x="43"/>
        <item x="28"/>
        <item x="24"/>
        <item x="37"/>
        <item x="38"/>
        <item x="9"/>
        <item x="11"/>
        <item x="30"/>
        <item x="26"/>
        <item x="13"/>
        <item x="33"/>
        <item x="35"/>
        <item m="1" x="59"/>
        <item m="1" x="60"/>
        <item m="1" x="61"/>
        <item m="1" x="62"/>
        <item m="1" x="63"/>
        <item x="7"/>
        <item x="51"/>
        <item x="48"/>
        <item x="50"/>
        <item x="21"/>
        <item x="15"/>
        <item x="27"/>
        <item x="5"/>
        <item x="8"/>
        <item x="47"/>
        <item x="49"/>
        <item x="19"/>
        <item x="29"/>
        <item x="10"/>
        <item x="22"/>
        <item x="3"/>
        <item x="23"/>
        <item x="18"/>
        <item x="25"/>
        <item x="14"/>
        <item x="16"/>
        <item x="4"/>
        <item x="41"/>
        <item x="46"/>
        <item x="32"/>
        <item x="39"/>
        <item x="2"/>
        <item x="0"/>
        <item t="default"/>
      </items>
    </pivotField>
    <pivotField showAll="0" sortType="ascending">
      <items count="159">
        <item x="124"/>
        <item x="32"/>
        <item x="24"/>
        <item x="30"/>
        <item x="98"/>
        <item x="99"/>
        <item x="60"/>
        <item x="104"/>
        <item x="23"/>
        <item x="31"/>
        <item x="97"/>
        <item x="100"/>
        <item x="95"/>
        <item x="103"/>
        <item x="101"/>
        <item x="28"/>
        <item x="89"/>
        <item x="93"/>
        <item x="68"/>
        <item x="61"/>
        <item x="35"/>
        <item x="94"/>
        <item x="25"/>
        <item x="74"/>
        <item x="105"/>
        <item x="77"/>
        <item x="27"/>
        <item m="1" x="148"/>
        <item x="88"/>
        <item x="92"/>
        <item x="66"/>
        <item x="47"/>
        <item x="76"/>
        <item x="34"/>
        <item x="36"/>
        <item x="73"/>
        <item x="69"/>
        <item x="70"/>
        <item x="72"/>
        <item x="33"/>
        <item x="81"/>
        <item x="75"/>
        <item x="79"/>
        <item x="82"/>
        <item x="80"/>
        <item x="16"/>
        <item x="18"/>
        <item x="65"/>
        <item x="83"/>
        <item x="86"/>
        <item x="67"/>
        <item x="84"/>
        <item x="90"/>
        <item x="71"/>
        <item x="87"/>
        <item x="96"/>
        <item x="85"/>
        <item x="20"/>
        <item x="78"/>
        <item x="21"/>
        <item x="62"/>
        <item x="58"/>
        <item x="102"/>
        <item x="120"/>
        <item x="123"/>
        <item x="147"/>
        <item x="145"/>
        <item x="117"/>
        <item x="143"/>
        <item x="17"/>
        <item x="135"/>
        <item x="121"/>
        <item x="134"/>
        <item x="6"/>
        <item x="4"/>
        <item x="114"/>
        <item x="111"/>
        <item x="115"/>
        <item x="14"/>
        <item x="64"/>
        <item x="26"/>
        <item x="139"/>
        <item x="29"/>
        <item x="50"/>
        <item x="37"/>
        <item x="12"/>
        <item x="45"/>
        <item m="1" x="156"/>
        <item m="1" x="152"/>
        <item m="1" x="150"/>
        <item m="1" x="151"/>
        <item m="1" x="153"/>
        <item m="1" x="155"/>
        <item m="1" x="154"/>
        <item x="57"/>
        <item x="1"/>
        <item x="22"/>
        <item x="63"/>
        <item x="116"/>
        <item x="106"/>
        <item x="113"/>
        <item x="110"/>
        <item x="107"/>
        <item x="112"/>
        <item x="109"/>
        <item x="131"/>
        <item x="125"/>
        <item x="59"/>
        <item x="130"/>
        <item x="138"/>
        <item x="136"/>
        <item x="129"/>
        <item x="38"/>
        <item x="41"/>
        <item x="52"/>
        <item x="40"/>
        <item x="49"/>
        <item x="44"/>
        <item x="39"/>
        <item x="42"/>
        <item x="48"/>
        <item x="43"/>
        <item x="56"/>
        <item x="51"/>
        <item x="118"/>
        <item m="1" x="157"/>
        <item x="142"/>
        <item x="146"/>
        <item x="46"/>
        <item x="53"/>
        <item x="133"/>
        <item x="54"/>
        <item x="55"/>
        <item x="137"/>
        <item x="140"/>
        <item x="132"/>
        <item x="126"/>
        <item x="2"/>
        <item x="7"/>
        <item x="119"/>
        <item x="108"/>
        <item x="3"/>
        <item x="19"/>
        <item x="91"/>
        <item x="15"/>
        <item x="9"/>
        <item x="8"/>
        <item x="13"/>
        <item m="1" x="149"/>
        <item x="127"/>
        <item x="122"/>
        <item x="141"/>
        <item x="144"/>
        <item x="128"/>
        <item x="11"/>
        <item x="10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h="1" x="2"/>
        <item x="0"/>
        <item h="1" x="1"/>
        <item h="1" x="3"/>
        <item h="1" x="5"/>
        <item h="1" x="4"/>
        <item t="default"/>
      </items>
    </pivotField>
  </pivotFields>
  <rowFields count="1">
    <field x="4"/>
  </rowFields>
  <rowItems count="6">
    <i>
      <x v="8"/>
    </i>
    <i>
      <x v="43"/>
    </i>
    <i>
      <x v="51"/>
    </i>
    <i>
      <x v="57"/>
    </i>
    <i>
      <x v="62"/>
    </i>
    <i>
      <x v="63"/>
    </i>
  </rowItems>
  <colItems count="1">
    <i/>
  </colItems>
  <formats count="30">
    <format dxfId="99">
      <pivotArea type="all" dataOnly="0" outline="0" fieldPosition="0"/>
    </format>
    <format dxfId="98">
      <pivotArea field="15" type="button" dataOnly="0" labelOnly="1" outline="0"/>
    </format>
    <format dxfId="97">
      <pivotArea dataOnly="0" labelOnly="1" grandRow="1" outline="0" fieldPosition="0"/>
    </format>
    <format dxfId="96">
      <pivotArea field="4" type="button" dataOnly="0" labelOnly="1" outline="0" axis="axisRow" fieldPosition="0"/>
    </format>
    <format dxfId="95">
      <pivotArea field="4" type="button" dataOnly="0" labelOnly="1" outline="0" axis="axisRow" fieldPosition="0"/>
    </format>
    <format dxfId="94">
      <pivotArea type="all" dataOnly="0" outline="0" fieldPosition="0"/>
    </format>
    <format dxfId="93">
      <pivotArea field="4" type="button" dataOnly="0" labelOnly="1" outline="0" axis="axisRow" fieldPosition="0"/>
    </format>
    <format dxfId="92">
      <pivotArea field="4" type="button" dataOnly="0" labelOnly="1" outline="0" axis="axisRow" fieldPosition="0"/>
    </format>
    <format dxfId="91">
      <pivotArea field="4" type="button" dataOnly="0" labelOnly="1" outline="0" axis="axisRow" fieldPosition="0"/>
    </format>
    <format dxfId="90">
      <pivotArea field="4" type="button" dataOnly="0" labelOnly="1" outline="0" axis="axisRow" fieldPosition="0"/>
    </format>
    <format dxfId="89">
      <pivotArea field="4" type="button" dataOnly="0" labelOnly="1" outline="0" axis="axisRow" fieldPosition="0"/>
    </format>
    <format dxfId="88">
      <pivotArea field="4" type="button" dataOnly="0" labelOnly="1" outline="0" axis="axisRow" fieldPosition="0"/>
    </format>
    <format dxfId="87">
      <pivotArea type="all" dataOnly="0" outline="0" fieldPosition="0"/>
    </format>
    <format dxfId="86">
      <pivotArea type="all" dataOnly="0" outline="0" fieldPosition="0"/>
    </format>
    <format dxfId="85">
      <pivotArea type="all" dataOnly="0" outline="0" fieldPosition="0"/>
    </format>
    <format dxfId="84">
      <pivotArea type="all" dataOnly="0" outline="0" fieldPosition="0"/>
    </format>
    <format dxfId="83">
      <pivotArea field="5" type="button" dataOnly="0" labelOnly="1" outline="0"/>
    </format>
    <format dxfId="82">
      <pivotArea field="5" type="button" dataOnly="0" labelOnly="1" outline="0"/>
    </format>
    <format dxfId="81">
      <pivotArea field="5" type="button" dataOnly="0" labelOnly="1" outline="0"/>
    </format>
    <format dxfId="80">
      <pivotArea field="5" type="button" dataOnly="0" labelOnly="1" outline="0"/>
    </format>
    <format dxfId="79">
      <pivotArea field="5" type="button" dataOnly="0" labelOnly="1" outline="0"/>
    </format>
    <format dxfId="78">
      <pivotArea type="all" dataOnly="0" outline="0" fieldPosition="0"/>
    </format>
    <format dxfId="77">
      <pivotArea field="5" type="button" dataOnly="0" labelOnly="1" outline="0"/>
    </format>
    <format dxfId="76">
      <pivotArea field="5" type="button" dataOnly="0" labelOnly="1" outline="0"/>
    </format>
    <format dxfId="75">
      <pivotArea type="all" dataOnly="0" outline="0" fieldPosition="0"/>
    </format>
    <format dxfId="74">
      <pivotArea field="4" type="button" dataOnly="0" labelOnly="1" outline="0" axis="axisRow" fieldPosition="0"/>
    </format>
    <format dxfId="73">
      <pivotArea dataOnly="0" labelOnly="1" fieldPosition="0">
        <references count="1">
          <reference field="4" count="0"/>
        </references>
      </pivotArea>
    </format>
    <format dxfId="72">
      <pivotArea type="all" dataOnly="0" outline="0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5">
            <x v="7"/>
            <x v="28"/>
            <x v="41"/>
            <x v="55"/>
            <x v="63"/>
          </reference>
        </references>
      </pivotArea>
    </format>
  </formats>
  <pivotTableStyleInfo name="Estilo de Tabela Dinâmica 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6B474-BE80-4392-89EC-FC7C02CDE46D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RUA" fieldListSortAscending="1">
  <location ref="B10:B32" firstHeaderRow="1" firstDataRow="1" firstDataCol="1"/>
  <pivotFields count="16">
    <pivotField showAll="0"/>
    <pivotField showAll="0"/>
    <pivotField showAll="0"/>
    <pivotField showAll="0"/>
    <pivotField showAll="0" sortType="ascending">
      <items count="65">
        <item m="1" x="58"/>
        <item m="1" x="54"/>
        <item m="1" x="52"/>
        <item m="1" x="53"/>
        <item m="1" x="55"/>
        <item m="1" x="57"/>
        <item m="1" x="56"/>
        <item x="12"/>
        <item x="1"/>
        <item x="6"/>
        <item x="17"/>
        <item x="40"/>
        <item x="31"/>
        <item x="36"/>
        <item x="34"/>
        <item x="42"/>
        <item x="44"/>
        <item x="45"/>
        <item x="20"/>
        <item x="43"/>
        <item x="28"/>
        <item x="24"/>
        <item x="37"/>
        <item x="38"/>
        <item x="9"/>
        <item x="11"/>
        <item x="30"/>
        <item x="26"/>
        <item x="13"/>
        <item x="33"/>
        <item x="35"/>
        <item m="1" x="59"/>
        <item m="1" x="60"/>
        <item m="1" x="61"/>
        <item m="1" x="62"/>
        <item m="1" x="63"/>
        <item x="7"/>
        <item x="51"/>
        <item x="48"/>
        <item x="50"/>
        <item x="21"/>
        <item x="15"/>
        <item x="27"/>
        <item x="5"/>
        <item x="8"/>
        <item x="47"/>
        <item x="49"/>
        <item x="19"/>
        <item x="29"/>
        <item x="10"/>
        <item x="22"/>
        <item x="3"/>
        <item x="23"/>
        <item x="18"/>
        <item x="25"/>
        <item x="14"/>
        <item x="16"/>
        <item x="4"/>
        <item x="41"/>
        <item x="46"/>
        <item x="32"/>
        <item x="39"/>
        <item x="2"/>
        <item x="0"/>
        <item t="default"/>
      </items>
    </pivotField>
    <pivotField axis="axisRow" showAll="0" sortType="ascending">
      <items count="159">
        <item x="124"/>
        <item x="32"/>
        <item x="24"/>
        <item x="30"/>
        <item x="98"/>
        <item x="99"/>
        <item x="60"/>
        <item x="104"/>
        <item x="23"/>
        <item x="31"/>
        <item x="97"/>
        <item x="100"/>
        <item x="95"/>
        <item x="103"/>
        <item x="101"/>
        <item x="28"/>
        <item x="89"/>
        <item x="93"/>
        <item x="68"/>
        <item x="61"/>
        <item x="35"/>
        <item x="94"/>
        <item x="25"/>
        <item x="74"/>
        <item x="105"/>
        <item x="77"/>
        <item x="27"/>
        <item m="1" x="148"/>
        <item x="88"/>
        <item x="92"/>
        <item x="66"/>
        <item x="47"/>
        <item x="76"/>
        <item x="34"/>
        <item x="36"/>
        <item x="73"/>
        <item x="69"/>
        <item x="70"/>
        <item x="72"/>
        <item x="33"/>
        <item x="81"/>
        <item x="75"/>
        <item x="79"/>
        <item x="82"/>
        <item x="80"/>
        <item x="16"/>
        <item x="18"/>
        <item x="65"/>
        <item x="83"/>
        <item x="86"/>
        <item x="67"/>
        <item x="84"/>
        <item x="90"/>
        <item x="71"/>
        <item x="87"/>
        <item x="96"/>
        <item x="85"/>
        <item x="20"/>
        <item x="78"/>
        <item x="21"/>
        <item x="62"/>
        <item x="58"/>
        <item x="102"/>
        <item x="120"/>
        <item x="123"/>
        <item x="147"/>
        <item x="145"/>
        <item x="117"/>
        <item x="143"/>
        <item x="17"/>
        <item x="135"/>
        <item x="121"/>
        <item x="134"/>
        <item x="6"/>
        <item x="4"/>
        <item x="114"/>
        <item x="111"/>
        <item x="115"/>
        <item x="14"/>
        <item x="64"/>
        <item x="26"/>
        <item x="139"/>
        <item x="29"/>
        <item x="50"/>
        <item x="37"/>
        <item x="12"/>
        <item x="45"/>
        <item m="1" x="156"/>
        <item m="1" x="152"/>
        <item m="1" x="150"/>
        <item m="1" x="151"/>
        <item m="1" x="153"/>
        <item m="1" x="155"/>
        <item m="1" x="154"/>
        <item x="57"/>
        <item x="1"/>
        <item x="22"/>
        <item x="63"/>
        <item x="116"/>
        <item x="106"/>
        <item x="113"/>
        <item x="110"/>
        <item x="107"/>
        <item x="112"/>
        <item x="109"/>
        <item x="131"/>
        <item x="125"/>
        <item x="59"/>
        <item x="130"/>
        <item x="138"/>
        <item x="136"/>
        <item x="129"/>
        <item x="38"/>
        <item x="41"/>
        <item x="52"/>
        <item x="40"/>
        <item x="49"/>
        <item x="44"/>
        <item x="39"/>
        <item x="42"/>
        <item x="48"/>
        <item x="43"/>
        <item x="56"/>
        <item x="51"/>
        <item x="118"/>
        <item m="1" x="157"/>
        <item x="142"/>
        <item x="146"/>
        <item x="46"/>
        <item x="53"/>
        <item x="133"/>
        <item x="54"/>
        <item x="55"/>
        <item x="137"/>
        <item x="140"/>
        <item x="132"/>
        <item x="126"/>
        <item x="2"/>
        <item x="7"/>
        <item x="119"/>
        <item x="108"/>
        <item x="3"/>
        <item x="19"/>
        <item x="91"/>
        <item x="15"/>
        <item x="9"/>
        <item x="8"/>
        <item x="13"/>
        <item m="1" x="149"/>
        <item x="127"/>
        <item x="122"/>
        <item x="141"/>
        <item x="144"/>
        <item x="128"/>
        <item x="11"/>
        <item x="10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h="1" x="2"/>
        <item x="0"/>
        <item h="1" x="1"/>
        <item h="1" x="3"/>
        <item h="1" x="5"/>
        <item h="1" x="4"/>
        <item t="default"/>
      </items>
    </pivotField>
  </pivotFields>
  <rowFields count="1">
    <field x="5"/>
  </rowFields>
  <rowItems count="22">
    <i>
      <x v="45"/>
    </i>
    <i>
      <x v="46"/>
    </i>
    <i>
      <x v="57"/>
    </i>
    <i>
      <x v="59"/>
    </i>
    <i>
      <x v="69"/>
    </i>
    <i>
      <x v="73"/>
    </i>
    <i>
      <x v="74"/>
    </i>
    <i>
      <x v="78"/>
    </i>
    <i>
      <x v="85"/>
    </i>
    <i>
      <x v="95"/>
    </i>
    <i>
      <x v="137"/>
    </i>
    <i>
      <x v="138"/>
    </i>
    <i>
      <x v="141"/>
    </i>
    <i>
      <x v="142"/>
    </i>
    <i>
      <x v="144"/>
    </i>
    <i>
      <x v="145"/>
    </i>
    <i>
      <x v="146"/>
    </i>
    <i>
      <x v="147"/>
    </i>
    <i>
      <x v="154"/>
    </i>
    <i>
      <x v="155"/>
    </i>
    <i>
      <x v="156"/>
    </i>
    <i>
      <x v="157"/>
    </i>
  </rowItems>
  <colItems count="1">
    <i/>
  </colItems>
  <formats count="35">
    <format dxfId="69">
      <pivotArea type="all" dataOnly="0" outline="0" fieldPosition="0"/>
    </format>
    <format dxfId="68">
      <pivotArea field="15" type="button" dataOnly="0" labelOnly="1" outline="0"/>
    </format>
    <format dxfId="67">
      <pivotArea dataOnly="0" labelOnly="1" grandRow="1" outline="0" fieldPosition="0"/>
    </format>
    <format dxfId="66">
      <pivotArea field="4" type="button" dataOnly="0" labelOnly="1" outline="0"/>
    </format>
    <format dxfId="65">
      <pivotArea field="4" type="button" dataOnly="0" labelOnly="1" outline="0"/>
    </format>
    <format dxfId="64">
      <pivotArea type="all" dataOnly="0" outline="0" fieldPosition="0"/>
    </format>
    <format dxfId="63">
      <pivotArea field="4" type="button" dataOnly="0" labelOnly="1" outline="0"/>
    </format>
    <format dxfId="62">
      <pivotArea field="4" type="button" dataOnly="0" labelOnly="1" outline="0"/>
    </format>
    <format dxfId="61">
      <pivotArea field="4" type="button" dataOnly="0" labelOnly="1" outline="0"/>
    </format>
    <format dxfId="60">
      <pivotArea field="4" type="button" dataOnly="0" labelOnly="1" outline="0"/>
    </format>
    <format dxfId="59">
      <pivotArea field="4" type="button" dataOnly="0" labelOnly="1" outline="0"/>
    </format>
    <format dxfId="58">
      <pivotArea field="4" type="button" dataOnly="0" labelOnly="1" outline="0"/>
    </format>
    <format dxfId="57">
      <pivotArea type="all" dataOnly="0" outline="0" fieldPosition="0"/>
    </format>
    <format dxfId="56">
      <pivotArea type="all" dataOnly="0" outline="0" fieldPosition="0"/>
    </format>
    <format dxfId="55">
      <pivotArea field="4" type="button" dataOnly="0" labelOnly="1" outline="0"/>
    </format>
    <format dxfId="54">
      <pivotArea field="4" type="button" dataOnly="0" labelOnly="1" outline="0"/>
    </format>
    <format dxfId="53">
      <pivotArea type="all" dataOnly="0" outline="0" fieldPosition="0"/>
    </format>
    <format dxfId="52">
      <pivotArea field="4" type="button" dataOnly="0" labelOnly="1" outline="0"/>
    </format>
    <format dxfId="51">
      <pivotArea type="all" dataOnly="0" outline="0" fieldPosition="0"/>
    </format>
    <format dxfId="50">
      <pivotArea field="4" type="button" dataOnly="0" labelOnly="1" outline="0"/>
    </format>
    <format dxfId="49">
      <pivotArea field="5" type="button" dataOnly="0" labelOnly="1" outline="0" axis="axisRow" fieldPosition="0"/>
    </format>
    <format dxfId="48">
      <pivotArea field="5" type="button" dataOnly="0" labelOnly="1" outline="0" axis="axisRow" fieldPosition="0"/>
    </format>
    <format dxfId="47">
      <pivotArea field="5" type="button" dataOnly="0" labelOnly="1" outline="0" axis="axisRow" fieldPosition="0"/>
    </format>
    <format dxfId="46">
      <pivotArea field="5" type="button" dataOnly="0" labelOnly="1" outline="0" axis="axisRow" fieldPosition="0"/>
    </format>
    <format dxfId="45">
      <pivotArea field="5" type="button" dataOnly="0" labelOnly="1" outline="0" axis="axisRow" fieldPosition="0"/>
    </format>
    <format dxfId="44">
      <pivotArea type="all" dataOnly="0" outline="0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field="5" type="button" dataOnly="0" labelOnly="1" outline="0" axis="axisRow" fieldPosition="0"/>
    </format>
    <format dxfId="40">
      <pivotArea type="all" dataOnly="0" outline="0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6">
            <x v="1"/>
            <x v="2"/>
            <x v="61"/>
            <x v="94"/>
            <x v="107"/>
            <x v="157"/>
          </reference>
        </references>
      </pivotArea>
    </format>
    <format dxfId="37">
      <pivotArea type="all" dataOnly="0" outline="0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5" count="6">
            <x v="1"/>
            <x v="2"/>
            <x v="61"/>
            <x v="94"/>
            <x v="107"/>
            <x v="157"/>
          </reference>
        </references>
      </pivotArea>
    </format>
  </formats>
  <pivotTableStyleInfo name="Estilo de Tabela Dinâmica 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BA6CB-B4D6-4305-9612-6DC5415AD4E1}" name="Tabela dinâ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F60" firstHeaderRow="1" firstDataRow="1" firstDataCol="1"/>
  <pivotFields count="16">
    <pivotField numFmtId="14" showAll="0"/>
    <pivotField showAll="0"/>
    <pivotField numFmtId="14" showAll="0"/>
    <pivotField showAll="0"/>
    <pivotField axis="axisRow" showAll="0">
      <items count="53">
        <item x="12"/>
        <item x="1"/>
        <item x="6"/>
        <item x="17"/>
        <item x="40"/>
        <item x="31"/>
        <item x="34"/>
        <item x="42"/>
        <item x="20"/>
        <item x="24"/>
        <item x="9"/>
        <item x="13"/>
        <item x="33"/>
        <item x="35"/>
        <item x="7"/>
        <item x="21"/>
        <item x="15"/>
        <item x="8"/>
        <item x="19"/>
        <item x="22"/>
        <item x="3"/>
        <item x="23"/>
        <item x="18"/>
        <item x="14"/>
        <item x="4"/>
        <item x="41"/>
        <item x="32"/>
        <item x="2"/>
        <item x="0"/>
        <item x="5"/>
        <item x="25"/>
        <item x="26"/>
        <item x="36"/>
        <item x="43"/>
        <item x="10"/>
        <item x="27"/>
        <item x="28"/>
        <item x="44"/>
        <item x="45"/>
        <item x="37"/>
        <item x="29"/>
        <item x="30"/>
        <item x="46"/>
        <item x="47"/>
        <item x="38"/>
        <item x="48"/>
        <item x="49"/>
        <item x="11"/>
        <item x="50"/>
        <item x="39"/>
        <item x="16"/>
        <item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pivotTableStyleInfo name="Estilo de Tabela Dinâ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85FD3C5-EA6E-47D8-BAF2-1BCE61514744}" autoFormatId="16" applyNumberFormats="0" applyBorderFormats="0" applyFontFormats="0" applyPatternFormats="0" applyAlignmentFormats="0" applyWidthHeightFormats="0">
  <queryTableRefresh nextId="17">
    <queryTableFields count="16">
      <queryTableField id="1" name="Dia" tableColumnId="1"/>
      <queryTableField id="2" name="Dia Semana" tableColumnId="2"/>
      <queryTableField id="3" name="Mês" tableColumnId="3"/>
      <queryTableField id="4" name="Dia Útil" tableColumnId="4"/>
      <queryTableField id="5" name="Equipe" tableColumnId="5"/>
      <queryTableField id="6" name="Rua" tableColumnId="6"/>
      <queryTableField id="7" name="LA" tableColumnId="7"/>
      <queryTableField id="8" name="LE" tableColumnId="8"/>
      <queryTableField id="9" name="PRA" tableColumnId="9"/>
      <queryTableField id="10" name="PRE" tableColumnId="10"/>
      <queryTableField id="11" name="PV's" tableColumnId="11"/>
      <queryTableField id="12" name="LIE" tableColumnId="12"/>
      <queryTableField id="13" name="LIA" tableColumnId="13"/>
      <queryTableField id="14" name="IHM" tableColumnId="14"/>
      <queryTableField id="15" name="RHM" tableColumnId="15"/>
      <queryTableField id="16" name="Núcleo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úcleo" xr10:uid="{C48701C0-B664-4F57-B04A-E44E2A87DE45}" sourceName="Núcleo">
  <pivotTables>
    <pivotTable tabId="4" name="Tabela dinâmica3"/>
    <pivotTable tabId="3" name="Tabela dinâmica2"/>
  </pivotTables>
  <data>
    <tabular pivotCacheId="741813117">
      <items count="6">
        <i x="2"/>
        <i x="0" s="1"/>
        <i x="1"/>
        <i x="3"/>
        <i x="5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úcleo" xr10:uid="{0D9CD0F4-8DCE-4B85-84B1-330CEAB61427}" cache="SegmentaçãodeDados_Núcleo" caption="Núcleo" style="Estilo de Segmentação de Dados 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úcleo 1" xr10:uid="{58D12EEF-E681-4EC5-AE4C-B5460D8DE01F}" cache="SegmentaçãodeDados_Núcleo" caption="Núcleo" style="Estilo de Segmentação de Dados 2" rowHeight="234950"/>
  <slicer name="Núcleo 2" xr10:uid="{E4B3FE0D-B530-451D-BF7F-8C6177607D79}" cache="SegmentaçãodeDados_Núcleo" caption="Núcleo" style="Estilo de Segmentação de Dados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8D02C0-1AE7-43FD-98DD-E76616F13406}" name="GERAL" displayName="GERAL" ref="B2:Q3178" tableType="queryTable" totalsRowShown="0">
  <autoFilter ref="B2:Q3178" xr:uid="{868D02C0-1AE7-43FD-98DD-E76616F13406}">
    <filterColumn colId="2">
      <filters>
        <dateGroupItem year="2026" month="3" dateTimeGrouping="month"/>
      </filters>
    </filterColumn>
  </autoFilter>
  <tableColumns count="16">
    <tableColumn id="1" xr3:uid="{5FE0D0FE-5F7F-4F78-996F-83F5B966C5E1}" uniqueName="1" name="Dia" queryTableFieldId="1" dataDxfId="106"/>
    <tableColumn id="2" xr3:uid="{0755C6E4-57DF-46A8-8F31-EA3487C8249A}" uniqueName="2" name="Dia Semana" queryTableFieldId="2" dataDxfId="105"/>
    <tableColumn id="3" xr3:uid="{F23895DB-E78B-4ED4-9955-CE66A2748FF1}" uniqueName="3" name="Mês" queryTableFieldId="3" dataDxfId="104"/>
    <tableColumn id="4" xr3:uid="{20E50A2F-22ED-4846-85E3-5E427FCF3A42}" uniqueName="4" name="Dia Útil" queryTableFieldId="4" dataDxfId="103"/>
    <tableColumn id="5" xr3:uid="{AB7E7AC5-E620-424C-B99B-826B4BE40CFD}" uniqueName="5" name="Equipe" queryTableFieldId="5" dataDxfId="102"/>
    <tableColumn id="6" xr3:uid="{90368D61-73DF-4D71-80F9-E2F35CCC5C68}" uniqueName="6" name="Rua" queryTableFieldId="6" dataDxfId="101"/>
    <tableColumn id="7" xr3:uid="{3A44DD60-F831-46F0-9944-AE42F42721AF}" uniqueName="7" name="LA" queryTableFieldId="7"/>
    <tableColumn id="8" xr3:uid="{8892A127-8A58-4356-A50C-E8E4949B7897}" uniqueName="8" name="LE" queryTableFieldId="8"/>
    <tableColumn id="9" xr3:uid="{C8868954-07A6-41FE-AF2F-C7A2D6936DB4}" uniqueName="9" name="PRA" queryTableFieldId="9"/>
    <tableColumn id="10" xr3:uid="{AE8A4DAE-D3E7-4B35-AC95-895E8CFC9202}" uniqueName="10" name="PRE" queryTableFieldId="10"/>
    <tableColumn id="11" xr3:uid="{87C00EF3-C761-49DB-AF08-80C8DEA8B3AA}" uniqueName="11" name="PV's" queryTableFieldId="11"/>
    <tableColumn id="12" xr3:uid="{C5752277-C440-465E-AC49-FDDA7216FD4B}" uniqueName="12" name="LIE" queryTableFieldId="12"/>
    <tableColumn id="13" xr3:uid="{CD906AA5-FD0F-4AA0-9476-B11EB5CEA840}" uniqueName="13" name="LIA" queryTableFieldId="13"/>
    <tableColumn id="14" xr3:uid="{4161E427-DC5D-4B1F-9116-2F4A93DE8F63}" uniqueName="14" name="IHM" queryTableFieldId="14"/>
    <tableColumn id="15" xr3:uid="{F36F5090-414D-40E2-8309-AC1DA2C452C5}" uniqueName="15" name="RHM" queryTableFieldId="15"/>
    <tableColumn id="16" xr3:uid="{C96AD171-27C7-4201-BF31-907F68A27E0D}" uniqueName="16" name="Núcleo" queryTableFieldId="16" dataDxfId="10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35C4DA-F0F6-4DE7-9FF3-B1A33FAEF97B}" name="Tabela1" displayName="Tabela1" ref="B7:J46" totalsRowShown="0">
  <autoFilter ref="B7:J46" xr:uid="{402F864B-2A13-43CE-A645-7E0C7B335E3D}"/>
  <tableColumns count="9">
    <tableColumn id="1" xr3:uid="{382E5276-2581-4240-BABC-E91E0D5B50EC}" name="Data" dataDxfId="34"/>
    <tableColumn id="2" xr3:uid="{D32E266F-9D2E-4DB7-AD2F-77845C878E94}" name="Dia Útil">
      <calculatedColumnFormula array="1">_xlfn.IFS(OR(Tabela1[[#This Row],[Data]]=$M$8,Tabela1[[#This Row],[Data]]=$M$9,Tabela1[[#This Row],[Data]]=$M$10),"Não",K8=1,"Não",K8&gt;1,"Sim")</calculatedColumnFormula>
    </tableColumn>
    <tableColumn id="5" xr3:uid="{A123C7F8-5F72-40FE-8C29-C60B6A1AC672}" name="Período" dataCellStyle="Vírgula">
      <calculatedColumnFormula array="1">_xlfn.IFS(Tabela1[[#This Row],[Dia Útil]]="Não",0,K8=1,0,K8=7,0.5,K8&gt;1,1)</calculatedColumnFormula>
    </tableColumn>
    <tableColumn id="8" xr3:uid="{03F0DABD-45EF-4314-84C4-6D6FF6A83728}" name="Lig_Água" dataDxfId="33" dataCellStyle="Vírgula">
      <calculatedColumnFormula>$E$4*Tabela1[[#This Row],[Período]]</calculatedColumnFormula>
    </tableColumn>
    <tableColumn id="9" xr3:uid="{C4D81C95-4FB5-4B4E-A7E0-6EAD11C8E708}" name="Lig_Esgoto" dataDxfId="32" dataCellStyle="Vírgula">
      <calculatedColumnFormula>$F$4*Tabela1[[#This Row],[Período]]</calculatedColumnFormula>
    </tableColumn>
    <tableColumn id="6" xr3:uid="{21591958-A6D1-4DAD-AE8F-6A8CC69EB7AC}" name="Rede_Água" dataDxfId="31" dataCellStyle="Vírgula">
      <calculatedColumnFormula>$G$4*Tabela1[[#This Row],[Período]]</calculatedColumnFormula>
    </tableColumn>
    <tableColumn id="7" xr3:uid="{BA48FFC0-072D-4AC6-A288-2A734C028F49}" name="Rede_Esgoto" dataDxfId="30" dataCellStyle="Vírgula">
      <calculatedColumnFormula>$H$4*Tabela1[[#This Row],[Período]]</calculatedColumnFormula>
    </tableColumn>
    <tableColumn id="3" xr3:uid="{44590DB7-8858-4A1D-AAE6-6C3648222F22}" name="Ligações2" dataDxfId="29" dataCellStyle="Vírgula">
      <calculatedColumnFormula>$I$4*Tabela1[[#This Row],[Período]]</calculatedColumnFormula>
    </tableColumn>
    <tableColumn id="4" xr3:uid="{90B8DD9C-DA65-4171-A205-3C314BCF6E8C}" name="Rede" dataDxfId="28" dataCellStyle="Vírgula">
      <calculatedColumnFormula>$J$4*Tabela1[[#This Row],[Período]]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3E3A-6971-4C6D-BB15-539598A86B38}">
  <sheetPr codeName="Planilha1"/>
  <dimension ref="A2:V3182"/>
  <sheetViews>
    <sheetView showGridLines="0" zoomScale="70" zoomScaleNormal="70" workbookViewId="0">
      <pane xSplit="7" ySplit="122" topLeftCell="H2846" activePane="bottomRight" state="frozen"/>
      <selection pane="topRight" activeCell="H1" sqref="H1"/>
      <selection pane="bottomLeft" activeCell="A123" sqref="A123"/>
      <selection pane="bottomRight" activeCell="B2861" sqref="B2861"/>
    </sheetView>
  </sheetViews>
  <sheetFormatPr defaultRowHeight="14" x14ac:dyDescent="0.3"/>
  <cols>
    <col min="1" max="1" width="10.58203125" customWidth="1"/>
    <col min="2" max="2" width="9.9140625" bestFit="1" customWidth="1"/>
    <col min="3" max="3" width="13.4140625" bestFit="1" customWidth="1"/>
    <col min="4" max="4" width="9.9140625" bestFit="1" customWidth="1"/>
    <col min="5" max="5" width="9.08203125" bestFit="1" customWidth="1"/>
    <col min="6" max="6" width="20.9140625" bestFit="1" customWidth="1"/>
    <col min="7" max="7" width="32.9140625" bestFit="1" customWidth="1"/>
    <col min="8" max="8" width="5.4140625" bestFit="1" customWidth="1"/>
    <col min="9" max="9" width="5.08203125" bestFit="1" customWidth="1"/>
    <col min="10" max="11" width="6.58203125" bestFit="1" customWidth="1"/>
    <col min="12" max="12" width="6.9140625" bestFit="1" customWidth="1"/>
    <col min="13" max="13" width="5.58203125" bestFit="1" customWidth="1"/>
    <col min="14" max="14" width="5.9140625" bestFit="1" customWidth="1"/>
    <col min="15" max="15" width="6.08203125" bestFit="1" customWidth="1"/>
    <col min="16" max="16" width="7" bestFit="1" customWidth="1"/>
    <col min="17" max="17" width="15.58203125" bestFit="1" customWidth="1"/>
    <col min="21" max="21" width="9.9140625" bestFit="1" customWidth="1"/>
  </cols>
  <sheetData>
    <row r="2" spans="1:2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22" hidden="1" x14ac:dyDescent="0.3">
      <c r="A3" t="str">
        <f>_xlfn.XLOOKUP(GERAL[[#This Row],[Dia]],U:U,T:T,"")</f>
        <v/>
      </c>
      <c r="B3" s="1">
        <v>45962</v>
      </c>
      <c r="C3" t="s">
        <v>16</v>
      </c>
      <c r="D3" s="1">
        <v>45962</v>
      </c>
      <c r="E3" t="s">
        <v>17</v>
      </c>
      <c r="Q3" t="s">
        <v>18</v>
      </c>
      <c r="R3" t="str">
        <f>_xlfn.XLOOKUP(GERAL[[#This Row],[Dia]],U:U,V:V,"")</f>
        <v/>
      </c>
      <c r="T3" t="s">
        <v>19</v>
      </c>
      <c r="U3" s="1">
        <v>46052</v>
      </c>
      <c r="V3" t="s">
        <v>20</v>
      </c>
    </row>
    <row r="4" spans="1:22" hidden="1" x14ac:dyDescent="0.3">
      <c r="A4" t="str">
        <f>_xlfn.XLOOKUP(GERAL[[#This Row],[Dia]],U:U,T:T,"")</f>
        <v/>
      </c>
      <c r="B4" s="1">
        <v>45963</v>
      </c>
      <c r="C4" t="s">
        <v>21</v>
      </c>
      <c r="D4" s="1">
        <v>45963</v>
      </c>
      <c r="E4" t="s">
        <v>17</v>
      </c>
      <c r="Q4" t="s">
        <v>18</v>
      </c>
      <c r="R4" t="str">
        <f>_xlfn.XLOOKUP(GERAL[[#This Row],[Dia]],U:U,V:V,"")</f>
        <v/>
      </c>
      <c r="T4" t="s">
        <v>19</v>
      </c>
      <c r="U4" s="1">
        <v>46053</v>
      </c>
      <c r="V4" t="s">
        <v>20</v>
      </c>
    </row>
    <row r="5" spans="1:22" hidden="1" x14ac:dyDescent="0.3">
      <c r="A5" t="str">
        <f>_xlfn.XLOOKUP(GERAL[[#This Row],[Dia]],U:U,T:T,"")</f>
        <v/>
      </c>
      <c r="B5" s="1">
        <v>45964</v>
      </c>
      <c r="C5" t="s">
        <v>22</v>
      </c>
      <c r="D5" s="1">
        <v>45964</v>
      </c>
      <c r="Q5" t="s">
        <v>18</v>
      </c>
      <c r="R5" t="str">
        <f>_xlfn.XLOOKUP(GERAL[[#This Row],[Dia]],U:U,V:V,"")</f>
        <v/>
      </c>
      <c r="T5" t="s">
        <v>19</v>
      </c>
      <c r="U5" s="1">
        <v>46054</v>
      </c>
      <c r="V5" t="s">
        <v>20</v>
      </c>
    </row>
    <row r="6" spans="1:22" hidden="1" x14ac:dyDescent="0.3">
      <c r="A6" t="str">
        <f>_xlfn.XLOOKUP(GERAL[[#This Row],[Dia]],U:U,T:T,"")</f>
        <v/>
      </c>
      <c r="B6" s="1">
        <v>45965</v>
      </c>
      <c r="C6" t="s">
        <v>23</v>
      </c>
      <c r="D6" s="1">
        <v>45965</v>
      </c>
      <c r="Q6" t="s">
        <v>18</v>
      </c>
      <c r="R6" t="str">
        <f>_xlfn.XLOOKUP(GERAL[[#This Row],[Dia]],U:U,V:V,"")</f>
        <v/>
      </c>
      <c r="T6" t="s">
        <v>19</v>
      </c>
      <c r="U6" s="1">
        <v>46055</v>
      </c>
      <c r="V6" t="s">
        <v>20</v>
      </c>
    </row>
    <row r="7" spans="1:22" hidden="1" x14ac:dyDescent="0.3">
      <c r="A7" t="str">
        <f>_xlfn.XLOOKUP(GERAL[[#This Row],[Dia]],U:U,T:T,"")</f>
        <v/>
      </c>
      <c r="B7" s="1">
        <v>45966</v>
      </c>
      <c r="C7" t="s">
        <v>24</v>
      </c>
      <c r="D7" s="1">
        <v>45966</v>
      </c>
      <c r="Q7" t="s">
        <v>18</v>
      </c>
      <c r="R7" t="str">
        <f>_xlfn.XLOOKUP(GERAL[[#This Row],[Dia]],U:U,V:V,"")</f>
        <v/>
      </c>
      <c r="T7" t="s">
        <v>19</v>
      </c>
      <c r="U7" s="1">
        <v>46056</v>
      </c>
      <c r="V7" t="s">
        <v>20</v>
      </c>
    </row>
    <row r="8" spans="1:22" hidden="1" x14ac:dyDescent="0.3">
      <c r="A8" t="str">
        <f>_xlfn.XLOOKUP(GERAL[[#This Row],[Dia]],U:U,T:T,"")</f>
        <v/>
      </c>
      <c r="B8" s="1">
        <v>45967</v>
      </c>
      <c r="C8" t="s">
        <v>25</v>
      </c>
      <c r="D8" s="1">
        <v>45967</v>
      </c>
      <c r="Q8" t="s">
        <v>18</v>
      </c>
      <c r="R8" t="str">
        <f>_xlfn.XLOOKUP(GERAL[[#This Row],[Dia]],U:U,V:V,"")</f>
        <v/>
      </c>
      <c r="T8" t="s">
        <v>19</v>
      </c>
      <c r="U8" s="1">
        <v>46057</v>
      </c>
      <c r="V8" t="s">
        <v>20</v>
      </c>
    </row>
    <row r="9" spans="1:22" hidden="1" x14ac:dyDescent="0.3">
      <c r="A9" t="str">
        <f>_xlfn.XLOOKUP(GERAL[[#This Row],[Dia]],U:U,T:T,"")</f>
        <v/>
      </c>
      <c r="B9" s="1">
        <v>45968</v>
      </c>
      <c r="C9" t="s">
        <v>26</v>
      </c>
      <c r="D9" s="1">
        <v>45968</v>
      </c>
      <c r="Q9" t="s">
        <v>18</v>
      </c>
      <c r="R9" t="str">
        <f>_xlfn.XLOOKUP(GERAL[[#This Row],[Dia]],U:U,V:V,"")</f>
        <v/>
      </c>
      <c r="T9" t="s">
        <v>19</v>
      </c>
      <c r="U9" s="1">
        <v>46058</v>
      </c>
      <c r="V9" t="s">
        <v>20</v>
      </c>
    </row>
    <row r="10" spans="1:22" hidden="1" x14ac:dyDescent="0.3">
      <c r="A10" t="str">
        <f>_xlfn.XLOOKUP(GERAL[[#This Row],[Dia]],U:U,T:T,"")</f>
        <v/>
      </c>
      <c r="B10" s="1">
        <v>45969</v>
      </c>
      <c r="C10" t="s">
        <v>16</v>
      </c>
      <c r="D10" s="1">
        <v>45969</v>
      </c>
      <c r="E10" t="s">
        <v>17</v>
      </c>
      <c r="Q10" t="s">
        <v>18</v>
      </c>
      <c r="R10" t="str">
        <f>_xlfn.XLOOKUP(GERAL[[#This Row],[Dia]],U:U,V:V,"")</f>
        <v/>
      </c>
      <c r="T10" t="s">
        <v>19</v>
      </c>
      <c r="U10" s="1">
        <v>46059</v>
      </c>
      <c r="V10" t="s">
        <v>20</v>
      </c>
    </row>
    <row r="11" spans="1:22" hidden="1" x14ac:dyDescent="0.3">
      <c r="A11" t="str">
        <f>_xlfn.XLOOKUP(GERAL[[#This Row],[Dia]],U:U,T:T,"")</f>
        <v/>
      </c>
      <c r="B11" s="1">
        <v>45970</v>
      </c>
      <c r="C11" t="s">
        <v>21</v>
      </c>
      <c r="D11" s="1">
        <v>45970</v>
      </c>
      <c r="E11" t="s">
        <v>17</v>
      </c>
      <c r="Q11" t="s">
        <v>18</v>
      </c>
      <c r="R11" t="str">
        <f>_xlfn.XLOOKUP(GERAL[[#This Row],[Dia]],U:U,V:V,"")</f>
        <v/>
      </c>
      <c r="T11" t="s">
        <v>19</v>
      </c>
      <c r="U11" s="1">
        <v>46060</v>
      </c>
      <c r="V11" t="s">
        <v>20</v>
      </c>
    </row>
    <row r="12" spans="1:22" hidden="1" x14ac:dyDescent="0.3">
      <c r="A12" t="str">
        <f>_xlfn.XLOOKUP(GERAL[[#This Row],[Dia]],U:U,T:T,"")</f>
        <v/>
      </c>
      <c r="B12" s="1">
        <v>45971</v>
      </c>
      <c r="C12" t="s">
        <v>22</v>
      </c>
      <c r="D12" s="1">
        <v>45971</v>
      </c>
      <c r="Q12" t="s">
        <v>18</v>
      </c>
      <c r="R12" t="str">
        <f>_xlfn.XLOOKUP(GERAL[[#This Row],[Dia]],U:U,V:V,"")</f>
        <v/>
      </c>
      <c r="T12" t="s">
        <v>27</v>
      </c>
      <c r="U12" s="1">
        <v>46061</v>
      </c>
      <c r="V12" t="s">
        <v>20</v>
      </c>
    </row>
    <row r="13" spans="1:22" hidden="1" x14ac:dyDescent="0.3">
      <c r="A13" t="str">
        <f>_xlfn.XLOOKUP(GERAL[[#This Row],[Dia]],U:U,T:T,"")</f>
        <v/>
      </c>
      <c r="B13" s="1">
        <v>45972</v>
      </c>
      <c r="C13" t="s">
        <v>23</v>
      </c>
      <c r="D13" s="1">
        <v>45972</v>
      </c>
      <c r="Q13" t="s">
        <v>18</v>
      </c>
      <c r="R13" t="str">
        <f>_xlfn.XLOOKUP(GERAL[[#This Row],[Dia]],U:U,V:V,"")</f>
        <v/>
      </c>
      <c r="T13" t="s">
        <v>27</v>
      </c>
      <c r="U13" s="1">
        <v>46062</v>
      </c>
      <c r="V13" t="s">
        <v>20</v>
      </c>
    </row>
    <row r="14" spans="1:22" hidden="1" x14ac:dyDescent="0.3">
      <c r="A14" t="str">
        <f>_xlfn.XLOOKUP(GERAL[[#This Row],[Dia]],U:U,T:T,"")</f>
        <v/>
      </c>
      <c r="B14" s="1">
        <v>45973</v>
      </c>
      <c r="C14" t="s">
        <v>24</v>
      </c>
      <c r="D14" s="1">
        <v>45973</v>
      </c>
      <c r="Q14" t="s">
        <v>18</v>
      </c>
      <c r="R14" t="str">
        <f>_xlfn.XLOOKUP(GERAL[[#This Row],[Dia]],U:U,V:V,"")</f>
        <v/>
      </c>
      <c r="T14" t="s">
        <v>27</v>
      </c>
      <c r="U14" s="1">
        <v>46063</v>
      </c>
      <c r="V14" t="s">
        <v>20</v>
      </c>
    </row>
    <row r="15" spans="1:22" hidden="1" x14ac:dyDescent="0.3">
      <c r="A15" t="str">
        <f>_xlfn.XLOOKUP(GERAL[[#This Row],[Dia]],U:U,T:T,"")</f>
        <v/>
      </c>
      <c r="B15" s="1">
        <v>45974</v>
      </c>
      <c r="C15" t="s">
        <v>25</v>
      </c>
      <c r="D15" s="1">
        <v>45974</v>
      </c>
      <c r="Q15" t="s">
        <v>18</v>
      </c>
      <c r="R15" t="str">
        <f>_xlfn.XLOOKUP(GERAL[[#This Row],[Dia]],U:U,V:V,"")</f>
        <v/>
      </c>
      <c r="T15" t="s">
        <v>27</v>
      </c>
      <c r="U15" s="1">
        <v>46064</v>
      </c>
      <c r="V15" t="s">
        <v>20</v>
      </c>
    </row>
    <row r="16" spans="1:22" hidden="1" x14ac:dyDescent="0.3">
      <c r="A16" t="str">
        <f>_xlfn.XLOOKUP(GERAL[[#This Row],[Dia]],U:U,T:T,"")</f>
        <v/>
      </c>
      <c r="B16" s="1">
        <v>45975</v>
      </c>
      <c r="C16" t="s">
        <v>26</v>
      </c>
      <c r="D16" s="1">
        <v>45975</v>
      </c>
      <c r="Q16" t="s">
        <v>18</v>
      </c>
      <c r="R16" t="str">
        <f>_xlfn.XLOOKUP(GERAL[[#This Row],[Dia]],U:U,V:V,"")</f>
        <v/>
      </c>
      <c r="T16" t="s">
        <v>27</v>
      </c>
      <c r="U16" s="1">
        <v>46065</v>
      </c>
      <c r="V16" t="s">
        <v>20</v>
      </c>
    </row>
    <row r="17" spans="1:22" hidden="1" x14ac:dyDescent="0.3">
      <c r="A17" t="str">
        <f>_xlfn.XLOOKUP(GERAL[[#This Row],[Dia]],U:U,T:T,"")</f>
        <v/>
      </c>
      <c r="B17" s="1">
        <v>45976</v>
      </c>
      <c r="C17" t="s">
        <v>16</v>
      </c>
      <c r="D17" s="1">
        <v>45976</v>
      </c>
      <c r="E17" t="s">
        <v>17</v>
      </c>
      <c r="Q17" t="s">
        <v>18</v>
      </c>
      <c r="R17" t="str">
        <f>_xlfn.XLOOKUP(GERAL[[#This Row],[Dia]],U:U,V:V,"")</f>
        <v/>
      </c>
      <c r="T17" t="s">
        <v>27</v>
      </c>
      <c r="U17" s="1">
        <v>46066</v>
      </c>
      <c r="V17" t="s">
        <v>20</v>
      </c>
    </row>
    <row r="18" spans="1:22" hidden="1" x14ac:dyDescent="0.3">
      <c r="A18" t="str">
        <f>_xlfn.XLOOKUP(GERAL[[#This Row],[Dia]],U:U,T:T,"")</f>
        <v/>
      </c>
      <c r="B18" s="1">
        <v>45977</v>
      </c>
      <c r="C18" t="s">
        <v>21</v>
      </c>
      <c r="D18" s="1">
        <v>45977</v>
      </c>
      <c r="E18" t="s">
        <v>17</v>
      </c>
      <c r="Q18" t="s">
        <v>18</v>
      </c>
      <c r="R18" t="str">
        <f>_xlfn.XLOOKUP(GERAL[[#This Row],[Dia]],U:U,V:V,"")</f>
        <v/>
      </c>
      <c r="T18" t="s">
        <v>27</v>
      </c>
      <c r="U18" s="1">
        <v>46067</v>
      </c>
      <c r="V18" t="s">
        <v>20</v>
      </c>
    </row>
    <row r="19" spans="1:22" hidden="1" x14ac:dyDescent="0.3">
      <c r="A19" t="str">
        <f>_xlfn.XLOOKUP(GERAL[[#This Row],[Dia]],U:U,T:T,"")</f>
        <v/>
      </c>
      <c r="B19" s="1">
        <v>45978</v>
      </c>
      <c r="C19" t="s">
        <v>22</v>
      </c>
      <c r="D19" s="1">
        <v>45978</v>
      </c>
      <c r="Q19" t="s">
        <v>18</v>
      </c>
      <c r="R19" t="str">
        <f>_xlfn.XLOOKUP(GERAL[[#This Row],[Dia]],U:U,V:V,"")</f>
        <v/>
      </c>
      <c r="T19" t="s">
        <v>28</v>
      </c>
      <c r="U19" s="1">
        <v>46068</v>
      </c>
      <c r="V19" t="s">
        <v>20</v>
      </c>
    </row>
    <row r="20" spans="1:22" hidden="1" x14ac:dyDescent="0.3">
      <c r="A20" t="str">
        <f>_xlfn.XLOOKUP(GERAL[[#This Row],[Dia]],U:U,T:T,"")</f>
        <v/>
      </c>
      <c r="B20" s="1">
        <v>45979</v>
      </c>
      <c r="C20" t="s">
        <v>23</v>
      </c>
      <c r="D20" s="1">
        <v>45979</v>
      </c>
      <c r="Q20" t="s">
        <v>18</v>
      </c>
      <c r="R20" t="str">
        <f>_xlfn.XLOOKUP(GERAL[[#This Row],[Dia]],U:U,V:V,"")</f>
        <v/>
      </c>
      <c r="T20" t="s">
        <v>28</v>
      </c>
      <c r="U20" s="1">
        <v>46069</v>
      </c>
      <c r="V20" t="s">
        <v>20</v>
      </c>
    </row>
    <row r="21" spans="1:22" hidden="1" x14ac:dyDescent="0.3">
      <c r="A21" t="str">
        <f>_xlfn.XLOOKUP(GERAL[[#This Row],[Dia]],U:U,T:T,"")</f>
        <v/>
      </c>
      <c r="B21" s="1">
        <v>45980</v>
      </c>
      <c r="C21" t="s">
        <v>24</v>
      </c>
      <c r="D21" s="1">
        <v>45980</v>
      </c>
      <c r="Q21" t="s">
        <v>18</v>
      </c>
      <c r="R21" t="str">
        <f>_xlfn.XLOOKUP(GERAL[[#This Row],[Dia]],U:U,V:V,"")</f>
        <v/>
      </c>
      <c r="T21" t="s">
        <v>28</v>
      </c>
      <c r="U21" s="1">
        <v>46070</v>
      </c>
      <c r="V21" t="s">
        <v>20</v>
      </c>
    </row>
    <row r="22" spans="1:22" hidden="1" x14ac:dyDescent="0.3">
      <c r="A22" t="str">
        <f>_xlfn.XLOOKUP(GERAL[[#This Row],[Dia]],U:U,T:T,"")</f>
        <v/>
      </c>
      <c r="B22" s="1">
        <v>45981</v>
      </c>
      <c r="C22" t="s">
        <v>25</v>
      </c>
      <c r="D22" s="1">
        <v>45981</v>
      </c>
      <c r="Q22" t="s">
        <v>18</v>
      </c>
      <c r="R22" t="str">
        <f>_xlfn.XLOOKUP(GERAL[[#This Row],[Dia]],U:U,V:V,"")</f>
        <v/>
      </c>
      <c r="T22" t="s">
        <v>28</v>
      </c>
      <c r="U22" s="1">
        <v>46071</v>
      </c>
      <c r="V22" t="s">
        <v>20</v>
      </c>
    </row>
    <row r="23" spans="1:22" hidden="1" x14ac:dyDescent="0.3">
      <c r="A23" t="str">
        <f>_xlfn.XLOOKUP(GERAL[[#This Row],[Dia]],U:U,T:T,"")</f>
        <v/>
      </c>
      <c r="B23" s="1">
        <v>45982</v>
      </c>
      <c r="C23" t="s">
        <v>26</v>
      </c>
      <c r="D23" s="1">
        <v>45982</v>
      </c>
      <c r="Q23" t="s">
        <v>18</v>
      </c>
      <c r="R23" t="str">
        <f>_xlfn.XLOOKUP(GERAL[[#This Row],[Dia]],U:U,V:V,"")</f>
        <v/>
      </c>
      <c r="T23" t="s">
        <v>28</v>
      </c>
      <c r="U23" s="1">
        <v>46072</v>
      </c>
      <c r="V23" t="s">
        <v>20</v>
      </c>
    </row>
    <row r="24" spans="1:22" hidden="1" x14ac:dyDescent="0.3">
      <c r="A24" t="str">
        <f>_xlfn.XLOOKUP(GERAL[[#This Row],[Dia]],U:U,T:T,"")</f>
        <v/>
      </c>
      <c r="B24" s="1">
        <v>45983</v>
      </c>
      <c r="C24" t="s">
        <v>16</v>
      </c>
      <c r="D24" s="1">
        <v>45983</v>
      </c>
      <c r="E24" t="s">
        <v>17</v>
      </c>
      <c r="Q24" t="s">
        <v>18</v>
      </c>
      <c r="R24" t="str">
        <f>_xlfn.XLOOKUP(GERAL[[#This Row],[Dia]],U:U,V:V,"")</f>
        <v/>
      </c>
      <c r="T24" t="s">
        <v>28</v>
      </c>
      <c r="U24" s="1">
        <v>46073</v>
      </c>
      <c r="V24" t="s">
        <v>20</v>
      </c>
    </row>
    <row r="25" spans="1:22" hidden="1" x14ac:dyDescent="0.3">
      <c r="A25" t="str">
        <f>_xlfn.XLOOKUP(GERAL[[#This Row],[Dia]],U:U,T:T,"")</f>
        <v/>
      </c>
      <c r="B25" s="1">
        <v>45984</v>
      </c>
      <c r="C25" t="s">
        <v>21</v>
      </c>
      <c r="D25" s="1">
        <v>45984</v>
      </c>
      <c r="E25" t="s">
        <v>17</v>
      </c>
      <c r="Q25" t="s">
        <v>18</v>
      </c>
      <c r="R25" t="str">
        <f>_xlfn.XLOOKUP(GERAL[[#This Row],[Dia]],U:U,V:V,"")</f>
        <v/>
      </c>
      <c r="T25" t="s">
        <v>28</v>
      </c>
      <c r="U25" s="1">
        <v>46074</v>
      </c>
      <c r="V25" t="s">
        <v>20</v>
      </c>
    </row>
    <row r="26" spans="1:22" hidden="1" x14ac:dyDescent="0.3">
      <c r="A26" t="str">
        <f>_xlfn.XLOOKUP(GERAL[[#This Row],[Dia]],U:U,T:T,"")</f>
        <v/>
      </c>
      <c r="B26" s="1">
        <v>45985</v>
      </c>
      <c r="C26" t="s">
        <v>22</v>
      </c>
      <c r="D26" s="1">
        <v>45985</v>
      </c>
      <c r="Q26" t="s">
        <v>18</v>
      </c>
      <c r="R26" t="str">
        <f>_xlfn.XLOOKUP(GERAL[[#This Row],[Dia]],U:U,V:V,"")</f>
        <v/>
      </c>
      <c r="T26" t="s">
        <v>29</v>
      </c>
      <c r="U26" s="1">
        <v>46075</v>
      </c>
      <c r="V26" t="s">
        <v>20</v>
      </c>
    </row>
    <row r="27" spans="1:22" hidden="1" x14ac:dyDescent="0.3">
      <c r="A27" t="str">
        <f>_xlfn.XLOOKUP(GERAL[[#This Row],[Dia]],U:U,T:T,"")</f>
        <v/>
      </c>
      <c r="B27" s="1">
        <v>45986</v>
      </c>
      <c r="C27" t="s">
        <v>23</v>
      </c>
      <c r="D27" s="1">
        <v>45986</v>
      </c>
      <c r="Q27" t="s">
        <v>18</v>
      </c>
      <c r="R27" t="str">
        <f>_xlfn.XLOOKUP(GERAL[[#This Row],[Dia]],U:U,V:V,"")</f>
        <v/>
      </c>
      <c r="T27" t="s">
        <v>29</v>
      </c>
      <c r="U27" s="1">
        <v>46076</v>
      </c>
      <c r="V27" t="s">
        <v>20</v>
      </c>
    </row>
    <row r="28" spans="1:22" hidden="1" x14ac:dyDescent="0.3">
      <c r="A28" t="str">
        <f>_xlfn.XLOOKUP(GERAL[[#This Row],[Dia]],U:U,T:T,"")</f>
        <v/>
      </c>
      <c r="B28" s="1">
        <v>45987</v>
      </c>
      <c r="C28" t="s">
        <v>24</v>
      </c>
      <c r="D28" s="1">
        <v>45987</v>
      </c>
      <c r="Q28" t="s">
        <v>18</v>
      </c>
      <c r="R28" t="str">
        <f>_xlfn.XLOOKUP(GERAL[[#This Row],[Dia]],U:U,V:V,"")</f>
        <v/>
      </c>
      <c r="T28" t="s">
        <v>29</v>
      </c>
      <c r="U28" s="1">
        <v>46077</v>
      </c>
      <c r="V28" t="s">
        <v>20</v>
      </c>
    </row>
    <row r="29" spans="1:22" hidden="1" x14ac:dyDescent="0.3">
      <c r="A29" t="str">
        <f>_xlfn.XLOOKUP(GERAL[[#This Row],[Dia]],U:U,T:T,"")</f>
        <v/>
      </c>
      <c r="B29" s="1">
        <v>45988</v>
      </c>
      <c r="C29" t="s">
        <v>25</v>
      </c>
      <c r="D29" s="1">
        <v>45988</v>
      </c>
      <c r="Q29" t="s">
        <v>18</v>
      </c>
      <c r="R29" t="str">
        <f>_xlfn.XLOOKUP(GERAL[[#This Row],[Dia]],U:U,V:V,"")</f>
        <v/>
      </c>
      <c r="T29" t="s">
        <v>29</v>
      </c>
      <c r="U29" s="1">
        <v>46078</v>
      </c>
      <c r="V29" t="s">
        <v>20</v>
      </c>
    </row>
    <row r="30" spans="1:22" hidden="1" x14ac:dyDescent="0.3">
      <c r="A30" t="str">
        <f>_xlfn.XLOOKUP(GERAL[[#This Row],[Dia]],U:U,T:T,"")</f>
        <v/>
      </c>
      <c r="B30" s="1">
        <v>45989</v>
      </c>
      <c r="C30" t="s">
        <v>26</v>
      </c>
      <c r="D30" s="1">
        <v>45989</v>
      </c>
      <c r="Q30" t="s">
        <v>18</v>
      </c>
      <c r="R30" t="str">
        <f>_xlfn.XLOOKUP(GERAL[[#This Row],[Dia]],U:U,V:V,"")</f>
        <v/>
      </c>
      <c r="T30" t="s">
        <v>29</v>
      </c>
      <c r="U30" s="1">
        <v>46079</v>
      </c>
      <c r="V30" t="s">
        <v>20</v>
      </c>
    </row>
    <row r="31" spans="1:22" hidden="1" x14ac:dyDescent="0.3">
      <c r="A31" t="str">
        <f>_xlfn.XLOOKUP(GERAL[[#This Row],[Dia]],U:U,T:T,"")</f>
        <v/>
      </c>
      <c r="B31" s="1">
        <v>45990</v>
      </c>
      <c r="C31" t="s">
        <v>16</v>
      </c>
      <c r="D31" s="1">
        <v>45990</v>
      </c>
      <c r="E31" t="s">
        <v>17</v>
      </c>
      <c r="Q31" t="s">
        <v>18</v>
      </c>
      <c r="R31" t="str">
        <f>_xlfn.XLOOKUP(GERAL[[#This Row],[Dia]],U:U,V:V,"")</f>
        <v/>
      </c>
      <c r="T31" t="s">
        <v>29</v>
      </c>
      <c r="U31" s="1">
        <v>46080</v>
      </c>
      <c r="V31" t="s">
        <v>20</v>
      </c>
    </row>
    <row r="32" spans="1:22" hidden="1" x14ac:dyDescent="0.3">
      <c r="A32" t="str">
        <f>_xlfn.XLOOKUP(GERAL[[#This Row],[Dia]],U:U,T:T,"")</f>
        <v/>
      </c>
      <c r="B32" s="1">
        <v>45991</v>
      </c>
      <c r="C32" t="s">
        <v>21</v>
      </c>
      <c r="D32" s="1">
        <v>45991</v>
      </c>
      <c r="E32" t="s">
        <v>17</v>
      </c>
      <c r="Q32" t="s">
        <v>18</v>
      </c>
      <c r="R32" t="str">
        <f>_xlfn.XLOOKUP(GERAL[[#This Row],[Dia]],U:U,V:V,"")</f>
        <v/>
      </c>
      <c r="T32" t="s">
        <v>29</v>
      </c>
      <c r="U32" s="1">
        <v>46081</v>
      </c>
      <c r="V32" t="s">
        <v>20</v>
      </c>
    </row>
    <row r="33" spans="1:22" hidden="1" x14ac:dyDescent="0.3">
      <c r="A33" t="str">
        <f>_xlfn.XLOOKUP(GERAL[[#This Row],[Dia]],U:U,T:T,"")</f>
        <v/>
      </c>
      <c r="B33" s="1">
        <v>45992</v>
      </c>
      <c r="C33" t="s">
        <v>22</v>
      </c>
      <c r="D33" s="1">
        <v>45992</v>
      </c>
      <c r="Q33" t="s">
        <v>18</v>
      </c>
      <c r="R33" t="str">
        <f>_xlfn.XLOOKUP(GERAL[[#This Row],[Dia]],U:U,V:V,"")</f>
        <v/>
      </c>
      <c r="T33" t="s">
        <v>30</v>
      </c>
      <c r="U33" s="1">
        <v>46082</v>
      </c>
      <c r="V33" t="s">
        <v>20</v>
      </c>
    </row>
    <row r="34" spans="1:22" hidden="1" x14ac:dyDescent="0.3">
      <c r="A34" t="str">
        <f>_xlfn.XLOOKUP(GERAL[[#This Row],[Dia]],U:U,T:T,"")</f>
        <v/>
      </c>
      <c r="B34" s="1">
        <v>45993</v>
      </c>
      <c r="C34" t="s">
        <v>23</v>
      </c>
      <c r="D34" s="1">
        <v>45993</v>
      </c>
      <c r="Q34" t="s">
        <v>18</v>
      </c>
      <c r="R34" t="str">
        <f>_xlfn.XLOOKUP(GERAL[[#This Row],[Dia]],U:U,V:V,"")</f>
        <v/>
      </c>
      <c r="T34" t="s">
        <v>30</v>
      </c>
      <c r="U34" s="1">
        <v>46083</v>
      </c>
      <c r="V34" t="s">
        <v>20</v>
      </c>
    </row>
    <row r="35" spans="1:22" hidden="1" x14ac:dyDescent="0.3">
      <c r="A35" t="str">
        <f>_xlfn.XLOOKUP(GERAL[[#This Row],[Dia]],U:U,T:T,"")</f>
        <v/>
      </c>
      <c r="B35" s="1">
        <v>45994</v>
      </c>
      <c r="C35" t="s">
        <v>24</v>
      </c>
      <c r="D35" s="1">
        <v>45994</v>
      </c>
      <c r="Q35" t="s">
        <v>18</v>
      </c>
      <c r="R35" t="str">
        <f>_xlfn.XLOOKUP(GERAL[[#This Row],[Dia]],U:U,V:V,"")</f>
        <v/>
      </c>
      <c r="T35" t="s">
        <v>30</v>
      </c>
      <c r="U35" s="1">
        <v>46083</v>
      </c>
      <c r="V35" t="s">
        <v>20</v>
      </c>
    </row>
    <row r="36" spans="1:22" hidden="1" x14ac:dyDescent="0.3">
      <c r="A36" t="str">
        <f>_xlfn.XLOOKUP(GERAL[[#This Row],[Dia]],U:U,T:T,"")</f>
        <v/>
      </c>
      <c r="B36" s="1">
        <v>45995</v>
      </c>
      <c r="C36" t="s">
        <v>25</v>
      </c>
      <c r="D36" s="1">
        <v>45995</v>
      </c>
      <c r="Q36" t="s">
        <v>18</v>
      </c>
      <c r="R36" t="str">
        <f>_xlfn.XLOOKUP(GERAL[[#This Row],[Dia]],U:U,V:V,"")</f>
        <v/>
      </c>
      <c r="T36" t="s">
        <v>30</v>
      </c>
      <c r="U36" s="1">
        <v>46083</v>
      </c>
      <c r="V36" t="s">
        <v>20</v>
      </c>
    </row>
    <row r="37" spans="1:22" hidden="1" x14ac:dyDescent="0.3">
      <c r="A37" t="str">
        <f>_xlfn.XLOOKUP(GERAL[[#This Row],[Dia]],U:U,T:T,"")</f>
        <v/>
      </c>
      <c r="B37" s="1">
        <v>45996</v>
      </c>
      <c r="C37" t="s">
        <v>26</v>
      </c>
      <c r="D37" s="1">
        <v>45996</v>
      </c>
      <c r="Q37" t="s">
        <v>18</v>
      </c>
      <c r="R37" t="str">
        <f>_xlfn.XLOOKUP(GERAL[[#This Row],[Dia]],U:U,V:V,"")</f>
        <v/>
      </c>
      <c r="T37" t="s">
        <v>30</v>
      </c>
      <c r="U37" s="1">
        <v>46083</v>
      </c>
      <c r="V37" t="s">
        <v>20</v>
      </c>
    </row>
    <row r="38" spans="1:22" hidden="1" x14ac:dyDescent="0.3">
      <c r="A38" t="str">
        <f>_xlfn.XLOOKUP(GERAL[[#This Row],[Dia]],U:U,T:T,"")</f>
        <v/>
      </c>
      <c r="B38" s="1">
        <v>45997</v>
      </c>
      <c r="C38" t="s">
        <v>16</v>
      </c>
      <c r="D38" s="1">
        <v>45997</v>
      </c>
      <c r="E38" t="s">
        <v>17</v>
      </c>
      <c r="Q38" t="s">
        <v>18</v>
      </c>
      <c r="R38" t="str">
        <f>_xlfn.XLOOKUP(GERAL[[#This Row],[Dia]],U:U,V:V,"")</f>
        <v/>
      </c>
      <c r="T38" t="s">
        <v>30</v>
      </c>
      <c r="U38" s="1">
        <v>46083</v>
      </c>
      <c r="V38" t="s">
        <v>20</v>
      </c>
    </row>
    <row r="39" spans="1:22" hidden="1" x14ac:dyDescent="0.3">
      <c r="A39" t="str">
        <f>_xlfn.XLOOKUP(GERAL[[#This Row],[Dia]],U:U,T:T,"")</f>
        <v/>
      </c>
      <c r="B39" s="1">
        <v>45998</v>
      </c>
      <c r="C39" t="s">
        <v>21</v>
      </c>
      <c r="D39" s="1">
        <v>45998</v>
      </c>
      <c r="E39" t="s">
        <v>17</v>
      </c>
      <c r="Q39" t="s">
        <v>18</v>
      </c>
      <c r="R39" t="str">
        <f>_xlfn.XLOOKUP(GERAL[[#This Row],[Dia]],U:U,V:V,"")</f>
        <v/>
      </c>
      <c r="T39" t="s">
        <v>30</v>
      </c>
      <c r="U39" s="1">
        <v>46083</v>
      </c>
      <c r="V39" t="s">
        <v>20</v>
      </c>
    </row>
    <row r="40" spans="1:22" hidden="1" x14ac:dyDescent="0.3">
      <c r="A40" t="str">
        <f>_xlfn.XLOOKUP(GERAL[[#This Row],[Dia]],U:U,T:T,"")</f>
        <v/>
      </c>
      <c r="B40" s="1">
        <v>45999</v>
      </c>
      <c r="C40" t="s">
        <v>22</v>
      </c>
      <c r="D40" s="1">
        <v>45999</v>
      </c>
      <c r="Q40" t="s">
        <v>18</v>
      </c>
      <c r="R40" t="str">
        <f>_xlfn.XLOOKUP(GERAL[[#This Row],[Dia]],U:U,V:V,"")</f>
        <v/>
      </c>
      <c r="T40" t="s">
        <v>31</v>
      </c>
      <c r="U40" s="1">
        <v>46083</v>
      </c>
      <c r="V40" t="s">
        <v>20</v>
      </c>
    </row>
    <row r="41" spans="1:22" hidden="1" x14ac:dyDescent="0.3">
      <c r="A41" t="str">
        <f>_xlfn.XLOOKUP(GERAL[[#This Row],[Dia]],U:U,T:T,"")</f>
        <v/>
      </c>
      <c r="B41" s="1">
        <v>46000</v>
      </c>
      <c r="C41" t="s">
        <v>23</v>
      </c>
      <c r="D41" s="1">
        <v>46000</v>
      </c>
      <c r="Q41" t="s">
        <v>18</v>
      </c>
      <c r="R41" t="str">
        <f>_xlfn.XLOOKUP(GERAL[[#This Row],[Dia]],U:U,V:V,"")</f>
        <v/>
      </c>
      <c r="T41" t="s">
        <v>31</v>
      </c>
      <c r="U41" s="1">
        <v>46084</v>
      </c>
      <c r="V41" t="s">
        <v>20</v>
      </c>
    </row>
    <row r="42" spans="1:22" hidden="1" x14ac:dyDescent="0.3">
      <c r="A42" t="str">
        <f>_xlfn.XLOOKUP(GERAL[[#This Row],[Dia]],U:U,T:T,"")</f>
        <v/>
      </c>
      <c r="B42" s="1">
        <v>46001</v>
      </c>
      <c r="C42" t="s">
        <v>24</v>
      </c>
      <c r="D42" s="1">
        <v>46001</v>
      </c>
      <c r="Q42" t="s">
        <v>18</v>
      </c>
      <c r="R42" t="str">
        <f>_xlfn.XLOOKUP(GERAL[[#This Row],[Dia]],U:U,V:V,"")</f>
        <v/>
      </c>
      <c r="T42" t="s">
        <v>31</v>
      </c>
      <c r="U42" s="1">
        <v>46085</v>
      </c>
      <c r="V42" t="s">
        <v>20</v>
      </c>
    </row>
    <row r="43" spans="1:22" hidden="1" x14ac:dyDescent="0.3">
      <c r="A43" t="str">
        <f>_xlfn.XLOOKUP(GERAL[[#This Row],[Dia]],U:U,T:T,"")</f>
        <v/>
      </c>
      <c r="B43" s="1">
        <v>46002</v>
      </c>
      <c r="C43" t="s">
        <v>25</v>
      </c>
      <c r="D43" s="1">
        <v>46002</v>
      </c>
      <c r="Q43" t="s">
        <v>18</v>
      </c>
      <c r="R43" t="str">
        <f>_xlfn.XLOOKUP(GERAL[[#This Row],[Dia]],U:U,V:V,"")</f>
        <v/>
      </c>
      <c r="T43" t="s">
        <v>31</v>
      </c>
      <c r="U43" s="1">
        <v>46086</v>
      </c>
      <c r="V43" t="s">
        <v>20</v>
      </c>
    </row>
    <row r="44" spans="1:22" hidden="1" x14ac:dyDescent="0.3">
      <c r="A44" t="str">
        <f>_xlfn.XLOOKUP(GERAL[[#This Row],[Dia]],U:U,T:T,"")</f>
        <v/>
      </c>
      <c r="B44" s="1">
        <v>46003</v>
      </c>
      <c r="C44" t="s">
        <v>26</v>
      </c>
      <c r="D44" s="1">
        <v>46003</v>
      </c>
      <c r="Q44" t="s">
        <v>18</v>
      </c>
      <c r="R44" t="str">
        <f>_xlfn.XLOOKUP(GERAL[[#This Row],[Dia]],U:U,V:V,"")</f>
        <v/>
      </c>
      <c r="T44" t="s">
        <v>31</v>
      </c>
      <c r="U44" s="1">
        <v>46087</v>
      </c>
      <c r="V44" t="s">
        <v>20</v>
      </c>
    </row>
    <row r="45" spans="1:22" hidden="1" x14ac:dyDescent="0.3">
      <c r="A45" t="str">
        <f>_xlfn.XLOOKUP(GERAL[[#This Row],[Dia]],U:U,T:T,"")</f>
        <v/>
      </c>
      <c r="B45" s="1">
        <v>46004</v>
      </c>
      <c r="C45" t="s">
        <v>16</v>
      </c>
      <c r="D45" s="1">
        <v>46004</v>
      </c>
      <c r="E45" t="s">
        <v>17</v>
      </c>
      <c r="Q45" t="s">
        <v>18</v>
      </c>
      <c r="R45" t="str">
        <f>_xlfn.XLOOKUP(GERAL[[#This Row],[Dia]],U:U,V:V,"")</f>
        <v/>
      </c>
      <c r="T45" t="s">
        <v>31</v>
      </c>
      <c r="U45" s="1">
        <v>46088</v>
      </c>
      <c r="V45" t="s">
        <v>20</v>
      </c>
    </row>
    <row r="46" spans="1:22" hidden="1" x14ac:dyDescent="0.3">
      <c r="A46" t="str">
        <f>_xlfn.XLOOKUP(GERAL[[#This Row],[Dia]],U:U,T:T,"")</f>
        <v/>
      </c>
      <c r="B46" s="1">
        <v>46005</v>
      </c>
      <c r="C46" t="s">
        <v>21</v>
      </c>
      <c r="D46" s="1">
        <v>46005</v>
      </c>
      <c r="E46" t="s">
        <v>17</v>
      </c>
      <c r="Q46" t="s">
        <v>18</v>
      </c>
      <c r="R46" t="str">
        <f>_xlfn.XLOOKUP(GERAL[[#This Row],[Dia]],U:U,V:V,"")</f>
        <v/>
      </c>
      <c r="T46" t="s">
        <v>31</v>
      </c>
      <c r="U46" s="1">
        <v>46089</v>
      </c>
      <c r="V46" t="s">
        <v>20</v>
      </c>
    </row>
    <row r="47" spans="1:22" hidden="1" x14ac:dyDescent="0.3">
      <c r="A47" t="str">
        <f>_xlfn.XLOOKUP(GERAL[[#This Row],[Dia]],U:U,T:T,"")</f>
        <v/>
      </c>
      <c r="B47" s="1">
        <v>46006</v>
      </c>
      <c r="C47" t="s">
        <v>22</v>
      </c>
      <c r="D47" s="1">
        <v>46006</v>
      </c>
      <c r="Q47" t="s">
        <v>18</v>
      </c>
      <c r="R47" t="str">
        <f>_xlfn.XLOOKUP(GERAL[[#This Row],[Dia]],U:U,V:V,"")</f>
        <v/>
      </c>
      <c r="T47" t="s">
        <v>32</v>
      </c>
      <c r="U47" s="1">
        <v>46090</v>
      </c>
      <c r="V47" t="s">
        <v>20</v>
      </c>
    </row>
    <row r="48" spans="1:22" hidden="1" x14ac:dyDescent="0.3">
      <c r="A48" t="str">
        <f>_xlfn.XLOOKUP(GERAL[[#This Row],[Dia]],U:U,T:T,"")</f>
        <v/>
      </c>
      <c r="B48" s="1">
        <v>46007</v>
      </c>
      <c r="C48" t="s">
        <v>23</v>
      </c>
      <c r="D48" s="1">
        <v>46007</v>
      </c>
      <c r="Q48" t="s">
        <v>18</v>
      </c>
      <c r="R48" t="str">
        <f>_xlfn.XLOOKUP(GERAL[[#This Row],[Dia]],U:U,V:V,"")</f>
        <v/>
      </c>
      <c r="T48" t="s">
        <v>32</v>
      </c>
      <c r="U48" s="1">
        <v>46091</v>
      </c>
      <c r="V48" t="s">
        <v>20</v>
      </c>
    </row>
    <row r="49" spans="1:22" hidden="1" x14ac:dyDescent="0.3">
      <c r="A49" t="str">
        <f>_xlfn.XLOOKUP(GERAL[[#This Row],[Dia]],U:U,T:T,"")</f>
        <v/>
      </c>
      <c r="B49" s="1">
        <v>46008</v>
      </c>
      <c r="C49" t="s">
        <v>24</v>
      </c>
      <c r="D49" s="1">
        <v>46008</v>
      </c>
      <c r="Q49" t="s">
        <v>18</v>
      </c>
      <c r="R49" t="str">
        <f>_xlfn.XLOOKUP(GERAL[[#This Row],[Dia]],U:U,V:V,"")</f>
        <v/>
      </c>
      <c r="T49" t="s">
        <v>32</v>
      </c>
      <c r="U49" s="1">
        <v>46092</v>
      </c>
      <c r="V49" t="s">
        <v>20</v>
      </c>
    </row>
    <row r="50" spans="1:22" hidden="1" x14ac:dyDescent="0.3">
      <c r="A50" t="str">
        <f>_xlfn.XLOOKUP(GERAL[[#This Row],[Dia]],U:U,T:T,"")</f>
        <v/>
      </c>
      <c r="B50" s="1">
        <v>46009</v>
      </c>
      <c r="C50" t="s">
        <v>25</v>
      </c>
      <c r="D50" s="1">
        <v>46009</v>
      </c>
      <c r="Q50" t="s">
        <v>18</v>
      </c>
      <c r="R50" t="str">
        <f>_xlfn.XLOOKUP(GERAL[[#This Row],[Dia]],U:U,V:V,"")</f>
        <v/>
      </c>
      <c r="T50" t="s">
        <v>32</v>
      </c>
      <c r="U50" s="1">
        <v>46093</v>
      </c>
      <c r="V50" t="s">
        <v>20</v>
      </c>
    </row>
    <row r="51" spans="1:22" hidden="1" x14ac:dyDescent="0.3">
      <c r="A51" t="str">
        <f>_xlfn.XLOOKUP(GERAL[[#This Row],[Dia]],U:U,T:T,"")</f>
        <v/>
      </c>
      <c r="B51" s="1">
        <v>46010</v>
      </c>
      <c r="C51" t="s">
        <v>26</v>
      </c>
      <c r="D51" s="1">
        <v>46010</v>
      </c>
      <c r="Q51" t="s">
        <v>18</v>
      </c>
      <c r="R51" t="str">
        <f>_xlfn.XLOOKUP(GERAL[[#This Row],[Dia]],U:U,V:V,"")</f>
        <v/>
      </c>
      <c r="T51" t="s">
        <v>32</v>
      </c>
      <c r="U51" s="1">
        <v>46094</v>
      </c>
      <c r="V51" t="s">
        <v>20</v>
      </c>
    </row>
    <row r="52" spans="1:22" hidden="1" x14ac:dyDescent="0.3">
      <c r="A52" t="str">
        <f>_xlfn.XLOOKUP(GERAL[[#This Row],[Dia]],U:U,T:T,"")</f>
        <v/>
      </c>
      <c r="B52" s="1">
        <v>46011</v>
      </c>
      <c r="C52" t="s">
        <v>16</v>
      </c>
      <c r="D52" s="1">
        <v>46011</v>
      </c>
      <c r="E52" t="s">
        <v>17</v>
      </c>
      <c r="Q52" t="s">
        <v>18</v>
      </c>
      <c r="R52" t="str">
        <f>_xlfn.XLOOKUP(GERAL[[#This Row],[Dia]],U:U,V:V,"")</f>
        <v/>
      </c>
      <c r="T52" t="s">
        <v>32</v>
      </c>
      <c r="U52" s="1">
        <v>46095</v>
      </c>
      <c r="V52" t="s">
        <v>20</v>
      </c>
    </row>
    <row r="53" spans="1:22" hidden="1" x14ac:dyDescent="0.3">
      <c r="A53" t="str">
        <f>_xlfn.XLOOKUP(GERAL[[#This Row],[Dia]],U:U,T:T,"")</f>
        <v/>
      </c>
      <c r="B53" s="1">
        <v>46012</v>
      </c>
      <c r="C53" t="s">
        <v>21</v>
      </c>
      <c r="D53" s="1">
        <v>46012</v>
      </c>
      <c r="E53" t="s">
        <v>17</v>
      </c>
      <c r="Q53" t="s">
        <v>18</v>
      </c>
      <c r="R53" t="str">
        <f>_xlfn.XLOOKUP(GERAL[[#This Row],[Dia]],U:U,V:V,"")</f>
        <v/>
      </c>
      <c r="T53" t="s">
        <v>32</v>
      </c>
      <c r="U53" s="1">
        <v>46096</v>
      </c>
      <c r="V53" t="s">
        <v>20</v>
      </c>
    </row>
    <row r="54" spans="1:22" hidden="1" x14ac:dyDescent="0.3">
      <c r="A54" t="str">
        <f>_xlfn.XLOOKUP(GERAL[[#This Row],[Dia]],U:U,T:T,"")</f>
        <v/>
      </c>
      <c r="B54" s="1">
        <v>46013</v>
      </c>
      <c r="C54" t="s">
        <v>22</v>
      </c>
      <c r="D54" s="1">
        <v>46013</v>
      </c>
      <c r="Q54" t="s">
        <v>18</v>
      </c>
      <c r="R54" t="str">
        <f>_xlfn.XLOOKUP(GERAL[[#This Row],[Dia]],U:U,V:V,"")</f>
        <v/>
      </c>
      <c r="T54" t="s">
        <v>33</v>
      </c>
      <c r="U54" s="1">
        <v>46097</v>
      </c>
      <c r="V54" t="s">
        <v>20</v>
      </c>
    </row>
    <row r="55" spans="1:22" hidden="1" x14ac:dyDescent="0.3">
      <c r="A55" t="str">
        <f>_xlfn.XLOOKUP(GERAL[[#This Row],[Dia]],U:U,T:T,"")</f>
        <v/>
      </c>
      <c r="B55" s="1">
        <v>46014</v>
      </c>
      <c r="C55" t="s">
        <v>23</v>
      </c>
      <c r="D55" s="1">
        <v>46014</v>
      </c>
      <c r="Q55" t="s">
        <v>18</v>
      </c>
      <c r="R55" t="str">
        <f>_xlfn.XLOOKUP(GERAL[[#This Row],[Dia]],U:U,V:V,"")</f>
        <v/>
      </c>
      <c r="T55" t="s">
        <v>33</v>
      </c>
      <c r="U55" s="1">
        <v>46098</v>
      </c>
      <c r="V55" t="s">
        <v>20</v>
      </c>
    </row>
    <row r="56" spans="1:22" hidden="1" x14ac:dyDescent="0.3">
      <c r="A56" t="str">
        <f>_xlfn.XLOOKUP(GERAL[[#This Row],[Dia]],U:U,T:T,"")</f>
        <v/>
      </c>
      <c r="B56" s="1">
        <v>46015</v>
      </c>
      <c r="C56" t="s">
        <v>24</v>
      </c>
      <c r="D56" s="1">
        <v>46015</v>
      </c>
      <c r="Q56" t="s">
        <v>18</v>
      </c>
      <c r="R56" t="str">
        <f>_xlfn.XLOOKUP(GERAL[[#This Row],[Dia]],U:U,V:V,"")</f>
        <v/>
      </c>
      <c r="T56" t="s">
        <v>33</v>
      </c>
      <c r="U56" s="1">
        <v>46099</v>
      </c>
      <c r="V56" t="s">
        <v>20</v>
      </c>
    </row>
    <row r="57" spans="1:22" hidden="1" x14ac:dyDescent="0.3">
      <c r="A57" t="str">
        <f>_xlfn.XLOOKUP(GERAL[[#This Row],[Dia]],U:U,T:T,"")</f>
        <v/>
      </c>
      <c r="B57" s="1">
        <v>46016</v>
      </c>
      <c r="C57" t="s">
        <v>25</v>
      </c>
      <c r="D57" s="1">
        <v>46016</v>
      </c>
      <c r="Q57" t="s">
        <v>18</v>
      </c>
      <c r="R57" t="str">
        <f>_xlfn.XLOOKUP(GERAL[[#This Row],[Dia]],U:U,V:V,"")</f>
        <v/>
      </c>
      <c r="T57" t="s">
        <v>33</v>
      </c>
      <c r="U57" s="1">
        <v>46100</v>
      </c>
      <c r="V57" t="s">
        <v>20</v>
      </c>
    </row>
    <row r="58" spans="1:22" hidden="1" x14ac:dyDescent="0.3">
      <c r="A58" t="str">
        <f>_xlfn.XLOOKUP(GERAL[[#This Row],[Dia]],U:U,T:T,"")</f>
        <v/>
      </c>
      <c r="B58" s="1">
        <v>46017</v>
      </c>
      <c r="C58" t="s">
        <v>26</v>
      </c>
      <c r="D58" s="1">
        <v>46017</v>
      </c>
      <c r="Q58" t="s">
        <v>18</v>
      </c>
      <c r="R58" t="str">
        <f>_xlfn.XLOOKUP(GERAL[[#This Row],[Dia]],U:U,V:V,"")</f>
        <v/>
      </c>
      <c r="T58" t="s">
        <v>33</v>
      </c>
      <c r="U58" s="1">
        <v>46101</v>
      </c>
      <c r="V58" t="s">
        <v>20</v>
      </c>
    </row>
    <row r="59" spans="1:22" hidden="1" x14ac:dyDescent="0.3">
      <c r="A59" t="str">
        <f>_xlfn.XLOOKUP(GERAL[[#This Row],[Dia]],U:U,T:T,"")</f>
        <v/>
      </c>
      <c r="B59" s="1">
        <v>46018</v>
      </c>
      <c r="C59" t="s">
        <v>16</v>
      </c>
      <c r="D59" s="1">
        <v>46018</v>
      </c>
      <c r="E59" t="s">
        <v>17</v>
      </c>
      <c r="Q59" t="s">
        <v>18</v>
      </c>
      <c r="R59" t="str">
        <f>_xlfn.XLOOKUP(GERAL[[#This Row],[Dia]],U:U,V:V,"")</f>
        <v/>
      </c>
      <c r="T59" t="s">
        <v>33</v>
      </c>
      <c r="U59" s="1">
        <v>46102</v>
      </c>
      <c r="V59" t="s">
        <v>20</v>
      </c>
    </row>
    <row r="60" spans="1:22" hidden="1" x14ac:dyDescent="0.3">
      <c r="A60" t="str">
        <f>_xlfn.XLOOKUP(GERAL[[#This Row],[Dia]],U:U,T:T,"")</f>
        <v/>
      </c>
      <c r="B60" s="1">
        <v>46019</v>
      </c>
      <c r="C60" t="s">
        <v>21</v>
      </c>
      <c r="D60" s="1">
        <v>46019</v>
      </c>
      <c r="E60" t="s">
        <v>17</v>
      </c>
      <c r="Q60" t="s">
        <v>18</v>
      </c>
      <c r="R60" t="str">
        <f>_xlfn.XLOOKUP(GERAL[[#This Row],[Dia]],U:U,V:V,"")</f>
        <v/>
      </c>
      <c r="T60" t="s">
        <v>33</v>
      </c>
      <c r="U60" s="1">
        <v>46103</v>
      </c>
      <c r="V60" t="s">
        <v>20</v>
      </c>
    </row>
    <row r="61" spans="1:22" hidden="1" x14ac:dyDescent="0.3">
      <c r="A61" t="str">
        <f>_xlfn.XLOOKUP(GERAL[[#This Row],[Dia]],U:U,T:T,"")</f>
        <v/>
      </c>
      <c r="B61" s="1">
        <v>46020</v>
      </c>
      <c r="C61" t="s">
        <v>22</v>
      </c>
      <c r="D61" s="1">
        <v>46020</v>
      </c>
      <c r="Q61" t="s">
        <v>18</v>
      </c>
      <c r="R61" t="str">
        <f>_xlfn.XLOOKUP(GERAL[[#This Row],[Dia]],U:U,V:V,"")</f>
        <v/>
      </c>
      <c r="T61" t="s">
        <v>34</v>
      </c>
      <c r="U61" s="1">
        <v>46104</v>
      </c>
      <c r="V61" t="s">
        <v>20</v>
      </c>
    </row>
    <row r="62" spans="1:22" hidden="1" x14ac:dyDescent="0.3">
      <c r="A62" t="str">
        <f>_xlfn.XLOOKUP(GERAL[[#This Row],[Dia]],U:U,T:T,"")</f>
        <v/>
      </c>
      <c r="B62" s="1">
        <v>46021</v>
      </c>
      <c r="C62" t="s">
        <v>23</v>
      </c>
      <c r="D62" s="1">
        <v>46021</v>
      </c>
      <c r="Q62" t="s">
        <v>18</v>
      </c>
      <c r="R62" t="str">
        <f>_xlfn.XLOOKUP(GERAL[[#This Row],[Dia]],U:U,V:V,"")</f>
        <v/>
      </c>
      <c r="T62" t="s">
        <v>34</v>
      </c>
      <c r="U62" s="1">
        <v>46105</v>
      </c>
      <c r="V62" t="s">
        <v>20</v>
      </c>
    </row>
    <row r="63" spans="1:22" hidden="1" x14ac:dyDescent="0.3">
      <c r="A63" t="str">
        <f>_xlfn.XLOOKUP(GERAL[[#This Row],[Dia]],U:U,T:T,"")</f>
        <v/>
      </c>
      <c r="B63" s="1">
        <v>46022</v>
      </c>
      <c r="C63" t="s">
        <v>24</v>
      </c>
      <c r="D63" s="1">
        <v>46022</v>
      </c>
      <c r="Q63" t="s">
        <v>18</v>
      </c>
      <c r="R63" t="str">
        <f>_xlfn.XLOOKUP(GERAL[[#This Row],[Dia]],U:U,V:V,"")</f>
        <v/>
      </c>
      <c r="T63" t="s">
        <v>34</v>
      </c>
      <c r="U63" s="1">
        <v>46106</v>
      </c>
      <c r="V63" t="s">
        <v>20</v>
      </c>
    </row>
    <row r="64" spans="1:22" hidden="1" x14ac:dyDescent="0.3">
      <c r="A64" t="str">
        <f>_xlfn.XLOOKUP(GERAL[[#This Row],[Dia]],U:U,T:T,"")</f>
        <v/>
      </c>
      <c r="B64" s="1">
        <v>46023</v>
      </c>
      <c r="C64" t="s">
        <v>25</v>
      </c>
      <c r="D64" s="1">
        <v>46023</v>
      </c>
      <c r="Q64" t="s">
        <v>18</v>
      </c>
      <c r="R64" t="str">
        <f>_xlfn.XLOOKUP(GERAL[[#This Row],[Dia]],U:U,V:V,"")</f>
        <v/>
      </c>
      <c r="T64" t="s">
        <v>34</v>
      </c>
      <c r="U64" s="1">
        <v>46107</v>
      </c>
      <c r="V64" t="s">
        <v>20</v>
      </c>
    </row>
    <row r="65" spans="1:22" hidden="1" x14ac:dyDescent="0.3">
      <c r="A65" t="str">
        <f>_xlfn.XLOOKUP(GERAL[[#This Row],[Dia]],U:U,T:T,"")</f>
        <v/>
      </c>
      <c r="B65" s="1">
        <v>46024</v>
      </c>
      <c r="C65" t="s">
        <v>26</v>
      </c>
      <c r="D65" s="1">
        <v>46024</v>
      </c>
      <c r="Q65" t="s">
        <v>18</v>
      </c>
      <c r="R65" t="str">
        <f>_xlfn.XLOOKUP(GERAL[[#This Row],[Dia]],U:U,V:V,"")</f>
        <v/>
      </c>
      <c r="T65" t="s">
        <v>34</v>
      </c>
      <c r="U65" s="1">
        <v>46108</v>
      </c>
      <c r="V65" t="s">
        <v>20</v>
      </c>
    </row>
    <row r="66" spans="1:22" hidden="1" x14ac:dyDescent="0.3">
      <c r="A66" t="str">
        <f>_xlfn.XLOOKUP(GERAL[[#This Row],[Dia]],U:U,T:T,"")</f>
        <v/>
      </c>
      <c r="B66" s="1">
        <v>46025</v>
      </c>
      <c r="C66" t="s">
        <v>16</v>
      </c>
      <c r="D66" s="1">
        <v>46025</v>
      </c>
      <c r="E66" t="s">
        <v>17</v>
      </c>
      <c r="Q66" t="s">
        <v>18</v>
      </c>
      <c r="R66" t="str">
        <f>_xlfn.XLOOKUP(GERAL[[#This Row],[Dia]],U:U,V:V,"")</f>
        <v/>
      </c>
      <c r="T66" t="s">
        <v>34</v>
      </c>
      <c r="U66" s="1">
        <v>46109</v>
      </c>
      <c r="V66" t="s">
        <v>20</v>
      </c>
    </row>
    <row r="67" spans="1:22" hidden="1" x14ac:dyDescent="0.3">
      <c r="A67" t="str">
        <f>_xlfn.XLOOKUP(GERAL[[#This Row],[Dia]],U:U,T:T,"")</f>
        <v/>
      </c>
      <c r="B67" s="1">
        <v>46026</v>
      </c>
      <c r="C67" t="s">
        <v>21</v>
      </c>
      <c r="D67" s="1">
        <v>46026</v>
      </c>
      <c r="E67" t="s">
        <v>17</v>
      </c>
      <c r="Q67" t="s">
        <v>18</v>
      </c>
      <c r="R67" t="str">
        <f>_xlfn.XLOOKUP(GERAL[[#This Row],[Dia]],U:U,V:V,"")</f>
        <v/>
      </c>
      <c r="T67" t="s">
        <v>34</v>
      </c>
      <c r="U67" s="1">
        <v>46110</v>
      </c>
      <c r="V67" t="s">
        <v>20</v>
      </c>
    </row>
    <row r="68" spans="1:22" hidden="1" x14ac:dyDescent="0.3">
      <c r="A68" t="str">
        <f>_xlfn.XLOOKUP(GERAL[[#This Row],[Dia]],U:U,T:T,"")</f>
        <v/>
      </c>
      <c r="B68" s="1">
        <v>46027</v>
      </c>
      <c r="C68" t="s">
        <v>22</v>
      </c>
      <c r="D68" s="1">
        <v>46027</v>
      </c>
      <c r="Q68" t="s">
        <v>18</v>
      </c>
      <c r="R68" t="str">
        <f>_xlfn.XLOOKUP(GERAL[[#This Row],[Dia]],U:U,V:V,"")</f>
        <v/>
      </c>
      <c r="T68" t="s">
        <v>35</v>
      </c>
      <c r="U68" s="1">
        <v>46111</v>
      </c>
      <c r="V68" t="s">
        <v>20</v>
      </c>
    </row>
    <row r="69" spans="1:22" hidden="1" x14ac:dyDescent="0.3">
      <c r="A69" t="str">
        <f>_xlfn.XLOOKUP(GERAL[[#This Row],[Dia]],U:U,T:T,"")</f>
        <v/>
      </c>
      <c r="B69" s="1">
        <v>46028</v>
      </c>
      <c r="C69" t="s">
        <v>23</v>
      </c>
      <c r="D69" s="1">
        <v>46028</v>
      </c>
      <c r="Q69" t="s">
        <v>18</v>
      </c>
      <c r="R69" t="str">
        <f>_xlfn.XLOOKUP(GERAL[[#This Row],[Dia]],U:U,V:V,"")</f>
        <v/>
      </c>
      <c r="T69" t="s">
        <v>35</v>
      </c>
      <c r="U69" s="1">
        <v>46112</v>
      </c>
      <c r="V69" t="s">
        <v>20</v>
      </c>
    </row>
    <row r="70" spans="1:22" hidden="1" x14ac:dyDescent="0.3">
      <c r="A70" t="str">
        <f>_xlfn.XLOOKUP(GERAL[[#This Row],[Dia]],U:U,T:T,"")</f>
        <v/>
      </c>
      <c r="B70" s="1">
        <v>46029</v>
      </c>
      <c r="C70" t="s">
        <v>24</v>
      </c>
      <c r="D70" s="1">
        <v>46029</v>
      </c>
      <c r="Q70" t="s">
        <v>18</v>
      </c>
      <c r="R70" t="str">
        <f>_xlfn.XLOOKUP(GERAL[[#This Row],[Dia]],U:U,V:V,"")</f>
        <v/>
      </c>
      <c r="T70" t="s">
        <v>35</v>
      </c>
      <c r="U70" s="1">
        <v>46113</v>
      </c>
      <c r="V70" t="s">
        <v>20</v>
      </c>
    </row>
    <row r="71" spans="1:22" hidden="1" x14ac:dyDescent="0.3">
      <c r="A71" t="str">
        <f>_xlfn.XLOOKUP(GERAL[[#This Row],[Dia]],U:U,T:T,"")</f>
        <v/>
      </c>
      <c r="B71" s="1">
        <v>46030</v>
      </c>
      <c r="C71" t="s">
        <v>25</v>
      </c>
      <c r="D71" s="1">
        <v>46030</v>
      </c>
      <c r="Q71" t="s">
        <v>18</v>
      </c>
      <c r="R71" t="str">
        <f>_xlfn.XLOOKUP(GERAL[[#This Row],[Dia]],U:U,V:V,"")</f>
        <v/>
      </c>
      <c r="T71" t="s">
        <v>35</v>
      </c>
      <c r="U71" s="1">
        <v>46114</v>
      </c>
      <c r="V71" t="s">
        <v>20</v>
      </c>
    </row>
    <row r="72" spans="1:22" hidden="1" x14ac:dyDescent="0.3">
      <c r="A72" t="str">
        <f>_xlfn.XLOOKUP(GERAL[[#This Row],[Dia]],U:U,T:T,"")</f>
        <v/>
      </c>
      <c r="B72" s="1">
        <v>46031</v>
      </c>
      <c r="C72" t="s">
        <v>26</v>
      </c>
      <c r="D72" s="1">
        <v>46031</v>
      </c>
      <c r="E72" t="s">
        <v>36</v>
      </c>
      <c r="F72" t="s">
        <v>37</v>
      </c>
      <c r="G72" t="s">
        <v>38</v>
      </c>
      <c r="H72">
        <v>6</v>
      </c>
      <c r="I72">
        <v>6</v>
      </c>
      <c r="K72">
        <v>57</v>
      </c>
      <c r="O72">
        <v>17</v>
      </c>
      <c r="Q72" t="s">
        <v>18</v>
      </c>
      <c r="R72" t="str">
        <f>_xlfn.XLOOKUP(GERAL[[#This Row],[Dia]],U:U,V:V,"")</f>
        <v/>
      </c>
      <c r="T72" t="s">
        <v>35</v>
      </c>
      <c r="U72" s="1">
        <v>46115</v>
      </c>
      <c r="V72" t="s">
        <v>20</v>
      </c>
    </row>
    <row r="73" spans="1:22" hidden="1" x14ac:dyDescent="0.3">
      <c r="A73" t="str">
        <f>_xlfn.XLOOKUP(GERAL[[#This Row],[Dia]],U:U,T:T,"")</f>
        <v/>
      </c>
      <c r="B73" s="1">
        <v>46032</v>
      </c>
      <c r="C73" t="s">
        <v>16</v>
      </c>
      <c r="D73" s="1">
        <v>46032</v>
      </c>
      <c r="E73" t="s">
        <v>36</v>
      </c>
      <c r="F73" t="s">
        <v>37</v>
      </c>
      <c r="G73" t="s">
        <v>38</v>
      </c>
      <c r="H73">
        <v>5</v>
      </c>
      <c r="J73">
        <v>20</v>
      </c>
      <c r="K73">
        <v>57</v>
      </c>
      <c r="O73">
        <v>23</v>
      </c>
      <c r="Q73" t="s">
        <v>18</v>
      </c>
      <c r="R73" t="str">
        <f>_xlfn.XLOOKUP(GERAL[[#This Row],[Dia]],U:U,V:V,"")</f>
        <v/>
      </c>
      <c r="T73" t="s">
        <v>35</v>
      </c>
      <c r="U73" s="1">
        <v>46116</v>
      </c>
      <c r="V73" t="s">
        <v>20</v>
      </c>
    </row>
    <row r="74" spans="1:22" hidden="1" x14ac:dyDescent="0.3">
      <c r="A74" t="str">
        <f>_xlfn.XLOOKUP(GERAL[[#This Row],[Dia]],U:U,T:T,"")</f>
        <v/>
      </c>
      <c r="B74" s="1">
        <v>46033</v>
      </c>
      <c r="C74" t="s">
        <v>21</v>
      </c>
      <c r="D74" s="1">
        <v>46033</v>
      </c>
      <c r="E74" t="s">
        <v>17</v>
      </c>
      <c r="Q74" t="s">
        <v>18</v>
      </c>
      <c r="R74" t="str">
        <f>_xlfn.XLOOKUP(GERAL[[#This Row],[Dia]],U:U,V:V,"")</f>
        <v/>
      </c>
      <c r="T74" t="s">
        <v>35</v>
      </c>
      <c r="U74" s="1">
        <v>46117</v>
      </c>
      <c r="V74" t="s">
        <v>20</v>
      </c>
    </row>
    <row r="75" spans="1:22" hidden="1" x14ac:dyDescent="0.3">
      <c r="A75" t="str">
        <f>_xlfn.XLOOKUP(GERAL[[#This Row],[Dia]],U:U,T:T,"")</f>
        <v/>
      </c>
      <c r="B75" s="1">
        <v>46034</v>
      </c>
      <c r="C75" t="s">
        <v>22</v>
      </c>
      <c r="D75" s="1">
        <v>46034</v>
      </c>
      <c r="E75" t="s">
        <v>36</v>
      </c>
      <c r="F75" t="s">
        <v>37</v>
      </c>
      <c r="G75" t="s">
        <v>38</v>
      </c>
      <c r="H75">
        <v>6</v>
      </c>
      <c r="I75">
        <v>13</v>
      </c>
      <c r="J75">
        <v>3</v>
      </c>
      <c r="K75">
        <v>44</v>
      </c>
      <c r="O75">
        <v>28</v>
      </c>
      <c r="Q75" t="s">
        <v>18</v>
      </c>
      <c r="R75" t="str">
        <f>_xlfn.XLOOKUP(GERAL[[#This Row],[Dia]],U:U,V:V,"")</f>
        <v/>
      </c>
      <c r="T75" t="s">
        <v>39</v>
      </c>
      <c r="U75" s="1">
        <v>46118</v>
      </c>
      <c r="V75" t="s">
        <v>20</v>
      </c>
    </row>
    <row r="76" spans="1:22" hidden="1" x14ac:dyDescent="0.3">
      <c r="A76" t="str">
        <f>_xlfn.XLOOKUP(GERAL[[#This Row],[Dia]],U:U,T:T,"")</f>
        <v/>
      </c>
      <c r="B76" s="1">
        <v>46035</v>
      </c>
      <c r="C76" t="s">
        <v>23</v>
      </c>
      <c r="D76" s="1">
        <v>46035</v>
      </c>
      <c r="E76" t="s">
        <v>36</v>
      </c>
      <c r="F76" t="s">
        <v>37</v>
      </c>
      <c r="G76" t="s">
        <v>38</v>
      </c>
      <c r="H76">
        <v>6</v>
      </c>
      <c r="I76">
        <v>15</v>
      </c>
      <c r="J76">
        <v>22</v>
      </c>
      <c r="K76">
        <v>35</v>
      </c>
      <c r="Q76" t="s">
        <v>18</v>
      </c>
      <c r="R76" t="str">
        <f>_xlfn.XLOOKUP(GERAL[[#This Row],[Dia]],U:U,V:V,"")</f>
        <v/>
      </c>
      <c r="T76" t="s">
        <v>39</v>
      </c>
      <c r="U76" s="1">
        <v>46119</v>
      </c>
      <c r="V76" t="s">
        <v>20</v>
      </c>
    </row>
    <row r="77" spans="1:22" hidden="1" x14ac:dyDescent="0.3">
      <c r="A77" t="str">
        <f>_xlfn.XLOOKUP(GERAL[[#This Row],[Dia]],U:U,T:T,"")</f>
        <v/>
      </c>
      <c r="B77" s="1">
        <v>46036</v>
      </c>
      <c r="C77" t="s">
        <v>24</v>
      </c>
      <c r="D77" s="1">
        <v>46036</v>
      </c>
      <c r="E77" t="s">
        <v>36</v>
      </c>
      <c r="F77" t="s">
        <v>37</v>
      </c>
      <c r="G77" t="s">
        <v>38</v>
      </c>
      <c r="H77">
        <v>5</v>
      </c>
      <c r="I77">
        <v>8</v>
      </c>
      <c r="K77">
        <v>37</v>
      </c>
      <c r="Q77" t="s">
        <v>18</v>
      </c>
      <c r="R77" t="str">
        <f>_xlfn.XLOOKUP(GERAL[[#This Row],[Dia]],U:U,V:V,"")</f>
        <v/>
      </c>
      <c r="T77" t="s">
        <v>39</v>
      </c>
      <c r="U77" s="1">
        <v>46120</v>
      </c>
      <c r="V77" t="s">
        <v>20</v>
      </c>
    </row>
    <row r="78" spans="1:22" hidden="1" x14ac:dyDescent="0.3">
      <c r="A78" t="str">
        <f>_xlfn.XLOOKUP(GERAL[[#This Row],[Dia]],U:U,T:T,"")</f>
        <v/>
      </c>
      <c r="B78" s="1">
        <v>46037</v>
      </c>
      <c r="C78" t="s">
        <v>25</v>
      </c>
      <c r="D78" s="1">
        <v>46037</v>
      </c>
      <c r="E78" t="s">
        <v>36</v>
      </c>
      <c r="F78" t="s">
        <v>37</v>
      </c>
      <c r="G78" t="s">
        <v>38</v>
      </c>
      <c r="H78">
        <v>11</v>
      </c>
      <c r="I78">
        <v>11</v>
      </c>
      <c r="J78">
        <v>51</v>
      </c>
      <c r="K78">
        <v>45</v>
      </c>
      <c r="O78">
        <v>1</v>
      </c>
      <c r="Q78" t="s">
        <v>18</v>
      </c>
      <c r="R78" t="str">
        <f>_xlfn.XLOOKUP(GERAL[[#This Row],[Dia]],U:U,V:V,"")</f>
        <v/>
      </c>
      <c r="T78" t="s">
        <v>39</v>
      </c>
      <c r="U78" s="1">
        <v>46121</v>
      </c>
      <c r="V78" t="s">
        <v>20</v>
      </c>
    </row>
    <row r="79" spans="1:22" hidden="1" x14ac:dyDescent="0.3">
      <c r="A79" t="str">
        <f>_xlfn.XLOOKUP(GERAL[[#This Row],[Dia]],U:U,T:T,"")</f>
        <v/>
      </c>
      <c r="B79" s="1">
        <v>46038</v>
      </c>
      <c r="C79" t="s">
        <v>26</v>
      </c>
      <c r="D79" s="1">
        <v>46038</v>
      </c>
      <c r="E79" t="s">
        <v>36</v>
      </c>
      <c r="F79" t="s">
        <v>37</v>
      </c>
      <c r="G79" t="s">
        <v>38</v>
      </c>
      <c r="H79">
        <v>8</v>
      </c>
      <c r="I79">
        <v>2</v>
      </c>
      <c r="J79">
        <v>29</v>
      </c>
      <c r="K79">
        <v>46</v>
      </c>
      <c r="Q79" t="s">
        <v>18</v>
      </c>
      <c r="R79" t="str">
        <f>_xlfn.XLOOKUP(GERAL[[#This Row],[Dia]],U:U,V:V,"")</f>
        <v/>
      </c>
      <c r="T79" t="s">
        <v>39</v>
      </c>
      <c r="U79" s="1">
        <v>46122</v>
      </c>
      <c r="V79" t="s">
        <v>20</v>
      </c>
    </row>
    <row r="80" spans="1:22" hidden="1" x14ac:dyDescent="0.3">
      <c r="A80" t="str">
        <f>_xlfn.XLOOKUP(GERAL[[#This Row],[Dia]],U:U,T:T,"")</f>
        <v/>
      </c>
      <c r="B80" s="1">
        <v>46039</v>
      </c>
      <c r="C80" t="s">
        <v>16</v>
      </c>
      <c r="D80" s="1">
        <v>46039</v>
      </c>
      <c r="E80" t="s">
        <v>36</v>
      </c>
      <c r="F80" t="s">
        <v>37</v>
      </c>
      <c r="G80" t="s">
        <v>38</v>
      </c>
      <c r="H80">
        <v>9</v>
      </c>
      <c r="Q80" t="s">
        <v>18</v>
      </c>
      <c r="R80" t="str">
        <f>_xlfn.XLOOKUP(GERAL[[#This Row],[Dia]],U:U,V:V,"")</f>
        <v/>
      </c>
      <c r="T80" t="s">
        <v>39</v>
      </c>
      <c r="U80" s="1">
        <v>46123</v>
      </c>
      <c r="V80" t="s">
        <v>20</v>
      </c>
    </row>
    <row r="81" spans="1:22" hidden="1" x14ac:dyDescent="0.3">
      <c r="A81" t="str">
        <f>_xlfn.XLOOKUP(GERAL[[#This Row],[Dia]],U:U,T:T,"")</f>
        <v/>
      </c>
      <c r="B81" s="1">
        <v>46040</v>
      </c>
      <c r="C81" t="s">
        <v>21</v>
      </c>
      <c r="D81" s="1">
        <v>46040</v>
      </c>
      <c r="E81" t="s">
        <v>17</v>
      </c>
      <c r="Q81" t="s">
        <v>18</v>
      </c>
      <c r="R81" t="str">
        <f>_xlfn.XLOOKUP(GERAL[[#This Row],[Dia]],U:U,V:V,"")</f>
        <v/>
      </c>
      <c r="T81" t="s">
        <v>39</v>
      </c>
      <c r="U81" s="1">
        <v>46124</v>
      </c>
      <c r="V81" t="s">
        <v>20</v>
      </c>
    </row>
    <row r="82" spans="1:22" hidden="1" x14ac:dyDescent="0.3">
      <c r="A82" t="str">
        <f>_xlfn.XLOOKUP(GERAL[[#This Row],[Dia]],U:U,T:T,"")</f>
        <v/>
      </c>
      <c r="B82" s="1">
        <v>46041</v>
      </c>
      <c r="C82" t="s">
        <v>22</v>
      </c>
      <c r="D82" s="1">
        <v>46041</v>
      </c>
      <c r="E82" t="s">
        <v>36</v>
      </c>
      <c r="F82" t="s">
        <v>37</v>
      </c>
      <c r="G82" t="s">
        <v>38</v>
      </c>
      <c r="H82">
        <v>7</v>
      </c>
      <c r="I82">
        <v>3</v>
      </c>
      <c r="K82">
        <v>8</v>
      </c>
      <c r="Q82" t="s">
        <v>18</v>
      </c>
      <c r="R82" t="str">
        <f>_xlfn.XLOOKUP(GERAL[[#This Row],[Dia]],U:U,V:V,"")</f>
        <v/>
      </c>
      <c r="T82" t="s">
        <v>40</v>
      </c>
      <c r="U82" s="1">
        <v>46125</v>
      </c>
      <c r="V82" t="s">
        <v>20</v>
      </c>
    </row>
    <row r="83" spans="1:22" hidden="1" x14ac:dyDescent="0.3">
      <c r="A83" t="str">
        <f>_xlfn.XLOOKUP(GERAL[[#This Row],[Dia]],U:U,T:T,"")</f>
        <v/>
      </c>
      <c r="B83" s="1">
        <v>46042</v>
      </c>
      <c r="C83" t="s">
        <v>23</v>
      </c>
      <c r="D83" s="1">
        <v>46042</v>
      </c>
      <c r="E83" t="s">
        <v>36</v>
      </c>
      <c r="F83" t="s">
        <v>37</v>
      </c>
      <c r="G83" t="s">
        <v>38</v>
      </c>
      <c r="H83">
        <v>4</v>
      </c>
      <c r="I83">
        <v>10</v>
      </c>
      <c r="J83">
        <v>8</v>
      </c>
      <c r="K83">
        <v>18</v>
      </c>
      <c r="Q83" t="s">
        <v>18</v>
      </c>
      <c r="R83" t="str">
        <f>_xlfn.XLOOKUP(GERAL[[#This Row],[Dia]],U:U,V:V,"")</f>
        <v/>
      </c>
      <c r="T83" t="s">
        <v>40</v>
      </c>
      <c r="U83" s="1">
        <v>46126</v>
      </c>
      <c r="V83" t="s">
        <v>20</v>
      </c>
    </row>
    <row r="84" spans="1:22" hidden="1" x14ac:dyDescent="0.3">
      <c r="A84" t="str">
        <f>_xlfn.XLOOKUP(GERAL[[#This Row],[Dia]],U:U,T:T,"")</f>
        <v/>
      </c>
      <c r="B84" s="1">
        <v>46043</v>
      </c>
      <c r="C84" t="s">
        <v>24</v>
      </c>
      <c r="D84" s="1">
        <v>46043</v>
      </c>
      <c r="E84" t="s">
        <v>36</v>
      </c>
      <c r="F84" t="s">
        <v>37</v>
      </c>
      <c r="G84" t="s">
        <v>38</v>
      </c>
      <c r="H84">
        <v>3</v>
      </c>
      <c r="I84">
        <v>7</v>
      </c>
      <c r="K84">
        <v>3</v>
      </c>
      <c r="N84">
        <v>1</v>
      </c>
      <c r="Q84" t="s">
        <v>18</v>
      </c>
      <c r="R84" t="str">
        <f>_xlfn.XLOOKUP(GERAL[[#This Row],[Dia]],U:U,V:V,"")</f>
        <v/>
      </c>
      <c r="T84" t="s">
        <v>40</v>
      </c>
      <c r="U84" s="1">
        <v>46127</v>
      </c>
      <c r="V84" t="s">
        <v>20</v>
      </c>
    </row>
    <row r="85" spans="1:22" hidden="1" x14ac:dyDescent="0.3">
      <c r="A85" t="str">
        <f>_xlfn.XLOOKUP(GERAL[[#This Row],[Dia]],U:U,T:T,"")</f>
        <v/>
      </c>
      <c r="B85" s="1">
        <v>46044</v>
      </c>
      <c r="C85" t="s">
        <v>25</v>
      </c>
      <c r="D85" s="1">
        <v>46044</v>
      </c>
      <c r="E85" t="s">
        <v>36</v>
      </c>
      <c r="F85" t="s">
        <v>37</v>
      </c>
      <c r="G85" t="s">
        <v>38</v>
      </c>
      <c r="H85">
        <v>3</v>
      </c>
      <c r="I85">
        <v>9</v>
      </c>
      <c r="K85">
        <v>17.100000000000001</v>
      </c>
      <c r="N85">
        <v>5</v>
      </c>
      <c r="Q85" t="s">
        <v>18</v>
      </c>
      <c r="R85" t="str">
        <f>_xlfn.XLOOKUP(GERAL[[#This Row],[Dia]],U:U,V:V,"")</f>
        <v/>
      </c>
      <c r="T85" t="s">
        <v>40</v>
      </c>
      <c r="U85" s="1">
        <v>46128</v>
      </c>
      <c r="V85" t="s">
        <v>20</v>
      </c>
    </row>
    <row r="86" spans="1:22" hidden="1" x14ac:dyDescent="0.3">
      <c r="A86" t="str">
        <f>_xlfn.XLOOKUP(GERAL[[#This Row],[Dia]],U:U,T:T,"")</f>
        <v/>
      </c>
      <c r="B86" s="1">
        <v>46045</v>
      </c>
      <c r="C86" t="s">
        <v>26</v>
      </c>
      <c r="D86" s="1">
        <v>46045</v>
      </c>
      <c r="E86" t="s">
        <v>36</v>
      </c>
      <c r="F86" t="s">
        <v>37</v>
      </c>
      <c r="G86" t="s">
        <v>38</v>
      </c>
      <c r="H86">
        <v>8</v>
      </c>
      <c r="I86">
        <v>11</v>
      </c>
      <c r="J86">
        <v>49</v>
      </c>
      <c r="K86">
        <v>18</v>
      </c>
      <c r="N86">
        <v>4</v>
      </c>
      <c r="Q86" t="s">
        <v>18</v>
      </c>
      <c r="R86" t="str">
        <f>_xlfn.XLOOKUP(GERAL[[#This Row],[Dia]],U:U,V:V,"")</f>
        <v/>
      </c>
      <c r="T86" t="s">
        <v>40</v>
      </c>
      <c r="U86" s="1">
        <v>46129</v>
      </c>
      <c r="V86" t="s">
        <v>20</v>
      </c>
    </row>
    <row r="87" spans="1:22" hidden="1" x14ac:dyDescent="0.3">
      <c r="A87" t="str">
        <f>_xlfn.XLOOKUP(GERAL[[#This Row],[Dia]],U:U,T:T,"")</f>
        <v/>
      </c>
      <c r="B87" s="1">
        <v>46046</v>
      </c>
      <c r="C87" t="s">
        <v>16</v>
      </c>
      <c r="D87" s="1">
        <v>46046</v>
      </c>
      <c r="E87" t="s">
        <v>17</v>
      </c>
      <c r="Q87" t="s">
        <v>18</v>
      </c>
      <c r="R87" t="str">
        <f>_xlfn.XLOOKUP(GERAL[[#This Row],[Dia]],U:U,V:V,"")</f>
        <v/>
      </c>
      <c r="T87" t="s">
        <v>40</v>
      </c>
      <c r="U87" s="1">
        <v>46130</v>
      </c>
      <c r="V87" t="s">
        <v>20</v>
      </c>
    </row>
    <row r="88" spans="1:22" hidden="1" x14ac:dyDescent="0.3">
      <c r="A88" t="str">
        <f>_xlfn.XLOOKUP(GERAL[[#This Row],[Dia]],U:U,T:T,"")</f>
        <v/>
      </c>
      <c r="B88" s="1">
        <v>46047</v>
      </c>
      <c r="C88" t="s">
        <v>21</v>
      </c>
      <c r="D88" s="1">
        <v>46047</v>
      </c>
      <c r="E88" t="s">
        <v>17</v>
      </c>
      <c r="Q88" t="s">
        <v>18</v>
      </c>
      <c r="R88" t="str">
        <f>_xlfn.XLOOKUP(GERAL[[#This Row],[Dia]],U:U,V:V,"")</f>
        <v/>
      </c>
      <c r="T88" t="s">
        <v>40</v>
      </c>
      <c r="U88" s="1">
        <v>46131</v>
      </c>
      <c r="V88" t="s">
        <v>20</v>
      </c>
    </row>
    <row r="89" spans="1:22" hidden="1" x14ac:dyDescent="0.3">
      <c r="A89" t="str">
        <f>_xlfn.XLOOKUP(GERAL[[#This Row],[Dia]],U:U,T:T,"")</f>
        <v/>
      </c>
      <c r="B89" s="1">
        <v>46048</v>
      </c>
      <c r="C89" t="s">
        <v>22</v>
      </c>
      <c r="D89" s="1">
        <v>46048</v>
      </c>
      <c r="E89" t="s">
        <v>17</v>
      </c>
      <c r="Q89" t="s">
        <v>18</v>
      </c>
      <c r="R89" t="str">
        <f>_xlfn.XLOOKUP(GERAL[[#This Row],[Dia]],U:U,V:V,"")</f>
        <v/>
      </c>
      <c r="T89" t="s">
        <v>41</v>
      </c>
      <c r="U89" s="1">
        <v>46132</v>
      </c>
      <c r="V89" t="s">
        <v>20</v>
      </c>
    </row>
    <row r="90" spans="1:22" hidden="1" x14ac:dyDescent="0.3">
      <c r="A90" t="str">
        <f>_xlfn.XLOOKUP(GERAL[[#This Row],[Dia]],U:U,T:T,"")</f>
        <v/>
      </c>
      <c r="B90" s="1">
        <v>46049</v>
      </c>
      <c r="C90" t="s">
        <v>23</v>
      </c>
      <c r="D90" s="1">
        <v>46049</v>
      </c>
      <c r="E90" t="s">
        <v>36</v>
      </c>
      <c r="F90" t="s">
        <v>37</v>
      </c>
      <c r="G90" t="s">
        <v>38</v>
      </c>
      <c r="H90">
        <v>3</v>
      </c>
      <c r="J90">
        <v>9</v>
      </c>
      <c r="K90">
        <v>18</v>
      </c>
      <c r="O90">
        <v>11</v>
      </c>
      <c r="Q90" t="s">
        <v>18</v>
      </c>
      <c r="R90" t="str">
        <f>_xlfn.XLOOKUP(GERAL[[#This Row],[Dia]],U:U,V:V,"")</f>
        <v/>
      </c>
      <c r="T90" t="s">
        <v>41</v>
      </c>
      <c r="U90" s="1">
        <v>46133</v>
      </c>
      <c r="V90" t="s">
        <v>20</v>
      </c>
    </row>
    <row r="91" spans="1:22" hidden="1" x14ac:dyDescent="0.3">
      <c r="A91" t="str">
        <f>_xlfn.XLOOKUP(GERAL[[#This Row],[Dia]],U:U,T:T,"")</f>
        <v/>
      </c>
      <c r="B91" s="1">
        <v>46050</v>
      </c>
      <c r="C91" t="s">
        <v>24</v>
      </c>
      <c r="D91" s="1">
        <v>46050</v>
      </c>
      <c r="E91" t="s">
        <v>36</v>
      </c>
      <c r="F91" t="s">
        <v>37</v>
      </c>
      <c r="G91" t="s">
        <v>38</v>
      </c>
      <c r="J91">
        <v>18</v>
      </c>
      <c r="K91">
        <v>43</v>
      </c>
      <c r="L91">
        <v>3</v>
      </c>
      <c r="O91">
        <v>8</v>
      </c>
      <c r="Q91" t="s">
        <v>18</v>
      </c>
      <c r="R91" t="str">
        <f>_xlfn.XLOOKUP(GERAL[[#This Row],[Dia]],U:U,V:V,"")</f>
        <v/>
      </c>
      <c r="T91" t="s">
        <v>41</v>
      </c>
      <c r="U91" s="1">
        <v>46134</v>
      </c>
      <c r="V91" t="s">
        <v>20</v>
      </c>
    </row>
    <row r="92" spans="1:22" hidden="1" x14ac:dyDescent="0.3">
      <c r="A92" t="str">
        <f>_xlfn.XLOOKUP(GERAL[[#This Row],[Dia]],U:U,T:T,"")</f>
        <v/>
      </c>
      <c r="B92" s="1">
        <v>46051</v>
      </c>
      <c r="C92" t="s">
        <v>25</v>
      </c>
      <c r="D92" s="1">
        <v>46051</v>
      </c>
      <c r="E92" t="s">
        <v>36</v>
      </c>
      <c r="F92" t="s">
        <v>37</v>
      </c>
      <c r="G92" t="s">
        <v>38</v>
      </c>
      <c r="H92">
        <v>11</v>
      </c>
      <c r="I92">
        <v>8</v>
      </c>
      <c r="J92">
        <v>8</v>
      </c>
      <c r="K92">
        <v>22</v>
      </c>
      <c r="L92">
        <v>4</v>
      </c>
      <c r="Q92" t="s">
        <v>18</v>
      </c>
      <c r="R92" t="str">
        <f>_xlfn.XLOOKUP(GERAL[[#This Row],[Dia]],U:U,V:V,"")</f>
        <v/>
      </c>
      <c r="T92" t="s">
        <v>41</v>
      </c>
      <c r="U92" s="1">
        <v>46135</v>
      </c>
      <c r="V92" t="s">
        <v>20</v>
      </c>
    </row>
    <row r="93" spans="1:22" hidden="1" x14ac:dyDescent="0.3">
      <c r="A93" t="str">
        <f>_xlfn.XLOOKUP(GERAL[[#This Row],[Dia]],U:U,T:T,"")</f>
        <v>Semana 1</v>
      </c>
      <c r="B93" s="1">
        <v>46052</v>
      </c>
      <c r="C93" t="s">
        <v>26</v>
      </c>
      <c r="D93" s="1">
        <v>46052</v>
      </c>
      <c r="E93" t="s">
        <v>36</v>
      </c>
      <c r="F93" t="s">
        <v>37</v>
      </c>
      <c r="G93" t="s">
        <v>38</v>
      </c>
      <c r="H93">
        <v>4</v>
      </c>
      <c r="I93">
        <v>5</v>
      </c>
      <c r="J93">
        <v>18</v>
      </c>
      <c r="K93">
        <v>30</v>
      </c>
      <c r="L93">
        <v>1</v>
      </c>
      <c r="N93">
        <v>17</v>
      </c>
      <c r="Q93" t="s">
        <v>18</v>
      </c>
      <c r="R93" t="str">
        <f>_xlfn.XLOOKUP(GERAL[[#This Row],[Dia]],U:U,V:V,"")</f>
        <v>Prazo_30</v>
      </c>
      <c r="T93" t="s">
        <v>41</v>
      </c>
      <c r="U93" s="1">
        <v>46136</v>
      </c>
      <c r="V93" t="s">
        <v>20</v>
      </c>
    </row>
    <row r="94" spans="1:22" hidden="1" x14ac:dyDescent="0.3">
      <c r="A94" t="str">
        <f>_xlfn.XLOOKUP(GERAL[[#This Row],[Dia]],U:U,T:T,"")</f>
        <v>Semana 1</v>
      </c>
      <c r="B94" s="1">
        <v>46053</v>
      </c>
      <c r="C94" t="s">
        <v>16</v>
      </c>
      <c r="D94" s="1">
        <v>46053</v>
      </c>
      <c r="E94" t="s">
        <v>36</v>
      </c>
      <c r="F94" t="s">
        <v>37</v>
      </c>
      <c r="G94" t="s">
        <v>38</v>
      </c>
      <c r="H94">
        <v>16</v>
      </c>
      <c r="J94">
        <v>3</v>
      </c>
      <c r="O94">
        <v>1</v>
      </c>
      <c r="Q94" t="s">
        <v>18</v>
      </c>
      <c r="R94" t="str">
        <f>_xlfn.XLOOKUP(GERAL[[#This Row],[Dia]],U:U,V:V,"")</f>
        <v>Prazo_30</v>
      </c>
      <c r="T94" t="s">
        <v>41</v>
      </c>
      <c r="U94" s="1">
        <v>46137</v>
      </c>
      <c r="V94" t="s">
        <v>20</v>
      </c>
    </row>
    <row r="95" spans="1:22" hidden="1" x14ac:dyDescent="0.3">
      <c r="A95" t="str">
        <f>_xlfn.XLOOKUP(GERAL[[#This Row],[Dia]],U:U,T:T,"")</f>
        <v>Semana 1</v>
      </c>
      <c r="B95" s="1">
        <v>46054</v>
      </c>
      <c r="C95" t="s">
        <v>21</v>
      </c>
      <c r="D95" s="1">
        <v>46054</v>
      </c>
      <c r="E95" t="s">
        <v>17</v>
      </c>
      <c r="Q95" t="s">
        <v>18</v>
      </c>
      <c r="R95" t="str">
        <f>_xlfn.XLOOKUP(GERAL[[#This Row],[Dia]],U:U,V:V,"")</f>
        <v>Prazo_30</v>
      </c>
      <c r="T95" t="s">
        <v>41</v>
      </c>
      <c r="U95" s="1">
        <v>46138</v>
      </c>
      <c r="V95" t="s">
        <v>20</v>
      </c>
    </row>
    <row r="96" spans="1:22" hidden="1" x14ac:dyDescent="0.3">
      <c r="A96" t="str">
        <f>_xlfn.XLOOKUP(GERAL[[#This Row],[Dia]],U:U,T:T,"")</f>
        <v>Semana 1</v>
      </c>
      <c r="B96" s="1">
        <v>46055</v>
      </c>
      <c r="C96" t="s">
        <v>22</v>
      </c>
      <c r="D96" s="1">
        <v>46055</v>
      </c>
      <c r="E96" t="s">
        <v>36</v>
      </c>
      <c r="F96" t="s">
        <v>37</v>
      </c>
      <c r="G96" t="s">
        <v>38</v>
      </c>
      <c r="J96">
        <v>63</v>
      </c>
      <c r="K96">
        <v>8</v>
      </c>
      <c r="N96">
        <v>6</v>
      </c>
      <c r="Q96" t="s">
        <v>18</v>
      </c>
      <c r="R96" t="str">
        <f>_xlfn.XLOOKUP(GERAL[[#This Row],[Dia]],U:U,V:V,"")</f>
        <v>Prazo_30</v>
      </c>
      <c r="T96" t="s">
        <v>42</v>
      </c>
      <c r="U96" s="1">
        <v>46139</v>
      </c>
      <c r="V96" t="s">
        <v>20</v>
      </c>
    </row>
    <row r="97" spans="1:22" hidden="1" x14ac:dyDescent="0.3">
      <c r="A97" t="str">
        <f>_xlfn.XLOOKUP(GERAL[[#This Row],[Dia]],U:U,T:T,"")</f>
        <v>Semana 1</v>
      </c>
      <c r="B97" s="1">
        <v>46056</v>
      </c>
      <c r="C97" t="s">
        <v>23</v>
      </c>
      <c r="D97" s="1">
        <v>46056</v>
      </c>
      <c r="E97" t="s">
        <v>36</v>
      </c>
      <c r="F97" t="s">
        <v>37</v>
      </c>
      <c r="G97" t="s">
        <v>38</v>
      </c>
      <c r="H97">
        <v>2</v>
      </c>
      <c r="I97">
        <v>3</v>
      </c>
      <c r="J97">
        <v>13</v>
      </c>
      <c r="K97">
        <v>15</v>
      </c>
      <c r="M97">
        <v>9</v>
      </c>
      <c r="O97">
        <v>4</v>
      </c>
      <c r="Q97" t="s">
        <v>18</v>
      </c>
      <c r="R97" t="str">
        <f>_xlfn.XLOOKUP(GERAL[[#This Row],[Dia]],U:U,V:V,"")</f>
        <v>Prazo_30</v>
      </c>
      <c r="T97" t="s">
        <v>42</v>
      </c>
      <c r="U97" s="1">
        <v>46140</v>
      </c>
      <c r="V97" t="s">
        <v>20</v>
      </c>
    </row>
    <row r="98" spans="1:22" hidden="1" x14ac:dyDescent="0.3">
      <c r="A98" t="str">
        <f>_xlfn.XLOOKUP(GERAL[[#This Row],[Dia]],U:U,T:T,"")</f>
        <v>Semana 1</v>
      </c>
      <c r="B98" s="1">
        <v>46057</v>
      </c>
      <c r="C98" t="s">
        <v>24</v>
      </c>
      <c r="D98" s="1">
        <v>46057</v>
      </c>
      <c r="E98" t="s">
        <v>36</v>
      </c>
      <c r="F98" t="s">
        <v>37</v>
      </c>
      <c r="G98" t="s">
        <v>38</v>
      </c>
      <c r="J98">
        <v>45</v>
      </c>
      <c r="L98">
        <v>2</v>
      </c>
      <c r="N98">
        <v>1</v>
      </c>
      <c r="Q98" t="s">
        <v>18</v>
      </c>
      <c r="R98" t="str">
        <f>_xlfn.XLOOKUP(GERAL[[#This Row],[Dia]],U:U,V:V,"")</f>
        <v>Prazo_30</v>
      </c>
      <c r="T98" t="s">
        <v>42</v>
      </c>
      <c r="U98" s="1">
        <v>46141</v>
      </c>
      <c r="V98" t="s">
        <v>20</v>
      </c>
    </row>
    <row r="99" spans="1:22" hidden="1" x14ac:dyDescent="0.3">
      <c r="A99" t="str">
        <f>_xlfn.XLOOKUP(GERAL[[#This Row],[Dia]],U:U,T:T,"")</f>
        <v>Semana 1</v>
      </c>
      <c r="B99" s="1">
        <v>46058</v>
      </c>
      <c r="C99" t="s">
        <v>25</v>
      </c>
      <c r="D99" s="1">
        <v>46058</v>
      </c>
      <c r="E99" t="s">
        <v>36</v>
      </c>
      <c r="F99" t="s">
        <v>37</v>
      </c>
      <c r="G99" t="s">
        <v>38</v>
      </c>
      <c r="N99">
        <v>19</v>
      </c>
      <c r="O99">
        <v>5</v>
      </c>
      <c r="Q99" t="s">
        <v>18</v>
      </c>
      <c r="R99" t="str">
        <f>_xlfn.XLOOKUP(GERAL[[#This Row],[Dia]],U:U,V:V,"")</f>
        <v>Prazo_30</v>
      </c>
      <c r="T99" t="s">
        <v>42</v>
      </c>
      <c r="U99" s="1">
        <v>46142</v>
      </c>
      <c r="V99" t="s">
        <v>20</v>
      </c>
    </row>
    <row r="100" spans="1:22" hidden="1" x14ac:dyDescent="0.3">
      <c r="A100" t="str">
        <f>_xlfn.XLOOKUP(GERAL[[#This Row],[Dia]],U:U,T:T,"")</f>
        <v>Semana 1</v>
      </c>
      <c r="B100" s="1">
        <v>46059</v>
      </c>
      <c r="C100" t="s">
        <v>26</v>
      </c>
      <c r="D100" s="1">
        <v>46059</v>
      </c>
      <c r="E100" t="s">
        <v>36</v>
      </c>
      <c r="F100" t="s">
        <v>37</v>
      </c>
      <c r="G100" t="s">
        <v>38</v>
      </c>
      <c r="H100">
        <v>4</v>
      </c>
      <c r="I100">
        <v>6</v>
      </c>
      <c r="L100">
        <v>2</v>
      </c>
      <c r="N100">
        <v>8</v>
      </c>
      <c r="O100">
        <v>17</v>
      </c>
      <c r="Q100" t="s">
        <v>18</v>
      </c>
      <c r="R100" t="str">
        <f>_xlfn.XLOOKUP(GERAL[[#This Row],[Dia]],U:U,V:V,"")</f>
        <v>Prazo_30</v>
      </c>
      <c r="T100" t="s">
        <v>42</v>
      </c>
      <c r="U100" s="1">
        <v>46143</v>
      </c>
      <c r="V100" t="s">
        <v>20</v>
      </c>
    </row>
    <row r="101" spans="1:22" hidden="1" x14ac:dyDescent="0.3">
      <c r="A101" t="str">
        <f>_xlfn.XLOOKUP(GERAL[[#This Row],[Dia]],U:U,T:T,"")</f>
        <v>Semana 1</v>
      </c>
      <c r="B101" s="1">
        <v>46060</v>
      </c>
      <c r="C101" t="s">
        <v>16</v>
      </c>
      <c r="D101" s="1">
        <v>46060</v>
      </c>
      <c r="E101" t="s">
        <v>36</v>
      </c>
      <c r="F101" t="s">
        <v>37</v>
      </c>
      <c r="G101" t="s">
        <v>38</v>
      </c>
      <c r="H101">
        <v>7</v>
      </c>
      <c r="J101">
        <v>25</v>
      </c>
      <c r="O101">
        <v>5</v>
      </c>
      <c r="Q101" t="s">
        <v>18</v>
      </c>
      <c r="R101" t="str">
        <f>_xlfn.XLOOKUP(GERAL[[#This Row],[Dia]],U:U,V:V,"")</f>
        <v>Prazo_30</v>
      </c>
      <c r="T101" t="s">
        <v>42</v>
      </c>
      <c r="U101" s="1">
        <v>46144</v>
      </c>
      <c r="V101" t="s">
        <v>20</v>
      </c>
    </row>
    <row r="102" spans="1:22" hidden="1" x14ac:dyDescent="0.3">
      <c r="A102" t="str">
        <f>_xlfn.XLOOKUP(GERAL[[#This Row],[Dia]],U:U,T:T,"")</f>
        <v>Semana 2</v>
      </c>
      <c r="B102" s="1">
        <v>46061</v>
      </c>
      <c r="C102" t="s">
        <v>21</v>
      </c>
      <c r="D102" s="1">
        <v>46061</v>
      </c>
      <c r="E102" t="s">
        <v>17</v>
      </c>
      <c r="Q102" t="s">
        <v>18</v>
      </c>
      <c r="R102" t="str">
        <f>_xlfn.XLOOKUP(GERAL[[#This Row],[Dia]],U:U,V:V,"")</f>
        <v>Prazo_30</v>
      </c>
      <c r="T102" t="s">
        <v>42</v>
      </c>
      <c r="U102" s="1">
        <v>46145</v>
      </c>
      <c r="V102" t="s">
        <v>20</v>
      </c>
    </row>
    <row r="103" spans="1:22" hidden="1" x14ac:dyDescent="0.3">
      <c r="A103" t="str">
        <f>_xlfn.XLOOKUP(GERAL[[#This Row],[Dia]],U:U,T:T,"")</f>
        <v>Semana 2</v>
      </c>
      <c r="B103" s="1">
        <v>46062</v>
      </c>
      <c r="C103" t="s">
        <v>22</v>
      </c>
      <c r="D103" s="1">
        <v>46062</v>
      </c>
      <c r="E103" t="s">
        <v>36</v>
      </c>
      <c r="F103" t="s">
        <v>37</v>
      </c>
      <c r="G103" t="s">
        <v>38</v>
      </c>
      <c r="H103">
        <v>4</v>
      </c>
      <c r="I103">
        <v>5</v>
      </c>
      <c r="K103">
        <v>18</v>
      </c>
      <c r="L103">
        <v>2</v>
      </c>
      <c r="N103">
        <v>4</v>
      </c>
      <c r="Q103" t="s">
        <v>18</v>
      </c>
      <c r="R103" t="str">
        <f>_xlfn.XLOOKUP(GERAL[[#This Row],[Dia]],U:U,V:V,"")</f>
        <v>Prazo_30</v>
      </c>
    </row>
    <row r="104" spans="1:22" hidden="1" x14ac:dyDescent="0.3">
      <c r="A104" t="str">
        <f>_xlfn.XLOOKUP(GERAL[[#This Row],[Dia]],U:U,T:T,"")</f>
        <v>Semana 2</v>
      </c>
      <c r="B104" s="1">
        <v>46063</v>
      </c>
      <c r="C104" t="s">
        <v>23</v>
      </c>
      <c r="D104" s="1">
        <v>46063</v>
      </c>
      <c r="E104" t="s">
        <v>36</v>
      </c>
      <c r="F104" t="s">
        <v>37</v>
      </c>
      <c r="G104" t="s">
        <v>38</v>
      </c>
      <c r="H104">
        <v>3</v>
      </c>
      <c r="I104">
        <v>17</v>
      </c>
      <c r="J104">
        <v>3</v>
      </c>
      <c r="K104">
        <v>6</v>
      </c>
      <c r="Q104" t="s">
        <v>18</v>
      </c>
      <c r="R104" t="str">
        <f>_xlfn.XLOOKUP(GERAL[[#This Row],[Dia]],U:U,V:V,"")</f>
        <v>Prazo_30</v>
      </c>
    </row>
    <row r="105" spans="1:22" hidden="1" x14ac:dyDescent="0.3">
      <c r="A105" t="str">
        <f>_xlfn.XLOOKUP(GERAL[[#This Row],[Dia]],U:U,T:T,"")</f>
        <v>Semana 2</v>
      </c>
      <c r="B105" s="1">
        <v>46064</v>
      </c>
      <c r="C105" t="s">
        <v>24</v>
      </c>
      <c r="D105" s="1">
        <v>46064</v>
      </c>
      <c r="E105" t="s">
        <v>36</v>
      </c>
      <c r="F105" t="s">
        <v>37</v>
      </c>
      <c r="G105" t="s">
        <v>38</v>
      </c>
      <c r="H105">
        <v>5</v>
      </c>
      <c r="I105">
        <v>12</v>
      </c>
      <c r="J105">
        <v>22</v>
      </c>
      <c r="K105">
        <v>18</v>
      </c>
      <c r="Q105" t="s">
        <v>18</v>
      </c>
      <c r="R105" t="str">
        <f>_xlfn.XLOOKUP(GERAL[[#This Row],[Dia]],U:U,V:V,"")</f>
        <v>Prazo_30</v>
      </c>
    </row>
    <row r="106" spans="1:22" hidden="1" x14ac:dyDescent="0.3">
      <c r="A106" t="str">
        <f>_xlfn.XLOOKUP(GERAL[[#This Row],[Dia]],U:U,T:T,"")</f>
        <v>Semana 2</v>
      </c>
      <c r="B106" s="1">
        <v>46065</v>
      </c>
      <c r="C106" t="s">
        <v>25</v>
      </c>
      <c r="D106" s="1">
        <v>46065</v>
      </c>
      <c r="E106" t="s">
        <v>36</v>
      </c>
      <c r="F106" t="s">
        <v>37</v>
      </c>
      <c r="G106" t="s">
        <v>38</v>
      </c>
      <c r="H106">
        <v>4</v>
      </c>
      <c r="I106">
        <v>4</v>
      </c>
      <c r="J106">
        <v>56</v>
      </c>
      <c r="N106">
        <v>4</v>
      </c>
      <c r="Q106" t="s">
        <v>18</v>
      </c>
      <c r="R106" t="str">
        <f>_xlfn.XLOOKUP(GERAL[[#This Row],[Dia]],U:U,V:V,"")</f>
        <v>Prazo_30</v>
      </c>
    </row>
    <row r="107" spans="1:22" hidden="1" x14ac:dyDescent="0.3">
      <c r="A107" t="str">
        <f>_xlfn.XLOOKUP(GERAL[[#This Row],[Dia]],U:U,T:T,"")</f>
        <v>Semana 2</v>
      </c>
      <c r="B107" s="1">
        <v>46066</v>
      </c>
      <c r="C107" t="s">
        <v>26</v>
      </c>
      <c r="D107" s="1">
        <v>46066</v>
      </c>
      <c r="E107" t="s">
        <v>36</v>
      </c>
      <c r="F107" t="s">
        <v>37</v>
      </c>
      <c r="G107" t="s">
        <v>38</v>
      </c>
      <c r="H107">
        <v>1</v>
      </c>
      <c r="I107">
        <v>3</v>
      </c>
      <c r="J107">
        <v>14</v>
      </c>
      <c r="K107">
        <v>3</v>
      </c>
      <c r="O107">
        <v>15</v>
      </c>
      <c r="Q107" t="s">
        <v>18</v>
      </c>
      <c r="R107" t="str">
        <f>_xlfn.XLOOKUP(GERAL[[#This Row],[Dia]],U:U,V:V,"")</f>
        <v>Prazo_30</v>
      </c>
    </row>
    <row r="108" spans="1:22" hidden="1" x14ac:dyDescent="0.3">
      <c r="A108" t="str">
        <f>_xlfn.XLOOKUP(GERAL[[#This Row],[Dia]],U:U,T:T,"")</f>
        <v>Semana 2</v>
      </c>
      <c r="B108" s="1">
        <v>46067</v>
      </c>
      <c r="C108" t="s">
        <v>16</v>
      </c>
      <c r="D108" s="1">
        <v>46067</v>
      </c>
      <c r="E108" t="s">
        <v>17</v>
      </c>
      <c r="Q108" t="s">
        <v>18</v>
      </c>
      <c r="R108" t="str">
        <f>_xlfn.XLOOKUP(GERAL[[#This Row],[Dia]],U:U,V:V,"")</f>
        <v>Prazo_30</v>
      </c>
    </row>
    <row r="109" spans="1:22" hidden="1" x14ac:dyDescent="0.3">
      <c r="A109" t="str">
        <f>_xlfn.XLOOKUP(GERAL[[#This Row],[Dia]],U:U,T:T,"")</f>
        <v>Semana 3</v>
      </c>
      <c r="B109" s="1">
        <v>46068</v>
      </c>
      <c r="C109" t="s">
        <v>21</v>
      </c>
      <c r="D109" s="1">
        <v>46068</v>
      </c>
      <c r="E109" t="s">
        <v>17</v>
      </c>
      <c r="Q109" t="s">
        <v>18</v>
      </c>
      <c r="R109" t="str">
        <f>_xlfn.XLOOKUP(GERAL[[#This Row],[Dia]],U:U,V:V,"")</f>
        <v>Prazo_30</v>
      </c>
    </row>
    <row r="110" spans="1:22" hidden="1" x14ac:dyDescent="0.3">
      <c r="A110" t="str">
        <f>_xlfn.XLOOKUP(GERAL[[#This Row],[Dia]],U:U,T:T,"")</f>
        <v>Semana 3</v>
      </c>
      <c r="B110" s="1">
        <v>46069</v>
      </c>
      <c r="C110" t="s">
        <v>22</v>
      </c>
      <c r="D110" s="1">
        <v>46069</v>
      </c>
      <c r="E110" t="s">
        <v>17</v>
      </c>
      <c r="Q110" t="s">
        <v>18</v>
      </c>
      <c r="R110" t="str">
        <f>_xlfn.XLOOKUP(GERAL[[#This Row],[Dia]],U:U,V:V,"")</f>
        <v>Prazo_30</v>
      </c>
    </row>
    <row r="111" spans="1:22" hidden="1" x14ac:dyDescent="0.3">
      <c r="A111" t="str">
        <f>_xlfn.XLOOKUP(GERAL[[#This Row],[Dia]],U:U,T:T,"")</f>
        <v>Semana 3</v>
      </c>
      <c r="B111" s="1">
        <v>46070</v>
      </c>
      <c r="C111" t="s">
        <v>23</v>
      </c>
      <c r="D111" s="1">
        <v>46070</v>
      </c>
      <c r="E111" t="s">
        <v>36</v>
      </c>
      <c r="F111" t="s">
        <v>37</v>
      </c>
      <c r="G111" t="s">
        <v>38</v>
      </c>
      <c r="H111">
        <v>3</v>
      </c>
      <c r="I111">
        <v>3</v>
      </c>
      <c r="J111">
        <v>15.1</v>
      </c>
      <c r="Q111" t="s">
        <v>18</v>
      </c>
      <c r="R111" t="str">
        <f>_xlfn.XLOOKUP(GERAL[[#This Row],[Dia]],U:U,V:V,"")</f>
        <v>Prazo_30</v>
      </c>
    </row>
    <row r="112" spans="1:22" hidden="1" x14ac:dyDescent="0.3">
      <c r="A112" t="str">
        <f>_xlfn.XLOOKUP(GERAL[[#This Row],[Dia]],U:U,T:T,"")</f>
        <v>Semana 3</v>
      </c>
      <c r="B112" s="1">
        <v>46071</v>
      </c>
      <c r="C112" t="s">
        <v>24</v>
      </c>
      <c r="D112" s="1">
        <v>46071</v>
      </c>
      <c r="E112" t="s">
        <v>36</v>
      </c>
      <c r="F112" t="s">
        <v>37</v>
      </c>
      <c r="G112" t="s">
        <v>38</v>
      </c>
      <c r="H112">
        <v>15</v>
      </c>
      <c r="J112">
        <v>100</v>
      </c>
      <c r="Q112" t="s">
        <v>18</v>
      </c>
      <c r="R112" t="str">
        <f>_xlfn.XLOOKUP(GERAL[[#This Row],[Dia]],U:U,V:V,"")</f>
        <v>Prazo_30</v>
      </c>
    </row>
    <row r="113" spans="1:18" hidden="1" x14ac:dyDescent="0.3">
      <c r="A113" t="str">
        <f>_xlfn.XLOOKUP(GERAL[[#This Row],[Dia]],U:U,T:T,"")</f>
        <v>Semana 3</v>
      </c>
      <c r="B113" s="1">
        <v>46072</v>
      </c>
      <c r="C113" t="s">
        <v>25</v>
      </c>
      <c r="D113" s="1">
        <v>46072</v>
      </c>
      <c r="E113" t="s">
        <v>36</v>
      </c>
      <c r="F113" t="s">
        <v>37</v>
      </c>
      <c r="G113" t="s">
        <v>38</v>
      </c>
      <c r="I113">
        <v>2</v>
      </c>
      <c r="J113">
        <v>36</v>
      </c>
      <c r="N113">
        <v>5</v>
      </c>
      <c r="Q113" t="s">
        <v>18</v>
      </c>
      <c r="R113" t="str">
        <f>_xlfn.XLOOKUP(GERAL[[#This Row],[Dia]],U:U,V:V,"")</f>
        <v>Prazo_30</v>
      </c>
    </row>
    <row r="114" spans="1:18" hidden="1" x14ac:dyDescent="0.3">
      <c r="A114" t="str">
        <f>_xlfn.XLOOKUP(GERAL[[#This Row],[Dia]],U:U,T:T,"")</f>
        <v>Semana 3</v>
      </c>
      <c r="B114" s="1">
        <v>46073</v>
      </c>
      <c r="C114" t="s">
        <v>26</v>
      </c>
      <c r="D114" s="1">
        <v>46073</v>
      </c>
      <c r="E114" t="s">
        <v>36</v>
      </c>
      <c r="F114" t="s">
        <v>37</v>
      </c>
      <c r="G114" t="s">
        <v>38</v>
      </c>
      <c r="I114">
        <v>5</v>
      </c>
      <c r="J114">
        <v>36</v>
      </c>
      <c r="K114">
        <v>22</v>
      </c>
      <c r="N114">
        <v>4</v>
      </c>
      <c r="Q114" t="s">
        <v>18</v>
      </c>
      <c r="R114" t="str">
        <f>_xlfn.XLOOKUP(GERAL[[#This Row],[Dia]],U:U,V:V,"")</f>
        <v>Prazo_30</v>
      </c>
    </row>
    <row r="115" spans="1:18" hidden="1" x14ac:dyDescent="0.3">
      <c r="A115" t="str">
        <f>_xlfn.XLOOKUP(GERAL[[#This Row],[Dia]],U:U,T:T,"")</f>
        <v>Semana 3</v>
      </c>
      <c r="B115" s="1">
        <v>46074</v>
      </c>
      <c r="C115" t="s">
        <v>16</v>
      </c>
      <c r="D115" s="1">
        <v>46074</v>
      </c>
      <c r="E115" t="s">
        <v>17</v>
      </c>
      <c r="Q115" t="s">
        <v>18</v>
      </c>
      <c r="R115" t="str">
        <f>_xlfn.XLOOKUP(GERAL[[#This Row],[Dia]],U:U,V:V,"")</f>
        <v>Prazo_30</v>
      </c>
    </row>
    <row r="116" spans="1:18" hidden="1" x14ac:dyDescent="0.3">
      <c r="A116" t="str">
        <f>_xlfn.XLOOKUP(GERAL[[#This Row],[Dia]],U:U,T:T,"")</f>
        <v>Semana 4</v>
      </c>
      <c r="B116" s="1">
        <v>46075</v>
      </c>
      <c r="C116" t="s">
        <v>21</v>
      </c>
      <c r="D116" s="1">
        <v>46075</v>
      </c>
      <c r="E116" t="s">
        <v>17</v>
      </c>
      <c r="Q116" t="s">
        <v>18</v>
      </c>
      <c r="R116" t="str">
        <f>_xlfn.XLOOKUP(GERAL[[#This Row],[Dia]],U:U,V:V,"")</f>
        <v>Prazo_30</v>
      </c>
    </row>
    <row r="117" spans="1:18" hidden="1" x14ac:dyDescent="0.3">
      <c r="A117" t="str">
        <f>_xlfn.XLOOKUP(GERAL[[#This Row],[Dia]],U:U,T:T,"")</f>
        <v>Semana 4</v>
      </c>
      <c r="B117" s="1">
        <v>46076</v>
      </c>
      <c r="C117" t="s">
        <v>22</v>
      </c>
      <c r="D117" s="1">
        <v>46076</v>
      </c>
      <c r="E117" t="s">
        <v>36</v>
      </c>
      <c r="F117" t="s">
        <v>37</v>
      </c>
      <c r="G117" t="s">
        <v>38</v>
      </c>
      <c r="H117">
        <v>2</v>
      </c>
      <c r="I117">
        <v>3</v>
      </c>
      <c r="J117">
        <v>68</v>
      </c>
      <c r="K117">
        <v>22</v>
      </c>
      <c r="O117">
        <v>2</v>
      </c>
      <c r="Q117" t="s">
        <v>18</v>
      </c>
      <c r="R117" t="str">
        <f>_xlfn.XLOOKUP(GERAL[[#This Row],[Dia]],U:U,V:V,"")</f>
        <v>Prazo_30</v>
      </c>
    </row>
    <row r="118" spans="1:18" hidden="1" x14ac:dyDescent="0.3">
      <c r="A118" t="str">
        <f>_xlfn.XLOOKUP(GERAL[[#This Row],[Dia]],U:U,T:T,"")</f>
        <v>Semana 4</v>
      </c>
      <c r="B118" s="1">
        <v>46077</v>
      </c>
      <c r="C118" t="s">
        <v>23</v>
      </c>
      <c r="D118" s="1">
        <v>46077</v>
      </c>
      <c r="E118" t="s">
        <v>36</v>
      </c>
      <c r="F118" t="s">
        <v>37</v>
      </c>
      <c r="G118" t="s">
        <v>38</v>
      </c>
      <c r="I118">
        <v>10</v>
      </c>
      <c r="J118">
        <v>30</v>
      </c>
      <c r="N118">
        <v>3</v>
      </c>
      <c r="Q118" t="s">
        <v>18</v>
      </c>
      <c r="R118" t="str">
        <f>_xlfn.XLOOKUP(GERAL[[#This Row],[Dia]],U:U,V:V,"")</f>
        <v>Prazo_30</v>
      </c>
    </row>
    <row r="119" spans="1:18" hidden="1" x14ac:dyDescent="0.3">
      <c r="A119" t="str">
        <f>_xlfn.XLOOKUP(GERAL[[#This Row],[Dia]],U:U,T:T,"")</f>
        <v>Semana 4</v>
      </c>
      <c r="B119" s="1">
        <v>46078</v>
      </c>
      <c r="C119" t="s">
        <v>24</v>
      </c>
      <c r="D119" s="1">
        <v>46078</v>
      </c>
      <c r="E119" t="s">
        <v>36</v>
      </c>
      <c r="F119" t="s">
        <v>37</v>
      </c>
      <c r="G119" t="s">
        <v>38</v>
      </c>
      <c r="I119">
        <v>4</v>
      </c>
      <c r="J119">
        <v>8</v>
      </c>
      <c r="N119">
        <v>8</v>
      </c>
      <c r="Q119" t="s">
        <v>18</v>
      </c>
      <c r="R119" t="str">
        <f>_xlfn.XLOOKUP(GERAL[[#This Row],[Dia]],U:U,V:V,"")</f>
        <v>Prazo_30</v>
      </c>
    </row>
    <row r="120" spans="1:18" hidden="1" x14ac:dyDescent="0.3">
      <c r="A120" t="str">
        <f>_xlfn.XLOOKUP(GERAL[[#This Row],[Dia]],U:U,T:T,"")</f>
        <v>Semana 4</v>
      </c>
      <c r="B120" s="1">
        <v>46079</v>
      </c>
      <c r="C120" t="s">
        <v>25</v>
      </c>
      <c r="D120" s="1">
        <v>46079</v>
      </c>
      <c r="E120" t="s">
        <v>17</v>
      </c>
      <c r="Q120" t="s">
        <v>18</v>
      </c>
      <c r="R120" t="str">
        <f>_xlfn.XLOOKUP(GERAL[[#This Row],[Dia]],U:U,V:V,"")</f>
        <v>Prazo_30</v>
      </c>
    </row>
    <row r="121" spans="1:18" hidden="1" x14ac:dyDescent="0.3">
      <c r="A121" t="str">
        <f>_xlfn.XLOOKUP(GERAL[[#This Row],[Dia]],U:U,T:T,"")</f>
        <v>Semana 4</v>
      </c>
      <c r="B121" s="1">
        <v>46080</v>
      </c>
      <c r="C121" t="s">
        <v>26</v>
      </c>
      <c r="D121" s="1">
        <v>46080</v>
      </c>
      <c r="E121" t="s">
        <v>36</v>
      </c>
      <c r="F121" t="s">
        <v>37</v>
      </c>
      <c r="G121" t="s">
        <v>38</v>
      </c>
      <c r="N121">
        <v>18</v>
      </c>
      <c r="O121">
        <v>10</v>
      </c>
      <c r="Q121" t="s">
        <v>18</v>
      </c>
      <c r="R121" t="str">
        <f>_xlfn.XLOOKUP(GERAL[[#This Row],[Dia]],U:U,V:V,"")</f>
        <v>Prazo_30</v>
      </c>
    </row>
    <row r="122" spans="1:18" hidden="1" x14ac:dyDescent="0.3">
      <c r="A122" t="str">
        <f>_xlfn.XLOOKUP(GERAL[[#This Row],[Dia]],U:U,T:T,"")</f>
        <v>Semana 4</v>
      </c>
      <c r="B122" s="1">
        <v>46081</v>
      </c>
      <c r="C122" t="s">
        <v>16</v>
      </c>
      <c r="D122" s="1">
        <v>46081</v>
      </c>
      <c r="E122" t="s">
        <v>17</v>
      </c>
      <c r="Q122" t="s">
        <v>18</v>
      </c>
      <c r="R122" t="str">
        <f>_xlfn.XLOOKUP(GERAL[[#This Row],[Dia]],U:U,V:V,"")</f>
        <v>Prazo_30</v>
      </c>
    </row>
    <row r="123" spans="1:18" x14ac:dyDescent="0.3">
      <c r="A123" t="str">
        <f>_xlfn.XLOOKUP(GERAL[[#This Row],[Dia]],U:U,T:T,"")</f>
        <v>Semana 5</v>
      </c>
      <c r="B123" s="1">
        <v>46082</v>
      </c>
      <c r="C123" t="s">
        <v>21</v>
      </c>
      <c r="D123" s="1">
        <v>46082</v>
      </c>
      <c r="E123" t="s">
        <v>17</v>
      </c>
      <c r="Q123" t="s">
        <v>18</v>
      </c>
      <c r="R123" t="str">
        <f>_xlfn.XLOOKUP(GERAL[[#This Row],[Dia]],U:U,V:V,"")</f>
        <v>Prazo_30</v>
      </c>
    </row>
    <row r="124" spans="1:18" x14ac:dyDescent="0.3">
      <c r="A124" t="str">
        <f>_xlfn.XLOOKUP(GERAL[[#This Row],[Dia]],U:U,T:T,"")</f>
        <v>Semana 5</v>
      </c>
      <c r="B124" s="1">
        <v>46083</v>
      </c>
      <c r="C124" t="s">
        <v>22</v>
      </c>
      <c r="D124" s="1">
        <v>46083</v>
      </c>
      <c r="E124" t="s">
        <v>36</v>
      </c>
      <c r="F124" t="s">
        <v>43</v>
      </c>
      <c r="G124" t="s">
        <v>44</v>
      </c>
      <c r="H124">
        <v>2</v>
      </c>
      <c r="I124">
        <v>1</v>
      </c>
      <c r="Q124" t="s">
        <v>18</v>
      </c>
      <c r="R124" t="str">
        <f>_xlfn.XLOOKUP(GERAL[[#This Row],[Dia]],U:U,V:V,"")</f>
        <v>Prazo_30</v>
      </c>
    </row>
    <row r="125" spans="1:18" x14ac:dyDescent="0.3">
      <c r="A125" t="str">
        <f>_xlfn.XLOOKUP(GERAL[[#This Row],[Dia]],U:U,T:T,"")</f>
        <v>Semana 5</v>
      </c>
      <c r="B125" s="1">
        <v>46083</v>
      </c>
      <c r="C125" t="s">
        <v>22</v>
      </c>
      <c r="D125" s="1">
        <v>46083</v>
      </c>
      <c r="E125" t="s">
        <v>36</v>
      </c>
      <c r="F125" t="s">
        <v>43</v>
      </c>
      <c r="G125" t="s">
        <v>45</v>
      </c>
      <c r="N125">
        <v>3</v>
      </c>
      <c r="Q125" t="s">
        <v>18</v>
      </c>
      <c r="R125" t="str">
        <f>_xlfn.XLOOKUP(GERAL[[#This Row],[Dia]],U:U,V:V,"")</f>
        <v>Prazo_30</v>
      </c>
    </row>
    <row r="126" spans="1:18" x14ac:dyDescent="0.3">
      <c r="A126" t="str">
        <f>_xlfn.XLOOKUP(GERAL[[#This Row],[Dia]],U:U,T:T,"")</f>
        <v>Semana 5</v>
      </c>
      <c r="B126" s="1">
        <v>46083</v>
      </c>
      <c r="C126" t="s">
        <v>22</v>
      </c>
      <c r="D126" s="1">
        <v>46083</v>
      </c>
      <c r="E126" t="s">
        <v>36</v>
      </c>
      <c r="F126" t="s">
        <v>46</v>
      </c>
      <c r="G126" t="s">
        <v>45</v>
      </c>
      <c r="N126">
        <v>3</v>
      </c>
      <c r="Q126" t="s">
        <v>18</v>
      </c>
      <c r="R126" t="str">
        <f>_xlfn.XLOOKUP(GERAL[[#This Row],[Dia]],U:U,V:V,"")</f>
        <v>Prazo_30</v>
      </c>
    </row>
    <row r="127" spans="1:18" x14ac:dyDescent="0.3">
      <c r="A127" t="str">
        <f>_xlfn.XLOOKUP(GERAL[[#This Row],[Dia]],U:U,T:T,"")</f>
        <v>Semana 5</v>
      </c>
      <c r="B127" s="1">
        <v>46083</v>
      </c>
      <c r="C127" t="s">
        <v>22</v>
      </c>
      <c r="D127" s="1">
        <v>46083</v>
      </c>
      <c r="E127" t="s">
        <v>36</v>
      </c>
      <c r="F127" t="s">
        <v>46</v>
      </c>
      <c r="G127" t="s">
        <v>47</v>
      </c>
      <c r="I127">
        <v>6</v>
      </c>
      <c r="K127">
        <v>24</v>
      </c>
      <c r="N127">
        <v>3</v>
      </c>
      <c r="Q127" t="s">
        <v>18</v>
      </c>
      <c r="R127" t="str">
        <f>_xlfn.XLOOKUP(GERAL[[#This Row],[Dia]],U:U,V:V,"")</f>
        <v>Prazo_30</v>
      </c>
    </row>
    <row r="128" spans="1:18" x14ac:dyDescent="0.3">
      <c r="A128" t="str">
        <f>_xlfn.XLOOKUP(GERAL[[#This Row],[Dia]],U:U,T:T,"")</f>
        <v>Semana 5</v>
      </c>
      <c r="B128" s="1">
        <v>46083</v>
      </c>
      <c r="C128" t="s">
        <v>22</v>
      </c>
      <c r="D128" s="1">
        <v>46083</v>
      </c>
      <c r="E128" t="s">
        <v>36</v>
      </c>
      <c r="F128" t="s">
        <v>48</v>
      </c>
      <c r="G128" t="s">
        <v>49</v>
      </c>
      <c r="N128">
        <v>10</v>
      </c>
      <c r="Q128" t="s">
        <v>18</v>
      </c>
      <c r="R128" t="str">
        <f>_xlfn.XLOOKUP(GERAL[[#This Row],[Dia]],U:U,V:V,"")</f>
        <v>Prazo_30</v>
      </c>
    </row>
    <row r="129" spans="1:18" x14ac:dyDescent="0.3">
      <c r="A129" t="str">
        <f>_xlfn.XLOOKUP(GERAL[[#This Row],[Dia]],U:U,T:T,"")</f>
        <v>Semana 5</v>
      </c>
      <c r="B129" s="1">
        <v>46083</v>
      </c>
      <c r="C129" t="s">
        <v>22</v>
      </c>
      <c r="D129" s="1">
        <v>46083</v>
      </c>
      <c r="E129" t="s">
        <v>36</v>
      </c>
      <c r="F129" t="s">
        <v>48</v>
      </c>
      <c r="G129" t="s">
        <v>47</v>
      </c>
      <c r="N129">
        <v>2</v>
      </c>
      <c r="Q129" t="s">
        <v>18</v>
      </c>
      <c r="R129" t="str">
        <f>_xlfn.XLOOKUP(GERAL[[#This Row],[Dia]],U:U,V:V,"")</f>
        <v>Prazo_30</v>
      </c>
    </row>
    <row r="130" spans="1:18" x14ac:dyDescent="0.3">
      <c r="A130" t="str">
        <f>_xlfn.XLOOKUP(GERAL[[#This Row],[Dia]],U:U,T:T,"")</f>
        <v>Semana 5</v>
      </c>
      <c r="B130" s="1">
        <v>46083</v>
      </c>
      <c r="C130" t="s">
        <v>22</v>
      </c>
      <c r="D130" s="1">
        <v>46083</v>
      </c>
      <c r="E130" t="s">
        <v>36</v>
      </c>
      <c r="F130" t="s">
        <v>50</v>
      </c>
      <c r="G130" t="s">
        <v>51</v>
      </c>
      <c r="K130">
        <v>9</v>
      </c>
      <c r="L130">
        <v>3</v>
      </c>
      <c r="Q130" t="s">
        <v>18</v>
      </c>
      <c r="R130" t="str">
        <f>_xlfn.XLOOKUP(GERAL[[#This Row],[Dia]],U:U,V:V,"")</f>
        <v>Prazo_30</v>
      </c>
    </row>
    <row r="131" spans="1:18" x14ac:dyDescent="0.3">
      <c r="A131" t="str">
        <f>_xlfn.XLOOKUP(GERAL[[#This Row],[Dia]],U:U,T:T,"")</f>
        <v>Semana 6</v>
      </c>
      <c r="B131" s="1">
        <v>46084</v>
      </c>
      <c r="C131" t="s">
        <v>23</v>
      </c>
      <c r="D131" s="1">
        <v>46084</v>
      </c>
      <c r="E131" t="s">
        <v>36</v>
      </c>
      <c r="F131" t="s">
        <v>43</v>
      </c>
      <c r="G131" t="s">
        <v>52</v>
      </c>
      <c r="H131">
        <v>1</v>
      </c>
      <c r="I131">
        <v>6</v>
      </c>
      <c r="K131">
        <v>6</v>
      </c>
      <c r="Q131" t="s">
        <v>18</v>
      </c>
      <c r="R131" t="str">
        <f>_xlfn.XLOOKUP(GERAL[[#This Row],[Dia]],U:U,V:V,"")</f>
        <v>Prazo_30</v>
      </c>
    </row>
    <row r="132" spans="1:18" x14ac:dyDescent="0.3">
      <c r="A132" t="str">
        <f>_xlfn.XLOOKUP(GERAL[[#This Row],[Dia]],U:U,T:T,"")</f>
        <v>Semana 6</v>
      </c>
      <c r="B132" s="1">
        <v>46084</v>
      </c>
      <c r="C132" t="s">
        <v>23</v>
      </c>
      <c r="D132" s="1">
        <v>46084</v>
      </c>
      <c r="E132" t="s">
        <v>36</v>
      </c>
      <c r="F132" t="s">
        <v>46</v>
      </c>
      <c r="G132" t="s">
        <v>47</v>
      </c>
      <c r="I132">
        <v>4</v>
      </c>
      <c r="K132">
        <v>8</v>
      </c>
      <c r="L132">
        <v>1</v>
      </c>
      <c r="N132">
        <v>3</v>
      </c>
      <c r="Q132" t="s">
        <v>18</v>
      </c>
      <c r="R132" t="str">
        <f>_xlfn.XLOOKUP(GERAL[[#This Row],[Dia]],U:U,V:V,"")</f>
        <v>Prazo_30</v>
      </c>
    </row>
    <row r="133" spans="1:18" x14ac:dyDescent="0.3">
      <c r="A133" t="str">
        <f>_xlfn.XLOOKUP(GERAL[[#This Row],[Dia]],U:U,T:T,"")</f>
        <v>Semana 6</v>
      </c>
      <c r="B133" s="1">
        <v>46084</v>
      </c>
      <c r="C133" t="s">
        <v>23</v>
      </c>
      <c r="D133" s="1">
        <v>46084</v>
      </c>
      <c r="E133" t="s">
        <v>36</v>
      </c>
      <c r="F133" t="s">
        <v>48</v>
      </c>
      <c r="G133" t="s">
        <v>49</v>
      </c>
      <c r="N133">
        <v>2</v>
      </c>
      <c r="Q133" t="s">
        <v>18</v>
      </c>
      <c r="R133" t="str">
        <f>_xlfn.XLOOKUP(GERAL[[#This Row],[Dia]],U:U,V:V,"")</f>
        <v>Prazo_30</v>
      </c>
    </row>
    <row r="134" spans="1:18" x14ac:dyDescent="0.3">
      <c r="A134" t="str">
        <f>_xlfn.XLOOKUP(GERAL[[#This Row],[Dia]],U:U,T:T,"")</f>
        <v>Semana 6</v>
      </c>
      <c r="B134" s="1">
        <v>46084</v>
      </c>
      <c r="C134" t="s">
        <v>23</v>
      </c>
      <c r="D134" s="1">
        <v>46084</v>
      </c>
      <c r="E134" t="s">
        <v>36</v>
      </c>
      <c r="F134" t="s">
        <v>48</v>
      </c>
      <c r="G134" t="s">
        <v>47</v>
      </c>
      <c r="N134">
        <v>1</v>
      </c>
      <c r="Q134" t="s">
        <v>18</v>
      </c>
      <c r="R134" t="str">
        <f>_xlfn.XLOOKUP(GERAL[[#This Row],[Dia]],U:U,V:V,"")</f>
        <v>Prazo_30</v>
      </c>
    </row>
    <row r="135" spans="1:18" x14ac:dyDescent="0.3">
      <c r="A135" t="str">
        <f>_xlfn.XLOOKUP(GERAL[[#This Row],[Dia]],U:U,T:T,"")</f>
        <v>Semana 6</v>
      </c>
      <c r="B135" s="1">
        <v>46084</v>
      </c>
      <c r="C135" t="s">
        <v>23</v>
      </c>
      <c r="D135" s="1">
        <v>46084</v>
      </c>
      <c r="E135" t="s">
        <v>36</v>
      </c>
      <c r="F135" t="s">
        <v>50</v>
      </c>
      <c r="G135" t="s">
        <v>51</v>
      </c>
      <c r="K135">
        <v>4</v>
      </c>
      <c r="Q135" t="s">
        <v>18</v>
      </c>
      <c r="R135" t="str">
        <f>_xlfn.XLOOKUP(GERAL[[#This Row],[Dia]],U:U,V:V,"")</f>
        <v>Prazo_30</v>
      </c>
    </row>
    <row r="136" spans="1:18" x14ac:dyDescent="0.3">
      <c r="A136" t="str">
        <f>_xlfn.XLOOKUP(GERAL[[#This Row],[Dia]],U:U,T:T,"")</f>
        <v>Semana 6</v>
      </c>
      <c r="B136" s="1">
        <v>46084</v>
      </c>
      <c r="C136" t="s">
        <v>23</v>
      </c>
      <c r="D136" s="1">
        <v>46084</v>
      </c>
      <c r="E136" t="s">
        <v>36</v>
      </c>
      <c r="F136" t="s">
        <v>46</v>
      </c>
      <c r="G136" t="s">
        <v>53</v>
      </c>
      <c r="J136">
        <v>14</v>
      </c>
      <c r="Q136" t="s">
        <v>18</v>
      </c>
      <c r="R136" t="str">
        <f>_xlfn.XLOOKUP(GERAL[[#This Row],[Dia]],U:U,V:V,"")</f>
        <v>Prazo_30</v>
      </c>
    </row>
    <row r="137" spans="1:18" x14ac:dyDescent="0.3">
      <c r="A137" t="str">
        <f>_xlfn.XLOOKUP(GERAL[[#This Row],[Dia]],U:U,T:T,"")</f>
        <v>Semana 6</v>
      </c>
      <c r="B137" s="1">
        <v>46085</v>
      </c>
      <c r="C137" t="s">
        <v>24</v>
      </c>
      <c r="D137" s="1">
        <v>46085</v>
      </c>
      <c r="E137" t="s">
        <v>36</v>
      </c>
      <c r="F137" t="s">
        <v>43</v>
      </c>
      <c r="G137" t="s">
        <v>52</v>
      </c>
      <c r="H137">
        <v>1</v>
      </c>
      <c r="Q137" t="s">
        <v>18</v>
      </c>
      <c r="R137" t="str">
        <f>_xlfn.XLOOKUP(GERAL[[#This Row],[Dia]],U:U,V:V,"")</f>
        <v>Prazo_30</v>
      </c>
    </row>
    <row r="138" spans="1:18" x14ac:dyDescent="0.3">
      <c r="A138" t="str">
        <f>_xlfn.XLOOKUP(GERAL[[#This Row],[Dia]],U:U,T:T,"")</f>
        <v>Semana 6</v>
      </c>
      <c r="B138" s="1">
        <v>46085</v>
      </c>
      <c r="C138" t="s">
        <v>24</v>
      </c>
      <c r="D138" s="1">
        <v>46085</v>
      </c>
      <c r="E138" t="s">
        <v>36</v>
      </c>
      <c r="F138" t="s">
        <v>46</v>
      </c>
      <c r="G138" t="s">
        <v>47</v>
      </c>
      <c r="I138">
        <v>4</v>
      </c>
      <c r="K138">
        <v>12</v>
      </c>
      <c r="Q138" t="s">
        <v>18</v>
      </c>
      <c r="R138" t="str">
        <f>_xlfn.XLOOKUP(GERAL[[#This Row],[Dia]],U:U,V:V,"")</f>
        <v>Prazo_30</v>
      </c>
    </row>
    <row r="139" spans="1:18" x14ac:dyDescent="0.3">
      <c r="A139" t="str">
        <f>_xlfn.XLOOKUP(GERAL[[#This Row],[Dia]],U:U,T:T,"")</f>
        <v>Semana 6</v>
      </c>
      <c r="B139" s="1">
        <v>46085</v>
      </c>
      <c r="C139" t="s">
        <v>24</v>
      </c>
      <c r="D139" s="1">
        <v>46085</v>
      </c>
      <c r="E139" t="s">
        <v>36</v>
      </c>
      <c r="F139" t="s">
        <v>46</v>
      </c>
      <c r="G139" t="s">
        <v>54</v>
      </c>
      <c r="H139">
        <v>2</v>
      </c>
      <c r="I139">
        <v>3</v>
      </c>
      <c r="K139">
        <v>12</v>
      </c>
      <c r="O139">
        <v>2</v>
      </c>
      <c r="Q139" t="s">
        <v>18</v>
      </c>
      <c r="R139" t="str">
        <f>_xlfn.XLOOKUP(GERAL[[#This Row],[Dia]],U:U,V:V,"")</f>
        <v>Prazo_30</v>
      </c>
    </row>
    <row r="140" spans="1:18" x14ac:dyDescent="0.3">
      <c r="A140" t="str">
        <f>_xlfn.XLOOKUP(GERAL[[#This Row],[Dia]],U:U,T:T,"")</f>
        <v>Semana 6</v>
      </c>
      <c r="B140" s="1">
        <v>46085</v>
      </c>
      <c r="C140" t="s">
        <v>24</v>
      </c>
      <c r="D140" s="1">
        <v>46085</v>
      </c>
      <c r="E140" t="s">
        <v>36</v>
      </c>
      <c r="F140" t="s">
        <v>46</v>
      </c>
      <c r="G140" t="s">
        <v>55</v>
      </c>
      <c r="N140">
        <v>12</v>
      </c>
      <c r="Q140" t="s">
        <v>18</v>
      </c>
      <c r="R140" t="str">
        <f>_xlfn.XLOOKUP(GERAL[[#This Row],[Dia]],U:U,V:V,"")</f>
        <v>Prazo_30</v>
      </c>
    </row>
    <row r="141" spans="1:18" x14ac:dyDescent="0.3">
      <c r="A141" t="str">
        <f>_xlfn.XLOOKUP(GERAL[[#This Row],[Dia]],U:U,T:T,"")</f>
        <v>Semana 6</v>
      </c>
      <c r="B141" s="1">
        <v>46086</v>
      </c>
      <c r="C141" t="s">
        <v>25</v>
      </c>
      <c r="D141" s="1">
        <v>46086</v>
      </c>
      <c r="E141" t="s">
        <v>36</v>
      </c>
      <c r="F141" t="s">
        <v>43</v>
      </c>
      <c r="G141" t="s">
        <v>53</v>
      </c>
      <c r="H141">
        <v>3</v>
      </c>
      <c r="J141">
        <v>40</v>
      </c>
      <c r="Q141" t="s">
        <v>18</v>
      </c>
      <c r="R141" t="str">
        <f>_xlfn.XLOOKUP(GERAL[[#This Row],[Dia]],U:U,V:V,"")</f>
        <v>Prazo_30</v>
      </c>
    </row>
    <row r="142" spans="1:18" x14ac:dyDescent="0.3">
      <c r="A142" t="str">
        <f>_xlfn.XLOOKUP(GERAL[[#This Row],[Dia]],U:U,T:T,"")</f>
        <v>Semana 6</v>
      </c>
      <c r="B142" s="1">
        <v>46086</v>
      </c>
      <c r="C142" t="s">
        <v>25</v>
      </c>
      <c r="D142" s="1">
        <v>46086</v>
      </c>
      <c r="E142" t="s">
        <v>36</v>
      </c>
      <c r="F142" t="s">
        <v>46</v>
      </c>
      <c r="G142" t="s">
        <v>47</v>
      </c>
      <c r="I142">
        <v>4</v>
      </c>
      <c r="K142">
        <v>8</v>
      </c>
      <c r="Q142" t="s">
        <v>18</v>
      </c>
      <c r="R142" t="str">
        <f>_xlfn.XLOOKUP(GERAL[[#This Row],[Dia]],U:U,V:V,"")</f>
        <v>Prazo_30</v>
      </c>
    </row>
    <row r="143" spans="1:18" x14ac:dyDescent="0.3">
      <c r="A143" t="str">
        <f>_xlfn.XLOOKUP(GERAL[[#This Row],[Dia]],U:U,T:T,"")</f>
        <v>Semana 6</v>
      </c>
      <c r="B143" s="1">
        <v>46086</v>
      </c>
      <c r="C143" t="s">
        <v>25</v>
      </c>
      <c r="D143" s="1">
        <v>46086</v>
      </c>
      <c r="E143" t="s">
        <v>36</v>
      </c>
      <c r="F143" t="s">
        <v>48</v>
      </c>
      <c r="G143" t="s">
        <v>49</v>
      </c>
      <c r="N143">
        <v>7</v>
      </c>
      <c r="Q143" t="s">
        <v>18</v>
      </c>
      <c r="R143" t="str">
        <f>_xlfn.XLOOKUP(GERAL[[#This Row],[Dia]],U:U,V:V,"")</f>
        <v>Prazo_30</v>
      </c>
    </row>
    <row r="144" spans="1:18" x14ac:dyDescent="0.3">
      <c r="A144" t="str">
        <f>_xlfn.XLOOKUP(GERAL[[#This Row],[Dia]],U:U,T:T,"")</f>
        <v>Semana 6</v>
      </c>
      <c r="B144" s="1">
        <v>46087</v>
      </c>
      <c r="C144" t="s">
        <v>26</v>
      </c>
      <c r="D144" s="1">
        <v>46087</v>
      </c>
      <c r="E144" t="s">
        <v>36</v>
      </c>
      <c r="F144" t="s">
        <v>43</v>
      </c>
      <c r="G144" t="s">
        <v>53</v>
      </c>
      <c r="H144">
        <v>2</v>
      </c>
      <c r="J144">
        <v>30</v>
      </c>
      <c r="Q144" t="s">
        <v>18</v>
      </c>
      <c r="R144" t="str">
        <f>_xlfn.XLOOKUP(GERAL[[#This Row],[Dia]],U:U,V:V,"")</f>
        <v>Prazo_30</v>
      </c>
    </row>
    <row r="145" spans="1:18" x14ac:dyDescent="0.3">
      <c r="A145" t="str">
        <f>_xlfn.XLOOKUP(GERAL[[#This Row],[Dia]],U:U,T:T,"")</f>
        <v>Semana 6</v>
      </c>
      <c r="B145" s="1">
        <v>46087</v>
      </c>
      <c r="C145" t="s">
        <v>26</v>
      </c>
      <c r="D145" s="1">
        <v>46087</v>
      </c>
      <c r="E145" t="s">
        <v>36</v>
      </c>
      <c r="F145" t="s">
        <v>48</v>
      </c>
      <c r="G145" t="s">
        <v>56</v>
      </c>
      <c r="N145">
        <v>7</v>
      </c>
      <c r="Q145" t="s">
        <v>18</v>
      </c>
      <c r="R145" t="str">
        <f>_xlfn.XLOOKUP(GERAL[[#This Row],[Dia]],U:U,V:V,"")</f>
        <v>Prazo_30</v>
      </c>
    </row>
    <row r="146" spans="1:18" x14ac:dyDescent="0.3">
      <c r="A146" t="str">
        <f>_xlfn.XLOOKUP(GERAL[[#This Row],[Dia]],U:U,T:T,"")</f>
        <v>Semana 6</v>
      </c>
      <c r="B146" s="1">
        <v>46087</v>
      </c>
      <c r="C146" t="s">
        <v>26</v>
      </c>
      <c r="D146" s="1">
        <v>46087</v>
      </c>
      <c r="E146" t="s">
        <v>36</v>
      </c>
      <c r="F146" t="s">
        <v>48</v>
      </c>
      <c r="G146" t="s">
        <v>47</v>
      </c>
      <c r="N146">
        <v>7</v>
      </c>
      <c r="Q146" t="s">
        <v>18</v>
      </c>
      <c r="R146" t="str">
        <f>_xlfn.XLOOKUP(GERAL[[#This Row],[Dia]],U:U,V:V,"")</f>
        <v>Prazo_30</v>
      </c>
    </row>
    <row r="147" spans="1:18" x14ac:dyDescent="0.3">
      <c r="A147" t="str">
        <f>_xlfn.XLOOKUP(GERAL[[#This Row],[Dia]],U:U,T:T,"")</f>
        <v>Semana 6</v>
      </c>
      <c r="B147" s="1">
        <v>46088</v>
      </c>
      <c r="C147" t="s">
        <v>16</v>
      </c>
      <c r="D147" s="1">
        <v>46088</v>
      </c>
      <c r="E147" t="s">
        <v>17</v>
      </c>
      <c r="Q147" t="s">
        <v>18</v>
      </c>
      <c r="R147" t="str">
        <f>_xlfn.XLOOKUP(GERAL[[#This Row],[Dia]],U:U,V:V,"")</f>
        <v>Prazo_30</v>
      </c>
    </row>
    <row r="148" spans="1:18" x14ac:dyDescent="0.3">
      <c r="A148" t="str">
        <f>_xlfn.XLOOKUP(GERAL[[#This Row],[Dia]],U:U,T:T,"")</f>
        <v>Semana 6</v>
      </c>
      <c r="B148" s="1">
        <v>46089</v>
      </c>
      <c r="C148" t="s">
        <v>21</v>
      </c>
      <c r="D148" s="1">
        <v>46089</v>
      </c>
      <c r="E148" t="s">
        <v>17</v>
      </c>
      <c r="Q148" t="s">
        <v>18</v>
      </c>
      <c r="R148" t="str">
        <f>_xlfn.XLOOKUP(GERAL[[#This Row],[Dia]],U:U,V:V,"")</f>
        <v>Prazo_30</v>
      </c>
    </row>
    <row r="149" spans="1:18" x14ac:dyDescent="0.3">
      <c r="A149" t="str">
        <f>_xlfn.XLOOKUP(GERAL[[#This Row],[Dia]],U:U,T:T,"")</f>
        <v>Semana 7</v>
      </c>
      <c r="B149" s="1">
        <v>46090</v>
      </c>
      <c r="C149" t="s">
        <v>22</v>
      </c>
      <c r="D149" s="1">
        <v>46090</v>
      </c>
      <c r="E149" t="s">
        <v>36</v>
      </c>
      <c r="F149" t="s">
        <v>43</v>
      </c>
      <c r="G149" t="s">
        <v>54</v>
      </c>
      <c r="N149">
        <v>1</v>
      </c>
      <c r="Q149" t="s">
        <v>18</v>
      </c>
      <c r="R149" t="str">
        <f>_xlfn.XLOOKUP(GERAL[[#This Row],[Dia]],U:U,V:V,"")</f>
        <v>Prazo_30</v>
      </c>
    </row>
    <row r="150" spans="1:18" x14ac:dyDescent="0.3">
      <c r="A150" t="str">
        <f>_xlfn.XLOOKUP(GERAL[[#This Row],[Dia]],U:U,T:T,"")</f>
        <v>Semana 7</v>
      </c>
      <c r="B150" s="1">
        <v>46091</v>
      </c>
      <c r="C150" t="s">
        <v>23</v>
      </c>
      <c r="D150" s="1">
        <v>46091</v>
      </c>
      <c r="E150" t="s">
        <v>17</v>
      </c>
      <c r="G150" t="s">
        <v>57</v>
      </c>
      <c r="Q150" t="s">
        <v>18</v>
      </c>
      <c r="R150" t="str">
        <f>_xlfn.XLOOKUP(GERAL[[#This Row],[Dia]],U:U,V:V,"")</f>
        <v>Prazo_30</v>
      </c>
    </row>
    <row r="151" spans="1:18" x14ac:dyDescent="0.3">
      <c r="A151" t="str">
        <f>_xlfn.XLOOKUP(GERAL[[#This Row],[Dia]],U:U,T:T,"")</f>
        <v>Semana 7</v>
      </c>
      <c r="B151" s="1">
        <v>46092</v>
      </c>
      <c r="C151" t="s">
        <v>24</v>
      </c>
      <c r="D151" s="1">
        <v>46092</v>
      </c>
      <c r="E151" t="s">
        <v>36</v>
      </c>
      <c r="F151" t="s">
        <v>43</v>
      </c>
      <c r="G151" t="s">
        <v>53</v>
      </c>
      <c r="H151">
        <v>3</v>
      </c>
      <c r="J151">
        <v>50</v>
      </c>
      <c r="N151">
        <v>2</v>
      </c>
      <c r="O151">
        <v>1</v>
      </c>
      <c r="Q151" t="s">
        <v>18</v>
      </c>
      <c r="R151" t="str">
        <f>_xlfn.XLOOKUP(GERAL[[#This Row],[Dia]],U:U,V:V,"")</f>
        <v>Prazo_30</v>
      </c>
    </row>
    <row r="152" spans="1:18" x14ac:dyDescent="0.3">
      <c r="A152" t="str">
        <f>_xlfn.XLOOKUP(GERAL[[#This Row],[Dia]],U:U,T:T,"")</f>
        <v>Semana 7</v>
      </c>
      <c r="B152" s="1">
        <v>46092</v>
      </c>
      <c r="C152" t="s">
        <v>24</v>
      </c>
      <c r="D152" s="1">
        <v>46092</v>
      </c>
      <c r="E152" t="s">
        <v>36</v>
      </c>
      <c r="F152" t="s">
        <v>43</v>
      </c>
      <c r="G152" t="s">
        <v>44</v>
      </c>
      <c r="N152">
        <v>1</v>
      </c>
      <c r="Q152" t="s">
        <v>18</v>
      </c>
      <c r="R152" t="str">
        <f>_xlfn.XLOOKUP(GERAL[[#This Row],[Dia]],U:U,V:V,"")</f>
        <v>Prazo_30</v>
      </c>
    </row>
    <row r="153" spans="1:18" x14ac:dyDescent="0.3">
      <c r="A153" t="str">
        <f>_xlfn.XLOOKUP(GERAL[[#This Row],[Dia]],U:U,T:T,"")</f>
        <v>Semana 7</v>
      </c>
      <c r="B153" s="1">
        <v>46092</v>
      </c>
      <c r="C153" t="s">
        <v>24</v>
      </c>
      <c r="D153" s="1">
        <v>46092</v>
      </c>
      <c r="E153" t="s">
        <v>36</v>
      </c>
      <c r="F153" t="s">
        <v>48</v>
      </c>
      <c r="G153" t="s">
        <v>47</v>
      </c>
      <c r="N153">
        <v>6</v>
      </c>
      <c r="Q153" t="s">
        <v>18</v>
      </c>
      <c r="R153" t="str">
        <f>_xlfn.XLOOKUP(GERAL[[#This Row],[Dia]],U:U,V:V,"")</f>
        <v>Prazo_30</v>
      </c>
    </row>
    <row r="154" spans="1:18" x14ac:dyDescent="0.3">
      <c r="A154" t="str">
        <f>_xlfn.XLOOKUP(GERAL[[#This Row],[Dia]],U:U,T:T,"")</f>
        <v>Semana 7</v>
      </c>
      <c r="B154" s="1">
        <v>46092</v>
      </c>
      <c r="C154" t="s">
        <v>24</v>
      </c>
      <c r="D154" s="1">
        <v>46092</v>
      </c>
      <c r="E154" t="s">
        <v>36</v>
      </c>
      <c r="F154" t="s">
        <v>46</v>
      </c>
      <c r="G154" t="s">
        <v>47</v>
      </c>
      <c r="H154">
        <v>1</v>
      </c>
      <c r="Q154" t="s">
        <v>18</v>
      </c>
      <c r="R154" t="str">
        <f>_xlfn.XLOOKUP(GERAL[[#This Row],[Dia]],U:U,V:V,"")</f>
        <v>Prazo_30</v>
      </c>
    </row>
    <row r="155" spans="1:18" x14ac:dyDescent="0.3">
      <c r="A155" t="str">
        <f>_xlfn.XLOOKUP(GERAL[[#This Row],[Dia]],U:U,T:T,"")</f>
        <v>Semana 7</v>
      </c>
      <c r="B155" s="1">
        <v>46093</v>
      </c>
      <c r="C155" t="s">
        <v>25</v>
      </c>
      <c r="D155" s="1">
        <v>46093</v>
      </c>
      <c r="E155" t="s">
        <v>36</v>
      </c>
      <c r="F155" t="s">
        <v>43</v>
      </c>
      <c r="G155" t="s">
        <v>53</v>
      </c>
      <c r="H155">
        <v>7</v>
      </c>
      <c r="N155">
        <v>1</v>
      </c>
      <c r="O155">
        <v>10</v>
      </c>
      <c r="Q155" t="s">
        <v>18</v>
      </c>
      <c r="R155" t="str">
        <f>_xlfn.XLOOKUP(GERAL[[#This Row],[Dia]],U:U,V:V,"")</f>
        <v>Prazo_30</v>
      </c>
    </row>
    <row r="156" spans="1:18" x14ac:dyDescent="0.3">
      <c r="A156" t="str">
        <f>_xlfn.XLOOKUP(GERAL[[#This Row],[Dia]],U:U,T:T,"")</f>
        <v>Semana 7</v>
      </c>
      <c r="B156" s="1">
        <v>46093</v>
      </c>
      <c r="C156" t="s">
        <v>25</v>
      </c>
      <c r="D156" s="1">
        <v>46093</v>
      </c>
      <c r="E156" t="s">
        <v>36</v>
      </c>
      <c r="F156" t="s">
        <v>43</v>
      </c>
      <c r="G156" t="s">
        <v>52</v>
      </c>
      <c r="N156">
        <v>3</v>
      </c>
      <c r="Q156" t="s">
        <v>18</v>
      </c>
      <c r="R156" t="str">
        <f>_xlfn.XLOOKUP(GERAL[[#This Row],[Dia]],U:U,V:V,"")</f>
        <v>Prazo_30</v>
      </c>
    </row>
    <row r="157" spans="1:18" x14ac:dyDescent="0.3">
      <c r="A157" t="str">
        <f>_xlfn.XLOOKUP(GERAL[[#This Row],[Dia]],U:U,T:T,"")</f>
        <v>Semana 7</v>
      </c>
      <c r="B157" s="1">
        <v>46094</v>
      </c>
      <c r="C157" t="s">
        <v>26</v>
      </c>
      <c r="D157" s="1">
        <v>46094</v>
      </c>
      <c r="E157" t="s">
        <v>36</v>
      </c>
      <c r="F157" t="s">
        <v>46</v>
      </c>
      <c r="G157" t="s">
        <v>47</v>
      </c>
      <c r="I157">
        <v>1</v>
      </c>
      <c r="K157">
        <v>8.4</v>
      </c>
      <c r="Q157" t="s">
        <v>18</v>
      </c>
      <c r="R157" t="str">
        <f>_xlfn.XLOOKUP(GERAL[[#This Row],[Dia]],U:U,V:V,"")</f>
        <v>Prazo_30</v>
      </c>
    </row>
    <row r="158" spans="1:18" x14ac:dyDescent="0.3">
      <c r="A158" t="str">
        <f>_xlfn.XLOOKUP(GERAL[[#This Row],[Dia]],U:U,T:T,"")</f>
        <v>Semana 7</v>
      </c>
      <c r="B158" s="1">
        <v>46094</v>
      </c>
      <c r="C158" t="s">
        <v>26</v>
      </c>
      <c r="D158" s="1">
        <v>46094</v>
      </c>
      <c r="E158" t="s">
        <v>36</v>
      </c>
      <c r="F158" t="s">
        <v>43</v>
      </c>
      <c r="G158" t="s">
        <v>53</v>
      </c>
      <c r="J158">
        <v>13</v>
      </c>
      <c r="Q158" t="s">
        <v>18</v>
      </c>
      <c r="R158" t="str">
        <f>_xlfn.XLOOKUP(GERAL[[#This Row],[Dia]],U:U,V:V,"")</f>
        <v>Prazo_30</v>
      </c>
    </row>
    <row r="159" spans="1:18" x14ac:dyDescent="0.3">
      <c r="A159" t="str">
        <f>_xlfn.XLOOKUP(GERAL[[#This Row],[Dia]],U:U,T:T,"")</f>
        <v>Semana 7</v>
      </c>
      <c r="B159" s="1">
        <v>46095</v>
      </c>
      <c r="C159" t="s">
        <v>16</v>
      </c>
      <c r="D159" s="1">
        <v>46095</v>
      </c>
      <c r="E159" t="s">
        <v>17</v>
      </c>
      <c r="Q159" t="s">
        <v>18</v>
      </c>
      <c r="R159" t="str">
        <f>_xlfn.XLOOKUP(GERAL[[#This Row],[Dia]],U:U,V:V,"")</f>
        <v>Prazo_30</v>
      </c>
    </row>
    <row r="160" spans="1:18" x14ac:dyDescent="0.3">
      <c r="A160" t="str">
        <f>_xlfn.XLOOKUP(GERAL[[#This Row],[Dia]],U:U,T:T,"")</f>
        <v>Semana 7</v>
      </c>
      <c r="B160" s="1">
        <v>46096</v>
      </c>
      <c r="C160" t="s">
        <v>21</v>
      </c>
      <c r="D160" s="1">
        <v>46096</v>
      </c>
      <c r="E160" t="s">
        <v>17</v>
      </c>
      <c r="Q160" t="s">
        <v>18</v>
      </c>
      <c r="R160" t="str">
        <f>_xlfn.XLOOKUP(GERAL[[#This Row],[Dia]],U:U,V:V,"")</f>
        <v>Prazo_30</v>
      </c>
    </row>
    <row r="161" spans="1:18" x14ac:dyDescent="0.3">
      <c r="A161" t="str">
        <f>_xlfn.XLOOKUP(GERAL[[#This Row],[Dia]],U:U,T:T,"")</f>
        <v>Semana 8</v>
      </c>
      <c r="B161" s="1">
        <v>46097</v>
      </c>
      <c r="C161" t="s">
        <v>22</v>
      </c>
      <c r="D161" s="1">
        <v>46097</v>
      </c>
      <c r="E161" t="s">
        <v>36</v>
      </c>
      <c r="F161" t="s">
        <v>46</v>
      </c>
      <c r="G161" t="s">
        <v>47</v>
      </c>
      <c r="I161">
        <v>5</v>
      </c>
      <c r="K161">
        <v>12</v>
      </c>
      <c r="Q161" t="s">
        <v>18</v>
      </c>
      <c r="R161" t="str">
        <f>_xlfn.XLOOKUP(GERAL[[#This Row],[Dia]],U:U,V:V,"")</f>
        <v>Prazo_30</v>
      </c>
    </row>
    <row r="162" spans="1:18" x14ac:dyDescent="0.3">
      <c r="A162" t="str">
        <f>_xlfn.XLOOKUP(GERAL[[#This Row],[Dia]],U:U,T:T,"")</f>
        <v>Semana 8</v>
      </c>
      <c r="B162" s="1">
        <v>46097</v>
      </c>
      <c r="C162" t="s">
        <v>22</v>
      </c>
      <c r="D162" s="1">
        <v>46097</v>
      </c>
      <c r="E162" t="s">
        <v>36</v>
      </c>
      <c r="F162" t="s">
        <v>43</v>
      </c>
      <c r="G162" t="s">
        <v>58</v>
      </c>
      <c r="J162">
        <v>21</v>
      </c>
      <c r="Q162" t="s">
        <v>18</v>
      </c>
      <c r="R162" t="str">
        <f>_xlfn.XLOOKUP(GERAL[[#This Row],[Dia]],U:U,V:V,"")</f>
        <v>Prazo_30</v>
      </c>
    </row>
    <row r="163" spans="1:18" x14ac:dyDescent="0.3">
      <c r="A163" t="str">
        <f>_xlfn.XLOOKUP(GERAL[[#This Row],[Dia]],U:U,T:T,"")</f>
        <v>Semana 8</v>
      </c>
      <c r="B163" s="1">
        <v>46098</v>
      </c>
      <c r="C163" t="s">
        <v>23</v>
      </c>
      <c r="D163" s="1">
        <v>46098</v>
      </c>
      <c r="E163" t="s">
        <v>36</v>
      </c>
      <c r="F163" t="s">
        <v>43</v>
      </c>
      <c r="G163" t="s">
        <v>59</v>
      </c>
      <c r="I163">
        <v>5</v>
      </c>
      <c r="J163">
        <v>33</v>
      </c>
      <c r="Q163" t="s">
        <v>18</v>
      </c>
      <c r="R163" t="str">
        <f>_xlfn.XLOOKUP(GERAL[[#This Row],[Dia]],U:U,V:V,"")</f>
        <v>Prazo_30</v>
      </c>
    </row>
    <row r="164" spans="1:18" x14ac:dyDescent="0.3">
      <c r="A164" t="str">
        <f>_xlfn.XLOOKUP(GERAL[[#This Row],[Dia]],U:U,T:T,"")</f>
        <v>Semana 8</v>
      </c>
      <c r="B164" s="1">
        <v>46098</v>
      </c>
      <c r="C164" t="s">
        <v>23</v>
      </c>
      <c r="D164" s="1">
        <v>46098</v>
      </c>
      <c r="E164" t="s">
        <v>36</v>
      </c>
      <c r="F164" t="s">
        <v>43</v>
      </c>
      <c r="G164" t="s">
        <v>53</v>
      </c>
      <c r="J164">
        <v>21</v>
      </c>
      <c r="N164">
        <v>4</v>
      </c>
      <c r="Q164" t="s">
        <v>18</v>
      </c>
      <c r="R164" t="str">
        <f>_xlfn.XLOOKUP(GERAL[[#This Row],[Dia]],U:U,V:V,"")</f>
        <v>Prazo_30</v>
      </c>
    </row>
    <row r="165" spans="1:18" x14ac:dyDescent="0.3">
      <c r="A165" t="str">
        <f>_xlfn.XLOOKUP(GERAL[[#This Row],[Dia]],U:U,T:T,"")</f>
        <v>Semana 8</v>
      </c>
      <c r="B165" s="1">
        <v>46098</v>
      </c>
      <c r="C165" t="s">
        <v>23</v>
      </c>
      <c r="D165" s="1">
        <v>46098</v>
      </c>
      <c r="E165" t="s">
        <v>36</v>
      </c>
      <c r="F165" t="s">
        <v>46</v>
      </c>
      <c r="G165" t="s">
        <v>47</v>
      </c>
      <c r="I165">
        <v>2</v>
      </c>
      <c r="K165">
        <v>8</v>
      </c>
      <c r="Q165" t="s">
        <v>18</v>
      </c>
      <c r="R165" t="str">
        <f>_xlfn.XLOOKUP(GERAL[[#This Row],[Dia]],U:U,V:V,"")</f>
        <v>Prazo_30</v>
      </c>
    </row>
    <row r="166" spans="1:18" x14ac:dyDescent="0.3">
      <c r="A166" t="str">
        <f>_xlfn.XLOOKUP(GERAL[[#This Row],[Dia]],U:U,T:T,"")</f>
        <v>Semana 8</v>
      </c>
      <c r="B166" s="1">
        <v>46099</v>
      </c>
      <c r="C166" t="s">
        <v>24</v>
      </c>
      <c r="D166" s="1">
        <v>46099</v>
      </c>
      <c r="E166" t="s">
        <v>36</v>
      </c>
      <c r="F166" t="s">
        <v>46</v>
      </c>
      <c r="G166" t="s">
        <v>60</v>
      </c>
      <c r="J166">
        <v>15</v>
      </c>
      <c r="Q166" t="s">
        <v>18</v>
      </c>
      <c r="R166" t="str">
        <f>_xlfn.XLOOKUP(GERAL[[#This Row],[Dia]],U:U,V:V,"")</f>
        <v>Prazo_30</v>
      </c>
    </row>
    <row r="167" spans="1:18" x14ac:dyDescent="0.3">
      <c r="A167" t="str">
        <f>_xlfn.XLOOKUP(GERAL[[#This Row],[Dia]],U:U,T:T,"")</f>
        <v>Semana 8</v>
      </c>
      <c r="B167" s="1">
        <v>46099</v>
      </c>
      <c r="C167" t="s">
        <v>24</v>
      </c>
      <c r="D167" s="1">
        <v>46099</v>
      </c>
      <c r="E167" t="s">
        <v>36</v>
      </c>
      <c r="F167" t="s">
        <v>43</v>
      </c>
      <c r="G167" t="s">
        <v>58</v>
      </c>
      <c r="N167">
        <v>2</v>
      </c>
      <c r="Q167" t="s">
        <v>18</v>
      </c>
      <c r="R167" t="str">
        <f>_xlfn.XLOOKUP(GERAL[[#This Row],[Dia]],U:U,V:V,"")</f>
        <v>Prazo_30</v>
      </c>
    </row>
    <row r="168" spans="1:18" x14ac:dyDescent="0.3">
      <c r="A168" t="str">
        <f>_xlfn.XLOOKUP(GERAL[[#This Row],[Dia]],U:U,T:T,"")</f>
        <v>Semana 8</v>
      </c>
      <c r="B168" s="1">
        <v>46099</v>
      </c>
      <c r="C168" t="s">
        <v>24</v>
      </c>
      <c r="D168" s="1">
        <v>46099</v>
      </c>
      <c r="E168" t="s">
        <v>36</v>
      </c>
      <c r="F168" t="s">
        <v>46</v>
      </c>
      <c r="G168" t="s">
        <v>47</v>
      </c>
      <c r="K168">
        <v>12</v>
      </c>
      <c r="Q168" t="s">
        <v>18</v>
      </c>
      <c r="R168" t="str">
        <f>_xlfn.XLOOKUP(GERAL[[#This Row],[Dia]],U:U,V:V,"")</f>
        <v>Prazo_30</v>
      </c>
    </row>
    <row r="169" spans="1:18" x14ac:dyDescent="0.3">
      <c r="A169" t="str">
        <f>_xlfn.XLOOKUP(GERAL[[#This Row],[Dia]],U:U,T:T,"")</f>
        <v>Semana 8</v>
      </c>
      <c r="B169" s="1">
        <v>46100</v>
      </c>
      <c r="C169" t="s">
        <v>25</v>
      </c>
      <c r="D169" s="1">
        <v>46100</v>
      </c>
      <c r="E169" t="s">
        <v>36</v>
      </c>
      <c r="F169" t="s">
        <v>43</v>
      </c>
      <c r="G169" t="s">
        <v>60</v>
      </c>
      <c r="H169">
        <v>1</v>
      </c>
      <c r="J169">
        <v>20</v>
      </c>
      <c r="Q169" t="s">
        <v>18</v>
      </c>
      <c r="R169" t="str">
        <f>_xlfn.XLOOKUP(GERAL[[#This Row],[Dia]],U:U,V:V,"")</f>
        <v>Prazo_30</v>
      </c>
    </row>
    <row r="170" spans="1:18" x14ac:dyDescent="0.3">
      <c r="A170" t="str">
        <f>_xlfn.XLOOKUP(GERAL[[#This Row],[Dia]],U:U,T:T,"")</f>
        <v>Semana 8</v>
      </c>
      <c r="B170" s="1">
        <v>46101</v>
      </c>
      <c r="C170" t="s">
        <v>26</v>
      </c>
      <c r="D170" s="1">
        <v>46101</v>
      </c>
      <c r="E170" t="s">
        <v>36</v>
      </c>
      <c r="F170" t="s">
        <v>43</v>
      </c>
      <c r="G170" t="s">
        <v>61</v>
      </c>
      <c r="H170">
        <v>3</v>
      </c>
      <c r="Q170" t="s">
        <v>18</v>
      </c>
      <c r="R170" t="str">
        <f>_xlfn.XLOOKUP(GERAL[[#This Row],[Dia]],U:U,V:V,"")</f>
        <v>Prazo_30</v>
      </c>
    </row>
    <row r="171" spans="1:18" x14ac:dyDescent="0.3">
      <c r="A171" t="str">
        <f>_xlfn.XLOOKUP(GERAL[[#This Row],[Dia]],U:U,T:T,"")</f>
        <v>Semana 8</v>
      </c>
      <c r="B171" s="1">
        <v>46102</v>
      </c>
      <c r="C171" t="s">
        <v>16</v>
      </c>
      <c r="D171" s="1">
        <v>46102</v>
      </c>
      <c r="E171" t="s">
        <v>17</v>
      </c>
      <c r="Q171" t="s">
        <v>18</v>
      </c>
      <c r="R171" t="str">
        <f>_xlfn.XLOOKUP(GERAL[[#This Row],[Dia]],U:U,V:V,"")</f>
        <v>Prazo_30</v>
      </c>
    </row>
    <row r="172" spans="1:18" x14ac:dyDescent="0.3">
      <c r="A172" t="str">
        <f>_xlfn.XLOOKUP(GERAL[[#This Row],[Dia]],U:U,T:T,"")</f>
        <v>Semana 8</v>
      </c>
      <c r="B172" s="1">
        <v>46103</v>
      </c>
      <c r="C172" t="s">
        <v>21</v>
      </c>
      <c r="D172" s="1">
        <v>46103</v>
      </c>
      <c r="E172" t="s">
        <v>17</v>
      </c>
      <c r="Q172" t="s">
        <v>18</v>
      </c>
      <c r="R172" t="str">
        <f>_xlfn.XLOOKUP(GERAL[[#This Row],[Dia]],U:U,V:V,"")</f>
        <v>Prazo_30</v>
      </c>
    </row>
    <row r="173" spans="1:18" x14ac:dyDescent="0.3">
      <c r="A173" t="str">
        <f>_xlfn.XLOOKUP(GERAL[[#This Row],[Dia]],U:U,T:T,"")</f>
        <v>Semana 9</v>
      </c>
      <c r="B173" s="1">
        <v>46104</v>
      </c>
      <c r="C173" t="s">
        <v>22</v>
      </c>
      <c r="D173" s="1">
        <v>46104</v>
      </c>
      <c r="E173" t="s">
        <v>36</v>
      </c>
      <c r="F173" t="s">
        <v>43</v>
      </c>
      <c r="G173" t="s">
        <v>52</v>
      </c>
      <c r="H173">
        <v>3</v>
      </c>
      <c r="I173">
        <v>2</v>
      </c>
      <c r="K173">
        <v>6</v>
      </c>
      <c r="M173">
        <v>2</v>
      </c>
      <c r="N173">
        <v>4</v>
      </c>
      <c r="Q173" t="s">
        <v>18</v>
      </c>
      <c r="R173" t="str">
        <f>_xlfn.XLOOKUP(GERAL[[#This Row],[Dia]],U:U,V:V,"")</f>
        <v>Prazo_30</v>
      </c>
    </row>
    <row r="174" spans="1:18" x14ac:dyDescent="0.3">
      <c r="A174" t="str">
        <f>_xlfn.XLOOKUP(GERAL[[#This Row],[Dia]],U:U,T:T,"")</f>
        <v>Semana 9</v>
      </c>
      <c r="B174" s="1">
        <v>46105</v>
      </c>
      <c r="C174" t="s">
        <v>23</v>
      </c>
      <c r="D174" s="1">
        <v>46105</v>
      </c>
      <c r="E174" t="s">
        <v>36</v>
      </c>
      <c r="F174" t="s">
        <v>43</v>
      </c>
      <c r="G174" t="s">
        <v>52</v>
      </c>
      <c r="I174">
        <v>2</v>
      </c>
      <c r="K174">
        <v>6</v>
      </c>
      <c r="N174">
        <v>3</v>
      </c>
      <c r="Q174" t="s">
        <v>18</v>
      </c>
      <c r="R174" t="str">
        <f>_xlfn.XLOOKUP(GERAL[[#This Row],[Dia]],U:U,V:V,"")</f>
        <v>Prazo_30</v>
      </c>
    </row>
    <row r="175" spans="1:18" x14ac:dyDescent="0.3">
      <c r="A175" t="str">
        <f>_xlfn.XLOOKUP(GERAL[[#This Row],[Dia]],U:U,T:T,"")</f>
        <v>Semana 9</v>
      </c>
      <c r="B175" s="1">
        <v>46105</v>
      </c>
      <c r="C175" t="s">
        <v>23</v>
      </c>
      <c r="D175" s="1">
        <v>46105</v>
      </c>
      <c r="E175" t="s">
        <v>36</v>
      </c>
      <c r="F175" t="s">
        <v>43</v>
      </c>
      <c r="G175" t="s">
        <v>62</v>
      </c>
      <c r="N175">
        <v>3</v>
      </c>
      <c r="Q175" t="s">
        <v>18</v>
      </c>
      <c r="R175" t="str">
        <f>_xlfn.XLOOKUP(GERAL[[#This Row],[Dia]],U:U,V:V,"")</f>
        <v>Prazo_30</v>
      </c>
    </row>
    <row r="176" spans="1:18" x14ac:dyDescent="0.3">
      <c r="A176" t="str">
        <f>_xlfn.XLOOKUP(GERAL[[#This Row],[Dia]],U:U,T:T,"")</f>
        <v>Semana 9</v>
      </c>
      <c r="B176" s="1">
        <v>46105</v>
      </c>
      <c r="C176" t="s">
        <v>23</v>
      </c>
      <c r="D176" s="1">
        <v>46105</v>
      </c>
      <c r="E176" t="s">
        <v>36</v>
      </c>
      <c r="F176" t="s">
        <v>46</v>
      </c>
      <c r="G176" t="s">
        <v>63</v>
      </c>
      <c r="J176">
        <v>30</v>
      </c>
      <c r="Q176" t="s">
        <v>18</v>
      </c>
      <c r="R176" t="str">
        <f>_xlfn.XLOOKUP(GERAL[[#This Row],[Dia]],U:U,V:V,"")</f>
        <v>Prazo_30</v>
      </c>
    </row>
    <row r="177" spans="1:18" x14ac:dyDescent="0.3">
      <c r="A177" t="str">
        <f>_xlfn.XLOOKUP(GERAL[[#This Row],[Dia]],U:U,T:T,"")</f>
        <v>Semana 9</v>
      </c>
      <c r="B177" s="1">
        <v>46105</v>
      </c>
      <c r="C177" t="s">
        <v>23</v>
      </c>
      <c r="D177" s="1">
        <v>46105</v>
      </c>
      <c r="E177" t="s">
        <v>36</v>
      </c>
      <c r="F177" t="s">
        <v>50</v>
      </c>
      <c r="G177" t="s">
        <v>53</v>
      </c>
      <c r="J177">
        <v>30</v>
      </c>
      <c r="Q177" t="s">
        <v>18</v>
      </c>
      <c r="R177" t="str">
        <f>_xlfn.XLOOKUP(GERAL[[#This Row],[Dia]],U:U,V:V,"")</f>
        <v>Prazo_30</v>
      </c>
    </row>
    <row r="178" spans="1:18" x14ac:dyDescent="0.3">
      <c r="A178" t="str">
        <f>_xlfn.XLOOKUP(GERAL[[#This Row],[Dia]],U:U,T:T,"")</f>
        <v>Semana 9</v>
      </c>
      <c r="B178" s="1">
        <v>46106</v>
      </c>
      <c r="C178" t="s">
        <v>24</v>
      </c>
      <c r="D178" s="1">
        <v>46106</v>
      </c>
      <c r="E178" t="s">
        <v>36</v>
      </c>
      <c r="F178" t="s">
        <v>43</v>
      </c>
      <c r="G178" t="s">
        <v>64</v>
      </c>
      <c r="I178">
        <v>2</v>
      </c>
      <c r="K178">
        <v>9</v>
      </c>
      <c r="Q178" t="s">
        <v>18</v>
      </c>
      <c r="R178" t="str">
        <f>_xlfn.XLOOKUP(GERAL[[#This Row],[Dia]],U:U,V:V,"")</f>
        <v>Prazo_30</v>
      </c>
    </row>
    <row r="179" spans="1:18" x14ac:dyDescent="0.3">
      <c r="A179" t="str">
        <f>_xlfn.XLOOKUP(GERAL[[#This Row],[Dia]],U:U,T:T,"")</f>
        <v>Semana 9</v>
      </c>
      <c r="B179" s="1">
        <v>46106</v>
      </c>
      <c r="C179" t="s">
        <v>24</v>
      </c>
      <c r="D179" s="1">
        <v>46106</v>
      </c>
      <c r="E179" t="s">
        <v>36</v>
      </c>
      <c r="F179" t="s">
        <v>46</v>
      </c>
      <c r="G179" t="s">
        <v>59</v>
      </c>
      <c r="J179">
        <v>18</v>
      </c>
      <c r="K179">
        <v>18</v>
      </c>
      <c r="Q179" t="s">
        <v>18</v>
      </c>
      <c r="R179" t="str">
        <f>_xlfn.XLOOKUP(GERAL[[#This Row],[Dia]],U:U,V:V,"")</f>
        <v>Prazo_30</v>
      </c>
    </row>
    <row r="180" spans="1:18" x14ac:dyDescent="0.3">
      <c r="A180" t="str">
        <f>_xlfn.XLOOKUP(GERAL[[#This Row],[Dia]],U:U,T:T,"")</f>
        <v>Semana 9</v>
      </c>
      <c r="B180" s="1">
        <v>46106</v>
      </c>
      <c r="C180" t="s">
        <v>24</v>
      </c>
      <c r="D180" s="1">
        <v>46106</v>
      </c>
      <c r="E180" t="s">
        <v>36</v>
      </c>
      <c r="F180" t="s">
        <v>46</v>
      </c>
      <c r="G180" t="s">
        <v>61</v>
      </c>
      <c r="I180">
        <v>4</v>
      </c>
      <c r="Q180" t="s">
        <v>18</v>
      </c>
      <c r="R180" t="str">
        <f>_xlfn.XLOOKUP(GERAL[[#This Row],[Dia]],U:U,V:V,"")</f>
        <v>Prazo_30</v>
      </c>
    </row>
    <row r="181" spans="1:18" x14ac:dyDescent="0.3">
      <c r="A181" t="str">
        <f>_xlfn.XLOOKUP(GERAL[[#This Row],[Dia]],U:U,T:T,"")</f>
        <v>Semana 9</v>
      </c>
      <c r="B181" s="1">
        <v>46106</v>
      </c>
      <c r="C181" t="s">
        <v>24</v>
      </c>
      <c r="D181" s="1">
        <v>46106</v>
      </c>
      <c r="E181" t="s">
        <v>36</v>
      </c>
      <c r="F181" t="s">
        <v>50</v>
      </c>
      <c r="G181" t="s">
        <v>53</v>
      </c>
      <c r="H181">
        <v>5</v>
      </c>
      <c r="J181">
        <v>15</v>
      </c>
      <c r="Q181" t="s">
        <v>18</v>
      </c>
      <c r="R181" t="str">
        <f>_xlfn.XLOOKUP(GERAL[[#This Row],[Dia]],U:U,V:V,"")</f>
        <v>Prazo_30</v>
      </c>
    </row>
    <row r="182" spans="1:18" x14ac:dyDescent="0.3">
      <c r="A182" t="str">
        <f>_xlfn.XLOOKUP(GERAL[[#This Row],[Dia]],U:U,T:T,"")</f>
        <v>Semana 9</v>
      </c>
      <c r="B182" s="1">
        <v>46107</v>
      </c>
      <c r="C182" t="s">
        <v>25</v>
      </c>
      <c r="D182" s="1">
        <v>46107</v>
      </c>
      <c r="E182" t="s">
        <v>36</v>
      </c>
      <c r="F182" t="s">
        <v>43</v>
      </c>
      <c r="G182" t="s">
        <v>52</v>
      </c>
      <c r="H182">
        <v>15</v>
      </c>
      <c r="J182">
        <v>25</v>
      </c>
      <c r="Q182" t="s">
        <v>18</v>
      </c>
      <c r="R182" t="str">
        <f>_xlfn.XLOOKUP(GERAL[[#This Row],[Dia]],U:U,V:V,"")</f>
        <v>Prazo_30</v>
      </c>
    </row>
    <row r="183" spans="1:18" x14ac:dyDescent="0.3">
      <c r="A183" t="str">
        <f>_xlfn.XLOOKUP(GERAL[[#This Row],[Dia]],U:U,T:T,"")</f>
        <v>Semana 9</v>
      </c>
      <c r="B183" s="1">
        <v>46107</v>
      </c>
      <c r="C183" t="s">
        <v>25</v>
      </c>
      <c r="D183" s="1">
        <v>46107</v>
      </c>
      <c r="E183" t="s">
        <v>36</v>
      </c>
      <c r="F183" t="s">
        <v>46</v>
      </c>
      <c r="G183" t="s">
        <v>61</v>
      </c>
      <c r="H183">
        <v>8</v>
      </c>
      <c r="O183">
        <v>15</v>
      </c>
      <c r="Q183" t="s">
        <v>18</v>
      </c>
      <c r="R183" t="str">
        <f>_xlfn.XLOOKUP(GERAL[[#This Row],[Dia]],U:U,V:V,"")</f>
        <v>Prazo_30</v>
      </c>
    </row>
    <row r="184" spans="1:18" x14ac:dyDescent="0.3">
      <c r="A184" t="str">
        <f>_xlfn.XLOOKUP(GERAL[[#This Row],[Dia]],U:U,T:T,"")</f>
        <v>Semana 9</v>
      </c>
      <c r="B184" s="1">
        <v>46107</v>
      </c>
      <c r="C184" t="s">
        <v>25</v>
      </c>
      <c r="D184" s="1">
        <v>46107</v>
      </c>
      <c r="E184" t="s">
        <v>36</v>
      </c>
      <c r="F184" t="s">
        <v>50</v>
      </c>
      <c r="G184" t="s">
        <v>53</v>
      </c>
      <c r="H184">
        <v>10</v>
      </c>
      <c r="Q184" t="s">
        <v>18</v>
      </c>
      <c r="R184" t="str">
        <f>_xlfn.XLOOKUP(GERAL[[#This Row],[Dia]],U:U,V:V,"")</f>
        <v>Prazo_30</v>
      </c>
    </row>
    <row r="185" spans="1:18" x14ac:dyDescent="0.3">
      <c r="A185" t="str">
        <f>_xlfn.XLOOKUP(GERAL[[#This Row],[Dia]],U:U,T:T,"")</f>
        <v>Semana 9</v>
      </c>
      <c r="B185" s="1">
        <v>46107</v>
      </c>
      <c r="C185" t="s">
        <v>25</v>
      </c>
      <c r="D185" s="1">
        <v>46107</v>
      </c>
      <c r="E185" t="s">
        <v>36</v>
      </c>
      <c r="F185" t="s">
        <v>50</v>
      </c>
      <c r="G185" t="s">
        <v>59</v>
      </c>
      <c r="H185">
        <v>3</v>
      </c>
      <c r="L185">
        <v>1</v>
      </c>
      <c r="Q185" t="s">
        <v>18</v>
      </c>
      <c r="R185" t="str">
        <f>_xlfn.XLOOKUP(GERAL[[#This Row],[Dia]],U:U,V:V,"")</f>
        <v>Prazo_30</v>
      </c>
    </row>
    <row r="186" spans="1:18" x14ac:dyDescent="0.3">
      <c r="A186" t="str">
        <f>_xlfn.XLOOKUP(GERAL[[#This Row],[Dia]],U:U,T:T,"")</f>
        <v>Semana 9</v>
      </c>
      <c r="B186" s="1">
        <v>46108</v>
      </c>
      <c r="C186" t="s">
        <v>26</v>
      </c>
      <c r="D186" s="1">
        <v>46108</v>
      </c>
      <c r="E186" t="s">
        <v>36</v>
      </c>
      <c r="F186" t="s">
        <v>43</v>
      </c>
      <c r="G186" t="s">
        <v>44</v>
      </c>
      <c r="H186">
        <v>7</v>
      </c>
      <c r="J186">
        <v>15</v>
      </c>
      <c r="O186">
        <v>1</v>
      </c>
      <c r="Q186" t="s">
        <v>18</v>
      </c>
      <c r="R186" t="str">
        <f>_xlfn.XLOOKUP(GERAL[[#This Row],[Dia]],U:U,V:V,"")</f>
        <v>Prazo_30</v>
      </c>
    </row>
    <row r="187" spans="1:18" x14ac:dyDescent="0.3">
      <c r="A187" t="str">
        <f>_xlfn.XLOOKUP(GERAL[[#This Row],[Dia]],U:U,T:T,"")</f>
        <v>Semana 9</v>
      </c>
      <c r="B187" s="1">
        <v>46108</v>
      </c>
      <c r="C187" t="s">
        <v>26</v>
      </c>
      <c r="D187" s="1">
        <v>46108</v>
      </c>
      <c r="E187" t="s">
        <v>36</v>
      </c>
      <c r="F187" t="s">
        <v>46</v>
      </c>
      <c r="G187" t="s">
        <v>59</v>
      </c>
      <c r="H187">
        <v>3</v>
      </c>
      <c r="J187">
        <v>8</v>
      </c>
      <c r="K187">
        <v>8</v>
      </c>
      <c r="Q187" t="s">
        <v>18</v>
      </c>
      <c r="R187" t="str">
        <f>_xlfn.XLOOKUP(GERAL[[#This Row],[Dia]],U:U,V:V,"")</f>
        <v>Prazo_30</v>
      </c>
    </row>
    <row r="188" spans="1:18" x14ac:dyDescent="0.3">
      <c r="A188" t="str">
        <f>_xlfn.XLOOKUP(GERAL[[#This Row],[Dia]],U:U,T:T,"")</f>
        <v>Semana 9</v>
      </c>
      <c r="B188" s="1">
        <v>46109</v>
      </c>
      <c r="C188" t="s">
        <v>16</v>
      </c>
      <c r="D188" s="1">
        <v>46109</v>
      </c>
      <c r="E188" t="s">
        <v>17</v>
      </c>
      <c r="Q188" t="s">
        <v>18</v>
      </c>
      <c r="R188" t="str">
        <f>_xlfn.XLOOKUP(GERAL[[#This Row],[Dia]],U:U,V:V,"")</f>
        <v>Prazo_30</v>
      </c>
    </row>
    <row r="189" spans="1:18" x14ac:dyDescent="0.3">
      <c r="A189" t="str">
        <f>_xlfn.XLOOKUP(GERAL[[#This Row],[Dia]],U:U,T:T,"")</f>
        <v>Semana 9</v>
      </c>
      <c r="B189" s="1">
        <v>46110</v>
      </c>
      <c r="C189" t="s">
        <v>21</v>
      </c>
      <c r="D189" s="1">
        <v>46110</v>
      </c>
      <c r="E189" t="s">
        <v>17</v>
      </c>
      <c r="Q189" t="s">
        <v>18</v>
      </c>
      <c r="R189" t="str">
        <f>_xlfn.XLOOKUP(GERAL[[#This Row],[Dia]],U:U,V:V,"")</f>
        <v>Prazo_30</v>
      </c>
    </row>
    <row r="190" spans="1:18" x14ac:dyDescent="0.3">
      <c r="A190" t="str">
        <f>_xlfn.XLOOKUP(GERAL[[#This Row],[Dia]],U:U,T:T,"")</f>
        <v>Semana 10</v>
      </c>
      <c r="B190" s="1">
        <v>46111</v>
      </c>
      <c r="C190" t="s">
        <v>22</v>
      </c>
      <c r="D190" s="1">
        <v>46111</v>
      </c>
      <c r="E190" t="s">
        <v>36</v>
      </c>
      <c r="F190" t="s">
        <v>46</v>
      </c>
      <c r="G190" t="s">
        <v>59</v>
      </c>
      <c r="I190">
        <v>3</v>
      </c>
      <c r="J190">
        <v>18</v>
      </c>
      <c r="K190">
        <v>18</v>
      </c>
      <c r="Q190" t="s">
        <v>18</v>
      </c>
      <c r="R190" t="str">
        <f>_xlfn.XLOOKUP(GERAL[[#This Row],[Dia]],U:U,V:V,"")</f>
        <v>Prazo_30</v>
      </c>
    </row>
    <row r="191" spans="1:18" x14ac:dyDescent="0.3">
      <c r="A191" t="str">
        <f>_xlfn.XLOOKUP(GERAL[[#This Row],[Dia]],U:U,T:T,"")</f>
        <v>Semana 10</v>
      </c>
      <c r="B191" s="1">
        <v>46111</v>
      </c>
      <c r="C191" t="s">
        <v>22</v>
      </c>
      <c r="D191" s="1">
        <v>46111</v>
      </c>
      <c r="E191" t="s">
        <v>36</v>
      </c>
      <c r="F191" t="s">
        <v>46</v>
      </c>
      <c r="G191" t="s">
        <v>61</v>
      </c>
      <c r="I191">
        <v>4</v>
      </c>
      <c r="Q191" t="s">
        <v>18</v>
      </c>
      <c r="R191" t="str">
        <f>_xlfn.XLOOKUP(GERAL[[#This Row],[Dia]],U:U,V:V,"")</f>
        <v>Prazo_30</v>
      </c>
    </row>
    <row r="192" spans="1:18" x14ac:dyDescent="0.3">
      <c r="A192" t="str">
        <f>_xlfn.XLOOKUP(GERAL[[#This Row],[Dia]],U:U,T:T,"")</f>
        <v>Semana 10</v>
      </c>
      <c r="B192" s="1">
        <v>46112</v>
      </c>
      <c r="C192" t="s">
        <v>23</v>
      </c>
      <c r="D192" s="1">
        <v>46112</v>
      </c>
      <c r="E192" t="s">
        <v>36</v>
      </c>
      <c r="F192" t="s">
        <v>43</v>
      </c>
      <c r="G192" t="s">
        <v>52</v>
      </c>
      <c r="N192">
        <v>1</v>
      </c>
      <c r="O192">
        <v>1</v>
      </c>
      <c r="Q192" t="s">
        <v>18</v>
      </c>
      <c r="R192" t="str">
        <f>_xlfn.XLOOKUP(GERAL[[#This Row],[Dia]],U:U,V:V,"")</f>
        <v>Prazo_30</v>
      </c>
    </row>
    <row r="193" spans="1:18" x14ac:dyDescent="0.3">
      <c r="A193" t="str">
        <f>_xlfn.XLOOKUP(GERAL[[#This Row],[Dia]],U:U,T:T,"")</f>
        <v>Semana 10</v>
      </c>
      <c r="B193" s="1">
        <v>46112</v>
      </c>
      <c r="C193" t="s">
        <v>23</v>
      </c>
      <c r="D193" s="1">
        <v>46112</v>
      </c>
      <c r="E193" t="s">
        <v>36</v>
      </c>
      <c r="F193" t="s">
        <v>46</v>
      </c>
      <c r="G193" t="s">
        <v>59</v>
      </c>
      <c r="K193">
        <v>6</v>
      </c>
      <c r="Q193" t="s">
        <v>18</v>
      </c>
      <c r="R193" t="str">
        <f>_xlfn.XLOOKUP(GERAL[[#This Row],[Dia]],U:U,V:V,"")</f>
        <v>Prazo_30</v>
      </c>
    </row>
    <row r="194" spans="1:18" hidden="1" x14ac:dyDescent="0.3">
      <c r="A194" t="str">
        <f>_xlfn.XLOOKUP(GERAL[[#This Row],[Dia]],U:U,T:T,"")</f>
        <v>Semana 10</v>
      </c>
      <c r="B194" s="1">
        <v>46113</v>
      </c>
      <c r="C194" t="s">
        <v>24</v>
      </c>
      <c r="D194" s="1">
        <v>46113</v>
      </c>
      <c r="E194" t="s">
        <v>36</v>
      </c>
      <c r="F194" t="s">
        <v>43</v>
      </c>
      <c r="G194" t="s">
        <v>52</v>
      </c>
      <c r="N194">
        <v>3</v>
      </c>
      <c r="O194">
        <v>3</v>
      </c>
      <c r="Q194" t="s">
        <v>18</v>
      </c>
      <c r="R194" t="str">
        <f>_xlfn.XLOOKUP(GERAL[[#This Row],[Dia]],U:U,V:V,"")</f>
        <v>Prazo_30</v>
      </c>
    </row>
    <row r="195" spans="1:18" hidden="1" x14ac:dyDescent="0.3">
      <c r="A195" t="str">
        <f>_xlfn.XLOOKUP(GERAL[[#This Row],[Dia]],U:U,T:T,"")</f>
        <v>Semana 10</v>
      </c>
      <c r="B195" s="1">
        <v>46113</v>
      </c>
      <c r="C195" t="s">
        <v>24</v>
      </c>
      <c r="D195" s="1">
        <v>46113</v>
      </c>
      <c r="E195" t="s">
        <v>36</v>
      </c>
      <c r="F195" t="s">
        <v>43</v>
      </c>
      <c r="G195" t="s">
        <v>62</v>
      </c>
      <c r="N195">
        <v>1</v>
      </c>
      <c r="O195">
        <v>1</v>
      </c>
      <c r="Q195" t="s">
        <v>18</v>
      </c>
      <c r="R195" t="str">
        <f>_xlfn.XLOOKUP(GERAL[[#This Row],[Dia]],U:U,V:V,"")</f>
        <v>Prazo_30</v>
      </c>
    </row>
    <row r="196" spans="1:18" hidden="1" x14ac:dyDescent="0.3">
      <c r="A196" t="str">
        <f>_xlfn.XLOOKUP(GERAL[[#This Row],[Dia]],U:U,T:T,"")</f>
        <v>Semana 10</v>
      </c>
      <c r="B196" s="1">
        <v>46113</v>
      </c>
      <c r="C196" t="s">
        <v>24</v>
      </c>
      <c r="D196" s="1">
        <v>46113</v>
      </c>
      <c r="E196" t="s">
        <v>36</v>
      </c>
      <c r="F196" t="s">
        <v>43</v>
      </c>
      <c r="G196" t="s">
        <v>65</v>
      </c>
      <c r="O196">
        <v>10</v>
      </c>
      <c r="Q196" t="s">
        <v>18</v>
      </c>
      <c r="R196" t="str">
        <f>_xlfn.XLOOKUP(GERAL[[#This Row],[Dia]],U:U,V:V,"")</f>
        <v>Prazo_30</v>
      </c>
    </row>
    <row r="197" spans="1:18" hidden="1" x14ac:dyDescent="0.3">
      <c r="A197" t="str">
        <f>_xlfn.XLOOKUP(GERAL[[#This Row],[Dia]],U:U,T:T,"")</f>
        <v>Semana 10</v>
      </c>
      <c r="B197" s="1">
        <v>46113</v>
      </c>
      <c r="C197" t="s">
        <v>24</v>
      </c>
      <c r="D197" s="1">
        <v>46113</v>
      </c>
      <c r="E197" t="s">
        <v>36</v>
      </c>
      <c r="F197" t="s">
        <v>43</v>
      </c>
      <c r="G197" t="s">
        <v>66</v>
      </c>
      <c r="O197">
        <v>4</v>
      </c>
      <c r="Q197" t="s">
        <v>18</v>
      </c>
      <c r="R197" t="str">
        <f>_xlfn.XLOOKUP(GERAL[[#This Row],[Dia]],U:U,V:V,"")</f>
        <v>Prazo_30</v>
      </c>
    </row>
    <row r="198" spans="1:18" hidden="1" x14ac:dyDescent="0.3">
      <c r="A198" t="str">
        <f>_xlfn.XLOOKUP(GERAL[[#This Row],[Dia]],U:U,T:T,"")</f>
        <v>Semana 10</v>
      </c>
      <c r="B198" s="1">
        <v>46113</v>
      </c>
      <c r="C198" t="s">
        <v>24</v>
      </c>
      <c r="D198" s="1">
        <v>46113</v>
      </c>
      <c r="E198" t="s">
        <v>36</v>
      </c>
      <c r="F198" t="s">
        <v>46</v>
      </c>
      <c r="G198" t="s">
        <v>59</v>
      </c>
      <c r="J198">
        <v>18</v>
      </c>
      <c r="K198">
        <v>18</v>
      </c>
      <c r="Q198" t="s">
        <v>18</v>
      </c>
      <c r="R198" t="str">
        <f>_xlfn.XLOOKUP(GERAL[[#This Row],[Dia]],U:U,V:V,"")</f>
        <v>Prazo_30</v>
      </c>
    </row>
    <row r="199" spans="1:18" hidden="1" x14ac:dyDescent="0.3">
      <c r="A199" t="str">
        <f>_xlfn.XLOOKUP(GERAL[[#This Row],[Dia]],U:U,T:T,"")</f>
        <v>Semana 10</v>
      </c>
      <c r="B199" s="1">
        <v>46114</v>
      </c>
      <c r="C199" t="s">
        <v>25</v>
      </c>
      <c r="D199" s="1">
        <v>46114</v>
      </c>
      <c r="E199" t="s">
        <v>17</v>
      </c>
      <c r="Q199" t="s">
        <v>18</v>
      </c>
      <c r="R199" t="str">
        <f>_xlfn.XLOOKUP(GERAL[[#This Row],[Dia]],U:U,V:V,"")</f>
        <v>Prazo_30</v>
      </c>
    </row>
    <row r="200" spans="1:18" hidden="1" x14ac:dyDescent="0.3">
      <c r="A200" t="str">
        <f>_xlfn.XLOOKUP(GERAL[[#This Row],[Dia]],U:U,T:T,"")</f>
        <v>Semana 10</v>
      </c>
      <c r="B200" s="1">
        <v>46115</v>
      </c>
      <c r="C200" t="s">
        <v>26</v>
      </c>
      <c r="D200" s="1">
        <v>46115</v>
      </c>
      <c r="E200" t="s">
        <v>17</v>
      </c>
      <c r="Q200" t="s">
        <v>18</v>
      </c>
      <c r="R200" t="str">
        <f>_xlfn.XLOOKUP(GERAL[[#This Row],[Dia]],U:U,V:V,"")</f>
        <v>Prazo_30</v>
      </c>
    </row>
    <row r="201" spans="1:18" hidden="1" x14ac:dyDescent="0.3">
      <c r="A201" t="str">
        <f>_xlfn.XLOOKUP(GERAL[[#This Row],[Dia]],U:U,T:T,"")</f>
        <v>Semana 10</v>
      </c>
      <c r="B201" s="1">
        <v>46116</v>
      </c>
      <c r="C201" t="s">
        <v>16</v>
      </c>
      <c r="D201" s="1">
        <v>46116</v>
      </c>
      <c r="E201" t="s">
        <v>17</v>
      </c>
      <c r="Q201" t="s">
        <v>18</v>
      </c>
      <c r="R201" t="str">
        <f>_xlfn.XLOOKUP(GERAL[[#This Row],[Dia]],U:U,V:V,"")</f>
        <v>Prazo_30</v>
      </c>
    </row>
    <row r="202" spans="1:18" hidden="1" x14ac:dyDescent="0.3">
      <c r="A202" t="str">
        <f>_xlfn.XLOOKUP(GERAL[[#This Row],[Dia]],U:U,T:T,"")</f>
        <v>Semana 10</v>
      </c>
      <c r="B202" s="1">
        <v>46117</v>
      </c>
      <c r="C202" t="s">
        <v>21</v>
      </c>
      <c r="D202" s="1">
        <v>46117</v>
      </c>
      <c r="E202" t="s">
        <v>17</v>
      </c>
      <c r="Q202" t="s">
        <v>18</v>
      </c>
      <c r="R202" t="str">
        <f>_xlfn.XLOOKUP(GERAL[[#This Row],[Dia]],U:U,V:V,"")</f>
        <v>Prazo_30</v>
      </c>
    </row>
    <row r="203" spans="1:18" hidden="1" x14ac:dyDescent="0.3">
      <c r="A203" t="str">
        <f>_xlfn.XLOOKUP(GERAL[[#This Row],[Dia]],U:U,T:T,"")</f>
        <v>Semana 11</v>
      </c>
      <c r="B203" s="1">
        <v>46118</v>
      </c>
      <c r="C203" t="s">
        <v>22</v>
      </c>
      <c r="D203" s="1">
        <v>46118</v>
      </c>
      <c r="E203" t="s">
        <v>17</v>
      </c>
      <c r="Q203" t="s">
        <v>18</v>
      </c>
      <c r="R203" t="str">
        <f>_xlfn.XLOOKUP(GERAL[[#This Row],[Dia]],U:U,V:V,"")</f>
        <v>Prazo_30</v>
      </c>
    </row>
    <row r="204" spans="1:18" hidden="1" x14ac:dyDescent="0.3">
      <c r="A204" t="str">
        <f>_xlfn.XLOOKUP(GERAL[[#This Row],[Dia]],U:U,T:T,"")</f>
        <v>Semana 11</v>
      </c>
      <c r="B204" s="1">
        <v>46119</v>
      </c>
      <c r="C204" t="s">
        <v>23</v>
      </c>
      <c r="D204" s="1">
        <v>46119</v>
      </c>
      <c r="E204" t="s">
        <v>17</v>
      </c>
      <c r="Q204" t="s">
        <v>18</v>
      </c>
      <c r="R204" t="str">
        <f>_xlfn.XLOOKUP(GERAL[[#This Row],[Dia]],U:U,V:V,"")</f>
        <v>Prazo_30</v>
      </c>
    </row>
    <row r="205" spans="1:18" hidden="1" x14ac:dyDescent="0.3">
      <c r="A205" t="str">
        <f>_xlfn.XLOOKUP(GERAL[[#This Row],[Dia]],U:U,T:T,"")</f>
        <v>Semana 11</v>
      </c>
      <c r="B205" s="1">
        <v>46120</v>
      </c>
      <c r="C205" t="s">
        <v>24</v>
      </c>
      <c r="D205" s="1">
        <v>46120</v>
      </c>
      <c r="E205" t="s">
        <v>17</v>
      </c>
      <c r="Q205" t="s">
        <v>18</v>
      </c>
      <c r="R205" t="str">
        <f>_xlfn.XLOOKUP(GERAL[[#This Row],[Dia]],U:U,V:V,"")</f>
        <v>Prazo_30</v>
      </c>
    </row>
    <row r="206" spans="1:18" hidden="1" x14ac:dyDescent="0.3">
      <c r="A206" t="str">
        <f>_xlfn.XLOOKUP(GERAL[[#This Row],[Dia]],U:U,T:T,"")</f>
        <v>Semana 11</v>
      </c>
      <c r="B206" s="1">
        <v>46121</v>
      </c>
      <c r="C206" t="s">
        <v>25</v>
      </c>
      <c r="D206" s="1">
        <v>46121</v>
      </c>
      <c r="Q206" t="s">
        <v>18</v>
      </c>
      <c r="R206" t="str">
        <f>_xlfn.XLOOKUP(GERAL[[#This Row],[Dia]],U:U,V:V,"")</f>
        <v>Prazo_30</v>
      </c>
    </row>
    <row r="207" spans="1:18" hidden="1" x14ac:dyDescent="0.3">
      <c r="A207" t="str">
        <f>_xlfn.XLOOKUP(GERAL[[#This Row],[Dia]],U:U,T:T,"")</f>
        <v>Semana 11</v>
      </c>
      <c r="B207" s="1">
        <v>46122</v>
      </c>
      <c r="C207" t="s">
        <v>26</v>
      </c>
      <c r="D207" s="1">
        <v>46122</v>
      </c>
      <c r="Q207" t="s">
        <v>18</v>
      </c>
      <c r="R207" t="str">
        <f>_xlfn.XLOOKUP(GERAL[[#This Row],[Dia]],U:U,V:V,"")</f>
        <v>Prazo_30</v>
      </c>
    </row>
    <row r="208" spans="1:18" hidden="1" x14ac:dyDescent="0.3">
      <c r="A208" t="str">
        <f>_xlfn.XLOOKUP(GERAL[[#This Row],[Dia]],U:U,T:T,"")</f>
        <v>Semana 11</v>
      </c>
      <c r="B208" s="1">
        <v>46123</v>
      </c>
      <c r="C208" t="s">
        <v>16</v>
      </c>
      <c r="D208" s="1">
        <v>46123</v>
      </c>
      <c r="E208" t="s">
        <v>17</v>
      </c>
      <c r="Q208" t="s">
        <v>18</v>
      </c>
      <c r="R208" t="str">
        <f>_xlfn.XLOOKUP(GERAL[[#This Row],[Dia]],U:U,V:V,"")</f>
        <v>Prazo_30</v>
      </c>
    </row>
    <row r="209" spans="1:18" hidden="1" x14ac:dyDescent="0.3">
      <c r="A209" t="str">
        <f>_xlfn.XLOOKUP(GERAL[[#This Row],[Dia]],U:U,T:T,"")</f>
        <v>Semana 11</v>
      </c>
      <c r="B209" s="1">
        <v>46124</v>
      </c>
      <c r="C209" t="s">
        <v>21</v>
      </c>
      <c r="D209" s="1">
        <v>46124</v>
      </c>
      <c r="E209" t="s">
        <v>17</v>
      </c>
      <c r="Q209" t="s">
        <v>18</v>
      </c>
      <c r="R209" t="str">
        <f>_xlfn.XLOOKUP(GERAL[[#This Row],[Dia]],U:U,V:V,"")</f>
        <v>Prazo_30</v>
      </c>
    </row>
    <row r="210" spans="1:18" hidden="1" x14ac:dyDescent="0.3">
      <c r="A210" t="str">
        <f>_xlfn.XLOOKUP(GERAL[[#This Row],[Dia]],U:U,T:T,"")</f>
        <v>Semana 12</v>
      </c>
      <c r="B210" s="1">
        <v>46125</v>
      </c>
      <c r="C210" t="s">
        <v>22</v>
      </c>
      <c r="D210" s="1">
        <v>46125</v>
      </c>
      <c r="Q210" t="s">
        <v>18</v>
      </c>
      <c r="R210" t="str">
        <f>_xlfn.XLOOKUP(GERAL[[#This Row],[Dia]],U:U,V:V,"")</f>
        <v>Prazo_30</v>
      </c>
    </row>
    <row r="211" spans="1:18" hidden="1" x14ac:dyDescent="0.3">
      <c r="A211" t="str">
        <f>_xlfn.XLOOKUP(GERAL[[#This Row],[Dia]],U:U,T:T,"")</f>
        <v>Semana 12</v>
      </c>
      <c r="B211" s="1">
        <v>46126</v>
      </c>
      <c r="C211" t="s">
        <v>23</v>
      </c>
      <c r="D211" s="1">
        <v>46126</v>
      </c>
      <c r="Q211" t="s">
        <v>18</v>
      </c>
      <c r="R211" t="str">
        <f>_xlfn.XLOOKUP(GERAL[[#This Row],[Dia]],U:U,V:V,"")</f>
        <v>Prazo_30</v>
      </c>
    </row>
    <row r="212" spans="1:18" hidden="1" x14ac:dyDescent="0.3">
      <c r="A212" t="str">
        <f>_xlfn.XLOOKUP(GERAL[[#This Row],[Dia]],U:U,T:T,"")</f>
        <v>Semana 12</v>
      </c>
      <c r="B212" s="1">
        <v>46127</v>
      </c>
      <c r="C212" t="s">
        <v>24</v>
      </c>
      <c r="D212" s="1">
        <v>46127</v>
      </c>
      <c r="Q212" t="s">
        <v>18</v>
      </c>
      <c r="R212" t="str">
        <f>_xlfn.XLOOKUP(GERAL[[#This Row],[Dia]],U:U,V:V,"")</f>
        <v>Prazo_30</v>
      </c>
    </row>
    <row r="213" spans="1:18" hidden="1" x14ac:dyDescent="0.3">
      <c r="A213" t="str">
        <f>_xlfn.XLOOKUP(GERAL[[#This Row],[Dia]],U:U,T:T,"")</f>
        <v>Semana 12</v>
      </c>
      <c r="B213" s="1">
        <v>46128</v>
      </c>
      <c r="C213" t="s">
        <v>25</v>
      </c>
      <c r="D213" s="1">
        <v>46128</v>
      </c>
      <c r="Q213" t="s">
        <v>18</v>
      </c>
      <c r="R213" t="str">
        <f>_xlfn.XLOOKUP(GERAL[[#This Row],[Dia]],U:U,V:V,"")</f>
        <v>Prazo_30</v>
      </c>
    </row>
    <row r="214" spans="1:18" hidden="1" x14ac:dyDescent="0.3">
      <c r="A214" t="str">
        <f>_xlfn.XLOOKUP(GERAL[[#This Row],[Dia]],U:U,T:T,"")</f>
        <v>Semana 12</v>
      </c>
      <c r="B214" s="1">
        <v>46129</v>
      </c>
      <c r="C214" t="s">
        <v>26</v>
      </c>
      <c r="D214" s="1">
        <v>46129</v>
      </c>
      <c r="Q214" t="s">
        <v>18</v>
      </c>
      <c r="R214" t="str">
        <f>_xlfn.XLOOKUP(GERAL[[#This Row],[Dia]],U:U,V:V,"")</f>
        <v>Prazo_30</v>
      </c>
    </row>
    <row r="215" spans="1:18" hidden="1" x14ac:dyDescent="0.3">
      <c r="A215" t="str">
        <f>_xlfn.XLOOKUP(GERAL[[#This Row],[Dia]],U:U,T:T,"")</f>
        <v>Semana 12</v>
      </c>
      <c r="B215" s="1">
        <v>46130</v>
      </c>
      <c r="C215" t="s">
        <v>16</v>
      </c>
      <c r="D215" s="1">
        <v>46130</v>
      </c>
      <c r="E215" t="s">
        <v>17</v>
      </c>
      <c r="Q215" t="s">
        <v>18</v>
      </c>
      <c r="R215" t="str">
        <f>_xlfn.XLOOKUP(GERAL[[#This Row],[Dia]],U:U,V:V,"")</f>
        <v>Prazo_30</v>
      </c>
    </row>
    <row r="216" spans="1:18" hidden="1" x14ac:dyDescent="0.3">
      <c r="A216" t="str">
        <f>_xlfn.XLOOKUP(GERAL[[#This Row],[Dia]],U:U,T:T,"")</f>
        <v>Semana 12</v>
      </c>
      <c r="B216" s="1">
        <v>46131</v>
      </c>
      <c r="C216" t="s">
        <v>21</v>
      </c>
      <c r="D216" s="1">
        <v>46131</v>
      </c>
      <c r="E216" t="s">
        <v>17</v>
      </c>
      <c r="Q216" t="s">
        <v>18</v>
      </c>
      <c r="R216" t="str">
        <f>_xlfn.XLOOKUP(GERAL[[#This Row],[Dia]],U:U,V:V,"")</f>
        <v>Prazo_30</v>
      </c>
    </row>
    <row r="217" spans="1:18" hidden="1" x14ac:dyDescent="0.3">
      <c r="A217" t="str">
        <f>_xlfn.XLOOKUP(GERAL[[#This Row],[Dia]],U:U,T:T,"")</f>
        <v>Semana 13</v>
      </c>
      <c r="B217" s="1">
        <v>46132</v>
      </c>
      <c r="C217" t="s">
        <v>22</v>
      </c>
      <c r="D217" s="1">
        <v>46132</v>
      </c>
      <c r="Q217" t="s">
        <v>18</v>
      </c>
      <c r="R217" t="str">
        <f>_xlfn.XLOOKUP(GERAL[[#This Row],[Dia]],U:U,V:V,"")</f>
        <v>Prazo_30</v>
      </c>
    </row>
    <row r="218" spans="1:18" hidden="1" x14ac:dyDescent="0.3">
      <c r="A218" t="str">
        <f>_xlfn.XLOOKUP(GERAL[[#This Row],[Dia]],U:U,T:T,"")</f>
        <v>Semana 13</v>
      </c>
      <c r="B218" s="1">
        <v>46133</v>
      </c>
      <c r="C218" t="s">
        <v>23</v>
      </c>
      <c r="D218" s="1">
        <v>46133</v>
      </c>
      <c r="Q218" t="s">
        <v>18</v>
      </c>
      <c r="R218" t="str">
        <f>_xlfn.XLOOKUP(GERAL[[#This Row],[Dia]],U:U,V:V,"")</f>
        <v>Prazo_30</v>
      </c>
    </row>
    <row r="219" spans="1:18" hidden="1" x14ac:dyDescent="0.3">
      <c r="A219" t="str">
        <f>_xlfn.XLOOKUP(GERAL[[#This Row],[Dia]],U:U,T:T,"")</f>
        <v>Semana 13</v>
      </c>
      <c r="B219" s="1">
        <v>46134</v>
      </c>
      <c r="C219" t="s">
        <v>24</v>
      </c>
      <c r="D219" s="1">
        <v>46134</v>
      </c>
      <c r="Q219" t="s">
        <v>18</v>
      </c>
      <c r="R219" t="str">
        <f>_xlfn.XLOOKUP(GERAL[[#This Row],[Dia]],U:U,V:V,"")</f>
        <v>Prazo_30</v>
      </c>
    </row>
    <row r="220" spans="1:18" hidden="1" x14ac:dyDescent="0.3">
      <c r="A220" t="str">
        <f>_xlfn.XLOOKUP(GERAL[[#This Row],[Dia]],U:U,T:T,"")</f>
        <v>Semana 13</v>
      </c>
      <c r="B220" s="1">
        <v>46135</v>
      </c>
      <c r="C220" t="s">
        <v>25</v>
      </c>
      <c r="D220" s="1">
        <v>46135</v>
      </c>
      <c r="Q220" t="s">
        <v>18</v>
      </c>
      <c r="R220" t="str">
        <f>_xlfn.XLOOKUP(GERAL[[#This Row],[Dia]],U:U,V:V,"")</f>
        <v>Prazo_30</v>
      </c>
    </row>
    <row r="221" spans="1:18" hidden="1" x14ac:dyDescent="0.3">
      <c r="A221" t="str">
        <f>_xlfn.XLOOKUP(GERAL[[#This Row],[Dia]],U:U,T:T,"")</f>
        <v>Semana 13</v>
      </c>
      <c r="B221" s="1">
        <v>46136</v>
      </c>
      <c r="C221" t="s">
        <v>26</v>
      </c>
      <c r="D221" s="1">
        <v>46136</v>
      </c>
      <c r="Q221" t="s">
        <v>18</v>
      </c>
      <c r="R221" t="str">
        <f>_xlfn.XLOOKUP(GERAL[[#This Row],[Dia]],U:U,V:V,"")</f>
        <v>Prazo_30</v>
      </c>
    </row>
    <row r="222" spans="1:18" hidden="1" x14ac:dyDescent="0.3">
      <c r="A222" t="str">
        <f>_xlfn.XLOOKUP(GERAL[[#This Row],[Dia]],U:U,T:T,"")</f>
        <v>Semana 13</v>
      </c>
      <c r="B222" s="1">
        <v>46137</v>
      </c>
      <c r="C222" t="s">
        <v>16</v>
      </c>
      <c r="D222" s="1">
        <v>46137</v>
      </c>
      <c r="E222" t="s">
        <v>17</v>
      </c>
      <c r="Q222" t="s">
        <v>18</v>
      </c>
      <c r="R222" t="str">
        <f>_xlfn.XLOOKUP(GERAL[[#This Row],[Dia]],U:U,V:V,"")</f>
        <v>Prazo_30</v>
      </c>
    </row>
    <row r="223" spans="1:18" hidden="1" x14ac:dyDescent="0.3">
      <c r="A223" t="str">
        <f>_xlfn.XLOOKUP(GERAL[[#This Row],[Dia]],U:U,T:T,"")</f>
        <v>Semana 13</v>
      </c>
      <c r="B223" s="1">
        <v>46138</v>
      </c>
      <c r="C223" t="s">
        <v>21</v>
      </c>
      <c r="D223" s="1">
        <v>46138</v>
      </c>
      <c r="E223" t="s">
        <v>17</v>
      </c>
      <c r="Q223" t="s">
        <v>18</v>
      </c>
      <c r="R223" t="str">
        <f>_xlfn.XLOOKUP(GERAL[[#This Row],[Dia]],U:U,V:V,"")</f>
        <v>Prazo_30</v>
      </c>
    </row>
    <row r="224" spans="1:18" hidden="1" x14ac:dyDescent="0.3">
      <c r="A224" t="str">
        <f>_xlfn.XLOOKUP(GERAL[[#This Row],[Dia]],U:U,T:T,"")</f>
        <v>Semana 14</v>
      </c>
      <c r="B224" s="1">
        <v>46139</v>
      </c>
      <c r="C224" t="s">
        <v>22</v>
      </c>
      <c r="D224" s="1">
        <v>46139</v>
      </c>
      <c r="Q224" t="s">
        <v>18</v>
      </c>
      <c r="R224" t="str">
        <f>_xlfn.XLOOKUP(GERAL[[#This Row],[Dia]],U:U,V:V,"")</f>
        <v>Prazo_30</v>
      </c>
    </row>
    <row r="225" spans="1:18" hidden="1" x14ac:dyDescent="0.3">
      <c r="A225" t="str">
        <f>_xlfn.XLOOKUP(GERAL[[#This Row],[Dia]],U:U,T:T,"")</f>
        <v>Semana 14</v>
      </c>
      <c r="B225" s="1">
        <v>46140</v>
      </c>
      <c r="C225" t="s">
        <v>23</v>
      </c>
      <c r="D225" s="1">
        <v>46140</v>
      </c>
      <c r="Q225" t="s">
        <v>18</v>
      </c>
      <c r="R225" t="str">
        <f>_xlfn.XLOOKUP(GERAL[[#This Row],[Dia]],U:U,V:V,"")</f>
        <v>Prazo_30</v>
      </c>
    </row>
    <row r="226" spans="1:18" hidden="1" x14ac:dyDescent="0.3">
      <c r="A226" t="str">
        <f>_xlfn.XLOOKUP(GERAL[[#This Row],[Dia]],U:U,T:T,"")</f>
        <v>Semana 14</v>
      </c>
      <c r="B226" s="1">
        <v>46141</v>
      </c>
      <c r="C226" t="s">
        <v>24</v>
      </c>
      <c r="D226" s="1">
        <v>46141</v>
      </c>
      <c r="Q226" t="s">
        <v>18</v>
      </c>
      <c r="R226" t="str">
        <f>_xlfn.XLOOKUP(GERAL[[#This Row],[Dia]],U:U,V:V,"")</f>
        <v>Prazo_30</v>
      </c>
    </row>
    <row r="227" spans="1:18" hidden="1" x14ac:dyDescent="0.3">
      <c r="A227" t="str">
        <f>_xlfn.XLOOKUP(GERAL[[#This Row],[Dia]],U:U,T:T,"")</f>
        <v>Semana 14</v>
      </c>
      <c r="B227" s="1">
        <v>46142</v>
      </c>
      <c r="C227" t="s">
        <v>25</v>
      </c>
      <c r="D227" s="1">
        <v>46142</v>
      </c>
      <c r="Q227" t="s">
        <v>18</v>
      </c>
      <c r="R227" t="str">
        <f>_xlfn.XLOOKUP(GERAL[[#This Row],[Dia]],U:U,V:V,"")</f>
        <v>Prazo_30</v>
      </c>
    </row>
    <row r="228" spans="1:18" hidden="1" x14ac:dyDescent="0.3">
      <c r="A228" t="str">
        <f>_xlfn.XLOOKUP(GERAL[[#This Row],[Dia]],U:U,T:T,"")</f>
        <v>Semana 14</v>
      </c>
      <c r="B228" s="1">
        <v>46143</v>
      </c>
      <c r="C228" t="s">
        <v>26</v>
      </c>
      <c r="D228" s="1">
        <v>46143</v>
      </c>
      <c r="Q228" t="s">
        <v>18</v>
      </c>
      <c r="R228" t="str">
        <f>_xlfn.XLOOKUP(GERAL[[#This Row],[Dia]],U:U,V:V,"")</f>
        <v>Prazo_30</v>
      </c>
    </row>
    <row r="229" spans="1:18" hidden="1" x14ac:dyDescent="0.3">
      <c r="A229" t="str">
        <f>_xlfn.XLOOKUP(GERAL[[#This Row],[Dia]],U:U,T:T,"")</f>
        <v>Semana 14</v>
      </c>
      <c r="B229" s="1">
        <v>46144</v>
      </c>
      <c r="C229" t="s">
        <v>16</v>
      </c>
      <c r="D229" s="1">
        <v>46144</v>
      </c>
      <c r="E229" t="s">
        <v>17</v>
      </c>
      <c r="Q229" t="s">
        <v>18</v>
      </c>
      <c r="R229" t="str">
        <f>_xlfn.XLOOKUP(GERAL[[#This Row],[Dia]],U:U,V:V,"")</f>
        <v>Prazo_30</v>
      </c>
    </row>
    <row r="230" spans="1:18" hidden="1" x14ac:dyDescent="0.3">
      <c r="A230" t="str">
        <f>_xlfn.XLOOKUP(GERAL[[#This Row],[Dia]],U:U,T:T,"")</f>
        <v>Semana 14</v>
      </c>
      <c r="B230" s="1">
        <v>46145</v>
      </c>
      <c r="C230" t="s">
        <v>21</v>
      </c>
      <c r="D230" s="1">
        <v>46145</v>
      </c>
      <c r="E230" t="s">
        <v>17</v>
      </c>
      <c r="Q230" t="s">
        <v>18</v>
      </c>
      <c r="R230" t="str">
        <f>_xlfn.XLOOKUP(GERAL[[#This Row],[Dia]],U:U,V:V,"")</f>
        <v>Prazo_30</v>
      </c>
    </row>
    <row r="231" spans="1:18" hidden="1" x14ac:dyDescent="0.3">
      <c r="A231" t="str">
        <f>_xlfn.XLOOKUP(GERAL[[#This Row],[Dia]],U:U,T:T,"")</f>
        <v/>
      </c>
      <c r="B231" s="1">
        <v>46146</v>
      </c>
      <c r="C231" t="s">
        <v>22</v>
      </c>
      <c r="D231" s="1">
        <v>46146</v>
      </c>
      <c r="Q231" t="s">
        <v>18</v>
      </c>
      <c r="R231" t="str">
        <f>_xlfn.XLOOKUP(GERAL[[#This Row],[Dia]],U:U,V:V,"")</f>
        <v/>
      </c>
    </row>
    <row r="232" spans="1:18" hidden="1" x14ac:dyDescent="0.3">
      <c r="A232" t="str">
        <f>_xlfn.XLOOKUP(GERAL[[#This Row],[Dia]],U:U,T:T,"")</f>
        <v/>
      </c>
      <c r="B232" s="1">
        <v>46147</v>
      </c>
      <c r="C232" t="s">
        <v>23</v>
      </c>
      <c r="D232" s="1">
        <v>46147</v>
      </c>
      <c r="Q232" t="s">
        <v>18</v>
      </c>
      <c r="R232" t="str">
        <f>_xlfn.XLOOKUP(GERAL[[#This Row],[Dia]],U:U,V:V,"")</f>
        <v/>
      </c>
    </row>
    <row r="233" spans="1:18" hidden="1" x14ac:dyDescent="0.3">
      <c r="A233" t="str">
        <f>_xlfn.XLOOKUP(GERAL[[#This Row],[Dia]],U:U,T:T,"")</f>
        <v/>
      </c>
      <c r="B233" s="1">
        <v>46148</v>
      </c>
      <c r="C233" t="s">
        <v>24</v>
      </c>
      <c r="D233" s="1">
        <v>46148</v>
      </c>
      <c r="Q233" t="s">
        <v>18</v>
      </c>
      <c r="R233" t="str">
        <f>_xlfn.XLOOKUP(GERAL[[#This Row],[Dia]],U:U,V:V,"")</f>
        <v/>
      </c>
    </row>
    <row r="234" spans="1:18" hidden="1" x14ac:dyDescent="0.3">
      <c r="A234" t="str">
        <f>_xlfn.XLOOKUP(GERAL[[#This Row],[Dia]],U:U,T:T,"")</f>
        <v/>
      </c>
      <c r="B234" s="1">
        <v>46149</v>
      </c>
      <c r="C234" t="s">
        <v>25</v>
      </c>
      <c r="D234" s="1">
        <v>46149</v>
      </c>
      <c r="Q234" t="s">
        <v>18</v>
      </c>
      <c r="R234" t="str">
        <f>_xlfn.XLOOKUP(GERAL[[#This Row],[Dia]],U:U,V:V,"")</f>
        <v/>
      </c>
    </row>
    <row r="235" spans="1:18" hidden="1" x14ac:dyDescent="0.3">
      <c r="A235" t="str">
        <f>_xlfn.XLOOKUP(GERAL[[#This Row],[Dia]],U:U,T:T,"")</f>
        <v/>
      </c>
      <c r="B235" s="1">
        <v>46150</v>
      </c>
      <c r="C235" t="s">
        <v>26</v>
      </c>
      <c r="D235" s="1">
        <v>46150</v>
      </c>
      <c r="Q235" t="s">
        <v>18</v>
      </c>
      <c r="R235" t="str">
        <f>_xlfn.XLOOKUP(GERAL[[#This Row],[Dia]],U:U,V:V,"")</f>
        <v/>
      </c>
    </row>
    <row r="236" spans="1:18" hidden="1" x14ac:dyDescent="0.3">
      <c r="A236" t="str">
        <f>_xlfn.XLOOKUP(GERAL[[#This Row],[Dia]],U:U,T:T,"")</f>
        <v/>
      </c>
      <c r="B236" s="1">
        <v>46151</v>
      </c>
      <c r="C236" t="s">
        <v>16</v>
      </c>
      <c r="D236" s="1">
        <v>46151</v>
      </c>
      <c r="E236" t="s">
        <v>17</v>
      </c>
      <c r="Q236" t="s">
        <v>18</v>
      </c>
      <c r="R236" t="str">
        <f>_xlfn.XLOOKUP(GERAL[[#This Row],[Dia]],U:U,V:V,"")</f>
        <v/>
      </c>
    </row>
    <row r="237" spans="1:18" hidden="1" x14ac:dyDescent="0.3">
      <c r="A237" t="str">
        <f>_xlfn.XLOOKUP(GERAL[[#This Row],[Dia]],U:U,T:T,"")</f>
        <v/>
      </c>
      <c r="B237" s="1">
        <v>46152</v>
      </c>
      <c r="C237" t="s">
        <v>21</v>
      </c>
      <c r="D237" s="1">
        <v>46152</v>
      </c>
      <c r="E237" t="s">
        <v>17</v>
      </c>
      <c r="Q237" t="s">
        <v>18</v>
      </c>
      <c r="R237" t="str">
        <f>_xlfn.XLOOKUP(GERAL[[#This Row],[Dia]],U:U,V:V,"")</f>
        <v/>
      </c>
    </row>
    <row r="238" spans="1:18" hidden="1" x14ac:dyDescent="0.3">
      <c r="A238" t="str">
        <f>_xlfn.XLOOKUP(GERAL[[#This Row],[Dia]],U:U,T:T,"")</f>
        <v/>
      </c>
      <c r="B238" s="1">
        <v>46153</v>
      </c>
      <c r="C238" t="s">
        <v>22</v>
      </c>
      <c r="D238" s="1">
        <v>46153</v>
      </c>
      <c r="Q238" t="s">
        <v>18</v>
      </c>
      <c r="R238" t="str">
        <f>_xlfn.XLOOKUP(GERAL[[#This Row],[Dia]],U:U,V:V,"")</f>
        <v/>
      </c>
    </row>
    <row r="239" spans="1:18" hidden="1" x14ac:dyDescent="0.3">
      <c r="A239" t="str">
        <f>_xlfn.XLOOKUP(GERAL[[#This Row],[Dia]],U:U,T:T,"")</f>
        <v/>
      </c>
      <c r="B239" s="1">
        <v>46154</v>
      </c>
      <c r="C239" t="s">
        <v>23</v>
      </c>
      <c r="D239" s="1">
        <v>46154</v>
      </c>
      <c r="Q239" t="s">
        <v>18</v>
      </c>
      <c r="R239" t="str">
        <f>_xlfn.XLOOKUP(GERAL[[#This Row],[Dia]],U:U,V:V,"")</f>
        <v/>
      </c>
    </row>
    <row r="240" spans="1:18" hidden="1" x14ac:dyDescent="0.3">
      <c r="A240" t="str">
        <f>_xlfn.XLOOKUP(GERAL[[#This Row],[Dia]],U:U,T:T,"")</f>
        <v/>
      </c>
      <c r="B240" s="1">
        <v>46155</v>
      </c>
      <c r="C240" t="s">
        <v>24</v>
      </c>
      <c r="D240" s="1">
        <v>46155</v>
      </c>
      <c r="Q240" t="s">
        <v>18</v>
      </c>
      <c r="R240" t="str">
        <f>_xlfn.XLOOKUP(GERAL[[#This Row],[Dia]],U:U,V:V,"")</f>
        <v/>
      </c>
    </row>
    <row r="241" spans="1:18" hidden="1" x14ac:dyDescent="0.3">
      <c r="A241" t="str">
        <f>_xlfn.XLOOKUP(GERAL[[#This Row],[Dia]],U:U,T:T,"")</f>
        <v/>
      </c>
      <c r="B241" s="1">
        <v>46156</v>
      </c>
      <c r="C241" t="s">
        <v>25</v>
      </c>
      <c r="D241" s="1">
        <v>46156</v>
      </c>
      <c r="Q241" t="s">
        <v>18</v>
      </c>
      <c r="R241" t="str">
        <f>_xlfn.XLOOKUP(GERAL[[#This Row],[Dia]],U:U,V:V,"")</f>
        <v/>
      </c>
    </row>
    <row r="242" spans="1:18" hidden="1" x14ac:dyDescent="0.3">
      <c r="A242" t="str">
        <f>_xlfn.XLOOKUP(GERAL[[#This Row],[Dia]],U:U,T:T,"")</f>
        <v/>
      </c>
      <c r="B242" s="1">
        <v>46157</v>
      </c>
      <c r="C242" t="s">
        <v>26</v>
      </c>
      <c r="D242" s="1">
        <v>46157</v>
      </c>
      <c r="Q242" t="s">
        <v>18</v>
      </c>
      <c r="R242" t="str">
        <f>_xlfn.XLOOKUP(GERAL[[#This Row],[Dia]],U:U,V:V,"")</f>
        <v/>
      </c>
    </row>
    <row r="243" spans="1:18" hidden="1" x14ac:dyDescent="0.3">
      <c r="A243" t="str">
        <f>_xlfn.XLOOKUP(GERAL[[#This Row],[Dia]],U:U,T:T,"")</f>
        <v/>
      </c>
      <c r="B243" s="1">
        <v>46158</v>
      </c>
      <c r="C243" t="s">
        <v>16</v>
      </c>
      <c r="D243" s="1">
        <v>46158</v>
      </c>
      <c r="E243" t="s">
        <v>17</v>
      </c>
      <c r="Q243" t="s">
        <v>18</v>
      </c>
      <c r="R243" t="str">
        <f>_xlfn.XLOOKUP(GERAL[[#This Row],[Dia]],U:U,V:V,"")</f>
        <v/>
      </c>
    </row>
    <row r="244" spans="1:18" hidden="1" x14ac:dyDescent="0.3">
      <c r="A244" t="str">
        <f>_xlfn.XLOOKUP(GERAL[[#This Row],[Dia]],U:U,T:T,"")</f>
        <v/>
      </c>
      <c r="B244" s="1">
        <v>46159</v>
      </c>
      <c r="C244" t="s">
        <v>21</v>
      </c>
      <c r="D244" s="1">
        <v>46159</v>
      </c>
      <c r="E244" t="s">
        <v>17</v>
      </c>
      <c r="Q244" t="s">
        <v>18</v>
      </c>
      <c r="R244" t="str">
        <f>_xlfn.XLOOKUP(GERAL[[#This Row],[Dia]],U:U,V:V,"")</f>
        <v/>
      </c>
    </row>
    <row r="245" spans="1:18" hidden="1" x14ac:dyDescent="0.3">
      <c r="A245" t="str">
        <f>_xlfn.XLOOKUP(GERAL[[#This Row],[Dia]],U:U,T:T,"")</f>
        <v/>
      </c>
      <c r="B245" s="1">
        <v>46160</v>
      </c>
      <c r="C245" t="s">
        <v>22</v>
      </c>
      <c r="D245" s="1">
        <v>46160</v>
      </c>
      <c r="Q245" t="s">
        <v>18</v>
      </c>
      <c r="R245" t="str">
        <f>_xlfn.XLOOKUP(GERAL[[#This Row],[Dia]],U:U,V:V,"")</f>
        <v/>
      </c>
    </row>
    <row r="246" spans="1:18" hidden="1" x14ac:dyDescent="0.3">
      <c r="A246" t="str">
        <f>_xlfn.XLOOKUP(GERAL[[#This Row],[Dia]],U:U,T:T,"")</f>
        <v/>
      </c>
      <c r="B246" s="1">
        <v>46161</v>
      </c>
      <c r="C246" t="s">
        <v>23</v>
      </c>
      <c r="D246" s="1">
        <v>46161</v>
      </c>
      <c r="Q246" t="s">
        <v>18</v>
      </c>
      <c r="R246" t="str">
        <f>_xlfn.XLOOKUP(GERAL[[#This Row],[Dia]],U:U,V:V,"")</f>
        <v/>
      </c>
    </row>
    <row r="247" spans="1:18" hidden="1" x14ac:dyDescent="0.3">
      <c r="A247" t="str">
        <f>_xlfn.XLOOKUP(GERAL[[#This Row],[Dia]],U:U,T:T,"")</f>
        <v/>
      </c>
      <c r="B247" s="1">
        <v>46162</v>
      </c>
      <c r="C247" t="s">
        <v>24</v>
      </c>
      <c r="D247" s="1">
        <v>46162</v>
      </c>
      <c r="Q247" t="s">
        <v>18</v>
      </c>
      <c r="R247" t="str">
        <f>_xlfn.XLOOKUP(GERAL[[#This Row],[Dia]],U:U,V:V,"")</f>
        <v/>
      </c>
    </row>
    <row r="248" spans="1:18" hidden="1" x14ac:dyDescent="0.3">
      <c r="A248" t="str">
        <f>_xlfn.XLOOKUP(GERAL[[#This Row],[Dia]],U:U,T:T,"")</f>
        <v/>
      </c>
      <c r="B248" s="1">
        <v>46163</v>
      </c>
      <c r="C248" t="s">
        <v>25</v>
      </c>
      <c r="D248" s="1">
        <v>46163</v>
      </c>
      <c r="Q248" t="s">
        <v>18</v>
      </c>
      <c r="R248" t="str">
        <f>_xlfn.XLOOKUP(GERAL[[#This Row],[Dia]],U:U,V:V,"")</f>
        <v/>
      </c>
    </row>
    <row r="249" spans="1:18" hidden="1" x14ac:dyDescent="0.3">
      <c r="A249" t="str">
        <f>_xlfn.XLOOKUP(GERAL[[#This Row],[Dia]],U:U,T:T,"")</f>
        <v/>
      </c>
      <c r="B249" s="1">
        <v>46164</v>
      </c>
      <c r="C249" t="s">
        <v>26</v>
      </c>
      <c r="D249" s="1">
        <v>46164</v>
      </c>
      <c r="Q249" t="s">
        <v>18</v>
      </c>
      <c r="R249" t="str">
        <f>_xlfn.XLOOKUP(GERAL[[#This Row],[Dia]],U:U,V:V,"")</f>
        <v/>
      </c>
    </row>
    <row r="250" spans="1:18" hidden="1" x14ac:dyDescent="0.3">
      <c r="A250" t="str">
        <f>_xlfn.XLOOKUP(GERAL[[#This Row],[Dia]],U:U,T:T,"")</f>
        <v/>
      </c>
      <c r="B250" s="1">
        <v>46165</v>
      </c>
      <c r="C250" t="s">
        <v>16</v>
      </c>
      <c r="D250" s="1">
        <v>46165</v>
      </c>
      <c r="E250" t="s">
        <v>17</v>
      </c>
      <c r="Q250" t="s">
        <v>18</v>
      </c>
      <c r="R250" t="str">
        <f>_xlfn.XLOOKUP(GERAL[[#This Row],[Dia]],U:U,V:V,"")</f>
        <v/>
      </c>
    </row>
    <row r="251" spans="1:18" hidden="1" x14ac:dyDescent="0.3">
      <c r="A251" t="str">
        <f>_xlfn.XLOOKUP(GERAL[[#This Row],[Dia]],U:U,T:T,"")</f>
        <v/>
      </c>
      <c r="B251" s="1">
        <v>46166</v>
      </c>
      <c r="C251" t="s">
        <v>21</v>
      </c>
      <c r="D251" s="1">
        <v>46166</v>
      </c>
      <c r="E251" t="s">
        <v>17</v>
      </c>
      <c r="Q251" t="s">
        <v>18</v>
      </c>
      <c r="R251" t="str">
        <f>_xlfn.XLOOKUP(GERAL[[#This Row],[Dia]],U:U,V:V,"")</f>
        <v/>
      </c>
    </row>
    <row r="252" spans="1:18" hidden="1" x14ac:dyDescent="0.3">
      <c r="A252" t="str">
        <f>_xlfn.XLOOKUP(GERAL[[#This Row],[Dia]],U:U,T:T,"")</f>
        <v/>
      </c>
      <c r="B252" s="1">
        <v>46167</v>
      </c>
      <c r="C252" t="s">
        <v>22</v>
      </c>
      <c r="D252" s="1">
        <v>46167</v>
      </c>
      <c r="Q252" t="s">
        <v>18</v>
      </c>
      <c r="R252" t="str">
        <f>_xlfn.XLOOKUP(GERAL[[#This Row],[Dia]],U:U,V:V,"")</f>
        <v/>
      </c>
    </row>
    <row r="253" spans="1:18" hidden="1" x14ac:dyDescent="0.3">
      <c r="A253" t="str">
        <f>_xlfn.XLOOKUP(GERAL[[#This Row],[Dia]],U:U,T:T,"")</f>
        <v/>
      </c>
      <c r="B253" s="1">
        <v>46168</v>
      </c>
      <c r="C253" t="s">
        <v>23</v>
      </c>
      <c r="D253" s="1">
        <v>46168</v>
      </c>
      <c r="Q253" t="s">
        <v>18</v>
      </c>
      <c r="R253" t="str">
        <f>_xlfn.XLOOKUP(GERAL[[#This Row],[Dia]],U:U,V:V,"")</f>
        <v/>
      </c>
    </row>
    <row r="254" spans="1:18" hidden="1" x14ac:dyDescent="0.3">
      <c r="A254" t="str">
        <f>_xlfn.XLOOKUP(GERAL[[#This Row],[Dia]],U:U,T:T,"")</f>
        <v/>
      </c>
      <c r="B254" s="1">
        <v>46169</v>
      </c>
      <c r="C254" t="s">
        <v>24</v>
      </c>
      <c r="D254" s="1">
        <v>46169</v>
      </c>
      <c r="Q254" t="s">
        <v>18</v>
      </c>
      <c r="R254" t="str">
        <f>_xlfn.XLOOKUP(GERAL[[#This Row],[Dia]],U:U,V:V,"")</f>
        <v/>
      </c>
    </row>
    <row r="255" spans="1:18" hidden="1" x14ac:dyDescent="0.3">
      <c r="A255" t="str">
        <f>_xlfn.XLOOKUP(GERAL[[#This Row],[Dia]],U:U,T:T,"")</f>
        <v/>
      </c>
      <c r="B255" s="1">
        <v>46170</v>
      </c>
      <c r="C255" t="s">
        <v>25</v>
      </c>
      <c r="D255" s="1">
        <v>46170</v>
      </c>
      <c r="Q255" t="s">
        <v>18</v>
      </c>
      <c r="R255" t="str">
        <f>_xlfn.XLOOKUP(GERAL[[#This Row],[Dia]],U:U,V:V,"")</f>
        <v/>
      </c>
    </row>
    <row r="256" spans="1:18" hidden="1" x14ac:dyDescent="0.3">
      <c r="A256" t="str">
        <f>_xlfn.XLOOKUP(GERAL[[#This Row],[Dia]],U:U,T:T,"")</f>
        <v/>
      </c>
      <c r="B256" s="1">
        <v>46171</v>
      </c>
      <c r="C256" t="s">
        <v>26</v>
      </c>
      <c r="D256" s="1">
        <v>46171</v>
      </c>
      <c r="Q256" t="s">
        <v>18</v>
      </c>
      <c r="R256" t="str">
        <f>_xlfn.XLOOKUP(GERAL[[#This Row],[Dia]],U:U,V:V,"")</f>
        <v/>
      </c>
    </row>
    <row r="257" spans="1:18" hidden="1" x14ac:dyDescent="0.3">
      <c r="A257" t="str">
        <f>_xlfn.XLOOKUP(GERAL[[#This Row],[Dia]],U:U,T:T,"")</f>
        <v/>
      </c>
      <c r="B257" s="1">
        <v>46172</v>
      </c>
      <c r="C257" t="s">
        <v>16</v>
      </c>
      <c r="D257" s="1">
        <v>46172</v>
      </c>
      <c r="E257" t="s">
        <v>17</v>
      </c>
      <c r="Q257" t="s">
        <v>18</v>
      </c>
      <c r="R257" t="str">
        <f>_xlfn.XLOOKUP(GERAL[[#This Row],[Dia]],U:U,V:V,"")</f>
        <v/>
      </c>
    </row>
    <row r="258" spans="1:18" hidden="1" x14ac:dyDescent="0.3">
      <c r="A258" t="str">
        <f>_xlfn.XLOOKUP(GERAL[[#This Row],[Dia]],U:U,T:T,"")</f>
        <v/>
      </c>
      <c r="B258" s="1">
        <v>46173</v>
      </c>
      <c r="C258" t="s">
        <v>21</v>
      </c>
      <c r="D258" s="1">
        <v>46173</v>
      </c>
      <c r="E258" t="s">
        <v>17</v>
      </c>
      <c r="Q258" t="s">
        <v>18</v>
      </c>
      <c r="R258" t="str">
        <f>_xlfn.XLOOKUP(GERAL[[#This Row],[Dia]],U:U,V:V,"")</f>
        <v/>
      </c>
    </row>
    <row r="259" spans="1:18" hidden="1" x14ac:dyDescent="0.3">
      <c r="A259" t="str">
        <f>_xlfn.XLOOKUP(GERAL[[#This Row],[Dia]],U:U,T:T,"")</f>
        <v/>
      </c>
      <c r="B259" s="1">
        <v>46174</v>
      </c>
      <c r="C259" t="s">
        <v>22</v>
      </c>
      <c r="D259" s="1">
        <v>46174</v>
      </c>
      <c r="Q259" t="s">
        <v>18</v>
      </c>
      <c r="R259" t="str">
        <f>_xlfn.XLOOKUP(GERAL[[#This Row],[Dia]],U:U,V:V,"")</f>
        <v/>
      </c>
    </row>
    <row r="260" spans="1:18" hidden="1" x14ac:dyDescent="0.3">
      <c r="A260" t="str">
        <f>_xlfn.XLOOKUP(GERAL[[#This Row],[Dia]],U:U,T:T,"")</f>
        <v/>
      </c>
      <c r="B260" s="1">
        <v>46175</v>
      </c>
      <c r="C260" t="s">
        <v>23</v>
      </c>
      <c r="D260" s="1">
        <v>46175</v>
      </c>
      <c r="Q260" t="s">
        <v>18</v>
      </c>
      <c r="R260" t="str">
        <f>_xlfn.XLOOKUP(GERAL[[#This Row],[Dia]],U:U,V:V,"")</f>
        <v/>
      </c>
    </row>
    <row r="261" spans="1:18" hidden="1" x14ac:dyDescent="0.3">
      <c r="A261" t="str">
        <f>_xlfn.XLOOKUP(GERAL[[#This Row],[Dia]],U:U,T:T,"")</f>
        <v/>
      </c>
      <c r="B261" s="1">
        <v>46176</v>
      </c>
      <c r="C261" t="s">
        <v>24</v>
      </c>
      <c r="D261" s="1">
        <v>46176</v>
      </c>
      <c r="Q261" t="s">
        <v>18</v>
      </c>
      <c r="R261" t="str">
        <f>_xlfn.XLOOKUP(GERAL[[#This Row],[Dia]],U:U,V:V,"")</f>
        <v/>
      </c>
    </row>
    <row r="262" spans="1:18" hidden="1" x14ac:dyDescent="0.3">
      <c r="A262" t="str">
        <f>_xlfn.XLOOKUP(GERAL[[#This Row],[Dia]],U:U,T:T,"")</f>
        <v/>
      </c>
      <c r="B262" s="1">
        <v>46177</v>
      </c>
      <c r="C262" t="s">
        <v>25</v>
      </c>
      <c r="D262" s="1">
        <v>46177</v>
      </c>
      <c r="Q262" t="s">
        <v>18</v>
      </c>
      <c r="R262" t="str">
        <f>_xlfn.XLOOKUP(GERAL[[#This Row],[Dia]],U:U,V:V,"")</f>
        <v/>
      </c>
    </row>
    <row r="263" spans="1:18" hidden="1" x14ac:dyDescent="0.3">
      <c r="A263" t="str">
        <f>_xlfn.XLOOKUP(GERAL[[#This Row],[Dia]],U:U,T:T,"")</f>
        <v/>
      </c>
      <c r="B263" s="1">
        <v>46178</v>
      </c>
      <c r="C263" t="s">
        <v>26</v>
      </c>
      <c r="D263" s="1">
        <v>46178</v>
      </c>
      <c r="Q263" t="s">
        <v>18</v>
      </c>
      <c r="R263" t="str">
        <f>_xlfn.XLOOKUP(GERAL[[#This Row],[Dia]],U:U,V:V,"")</f>
        <v/>
      </c>
    </row>
    <row r="264" spans="1:18" hidden="1" x14ac:dyDescent="0.3">
      <c r="A264" t="str">
        <f>_xlfn.XLOOKUP(GERAL[[#This Row],[Dia]],U:U,T:T,"")</f>
        <v/>
      </c>
      <c r="B264" s="1">
        <v>46179</v>
      </c>
      <c r="C264" t="s">
        <v>16</v>
      </c>
      <c r="D264" s="1">
        <v>46179</v>
      </c>
      <c r="E264" t="s">
        <v>17</v>
      </c>
      <c r="Q264" t="s">
        <v>18</v>
      </c>
      <c r="R264" t="str">
        <f>_xlfn.XLOOKUP(GERAL[[#This Row],[Dia]],U:U,V:V,"")</f>
        <v/>
      </c>
    </row>
    <row r="265" spans="1:18" hidden="1" x14ac:dyDescent="0.3">
      <c r="A265" t="str">
        <f>_xlfn.XLOOKUP(GERAL[[#This Row],[Dia]],U:U,T:T,"")</f>
        <v/>
      </c>
      <c r="B265" s="1">
        <v>46180</v>
      </c>
      <c r="C265" t="s">
        <v>21</v>
      </c>
      <c r="D265" s="1">
        <v>46180</v>
      </c>
      <c r="E265" t="s">
        <v>17</v>
      </c>
      <c r="Q265" t="s">
        <v>18</v>
      </c>
      <c r="R265" t="str">
        <f>_xlfn.XLOOKUP(GERAL[[#This Row],[Dia]],U:U,V:V,"")</f>
        <v/>
      </c>
    </row>
    <row r="266" spans="1:18" hidden="1" x14ac:dyDescent="0.3">
      <c r="A266" t="str">
        <f>_xlfn.XLOOKUP(GERAL[[#This Row],[Dia]],U:U,T:T,"")</f>
        <v/>
      </c>
      <c r="B266" s="1">
        <v>46181</v>
      </c>
      <c r="C266" t="s">
        <v>22</v>
      </c>
      <c r="D266" s="1">
        <v>46181</v>
      </c>
      <c r="Q266" t="s">
        <v>18</v>
      </c>
      <c r="R266" t="str">
        <f>_xlfn.XLOOKUP(GERAL[[#This Row],[Dia]],U:U,V:V,"")</f>
        <v/>
      </c>
    </row>
    <row r="267" spans="1:18" hidden="1" x14ac:dyDescent="0.3">
      <c r="A267" t="str">
        <f>_xlfn.XLOOKUP(GERAL[[#This Row],[Dia]],U:U,T:T,"")</f>
        <v/>
      </c>
      <c r="B267" s="1">
        <v>46182</v>
      </c>
      <c r="C267" t="s">
        <v>23</v>
      </c>
      <c r="D267" s="1">
        <v>46182</v>
      </c>
      <c r="Q267" t="s">
        <v>18</v>
      </c>
      <c r="R267" t="str">
        <f>_xlfn.XLOOKUP(GERAL[[#This Row],[Dia]],U:U,V:V,"")</f>
        <v/>
      </c>
    </row>
    <row r="268" spans="1:18" hidden="1" x14ac:dyDescent="0.3">
      <c r="A268" t="str">
        <f>_xlfn.XLOOKUP(GERAL[[#This Row],[Dia]],U:U,T:T,"")</f>
        <v/>
      </c>
      <c r="B268" s="1">
        <v>46183</v>
      </c>
      <c r="C268" t="s">
        <v>24</v>
      </c>
      <c r="D268" s="1">
        <v>46183</v>
      </c>
      <c r="Q268" t="s">
        <v>18</v>
      </c>
      <c r="R268" t="str">
        <f>_xlfn.XLOOKUP(GERAL[[#This Row],[Dia]],U:U,V:V,"")</f>
        <v/>
      </c>
    </row>
    <row r="269" spans="1:18" hidden="1" x14ac:dyDescent="0.3">
      <c r="A269" t="str">
        <f>_xlfn.XLOOKUP(GERAL[[#This Row],[Dia]],U:U,T:T,"")</f>
        <v/>
      </c>
      <c r="B269" s="1">
        <v>46184</v>
      </c>
      <c r="C269" t="s">
        <v>25</v>
      </c>
      <c r="D269" s="1">
        <v>46184</v>
      </c>
      <c r="Q269" t="s">
        <v>18</v>
      </c>
      <c r="R269" t="str">
        <f>_xlfn.XLOOKUP(GERAL[[#This Row],[Dia]],U:U,V:V,"")</f>
        <v/>
      </c>
    </row>
    <row r="270" spans="1:18" hidden="1" x14ac:dyDescent="0.3">
      <c r="A270" t="str">
        <f>_xlfn.XLOOKUP(GERAL[[#This Row],[Dia]],U:U,T:T,"")</f>
        <v/>
      </c>
      <c r="B270" s="1">
        <v>46185</v>
      </c>
      <c r="C270" t="s">
        <v>26</v>
      </c>
      <c r="D270" s="1">
        <v>46185</v>
      </c>
      <c r="Q270" t="s">
        <v>18</v>
      </c>
      <c r="R270" t="str">
        <f>_xlfn.XLOOKUP(GERAL[[#This Row],[Dia]],U:U,V:V,"")</f>
        <v/>
      </c>
    </row>
    <row r="271" spans="1:18" hidden="1" x14ac:dyDescent="0.3">
      <c r="A271" t="str">
        <f>_xlfn.XLOOKUP(GERAL[[#This Row],[Dia]],U:U,T:T,"")</f>
        <v/>
      </c>
      <c r="B271" s="1">
        <v>46186</v>
      </c>
      <c r="C271" t="s">
        <v>16</v>
      </c>
      <c r="D271" s="1">
        <v>46186</v>
      </c>
      <c r="E271" t="s">
        <v>17</v>
      </c>
      <c r="Q271" t="s">
        <v>18</v>
      </c>
      <c r="R271" t="str">
        <f>_xlfn.XLOOKUP(GERAL[[#This Row],[Dia]],U:U,V:V,"")</f>
        <v/>
      </c>
    </row>
    <row r="272" spans="1:18" hidden="1" x14ac:dyDescent="0.3">
      <c r="A272" t="str">
        <f>_xlfn.XLOOKUP(GERAL[[#This Row],[Dia]],U:U,T:T,"")</f>
        <v/>
      </c>
      <c r="B272" s="1">
        <v>46187</v>
      </c>
      <c r="C272" t="s">
        <v>21</v>
      </c>
      <c r="D272" s="1">
        <v>46187</v>
      </c>
      <c r="E272" t="s">
        <v>17</v>
      </c>
      <c r="Q272" t="s">
        <v>18</v>
      </c>
      <c r="R272" t="str">
        <f>_xlfn.XLOOKUP(GERAL[[#This Row],[Dia]],U:U,V:V,"")</f>
        <v/>
      </c>
    </row>
    <row r="273" spans="1:18" hidden="1" x14ac:dyDescent="0.3">
      <c r="A273" t="str">
        <f>_xlfn.XLOOKUP(GERAL[[#This Row],[Dia]],U:U,T:T,"")</f>
        <v/>
      </c>
      <c r="B273" s="1">
        <v>46188</v>
      </c>
      <c r="C273" t="s">
        <v>22</v>
      </c>
      <c r="D273" s="1">
        <v>46188</v>
      </c>
      <c r="Q273" t="s">
        <v>18</v>
      </c>
      <c r="R273" t="str">
        <f>_xlfn.XLOOKUP(GERAL[[#This Row],[Dia]],U:U,V:V,"")</f>
        <v/>
      </c>
    </row>
    <row r="274" spans="1:18" hidden="1" x14ac:dyDescent="0.3">
      <c r="A274" t="str">
        <f>_xlfn.XLOOKUP(GERAL[[#This Row],[Dia]],U:U,T:T,"")</f>
        <v/>
      </c>
      <c r="B274" s="1">
        <v>46189</v>
      </c>
      <c r="C274" t="s">
        <v>23</v>
      </c>
      <c r="D274" s="1">
        <v>46189</v>
      </c>
      <c r="Q274" t="s">
        <v>18</v>
      </c>
      <c r="R274" t="str">
        <f>_xlfn.XLOOKUP(GERAL[[#This Row],[Dia]],U:U,V:V,"")</f>
        <v/>
      </c>
    </row>
    <row r="275" spans="1:18" hidden="1" x14ac:dyDescent="0.3">
      <c r="A275" t="str">
        <f>_xlfn.XLOOKUP(GERAL[[#This Row],[Dia]],U:U,T:T,"")</f>
        <v/>
      </c>
      <c r="B275" s="1">
        <v>46190</v>
      </c>
      <c r="C275" t="s">
        <v>24</v>
      </c>
      <c r="D275" s="1">
        <v>46190</v>
      </c>
      <c r="Q275" t="s">
        <v>18</v>
      </c>
      <c r="R275" t="str">
        <f>_xlfn.XLOOKUP(GERAL[[#This Row],[Dia]],U:U,V:V,"")</f>
        <v/>
      </c>
    </row>
    <row r="276" spans="1:18" hidden="1" x14ac:dyDescent="0.3">
      <c r="A276" t="str">
        <f>_xlfn.XLOOKUP(GERAL[[#This Row],[Dia]],U:U,T:T,"")</f>
        <v/>
      </c>
      <c r="B276" s="1">
        <v>46191</v>
      </c>
      <c r="C276" t="s">
        <v>25</v>
      </c>
      <c r="D276" s="1">
        <v>46191</v>
      </c>
      <c r="Q276" t="s">
        <v>18</v>
      </c>
      <c r="R276" t="str">
        <f>_xlfn.XLOOKUP(GERAL[[#This Row],[Dia]],U:U,V:V,"")</f>
        <v/>
      </c>
    </row>
    <row r="277" spans="1:18" hidden="1" x14ac:dyDescent="0.3">
      <c r="A277" t="str">
        <f>_xlfn.XLOOKUP(GERAL[[#This Row],[Dia]],U:U,T:T,"")</f>
        <v/>
      </c>
      <c r="B277" s="1">
        <v>46192</v>
      </c>
      <c r="C277" t="s">
        <v>26</v>
      </c>
      <c r="D277" s="1">
        <v>46192</v>
      </c>
      <c r="Q277" t="s">
        <v>18</v>
      </c>
      <c r="R277" t="str">
        <f>_xlfn.XLOOKUP(GERAL[[#This Row],[Dia]],U:U,V:V,"")</f>
        <v/>
      </c>
    </row>
    <row r="278" spans="1:18" hidden="1" x14ac:dyDescent="0.3">
      <c r="A278" t="str">
        <f>_xlfn.XLOOKUP(GERAL[[#This Row],[Dia]],U:U,T:T,"")</f>
        <v/>
      </c>
      <c r="B278" s="1">
        <v>46193</v>
      </c>
      <c r="C278" t="s">
        <v>16</v>
      </c>
      <c r="D278" s="1">
        <v>46193</v>
      </c>
      <c r="E278" t="s">
        <v>17</v>
      </c>
      <c r="Q278" t="s">
        <v>18</v>
      </c>
      <c r="R278" t="str">
        <f>_xlfn.XLOOKUP(GERAL[[#This Row],[Dia]],U:U,V:V,"")</f>
        <v/>
      </c>
    </row>
    <row r="279" spans="1:18" hidden="1" x14ac:dyDescent="0.3">
      <c r="A279" t="str">
        <f>_xlfn.XLOOKUP(GERAL[[#This Row],[Dia]],U:U,T:T,"")</f>
        <v/>
      </c>
      <c r="B279" s="1">
        <v>46194</v>
      </c>
      <c r="C279" t="s">
        <v>21</v>
      </c>
      <c r="D279" s="1">
        <v>46194</v>
      </c>
      <c r="E279" t="s">
        <v>17</v>
      </c>
      <c r="Q279" t="s">
        <v>18</v>
      </c>
      <c r="R279" t="str">
        <f>_xlfn.XLOOKUP(GERAL[[#This Row],[Dia]],U:U,V:V,"")</f>
        <v/>
      </c>
    </row>
    <row r="280" spans="1:18" hidden="1" x14ac:dyDescent="0.3">
      <c r="A280" t="str">
        <f>_xlfn.XLOOKUP(GERAL[[#This Row],[Dia]],U:U,T:T,"")</f>
        <v/>
      </c>
      <c r="B280" s="1">
        <v>46195</v>
      </c>
      <c r="C280" t="s">
        <v>22</v>
      </c>
      <c r="D280" s="1">
        <v>46195</v>
      </c>
      <c r="Q280" t="s">
        <v>18</v>
      </c>
      <c r="R280" t="str">
        <f>_xlfn.XLOOKUP(GERAL[[#This Row],[Dia]],U:U,V:V,"")</f>
        <v/>
      </c>
    </row>
    <row r="281" spans="1:18" hidden="1" x14ac:dyDescent="0.3">
      <c r="A281" t="str">
        <f>_xlfn.XLOOKUP(GERAL[[#This Row],[Dia]],U:U,T:T,"")</f>
        <v/>
      </c>
      <c r="B281" s="1">
        <v>46196</v>
      </c>
      <c r="C281" t="s">
        <v>23</v>
      </c>
      <c r="D281" s="1">
        <v>46196</v>
      </c>
      <c r="Q281" t="s">
        <v>18</v>
      </c>
      <c r="R281" t="str">
        <f>_xlfn.XLOOKUP(GERAL[[#This Row],[Dia]],U:U,V:V,"")</f>
        <v/>
      </c>
    </row>
    <row r="282" spans="1:18" hidden="1" x14ac:dyDescent="0.3">
      <c r="A282" t="str">
        <f>_xlfn.XLOOKUP(GERAL[[#This Row],[Dia]],U:U,T:T,"")</f>
        <v/>
      </c>
      <c r="B282" s="1">
        <v>46197</v>
      </c>
      <c r="C282" t="s">
        <v>24</v>
      </c>
      <c r="D282" s="1">
        <v>46197</v>
      </c>
      <c r="Q282" t="s">
        <v>18</v>
      </c>
      <c r="R282" t="str">
        <f>_xlfn.XLOOKUP(GERAL[[#This Row],[Dia]],U:U,V:V,"")</f>
        <v/>
      </c>
    </row>
    <row r="283" spans="1:18" hidden="1" x14ac:dyDescent="0.3">
      <c r="A283" t="str">
        <f>_xlfn.XLOOKUP(GERAL[[#This Row],[Dia]],U:U,T:T,"")</f>
        <v/>
      </c>
      <c r="B283" s="1">
        <v>46198</v>
      </c>
      <c r="C283" t="s">
        <v>25</v>
      </c>
      <c r="D283" s="1">
        <v>46198</v>
      </c>
      <c r="Q283" t="s">
        <v>18</v>
      </c>
      <c r="R283" t="str">
        <f>_xlfn.XLOOKUP(GERAL[[#This Row],[Dia]],U:U,V:V,"")</f>
        <v/>
      </c>
    </row>
    <row r="284" spans="1:18" hidden="1" x14ac:dyDescent="0.3">
      <c r="A284" t="str">
        <f>_xlfn.XLOOKUP(GERAL[[#This Row],[Dia]],U:U,T:T,"")</f>
        <v/>
      </c>
      <c r="B284" s="1">
        <v>46199</v>
      </c>
      <c r="C284" t="s">
        <v>26</v>
      </c>
      <c r="D284" s="1">
        <v>46199</v>
      </c>
      <c r="Q284" t="s">
        <v>18</v>
      </c>
      <c r="R284" t="str">
        <f>_xlfn.XLOOKUP(GERAL[[#This Row],[Dia]],U:U,V:V,"")</f>
        <v/>
      </c>
    </row>
    <row r="285" spans="1:18" hidden="1" x14ac:dyDescent="0.3">
      <c r="A285" t="str">
        <f>_xlfn.XLOOKUP(GERAL[[#This Row],[Dia]],U:U,T:T,"")</f>
        <v/>
      </c>
      <c r="B285" s="1">
        <v>46200</v>
      </c>
      <c r="C285" t="s">
        <v>16</v>
      </c>
      <c r="D285" s="1">
        <v>46200</v>
      </c>
      <c r="E285" t="s">
        <v>17</v>
      </c>
      <c r="Q285" t="s">
        <v>18</v>
      </c>
      <c r="R285" t="str">
        <f>_xlfn.XLOOKUP(GERAL[[#This Row],[Dia]],U:U,V:V,"")</f>
        <v/>
      </c>
    </row>
    <row r="286" spans="1:18" hidden="1" x14ac:dyDescent="0.3">
      <c r="A286" t="str">
        <f>_xlfn.XLOOKUP(GERAL[[#This Row],[Dia]],U:U,T:T,"")</f>
        <v/>
      </c>
      <c r="B286" s="1">
        <v>46201</v>
      </c>
      <c r="C286" t="s">
        <v>21</v>
      </c>
      <c r="D286" s="1">
        <v>46201</v>
      </c>
      <c r="E286" t="s">
        <v>17</v>
      </c>
      <c r="Q286" t="s">
        <v>18</v>
      </c>
      <c r="R286" t="str">
        <f>_xlfn.XLOOKUP(GERAL[[#This Row],[Dia]],U:U,V:V,"")</f>
        <v/>
      </c>
    </row>
    <row r="287" spans="1:18" hidden="1" x14ac:dyDescent="0.3">
      <c r="A287" t="str">
        <f>_xlfn.XLOOKUP(GERAL[[#This Row],[Dia]],U:U,T:T,"")</f>
        <v/>
      </c>
      <c r="B287" s="1">
        <v>46202</v>
      </c>
      <c r="C287" t="s">
        <v>22</v>
      </c>
      <c r="D287" s="1">
        <v>46202</v>
      </c>
      <c r="Q287" t="s">
        <v>18</v>
      </c>
      <c r="R287" t="str">
        <f>_xlfn.XLOOKUP(GERAL[[#This Row],[Dia]],U:U,V:V,"")</f>
        <v/>
      </c>
    </row>
    <row r="288" spans="1:18" hidden="1" x14ac:dyDescent="0.3">
      <c r="A288" t="str">
        <f>_xlfn.XLOOKUP(GERAL[[#This Row],[Dia]],U:U,T:T,"")</f>
        <v/>
      </c>
      <c r="B288" s="1">
        <v>46203</v>
      </c>
      <c r="C288" t="s">
        <v>23</v>
      </c>
      <c r="D288" s="1">
        <v>46203</v>
      </c>
      <c r="Q288" t="s">
        <v>18</v>
      </c>
      <c r="R288" t="str">
        <f>_xlfn.XLOOKUP(GERAL[[#This Row],[Dia]],U:U,V:V,"")</f>
        <v/>
      </c>
    </row>
    <row r="289" spans="1:18" hidden="1" x14ac:dyDescent="0.3">
      <c r="A289" t="str">
        <f>_xlfn.XLOOKUP(GERAL[[#This Row],[Dia]],U:U,T:T,"")</f>
        <v/>
      </c>
      <c r="B289" s="1">
        <v>46204</v>
      </c>
      <c r="C289" t="s">
        <v>24</v>
      </c>
      <c r="D289" s="1">
        <v>46204</v>
      </c>
      <c r="Q289" t="s">
        <v>18</v>
      </c>
      <c r="R289" t="str">
        <f>_xlfn.XLOOKUP(GERAL[[#This Row],[Dia]],U:U,V:V,"")</f>
        <v/>
      </c>
    </row>
    <row r="290" spans="1:18" hidden="1" x14ac:dyDescent="0.3">
      <c r="A290" t="str">
        <f>_xlfn.XLOOKUP(GERAL[[#This Row],[Dia]],U:U,T:T,"")</f>
        <v/>
      </c>
      <c r="B290" s="1">
        <v>46205</v>
      </c>
      <c r="C290" t="s">
        <v>25</v>
      </c>
      <c r="D290" s="1">
        <v>46205</v>
      </c>
      <c r="Q290" t="s">
        <v>18</v>
      </c>
      <c r="R290" t="str">
        <f>_xlfn.XLOOKUP(GERAL[[#This Row],[Dia]],U:U,V:V,"")</f>
        <v/>
      </c>
    </row>
    <row r="291" spans="1:18" hidden="1" x14ac:dyDescent="0.3">
      <c r="A291" t="str">
        <f>_xlfn.XLOOKUP(GERAL[[#This Row],[Dia]],U:U,T:T,"")</f>
        <v/>
      </c>
      <c r="B291" s="1">
        <v>46206</v>
      </c>
      <c r="C291" t="s">
        <v>26</v>
      </c>
      <c r="D291" s="1">
        <v>46206</v>
      </c>
      <c r="Q291" t="s">
        <v>18</v>
      </c>
      <c r="R291" t="str">
        <f>_xlfn.XLOOKUP(GERAL[[#This Row],[Dia]],U:U,V:V,"")</f>
        <v/>
      </c>
    </row>
    <row r="292" spans="1:18" hidden="1" x14ac:dyDescent="0.3">
      <c r="A292" t="str">
        <f>_xlfn.XLOOKUP(GERAL[[#This Row],[Dia]],U:U,T:T,"")</f>
        <v/>
      </c>
      <c r="B292" s="1">
        <v>46207</v>
      </c>
      <c r="C292" t="s">
        <v>16</v>
      </c>
      <c r="D292" s="1">
        <v>46207</v>
      </c>
      <c r="E292" t="s">
        <v>17</v>
      </c>
      <c r="Q292" t="s">
        <v>18</v>
      </c>
      <c r="R292" t="str">
        <f>_xlfn.XLOOKUP(GERAL[[#This Row],[Dia]],U:U,V:V,"")</f>
        <v/>
      </c>
    </row>
    <row r="293" spans="1:18" hidden="1" x14ac:dyDescent="0.3">
      <c r="A293" t="str">
        <f>_xlfn.XLOOKUP(GERAL[[#This Row],[Dia]],U:U,T:T,"")</f>
        <v/>
      </c>
      <c r="B293" s="1">
        <v>46208</v>
      </c>
      <c r="C293" t="s">
        <v>21</v>
      </c>
      <c r="D293" s="1">
        <v>46208</v>
      </c>
      <c r="E293" t="s">
        <v>17</v>
      </c>
      <c r="Q293" t="s">
        <v>18</v>
      </c>
      <c r="R293" t="str">
        <f>_xlfn.XLOOKUP(GERAL[[#This Row],[Dia]],U:U,V:V,"")</f>
        <v/>
      </c>
    </row>
    <row r="294" spans="1:18" hidden="1" x14ac:dyDescent="0.3">
      <c r="A294" t="str">
        <f>_xlfn.XLOOKUP(GERAL[[#This Row],[Dia]],U:U,T:T,"")</f>
        <v/>
      </c>
      <c r="B294" s="1">
        <v>46209</v>
      </c>
      <c r="C294" t="s">
        <v>22</v>
      </c>
      <c r="D294" s="1">
        <v>46209</v>
      </c>
      <c r="Q294" t="s">
        <v>18</v>
      </c>
      <c r="R294" t="str">
        <f>_xlfn.XLOOKUP(GERAL[[#This Row],[Dia]],U:U,V:V,"")</f>
        <v/>
      </c>
    </row>
    <row r="295" spans="1:18" hidden="1" x14ac:dyDescent="0.3">
      <c r="A295" t="str">
        <f>_xlfn.XLOOKUP(GERAL[[#This Row],[Dia]],U:U,T:T,"")</f>
        <v/>
      </c>
      <c r="B295" s="1">
        <v>46210</v>
      </c>
      <c r="C295" t="s">
        <v>23</v>
      </c>
      <c r="D295" s="1">
        <v>46210</v>
      </c>
      <c r="Q295" t="s">
        <v>18</v>
      </c>
      <c r="R295" t="str">
        <f>_xlfn.XLOOKUP(GERAL[[#This Row],[Dia]],U:U,V:V,"")</f>
        <v/>
      </c>
    </row>
    <row r="296" spans="1:18" hidden="1" x14ac:dyDescent="0.3">
      <c r="A296" t="str">
        <f>_xlfn.XLOOKUP(GERAL[[#This Row],[Dia]],U:U,T:T,"")</f>
        <v/>
      </c>
      <c r="B296" s="1">
        <v>46211</v>
      </c>
      <c r="C296" t="s">
        <v>24</v>
      </c>
      <c r="D296" s="1">
        <v>46211</v>
      </c>
      <c r="Q296" t="s">
        <v>18</v>
      </c>
      <c r="R296" t="str">
        <f>_xlfn.XLOOKUP(GERAL[[#This Row],[Dia]],U:U,V:V,"")</f>
        <v/>
      </c>
    </row>
    <row r="297" spans="1:18" hidden="1" x14ac:dyDescent="0.3">
      <c r="A297" t="str">
        <f>_xlfn.XLOOKUP(GERAL[[#This Row],[Dia]],U:U,T:T,"")</f>
        <v/>
      </c>
      <c r="B297" s="1">
        <v>46212</v>
      </c>
      <c r="C297" t="s">
        <v>25</v>
      </c>
      <c r="D297" s="1">
        <v>46212</v>
      </c>
      <c r="Q297" t="s">
        <v>18</v>
      </c>
      <c r="R297" t="str">
        <f>_xlfn.XLOOKUP(GERAL[[#This Row],[Dia]],U:U,V:V,"")</f>
        <v/>
      </c>
    </row>
    <row r="298" spans="1:18" hidden="1" x14ac:dyDescent="0.3">
      <c r="A298" t="str">
        <f>_xlfn.XLOOKUP(GERAL[[#This Row],[Dia]],U:U,T:T,"")</f>
        <v/>
      </c>
      <c r="B298" s="1">
        <v>46213</v>
      </c>
      <c r="C298" t="s">
        <v>26</v>
      </c>
      <c r="D298" s="1">
        <v>46213</v>
      </c>
      <c r="Q298" t="s">
        <v>18</v>
      </c>
      <c r="R298" t="str">
        <f>_xlfn.XLOOKUP(GERAL[[#This Row],[Dia]],U:U,V:V,"")</f>
        <v/>
      </c>
    </row>
    <row r="299" spans="1:18" hidden="1" x14ac:dyDescent="0.3">
      <c r="A299" t="str">
        <f>_xlfn.XLOOKUP(GERAL[[#This Row],[Dia]],U:U,T:T,"")</f>
        <v/>
      </c>
      <c r="B299" s="1">
        <v>46214</v>
      </c>
      <c r="C299" t="s">
        <v>16</v>
      </c>
      <c r="D299" s="1">
        <v>46214</v>
      </c>
      <c r="E299" t="s">
        <v>17</v>
      </c>
      <c r="Q299" t="s">
        <v>18</v>
      </c>
      <c r="R299" t="str">
        <f>_xlfn.XLOOKUP(GERAL[[#This Row],[Dia]],U:U,V:V,"")</f>
        <v/>
      </c>
    </row>
    <row r="300" spans="1:18" hidden="1" x14ac:dyDescent="0.3">
      <c r="A300" t="str">
        <f>_xlfn.XLOOKUP(GERAL[[#This Row],[Dia]],U:U,T:T,"")</f>
        <v/>
      </c>
      <c r="B300" s="1">
        <v>46215</v>
      </c>
      <c r="C300" t="s">
        <v>21</v>
      </c>
      <c r="D300" s="1">
        <v>46215</v>
      </c>
      <c r="E300" t="s">
        <v>17</v>
      </c>
      <c r="Q300" t="s">
        <v>18</v>
      </c>
      <c r="R300" t="str">
        <f>_xlfn.XLOOKUP(GERAL[[#This Row],[Dia]],U:U,V:V,"")</f>
        <v/>
      </c>
    </row>
    <row r="301" spans="1:18" hidden="1" x14ac:dyDescent="0.3">
      <c r="A301" t="str">
        <f>_xlfn.XLOOKUP(GERAL[[#This Row],[Dia]],U:U,T:T,"")</f>
        <v/>
      </c>
      <c r="B301" s="1">
        <v>46216</v>
      </c>
      <c r="C301" t="s">
        <v>22</v>
      </c>
      <c r="D301" s="1">
        <v>46216</v>
      </c>
      <c r="Q301" t="s">
        <v>18</v>
      </c>
      <c r="R301" t="str">
        <f>_xlfn.XLOOKUP(GERAL[[#This Row],[Dia]],U:U,V:V,"")</f>
        <v/>
      </c>
    </row>
    <row r="302" spans="1:18" hidden="1" x14ac:dyDescent="0.3">
      <c r="A302" t="str">
        <f>_xlfn.XLOOKUP(GERAL[[#This Row],[Dia]],U:U,T:T,"")</f>
        <v/>
      </c>
      <c r="B302" s="1">
        <v>46217</v>
      </c>
      <c r="C302" t="s">
        <v>23</v>
      </c>
      <c r="D302" s="1">
        <v>46217</v>
      </c>
      <c r="Q302" t="s">
        <v>18</v>
      </c>
      <c r="R302" t="str">
        <f>_xlfn.XLOOKUP(GERAL[[#This Row],[Dia]],U:U,V:V,"")</f>
        <v/>
      </c>
    </row>
    <row r="303" spans="1:18" hidden="1" x14ac:dyDescent="0.3">
      <c r="A303" t="str">
        <f>_xlfn.XLOOKUP(GERAL[[#This Row],[Dia]],U:U,T:T,"")</f>
        <v/>
      </c>
      <c r="B303" s="1">
        <v>46218</v>
      </c>
      <c r="C303" t="s">
        <v>24</v>
      </c>
      <c r="D303" s="1">
        <v>46218</v>
      </c>
      <c r="Q303" t="s">
        <v>18</v>
      </c>
      <c r="R303" t="str">
        <f>_xlfn.XLOOKUP(GERAL[[#This Row],[Dia]],U:U,V:V,"")</f>
        <v/>
      </c>
    </row>
    <row r="304" spans="1:18" hidden="1" x14ac:dyDescent="0.3">
      <c r="A304" t="str">
        <f>_xlfn.XLOOKUP(GERAL[[#This Row],[Dia]],U:U,T:T,"")</f>
        <v/>
      </c>
      <c r="B304" s="1">
        <v>46219</v>
      </c>
      <c r="C304" t="s">
        <v>25</v>
      </c>
      <c r="D304" s="1">
        <v>46219</v>
      </c>
      <c r="Q304" t="s">
        <v>18</v>
      </c>
      <c r="R304" t="str">
        <f>_xlfn.XLOOKUP(GERAL[[#This Row],[Dia]],U:U,V:V,"")</f>
        <v/>
      </c>
    </row>
    <row r="305" spans="1:18" hidden="1" x14ac:dyDescent="0.3">
      <c r="A305" t="str">
        <f>_xlfn.XLOOKUP(GERAL[[#This Row],[Dia]],U:U,T:T,"")</f>
        <v/>
      </c>
      <c r="B305" s="1">
        <v>46220</v>
      </c>
      <c r="C305" t="s">
        <v>26</v>
      </c>
      <c r="D305" s="1">
        <v>46220</v>
      </c>
      <c r="Q305" t="s">
        <v>18</v>
      </c>
      <c r="R305" t="str">
        <f>_xlfn.XLOOKUP(GERAL[[#This Row],[Dia]],U:U,V:V,"")</f>
        <v/>
      </c>
    </row>
    <row r="306" spans="1:18" hidden="1" x14ac:dyDescent="0.3">
      <c r="A306" t="str">
        <f>_xlfn.XLOOKUP(GERAL[[#This Row],[Dia]],U:U,T:T,"")</f>
        <v/>
      </c>
      <c r="B306" s="1">
        <v>46221</v>
      </c>
      <c r="C306" t="s">
        <v>16</v>
      </c>
      <c r="D306" s="1">
        <v>46221</v>
      </c>
      <c r="E306" t="s">
        <v>17</v>
      </c>
      <c r="Q306" t="s">
        <v>18</v>
      </c>
      <c r="R306" t="str">
        <f>_xlfn.XLOOKUP(GERAL[[#This Row],[Dia]],U:U,V:V,"")</f>
        <v/>
      </c>
    </row>
    <row r="307" spans="1:18" hidden="1" x14ac:dyDescent="0.3">
      <c r="A307" t="str">
        <f>_xlfn.XLOOKUP(GERAL[[#This Row],[Dia]],U:U,T:T,"")</f>
        <v/>
      </c>
      <c r="B307" s="1">
        <v>46222</v>
      </c>
      <c r="C307" t="s">
        <v>21</v>
      </c>
      <c r="D307" s="1">
        <v>46222</v>
      </c>
      <c r="E307" t="s">
        <v>17</v>
      </c>
      <c r="Q307" t="s">
        <v>18</v>
      </c>
      <c r="R307" t="str">
        <f>_xlfn.XLOOKUP(GERAL[[#This Row],[Dia]],U:U,V:V,"")</f>
        <v/>
      </c>
    </row>
    <row r="308" spans="1:18" hidden="1" x14ac:dyDescent="0.3">
      <c r="A308" t="str">
        <f>_xlfn.XLOOKUP(GERAL[[#This Row],[Dia]],U:U,T:T,"")</f>
        <v/>
      </c>
      <c r="B308" s="1">
        <v>46223</v>
      </c>
      <c r="C308" t="s">
        <v>22</v>
      </c>
      <c r="D308" s="1">
        <v>46223</v>
      </c>
      <c r="Q308" t="s">
        <v>18</v>
      </c>
      <c r="R308" t="str">
        <f>_xlfn.XLOOKUP(GERAL[[#This Row],[Dia]],U:U,V:V,"")</f>
        <v/>
      </c>
    </row>
    <row r="309" spans="1:18" hidden="1" x14ac:dyDescent="0.3">
      <c r="A309" t="str">
        <f>_xlfn.XLOOKUP(GERAL[[#This Row],[Dia]],U:U,T:T,"")</f>
        <v/>
      </c>
      <c r="B309" s="1">
        <v>46224</v>
      </c>
      <c r="C309" t="s">
        <v>23</v>
      </c>
      <c r="D309" s="1">
        <v>46224</v>
      </c>
      <c r="Q309" t="s">
        <v>18</v>
      </c>
      <c r="R309" t="str">
        <f>_xlfn.XLOOKUP(GERAL[[#This Row],[Dia]],U:U,V:V,"")</f>
        <v/>
      </c>
    </row>
    <row r="310" spans="1:18" hidden="1" x14ac:dyDescent="0.3">
      <c r="A310" t="str">
        <f>_xlfn.XLOOKUP(GERAL[[#This Row],[Dia]],U:U,T:T,"")</f>
        <v/>
      </c>
      <c r="B310" s="1">
        <v>46225</v>
      </c>
      <c r="C310" t="s">
        <v>24</v>
      </c>
      <c r="D310" s="1">
        <v>46225</v>
      </c>
      <c r="Q310" t="s">
        <v>18</v>
      </c>
      <c r="R310" t="str">
        <f>_xlfn.XLOOKUP(GERAL[[#This Row],[Dia]],U:U,V:V,"")</f>
        <v/>
      </c>
    </row>
    <row r="311" spans="1:18" hidden="1" x14ac:dyDescent="0.3">
      <c r="A311" t="str">
        <f>_xlfn.XLOOKUP(GERAL[[#This Row],[Dia]],U:U,T:T,"")</f>
        <v/>
      </c>
      <c r="B311" s="1">
        <v>46226</v>
      </c>
      <c r="C311" t="s">
        <v>25</v>
      </c>
      <c r="D311" s="1">
        <v>46226</v>
      </c>
      <c r="Q311" t="s">
        <v>18</v>
      </c>
      <c r="R311" t="str">
        <f>_xlfn.XLOOKUP(GERAL[[#This Row],[Dia]],U:U,V:V,"")</f>
        <v/>
      </c>
    </row>
    <row r="312" spans="1:18" hidden="1" x14ac:dyDescent="0.3">
      <c r="A312" t="str">
        <f>_xlfn.XLOOKUP(GERAL[[#This Row],[Dia]],U:U,T:T,"")</f>
        <v/>
      </c>
      <c r="B312" s="1">
        <v>46227</v>
      </c>
      <c r="C312" t="s">
        <v>26</v>
      </c>
      <c r="D312" s="1">
        <v>46227</v>
      </c>
      <c r="Q312" t="s">
        <v>18</v>
      </c>
      <c r="R312" t="str">
        <f>_xlfn.XLOOKUP(GERAL[[#This Row],[Dia]],U:U,V:V,"")</f>
        <v/>
      </c>
    </row>
    <row r="313" spans="1:18" hidden="1" x14ac:dyDescent="0.3">
      <c r="A313" t="str">
        <f>_xlfn.XLOOKUP(GERAL[[#This Row],[Dia]],U:U,T:T,"")</f>
        <v/>
      </c>
      <c r="B313" s="1">
        <v>46228</v>
      </c>
      <c r="C313" t="s">
        <v>16</v>
      </c>
      <c r="D313" s="1">
        <v>46228</v>
      </c>
      <c r="E313" t="s">
        <v>17</v>
      </c>
      <c r="Q313" t="s">
        <v>18</v>
      </c>
      <c r="R313" t="str">
        <f>_xlfn.XLOOKUP(GERAL[[#This Row],[Dia]],U:U,V:V,"")</f>
        <v/>
      </c>
    </row>
    <row r="314" spans="1:18" hidden="1" x14ac:dyDescent="0.3">
      <c r="A314" t="str">
        <f>_xlfn.XLOOKUP(GERAL[[#This Row],[Dia]],U:U,T:T,"")</f>
        <v/>
      </c>
      <c r="B314" s="1">
        <v>46229</v>
      </c>
      <c r="C314" t="s">
        <v>21</v>
      </c>
      <c r="D314" s="1">
        <v>46229</v>
      </c>
      <c r="E314" t="s">
        <v>17</v>
      </c>
      <c r="Q314" t="s">
        <v>18</v>
      </c>
      <c r="R314" t="str">
        <f>_xlfn.XLOOKUP(GERAL[[#This Row],[Dia]],U:U,V:V,"")</f>
        <v/>
      </c>
    </row>
    <row r="315" spans="1:18" hidden="1" x14ac:dyDescent="0.3">
      <c r="A315" t="str">
        <f>_xlfn.XLOOKUP(GERAL[[#This Row],[Dia]],U:U,T:T,"")</f>
        <v/>
      </c>
      <c r="B315" s="1">
        <v>46230</v>
      </c>
      <c r="C315" t="s">
        <v>22</v>
      </c>
      <c r="D315" s="1">
        <v>46230</v>
      </c>
      <c r="Q315" t="s">
        <v>18</v>
      </c>
      <c r="R315" t="str">
        <f>_xlfn.XLOOKUP(GERAL[[#This Row],[Dia]],U:U,V:V,"")</f>
        <v/>
      </c>
    </row>
    <row r="316" spans="1:18" hidden="1" x14ac:dyDescent="0.3">
      <c r="A316" t="str">
        <f>_xlfn.XLOOKUP(GERAL[[#This Row],[Dia]],U:U,T:T,"")</f>
        <v/>
      </c>
      <c r="B316" s="1">
        <v>46231</v>
      </c>
      <c r="C316" t="s">
        <v>23</v>
      </c>
      <c r="D316" s="1">
        <v>46231</v>
      </c>
      <c r="Q316" t="s">
        <v>18</v>
      </c>
      <c r="R316" t="str">
        <f>_xlfn.XLOOKUP(GERAL[[#This Row],[Dia]],U:U,V:V,"")</f>
        <v/>
      </c>
    </row>
    <row r="317" spans="1:18" hidden="1" x14ac:dyDescent="0.3">
      <c r="A317" t="str">
        <f>_xlfn.XLOOKUP(GERAL[[#This Row],[Dia]],U:U,T:T,"")</f>
        <v/>
      </c>
      <c r="B317" s="1">
        <v>46232</v>
      </c>
      <c r="C317" t="s">
        <v>24</v>
      </c>
      <c r="D317" s="1">
        <v>46232</v>
      </c>
      <c r="Q317" t="s">
        <v>18</v>
      </c>
      <c r="R317" t="str">
        <f>_xlfn.XLOOKUP(GERAL[[#This Row],[Dia]],U:U,V:V,"")</f>
        <v/>
      </c>
    </row>
    <row r="318" spans="1:18" hidden="1" x14ac:dyDescent="0.3">
      <c r="A318" t="str">
        <f>_xlfn.XLOOKUP(GERAL[[#This Row],[Dia]],U:U,T:T,"")</f>
        <v/>
      </c>
      <c r="B318" s="1">
        <v>46233</v>
      </c>
      <c r="C318" t="s">
        <v>25</v>
      </c>
      <c r="D318" s="1">
        <v>46233</v>
      </c>
      <c r="Q318" t="s">
        <v>18</v>
      </c>
      <c r="R318" t="str">
        <f>_xlfn.XLOOKUP(GERAL[[#This Row],[Dia]],U:U,V:V,"")</f>
        <v/>
      </c>
    </row>
    <row r="319" spans="1:18" hidden="1" x14ac:dyDescent="0.3">
      <c r="A319" t="str">
        <f>_xlfn.XLOOKUP(GERAL[[#This Row],[Dia]],U:U,T:T,"")</f>
        <v/>
      </c>
      <c r="B319" s="1">
        <v>46234</v>
      </c>
      <c r="C319" t="s">
        <v>26</v>
      </c>
      <c r="D319" s="1">
        <v>46234</v>
      </c>
      <c r="Q319" t="s">
        <v>18</v>
      </c>
      <c r="R319" t="str">
        <f>_xlfn.XLOOKUP(GERAL[[#This Row],[Dia]],U:U,V:V,"")</f>
        <v/>
      </c>
    </row>
    <row r="320" spans="1:18" hidden="1" x14ac:dyDescent="0.3">
      <c r="A320" t="str">
        <f>_xlfn.XLOOKUP(GERAL[[#This Row],[Dia]],U:U,T:T,"")</f>
        <v/>
      </c>
      <c r="B320" s="1">
        <v>46235</v>
      </c>
      <c r="C320" t="s">
        <v>16</v>
      </c>
      <c r="D320" s="1">
        <v>46235</v>
      </c>
      <c r="E320" t="s">
        <v>17</v>
      </c>
      <c r="Q320" t="s">
        <v>18</v>
      </c>
      <c r="R320" t="str">
        <f>_xlfn.XLOOKUP(GERAL[[#This Row],[Dia]],U:U,V:V,"")</f>
        <v/>
      </c>
    </row>
    <row r="321" spans="1:18" hidden="1" x14ac:dyDescent="0.3">
      <c r="A321" t="str">
        <f>_xlfn.XLOOKUP(GERAL[[#This Row],[Dia]],U:U,T:T,"")</f>
        <v/>
      </c>
      <c r="B321" s="1">
        <v>46236</v>
      </c>
      <c r="C321" t="s">
        <v>21</v>
      </c>
      <c r="D321" s="1">
        <v>46236</v>
      </c>
      <c r="E321" t="s">
        <v>17</v>
      </c>
      <c r="Q321" t="s">
        <v>18</v>
      </c>
      <c r="R321" t="str">
        <f>_xlfn.XLOOKUP(GERAL[[#This Row],[Dia]],U:U,V:V,"")</f>
        <v/>
      </c>
    </row>
    <row r="322" spans="1:18" hidden="1" x14ac:dyDescent="0.3">
      <c r="A322" t="str">
        <f>_xlfn.XLOOKUP(GERAL[[#This Row],[Dia]],U:U,T:T,"")</f>
        <v/>
      </c>
      <c r="B322" s="1">
        <v>46237</v>
      </c>
      <c r="C322" t="s">
        <v>22</v>
      </c>
      <c r="D322" s="1">
        <v>46237</v>
      </c>
      <c r="Q322" t="s">
        <v>18</v>
      </c>
      <c r="R322" t="str">
        <f>_xlfn.XLOOKUP(GERAL[[#This Row],[Dia]],U:U,V:V,"")</f>
        <v/>
      </c>
    </row>
    <row r="323" spans="1:18" hidden="1" x14ac:dyDescent="0.3">
      <c r="A323" t="str">
        <f>_xlfn.XLOOKUP(GERAL[[#This Row],[Dia]],U:U,T:T,"")</f>
        <v/>
      </c>
      <c r="B323" s="1">
        <v>46238</v>
      </c>
      <c r="C323" t="s">
        <v>23</v>
      </c>
      <c r="D323" s="1">
        <v>46238</v>
      </c>
      <c r="Q323" t="s">
        <v>18</v>
      </c>
      <c r="R323" t="str">
        <f>_xlfn.XLOOKUP(GERAL[[#This Row],[Dia]],U:U,V:V,"")</f>
        <v/>
      </c>
    </row>
    <row r="324" spans="1:18" hidden="1" x14ac:dyDescent="0.3">
      <c r="A324" t="str">
        <f>_xlfn.XLOOKUP(GERAL[[#This Row],[Dia]],U:U,T:T,"")</f>
        <v/>
      </c>
      <c r="B324" s="1">
        <v>46239</v>
      </c>
      <c r="C324" t="s">
        <v>24</v>
      </c>
      <c r="D324" s="1">
        <v>46239</v>
      </c>
      <c r="Q324" t="s">
        <v>18</v>
      </c>
      <c r="R324" t="str">
        <f>_xlfn.XLOOKUP(GERAL[[#This Row],[Dia]],U:U,V:V,"")</f>
        <v/>
      </c>
    </row>
    <row r="325" spans="1:18" hidden="1" x14ac:dyDescent="0.3">
      <c r="A325" t="str">
        <f>_xlfn.XLOOKUP(GERAL[[#This Row],[Dia]],U:U,T:T,"")</f>
        <v/>
      </c>
      <c r="B325" s="1">
        <v>46240</v>
      </c>
      <c r="C325" t="s">
        <v>25</v>
      </c>
      <c r="D325" s="1">
        <v>46240</v>
      </c>
      <c r="Q325" t="s">
        <v>18</v>
      </c>
      <c r="R325" t="str">
        <f>_xlfn.XLOOKUP(GERAL[[#This Row],[Dia]],U:U,V:V,"")</f>
        <v/>
      </c>
    </row>
    <row r="326" spans="1:18" hidden="1" x14ac:dyDescent="0.3">
      <c r="A326" t="str">
        <f>_xlfn.XLOOKUP(GERAL[[#This Row],[Dia]],U:U,T:T,"")</f>
        <v/>
      </c>
      <c r="B326" s="1">
        <v>46241</v>
      </c>
      <c r="C326" t="s">
        <v>26</v>
      </c>
      <c r="D326" s="1">
        <v>46241</v>
      </c>
      <c r="Q326" t="s">
        <v>18</v>
      </c>
      <c r="R326" t="str">
        <f>_xlfn.XLOOKUP(GERAL[[#This Row],[Dia]],U:U,V:V,"")</f>
        <v/>
      </c>
    </row>
    <row r="327" spans="1:18" hidden="1" x14ac:dyDescent="0.3">
      <c r="A327" t="str">
        <f>_xlfn.XLOOKUP(GERAL[[#This Row],[Dia]],U:U,T:T,"")</f>
        <v/>
      </c>
      <c r="B327" s="1">
        <v>46242</v>
      </c>
      <c r="C327" t="s">
        <v>16</v>
      </c>
      <c r="D327" s="1">
        <v>46242</v>
      </c>
      <c r="E327" t="s">
        <v>17</v>
      </c>
      <c r="Q327" t="s">
        <v>18</v>
      </c>
      <c r="R327" t="str">
        <f>_xlfn.XLOOKUP(GERAL[[#This Row],[Dia]],U:U,V:V,"")</f>
        <v/>
      </c>
    </row>
    <row r="328" spans="1:18" hidden="1" x14ac:dyDescent="0.3">
      <c r="A328" t="str">
        <f>_xlfn.XLOOKUP(GERAL[[#This Row],[Dia]],U:U,T:T,"")</f>
        <v/>
      </c>
      <c r="B328" s="1">
        <v>46243</v>
      </c>
      <c r="C328" t="s">
        <v>21</v>
      </c>
      <c r="D328" s="1">
        <v>46243</v>
      </c>
      <c r="E328" t="s">
        <v>17</v>
      </c>
      <c r="Q328" t="s">
        <v>18</v>
      </c>
      <c r="R328" t="str">
        <f>_xlfn.XLOOKUP(GERAL[[#This Row],[Dia]],U:U,V:V,"")</f>
        <v/>
      </c>
    </row>
    <row r="329" spans="1:18" hidden="1" x14ac:dyDescent="0.3">
      <c r="A329" t="str">
        <f>_xlfn.XLOOKUP(GERAL[[#This Row],[Dia]],U:U,T:T,"")</f>
        <v/>
      </c>
      <c r="B329" s="1">
        <v>46244</v>
      </c>
      <c r="C329" t="s">
        <v>22</v>
      </c>
      <c r="D329" s="1">
        <v>46244</v>
      </c>
      <c r="Q329" t="s">
        <v>18</v>
      </c>
      <c r="R329" t="str">
        <f>_xlfn.XLOOKUP(GERAL[[#This Row],[Dia]],U:U,V:V,"")</f>
        <v/>
      </c>
    </row>
    <row r="330" spans="1:18" hidden="1" x14ac:dyDescent="0.3">
      <c r="A330" t="str">
        <f>_xlfn.XLOOKUP(GERAL[[#This Row],[Dia]],U:U,T:T,"")</f>
        <v/>
      </c>
      <c r="B330" s="1">
        <v>46245</v>
      </c>
      <c r="C330" t="s">
        <v>23</v>
      </c>
      <c r="D330" s="1">
        <v>46245</v>
      </c>
      <c r="Q330" t="s">
        <v>18</v>
      </c>
      <c r="R330" t="str">
        <f>_xlfn.XLOOKUP(GERAL[[#This Row],[Dia]],U:U,V:V,"")</f>
        <v/>
      </c>
    </row>
    <row r="331" spans="1:18" hidden="1" x14ac:dyDescent="0.3">
      <c r="A331" t="str">
        <f>_xlfn.XLOOKUP(GERAL[[#This Row],[Dia]],U:U,T:T,"")</f>
        <v/>
      </c>
      <c r="B331" s="1">
        <v>46246</v>
      </c>
      <c r="C331" t="s">
        <v>24</v>
      </c>
      <c r="D331" s="1">
        <v>46246</v>
      </c>
      <c r="Q331" t="s">
        <v>18</v>
      </c>
      <c r="R331" t="str">
        <f>_xlfn.XLOOKUP(GERAL[[#This Row],[Dia]],U:U,V:V,"")</f>
        <v/>
      </c>
    </row>
    <row r="332" spans="1:18" hidden="1" x14ac:dyDescent="0.3">
      <c r="A332" t="str">
        <f>_xlfn.XLOOKUP(GERAL[[#This Row],[Dia]],U:U,T:T,"")</f>
        <v/>
      </c>
      <c r="B332" s="1">
        <v>46247</v>
      </c>
      <c r="C332" t="s">
        <v>25</v>
      </c>
      <c r="D332" s="1">
        <v>46247</v>
      </c>
      <c r="Q332" t="s">
        <v>18</v>
      </c>
      <c r="R332" t="str">
        <f>_xlfn.XLOOKUP(GERAL[[#This Row],[Dia]],U:U,V:V,"")</f>
        <v/>
      </c>
    </row>
    <row r="333" spans="1:18" hidden="1" x14ac:dyDescent="0.3">
      <c r="A333" t="str">
        <f>_xlfn.XLOOKUP(GERAL[[#This Row],[Dia]],U:U,T:T,"")</f>
        <v/>
      </c>
      <c r="B333" s="1">
        <v>46248</v>
      </c>
      <c r="C333" t="s">
        <v>26</v>
      </c>
      <c r="D333" s="1">
        <v>46248</v>
      </c>
      <c r="Q333" t="s">
        <v>18</v>
      </c>
      <c r="R333" t="str">
        <f>_xlfn.XLOOKUP(GERAL[[#This Row],[Dia]],U:U,V:V,"")</f>
        <v/>
      </c>
    </row>
    <row r="334" spans="1:18" hidden="1" x14ac:dyDescent="0.3">
      <c r="A334" t="str">
        <f>_xlfn.XLOOKUP(GERAL[[#This Row],[Dia]],U:U,T:T,"")</f>
        <v/>
      </c>
      <c r="B334" s="1">
        <v>46249</v>
      </c>
      <c r="C334" t="s">
        <v>16</v>
      </c>
      <c r="D334" s="1">
        <v>46249</v>
      </c>
      <c r="E334" t="s">
        <v>17</v>
      </c>
      <c r="Q334" t="s">
        <v>18</v>
      </c>
      <c r="R334" t="str">
        <f>_xlfn.XLOOKUP(GERAL[[#This Row],[Dia]],U:U,V:V,"")</f>
        <v/>
      </c>
    </row>
    <row r="335" spans="1:18" hidden="1" x14ac:dyDescent="0.3">
      <c r="A335" t="str">
        <f>_xlfn.XLOOKUP(GERAL[[#This Row],[Dia]],U:U,T:T,"")</f>
        <v/>
      </c>
      <c r="B335" s="1">
        <v>46250</v>
      </c>
      <c r="C335" t="s">
        <v>21</v>
      </c>
      <c r="D335" s="1">
        <v>46250</v>
      </c>
      <c r="E335" t="s">
        <v>17</v>
      </c>
      <c r="Q335" t="s">
        <v>18</v>
      </c>
      <c r="R335" t="str">
        <f>_xlfn.XLOOKUP(GERAL[[#This Row],[Dia]],U:U,V:V,"")</f>
        <v/>
      </c>
    </row>
    <row r="336" spans="1:18" hidden="1" x14ac:dyDescent="0.3">
      <c r="A336" t="str">
        <f>_xlfn.XLOOKUP(GERAL[[#This Row],[Dia]],U:U,T:T,"")</f>
        <v/>
      </c>
      <c r="B336" s="1">
        <v>46251</v>
      </c>
      <c r="C336" t="s">
        <v>22</v>
      </c>
      <c r="D336" s="1">
        <v>46251</v>
      </c>
      <c r="Q336" t="s">
        <v>18</v>
      </c>
      <c r="R336" t="str">
        <f>_xlfn.XLOOKUP(GERAL[[#This Row],[Dia]],U:U,V:V,"")</f>
        <v/>
      </c>
    </row>
    <row r="337" spans="1:18" hidden="1" x14ac:dyDescent="0.3">
      <c r="A337" t="str">
        <f>_xlfn.XLOOKUP(GERAL[[#This Row],[Dia]],U:U,T:T,"")</f>
        <v/>
      </c>
      <c r="B337" s="1">
        <v>46252</v>
      </c>
      <c r="C337" t="s">
        <v>23</v>
      </c>
      <c r="D337" s="1">
        <v>46252</v>
      </c>
      <c r="Q337" t="s">
        <v>18</v>
      </c>
      <c r="R337" t="str">
        <f>_xlfn.XLOOKUP(GERAL[[#This Row],[Dia]],U:U,V:V,"")</f>
        <v/>
      </c>
    </row>
    <row r="338" spans="1:18" hidden="1" x14ac:dyDescent="0.3">
      <c r="A338" t="str">
        <f>_xlfn.XLOOKUP(GERAL[[#This Row],[Dia]],U:U,T:T,"")</f>
        <v/>
      </c>
      <c r="B338" s="1">
        <v>46253</v>
      </c>
      <c r="C338" t="s">
        <v>24</v>
      </c>
      <c r="D338" s="1">
        <v>46253</v>
      </c>
      <c r="Q338" t="s">
        <v>18</v>
      </c>
      <c r="R338" t="str">
        <f>_xlfn.XLOOKUP(GERAL[[#This Row],[Dia]],U:U,V:V,"")</f>
        <v/>
      </c>
    </row>
    <row r="339" spans="1:18" hidden="1" x14ac:dyDescent="0.3">
      <c r="A339" t="str">
        <f>_xlfn.XLOOKUP(GERAL[[#This Row],[Dia]],U:U,T:T,"")</f>
        <v/>
      </c>
      <c r="B339" s="1">
        <v>46254</v>
      </c>
      <c r="C339" t="s">
        <v>25</v>
      </c>
      <c r="D339" s="1">
        <v>46254</v>
      </c>
      <c r="Q339" t="s">
        <v>18</v>
      </c>
      <c r="R339" t="str">
        <f>_xlfn.XLOOKUP(GERAL[[#This Row],[Dia]],U:U,V:V,"")</f>
        <v/>
      </c>
    </row>
    <row r="340" spans="1:18" hidden="1" x14ac:dyDescent="0.3">
      <c r="A340" t="str">
        <f>_xlfn.XLOOKUP(GERAL[[#This Row],[Dia]],U:U,T:T,"")</f>
        <v/>
      </c>
      <c r="B340" s="1">
        <v>46255</v>
      </c>
      <c r="C340" t="s">
        <v>26</v>
      </c>
      <c r="D340" s="1">
        <v>46255</v>
      </c>
      <c r="Q340" t="s">
        <v>18</v>
      </c>
      <c r="R340" t="str">
        <f>_xlfn.XLOOKUP(GERAL[[#This Row],[Dia]],U:U,V:V,"")</f>
        <v/>
      </c>
    </row>
    <row r="341" spans="1:18" hidden="1" x14ac:dyDescent="0.3">
      <c r="A341" t="str">
        <f>_xlfn.XLOOKUP(GERAL[[#This Row],[Dia]],U:U,T:T,"")</f>
        <v/>
      </c>
      <c r="B341" s="1">
        <v>46256</v>
      </c>
      <c r="C341" t="s">
        <v>16</v>
      </c>
      <c r="D341" s="1">
        <v>46256</v>
      </c>
      <c r="E341" t="s">
        <v>17</v>
      </c>
      <c r="Q341" t="s">
        <v>18</v>
      </c>
      <c r="R341" t="str">
        <f>_xlfn.XLOOKUP(GERAL[[#This Row],[Dia]],U:U,V:V,"")</f>
        <v/>
      </c>
    </row>
    <row r="342" spans="1:18" hidden="1" x14ac:dyDescent="0.3">
      <c r="A342" t="str">
        <f>_xlfn.XLOOKUP(GERAL[[#This Row],[Dia]],U:U,T:T,"")</f>
        <v/>
      </c>
      <c r="B342" s="1">
        <v>46257</v>
      </c>
      <c r="C342" t="s">
        <v>21</v>
      </c>
      <c r="D342" s="1">
        <v>46257</v>
      </c>
      <c r="E342" t="s">
        <v>17</v>
      </c>
      <c r="Q342" t="s">
        <v>18</v>
      </c>
      <c r="R342" t="str">
        <f>_xlfn.XLOOKUP(GERAL[[#This Row],[Dia]],U:U,V:V,"")</f>
        <v/>
      </c>
    </row>
    <row r="343" spans="1:18" hidden="1" x14ac:dyDescent="0.3">
      <c r="A343" t="str">
        <f>_xlfn.XLOOKUP(GERAL[[#This Row],[Dia]],U:U,T:T,"")</f>
        <v/>
      </c>
      <c r="B343" s="1">
        <v>46258</v>
      </c>
      <c r="C343" t="s">
        <v>22</v>
      </c>
      <c r="D343" s="1">
        <v>46258</v>
      </c>
      <c r="Q343" t="s">
        <v>18</v>
      </c>
      <c r="R343" t="str">
        <f>_xlfn.XLOOKUP(GERAL[[#This Row],[Dia]],U:U,V:V,"")</f>
        <v/>
      </c>
    </row>
    <row r="344" spans="1:18" hidden="1" x14ac:dyDescent="0.3">
      <c r="A344" t="str">
        <f>_xlfn.XLOOKUP(GERAL[[#This Row],[Dia]],U:U,T:T,"")</f>
        <v/>
      </c>
      <c r="B344" s="1">
        <v>46259</v>
      </c>
      <c r="C344" t="s">
        <v>23</v>
      </c>
      <c r="D344" s="1">
        <v>46259</v>
      </c>
      <c r="Q344" t="s">
        <v>18</v>
      </c>
      <c r="R344" t="str">
        <f>_xlfn.XLOOKUP(GERAL[[#This Row],[Dia]],U:U,V:V,"")</f>
        <v/>
      </c>
    </row>
    <row r="345" spans="1:18" hidden="1" x14ac:dyDescent="0.3">
      <c r="A345" t="str">
        <f>_xlfn.XLOOKUP(GERAL[[#This Row],[Dia]],U:U,T:T,"")</f>
        <v/>
      </c>
      <c r="B345" s="1">
        <v>46260</v>
      </c>
      <c r="C345" t="s">
        <v>24</v>
      </c>
      <c r="D345" s="1">
        <v>46260</v>
      </c>
      <c r="Q345" t="s">
        <v>18</v>
      </c>
      <c r="R345" t="str">
        <f>_xlfn.XLOOKUP(GERAL[[#This Row],[Dia]],U:U,V:V,"")</f>
        <v/>
      </c>
    </row>
    <row r="346" spans="1:18" hidden="1" x14ac:dyDescent="0.3">
      <c r="A346" t="str">
        <f>_xlfn.XLOOKUP(GERAL[[#This Row],[Dia]],U:U,T:T,"")</f>
        <v/>
      </c>
      <c r="B346" s="1">
        <v>46261</v>
      </c>
      <c r="C346" t="s">
        <v>25</v>
      </c>
      <c r="D346" s="1">
        <v>46261</v>
      </c>
      <c r="Q346" t="s">
        <v>18</v>
      </c>
      <c r="R346" t="str">
        <f>_xlfn.XLOOKUP(GERAL[[#This Row],[Dia]],U:U,V:V,"")</f>
        <v/>
      </c>
    </row>
    <row r="347" spans="1:18" hidden="1" x14ac:dyDescent="0.3">
      <c r="A347" t="str">
        <f>_xlfn.XLOOKUP(GERAL[[#This Row],[Dia]],U:U,T:T,"")</f>
        <v/>
      </c>
      <c r="B347" s="1">
        <v>46262</v>
      </c>
      <c r="C347" t="s">
        <v>26</v>
      </c>
      <c r="D347" s="1">
        <v>46262</v>
      </c>
      <c r="Q347" t="s">
        <v>18</v>
      </c>
      <c r="R347" t="str">
        <f>_xlfn.XLOOKUP(GERAL[[#This Row],[Dia]],U:U,V:V,"")</f>
        <v/>
      </c>
    </row>
    <row r="348" spans="1:18" hidden="1" x14ac:dyDescent="0.3">
      <c r="A348" t="str">
        <f>_xlfn.XLOOKUP(GERAL[[#This Row],[Dia]],U:U,T:T,"")</f>
        <v/>
      </c>
      <c r="B348" s="1">
        <v>46263</v>
      </c>
      <c r="C348" t="s">
        <v>16</v>
      </c>
      <c r="D348" s="1">
        <v>46263</v>
      </c>
      <c r="E348" t="s">
        <v>17</v>
      </c>
      <c r="Q348" t="s">
        <v>18</v>
      </c>
      <c r="R348" t="str">
        <f>_xlfn.XLOOKUP(GERAL[[#This Row],[Dia]],U:U,V:V,"")</f>
        <v/>
      </c>
    </row>
    <row r="349" spans="1:18" hidden="1" x14ac:dyDescent="0.3">
      <c r="A349" t="str">
        <f>_xlfn.XLOOKUP(GERAL[[#This Row],[Dia]],U:U,T:T,"")</f>
        <v/>
      </c>
      <c r="B349" s="1">
        <v>46264</v>
      </c>
      <c r="C349" t="s">
        <v>21</v>
      </c>
      <c r="D349" s="1">
        <v>46264</v>
      </c>
      <c r="E349" t="s">
        <v>17</v>
      </c>
      <c r="Q349" t="s">
        <v>18</v>
      </c>
      <c r="R349" t="str">
        <f>_xlfn.XLOOKUP(GERAL[[#This Row],[Dia]],U:U,V:V,"")</f>
        <v/>
      </c>
    </row>
    <row r="350" spans="1:18" hidden="1" x14ac:dyDescent="0.3">
      <c r="A350" t="str">
        <f>_xlfn.XLOOKUP(GERAL[[#This Row],[Dia]],U:U,T:T,"")</f>
        <v/>
      </c>
      <c r="B350" s="1">
        <v>46265</v>
      </c>
      <c r="C350" t="s">
        <v>22</v>
      </c>
      <c r="D350" s="1">
        <v>46265</v>
      </c>
      <c r="Q350" t="s">
        <v>18</v>
      </c>
      <c r="R350" t="str">
        <f>_xlfn.XLOOKUP(GERAL[[#This Row],[Dia]],U:U,V:V,"")</f>
        <v/>
      </c>
    </row>
    <row r="351" spans="1:18" hidden="1" x14ac:dyDescent="0.3">
      <c r="A351" t="str">
        <f>_xlfn.XLOOKUP(GERAL[[#This Row],[Dia]],U:U,T:T,"")</f>
        <v/>
      </c>
      <c r="B351" s="1">
        <v>46266</v>
      </c>
      <c r="C351" t="s">
        <v>23</v>
      </c>
      <c r="D351" s="1">
        <v>46266</v>
      </c>
      <c r="Q351" t="s">
        <v>18</v>
      </c>
      <c r="R351" t="str">
        <f>_xlfn.XLOOKUP(GERAL[[#This Row],[Dia]],U:U,V:V,"")</f>
        <v/>
      </c>
    </row>
    <row r="352" spans="1:18" hidden="1" x14ac:dyDescent="0.3">
      <c r="A352" t="str">
        <f>_xlfn.XLOOKUP(GERAL[[#This Row],[Dia]],U:U,T:T,"")</f>
        <v/>
      </c>
      <c r="B352" s="1">
        <v>46267</v>
      </c>
      <c r="C352" t="s">
        <v>24</v>
      </c>
      <c r="D352" s="1">
        <v>46267</v>
      </c>
      <c r="Q352" t="s">
        <v>18</v>
      </c>
      <c r="R352" t="str">
        <f>_xlfn.XLOOKUP(GERAL[[#This Row],[Dia]],U:U,V:V,"")</f>
        <v/>
      </c>
    </row>
    <row r="353" spans="1:18" hidden="1" x14ac:dyDescent="0.3">
      <c r="A353" t="str">
        <f>_xlfn.XLOOKUP(GERAL[[#This Row],[Dia]],U:U,T:T,"")</f>
        <v/>
      </c>
      <c r="B353" s="1">
        <v>46268</v>
      </c>
      <c r="C353" t="s">
        <v>25</v>
      </c>
      <c r="D353" s="1">
        <v>46268</v>
      </c>
      <c r="Q353" t="s">
        <v>18</v>
      </c>
      <c r="R353" t="str">
        <f>_xlfn.XLOOKUP(GERAL[[#This Row],[Dia]],U:U,V:V,"")</f>
        <v/>
      </c>
    </row>
    <row r="354" spans="1:18" hidden="1" x14ac:dyDescent="0.3">
      <c r="A354" t="str">
        <f>_xlfn.XLOOKUP(GERAL[[#This Row],[Dia]],U:U,T:T,"")</f>
        <v/>
      </c>
      <c r="B354" s="1">
        <v>46269</v>
      </c>
      <c r="C354" t="s">
        <v>26</v>
      </c>
      <c r="D354" s="1">
        <v>46269</v>
      </c>
      <c r="Q354" t="s">
        <v>18</v>
      </c>
      <c r="R354" t="str">
        <f>_xlfn.XLOOKUP(GERAL[[#This Row],[Dia]],U:U,V:V,"")</f>
        <v/>
      </c>
    </row>
    <row r="355" spans="1:18" hidden="1" x14ac:dyDescent="0.3">
      <c r="A355" t="str">
        <f>_xlfn.XLOOKUP(GERAL[[#This Row],[Dia]],U:U,T:T,"")</f>
        <v/>
      </c>
      <c r="B355" s="1">
        <v>46270</v>
      </c>
      <c r="C355" t="s">
        <v>16</v>
      </c>
      <c r="D355" s="1">
        <v>46270</v>
      </c>
      <c r="E355" t="s">
        <v>17</v>
      </c>
      <c r="Q355" t="s">
        <v>18</v>
      </c>
      <c r="R355" t="str">
        <f>_xlfn.XLOOKUP(GERAL[[#This Row],[Dia]],U:U,V:V,"")</f>
        <v/>
      </c>
    </row>
    <row r="356" spans="1:18" hidden="1" x14ac:dyDescent="0.3">
      <c r="A356" t="str">
        <f>_xlfn.XLOOKUP(GERAL[[#This Row],[Dia]],U:U,T:T,"")</f>
        <v/>
      </c>
      <c r="B356" s="1">
        <v>46271</v>
      </c>
      <c r="C356" t="s">
        <v>21</v>
      </c>
      <c r="D356" s="1">
        <v>46271</v>
      </c>
      <c r="E356" t="s">
        <v>17</v>
      </c>
      <c r="Q356" t="s">
        <v>18</v>
      </c>
      <c r="R356" t="str">
        <f>_xlfn.XLOOKUP(GERAL[[#This Row],[Dia]],U:U,V:V,"")</f>
        <v/>
      </c>
    </row>
    <row r="357" spans="1:18" hidden="1" x14ac:dyDescent="0.3">
      <c r="A357" t="str">
        <f>_xlfn.XLOOKUP(GERAL[[#This Row],[Dia]],U:U,T:T,"")</f>
        <v/>
      </c>
      <c r="B357" s="1">
        <v>46272</v>
      </c>
      <c r="C357" t="s">
        <v>22</v>
      </c>
      <c r="D357" s="1">
        <v>46272</v>
      </c>
      <c r="Q357" t="s">
        <v>18</v>
      </c>
      <c r="R357" t="str">
        <f>_xlfn.XLOOKUP(GERAL[[#This Row],[Dia]],U:U,V:V,"")</f>
        <v/>
      </c>
    </row>
    <row r="358" spans="1:18" hidden="1" x14ac:dyDescent="0.3">
      <c r="A358" t="str">
        <f>_xlfn.XLOOKUP(GERAL[[#This Row],[Dia]],U:U,T:T,"")</f>
        <v/>
      </c>
      <c r="B358" s="1">
        <v>46273</v>
      </c>
      <c r="C358" t="s">
        <v>23</v>
      </c>
      <c r="D358" s="1">
        <v>46273</v>
      </c>
      <c r="Q358" t="s">
        <v>18</v>
      </c>
      <c r="R358" t="str">
        <f>_xlfn.XLOOKUP(GERAL[[#This Row],[Dia]],U:U,V:V,"")</f>
        <v/>
      </c>
    </row>
    <row r="359" spans="1:18" hidden="1" x14ac:dyDescent="0.3">
      <c r="A359" t="str">
        <f>_xlfn.XLOOKUP(GERAL[[#This Row],[Dia]],U:U,T:T,"")</f>
        <v/>
      </c>
      <c r="B359" s="1">
        <v>46274</v>
      </c>
      <c r="C359" t="s">
        <v>24</v>
      </c>
      <c r="D359" s="1">
        <v>46274</v>
      </c>
      <c r="Q359" t="s">
        <v>18</v>
      </c>
      <c r="R359" t="str">
        <f>_xlfn.XLOOKUP(GERAL[[#This Row],[Dia]],U:U,V:V,"")</f>
        <v/>
      </c>
    </row>
    <row r="360" spans="1:18" hidden="1" x14ac:dyDescent="0.3">
      <c r="A360" t="str">
        <f>_xlfn.XLOOKUP(GERAL[[#This Row],[Dia]],U:U,T:T,"")</f>
        <v/>
      </c>
      <c r="B360" s="1">
        <v>46275</v>
      </c>
      <c r="C360" t="s">
        <v>25</v>
      </c>
      <c r="D360" s="1">
        <v>46275</v>
      </c>
      <c r="Q360" t="s">
        <v>18</v>
      </c>
      <c r="R360" t="str">
        <f>_xlfn.XLOOKUP(GERAL[[#This Row],[Dia]],U:U,V:V,"")</f>
        <v/>
      </c>
    </row>
    <row r="361" spans="1:18" hidden="1" x14ac:dyDescent="0.3">
      <c r="A361" t="str">
        <f>_xlfn.XLOOKUP(GERAL[[#This Row],[Dia]],U:U,T:T,"")</f>
        <v/>
      </c>
      <c r="B361" s="1">
        <v>46276</v>
      </c>
      <c r="C361" t="s">
        <v>26</v>
      </c>
      <c r="D361" s="1">
        <v>46276</v>
      </c>
      <c r="Q361" t="s">
        <v>18</v>
      </c>
      <c r="R361" t="str">
        <f>_xlfn.XLOOKUP(GERAL[[#This Row],[Dia]],U:U,V:V,"")</f>
        <v/>
      </c>
    </row>
    <row r="362" spans="1:18" hidden="1" x14ac:dyDescent="0.3">
      <c r="A362" t="str">
        <f>_xlfn.XLOOKUP(GERAL[[#This Row],[Dia]],U:U,T:T,"")</f>
        <v/>
      </c>
      <c r="B362" s="1">
        <v>46277</v>
      </c>
      <c r="C362" t="s">
        <v>16</v>
      </c>
      <c r="D362" s="1">
        <v>46277</v>
      </c>
      <c r="E362" t="s">
        <v>17</v>
      </c>
      <c r="Q362" t="s">
        <v>18</v>
      </c>
      <c r="R362" t="str">
        <f>_xlfn.XLOOKUP(GERAL[[#This Row],[Dia]],U:U,V:V,"")</f>
        <v/>
      </c>
    </row>
    <row r="363" spans="1:18" hidden="1" x14ac:dyDescent="0.3">
      <c r="A363" t="str">
        <f>_xlfn.XLOOKUP(GERAL[[#This Row],[Dia]],U:U,T:T,"")</f>
        <v/>
      </c>
      <c r="B363" s="1">
        <v>46278</v>
      </c>
      <c r="C363" t="s">
        <v>21</v>
      </c>
      <c r="D363" s="1">
        <v>46278</v>
      </c>
      <c r="E363" t="s">
        <v>17</v>
      </c>
      <c r="Q363" t="s">
        <v>18</v>
      </c>
      <c r="R363" t="str">
        <f>_xlfn.XLOOKUP(GERAL[[#This Row],[Dia]],U:U,V:V,"")</f>
        <v/>
      </c>
    </row>
    <row r="364" spans="1:18" hidden="1" x14ac:dyDescent="0.3">
      <c r="A364" t="str">
        <f>_xlfn.XLOOKUP(GERAL[[#This Row],[Dia]],U:U,T:T,"")</f>
        <v/>
      </c>
      <c r="B364" s="1">
        <v>46279</v>
      </c>
      <c r="C364" t="s">
        <v>22</v>
      </c>
      <c r="D364" s="1">
        <v>46279</v>
      </c>
      <c r="Q364" t="s">
        <v>18</v>
      </c>
      <c r="R364" t="str">
        <f>_xlfn.XLOOKUP(GERAL[[#This Row],[Dia]],U:U,V:V,"")</f>
        <v/>
      </c>
    </row>
    <row r="365" spans="1:18" hidden="1" x14ac:dyDescent="0.3">
      <c r="A365" t="str">
        <f>_xlfn.XLOOKUP(GERAL[[#This Row],[Dia]],U:U,T:T,"")</f>
        <v/>
      </c>
      <c r="B365" s="1">
        <v>46280</v>
      </c>
      <c r="C365" t="s">
        <v>23</v>
      </c>
      <c r="D365" s="1">
        <v>46280</v>
      </c>
      <c r="Q365" t="s">
        <v>18</v>
      </c>
      <c r="R365" t="str">
        <f>_xlfn.XLOOKUP(GERAL[[#This Row],[Dia]],U:U,V:V,"")</f>
        <v/>
      </c>
    </row>
    <row r="366" spans="1:18" hidden="1" x14ac:dyDescent="0.3">
      <c r="A366" t="str">
        <f>_xlfn.XLOOKUP(GERAL[[#This Row],[Dia]],U:U,T:T,"")</f>
        <v/>
      </c>
      <c r="B366" s="1">
        <v>46281</v>
      </c>
      <c r="C366" t="s">
        <v>24</v>
      </c>
      <c r="D366" s="1">
        <v>46281</v>
      </c>
      <c r="Q366" t="s">
        <v>18</v>
      </c>
      <c r="R366" t="str">
        <f>_xlfn.XLOOKUP(GERAL[[#This Row],[Dia]],U:U,V:V,"")</f>
        <v/>
      </c>
    </row>
    <row r="367" spans="1:18" hidden="1" x14ac:dyDescent="0.3">
      <c r="A367" t="str">
        <f>_xlfn.XLOOKUP(GERAL[[#This Row],[Dia]],U:U,T:T,"")</f>
        <v/>
      </c>
      <c r="B367" s="1">
        <v>46282</v>
      </c>
      <c r="C367" t="s">
        <v>25</v>
      </c>
      <c r="D367" s="1">
        <v>46282</v>
      </c>
      <c r="Q367" t="s">
        <v>18</v>
      </c>
      <c r="R367" t="str">
        <f>_xlfn.XLOOKUP(GERAL[[#This Row],[Dia]],U:U,V:V,"")</f>
        <v/>
      </c>
    </row>
    <row r="368" spans="1:18" hidden="1" x14ac:dyDescent="0.3">
      <c r="A368" t="str">
        <f>_xlfn.XLOOKUP(GERAL[[#This Row],[Dia]],U:U,T:T,"")</f>
        <v/>
      </c>
      <c r="B368" s="1">
        <v>46283</v>
      </c>
      <c r="C368" t="s">
        <v>26</v>
      </c>
      <c r="D368" s="1">
        <v>46283</v>
      </c>
      <c r="Q368" t="s">
        <v>18</v>
      </c>
      <c r="R368" t="str">
        <f>_xlfn.XLOOKUP(GERAL[[#This Row],[Dia]],U:U,V:V,"")</f>
        <v/>
      </c>
    </row>
    <row r="369" spans="1:18" hidden="1" x14ac:dyDescent="0.3">
      <c r="A369" t="str">
        <f>_xlfn.XLOOKUP(GERAL[[#This Row],[Dia]],U:U,T:T,"")</f>
        <v/>
      </c>
      <c r="B369" s="1">
        <v>46284</v>
      </c>
      <c r="C369" t="s">
        <v>16</v>
      </c>
      <c r="D369" s="1">
        <v>46284</v>
      </c>
      <c r="E369" t="s">
        <v>17</v>
      </c>
      <c r="Q369" t="s">
        <v>18</v>
      </c>
      <c r="R369" t="str">
        <f>_xlfn.XLOOKUP(GERAL[[#This Row],[Dia]],U:U,V:V,"")</f>
        <v/>
      </c>
    </row>
    <row r="370" spans="1:18" hidden="1" x14ac:dyDescent="0.3">
      <c r="A370" t="str">
        <f>_xlfn.XLOOKUP(GERAL[[#This Row],[Dia]],U:U,T:T,"")</f>
        <v/>
      </c>
      <c r="B370" s="1">
        <v>46285</v>
      </c>
      <c r="C370" t="s">
        <v>21</v>
      </c>
      <c r="D370" s="1">
        <v>46285</v>
      </c>
      <c r="E370" t="s">
        <v>17</v>
      </c>
      <c r="Q370" t="s">
        <v>18</v>
      </c>
      <c r="R370" t="str">
        <f>_xlfn.XLOOKUP(GERAL[[#This Row],[Dia]],U:U,V:V,"")</f>
        <v/>
      </c>
    </row>
    <row r="371" spans="1:18" hidden="1" x14ac:dyDescent="0.3">
      <c r="A371" t="str">
        <f>_xlfn.XLOOKUP(GERAL[[#This Row],[Dia]],U:U,T:T,"")</f>
        <v/>
      </c>
      <c r="B371" s="1">
        <v>46286</v>
      </c>
      <c r="C371" t="s">
        <v>22</v>
      </c>
      <c r="D371" s="1">
        <v>46286</v>
      </c>
      <c r="Q371" t="s">
        <v>18</v>
      </c>
      <c r="R371" t="str">
        <f>_xlfn.XLOOKUP(GERAL[[#This Row],[Dia]],U:U,V:V,"")</f>
        <v/>
      </c>
    </row>
    <row r="372" spans="1:18" hidden="1" x14ac:dyDescent="0.3">
      <c r="A372" t="str">
        <f>_xlfn.XLOOKUP(GERAL[[#This Row],[Dia]],U:U,T:T,"")</f>
        <v/>
      </c>
      <c r="B372" s="1">
        <v>46287</v>
      </c>
      <c r="C372" t="s">
        <v>23</v>
      </c>
      <c r="D372" s="1">
        <v>46287</v>
      </c>
      <c r="Q372" t="s">
        <v>18</v>
      </c>
      <c r="R372" t="str">
        <f>_xlfn.XLOOKUP(GERAL[[#This Row],[Dia]],U:U,V:V,"")</f>
        <v/>
      </c>
    </row>
    <row r="373" spans="1:18" hidden="1" x14ac:dyDescent="0.3">
      <c r="A373" t="str">
        <f>_xlfn.XLOOKUP(GERAL[[#This Row],[Dia]],U:U,T:T,"")</f>
        <v/>
      </c>
      <c r="B373" s="1">
        <v>46288</v>
      </c>
      <c r="C373" t="s">
        <v>24</v>
      </c>
      <c r="D373" s="1">
        <v>46288</v>
      </c>
      <c r="Q373" t="s">
        <v>18</v>
      </c>
      <c r="R373" t="str">
        <f>_xlfn.XLOOKUP(GERAL[[#This Row],[Dia]],U:U,V:V,"")</f>
        <v/>
      </c>
    </row>
    <row r="374" spans="1:18" hidden="1" x14ac:dyDescent="0.3">
      <c r="A374" t="str">
        <f>_xlfn.XLOOKUP(GERAL[[#This Row],[Dia]],U:U,T:T,"")</f>
        <v/>
      </c>
      <c r="B374" s="1">
        <v>46289</v>
      </c>
      <c r="C374" t="s">
        <v>25</v>
      </c>
      <c r="D374" s="1">
        <v>46289</v>
      </c>
      <c r="Q374" t="s">
        <v>18</v>
      </c>
      <c r="R374" t="str">
        <f>_xlfn.XLOOKUP(GERAL[[#This Row],[Dia]],U:U,V:V,"")</f>
        <v/>
      </c>
    </row>
    <row r="375" spans="1:18" hidden="1" x14ac:dyDescent="0.3">
      <c r="A375" t="str">
        <f>_xlfn.XLOOKUP(GERAL[[#This Row],[Dia]],U:U,T:T,"")</f>
        <v/>
      </c>
      <c r="B375" s="1">
        <v>46290</v>
      </c>
      <c r="C375" t="s">
        <v>26</v>
      </c>
      <c r="D375" s="1">
        <v>46290</v>
      </c>
      <c r="Q375" t="s">
        <v>18</v>
      </c>
      <c r="R375" t="str">
        <f>_xlfn.XLOOKUP(GERAL[[#This Row],[Dia]],U:U,V:V,"")</f>
        <v/>
      </c>
    </row>
    <row r="376" spans="1:18" hidden="1" x14ac:dyDescent="0.3">
      <c r="A376" t="str">
        <f>_xlfn.XLOOKUP(GERAL[[#This Row],[Dia]],U:U,T:T,"")</f>
        <v/>
      </c>
      <c r="B376" s="1">
        <v>46291</v>
      </c>
      <c r="C376" t="s">
        <v>16</v>
      </c>
      <c r="D376" s="1">
        <v>46291</v>
      </c>
      <c r="E376" t="s">
        <v>17</v>
      </c>
      <c r="Q376" t="s">
        <v>18</v>
      </c>
      <c r="R376" t="str">
        <f>_xlfn.XLOOKUP(GERAL[[#This Row],[Dia]],U:U,V:V,"")</f>
        <v/>
      </c>
    </row>
    <row r="377" spans="1:18" hidden="1" x14ac:dyDescent="0.3">
      <c r="A377" t="str">
        <f>_xlfn.XLOOKUP(GERAL[[#This Row],[Dia]],U:U,T:T,"")</f>
        <v/>
      </c>
      <c r="B377" s="1">
        <v>46292</v>
      </c>
      <c r="C377" t="s">
        <v>21</v>
      </c>
      <c r="D377" s="1">
        <v>46292</v>
      </c>
      <c r="E377" t="s">
        <v>17</v>
      </c>
      <c r="Q377" t="s">
        <v>18</v>
      </c>
      <c r="R377" t="str">
        <f>_xlfn.XLOOKUP(GERAL[[#This Row],[Dia]],U:U,V:V,"")</f>
        <v/>
      </c>
    </row>
    <row r="378" spans="1:18" hidden="1" x14ac:dyDescent="0.3">
      <c r="A378" t="str">
        <f>_xlfn.XLOOKUP(GERAL[[#This Row],[Dia]],U:U,T:T,"")</f>
        <v/>
      </c>
      <c r="B378" s="1">
        <v>46293</v>
      </c>
      <c r="C378" t="s">
        <v>22</v>
      </c>
      <c r="D378" s="1">
        <v>46293</v>
      </c>
      <c r="Q378" t="s">
        <v>18</v>
      </c>
      <c r="R378" t="str">
        <f>_xlfn.XLOOKUP(GERAL[[#This Row],[Dia]],U:U,V:V,"")</f>
        <v/>
      </c>
    </row>
    <row r="379" spans="1:18" hidden="1" x14ac:dyDescent="0.3">
      <c r="A379" t="str">
        <f>_xlfn.XLOOKUP(GERAL[[#This Row],[Dia]],U:U,T:T,"")</f>
        <v/>
      </c>
      <c r="B379" s="1">
        <v>46294</v>
      </c>
      <c r="C379" t="s">
        <v>23</v>
      </c>
      <c r="D379" s="1">
        <v>46294</v>
      </c>
      <c r="Q379" t="s">
        <v>18</v>
      </c>
      <c r="R379" t="str">
        <f>_xlfn.XLOOKUP(GERAL[[#This Row],[Dia]],U:U,V:V,"")</f>
        <v/>
      </c>
    </row>
    <row r="380" spans="1:18" hidden="1" x14ac:dyDescent="0.3">
      <c r="A380" t="str">
        <f>_xlfn.XLOOKUP(GERAL[[#This Row],[Dia]],U:U,T:T,"")</f>
        <v/>
      </c>
      <c r="B380" s="1">
        <v>46295</v>
      </c>
      <c r="C380" t="s">
        <v>24</v>
      </c>
      <c r="D380" s="1">
        <v>46295</v>
      </c>
      <c r="Q380" t="s">
        <v>18</v>
      </c>
      <c r="R380" t="str">
        <f>_xlfn.XLOOKUP(GERAL[[#This Row],[Dia]],U:U,V:V,"")</f>
        <v/>
      </c>
    </row>
    <row r="381" spans="1:18" hidden="1" x14ac:dyDescent="0.3">
      <c r="A381" t="str">
        <f>_xlfn.XLOOKUP(GERAL[[#This Row],[Dia]],U:U,T:T,"")</f>
        <v/>
      </c>
      <c r="B381" s="1">
        <v>46296</v>
      </c>
      <c r="C381" t="s">
        <v>25</v>
      </c>
      <c r="D381" s="1">
        <v>46296</v>
      </c>
      <c r="Q381" t="s">
        <v>18</v>
      </c>
      <c r="R381" t="str">
        <f>_xlfn.XLOOKUP(GERAL[[#This Row],[Dia]],U:U,V:V,"")</f>
        <v/>
      </c>
    </row>
    <row r="382" spans="1:18" hidden="1" x14ac:dyDescent="0.3">
      <c r="A382" t="str">
        <f>_xlfn.XLOOKUP(GERAL[[#This Row],[Dia]],U:U,T:T,"")</f>
        <v/>
      </c>
      <c r="B382" s="1">
        <v>46297</v>
      </c>
      <c r="C382" t="s">
        <v>26</v>
      </c>
      <c r="D382" s="1">
        <v>46297</v>
      </c>
      <c r="Q382" t="s">
        <v>18</v>
      </c>
      <c r="R382" t="str">
        <f>_xlfn.XLOOKUP(GERAL[[#This Row],[Dia]],U:U,V:V,"")</f>
        <v/>
      </c>
    </row>
    <row r="383" spans="1:18" hidden="1" x14ac:dyDescent="0.3">
      <c r="A383" t="str">
        <f>_xlfn.XLOOKUP(GERAL[[#This Row],[Dia]],U:U,T:T,"")</f>
        <v/>
      </c>
      <c r="B383" s="1">
        <v>46298</v>
      </c>
      <c r="C383" t="s">
        <v>16</v>
      </c>
      <c r="D383" s="1">
        <v>46298</v>
      </c>
      <c r="E383" t="s">
        <v>17</v>
      </c>
      <c r="Q383" t="s">
        <v>18</v>
      </c>
      <c r="R383" t="str">
        <f>_xlfn.XLOOKUP(GERAL[[#This Row],[Dia]],U:U,V:V,"")</f>
        <v/>
      </c>
    </row>
    <row r="384" spans="1:18" hidden="1" x14ac:dyDescent="0.3">
      <c r="A384" t="str">
        <f>_xlfn.XLOOKUP(GERAL[[#This Row],[Dia]],U:U,T:T,"")</f>
        <v/>
      </c>
      <c r="B384" s="1">
        <v>46299</v>
      </c>
      <c r="C384" t="s">
        <v>21</v>
      </c>
      <c r="D384" s="1">
        <v>46299</v>
      </c>
      <c r="E384" t="s">
        <v>17</v>
      </c>
      <c r="Q384" t="s">
        <v>18</v>
      </c>
      <c r="R384" t="str">
        <f>_xlfn.XLOOKUP(GERAL[[#This Row],[Dia]],U:U,V:V,"")</f>
        <v/>
      </c>
    </row>
    <row r="385" spans="1:18" hidden="1" x14ac:dyDescent="0.3">
      <c r="A385" t="str">
        <f>_xlfn.XLOOKUP(GERAL[[#This Row],[Dia]],U:U,T:T,"")</f>
        <v/>
      </c>
      <c r="B385" s="1">
        <v>46300</v>
      </c>
      <c r="C385" t="s">
        <v>22</v>
      </c>
      <c r="D385" s="1">
        <v>46300</v>
      </c>
      <c r="Q385" t="s">
        <v>18</v>
      </c>
      <c r="R385" t="str">
        <f>_xlfn.XLOOKUP(GERAL[[#This Row],[Dia]],U:U,V:V,"")</f>
        <v/>
      </c>
    </row>
    <row r="386" spans="1:18" hidden="1" x14ac:dyDescent="0.3">
      <c r="A386" t="str">
        <f>_xlfn.XLOOKUP(GERAL[[#This Row],[Dia]],U:U,T:T,"")</f>
        <v/>
      </c>
      <c r="B386" s="1">
        <v>46301</v>
      </c>
      <c r="C386" t="s">
        <v>23</v>
      </c>
      <c r="D386" s="1">
        <v>46301</v>
      </c>
      <c r="Q386" t="s">
        <v>18</v>
      </c>
      <c r="R386" t="str">
        <f>_xlfn.XLOOKUP(GERAL[[#This Row],[Dia]],U:U,V:V,"")</f>
        <v/>
      </c>
    </row>
    <row r="387" spans="1:18" hidden="1" x14ac:dyDescent="0.3">
      <c r="A387" t="str">
        <f>_xlfn.XLOOKUP(GERAL[[#This Row],[Dia]],U:U,T:T,"")</f>
        <v/>
      </c>
      <c r="B387" s="1">
        <v>46302</v>
      </c>
      <c r="C387" t="s">
        <v>24</v>
      </c>
      <c r="D387" s="1">
        <v>46302</v>
      </c>
      <c r="Q387" t="s">
        <v>18</v>
      </c>
      <c r="R387" t="str">
        <f>_xlfn.XLOOKUP(GERAL[[#This Row],[Dia]],U:U,V:V,"")</f>
        <v/>
      </c>
    </row>
    <row r="388" spans="1:18" hidden="1" x14ac:dyDescent="0.3">
      <c r="A388" t="str">
        <f>_xlfn.XLOOKUP(GERAL[[#This Row],[Dia]],U:U,T:T,"")</f>
        <v/>
      </c>
      <c r="B388" s="1">
        <v>46303</v>
      </c>
      <c r="C388" t="s">
        <v>25</v>
      </c>
      <c r="D388" s="1">
        <v>46303</v>
      </c>
      <c r="Q388" t="s">
        <v>18</v>
      </c>
      <c r="R388" t="str">
        <f>_xlfn.XLOOKUP(GERAL[[#This Row],[Dia]],U:U,V:V,"")</f>
        <v/>
      </c>
    </row>
    <row r="389" spans="1:18" hidden="1" x14ac:dyDescent="0.3">
      <c r="A389" t="str">
        <f>_xlfn.XLOOKUP(GERAL[[#This Row],[Dia]],U:U,T:T,"")</f>
        <v/>
      </c>
      <c r="B389" s="1">
        <v>46304</v>
      </c>
      <c r="C389" t="s">
        <v>26</v>
      </c>
      <c r="D389" s="1">
        <v>46304</v>
      </c>
      <c r="Q389" t="s">
        <v>18</v>
      </c>
      <c r="R389" t="str">
        <f>_xlfn.XLOOKUP(GERAL[[#This Row],[Dia]],U:U,V:V,"")</f>
        <v/>
      </c>
    </row>
    <row r="390" spans="1:18" hidden="1" x14ac:dyDescent="0.3">
      <c r="A390" t="str">
        <f>_xlfn.XLOOKUP(GERAL[[#This Row],[Dia]],U:U,T:T,"")</f>
        <v/>
      </c>
      <c r="B390" s="1">
        <v>46305</v>
      </c>
      <c r="C390" t="s">
        <v>16</v>
      </c>
      <c r="D390" s="1">
        <v>46305</v>
      </c>
      <c r="E390" t="s">
        <v>17</v>
      </c>
      <c r="Q390" t="s">
        <v>18</v>
      </c>
      <c r="R390" t="str">
        <f>_xlfn.XLOOKUP(GERAL[[#This Row],[Dia]],U:U,V:V,"")</f>
        <v/>
      </c>
    </row>
    <row r="391" spans="1:18" hidden="1" x14ac:dyDescent="0.3">
      <c r="A391" t="str">
        <f>_xlfn.XLOOKUP(GERAL[[#This Row],[Dia]],U:U,T:T,"")</f>
        <v/>
      </c>
      <c r="B391" s="1">
        <v>46306</v>
      </c>
      <c r="C391" t="s">
        <v>21</v>
      </c>
      <c r="D391" s="1">
        <v>46306</v>
      </c>
      <c r="E391" t="s">
        <v>17</v>
      </c>
      <c r="Q391" t="s">
        <v>18</v>
      </c>
      <c r="R391" t="str">
        <f>_xlfn.XLOOKUP(GERAL[[#This Row],[Dia]],U:U,V:V,"")</f>
        <v/>
      </c>
    </row>
    <row r="392" spans="1:18" hidden="1" x14ac:dyDescent="0.3">
      <c r="A392" t="str">
        <f>_xlfn.XLOOKUP(GERAL[[#This Row],[Dia]],U:U,T:T,"")</f>
        <v/>
      </c>
      <c r="B392" s="1">
        <v>46307</v>
      </c>
      <c r="C392" t="s">
        <v>22</v>
      </c>
      <c r="D392" s="1">
        <v>46307</v>
      </c>
      <c r="Q392" t="s">
        <v>18</v>
      </c>
      <c r="R392" t="str">
        <f>_xlfn.XLOOKUP(GERAL[[#This Row],[Dia]],U:U,V:V,"")</f>
        <v/>
      </c>
    </row>
    <row r="393" spans="1:18" hidden="1" x14ac:dyDescent="0.3">
      <c r="A393" t="str">
        <f>_xlfn.XLOOKUP(GERAL[[#This Row],[Dia]],U:U,T:T,"")</f>
        <v/>
      </c>
      <c r="B393" s="1">
        <v>46308</v>
      </c>
      <c r="C393" t="s">
        <v>23</v>
      </c>
      <c r="D393" s="1">
        <v>46308</v>
      </c>
      <c r="Q393" t="s">
        <v>18</v>
      </c>
      <c r="R393" t="str">
        <f>_xlfn.XLOOKUP(GERAL[[#This Row],[Dia]],U:U,V:V,"")</f>
        <v/>
      </c>
    </row>
    <row r="394" spans="1:18" hidden="1" x14ac:dyDescent="0.3">
      <c r="A394" t="str">
        <f>_xlfn.XLOOKUP(GERAL[[#This Row],[Dia]],U:U,T:T,"")</f>
        <v/>
      </c>
      <c r="B394" s="1">
        <v>46309</v>
      </c>
      <c r="C394" t="s">
        <v>24</v>
      </c>
      <c r="D394" s="1">
        <v>46309</v>
      </c>
      <c r="Q394" t="s">
        <v>18</v>
      </c>
      <c r="R394" t="str">
        <f>_xlfn.XLOOKUP(GERAL[[#This Row],[Dia]],U:U,V:V,"")</f>
        <v/>
      </c>
    </row>
    <row r="395" spans="1:18" hidden="1" x14ac:dyDescent="0.3">
      <c r="A395" t="str">
        <f>_xlfn.XLOOKUP(GERAL[[#This Row],[Dia]],U:U,T:T,"")</f>
        <v/>
      </c>
      <c r="B395" s="1">
        <v>46310</v>
      </c>
      <c r="C395" t="s">
        <v>25</v>
      </c>
      <c r="D395" s="1">
        <v>46310</v>
      </c>
      <c r="Q395" t="s">
        <v>18</v>
      </c>
      <c r="R395" t="str">
        <f>_xlfn.XLOOKUP(GERAL[[#This Row],[Dia]],U:U,V:V,"")</f>
        <v/>
      </c>
    </row>
    <row r="396" spans="1:18" hidden="1" x14ac:dyDescent="0.3">
      <c r="A396" t="str">
        <f>_xlfn.XLOOKUP(GERAL[[#This Row],[Dia]],U:U,T:T,"")</f>
        <v/>
      </c>
      <c r="B396" s="1">
        <v>46311</v>
      </c>
      <c r="C396" t="s">
        <v>26</v>
      </c>
      <c r="D396" s="1">
        <v>46311</v>
      </c>
      <c r="Q396" t="s">
        <v>18</v>
      </c>
      <c r="R396" t="str">
        <f>_xlfn.XLOOKUP(GERAL[[#This Row],[Dia]],U:U,V:V,"")</f>
        <v/>
      </c>
    </row>
    <row r="397" spans="1:18" hidden="1" x14ac:dyDescent="0.3">
      <c r="A397" t="str">
        <f>_xlfn.XLOOKUP(GERAL[[#This Row],[Dia]],U:U,T:T,"")</f>
        <v/>
      </c>
      <c r="B397" s="1">
        <v>46312</v>
      </c>
      <c r="C397" t="s">
        <v>16</v>
      </c>
      <c r="D397" s="1">
        <v>46312</v>
      </c>
      <c r="E397" t="s">
        <v>17</v>
      </c>
      <c r="Q397" t="s">
        <v>18</v>
      </c>
      <c r="R397" t="str">
        <f>_xlfn.XLOOKUP(GERAL[[#This Row],[Dia]],U:U,V:V,"")</f>
        <v/>
      </c>
    </row>
    <row r="398" spans="1:18" hidden="1" x14ac:dyDescent="0.3">
      <c r="A398" t="str">
        <f>_xlfn.XLOOKUP(GERAL[[#This Row],[Dia]],U:U,T:T,"")</f>
        <v/>
      </c>
      <c r="B398" s="1">
        <v>46313</v>
      </c>
      <c r="C398" t="s">
        <v>21</v>
      </c>
      <c r="D398" s="1">
        <v>46313</v>
      </c>
      <c r="E398" t="s">
        <v>17</v>
      </c>
      <c r="Q398" t="s">
        <v>18</v>
      </c>
      <c r="R398" t="str">
        <f>_xlfn.XLOOKUP(GERAL[[#This Row],[Dia]],U:U,V:V,"")</f>
        <v/>
      </c>
    </row>
    <row r="399" spans="1:18" hidden="1" x14ac:dyDescent="0.3">
      <c r="A399" t="str">
        <f>_xlfn.XLOOKUP(GERAL[[#This Row],[Dia]],U:U,T:T,"")</f>
        <v/>
      </c>
      <c r="B399" s="1">
        <v>46314</v>
      </c>
      <c r="C399" t="s">
        <v>22</v>
      </c>
      <c r="D399" s="1">
        <v>46314</v>
      </c>
      <c r="Q399" t="s">
        <v>18</v>
      </c>
      <c r="R399" t="str">
        <f>_xlfn.XLOOKUP(GERAL[[#This Row],[Dia]],U:U,V:V,"")</f>
        <v/>
      </c>
    </row>
    <row r="400" spans="1:18" hidden="1" x14ac:dyDescent="0.3">
      <c r="A400" t="str">
        <f>_xlfn.XLOOKUP(GERAL[[#This Row],[Dia]],U:U,T:T,"")</f>
        <v/>
      </c>
      <c r="B400" s="1">
        <v>46315</v>
      </c>
      <c r="C400" t="s">
        <v>23</v>
      </c>
      <c r="D400" s="1">
        <v>46315</v>
      </c>
      <c r="Q400" t="s">
        <v>18</v>
      </c>
      <c r="R400" t="str">
        <f>_xlfn.XLOOKUP(GERAL[[#This Row],[Dia]],U:U,V:V,"")</f>
        <v/>
      </c>
    </row>
    <row r="401" spans="1:18" hidden="1" x14ac:dyDescent="0.3">
      <c r="A401" t="str">
        <f>_xlfn.XLOOKUP(GERAL[[#This Row],[Dia]],U:U,T:T,"")</f>
        <v/>
      </c>
      <c r="B401" s="1">
        <v>46316</v>
      </c>
      <c r="C401" t="s">
        <v>24</v>
      </c>
      <c r="D401" s="1">
        <v>46316</v>
      </c>
      <c r="Q401" t="s">
        <v>18</v>
      </c>
      <c r="R401" t="str">
        <f>_xlfn.XLOOKUP(GERAL[[#This Row],[Dia]],U:U,V:V,"")</f>
        <v/>
      </c>
    </row>
    <row r="402" spans="1:18" hidden="1" x14ac:dyDescent="0.3">
      <c r="A402" t="str">
        <f>_xlfn.XLOOKUP(GERAL[[#This Row],[Dia]],U:U,T:T,"")</f>
        <v/>
      </c>
      <c r="B402" s="1">
        <v>46317</v>
      </c>
      <c r="C402" t="s">
        <v>25</v>
      </c>
      <c r="D402" s="1">
        <v>46317</v>
      </c>
      <c r="Q402" t="s">
        <v>18</v>
      </c>
      <c r="R402" t="str">
        <f>_xlfn.XLOOKUP(GERAL[[#This Row],[Dia]],U:U,V:V,"")</f>
        <v/>
      </c>
    </row>
    <row r="403" spans="1:18" hidden="1" x14ac:dyDescent="0.3">
      <c r="A403" t="str">
        <f>_xlfn.XLOOKUP(GERAL[[#This Row],[Dia]],U:U,T:T,"")</f>
        <v/>
      </c>
      <c r="B403" s="1">
        <v>46318</v>
      </c>
      <c r="C403" t="s">
        <v>26</v>
      </c>
      <c r="D403" s="1">
        <v>46318</v>
      </c>
      <c r="Q403" t="s">
        <v>18</v>
      </c>
      <c r="R403" t="str">
        <f>_xlfn.XLOOKUP(GERAL[[#This Row],[Dia]],U:U,V:V,"")</f>
        <v/>
      </c>
    </row>
    <row r="404" spans="1:18" hidden="1" x14ac:dyDescent="0.3">
      <c r="A404" t="str">
        <f>_xlfn.XLOOKUP(GERAL[[#This Row],[Dia]],U:U,T:T,"")</f>
        <v/>
      </c>
      <c r="B404" s="1">
        <v>46319</v>
      </c>
      <c r="C404" t="s">
        <v>16</v>
      </c>
      <c r="D404" s="1">
        <v>46319</v>
      </c>
      <c r="E404" t="s">
        <v>17</v>
      </c>
      <c r="Q404" t="s">
        <v>18</v>
      </c>
      <c r="R404" t="str">
        <f>_xlfn.XLOOKUP(GERAL[[#This Row],[Dia]],U:U,V:V,"")</f>
        <v/>
      </c>
    </row>
    <row r="405" spans="1:18" hidden="1" x14ac:dyDescent="0.3">
      <c r="A405" t="str">
        <f>_xlfn.XLOOKUP(GERAL[[#This Row],[Dia]],U:U,T:T,"")</f>
        <v/>
      </c>
      <c r="B405" s="1">
        <v>46320</v>
      </c>
      <c r="C405" t="s">
        <v>21</v>
      </c>
      <c r="D405" s="1">
        <v>46320</v>
      </c>
      <c r="E405" t="s">
        <v>17</v>
      </c>
      <c r="Q405" t="s">
        <v>18</v>
      </c>
      <c r="R405" t="str">
        <f>_xlfn.XLOOKUP(GERAL[[#This Row],[Dia]],U:U,V:V,"")</f>
        <v/>
      </c>
    </row>
    <row r="406" spans="1:18" hidden="1" x14ac:dyDescent="0.3">
      <c r="A406" t="str">
        <f>_xlfn.XLOOKUP(GERAL[[#This Row],[Dia]],U:U,T:T,"")</f>
        <v/>
      </c>
      <c r="B406" s="1">
        <v>46321</v>
      </c>
      <c r="C406" t="s">
        <v>22</v>
      </c>
      <c r="D406" s="1">
        <v>46321</v>
      </c>
      <c r="Q406" t="s">
        <v>18</v>
      </c>
      <c r="R406" t="str">
        <f>_xlfn.XLOOKUP(GERAL[[#This Row],[Dia]],U:U,V:V,"")</f>
        <v/>
      </c>
    </row>
    <row r="407" spans="1:18" hidden="1" x14ac:dyDescent="0.3">
      <c r="A407" t="str">
        <f>_xlfn.XLOOKUP(GERAL[[#This Row],[Dia]],U:U,T:T,"")</f>
        <v/>
      </c>
      <c r="B407" s="1">
        <v>46322</v>
      </c>
      <c r="C407" t="s">
        <v>23</v>
      </c>
      <c r="D407" s="1">
        <v>46322</v>
      </c>
      <c r="Q407" t="s">
        <v>18</v>
      </c>
      <c r="R407" t="str">
        <f>_xlfn.XLOOKUP(GERAL[[#This Row],[Dia]],U:U,V:V,"")</f>
        <v/>
      </c>
    </row>
    <row r="408" spans="1:18" hidden="1" x14ac:dyDescent="0.3">
      <c r="A408" t="str">
        <f>_xlfn.XLOOKUP(GERAL[[#This Row],[Dia]],U:U,T:T,"")</f>
        <v/>
      </c>
      <c r="B408" s="1">
        <v>46323</v>
      </c>
      <c r="C408" t="s">
        <v>24</v>
      </c>
      <c r="D408" s="1">
        <v>46323</v>
      </c>
      <c r="Q408" t="s">
        <v>18</v>
      </c>
      <c r="R408" t="str">
        <f>_xlfn.XLOOKUP(GERAL[[#This Row],[Dia]],U:U,V:V,"")</f>
        <v/>
      </c>
    </row>
    <row r="409" spans="1:18" hidden="1" x14ac:dyDescent="0.3">
      <c r="A409" t="str">
        <f>_xlfn.XLOOKUP(GERAL[[#This Row],[Dia]],U:U,T:T,"")</f>
        <v/>
      </c>
      <c r="B409" s="1">
        <v>46324</v>
      </c>
      <c r="C409" t="s">
        <v>25</v>
      </c>
      <c r="D409" s="1">
        <v>46324</v>
      </c>
      <c r="Q409" t="s">
        <v>18</v>
      </c>
      <c r="R409" t="str">
        <f>_xlfn.XLOOKUP(GERAL[[#This Row],[Dia]],U:U,V:V,"")</f>
        <v/>
      </c>
    </row>
    <row r="410" spans="1:18" hidden="1" x14ac:dyDescent="0.3">
      <c r="A410" t="str">
        <f>_xlfn.XLOOKUP(GERAL[[#This Row],[Dia]],U:U,T:T,"")</f>
        <v/>
      </c>
      <c r="B410" s="1">
        <v>46325</v>
      </c>
      <c r="C410" t="s">
        <v>26</v>
      </c>
      <c r="D410" s="1">
        <v>46325</v>
      </c>
      <c r="Q410" t="s">
        <v>18</v>
      </c>
      <c r="R410" t="str">
        <f>_xlfn.XLOOKUP(GERAL[[#This Row],[Dia]],U:U,V:V,"")</f>
        <v/>
      </c>
    </row>
    <row r="411" spans="1:18" hidden="1" x14ac:dyDescent="0.3">
      <c r="A411" t="str">
        <f>_xlfn.XLOOKUP(GERAL[[#This Row],[Dia]],U:U,T:T,"")</f>
        <v/>
      </c>
      <c r="B411" s="1">
        <v>46326</v>
      </c>
      <c r="C411" t="s">
        <v>16</v>
      </c>
      <c r="D411" s="1">
        <v>46326</v>
      </c>
      <c r="E411" t="s">
        <v>17</v>
      </c>
      <c r="Q411" t="s">
        <v>18</v>
      </c>
      <c r="R411" t="str">
        <f>_xlfn.XLOOKUP(GERAL[[#This Row],[Dia]],U:U,V:V,"")</f>
        <v/>
      </c>
    </row>
    <row r="412" spans="1:18" hidden="1" x14ac:dyDescent="0.3">
      <c r="A412" t="str">
        <f>_xlfn.XLOOKUP(GERAL[[#This Row],[Dia]],U:U,T:T,"")</f>
        <v/>
      </c>
      <c r="B412" s="1">
        <v>46327</v>
      </c>
      <c r="C412" t="s">
        <v>21</v>
      </c>
      <c r="D412" s="1">
        <v>46327</v>
      </c>
      <c r="E412" t="s">
        <v>17</v>
      </c>
      <c r="Q412" t="s">
        <v>18</v>
      </c>
      <c r="R412" t="str">
        <f>_xlfn.XLOOKUP(GERAL[[#This Row],[Dia]],U:U,V:V,"")</f>
        <v/>
      </c>
    </row>
    <row r="413" spans="1:18" hidden="1" x14ac:dyDescent="0.3">
      <c r="A413" t="str">
        <f>_xlfn.XLOOKUP(GERAL[[#This Row],[Dia]],U:U,T:T,"")</f>
        <v/>
      </c>
      <c r="B413" s="1">
        <v>46328</v>
      </c>
      <c r="C413" t="s">
        <v>22</v>
      </c>
      <c r="D413" s="1">
        <v>46328</v>
      </c>
      <c r="Q413" t="s">
        <v>18</v>
      </c>
      <c r="R413" t="str">
        <f>_xlfn.XLOOKUP(GERAL[[#This Row],[Dia]],U:U,V:V,"")</f>
        <v/>
      </c>
    </row>
    <row r="414" spans="1:18" hidden="1" x14ac:dyDescent="0.3">
      <c r="A414" t="str">
        <f>_xlfn.XLOOKUP(GERAL[[#This Row],[Dia]],U:U,T:T,"")</f>
        <v/>
      </c>
      <c r="B414" s="1">
        <v>46329</v>
      </c>
      <c r="C414" t="s">
        <v>23</v>
      </c>
      <c r="D414" s="1">
        <v>46329</v>
      </c>
      <c r="Q414" t="s">
        <v>18</v>
      </c>
      <c r="R414" t="str">
        <f>_xlfn.XLOOKUP(GERAL[[#This Row],[Dia]],U:U,V:V,"")</f>
        <v/>
      </c>
    </row>
    <row r="415" spans="1:18" hidden="1" x14ac:dyDescent="0.3">
      <c r="A415" t="str">
        <f>_xlfn.XLOOKUP(GERAL[[#This Row],[Dia]],U:U,T:T,"")</f>
        <v/>
      </c>
      <c r="B415" s="1">
        <v>46330</v>
      </c>
      <c r="C415" t="s">
        <v>24</v>
      </c>
      <c r="D415" s="1">
        <v>46330</v>
      </c>
      <c r="Q415" t="s">
        <v>18</v>
      </c>
      <c r="R415" t="str">
        <f>_xlfn.XLOOKUP(GERAL[[#This Row],[Dia]],U:U,V:V,"")</f>
        <v/>
      </c>
    </row>
    <row r="416" spans="1:18" hidden="1" x14ac:dyDescent="0.3">
      <c r="A416" t="str">
        <f>_xlfn.XLOOKUP(GERAL[[#This Row],[Dia]],U:U,T:T,"")</f>
        <v/>
      </c>
      <c r="B416" s="1">
        <v>46331</v>
      </c>
      <c r="C416" t="s">
        <v>25</v>
      </c>
      <c r="D416" s="1">
        <v>46331</v>
      </c>
      <c r="Q416" t="s">
        <v>18</v>
      </c>
      <c r="R416" t="str">
        <f>_xlfn.XLOOKUP(GERAL[[#This Row],[Dia]],U:U,V:V,"")</f>
        <v/>
      </c>
    </row>
    <row r="417" spans="1:18" hidden="1" x14ac:dyDescent="0.3">
      <c r="A417" t="str">
        <f>_xlfn.XLOOKUP(GERAL[[#This Row],[Dia]],U:U,T:T,"")</f>
        <v/>
      </c>
      <c r="B417" s="1">
        <v>46332</v>
      </c>
      <c r="C417" t="s">
        <v>26</v>
      </c>
      <c r="D417" s="1">
        <v>46332</v>
      </c>
      <c r="Q417" t="s">
        <v>18</v>
      </c>
      <c r="R417" t="str">
        <f>_xlfn.XLOOKUP(GERAL[[#This Row],[Dia]],U:U,V:V,"")</f>
        <v/>
      </c>
    </row>
    <row r="418" spans="1:18" hidden="1" x14ac:dyDescent="0.3">
      <c r="A418" t="str">
        <f>_xlfn.XLOOKUP(GERAL[[#This Row],[Dia]],U:U,T:T,"")</f>
        <v/>
      </c>
      <c r="B418" s="1">
        <v>46333</v>
      </c>
      <c r="C418" t="s">
        <v>16</v>
      </c>
      <c r="D418" s="1">
        <v>46333</v>
      </c>
      <c r="E418" t="s">
        <v>17</v>
      </c>
      <c r="Q418" t="s">
        <v>18</v>
      </c>
      <c r="R418" t="str">
        <f>_xlfn.XLOOKUP(GERAL[[#This Row],[Dia]],U:U,V:V,"")</f>
        <v/>
      </c>
    </row>
    <row r="419" spans="1:18" hidden="1" x14ac:dyDescent="0.3">
      <c r="A419" t="str">
        <f>_xlfn.XLOOKUP(GERAL[[#This Row],[Dia]],U:U,T:T,"")</f>
        <v/>
      </c>
      <c r="B419" s="1">
        <v>46334</v>
      </c>
      <c r="C419" t="s">
        <v>21</v>
      </c>
      <c r="D419" s="1">
        <v>46334</v>
      </c>
      <c r="E419" t="s">
        <v>17</v>
      </c>
      <c r="Q419" t="s">
        <v>18</v>
      </c>
      <c r="R419" t="str">
        <f>_xlfn.XLOOKUP(GERAL[[#This Row],[Dia]],U:U,V:V,"")</f>
        <v/>
      </c>
    </row>
    <row r="420" spans="1:18" hidden="1" x14ac:dyDescent="0.3">
      <c r="A420" t="str">
        <f>_xlfn.XLOOKUP(GERAL[[#This Row],[Dia]],U:U,T:T,"")</f>
        <v/>
      </c>
      <c r="B420" s="1">
        <v>46335</v>
      </c>
      <c r="C420" t="s">
        <v>22</v>
      </c>
      <c r="D420" s="1">
        <v>46335</v>
      </c>
      <c r="Q420" t="s">
        <v>18</v>
      </c>
      <c r="R420" t="str">
        <f>_xlfn.XLOOKUP(GERAL[[#This Row],[Dia]],U:U,V:V,"")</f>
        <v/>
      </c>
    </row>
    <row r="421" spans="1:18" hidden="1" x14ac:dyDescent="0.3">
      <c r="A421" t="str">
        <f>_xlfn.XLOOKUP(GERAL[[#This Row],[Dia]],U:U,T:T,"")</f>
        <v/>
      </c>
      <c r="B421" s="1">
        <v>46336</v>
      </c>
      <c r="C421" t="s">
        <v>23</v>
      </c>
      <c r="D421" s="1">
        <v>46336</v>
      </c>
      <c r="Q421" t="s">
        <v>18</v>
      </c>
      <c r="R421" t="str">
        <f>_xlfn.XLOOKUP(GERAL[[#This Row],[Dia]],U:U,V:V,"")</f>
        <v/>
      </c>
    </row>
    <row r="422" spans="1:18" hidden="1" x14ac:dyDescent="0.3">
      <c r="A422" t="str">
        <f>_xlfn.XLOOKUP(GERAL[[#This Row],[Dia]],U:U,T:T,"")</f>
        <v/>
      </c>
      <c r="B422" s="1">
        <v>46337</v>
      </c>
      <c r="C422" t="s">
        <v>24</v>
      </c>
      <c r="D422" s="1">
        <v>46337</v>
      </c>
      <c r="Q422" t="s">
        <v>18</v>
      </c>
      <c r="R422" t="str">
        <f>_xlfn.XLOOKUP(GERAL[[#This Row],[Dia]],U:U,V:V,"")</f>
        <v/>
      </c>
    </row>
    <row r="423" spans="1:18" hidden="1" x14ac:dyDescent="0.3">
      <c r="A423" t="str">
        <f>_xlfn.XLOOKUP(GERAL[[#This Row],[Dia]],U:U,T:T,"")</f>
        <v/>
      </c>
      <c r="B423" s="1">
        <v>46338</v>
      </c>
      <c r="C423" t="s">
        <v>25</v>
      </c>
      <c r="D423" s="1">
        <v>46338</v>
      </c>
      <c r="Q423" t="s">
        <v>18</v>
      </c>
      <c r="R423" t="str">
        <f>_xlfn.XLOOKUP(GERAL[[#This Row],[Dia]],U:U,V:V,"")</f>
        <v/>
      </c>
    </row>
    <row r="424" spans="1:18" hidden="1" x14ac:dyDescent="0.3">
      <c r="A424" t="str">
        <f>_xlfn.XLOOKUP(GERAL[[#This Row],[Dia]],U:U,T:T,"")</f>
        <v/>
      </c>
      <c r="B424" s="1">
        <v>46339</v>
      </c>
      <c r="C424" t="s">
        <v>26</v>
      </c>
      <c r="D424" s="1">
        <v>46339</v>
      </c>
      <c r="Q424" t="s">
        <v>18</v>
      </c>
      <c r="R424" t="str">
        <f>_xlfn.XLOOKUP(GERAL[[#This Row],[Dia]],U:U,V:V,"")</f>
        <v/>
      </c>
    </row>
    <row r="425" spans="1:18" hidden="1" x14ac:dyDescent="0.3">
      <c r="A425" t="str">
        <f>_xlfn.XLOOKUP(GERAL[[#This Row],[Dia]],U:U,T:T,"")</f>
        <v/>
      </c>
      <c r="B425" s="1">
        <v>46340</v>
      </c>
      <c r="C425" t="s">
        <v>16</v>
      </c>
      <c r="D425" s="1">
        <v>46340</v>
      </c>
      <c r="E425" t="s">
        <v>17</v>
      </c>
      <c r="Q425" t="s">
        <v>18</v>
      </c>
      <c r="R425" t="str">
        <f>_xlfn.XLOOKUP(GERAL[[#This Row],[Dia]],U:U,V:V,"")</f>
        <v/>
      </c>
    </row>
    <row r="426" spans="1:18" hidden="1" x14ac:dyDescent="0.3">
      <c r="A426" t="str">
        <f>_xlfn.XLOOKUP(GERAL[[#This Row],[Dia]],U:U,T:T,"")</f>
        <v/>
      </c>
      <c r="B426" s="1">
        <v>46341</v>
      </c>
      <c r="C426" t="s">
        <v>21</v>
      </c>
      <c r="D426" s="1">
        <v>46341</v>
      </c>
      <c r="E426" t="s">
        <v>17</v>
      </c>
      <c r="Q426" t="s">
        <v>18</v>
      </c>
      <c r="R426" t="str">
        <f>_xlfn.XLOOKUP(GERAL[[#This Row],[Dia]],U:U,V:V,"")</f>
        <v/>
      </c>
    </row>
    <row r="427" spans="1:18" hidden="1" x14ac:dyDescent="0.3">
      <c r="A427" t="str">
        <f>_xlfn.XLOOKUP(GERAL[[#This Row],[Dia]],U:U,T:T,"")</f>
        <v/>
      </c>
      <c r="B427" s="1">
        <v>46342</v>
      </c>
      <c r="C427" t="s">
        <v>22</v>
      </c>
      <c r="D427" s="1">
        <v>46342</v>
      </c>
      <c r="Q427" t="s">
        <v>18</v>
      </c>
      <c r="R427" t="str">
        <f>_xlfn.XLOOKUP(GERAL[[#This Row],[Dia]],U:U,V:V,"")</f>
        <v/>
      </c>
    </row>
    <row r="428" spans="1:18" hidden="1" x14ac:dyDescent="0.3">
      <c r="A428" t="str">
        <f>_xlfn.XLOOKUP(GERAL[[#This Row],[Dia]],U:U,T:T,"")</f>
        <v/>
      </c>
      <c r="B428" s="1">
        <v>46343</v>
      </c>
      <c r="C428" t="s">
        <v>23</v>
      </c>
      <c r="D428" s="1">
        <v>46343</v>
      </c>
      <c r="Q428" t="s">
        <v>18</v>
      </c>
      <c r="R428" t="str">
        <f>_xlfn.XLOOKUP(GERAL[[#This Row],[Dia]],U:U,V:V,"")</f>
        <v/>
      </c>
    </row>
    <row r="429" spans="1:18" hidden="1" x14ac:dyDescent="0.3">
      <c r="A429" t="str">
        <f>_xlfn.XLOOKUP(GERAL[[#This Row],[Dia]],U:U,T:T,"")</f>
        <v/>
      </c>
      <c r="B429" s="1">
        <v>46344</v>
      </c>
      <c r="C429" t="s">
        <v>24</v>
      </c>
      <c r="D429" s="1">
        <v>46344</v>
      </c>
      <c r="Q429" t="s">
        <v>18</v>
      </c>
      <c r="R429" t="str">
        <f>_xlfn.XLOOKUP(GERAL[[#This Row],[Dia]],U:U,V:V,"")</f>
        <v/>
      </c>
    </row>
    <row r="430" spans="1:18" hidden="1" x14ac:dyDescent="0.3">
      <c r="A430" t="str">
        <f>_xlfn.XLOOKUP(GERAL[[#This Row],[Dia]],U:U,T:T,"")</f>
        <v/>
      </c>
      <c r="B430" s="1">
        <v>46345</v>
      </c>
      <c r="C430" t="s">
        <v>25</v>
      </c>
      <c r="D430" s="1">
        <v>46345</v>
      </c>
      <c r="Q430" t="s">
        <v>18</v>
      </c>
      <c r="R430" t="str">
        <f>_xlfn.XLOOKUP(GERAL[[#This Row],[Dia]],U:U,V:V,"")</f>
        <v/>
      </c>
    </row>
    <row r="431" spans="1:18" hidden="1" x14ac:dyDescent="0.3">
      <c r="A431" t="str">
        <f>_xlfn.XLOOKUP(GERAL[[#This Row],[Dia]],U:U,T:T,"")</f>
        <v/>
      </c>
      <c r="B431" s="1">
        <v>46346</v>
      </c>
      <c r="C431" t="s">
        <v>26</v>
      </c>
      <c r="D431" s="1">
        <v>46346</v>
      </c>
      <c r="Q431" t="s">
        <v>18</v>
      </c>
      <c r="R431" t="str">
        <f>_xlfn.XLOOKUP(GERAL[[#This Row],[Dia]],U:U,V:V,"")</f>
        <v/>
      </c>
    </row>
    <row r="432" spans="1:18" hidden="1" x14ac:dyDescent="0.3">
      <c r="A432" t="str">
        <f>_xlfn.XLOOKUP(GERAL[[#This Row],[Dia]],U:U,T:T,"")</f>
        <v/>
      </c>
      <c r="B432" s="1">
        <v>46347</v>
      </c>
      <c r="C432" t="s">
        <v>16</v>
      </c>
      <c r="D432" s="1">
        <v>46347</v>
      </c>
      <c r="E432" t="s">
        <v>17</v>
      </c>
      <c r="Q432" t="s">
        <v>18</v>
      </c>
      <c r="R432" t="str">
        <f>_xlfn.XLOOKUP(GERAL[[#This Row],[Dia]],U:U,V:V,"")</f>
        <v/>
      </c>
    </row>
    <row r="433" spans="1:18" hidden="1" x14ac:dyDescent="0.3">
      <c r="A433" t="str">
        <f>_xlfn.XLOOKUP(GERAL[[#This Row],[Dia]],U:U,T:T,"")</f>
        <v/>
      </c>
      <c r="B433" s="1">
        <v>46348</v>
      </c>
      <c r="C433" t="s">
        <v>21</v>
      </c>
      <c r="D433" s="1">
        <v>46348</v>
      </c>
      <c r="E433" t="s">
        <v>17</v>
      </c>
      <c r="Q433" t="s">
        <v>18</v>
      </c>
      <c r="R433" t="str">
        <f>_xlfn.XLOOKUP(GERAL[[#This Row],[Dia]],U:U,V:V,"")</f>
        <v/>
      </c>
    </row>
    <row r="434" spans="1:18" hidden="1" x14ac:dyDescent="0.3">
      <c r="A434" t="str">
        <f>_xlfn.XLOOKUP(GERAL[[#This Row],[Dia]],U:U,T:T,"")</f>
        <v/>
      </c>
      <c r="B434" s="1">
        <v>46349</v>
      </c>
      <c r="C434" t="s">
        <v>22</v>
      </c>
      <c r="D434" s="1">
        <v>46349</v>
      </c>
      <c r="Q434" t="s">
        <v>18</v>
      </c>
      <c r="R434" t="str">
        <f>_xlfn.XLOOKUP(GERAL[[#This Row],[Dia]],U:U,V:V,"")</f>
        <v/>
      </c>
    </row>
    <row r="435" spans="1:18" hidden="1" x14ac:dyDescent="0.3">
      <c r="A435" t="str">
        <f>_xlfn.XLOOKUP(GERAL[[#This Row],[Dia]],U:U,T:T,"")</f>
        <v/>
      </c>
      <c r="B435" s="1">
        <v>46350</v>
      </c>
      <c r="C435" t="s">
        <v>23</v>
      </c>
      <c r="D435" s="1">
        <v>46350</v>
      </c>
      <c r="Q435" t="s">
        <v>18</v>
      </c>
      <c r="R435" t="str">
        <f>_xlfn.XLOOKUP(GERAL[[#This Row],[Dia]],U:U,V:V,"")</f>
        <v/>
      </c>
    </row>
    <row r="436" spans="1:18" hidden="1" x14ac:dyDescent="0.3">
      <c r="A436" t="str">
        <f>_xlfn.XLOOKUP(GERAL[[#This Row],[Dia]],U:U,T:T,"")</f>
        <v/>
      </c>
      <c r="B436" s="1">
        <v>46351</v>
      </c>
      <c r="C436" t="s">
        <v>24</v>
      </c>
      <c r="D436" s="1">
        <v>46351</v>
      </c>
      <c r="Q436" t="s">
        <v>18</v>
      </c>
      <c r="R436" t="str">
        <f>_xlfn.XLOOKUP(GERAL[[#This Row],[Dia]],U:U,V:V,"")</f>
        <v/>
      </c>
    </row>
    <row r="437" spans="1:18" hidden="1" x14ac:dyDescent="0.3">
      <c r="A437" t="str">
        <f>_xlfn.XLOOKUP(GERAL[[#This Row],[Dia]],U:U,T:T,"")</f>
        <v/>
      </c>
      <c r="B437" s="1">
        <v>46352</v>
      </c>
      <c r="C437" t="s">
        <v>25</v>
      </c>
      <c r="D437" s="1">
        <v>46352</v>
      </c>
      <c r="Q437" t="s">
        <v>18</v>
      </c>
      <c r="R437" t="str">
        <f>_xlfn.XLOOKUP(GERAL[[#This Row],[Dia]],U:U,V:V,"")</f>
        <v/>
      </c>
    </row>
    <row r="438" spans="1:18" hidden="1" x14ac:dyDescent="0.3">
      <c r="A438" t="str">
        <f>_xlfn.XLOOKUP(GERAL[[#This Row],[Dia]],U:U,T:T,"")</f>
        <v/>
      </c>
      <c r="B438" s="1">
        <v>46353</v>
      </c>
      <c r="C438" t="s">
        <v>26</v>
      </c>
      <c r="D438" s="1">
        <v>46353</v>
      </c>
      <c r="Q438" t="s">
        <v>18</v>
      </c>
      <c r="R438" t="str">
        <f>_xlfn.XLOOKUP(GERAL[[#This Row],[Dia]],U:U,V:V,"")</f>
        <v/>
      </c>
    </row>
    <row r="439" spans="1:18" hidden="1" x14ac:dyDescent="0.3">
      <c r="A439" t="str">
        <f>_xlfn.XLOOKUP(GERAL[[#This Row],[Dia]],U:U,T:T,"")</f>
        <v/>
      </c>
      <c r="B439" s="1">
        <v>46354</v>
      </c>
      <c r="C439" t="s">
        <v>16</v>
      </c>
      <c r="D439" s="1">
        <v>46354</v>
      </c>
      <c r="E439" t="s">
        <v>17</v>
      </c>
      <c r="Q439" t="s">
        <v>18</v>
      </c>
      <c r="R439" t="str">
        <f>_xlfn.XLOOKUP(GERAL[[#This Row],[Dia]],U:U,V:V,"")</f>
        <v/>
      </c>
    </row>
    <row r="440" spans="1:18" hidden="1" x14ac:dyDescent="0.3">
      <c r="A440" t="str">
        <f>_xlfn.XLOOKUP(GERAL[[#This Row],[Dia]],U:U,T:T,"")</f>
        <v/>
      </c>
      <c r="B440" s="1">
        <v>46355</v>
      </c>
      <c r="C440" t="s">
        <v>21</v>
      </c>
      <c r="D440" s="1">
        <v>46355</v>
      </c>
      <c r="E440" t="s">
        <v>17</v>
      </c>
      <c r="Q440" t="s">
        <v>18</v>
      </c>
      <c r="R440" t="str">
        <f>_xlfn.XLOOKUP(GERAL[[#This Row],[Dia]],U:U,V:V,"")</f>
        <v/>
      </c>
    </row>
    <row r="441" spans="1:18" hidden="1" x14ac:dyDescent="0.3">
      <c r="A441" t="str">
        <f>_xlfn.XLOOKUP(GERAL[[#This Row],[Dia]],U:U,T:T,"")</f>
        <v/>
      </c>
      <c r="B441" s="1">
        <v>46356</v>
      </c>
      <c r="C441" t="s">
        <v>22</v>
      </c>
      <c r="D441" s="1">
        <v>46356</v>
      </c>
      <c r="Q441" t="s">
        <v>18</v>
      </c>
      <c r="R441" t="str">
        <f>_xlfn.XLOOKUP(GERAL[[#This Row],[Dia]],U:U,V:V,"")</f>
        <v/>
      </c>
    </row>
    <row r="442" spans="1:18" hidden="1" x14ac:dyDescent="0.3">
      <c r="A442" t="str">
        <f>_xlfn.XLOOKUP(GERAL[[#This Row],[Dia]],U:U,T:T,"")</f>
        <v/>
      </c>
      <c r="B442" s="1">
        <v>46357</v>
      </c>
      <c r="C442" t="s">
        <v>23</v>
      </c>
      <c r="D442" s="1">
        <v>46357</v>
      </c>
      <c r="Q442" t="s">
        <v>18</v>
      </c>
      <c r="R442" t="str">
        <f>_xlfn.XLOOKUP(GERAL[[#This Row],[Dia]],U:U,V:V,"")</f>
        <v/>
      </c>
    </row>
    <row r="443" spans="1:18" hidden="1" x14ac:dyDescent="0.3">
      <c r="A443" t="str">
        <f>_xlfn.XLOOKUP(GERAL[[#This Row],[Dia]],U:U,T:T,"")</f>
        <v/>
      </c>
      <c r="B443" s="1">
        <v>46358</v>
      </c>
      <c r="C443" t="s">
        <v>24</v>
      </c>
      <c r="D443" s="1">
        <v>46358</v>
      </c>
      <c r="Q443" t="s">
        <v>18</v>
      </c>
      <c r="R443" t="str">
        <f>_xlfn.XLOOKUP(GERAL[[#This Row],[Dia]],U:U,V:V,"")</f>
        <v/>
      </c>
    </row>
    <row r="444" spans="1:18" hidden="1" x14ac:dyDescent="0.3">
      <c r="A444" t="str">
        <f>_xlfn.XLOOKUP(GERAL[[#This Row],[Dia]],U:U,T:T,"")</f>
        <v/>
      </c>
      <c r="B444" s="1">
        <v>46359</v>
      </c>
      <c r="C444" t="s">
        <v>25</v>
      </c>
      <c r="D444" s="1">
        <v>46359</v>
      </c>
      <c r="Q444" t="s">
        <v>18</v>
      </c>
      <c r="R444" t="str">
        <f>_xlfn.XLOOKUP(GERAL[[#This Row],[Dia]],U:U,V:V,"")</f>
        <v/>
      </c>
    </row>
    <row r="445" spans="1:18" hidden="1" x14ac:dyDescent="0.3">
      <c r="A445" t="str">
        <f>_xlfn.XLOOKUP(GERAL[[#This Row],[Dia]],U:U,T:T,"")</f>
        <v/>
      </c>
      <c r="B445" s="1">
        <v>46360</v>
      </c>
      <c r="C445" t="s">
        <v>26</v>
      </c>
      <c r="D445" s="1">
        <v>46360</v>
      </c>
      <c r="Q445" t="s">
        <v>18</v>
      </c>
      <c r="R445" t="str">
        <f>_xlfn.XLOOKUP(GERAL[[#This Row],[Dia]],U:U,V:V,"")</f>
        <v/>
      </c>
    </row>
    <row r="446" spans="1:18" hidden="1" x14ac:dyDescent="0.3">
      <c r="A446" t="str">
        <f>_xlfn.XLOOKUP(GERAL[[#This Row],[Dia]],U:U,T:T,"")</f>
        <v/>
      </c>
      <c r="B446" s="1">
        <v>46361</v>
      </c>
      <c r="C446" t="s">
        <v>16</v>
      </c>
      <c r="D446" s="1">
        <v>46361</v>
      </c>
      <c r="E446" t="s">
        <v>17</v>
      </c>
      <c r="Q446" t="s">
        <v>18</v>
      </c>
      <c r="R446" t="str">
        <f>_xlfn.XLOOKUP(GERAL[[#This Row],[Dia]],U:U,V:V,"")</f>
        <v/>
      </c>
    </row>
    <row r="447" spans="1:18" hidden="1" x14ac:dyDescent="0.3">
      <c r="A447" t="str">
        <f>_xlfn.XLOOKUP(GERAL[[#This Row],[Dia]],U:U,T:T,"")</f>
        <v/>
      </c>
      <c r="B447" s="1">
        <v>46362</v>
      </c>
      <c r="C447" t="s">
        <v>21</v>
      </c>
      <c r="D447" s="1">
        <v>46362</v>
      </c>
      <c r="E447" t="s">
        <v>17</v>
      </c>
      <c r="Q447" t="s">
        <v>18</v>
      </c>
      <c r="R447" t="str">
        <f>_xlfn.XLOOKUP(GERAL[[#This Row],[Dia]],U:U,V:V,"")</f>
        <v/>
      </c>
    </row>
    <row r="448" spans="1:18" hidden="1" x14ac:dyDescent="0.3">
      <c r="A448" t="str">
        <f>_xlfn.XLOOKUP(GERAL[[#This Row],[Dia]],U:U,T:T,"")</f>
        <v/>
      </c>
      <c r="B448" s="1">
        <v>46363</v>
      </c>
      <c r="C448" t="s">
        <v>22</v>
      </c>
      <c r="D448" s="1">
        <v>46363</v>
      </c>
      <c r="Q448" t="s">
        <v>18</v>
      </c>
      <c r="R448" t="str">
        <f>_xlfn.XLOOKUP(GERAL[[#This Row],[Dia]],U:U,V:V,"")</f>
        <v/>
      </c>
    </row>
    <row r="449" spans="1:18" hidden="1" x14ac:dyDescent="0.3">
      <c r="A449" t="str">
        <f>_xlfn.XLOOKUP(GERAL[[#This Row],[Dia]],U:U,T:T,"")</f>
        <v/>
      </c>
      <c r="B449" s="1">
        <v>46364</v>
      </c>
      <c r="C449" t="s">
        <v>23</v>
      </c>
      <c r="D449" s="1">
        <v>46364</v>
      </c>
      <c r="Q449" t="s">
        <v>18</v>
      </c>
      <c r="R449" t="str">
        <f>_xlfn.XLOOKUP(GERAL[[#This Row],[Dia]],U:U,V:V,"")</f>
        <v/>
      </c>
    </row>
    <row r="450" spans="1:18" hidden="1" x14ac:dyDescent="0.3">
      <c r="A450" t="str">
        <f>_xlfn.XLOOKUP(GERAL[[#This Row],[Dia]],U:U,T:T,"")</f>
        <v/>
      </c>
      <c r="B450" s="1">
        <v>46365</v>
      </c>
      <c r="C450" t="s">
        <v>24</v>
      </c>
      <c r="D450" s="1">
        <v>46365</v>
      </c>
      <c r="Q450" t="s">
        <v>18</v>
      </c>
      <c r="R450" t="str">
        <f>_xlfn.XLOOKUP(GERAL[[#This Row],[Dia]],U:U,V:V,"")</f>
        <v/>
      </c>
    </row>
    <row r="451" spans="1:18" hidden="1" x14ac:dyDescent="0.3">
      <c r="A451" t="str">
        <f>_xlfn.XLOOKUP(GERAL[[#This Row],[Dia]],U:U,T:T,"")</f>
        <v/>
      </c>
      <c r="B451" s="1">
        <v>46366</v>
      </c>
      <c r="C451" t="s">
        <v>25</v>
      </c>
      <c r="D451" s="1">
        <v>46366</v>
      </c>
      <c r="Q451" t="s">
        <v>18</v>
      </c>
      <c r="R451" t="str">
        <f>_xlfn.XLOOKUP(GERAL[[#This Row],[Dia]],U:U,V:V,"")</f>
        <v/>
      </c>
    </row>
    <row r="452" spans="1:18" hidden="1" x14ac:dyDescent="0.3">
      <c r="A452" t="str">
        <f>_xlfn.XLOOKUP(GERAL[[#This Row],[Dia]],U:U,T:T,"")</f>
        <v/>
      </c>
      <c r="B452" s="1">
        <v>46367</v>
      </c>
      <c r="C452" t="s">
        <v>26</v>
      </c>
      <c r="D452" s="1">
        <v>46367</v>
      </c>
      <c r="Q452" t="s">
        <v>18</v>
      </c>
      <c r="R452" t="str">
        <f>_xlfn.XLOOKUP(GERAL[[#This Row],[Dia]],U:U,V:V,"")</f>
        <v/>
      </c>
    </row>
    <row r="453" spans="1:18" hidden="1" x14ac:dyDescent="0.3">
      <c r="A453" t="str">
        <f>_xlfn.XLOOKUP(GERAL[[#This Row],[Dia]],U:U,T:T,"")</f>
        <v/>
      </c>
      <c r="B453" s="1">
        <v>46368</v>
      </c>
      <c r="C453" t="s">
        <v>16</v>
      </c>
      <c r="D453" s="1">
        <v>46368</v>
      </c>
      <c r="E453" t="s">
        <v>17</v>
      </c>
      <c r="Q453" t="s">
        <v>18</v>
      </c>
      <c r="R453" t="str">
        <f>_xlfn.XLOOKUP(GERAL[[#This Row],[Dia]],U:U,V:V,"")</f>
        <v/>
      </c>
    </row>
    <row r="454" spans="1:18" hidden="1" x14ac:dyDescent="0.3">
      <c r="A454" t="str">
        <f>_xlfn.XLOOKUP(GERAL[[#This Row],[Dia]],U:U,T:T,"")</f>
        <v/>
      </c>
      <c r="B454" s="1">
        <v>46369</v>
      </c>
      <c r="C454" t="s">
        <v>21</v>
      </c>
      <c r="D454" s="1">
        <v>46369</v>
      </c>
      <c r="E454" t="s">
        <v>17</v>
      </c>
      <c r="Q454" t="s">
        <v>18</v>
      </c>
      <c r="R454" t="str">
        <f>_xlfn.XLOOKUP(GERAL[[#This Row],[Dia]],U:U,V:V,"")</f>
        <v/>
      </c>
    </row>
    <row r="455" spans="1:18" hidden="1" x14ac:dyDescent="0.3">
      <c r="A455" t="str">
        <f>_xlfn.XLOOKUP(GERAL[[#This Row],[Dia]],U:U,T:T,"")</f>
        <v/>
      </c>
      <c r="B455" s="1">
        <v>46370</v>
      </c>
      <c r="C455" t="s">
        <v>22</v>
      </c>
      <c r="D455" s="1">
        <v>46370</v>
      </c>
      <c r="Q455" t="s">
        <v>18</v>
      </c>
      <c r="R455" t="str">
        <f>_xlfn.XLOOKUP(GERAL[[#This Row],[Dia]],U:U,V:V,"")</f>
        <v/>
      </c>
    </row>
    <row r="456" spans="1:18" hidden="1" x14ac:dyDescent="0.3">
      <c r="A456" t="str">
        <f>_xlfn.XLOOKUP(GERAL[[#This Row],[Dia]],U:U,T:T,"")</f>
        <v/>
      </c>
      <c r="B456" s="1">
        <v>46371</v>
      </c>
      <c r="C456" t="s">
        <v>23</v>
      </c>
      <c r="D456" s="1">
        <v>46371</v>
      </c>
      <c r="Q456" t="s">
        <v>18</v>
      </c>
      <c r="R456" t="str">
        <f>_xlfn.XLOOKUP(GERAL[[#This Row],[Dia]],U:U,V:V,"")</f>
        <v/>
      </c>
    </row>
    <row r="457" spans="1:18" hidden="1" x14ac:dyDescent="0.3">
      <c r="A457" t="str">
        <f>_xlfn.XLOOKUP(GERAL[[#This Row],[Dia]],U:U,T:T,"")</f>
        <v/>
      </c>
      <c r="B457" s="1">
        <v>46372</v>
      </c>
      <c r="C457" t="s">
        <v>24</v>
      </c>
      <c r="D457" s="1">
        <v>46372</v>
      </c>
      <c r="Q457" t="s">
        <v>18</v>
      </c>
      <c r="R457" t="str">
        <f>_xlfn.XLOOKUP(GERAL[[#This Row],[Dia]],U:U,V:V,"")</f>
        <v/>
      </c>
    </row>
    <row r="458" spans="1:18" hidden="1" x14ac:dyDescent="0.3">
      <c r="A458" t="str">
        <f>_xlfn.XLOOKUP(GERAL[[#This Row],[Dia]],U:U,T:T,"")</f>
        <v/>
      </c>
      <c r="B458" s="1">
        <v>46373</v>
      </c>
      <c r="C458" t="s">
        <v>25</v>
      </c>
      <c r="D458" s="1">
        <v>46373</v>
      </c>
      <c r="Q458" t="s">
        <v>18</v>
      </c>
      <c r="R458" t="str">
        <f>_xlfn.XLOOKUP(GERAL[[#This Row],[Dia]],U:U,V:V,"")</f>
        <v/>
      </c>
    </row>
    <row r="459" spans="1:18" hidden="1" x14ac:dyDescent="0.3">
      <c r="A459" t="str">
        <f>_xlfn.XLOOKUP(GERAL[[#This Row],[Dia]],U:U,T:T,"")</f>
        <v/>
      </c>
      <c r="B459" s="1">
        <v>46374</v>
      </c>
      <c r="C459" t="s">
        <v>26</v>
      </c>
      <c r="D459" s="1">
        <v>46374</v>
      </c>
      <c r="Q459" t="s">
        <v>18</v>
      </c>
      <c r="R459" t="str">
        <f>_xlfn.XLOOKUP(GERAL[[#This Row],[Dia]],U:U,V:V,"")</f>
        <v/>
      </c>
    </row>
    <row r="460" spans="1:18" hidden="1" x14ac:dyDescent="0.3">
      <c r="A460" t="str">
        <f>_xlfn.XLOOKUP(GERAL[[#This Row],[Dia]],U:U,T:T,"")</f>
        <v/>
      </c>
      <c r="B460" s="1">
        <v>46375</v>
      </c>
      <c r="C460" t="s">
        <v>16</v>
      </c>
      <c r="D460" s="1">
        <v>46375</v>
      </c>
      <c r="E460" t="s">
        <v>17</v>
      </c>
      <c r="Q460" t="s">
        <v>18</v>
      </c>
      <c r="R460" t="str">
        <f>_xlfn.XLOOKUP(GERAL[[#This Row],[Dia]],U:U,V:V,"")</f>
        <v/>
      </c>
    </row>
    <row r="461" spans="1:18" hidden="1" x14ac:dyDescent="0.3">
      <c r="A461" t="str">
        <f>_xlfn.XLOOKUP(GERAL[[#This Row],[Dia]],U:U,T:T,"")</f>
        <v/>
      </c>
      <c r="B461" s="1">
        <v>46376</v>
      </c>
      <c r="C461" t="s">
        <v>21</v>
      </c>
      <c r="D461" s="1">
        <v>46376</v>
      </c>
      <c r="E461" t="s">
        <v>17</v>
      </c>
      <c r="Q461" t="s">
        <v>18</v>
      </c>
      <c r="R461" t="str">
        <f>_xlfn.XLOOKUP(GERAL[[#This Row],[Dia]],U:U,V:V,"")</f>
        <v/>
      </c>
    </row>
    <row r="462" spans="1:18" hidden="1" x14ac:dyDescent="0.3">
      <c r="A462" t="str">
        <f>_xlfn.XLOOKUP(GERAL[[#This Row],[Dia]],U:U,T:T,"")</f>
        <v/>
      </c>
      <c r="B462" s="1">
        <v>46377</v>
      </c>
      <c r="C462" t="s">
        <v>22</v>
      </c>
      <c r="D462" s="1">
        <v>46377</v>
      </c>
      <c r="Q462" t="s">
        <v>18</v>
      </c>
      <c r="R462" t="str">
        <f>_xlfn.XLOOKUP(GERAL[[#This Row],[Dia]],U:U,V:V,"")</f>
        <v/>
      </c>
    </row>
    <row r="463" spans="1:18" hidden="1" x14ac:dyDescent="0.3">
      <c r="A463" t="str">
        <f>_xlfn.XLOOKUP(GERAL[[#This Row],[Dia]],U:U,T:T,"")</f>
        <v/>
      </c>
      <c r="B463" s="1">
        <v>46378</v>
      </c>
      <c r="C463" t="s">
        <v>23</v>
      </c>
      <c r="D463" s="1">
        <v>46378</v>
      </c>
      <c r="Q463" t="s">
        <v>18</v>
      </c>
      <c r="R463" t="str">
        <f>_xlfn.XLOOKUP(GERAL[[#This Row],[Dia]],U:U,V:V,"")</f>
        <v/>
      </c>
    </row>
    <row r="464" spans="1:18" hidden="1" x14ac:dyDescent="0.3">
      <c r="A464" t="str">
        <f>_xlfn.XLOOKUP(GERAL[[#This Row],[Dia]],U:U,T:T,"")</f>
        <v/>
      </c>
      <c r="B464" s="1">
        <v>46379</v>
      </c>
      <c r="C464" t="s">
        <v>24</v>
      </c>
      <c r="D464" s="1">
        <v>46379</v>
      </c>
      <c r="Q464" t="s">
        <v>18</v>
      </c>
      <c r="R464" t="str">
        <f>_xlfn.XLOOKUP(GERAL[[#This Row],[Dia]],U:U,V:V,"")</f>
        <v/>
      </c>
    </row>
    <row r="465" spans="1:18" hidden="1" x14ac:dyDescent="0.3">
      <c r="A465" t="str">
        <f>_xlfn.XLOOKUP(GERAL[[#This Row],[Dia]],U:U,T:T,"")</f>
        <v/>
      </c>
      <c r="B465" s="1">
        <v>46380</v>
      </c>
      <c r="C465" t="s">
        <v>25</v>
      </c>
      <c r="D465" s="1">
        <v>46380</v>
      </c>
      <c r="Q465" t="s">
        <v>18</v>
      </c>
      <c r="R465" t="str">
        <f>_xlfn.XLOOKUP(GERAL[[#This Row],[Dia]],U:U,V:V,"")</f>
        <v/>
      </c>
    </row>
    <row r="466" spans="1:18" hidden="1" x14ac:dyDescent="0.3">
      <c r="A466" t="str">
        <f>_xlfn.XLOOKUP(GERAL[[#This Row],[Dia]],U:U,T:T,"")</f>
        <v/>
      </c>
      <c r="B466" s="1">
        <v>46381</v>
      </c>
      <c r="C466" t="s">
        <v>26</v>
      </c>
      <c r="D466" s="1">
        <v>46381</v>
      </c>
      <c r="Q466" t="s">
        <v>18</v>
      </c>
      <c r="R466" t="str">
        <f>_xlfn.XLOOKUP(GERAL[[#This Row],[Dia]],U:U,V:V,"")</f>
        <v/>
      </c>
    </row>
    <row r="467" spans="1:18" hidden="1" x14ac:dyDescent="0.3">
      <c r="A467" t="str">
        <f>_xlfn.XLOOKUP(GERAL[[#This Row],[Dia]],U:U,T:T,"")</f>
        <v/>
      </c>
      <c r="B467" s="1">
        <v>46382</v>
      </c>
      <c r="C467" t="s">
        <v>16</v>
      </c>
      <c r="D467" s="1">
        <v>46382</v>
      </c>
      <c r="E467" t="s">
        <v>17</v>
      </c>
      <c r="Q467" t="s">
        <v>18</v>
      </c>
      <c r="R467" t="str">
        <f>_xlfn.XLOOKUP(GERAL[[#This Row],[Dia]],U:U,V:V,"")</f>
        <v/>
      </c>
    </row>
    <row r="468" spans="1:18" hidden="1" x14ac:dyDescent="0.3">
      <c r="A468" t="str">
        <f>_xlfn.XLOOKUP(GERAL[[#This Row],[Dia]],U:U,T:T,"")</f>
        <v/>
      </c>
      <c r="B468" s="1">
        <v>46383</v>
      </c>
      <c r="C468" t="s">
        <v>21</v>
      </c>
      <c r="D468" s="1">
        <v>46383</v>
      </c>
      <c r="E468" t="s">
        <v>17</v>
      </c>
      <c r="Q468" t="s">
        <v>18</v>
      </c>
      <c r="R468" t="str">
        <f>_xlfn.XLOOKUP(GERAL[[#This Row],[Dia]],U:U,V:V,"")</f>
        <v/>
      </c>
    </row>
    <row r="469" spans="1:18" hidden="1" x14ac:dyDescent="0.3">
      <c r="A469" t="str">
        <f>_xlfn.XLOOKUP(GERAL[[#This Row],[Dia]],U:U,T:T,"")</f>
        <v/>
      </c>
      <c r="B469" s="1">
        <v>46384</v>
      </c>
      <c r="C469" t="s">
        <v>22</v>
      </c>
      <c r="D469" s="1">
        <v>46384</v>
      </c>
      <c r="Q469" t="s">
        <v>18</v>
      </c>
      <c r="R469" t="str">
        <f>_xlfn.XLOOKUP(GERAL[[#This Row],[Dia]],U:U,V:V,"")</f>
        <v/>
      </c>
    </row>
    <row r="470" spans="1:18" hidden="1" x14ac:dyDescent="0.3">
      <c r="A470" t="str">
        <f>_xlfn.XLOOKUP(GERAL[[#This Row],[Dia]],U:U,T:T,"")</f>
        <v/>
      </c>
      <c r="B470" s="1">
        <v>46385</v>
      </c>
      <c r="C470" t="s">
        <v>23</v>
      </c>
      <c r="D470" s="1">
        <v>46385</v>
      </c>
      <c r="Q470" t="s">
        <v>18</v>
      </c>
      <c r="R470" t="str">
        <f>_xlfn.XLOOKUP(GERAL[[#This Row],[Dia]],U:U,V:V,"")</f>
        <v/>
      </c>
    </row>
    <row r="471" spans="1:18" hidden="1" x14ac:dyDescent="0.3">
      <c r="A471" t="str">
        <f>_xlfn.XLOOKUP(GERAL[[#This Row],[Dia]],U:U,T:T,"")</f>
        <v/>
      </c>
      <c r="B471" s="1">
        <v>46386</v>
      </c>
      <c r="C471" t="s">
        <v>24</v>
      </c>
      <c r="D471" s="1">
        <v>46386</v>
      </c>
      <c r="Q471" t="s">
        <v>18</v>
      </c>
      <c r="R471" t="str">
        <f>_xlfn.XLOOKUP(GERAL[[#This Row],[Dia]],U:U,V:V,"")</f>
        <v/>
      </c>
    </row>
    <row r="472" spans="1:18" hidden="1" x14ac:dyDescent="0.3">
      <c r="A472" t="str">
        <f>_xlfn.XLOOKUP(GERAL[[#This Row],[Dia]],U:U,T:T,"")</f>
        <v/>
      </c>
      <c r="B472" s="1">
        <v>46387</v>
      </c>
      <c r="C472" t="s">
        <v>25</v>
      </c>
      <c r="D472" s="1">
        <v>46387</v>
      </c>
      <c r="Q472" t="s">
        <v>18</v>
      </c>
      <c r="R472" t="str">
        <f>_xlfn.XLOOKUP(GERAL[[#This Row],[Dia]],U:U,V:V,"")</f>
        <v/>
      </c>
    </row>
    <row r="473" spans="1:18" hidden="1" x14ac:dyDescent="0.3">
      <c r="A473" t="str">
        <f>_xlfn.XLOOKUP(GERAL[[#This Row],[Dia]],U:U,T:T,"")</f>
        <v/>
      </c>
      <c r="B473" s="1">
        <v>46388</v>
      </c>
      <c r="C473" t="s">
        <v>26</v>
      </c>
      <c r="D473" s="1">
        <v>46388</v>
      </c>
      <c r="Q473" t="s">
        <v>18</v>
      </c>
      <c r="R473" t="str">
        <f>_xlfn.XLOOKUP(GERAL[[#This Row],[Dia]],U:U,V:V,"")</f>
        <v/>
      </c>
    </row>
    <row r="474" spans="1:18" hidden="1" x14ac:dyDescent="0.3">
      <c r="A474" t="str">
        <f>_xlfn.XLOOKUP(GERAL[[#This Row],[Dia]],U:U,T:T,"")</f>
        <v/>
      </c>
      <c r="B474" s="1">
        <v>46389</v>
      </c>
      <c r="C474" t="s">
        <v>16</v>
      </c>
      <c r="D474" s="1">
        <v>46389</v>
      </c>
      <c r="E474" t="s">
        <v>17</v>
      </c>
      <c r="Q474" t="s">
        <v>18</v>
      </c>
      <c r="R474" t="str">
        <f>_xlfn.XLOOKUP(GERAL[[#This Row],[Dia]],U:U,V:V,"")</f>
        <v/>
      </c>
    </row>
    <row r="475" spans="1:18" hidden="1" x14ac:dyDescent="0.3">
      <c r="A475" t="str">
        <f>_xlfn.XLOOKUP(GERAL[[#This Row],[Dia]],U:U,T:T,"")</f>
        <v/>
      </c>
      <c r="B475" s="1">
        <v>46390</v>
      </c>
      <c r="C475" t="s">
        <v>21</v>
      </c>
      <c r="D475" s="1">
        <v>46390</v>
      </c>
      <c r="E475" t="s">
        <v>17</v>
      </c>
      <c r="Q475" t="s">
        <v>18</v>
      </c>
      <c r="R475" t="str">
        <f>_xlfn.XLOOKUP(GERAL[[#This Row],[Dia]],U:U,V:V,"")</f>
        <v/>
      </c>
    </row>
    <row r="476" spans="1:18" hidden="1" x14ac:dyDescent="0.3">
      <c r="A476" t="str">
        <f>_xlfn.XLOOKUP(GERAL[[#This Row],[Dia]],U:U,T:T,"")</f>
        <v/>
      </c>
      <c r="B476" s="1">
        <v>46391</v>
      </c>
      <c r="C476" t="s">
        <v>22</v>
      </c>
      <c r="D476" s="1">
        <v>46391</v>
      </c>
      <c r="Q476" t="s">
        <v>18</v>
      </c>
      <c r="R476" t="str">
        <f>_xlfn.XLOOKUP(GERAL[[#This Row],[Dia]],U:U,V:V,"")</f>
        <v/>
      </c>
    </row>
    <row r="477" spans="1:18" hidden="1" x14ac:dyDescent="0.3">
      <c r="A477" t="str">
        <f>_xlfn.XLOOKUP(GERAL[[#This Row],[Dia]],U:U,T:T,"")</f>
        <v/>
      </c>
      <c r="B477" s="1">
        <v>46392</v>
      </c>
      <c r="C477" t="s">
        <v>23</v>
      </c>
      <c r="D477" s="1">
        <v>46392</v>
      </c>
      <c r="Q477" t="s">
        <v>18</v>
      </c>
      <c r="R477" t="str">
        <f>_xlfn.XLOOKUP(GERAL[[#This Row],[Dia]],U:U,V:V,"")</f>
        <v/>
      </c>
    </row>
    <row r="478" spans="1:18" hidden="1" x14ac:dyDescent="0.3">
      <c r="A478" t="str">
        <f>_xlfn.XLOOKUP(GERAL[[#This Row],[Dia]],U:U,T:T,"")</f>
        <v/>
      </c>
      <c r="B478" s="1">
        <v>46393</v>
      </c>
      <c r="C478" t="s">
        <v>24</v>
      </c>
      <c r="D478" s="1">
        <v>46393</v>
      </c>
      <c r="Q478" t="s">
        <v>18</v>
      </c>
      <c r="R478" t="str">
        <f>_xlfn.XLOOKUP(GERAL[[#This Row],[Dia]],U:U,V:V,"")</f>
        <v/>
      </c>
    </row>
    <row r="479" spans="1:18" hidden="1" x14ac:dyDescent="0.3">
      <c r="A479" t="str">
        <f>_xlfn.XLOOKUP(GERAL[[#This Row],[Dia]],U:U,T:T,"")</f>
        <v/>
      </c>
      <c r="B479" s="1">
        <v>46394</v>
      </c>
      <c r="C479" t="s">
        <v>25</v>
      </c>
      <c r="D479" s="1">
        <v>46394</v>
      </c>
      <c r="Q479" t="s">
        <v>18</v>
      </c>
      <c r="R479" t="str">
        <f>_xlfn.XLOOKUP(GERAL[[#This Row],[Dia]],U:U,V:V,"")</f>
        <v/>
      </c>
    </row>
    <row r="480" spans="1:18" hidden="1" x14ac:dyDescent="0.3">
      <c r="A480" t="str">
        <f>_xlfn.XLOOKUP(GERAL[[#This Row],[Dia]],U:U,T:T,"")</f>
        <v/>
      </c>
      <c r="B480" s="1">
        <v>46395</v>
      </c>
      <c r="C480" t="s">
        <v>26</v>
      </c>
      <c r="D480" s="1">
        <v>46395</v>
      </c>
      <c r="Q480" t="s">
        <v>18</v>
      </c>
      <c r="R480" t="str">
        <f>_xlfn.XLOOKUP(GERAL[[#This Row],[Dia]],U:U,V:V,"")</f>
        <v/>
      </c>
    </row>
    <row r="481" spans="1:18" hidden="1" x14ac:dyDescent="0.3">
      <c r="A481" t="str">
        <f>_xlfn.XLOOKUP(GERAL[[#This Row],[Dia]],U:U,T:T,"")</f>
        <v/>
      </c>
      <c r="B481" s="1">
        <v>46396</v>
      </c>
      <c r="C481" t="s">
        <v>16</v>
      </c>
      <c r="D481" s="1">
        <v>46396</v>
      </c>
      <c r="E481" t="s">
        <v>17</v>
      </c>
      <c r="Q481" t="s">
        <v>18</v>
      </c>
      <c r="R481" t="str">
        <f>_xlfn.XLOOKUP(GERAL[[#This Row],[Dia]],U:U,V:V,"")</f>
        <v/>
      </c>
    </row>
    <row r="482" spans="1:18" hidden="1" x14ac:dyDescent="0.3">
      <c r="A482" t="str">
        <f>_xlfn.XLOOKUP(GERAL[[#This Row],[Dia]],U:U,T:T,"")</f>
        <v/>
      </c>
      <c r="B482" s="1">
        <v>46397</v>
      </c>
      <c r="C482" t="s">
        <v>21</v>
      </c>
      <c r="D482" s="1">
        <v>46397</v>
      </c>
      <c r="E482" t="s">
        <v>17</v>
      </c>
      <c r="Q482" t="s">
        <v>18</v>
      </c>
      <c r="R482" t="str">
        <f>_xlfn.XLOOKUP(GERAL[[#This Row],[Dia]],U:U,V:V,"")</f>
        <v/>
      </c>
    </row>
    <row r="483" spans="1:18" hidden="1" x14ac:dyDescent="0.3">
      <c r="A483" t="str">
        <f>_xlfn.XLOOKUP(GERAL[[#This Row],[Dia]],U:U,T:T,"")</f>
        <v/>
      </c>
      <c r="B483" s="1">
        <v>46398</v>
      </c>
      <c r="C483" t="s">
        <v>22</v>
      </c>
      <c r="D483" s="1">
        <v>46398</v>
      </c>
      <c r="Q483" t="s">
        <v>18</v>
      </c>
      <c r="R483" t="str">
        <f>_xlfn.XLOOKUP(GERAL[[#This Row],[Dia]],U:U,V:V,"")</f>
        <v/>
      </c>
    </row>
    <row r="484" spans="1:18" hidden="1" x14ac:dyDescent="0.3">
      <c r="A484" t="str">
        <f>_xlfn.XLOOKUP(GERAL[[#This Row],[Dia]],U:U,T:T,"")</f>
        <v/>
      </c>
      <c r="B484" s="1">
        <v>46399</v>
      </c>
      <c r="C484" t="s">
        <v>23</v>
      </c>
      <c r="D484" s="1">
        <v>46399</v>
      </c>
      <c r="Q484" t="s">
        <v>18</v>
      </c>
      <c r="R484" t="str">
        <f>_xlfn.XLOOKUP(GERAL[[#This Row],[Dia]],U:U,V:V,"")</f>
        <v/>
      </c>
    </row>
    <row r="485" spans="1:18" hidden="1" x14ac:dyDescent="0.3">
      <c r="A485" t="str">
        <f>_xlfn.XLOOKUP(GERAL[[#This Row],[Dia]],U:U,T:T,"")</f>
        <v/>
      </c>
      <c r="B485" s="1">
        <v>46400</v>
      </c>
      <c r="C485" t="s">
        <v>24</v>
      </c>
      <c r="D485" s="1">
        <v>46400</v>
      </c>
      <c r="Q485" t="s">
        <v>18</v>
      </c>
      <c r="R485" t="str">
        <f>_xlfn.XLOOKUP(GERAL[[#This Row],[Dia]],U:U,V:V,"")</f>
        <v/>
      </c>
    </row>
    <row r="486" spans="1:18" hidden="1" x14ac:dyDescent="0.3">
      <c r="A486" t="str">
        <f>_xlfn.XLOOKUP(GERAL[[#This Row],[Dia]],U:U,T:T,"")</f>
        <v/>
      </c>
      <c r="B486" s="1">
        <v>46401</v>
      </c>
      <c r="C486" t="s">
        <v>25</v>
      </c>
      <c r="D486" s="1">
        <v>46401</v>
      </c>
      <c r="Q486" t="s">
        <v>18</v>
      </c>
      <c r="R486" t="str">
        <f>_xlfn.XLOOKUP(GERAL[[#This Row],[Dia]],U:U,V:V,"")</f>
        <v/>
      </c>
    </row>
    <row r="487" spans="1:18" hidden="1" x14ac:dyDescent="0.3">
      <c r="A487" t="str">
        <f>_xlfn.XLOOKUP(GERAL[[#This Row],[Dia]],U:U,T:T,"")</f>
        <v/>
      </c>
      <c r="B487" s="1">
        <v>46402</v>
      </c>
      <c r="C487" t="s">
        <v>26</v>
      </c>
      <c r="D487" s="1">
        <v>46402</v>
      </c>
      <c r="Q487" t="s">
        <v>18</v>
      </c>
      <c r="R487" t="str">
        <f>_xlfn.XLOOKUP(GERAL[[#This Row],[Dia]],U:U,V:V,"")</f>
        <v/>
      </c>
    </row>
    <row r="488" spans="1:18" hidden="1" x14ac:dyDescent="0.3">
      <c r="A488" t="str">
        <f>_xlfn.XLOOKUP(GERAL[[#This Row],[Dia]],U:U,T:T,"")</f>
        <v/>
      </c>
      <c r="B488" s="1">
        <v>46403</v>
      </c>
      <c r="C488" t="s">
        <v>16</v>
      </c>
      <c r="D488" s="1">
        <v>46403</v>
      </c>
      <c r="E488" t="s">
        <v>17</v>
      </c>
      <c r="Q488" t="s">
        <v>18</v>
      </c>
      <c r="R488" t="str">
        <f>_xlfn.XLOOKUP(GERAL[[#This Row],[Dia]],U:U,V:V,"")</f>
        <v/>
      </c>
    </row>
    <row r="489" spans="1:18" hidden="1" x14ac:dyDescent="0.3">
      <c r="A489" t="str">
        <f>_xlfn.XLOOKUP(GERAL[[#This Row],[Dia]],U:U,T:T,"")</f>
        <v/>
      </c>
      <c r="B489" s="1">
        <v>46404</v>
      </c>
      <c r="C489" t="s">
        <v>21</v>
      </c>
      <c r="D489" s="1">
        <v>46404</v>
      </c>
      <c r="E489" t="s">
        <v>17</v>
      </c>
      <c r="Q489" t="s">
        <v>18</v>
      </c>
      <c r="R489" t="str">
        <f>_xlfn.XLOOKUP(GERAL[[#This Row],[Dia]],U:U,V:V,"")</f>
        <v/>
      </c>
    </row>
    <row r="490" spans="1:18" hidden="1" x14ac:dyDescent="0.3">
      <c r="A490" t="str">
        <f>_xlfn.XLOOKUP(GERAL[[#This Row],[Dia]],U:U,T:T,"")</f>
        <v/>
      </c>
      <c r="B490" s="1">
        <v>46405</v>
      </c>
      <c r="C490" t="s">
        <v>22</v>
      </c>
      <c r="D490" s="1">
        <v>46405</v>
      </c>
      <c r="Q490" t="s">
        <v>18</v>
      </c>
      <c r="R490" t="str">
        <f>_xlfn.XLOOKUP(GERAL[[#This Row],[Dia]],U:U,V:V,"")</f>
        <v/>
      </c>
    </row>
    <row r="491" spans="1:18" hidden="1" x14ac:dyDescent="0.3">
      <c r="A491" t="str">
        <f>_xlfn.XLOOKUP(GERAL[[#This Row],[Dia]],U:U,T:T,"")</f>
        <v/>
      </c>
      <c r="B491" s="1">
        <v>46406</v>
      </c>
      <c r="C491" t="s">
        <v>23</v>
      </c>
      <c r="D491" s="1">
        <v>46406</v>
      </c>
      <c r="Q491" t="s">
        <v>18</v>
      </c>
      <c r="R491" t="str">
        <f>_xlfn.XLOOKUP(GERAL[[#This Row],[Dia]],U:U,V:V,"")</f>
        <v/>
      </c>
    </row>
    <row r="492" spans="1:18" hidden="1" x14ac:dyDescent="0.3">
      <c r="A492" t="str">
        <f>_xlfn.XLOOKUP(GERAL[[#This Row],[Dia]],U:U,T:T,"")</f>
        <v/>
      </c>
      <c r="B492" s="1">
        <v>46407</v>
      </c>
      <c r="C492" t="s">
        <v>24</v>
      </c>
      <c r="D492" s="1">
        <v>46407</v>
      </c>
      <c r="Q492" t="s">
        <v>18</v>
      </c>
      <c r="R492" t="str">
        <f>_xlfn.XLOOKUP(GERAL[[#This Row],[Dia]],U:U,V:V,"")</f>
        <v/>
      </c>
    </row>
    <row r="493" spans="1:18" hidden="1" x14ac:dyDescent="0.3">
      <c r="A493" t="str">
        <f>_xlfn.XLOOKUP(GERAL[[#This Row],[Dia]],U:U,T:T,"")</f>
        <v/>
      </c>
      <c r="B493" s="1">
        <v>46408</v>
      </c>
      <c r="C493" t="s">
        <v>25</v>
      </c>
      <c r="D493" s="1">
        <v>46408</v>
      </c>
      <c r="Q493" t="s">
        <v>18</v>
      </c>
      <c r="R493" t="str">
        <f>_xlfn.XLOOKUP(GERAL[[#This Row],[Dia]],U:U,V:V,"")</f>
        <v/>
      </c>
    </row>
    <row r="494" spans="1:18" hidden="1" x14ac:dyDescent="0.3">
      <c r="A494" t="str">
        <f>_xlfn.XLOOKUP(GERAL[[#This Row],[Dia]],U:U,T:T,"")</f>
        <v/>
      </c>
      <c r="B494" s="1">
        <v>46409</v>
      </c>
      <c r="C494" t="s">
        <v>26</v>
      </c>
      <c r="D494" s="1">
        <v>46409</v>
      </c>
      <c r="Q494" t="s">
        <v>18</v>
      </c>
      <c r="R494" t="str">
        <f>_xlfn.XLOOKUP(GERAL[[#This Row],[Dia]],U:U,V:V,"")</f>
        <v/>
      </c>
    </row>
    <row r="495" spans="1:18" hidden="1" x14ac:dyDescent="0.3">
      <c r="A495" t="str">
        <f>_xlfn.XLOOKUP(GERAL[[#This Row],[Dia]],U:U,T:T,"")</f>
        <v/>
      </c>
      <c r="B495" s="1">
        <v>46410</v>
      </c>
      <c r="C495" t="s">
        <v>16</v>
      </c>
      <c r="D495" s="1">
        <v>46410</v>
      </c>
      <c r="E495" t="s">
        <v>17</v>
      </c>
      <c r="Q495" t="s">
        <v>18</v>
      </c>
      <c r="R495" t="str">
        <f>_xlfn.XLOOKUP(GERAL[[#This Row],[Dia]],U:U,V:V,"")</f>
        <v/>
      </c>
    </row>
    <row r="496" spans="1:18" hidden="1" x14ac:dyDescent="0.3">
      <c r="A496" t="str">
        <f>_xlfn.XLOOKUP(GERAL[[#This Row],[Dia]],U:U,T:T,"")</f>
        <v/>
      </c>
      <c r="B496" s="1">
        <v>46411</v>
      </c>
      <c r="C496" t="s">
        <v>21</v>
      </c>
      <c r="D496" s="1">
        <v>46411</v>
      </c>
      <c r="E496" t="s">
        <v>17</v>
      </c>
      <c r="Q496" t="s">
        <v>18</v>
      </c>
      <c r="R496" t="str">
        <f>_xlfn.XLOOKUP(GERAL[[#This Row],[Dia]],U:U,V:V,"")</f>
        <v/>
      </c>
    </row>
    <row r="497" spans="1:18" hidden="1" x14ac:dyDescent="0.3">
      <c r="A497" t="str">
        <f>_xlfn.XLOOKUP(GERAL[[#This Row],[Dia]],U:U,T:T,"")</f>
        <v/>
      </c>
      <c r="B497" s="1">
        <v>46412</v>
      </c>
      <c r="C497" t="s">
        <v>22</v>
      </c>
      <c r="D497" s="1">
        <v>46412</v>
      </c>
      <c r="Q497" t="s">
        <v>18</v>
      </c>
      <c r="R497" t="str">
        <f>_xlfn.XLOOKUP(GERAL[[#This Row],[Dia]],U:U,V:V,"")</f>
        <v/>
      </c>
    </row>
    <row r="498" spans="1:18" hidden="1" x14ac:dyDescent="0.3">
      <c r="A498" t="str">
        <f>_xlfn.XLOOKUP(GERAL[[#This Row],[Dia]],U:U,T:T,"")</f>
        <v/>
      </c>
      <c r="B498" s="1">
        <v>46413</v>
      </c>
      <c r="C498" t="s">
        <v>23</v>
      </c>
      <c r="D498" s="1">
        <v>46413</v>
      </c>
      <c r="Q498" t="s">
        <v>18</v>
      </c>
      <c r="R498" t="str">
        <f>_xlfn.XLOOKUP(GERAL[[#This Row],[Dia]],U:U,V:V,"")</f>
        <v/>
      </c>
    </row>
    <row r="499" spans="1:18" hidden="1" x14ac:dyDescent="0.3">
      <c r="A499" t="str">
        <f>_xlfn.XLOOKUP(GERAL[[#This Row],[Dia]],U:U,T:T,"")</f>
        <v/>
      </c>
      <c r="B499" s="1">
        <v>46414</v>
      </c>
      <c r="C499" t="s">
        <v>24</v>
      </c>
      <c r="D499" s="1">
        <v>46414</v>
      </c>
      <c r="Q499" t="s">
        <v>18</v>
      </c>
      <c r="R499" t="str">
        <f>_xlfn.XLOOKUP(GERAL[[#This Row],[Dia]],U:U,V:V,"")</f>
        <v/>
      </c>
    </row>
    <row r="500" spans="1:18" hidden="1" x14ac:dyDescent="0.3">
      <c r="A500" t="str">
        <f>_xlfn.XLOOKUP(GERAL[[#This Row],[Dia]],U:U,T:T,"")</f>
        <v/>
      </c>
      <c r="B500" s="1">
        <v>46415</v>
      </c>
      <c r="C500" t="s">
        <v>25</v>
      </c>
      <c r="D500" s="1">
        <v>46415</v>
      </c>
      <c r="Q500" t="s">
        <v>18</v>
      </c>
      <c r="R500" t="str">
        <f>_xlfn.XLOOKUP(GERAL[[#This Row],[Dia]],U:U,V:V,"")</f>
        <v/>
      </c>
    </row>
    <row r="501" spans="1:18" hidden="1" x14ac:dyDescent="0.3">
      <c r="A501" t="str">
        <f>_xlfn.XLOOKUP(GERAL[[#This Row],[Dia]],U:U,T:T,"")</f>
        <v/>
      </c>
      <c r="B501" s="1">
        <v>46416</v>
      </c>
      <c r="C501" t="s">
        <v>26</v>
      </c>
      <c r="D501" s="1">
        <v>46416</v>
      </c>
      <c r="Q501" t="s">
        <v>18</v>
      </c>
      <c r="R501" t="str">
        <f>_xlfn.XLOOKUP(GERAL[[#This Row],[Dia]],U:U,V:V,"")</f>
        <v/>
      </c>
    </row>
    <row r="502" spans="1:18" hidden="1" x14ac:dyDescent="0.3">
      <c r="A502" t="str">
        <f>_xlfn.XLOOKUP(GERAL[[#This Row],[Dia]],U:U,T:T,"")</f>
        <v/>
      </c>
      <c r="B502" s="1">
        <v>46417</v>
      </c>
      <c r="C502" t="s">
        <v>16</v>
      </c>
      <c r="D502" s="1">
        <v>46417</v>
      </c>
      <c r="E502" t="s">
        <v>17</v>
      </c>
      <c r="Q502" t="s">
        <v>18</v>
      </c>
      <c r="R502" t="str">
        <f>_xlfn.XLOOKUP(GERAL[[#This Row],[Dia]],U:U,V:V,"")</f>
        <v/>
      </c>
    </row>
    <row r="503" spans="1:18" hidden="1" x14ac:dyDescent="0.3">
      <c r="A503" t="str">
        <f>_xlfn.XLOOKUP(GERAL[[#This Row],[Dia]],U:U,T:T,"")</f>
        <v/>
      </c>
      <c r="B503" s="1">
        <v>46418</v>
      </c>
      <c r="C503" t="s">
        <v>21</v>
      </c>
      <c r="D503" s="1">
        <v>46418</v>
      </c>
      <c r="E503" t="s">
        <v>17</v>
      </c>
      <c r="Q503" t="s">
        <v>18</v>
      </c>
      <c r="R503" t="str">
        <f>_xlfn.XLOOKUP(GERAL[[#This Row],[Dia]],U:U,V:V,"")</f>
        <v/>
      </c>
    </row>
    <row r="504" spans="1:18" hidden="1" x14ac:dyDescent="0.3">
      <c r="A504" t="str">
        <f>_xlfn.XLOOKUP(GERAL[[#This Row],[Dia]],U:U,T:T,"")</f>
        <v/>
      </c>
      <c r="B504" s="1">
        <v>46419</v>
      </c>
      <c r="C504" t="s">
        <v>22</v>
      </c>
      <c r="D504" s="1">
        <v>46419</v>
      </c>
      <c r="Q504" t="s">
        <v>18</v>
      </c>
      <c r="R504" t="str">
        <f>_xlfn.XLOOKUP(GERAL[[#This Row],[Dia]],U:U,V:V,"")</f>
        <v/>
      </c>
    </row>
    <row r="505" spans="1:18" hidden="1" x14ac:dyDescent="0.3">
      <c r="A505" t="str">
        <f>_xlfn.XLOOKUP(GERAL[[#This Row],[Dia]],U:U,T:T,"")</f>
        <v/>
      </c>
      <c r="B505" s="1">
        <v>46420</v>
      </c>
      <c r="C505" t="s">
        <v>23</v>
      </c>
      <c r="D505" s="1">
        <v>46420</v>
      </c>
      <c r="Q505" t="s">
        <v>18</v>
      </c>
      <c r="R505" t="str">
        <f>_xlfn.XLOOKUP(GERAL[[#This Row],[Dia]],U:U,V:V,"")</f>
        <v/>
      </c>
    </row>
    <row r="506" spans="1:18" hidden="1" x14ac:dyDescent="0.3">
      <c r="A506" t="str">
        <f>_xlfn.XLOOKUP(GERAL[[#This Row],[Dia]],U:U,T:T,"")</f>
        <v/>
      </c>
      <c r="B506" s="1">
        <v>46421</v>
      </c>
      <c r="C506" t="s">
        <v>24</v>
      </c>
      <c r="D506" s="1">
        <v>46421</v>
      </c>
      <c r="Q506" t="s">
        <v>18</v>
      </c>
      <c r="R506" t="str">
        <f>_xlfn.XLOOKUP(GERAL[[#This Row],[Dia]],U:U,V:V,"")</f>
        <v/>
      </c>
    </row>
    <row r="507" spans="1:18" hidden="1" x14ac:dyDescent="0.3">
      <c r="A507" t="str">
        <f>_xlfn.XLOOKUP(GERAL[[#This Row],[Dia]],U:U,T:T,"")</f>
        <v/>
      </c>
      <c r="B507" s="1">
        <v>46422</v>
      </c>
      <c r="C507" t="s">
        <v>25</v>
      </c>
      <c r="D507" s="1">
        <v>46422</v>
      </c>
      <c r="Q507" t="s">
        <v>18</v>
      </c>
      <c r="R507" t="str">
        <f>_xlfn.XLOOKUP(GERAL[[#This Row],[Dia]],U:U,V:V,"")</f>
        <v/>
      </c>
    </row>
    <row r="508" spans="1:18" hidden="1" x14ac:dyDescent="0.3">
      <c r="A508" t="str">
        <f>_xlfn.XLOOKUP(GERAL[[#This Row],[Dia]],U:U,T:T,"")</f>
        <v/>
      </c>
      <c r="B508" s="1">
        <v>46423</v>
      </c>
      <c r="C508" t="s">
        <v>26</v>
      </c>
      <c r="D508" s="1">
        <v>46423</v>
      </c>
      <c r="Q508" t="s">
        <v>18</v>
      </c>
      <c r="R508" t="str">
        <f>_xlfn.XLOOKUP(GERAL[[#This Row],[Dia]],U:U,V:V,"")</f>
        <v/>
      </c>
    </row>
    <row r="509" spans="1:18" hidden="1" x14ac:dyDescent="0.3">
      <c r="A509" t="str">
        <f>_xlfn.XLOOKUP(GERAL[[#This Row],[Dia]],U:U,T:T,"")</f>
        <v/>
      </c>
      <c r="B509" s="1">
        <v>46424</v>
      </c>
      <c r="C509" t="s">
        <v>16</v>
      </c>
      <c r="D509" s="1">
        <v>46424</v>
      </c>
      <c r="E509" t="s">
        <v>17</v>
      </c>
      <c r="Q509" t="s">
        <v>18</v>
      </c>
      <c r="R509" t="str">
        <f>_xlfn.XLOOKUP(GERAL[[#This Row],[Dia]],U:U,V:V,"")</f>
        <v/>
      </c>
    </row>
    <row r="510" spans="1:18" hidden="1" x14ac:dyDescent="0.3">
      <c r="A510" t="str">
        <f>_xlfn.XLOOKUP(GERAL[[#This Row],[Dia]],U:U,T:T,"")</f>
        <v/>
      </c>
      <c r="B510" s="1">
        <v>46425</v>
      </c>
      <c r="C510" t="s">
        <v>21</v>
      </c>
      <c r="D510" s="1">
        <v>46425</v>
      </c>
      <c r="E510" t="s">
        <v>17</v>
      </c>
      <c r="Q510" t="s">
        <v>18</v>
      </c>
      <c r="R510" t="str">
        <f>_xlfn.XLOOKUP(GERAL[[#This Row],[Dia]],U:U,V:V,"")</f>
        <v/>
      </c>
    </row>
    <row r="511" spans="1:18" hidden="1" x14ac:dyDescent="0.3">
      <c r="A511" t="str">
        <f>_xlfn.XLOOKUP(GERAL[[#This Row],[Dia]],U:U,T:T,"")</f>
        <v/>
      </c>
      <c r="B511" s="1">
        <v>46426</v>
      </c>
      <c r="C511" t="s">
        <v>22</v>
      </c>
      <c r="D511" s="1">
        <v>46426</v>
      </c>
      <c r="Q511" t="s">
        <v>18</v>
      </c>
      <c r="R511" t="str">
        <f>_xlfn.XLOOKUP(GERAL[[#This Row],[Dia]],U:U,V:V,"")</f>
        <v/>
      </c>
    </row>
    <row r="512" spans="1:18" hidden="1" x14ac:dyDescent="0.3">
      <c r="A512" t="str">
        <f>_xlfn.XLOOKUP(GERAL[[#This Row],[Dia]],U:U,T:T,"")</f>
        <v/>
      </c>
      <c r="B512" s="1">
        <v>46427</v>
      </c>
      <c r="C512" t="s">
        <v>23</v>
      </c>
      <c r="D512" s="1">
        <v>46427</v>
      </c>
      <c r="Q512" t="s">
        <v>18</v>
      </c>
      <c r="R512" t="str">
        <f>_xlfn.XLOOKUP(GERAL[[#This Row],[Dia]],U:U,V:V,"")</f>
        <v/>
      </c>
    </row>
    <row r="513" spans="1:18" hidden="1" x14ac:dyDescent="0.3">
      <c r="A513" t="str">
        <f>_xlfn.XLOOKUP(GERAL[[#This Row],[Dia]],U:U,T:T,"")</f>
        <v/>
      </c>
      <c r="B513" s="1">
        <v>46428</v>
      </c>
      <c r="C513" t="s">
        <v>24</v>
      </c>
      <c r="D513" s="1">
        <v>46428</v>
      </c>
      <c r="Q513" t="s">
        <v>18</v>
      </c>
      <c r="R513" t="str">
        <f>_xlfn.XLOOKUP(GERAL[[#This Row],[Dia]],U:U,V:V,"")</f>
        <v/>
      </c>
    </row>
    <row r="514" spans="1:18" hidden="1" x14ac:dyDescent="0.3">
      <c r="A514" t="str">
        <f>_xlfn.XLOOKUP(GERAL[[#This Row],[Dia]],U:U,T:T,"")</f>
        <v/>
      </c>
      <c r="B514" s="1">
        <v>46429</v>
      </c>
      <c r="C514" t="s">
        <v>25</v>
      </c>
      <c r="D514" s="1">
        <v>46429</v>
      </c>
      <c r="Q514" t="s">
        <v>18</v>
      </c>
      <c r="R514" t="str">
        <f>_xlfn.XLOOKUP(GERAL[[#This Row],[Dia]],U:U,V:V,"")</f>
        <v/>
      </c>
    </row>
    <row r="515" spans="1:18" hidden="1" x14ac:dyDescent="0.3">
      <c r="A515" t="str">
        <f>_xlfn.XLOOKUP(GERAL[[#This Row],[Dia]],U:U,T:T,"")</f>
        <v/>
      </c>
      <c r="B515" s="1">
        <v>46430</v>
      </c>
      <c r="C515" t="s">
        <v>26</v>
      </c>
      <c r="D515" s="1">
        <v>46430</v>
      </c>
      <c r="Q515" t="s">
        <v>18</v>
      </c>
      <c r="R515" t="str">
        <f>_xlfn.XLOOKUP(GERAL[[#This Row],[Dia]],U:U,V:V,"")</f>
        <v/>
      </c>
    </row>
    <row r="516" spans="1:18" hidden="1" x14ac:dyDescent="0.3">
      <c r="A516" t="str">
        <f>_xlfn.XLOOKUP(GERAL[[#This Row],[Dia]],U:U,T:T,"")</f>
        <v/>
      </c>
      <c r="B516" s="1">
        <v>46431</v>
      </c>
      <c r="C516" t="s">
        <v>16</v>
      </c>
      <c r="D516" s="1">
        <v>46431</v>
      </c>
      <c r="E516" t="s">
        <v>17</v>
      </c>
      <c r="Q516" t="s">
        <v>18</v>
      </c>
      <c r="R516" t="str">
        <f>_xlfn.XLOOKUP(GERAL[[#This Row],[Dia]],U:U,V:V,"")</f>
        <v/>
      </c>
    </row>
    <row r="517" spans="1:18" hidden="1" x14ac:dyDescent="0.3">
      <c r="A517" t="str">
        <f>_xlfn.XLOOKUP(GERAL[[#This Row],[Dia]],U:U,T:T,"")</f>
        <v/>
      </c>
      <c r="B517" s="1">
        <v>46432</v>
      </c>
      <c r="C517" t="s">
        <v>21</v>
      </c>
      <c r="D517" s="1">
        <v>46432</v>
      </c>
      <c r="E517" t="s">
        <v>17</v>
      </c>
      <c r="Q517" t="s">
        <v>18</v>
      </c>
      <c r="R517" t="str">
        <f>_xlfn.XLOOKUP(GERAL[[#This Row],[Dia]],U:U,V:V,"")</f>
        <v/>
      </c>
    </row>
    <row r="518" spans="1:18" hidden="1" x14ac:dyDescent="0.3">
      <c r="A518" t="str">
        <f>_xlfn.XLOOKUP(GERAL[[#This Row],[Dia]],U:U,T:T,"")</f>
        <v/>
      </c>
      <c r="B518" s="1">
        <v>46433</v>
      </c>
      <c r="C518" t="s">
        <v>22</v>
      </c>
      <c r="D518" s="1">
        <v>46433</v>
      </c>
      <c r="Q518" t="s">
        <v>18</v>
      </c>
      <c r="R518" t="str">
        <f>_xlfn.XLOOKUP(GERAL[[#This Row],[Dia]],U:U,V:V,"")</f>
        <v/>
      </c>
    </row>
    <row r="519" spans="1:18" hidden="1" x14ac:dyDescent="0.3">
      <c r="A519" t="str">
        <f>_xlfn.XLOOKUP(GERAL[[#This Row],[Dia]],U:U,T:T,"")</f>
        <v/>
      </c>
      <c r="B519" s="1">
        <v>45962</v>
      </c>
      <c r="C519" t="s">
        <v>16</v>
      </c>
      <c r="D519" s="1">
        <v>45962</v>
      </c>
      <c r="E519" t="s">
        <v>17</v>
      </c>
      <c r="Q519" t="s">
        <v>67</v>
      </c>
      <c r="R519" t="str">
        <f>_xlfn.XLOOKUP(GERAL[[#This Row],[Dia]],U:U,V:V,"")</f>
        <v/>
      </c>
    </row>
    <row r="520" spans="1:18" hidden="1" x14ac:dyDescent="0.3">
      <c r="A520" t="str">
        <f>_xlfn.XLOOKUP(GERAL[[#This Row],[Dia]],U:U,T:T,"")</f>
        <v/>
      </c>
      <c r="B520" s="1">
        <v>45963</v>
      </c>
      <c r="C520" t="s">
        <v>21</v>
      </c>
      <c r="D520" s="1">
        <v>45963</v>
      </c>
      <c r="E520" t="s">
        <v>17</v>
      </c>
      <c r="Q520" t="s">
        <v>67</v>
      </c>
      <c r="R520" t="str">
        <f>_xlfn.XLOOKUP(GERAL[[#This Row],[Dia]],U:U,V:V,"")</f>
        <v/>
      </c>
    </row>
    <row r="521" spans="1:18" hidden="1" x14ac:dyDescent="0.3">
      <c r="A521" t="str">
        <f>_xlfn.XLOOKUP(GERAL[[#This Row],[Dia]],U:U,T:T,"")</f>
        <v/>
      </c>
      <c r="B521" s="1">
        <v>45964</v>
      </c>
      <c r="C521" t="s">
        <v>22</v>
      </c>
      <c r="D521" s="1">
        <v>45964</v>
      </c>
      <c r="Q521" t="s">
        <v>67</v>
      </c>
      <c r="R521" t="str">
        <f>_xlfn.XLOOKUP(GERAL[[#This Row],[Dia]],U:U,V:V,"")</f>
        <v/>
      </c>
    </row>
    <row r="522" spans="1:18" hidden="1" x14ac:dyDescent="0.3">
      <c r="A522" t="str">
        <f>_xlfn.XLOOKUP(GERAL[[#This Row],[Dia]],U:U,T:T,"")</f>
        <v/>
      </c>
      <c r="B522" s="1">
        <v>45965</v>
      </c>
      <c r="C522" t="s">
        <v>23</v>
      </c>
      <c r="D522" s="1">
        <v>45965</v>
      </c>
      <c r="Q522" t="s">
        <v>67</v>
      </c>
      <c r="R522" t="str">
        <f>_xlfn.XLOOKUP(GERAL[[#This Row],[Dia]],U:U,V:V,"")</f>
        <v/>
      </c>
    </row>
    <row r="523" spans="1:18" hidden="1" x14ac:dyDescent="0.3">
      <c r="A523" t="str">
        <f>_xlfn.XLOOKUP(GERAL[[#This Row],[Dia]],U:U,T:T,"")</f>
        <v/>
      </c>
      <c r="B523" s="1">
        <v>45966</v>
      </c>
      <c r="C523" t="s">
        <v>24</v>
      </c>
      <c r="D523" s="1">
        <v>45966</v>
      </c>
      <c r="Q523" t="s">
        <v>67</v>
      </c>
      <c r="R523" t="str">
        <f>_xlfn.XLOOKUP(GERAL[[#This Row],[Dia]],U:U,V:V,"")</f>
        <v/>
      </c>
    </row>
    <row r="524" spans="1:18" hidden="1" x14ac:dyDescent="0.3">
      <c r="A524" t="str">
        <f>_xlfn.XLOOKUP(GERAL[[#This Row],[Dia]],U:U,T:T,"")</f>
        <v/>
      </c>
      <c r="B524" s="1">
        <v>45967</v>
      </c>
      <c r="C524" t="s">
        <v>25</v>
      </c>
      <c r="D524" s="1">
        <v>45967</v>
      </c>
      <c r="Q524" t="s">
        <v>67</v>
      </c>
      <c r="R524" t="str">
        <f>_xlfn.XLOOKUP(GERAL[[#This Row],[Dia]],U:U,V:V,"")</f>
        <v/>
      </c>
    </row>
    <row r="525" spans="1:18" hidden="1" x14ac:dyDescent="0.3">
      <c r="A525" t="str">
        <f>_xlfn.XLOOKUP(GERAL[[#This Row],[Dia]],U:U,T:T,"")</f>
        <v/>
      </c>
      <c r="B525" s="1">
        <v>45968</v>
      </c>
      <c r="C525" t="s">
        <v>26</v>
      </c>
      <c r="D525" s="1">
        <v>45968</v>
      </c>
      <c r="Q525" t="s">
        <v>67</v>
      </c>
      <c r="R525" t="str">
        <f>_xlfn.XLOOKUP(GERAL[[#This Row],[Dia]],U:U,V:V,"")</f>
        <v/>
      </c>
    </row>
    <row r="526" spans="1:18" hidden="1" x14ac:dyDescent="0.3">
      <c r="A526" t="str">
        <f>_xlfn.XLOOKUP(GERAL[[#This Row],[Dia]],U:U,T:T,"")</f>
        <v/>
      </c>
      <c r="B526" s="1">
        <v>45969</v>
      </c>
      <c r="C526" t="s">
        <v>16</v>
      </c>
      <c r="D526" s="1">
        <v>45969</v>
      </c>
      <c r="E526" t="s">
        <v>17</v>
      </c>
      <c r="Q526" t="s">
        <v>67</v>
      </c>
      <c r="R526" t="str">
        <f>_xlfn.XLOOKUP(GERAL[[#This Row],[Dia]],U:U,V:V,"")</f>
        <v/>
      </c>
    </row>
    <row r="527" spans="1:18" hidden="1" x14ac:dyDescent="0.3">
      <c r="A527" t="str">
        <f>_xlfn.XLOOKUP(GERAL[[#This Row],[Dia]],U:U,T:T,"")</f>
        <v/>
      </c>
      <c r="B527" s="1">
        <v>45970</v>
      </c>
      <c r="C527" t="s">
        <v>21</v>
      </c>
      <c r="D527" s="1">
        <v>45970</v>
      </c>
      <c r="E527" t="s">
        <v>17</v>
      </c>
      <c r="Q527" t="s">
        <v>67</v>
      </c>
      <c r="R527" t="str">
        <f>_xlfn.XLOOKUP(GERAL[[#This Row],[Dia]],U:U,V:V,"")</f>
        <v/>
      </c>
    </row>
    <row r="528" spans="1:18" hidden="1" x14ac:dyDescent="0.3">
      <c r="A528" t="str">
        <f>_xlfn.XLOOKUP(GERAL[[#This Row],[Dia]],U:U,T:T,"")</f>
        <v/>
      </c>
      <c r="B528" s="1">
        <v>45971</v>
      </c>
      <c r="C528" t="s">
        <v>22</v>
      </c>
      <c r="D528" s="1">
        <v>45971</v>
      </c>
      <c r="Q528" t="s">
        <v>67</v>
      </c>
      <c r="R528" t="str">
        <f>_xlfn.XLOOKUP(GERAL[[#This Row],[Dia]],U:U,V:V,"")</f>
        <v/>
      </c>
    </row>
    <row r="529" spans="1:18" hidden="1" x14ac:dyDescent="0.3">
      <c r="A529" t="str">
        <f>_xlfn.XLOOKUP(GERAL[[#This Row],[Dia]],U:U,T:T,"")</f>
        <v/>
      </c>
      <c r="B529" s="1">
        <v>45972</v>
      </c>
      <c r="C529" t="s">
        <v>23</v>
      </c>
      <c r="D529" s="1">
        <v>45972</v>
      </c>
      <c r="Q529" t="s">
        <v>67</v>
      </c>
      <c r="R529" t="str">
        <f>_xlfn.XLOOKUP(GERAL[[#This Row],[Dia]],U:U,V:V,"")</f>
        <v/>
      </c>
    </row>
    <row r="530" spans="1:18" hidden="1" x14ac:dyDescent="0.3">
      <c r="A530" t="str">
        <f>_xlfn.XLOOKUP(GERAL[[#This Row],[Dia]],U:U,T:T,"")</f>
        <v/>
      </c>
      <c r="B530" s="1">
        <v>45973</v>
      </c>
      <c r="C530" t="s">
        <v>24</v>
      </c>
      <c r="D530" s="1">
        <v>45973</v>
      </c>
      <c r="Q530" t="s">
        <v>67</v>
      </c>
      <c r="R530" t="str">
        <f>_xlfn.XLOOKUP(GERAL[[#This Row],[Dia]],U:U,V:V,"")</f>
        <v/>
      </c>
    </row>
    <row r="531" spans="1:18" hidden="1" x14ac:dyDescent="0.3">
      <c r="A531" t="str">
        <f>_xlfn.XLOOKUP(GERAL[[#This Row],[Dia]],U:U,T:T,"")</f>
        <v/>
      </c>
      <c r="B531" s="1">
        <v>45974</v>
      </c>
      <c r="C531" t="s">
        <v>25</v>
      </c>
      <c r="D531" s="1">
        <v>45974</v>
      </c>
      <c r="Q531" t="s">
        <v>67</v>
      </c>
      <c r="R531" t="str">
        <f>_xlfn.XLOOKUP(GERAL[[#This Row],[Dia]],U:U,V:V,"")</f>
        <v/>
      </c>
    </row>
    <row r="532" spans="1:18" hidden="1" x14ac:dyDescent="0.3">
      <c r="A532" t="str">
        <f>_xlfn.XLOOKUP(GERAL[[#This Row],[Dia]],U:U,T:T,"")</f>
        <v/>
      </c>
      <c r="B532" s="1">
        <v>45975</v>
      </c>
      <c r="C532" t="s">
        <v>26</v>
      </c>
      <c r="D532" s="1">
        <v>45975</v>
      </c>
      <c r="Q532" t="s">
        <v>67</v>
      </c>
      <c r="R532" t="str">
        <f>_xlfn.XLOOKUP(GERAL[[#This Row],[Dia]],U:U,V:V,"")</f>
        <v/>
      </c>
    </row>
    <row r="533" spans="1:18" hidden="1" x14ac:dyDescent="0.3">
      <c r="A533" t="str">
        <f>_xlfn.XLOOKUP(GERAL[[#This Row],[Dia]],U:U,T:T,"")</f>
        <v/>
      </c>
      <c r="B533" s="1">
        <v>45976</v>
      </c>
      <c r="C533" t="s">
        <v>16</v>
      </c>
      <c r="D533" s="1">
        <v>45976</v>
      </c>
      <c r="E533" t="s">
        <v>17</v>
      </c>
      <c r="Q533" t="s">
        <v>67</v>
      </c>
      <c r="R533" t="str">
        <f>_xlfn.XLOOKUP(GERAL[[#This Row],[Dia]],U:U,V:V,"")</f>
        <v/>
      </c>
    </row>
    <row r="534" spans="1:18" hidden="1" x14ac:dyDescent="0.3">
      <c r="A534" t="str">
        <f>_xlfn.XLOOKUP(GERAL[[#This Row],[Dia]],U:U,T:T,"")</f>
        <v/>
      </c>
      <c r="B534" s="1">
        <v>45977</v>
      </c>
      <c r="C534" t="s">
        <v>21</v>
      </c>
      <c r="D534" s="1">
        <v>45977</v>
      </c>
      <c r="E534" t="s">
        <v>17</v>
      </c>
      <c r="Q534" t="s">
        <v>67</v>
      </c>
      <c r="R534" t="str">
        <f>_xlfn.XLOOKUP(GERAL[[#This Row],[Dia]],U:U,V:V,"")</f>
        <v/>
      </c>
    </row>
    <row r="535" spans="1:18" hidden="1" x14ac:dyDescent="0.3">
      <c r="A535" t="str">
        <f>_xlfn.XLOOKUP(GERAL[[#This Row],[Dia]],U:U,T:T,"")</f>
        <v/>
      </c>
      <c r="B535" s="1">
        <v>45978</v>
      </c>
      <c r="C535" t="s">
        <v>22</v>
      </c>
      <c r="D535" s="1">
        <v>45978</v>
      </c>
      <c r="Q535" t="s">
        <v>67</v>
      </c>
      <c r="R535" t="str">
        <f>_xlfn.XLOOKUP(GERAL[[#This Row],[Dia]],U:U,V:V,"")</f>
        <v/>
      </c>
    </row>
    <row r="536" spans="1:18" hidden="1" x14ac:dyDescent="0.3">
      <c r="A536" t="str">
        <f>_xlfn.XLOOKUP(GERAL[[#This Row],[Dia]],U:U,T:T,"")</f>
        <v/>
      </c>
      <c r="B536" s="1">
        <v>45979</v>
      </c>
      <c r="C536" t="s">
        <v>23</v>
      </c>
      <c r="D536" s="1">
        <v>45979</v>
      </c>
      <c r="Q536" t="s">
        <v>67</v>
      </c>
      <c r="R536" t="str">
        <f>_xlfn.XLOOKUP(GERAL[[#This Row],[Dia]],U:U,V:V,"")</f>
        <v/>
      </c>
    </row>
    <row r="537" spans="1:18" hidden="1" x14ac:dyDescent="0.3">
      <c r="A537" t="str">
        <f>_xlfn.XLOOKUP(GERAL[[#This Row],[Dia]],U:U,T:T,"")</f>
        <v/>
      </c>
      <c r="B537" s="1">
        <v>45980</v>
      </c>
      <c r="C537" t="s">
        <v>24</v>
      </c>
      <c r="D537" s="1">
        <v>45980</v>
      </c>
      <c r="Q537" t="s">
        <v>67</v>
      </c>
      <c r="R537" t="str">
        <f>_xlfn.XLOOKUP(GERAL[[#This Row],[Dia]],U:U,V:V,"")</f>
        <v/>
      </c>
    </row>
    <row r="538" spans="1:18" hidden="1" x14ac:dyDescent="0.3">
      <c r="A538" t="str">
        <f>_xlfn.XLOOKUP(GERAL[[#This Row],[Dia]],U:U,T:T,"")</f>
        <v/>
      </c>
      <c r="B538" s="1">
        <v>45981</v>
      </c>
      <c r="C538" t="s">
        <v>25</v>
      </c>
      <c r="D538" s="1">
        <v>45981</v>
      </c>
      <c r="Q538" t="s">
        <v>67</v>
      </c>
      <c r="R538" t="str">
        <f>_xlfn.XLOOKUP(GERAL[[#This Row],[Dia]],U:U,V:V,"")</f>
        <v/>
      </c>
    </row>
    <row r="539" spans="1:18" hidden="1" x14ac:dyDescent="0.3">
      <c r="A539" t="str">
        <f>_xlfn.XLOOKUP(GERAL[[#This Row],[Dia]],U:U,T:T,"")</f>
        <v/>
      </c>
      <c r="B539" s="1">
        <v>45982</v>
      </c>
      <c r="C539" t="s">
        <v>26</v>
      </c>
      <c r="D539" s="1">
        <v>45982</v>
      </c>
      <c r="Q539" t="s">
        <v>67</v>
      </c>
      <c r="R539" t="str">
        <f>_xlfn.XLOOKUP(GERAL[[#This Row],[Dia]],U:U,V:V,"")</f>
        <v/>
      </c>
    </row>
    <row r="540" spans="1:18" hidden="1" x14ac:dyDescent="0.3">
      <c r="A540" t="str">
        <f>_xlfn.XLOOKUP(GERAL[[#This Row],[Dia]],U:U,T:T,"")</f>
        <v/>
      </c>
      <c r="B540" s="1">
        <v>45983</v>
      </c>
      <c r="C540" t="s">
        <v>16</v>
      </c>
      <c r="D540" s="1">
        <v>45983</v>
      </c>
      <c r="E540" t="s">
        <v>17</v>
      </c>
      <c r="Q540" t="s">
        <v>67</v>
      </c>
      <c r="R540" t="str">
        <f>_xlfn.XLOOKUP(GERAL[[#This Row],[Dia]],U:U,V:V,"")</f>
        <v/>
      </c>
    </row>
    <row r="541" spans="1:18" hidden="1" x14ac:dyDescent="0.3">
      <c r="A541" t="str">
        <f>_xlfn.XLOOKUP(GERAL[[#This Row],[Dia]],U:U,T:T,"")</f>
        <v/>
      </c>
      <c r="B541" s="1">
        <v>45984</v>
      </c>
      <c r="C541" t="s">
        <v>21</v>
      </c>
      <c r="D541" s="1">
        <v>45984</v>
      </c>
      <c r="E541" t="s">
        <v>17</v>
      </c>
      <c r="Q541" t="s">
        <v>67</v>
      </c>
      <c r="R541" t="str">
        <f>_xlfn.XLOOKUP(GERAL[[#This Row],[Dia]],U:U,V:V,"")</f>
        <v/>
      </c>
    </row>
    <row r="542" spans="1:18" hidden="1" x14ac:dyDescent="0.3">
      <c r="A542" t="str">
        <f>_xlfn.XLOOKUP(GERAL[[#This Row],[Dia]],U:U,T:T,"")</f>
        <v/>
      </c>
      <c r="B542" s="1">
        <v>45985</v>
      </c>
      <c r="C542" t="s">
        <v>22</v>
      </c>
      <c r="D542" s="1">
        <v>45985</v>
      </c>
      <c r="Q542" t="s">
        <v>67</v>
      </c>
      <c r="R542" t="str">
        <f>_xlfn.XLOOKUP(GERAL[[#This Row],[Dia]],U:U,V:V,"")</f>
        <v/>
      </c>
    </row>
    <row r="543" spans="1:18" hidden="1" x14ac:dyDescent="0.3">
      <c r="A543" t="str">
        <f>_xlfn.XLOOKUP(GERAL[[#This Row],[Dia]],U:U,T:T,"")</f>
        <v/>
      </c>
      <c r="B543" s="1">
        <v>45986</v>
      </c>
      <c r="C543" t="s">
        <v>23</v>
      </c>
      <c r="D543" s="1">
        <v>45986</v>
      </c>
      <c r="Q543" t="s">
        <v>67</v>
      </c>
      <c r="R543" t="str">
        <f>_xlfn.XLOOKUP(GERAL[[#This Row],[Dia]],U:U,V:V,"")</f>
        <v/>
      </c>
    </row>
    <row r="544" spans="1:18" hidden="1" x14ac:dyDescent="0.3">
      <c r="A544" t="str">
        <f>_xlfn.XLOOKUP(GERAL[[#This Row],[Dia]],U:U,T:T,"")</f>
        <v/>
      </c>
      <c r="B544" s="1">
        <v>45987</v>
      </c>
      <c r="C544" t="s">
        <v>24</v>
      </c>
      <c r="D544" s="1">
        <v>45987</v>
      </c>
      <c r="Q544" t="s">
        <v>67</v>
      </c>
      <c r="R544" t="str">
        <f>_xlfn.XLOOKUP(GERAL[[#This Row],[Dia]],U:U,V:V,"")</f>
        <v/>
      </c>
    </row>
    <row r="545" spans="1:18" hidden="1" x14ac:dyDescent="0.3">
      <c r="A545" t="str">
        <f>_xlfn.XLOOKUP(GERAL[[#This Row],[Dia]],U:U,T:T,"")</f>
        <v/>
      </c>
      <c r="B545" s="1">
        <v>45988</v>
      </c>
      <c r="C545" t="s">
        <v>25</v>
      </c>
      <c r="D545" s="1">
        <v>45988</v>
      </c>
      <c r="Q545" t="s">
        <v>67</v>
      </c>
      <c r="R545" t="str">
        <f>_xlfn.XLOOKUP(GERAL[[#This Row],[Dia]],U:U,V:V,"")</f>
        <v/>
      </c>
    </row>
    <row r="546" spans="1:18" hidden="1" x14ac:dyDescent="0.3">
      <c r="A546" t="str">
        <f>_xlfn.XLOOKUP(GERAL[[#This Row],[Dia]],U:U,T:T,"")</f>
        <v/>
      </c>
      <c r="B546" s="1">
        <v>45989</v>
      </c>
      <c r="C546" t="s">
        <v>26</v>
      </c>
      <c r="D546" s="1">
        <v>45989</v>
      </c>
      <c r="Q546" t="s">
        <v>67</v>
      </c>
      <c r="R546" t="str">
        <f>_xlfn.XLOOKUP(GERAL[[#This Row],[Dia]],U:U,V:V,"")</f>
        <v/>
      </c>
    </row>
    <row r="547" spans="1:18" hidden="1" x14ac:dyDescent="0.3">
      <c r="A547" t="str">
        <f>_xlfn.XLOOKUP(GERAL[[#This Row],[Dia]],U:U,T:T,"")</f>
        <v/>
      </c>
      <c r="B547" s="1">
        <v>45990</v>
      </c>
      <c r="C547" t="s">
        <v>16</v>
      </c>
      <c r="D547" s="1">
        <v>45990</v>
      </c>
      <c r="E547" t="s">
        <v>17</v>
      </c>
      <c r="Q547" t="s">
        <v>67</v>
      </c>
      <c r="R547" t="str">
        <f>_xlfn.XLOOKUP(GERAL[[#This Row],[Dia]],U:U,V:V,"")</f>
        <v/>
      </c>
    </row>
    <row r="548" spans="1:18" hidden="1" x14ac:dyDescent="0.3">
      <c r="A548" t="str">
        <f>_xlfn.XLOOKUP(GERAL[[#This Row],[Dia]],U:U,T:T,"")</f>
        <v/>
      </c>
      <c r="B548" s="1">
        <v>45991</v>
      </c>
      <c r="C548" t="s">
        <v>21</v>
      </c>
      <c r="D548" s="1">
        <v>45991</v>
      </c>
      <c r="E548" t="s">
        <v>17</v>
      </c>
      <c r="Q548" t="s">
        <v>67</v>
      </c>
      <c r="R548" t="str">
        <f>_xlfn.XLOOKUP(GERAL[[#This Row],[Dia]],U:U,V:V,"")</f>
        <v/>
      </c>
    </row>
    <row r="549" spans="1:18" hidden="1" x14ac:dyDescent="0.3">
      <c r="A549" t="str">
        <f>_xlfn.XLOOKUP(GERAL[[#This Row],[Dia]],U:U,T:T,"")</f>
        <v/>
      </c>
      <c r="B549" s="1">
        <v>45992</v>
      </c>
      <c r="C549" t="s">
        <v>22</v>
      </c>
      <c r="D549" s="1">
        <v>45992</v>
      </c>
      <c r="Q549" t="s">
        <v>67</v>
      </c>
      <c r="R549" t="str">
        <f>_xlfn.XLOOKUP(GERAL[[#This Row],[Dia]],U:U,V:V,"")</f>
        <v/>
      </c>
    </row>
    <row r="550" spans="1:18" hidden="1" x14ac:dyDescent="0.3">
      <c r="A550" t="str">
        <f>_xlfn.XLOOKUP(GERAL[[#This Row],[Dia]],U:U,T:T,"")</f>
        <v/>
      </c>
      <c r="B550" s="1">
        <v>45993</v>
      </c>
      <c r="C550" t="s">
        <v>23</v>
      </c>
      <c r="D550" s="1">
        <v>45993</v>
      </c>
      <c r="Q550" t="s">
        <v>67</v>
      </c>
      <c r="R550" t="str">
        <f>_xlfn.XLOOKUP(GERAL[[#This Row],[Dia]],U:U,V:V,"")</f>
        <v/>
      </c>
    </row>
    <row r="551" spans="1:18" hidden="1" x14ac:dyDescent="0.3">
      <c r="A551" t="str">
        <f>_xlfn.XLOOKUP(GERAL[[#This Row],[Dia]],U:U,T:T,"")</f>
        <v/>
      </c>
      <c r="B551" s="1">
        <v>45994</v>
      </c>
      <c r="C551" t="s">
        <v>24</v>
      </c>
      <c r="D551" s="1">
        <v>45994</v>
      </c>
      <c r="Q551" t="s">
        <v>67</v>
      </c>
      <c r="R551" t="str">
        <f>_xlfn.XLOOKUP(GERAL[[#This Row],[Dia]],U:U,V:V,"")</f>
        <v/>
      </c>
    </row>
    <row r="552" spans="1:18" hidden="1" x14ac:dyDescent="0.3">
      <c r="A552" t="str">
        <f>_xlfn.XLOOKUP(GERAL[[#This Row],[Dia]],U:U,T:T,"")</f>
        <v/>
      </c>
      <c r="B552" s="1">
        <v>45995</v>
      </c>
      <c r="C552" t="s">
        <v>25</v>
      </c>
      <c r="D552" s="1">
        <v>45995</v>
      </c>
      <c r="Q552" t="s">
        <v>67</v>
      </c>
      <c r="R552" t="str">
        <f>_xlfn.XLOOKUP(GERAL[[#This Row],[Dia]],U:U,V:V,"")</f>
        <v/>
      </c>
    </row>
    <row r="553" spans="1:18" hidden="1" x14ac:dyDescent="0.3">
      <c r="A553" t="str">
        <f>_xlfn.XLOOKUP(GERAL[[#This Row],[Dia]],U:U,T:T,"")</f>
        <v/>
      </c>
      <c r="B553" s="1">
        <v>45996</v>
      </c>
      <c r="C553" t="s">
        <v>26</v>
      </c>
      <c r="D553" s="1">
        <v>45996</v>
      </c>
      <c r="Q553" t="s">
        <v>67</v>
      </c>
      <c r="R553" t="str">
        <f>_xlfn.XLOOKUP(GERAL[[#This Row],[Dia]],U:U,V:V,"")</f>
        <v/>
      </c>
    </row>
    <row r="554" spans="1:18" hidden="1" x14ac:dyDescent="0.3">
      <c r="A554" t="str">
        <f>_xlfn.XLOOKUP(GERAL[[#This Row],[Dia]],U:U,T:T,"")</f>
        <v/>
      </c>
      <c r="B554" s="1">
        <v>45997</v>
      </c>
      <c r="C554" t="s">
        <v>16</v>
      </c>
      <c r="D554" s="1">
        <v>45997</v>
      </c>
      <c r="E554" t="s">
        <v>17</v>
      </c>
      <c r="Q554" t="s">
        <v>67</v>
      </c>
      <c r="R554" t="str">
        <f>_xlfn.XLOOKUP(GERAL[[#This Row],[Dia]],U:U,V:V,"")</f>
        <v/>
      </c>
    </row>
    <row r="555" spans="1:18" hidden="1" x14ac:dyDescent="0.3">
      <c r="A555" t="str">
        <f>_xlfn.XLOOKUP(GERAL[[#This Row],[Dia]],U:U,T:T,"")</f>
        <v/>
      </c>
      <c r="B555" s="1">
        <v>45998</v>
      </c>
      <c r="C555" t="s">
        <v>21</v>
      </c>
      <c r="D555" s="1">
        <v>45998</v>
      </c>
      <c r="E555" t="s">
        <v>17</v>
      </c>
      <c r="Q555" t="s">
        <v>67</v>
      </c>
      <c r="R555" t="str">
        <f>_xlfn.XLOOKUP(GERAL[[#This Row],[Dia]],U:U,V:V,"")</f>
        <v/>
      </c>
    </row>
    <row r="556" spans="1:18" hidden="1" x14ac:dyDescent="0.3">
      <c r="A556" t="str">
        <f>_xlfn.XLOOKUP(GERAL[[#This Row],[Dia]],U:U,T:T,"")</f>
        <v/>
      </c>
      <c r="B556" s="1">
        <v>45999</v>
      </c>
      <c r="C556" t="s">
        <v>22</v>
      </c>
      <c r="D556" s="1">
        <v>45999</v>
      </c>
      <c r="Q556" t="s">
        <v>67</v>
      </c>
      <c r="R556" t="str">
        <f>_xlfn.XLOOKUP(GERAL[[#This Row],[Dia]],U:U,V:V,"")</f>
        <v/>
      </c>
    </row>
    <row r="557" spans="1:18" hidden="1" x14ac:dyDescent="0.3">
      <c r="A557" t="str">
        <f>_xlfn.XLOOKUP(GERAL[[#This Row],[Dia]],U:U,T:T,"")</f>
        <v/>
      </c>
      <c r="B557" s="1">
        <v>46000</v>
      </c>
      <c r="C557" t="s">
        <v>23</v>
      </c>
      <c r="D557" s="1">
        <v>46000</v>
      </c>
      <c r="Q557" t="s">
        <v>67</v>
      </c>
      <c r="R557" t="str">
        <f>_xlfn.XLOOKUP(GERAL[[#This Row],[Dia]],U:U,V:V,"")</f>
        <v/>
      </c>
    </row>
    <row r="558" spans="1:18" hidden="1" x14ac:dyDescent="0.3">
      <c r="A558" t="str">
        <f>_xlfn.XLOOKUP(GERAL[[#This Row],[Dia]],U:U,T:T,"")</f>
        <v/>
      </c>
      <c r="B558" s="1">
        <v>46001</v>
      </c>
      <c r="C558" t="s">
        <v>24</v>
      </c>
      <c r="D558" s="1">
        <v>46001</v>
      </c>
      <c r="Q558" t="s">
        <v>67</v>
      </c>
      <c r="R558" t="str">
        <f>_xlfn.XLOOKUP(GERAL[[#This Row],[Dia]],U:U,V:V,"")</f>
        <v/>
      </c>
    </row>
    <row r="559" spans="1:18" hidden="1" x14ac:dyDescent="0.3">
      <c r="A559" t="str">
        <f>_xlfn.XLOOKUP(GERAL[[#This Row],[Dia]],U:U,T:T,"")</f>
        <v/>
      </c>
      <c r="B559" s="1">
        <v>46002</v>
      </c>
      <c r="C559" t="s">
        <v>25</v>
      </c>
      <c r="D559" s="1">
        <v>46002</v>
      </c>
      <c r="Q559" t="s">
        <v>67</v>
      </c>
      <c r="R559" t="str">
        <f>_xlfn.XLOOKUP(GERAL[[#This Row],[Dia]],U:U,V:V,"")</f>
        <v/>
      </c>
    </row>
    <row r="560" spans="1:18" hidden="1" x14ac:dyDescent="0.3">
      <c r="A560" t="str">
        <f>_xlfn.XLOOKUP(GERAL[[#This Row],[Dia]],U:U,T:T,"")</f>
        <v/>
      </c>
      <c r="B560" s="1">
        <v>46003</v>
      </c>
      <c r="C560" t="s">
        <v>26</v>
      </c>
      <c r="D560" s="1">
        <v>46003</v>
      </c>
      <c r="Q560" t="s">
        <v>67</v>
      </c>
      <c r="R560" t="str">
        <f>_xlfn.XLOOKUP(GERAL[[#This Row],[Dia]],U:U,V:V,"")</f>
        <v/>
      </c>
    </row>
    <row r="561" spans="1:18" hidden="1" x14ac:dyDescent="0.3">
      <c r="A561" t="str">
        <f>_xlfn.XLOOKUP(GERAL[[#This Row],[Dia]],U:U,T:T,"")</f>
        <v/>
      </c>
      <c r="B561" s="1">
        <v>46004</v>
      </c>
      <c r="C561" t="s">
        <v>16</v>
      </c>
      <c r="D561" s="1">
        <v>46004</v>
      </c>
      <c r="E561" t="s">
        <v>17</v>
      </c>
      <c r="Q561" t="s">
        <v>67</v>
      </c>
      <c r="R561" t="str">
        <f>_xlfn.XLOOKUP(GERAL[[#This Row],[Dia]],U:U,V:V,"")</f>
        <v/>
      </c>
    </row>
    <row r="562" spans="1:18" hidden="1" x14ac:dyDescent="0.3">
      <c r="A562" t="str">
        <f>_xlfn.XLOOKUP(GERAL[[#This Row],[Dia]],U:U,T:T,"")</f>
        <v/>
      </c>
      <c r="B562" s="1">
        <v>46005</v>
      </c>
      <c r="C562" t="s">
        <v>21</v>
      </c>
      <c r="D562" s="1">
        <v>46005</v>
      </c>
      <c r="E562" t="s">
        <v>17</v>
      </c>
      <c r="Q562" t="s">
        <v>67</v>
      </c>
      <c r="R562" t="str">
        <f>_xlfn.XLOOKUP(GERAL[[#This Row],[Dia]],U:U,V:V,"")</f>
        <v/>
      </c>
    </row>
    <row r="563" spans="1:18" hidden="1" x14ac:dyDescent="0.3">
      <c r="A563" t="str">
        <f>_xlfn.XLOOKUP(GERAL[[#This Row],[Dia]],U:U,T:T,"")</f>
        <v/>
      </c>
      <c r="B563" s="1">
        <v>46006</v>
      </c>
      <c r="C563" t="s">
        <v>22</v>
      </c>
      <c r="D563" s="1">
        <v>46006</v>
      </c>
      <c r="Q563" t="s">
        <v>67</v>
      </c>
      <c r="R563" t="str">
        <f>_xlfn.XLOOKUP(GERAL[[#This Row],[Dia]],U:U,V:V,"")</f>
        <v/>
      </c>
    </row>
    <row r="564" spans="1:18" hidden="1" x14ac:dyDescent="0.3">
      <c r="A564" t="str">
        <f>_xlfn.XLOOKUP(GERAL[[#This Row],[Dia]],U:U,T:T,"")</f>
        <v/>
      </c>
      <c r="B564" s="1">
        <v>46007</v>
      </c>
      <c r="C564" t="s">
        <v>23</v>
      </c>
      <c r="D564" s="1">
        <v>46007</v>
      </c>
      <c r="Q564" t="s">
        <v>67</v>
      </c>
      <c r="R564" t="str">
        <f>_xlfn.XLOOKUP(GERAL[[#This Row],[Dia]],U:U,V:V,"")</f>
        <v/>
      </c>
    </row>
    <row r="565" spans="1:18" hidden="1" x14ac:dyDescent="0.3">
      <c r="A565" t="str">
        <f>_xlfn.XLOOKUP(GERAL[[#This Row],[Dia]],U:U,T:T,"")</f>
        <v/>
      </c>
      <c r="B565" s="1">
        <v>46008</v>
      </c>
      <c r="C565" t="s">
        <v>24</v>
      </c>
      <c r="D565" s="1">
        <v>46008</v>
      </c>
      <c r="Q565" t="s">
        <v>67</v>
      </c>
      <c r="R565" t="str">
        <f>_xlfn.XLOOKUP(GERAL[[#This Row],[Dia]],U:U,V:V,"")</f>
        <v/>
      </c>
    </row>
    <row r="566" spans="1:18" hidden="1" x14ac:dyDescent="0.3">
      <c r="A566" t="str">
        <f>_xlfn.XLOOKUP(GERAL[[#This Row],[Dia]],U:U,T:T,"")</f>
        <v/>
      </c>
      <c r="B566" s="1">
        <v>46009</v>
      </c>
      <c r="C566" t="s">
        <v>25</v>
      </c>
      <c r="D566" s="1">
        <v>46009</v>
      </c>
      <c r="Q566" t="s">
        <v>67</v>
      </c>
      <c r="R566" t="str">
        <f>_xlfn.XLOOKUP(GERAL[[#This Row],[Dia]],U:U,V:V,"")</f>
        <v/>
      </c>
    </row>
    <row r="567" spans="1:18" hidden="1" x14ac:dyDescent="0.3">
      <c r="A567" t="str">
        <f>_xlfn.XLOOKUP(GERAL[[#This Row],[Dia]],U:U,T:T,"")</f>
        <v/>
      </c>
      <c r="B567" s="1">
        <v>46010</v>
      </c>
      <c r="C567" t="s">
        <v>26</v>
      </c>
      <c r="D567" s="1">
        <v>46010</v>
      </c>
      <c r="Q567" t="s">
        <v>67</v>
      </c>
      <c r="R567" t="str">
        <f>_xlfn.XLOOKUP(GERAL[[#This Row],[Dia]],U:U,V:V,"")</f>
        <v/>
      </c>
    </row>
    <row r="568" spans="1:18" hidden="1" x14ac:dyDescent="0.3">
      <c r="A568" t="str">
        <f>_xlfn.XLOOKUP(GERAL[[#This Row],[Dia]],U:U,T:T,"")</f>
        <v/>
      </c>
      <c r="B568" s="1">
        <v>46011</v>
      </c>
      <c r="C568" t="s">
        <v>16</v>
      </c>
      <c r="D568" s="1">
        <v>46011</v>
      </c>
      <c r="E568" t="s">
        <v>17</v>
      </c>
      <c r="Q568" t="s">
        <v>67</v>
      </c>
      <c r="R568" t="str">
        <f>_xlfn.XLOOKUP(GERAL[[#This Row],[Dia]],U:U,V:V,"")</f>
        <v/>
      </c>
    </row>
    <row r="569" spans="1:18" hidden="1" x14ac:dyDescent="0.3">
      <c r="A569" t="str">
        <f>_xlfn.XLOOKUP(GERAL[[#This Row],[Dia]],U:U,T:T,"")</f>
        <v/>
      </c>
      <c r="B569" s="1">
        <v>46012</v>
      </c>
      <c r="C569" t="s">
        <v>21</v>
      </c>
      <c r="D569" s="1">
        <v>46012</v>
      </c>
      <c r="E569" t="s">
        <v>17</v>
      </c>
      <c r="Q569" t="s">
        <v>67</v>
      </c>
      <c r="R569" t="str">
        <f>_xlfn.XLOOKUP(GERAL[[#This Row],[Dia]],U:U,V:V,"")</f>
        <v/>
      </c>
    </row>
    <row r="570" spans="1:18" hidden="1" x14ac:dyDescent="0.3">
      <c r="A570" t="str">
        <f>_xlfn.XLOOKUP(GERAL[[#This Row],[Dia]],U:U,T:T,"")</f>
        <v/>
      </c>
      <c r="B570" s="1">
        <v>46013</v>
      </c>
      <c r="C570" t="s">
        <v>22</v>
      </c>
      <c r="D570" s="1">
        <v>46013</v>
      </c>
      <c r="Q570" t="s">
        <v>67</v>
      </c>
      <c r="R570" t="str">
        <f>_xlfn.XLOOKUP(GERAL[[#This Row],[Dia]],U:U,V:V,"")</f>
        <v/>
      </c>
    </row>
    <row r="571" spans="1:18" hidden="1" x14ac:dyDescent="0.3">
      <c r="A571" t="str">
        <f>_xlfn.XLOOKUP(GERAL[[#This Row],[Dia]],U:U,T:T,"")</f>
        <v/>
      </c>
      <c r="B571" s="1">
        <v>46014</v>
      </c>
      <c r="C571" t="s">
        <v>23</v>
      </c>
      <c r="D571" s="1">
        <v>46014</v>
      </c>
      <c r="Q571" t="s">
        <v>67</v>
      </c>
      <c r="R571" t="str">
        <f>_xlfn.XLOOKUP(GERAL[[#This Row],[Dia]],U:U,V:V,"")</f>
        <v/>
      </c>
    </row>
    <row r="572" spans="1:18" hidden="1" x14ac:dyDescent="0.3">
      <c r="A572" t="str">
        <f>_xlfn.XLOOKUP(GERAL[[#This Row],[Dia]],U:U,T:T,"")</f>
        <v/>
      </c>
      <c r="B572" s="1">
        <v>46015</v>
      </c>
      <c r="C572" t="s">
        <v>24</v>
      </c>
      <c r="D572" s="1">
        <v>46015</v>
      </c>
      <c r="Q572" t="s">
        <v>67</v>
      </c>
      <c r="R572" t="str">
        <f>_xlfn.XLOOKUP(GERAL[[#This Row],[Dia]],U:U,V:V,"")</f>
        <v/>
      </c>
    </row>
    <row r="573" spans="1:18" hidden="1" x14ac:dyDescent="0.3">
      <c r="A573" t="str">
        <f>_xlfn.XLOOKUP(GERAL[[#This Row],[Dia]],U:U,T:T,"")</f>
        <v/>
      </c>
      <c r="B573" s="1">
        <v>46016</v>
      </c>
      <c r="C573" t="s">
        <v>25</v>
      </c>
      <c r="D573" s="1">
        <v>46016</v>
      </c>
      <c r="Q573" t="s">
        <v>67</v>
      </c>
      <c r="R573" t="str">
        <f>_xlfn.XLOOKUP(GERAL[[#This Row],[Dia]],U:U,V:V,"")</f>
        <v/>
      </c>
    </row>
    <row r="574" spans="1:18" hidden="1" x14ac:dyDescent="0.3">
      <c r="A574" t="str">
        <f>_xlfn.XLOOKUP(GERAL[[#This Row],[Dia]],U:U,T:T,"")</f>
        <v/>
      </c>
      <c r="B574" s="1">
        <v>46017</v>
      </c>
      <c r="C574" t="s">
        <v>26</v>
      </c>
      <c r="D574" s="1">
        <v>46017</v>
      </c>
      <c r="Q574" t="s">
        <v>67</v>
      </c>
      <c r="R574" t="str">
        <f>_xlfn.XLOOKUP(GERAL[[#This Row],[Dia]],U:U,V:V,"")</f>
        <v/>
      </c>
    </row>
    <row r="575" spans="1:18" hidden="1" x14ac:dyDescent="0.3">
      <c r="A575" t="str">
        <f>_xlfn.XLOOKUP(GERAL[[#This Row],[Dia]],U:U,T:T,"")</f>
        <v/>
      </c>
      <c r="B575" s="1">
        <v>46018</v>
      </c>
      <c r="C575" t="s">
        <v>16</v>
      </c>
      <c r="D575" s="1">
        <v>46018</v>
      </c>
      <c r="E575" t="s">
        <v>17</v>
      </c>
      <c r="Q575" t="s">
        <v>67</v>
      </c>
      <c r="R575" t="str">
        <f>_xlfn.XLOOKUP(GERAL[[#This Row],[Dia]],U:U,V:V,"")</f>
        <v/>
      </c>
    </row>
    <row r="576" spans="1:18" hidden="1" x14ac:dyDescent="0.3">
      <c r="A576" t="str">
        <f>_xlfn.XLOOKUP(GERAL[[#This Row],[Dia]],U:U,T:T,"")</f>
        <v/>
      </c>
      <c r="B576" s="1">
        <v>46019</v>
      </c>
      <c r="C576" t="s">
        <v>21</v>
      </c>
      <c r="D576" s="1">
        <v>46019</v>
      </c>
      <c r="E576" t="s">
        <v>17</v>
      </c>
      <c r="Q576" t="s">
        <v>67</v>
      </c>
      <c r="R576" t="str">
        <f>_xlfn.XLOOKUP(GERAL[[#This Row],[Dia]],U:U,V:V,"")</f>
        <v/>
      </c>
    </row>
    <row r="577" spans="1:18" hidden="1" x14ac:dyDescent="0.3">
      <c r="A577" t="str">
        <f>_xlfn.XLOOKUP(GERAL[[#This Row],[Dia]],U:U,T:T,"")</f>
        <v/>
      </c>
      <c r="B577" s="1">
        <v>46020</v>
      </c>
      <c r="C577" t="s">
        <v>22</v>
      </c>
      <c r="D577" s="1">
        <v>46020</v>
      </c>
      <c r="Q577" t="s">
        <v>67</v>
      </c>
      <c r="R577" t="str">
        <f>_xlfn.XLOOKUP(GERAL[[#This Row],[Dia]],U:U,V:V,"")</f>
        <v/>
      </c>
    </row>
    <row r="578" spans="1:18" hidden="1" x14ac:dyDescent="0.3">
      <c r="A578" t="str">
        <f>_xlfn.XLOOKUP(GERAL[[#This Row],[Dia]],U:U,T:T,"")</f>
        <v/>
      </c>
      <c r="B578" s="1">
        <v>46021</v>
      </c>
      <c r="C578" t="s">
        <v>23</v>
      </c>
      <c r="D578" s="1">
        <v>46021</v>
      </c>
      <c r="Q578" t="s">
        <v>67</v>
      </c>
      <c r="R578" t="str">
        <f>_xlfn.XLOOKUP(GERAL[[#This Row],[Dia]],U:U,V:V,"")</f>
        <v/>
      </c>
    </row>
    <row r="579" spans="1:18" hidden="1" x14ac:dyDescent="0.3">
      <c r="A579" t="str">
        <f>_xlfn.XLOOKUP(GERAL[[#This Row],[Dia]],U:U,T:T,"")</f>
        <v/>
      </c>
      <c r="B579" s="1">
        <v>46022</v>
      </c>
      <c r="C579" t="s">
        <v>24</v>
      </c>
      <c r="D579" s="1">
        <v>46022</v>
      </c>
      <c r="Q579" t="s">
        <v>67</v>
      </c>
      <c r="R579" t="str">
        <f>_xlfn.XLOOKUP(GERAL[[#This Row],[Dia]],U:U,V:V,"")</f>
        <v/>
      </c>
    </row>
    <row r="580" spans="1:18" hidden="1" x14ac:dyDescent="0.3">
      <c r="A580" t="str">
        <f>_xlfn.XLOOKUP(GERAL[[#This Row],[Dia]],U:U,T:T,"")</f>
        <v/>
      </c>
      <c r="B580" s="1">
        <v>46023</v>
      </c>
      <c r="C580" t="s">
        <v>25</v>
      </c>
      <c r="D580" s="1">
        <v>46023</v>
      </c>
      <c r="Q580" t="s">
        <v>67</v>
      </c>
      <c r="R580" t="str">
        <f>_xlfn.XLOOKUP(GERAL[[#This Row],[Dia]],U:U,V:V,"")</f>
        <v/>
      </c>
    </row>
    <row r="581" spans="1:18" hidden="1" x14ac:dyDescent="0.3">
      <c r="A581" t="str">
        <f>_xlfn.XLOOKUP(GERAL[[#This Row],[Dia]],U:U,T:T,"")</f>
        <v/>
      </c>
      <c r="B581" s="1">
        <v>46024</v>
      </c>
      <c r="C581" t="s">
        <v>26</v>
      </c>
      <c r="D581" s="1">
        <v>46024</v>
      </c>
      <c r="Q581" t="s">
        <v>67</v>
      </c>
      <c r="R581" t="str">
        <f>_xlfn.XLOOKUP(GERAL[[#This Row],[Dia]],U:U,V:V,"")</f>
        <v/>
      </c>
    </row>
    <row r="582" spans="1:18" hidden="1" x14ac:dyDescent="0.3">
      <c r="A582" t="str">
        <f>_xlfn.XLOOKUP(GERAL[[#This Row],[Dia]],U:U,T:T,"")</f>
        <v/>
      </c>
      <c r="B582" s="1">
        <v>46025</v>
      </c>
      <c r="C582" t="s">
        <v>16</v>
      </c>
      <c r="D582" s="1">
        <v>46025</v>
      </c>
      <c r="E582" t="s">
        <v>17</v>
      </c>
      <c r="Q582" t="s">
        <v>67</v>
      </c>
      <c r="R582" t="str">
        <f>_xlfn.XLOOKUP(GERAL[[#This Row],[Dia]],U:U,V:V,"")</f>
        <v/>
      </c>
    </row>
    <row r="583" spans="1:18" hidden="1" x14ac:dyDescent="0.3">
      <c r="A583" t="str">
        <f>_xlfn.XLOOKUP(GERAL[[#This Row],[Dia]],U:U,T:T,"")</f>
        <v/>
      </c>
      <c r="B583" s="1">
        <v>46026</v>
      </c>
      <c r="C583" t="s">
        <v>21</v>
      </c>
      <c r="D583" s="1">
        <v>46026</v>
      </c>
      <c r="E583" t="s">
        <v>17</v>
      </c>
      <c r="Q583" t="s">
        <v>67</v>
      </c>
      <c r="R583" t="str">
        <f>_xlfn.XLOOKUP(GERAL[[#This Row],[Dia]],U:U,V:V,"")</f>
        <v/>
      </c>
    </row>
    <row r="584" spans="1:18" hidden="1" x14ac:dyDescent="0.3">
      <c r="A584" t="str">
        <f>_xlfn.XLOOKUP(GERAL[[#This Row],[Dia]],U:U,T:T,"")</f>
        <v/>
      </c>
      <c r="B584" s="1">
        <v>46027</v>
      </c>
      <c r="C584" t="s">
        <v>22</v>
      </c>
      <c r="D584" s="1">
        <v>46027</v>
      </c>
      <c r="E584" t="s">
        <v>36</v>
      </c>
      <c r="F584" t="s">
        <v>68</v>
      </c>
      <c r="G584" t="s">
        <v>69</v>
      </c>
      <c r="H584">
        <v>0</v>
      </c>
      <c r="I584">
        <v>0</v>
      </c>
      <c r="J584">
        <v>3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67</v>
      </c>
      <c r="R584" t="str">
        <f>_xlfn.XLOOKUP(GERAL[[#This Row],[Dia]],U:U,V:V,"")</f>
        <v/>
      </c>
    </row>
    <row r="585" spans="1:18" hidden="1" x14ac:dyDescent="0.3">
      <c r="A585" t="str">
        <f>_xlfn.XLOOKUP(GERAL[[#This Row],[Dia]],U:U,T:T,"")</f>
        <v/>
      </c>
      <c r="B585" s="1">
        <v>46028</v>
      </c>
      <c r="C585" t="s">
        <v>23</v>
      </c>
      <c r="D585" s="1">
        <v>46028</v>
      </c>
      <c r="E585" t="s">
        <v>36</v>
      </c>
      <c r="F585" t="s">
        <v>68</v>
      </c>
      <c r="G585" t="s">
        <v>69</v>
      </c>
      <c r="H585">
        <v>0</v>
      </c>
      <c r="I585">
        <v>0</v>
      </c>
      <c r="J585">
        <v>3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67</v>
      </c>
      <c r="R585" t="str">
        <f>_xlfn.XLOOKUP(GERAL[[#This Row],[Dia]],U:U,V:V,"")</f>
        <v/>
      </c>
    </row>
    <row r="586" spans="1:18" hidden="1" x14ac:dyDescent="0.3">
      <c r="A586" t="str">
        <f>_xlfn.XLOOKUP(GERAL[[#This Row],[Dia]],U:U,T:T,"")</f>
        <v/>
      </c>
      <c r="B586" s="1">
        <v>46029</v>
      </c>
      <c r="C586" t="s">
        <v>24</v>
      </c>
      <c r="D586" s="1">
        <v>46029</v>
      </c>
      <c r="E586" t="s">
        <v>36</v>
      </c>
      <c r="F586" t="s">
        <v>68</v>
      </c>
      <c r="G586" t="s">
        <v>69</v>
      </c>
      <c r="H586">
        <v>0</v>
      </c>
      <c r="I586">
        <v>0</v>
      </c>
      <c r="J586">
        <v>3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67</v>
      </c>
      <c r="R586" t="str">
        <f>_xlfn.XLOOKUP(GERAL[[#This Row],[Dia]],U:U,V:V,"")</f>
        <v/>
      </c>
    </row>
    <row r="587" spans="1:18" hidden="1" x14ac:dyDescent="0.3">
      <c r="A587" t="str">
        <f>_xlfn.XLOOKUP(GERAL[[#This Row],[Dia]],U:U,T:T,"")</f>
        <v/>
      </c>
      <c r="B587" s="1">
        <v>46030</v>
      </c>
      <c r="C587" t="s">
        <v>25</v>
      </c>
      <c r="D587" s="1">
        <v>46030</v>
      </c>
      <c r="E587" t="s">
        <v>36</v>
      </c>
      <c r="F587" t="s">
        <v>68</v>
      </c>
      <c r="G587" t="s">
        <v>69</v>
      </c>
      <c r="H587">
        <v>9</v>
      </c>
      <c r="I587">
        <v>0</v>
      </c>
      <c r="J587">
        <v>3</v>
      </c>
      <c r="K587">
        <v>3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67</v>
      </c>
      <c r="R587" t="str">
        <f>_xlfn.XLOOKUP(GERAL[[#This Row],[Dia]],U:U,V:V,"")</f>
        <v/>
      </c>
    </row>
    <row r="588" spans="1:18" hidden="1" x14ac:dyDescent="0.3">
      <c r="A588" t="str">
        <f>_xlfn.XLOOKUP(GERAL[[#This Row],[Dia]],U:U,T:T,"")</f>
        <v/>
      </c>
      <c r="B588" s="1">
        <v>46031</v>
      </c>
      <c r="C588" t="s">
        <v>26</v>
      </c>
      <c r="D588" s="1">
        <v>46031</v>
      </c>
      <c r="E588" t="s">
        <v>36</v>
      </c>
      <c r="F588" t="s">
        <v>68</v>
      </c>
      <c r="G588" t="s">
        <v>69</v>
      </c>
      <c r="H588">
        <v>9</v>
      </c>
      <c r="I588">
        <v>0</v>
      </c>
      <c r="J588">
        <v>3</v>
      </c>
      <c r="K588">
        <v>3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67</v>
      </c>
      <c r="R588" t="str">
        <f>_xlfn.XLOOKUP(GERAL[[#This Row],[Dia]],U:U,V:V,"")</f>
        <v/>
      </c>
    </row>
    <row r="589" spans="1:18" hidden="1" x14ac:dyDescent="0.3">
      <c r="A589" t="str">
        <f>_xlfn.XLOOKUP(GERAL[[#This Row],[Dia]],U:U,T:T,"")</f>
        <v/>
      </c>
      <c r="B589" s="1">
        <v>46032</v>
      </c>
      <c r="C589" t="s">
        <v>16</v>
      </c>
      <c r="D589" s="1">
        <v>46032</v>
      </c>
      <c r="E589" t="s">
        <v>36</v>
      </c>
      <c r="F589" t="s">
        <v>68</v>
      </c>
      <c r="G589" t="s">
        <v>69</v>
      </c>
      <c r="H589">
        <v>9</v>
      </c>
      <c r="I589">
        <v>0</v>
      </c>
      <c r="J589">
        <v>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67</v>
      </c>
      <c r="R589" t="str">
        <f>_xlfn.XLOOKUP(GERAL[[#This Row],[Dia]],U:U,V:V,"")</f>
        <v/>
      </c>
    </row>
    <row r="590" spans="1:18" hidden="1" x14ac:dyDescent="0.3">
      <c r="A590" t="str">
        <f>_xlfn.XLOOKUP(GERAL[[#This Row],[Dia]],U:U,T:T,"")</f>
        <v/>
      </c>
      <c r="B590" s="1">
        <v>46033</v>
      </c>
      <c r="C590" t="s">
        <v>21</v>
      </c>
      <c r="D590" s="1">
        <v>46033</v>
      </c>
      <c r="E590" t="s">
        <v>17</v>
      </c>
      <c r="Q590" t="s">
        <v>67</v>
      </c>
      <c r="R590" t="str">
        <f>_xlfn.XLOOKUP(GERAL[[#This Row],[Dia]],U:U,V:V,"")</f>
        <v/>
      </c>
    </row>
    <row r="591" spans="1:18" hidden="1" x14ac:dyDescent="0.3">
      <c r="A591" t="str">
        <f>_xlfn.XLOOKUP(GERAL[[#This Row],[Dia]],U:U,T:T,"")</f>
        <v/>
      </c>
      <c r="B591" s="1">
        <v>46034</v>
      </c>
      <c r="C591" t="s">
        <v>22</v>
      </c>
      <c r="D591" s="1">
        <v>46034</v>
      </c>
      <c r="E591" t="s">
        <v>36</v>
      </c>
      <c r="F591" t="s">
        <v>68</v>
      </c>
      <c r="G591" t="s">
        <v>69</v>
      </c>
      <c r="H591">
        <v>9</v>
      </c>
      <c r="I591">
        <v>0</v>
      </c>
      <c r="J591">
        <v>3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67</v>
      </c>
      <c r="R591" t="str">
        <f>_xlfn.XLOOKUP(GERAL[[#This Row],[Dia]],U:U,V:V,"")</f>
        <v/>
      </c>
    </row>
    <row r="592" spans="1:18" hidden="1" x14ac:dyDescent="0.3">
      <c r="A592" t="str">
        <f>_xlfn.XLOOKUP(GERAL[[#This Row],[Dia]],U:U,T:T,"")</f>
        <v/>
      </c>
      <c r="B592" s="1">
        <v>46035</v>
      </c>
      <c r="C592" t="s">
        <v>23</v>
      </c>
      <c r="D592" s="1">
        <v>46035</v>
      </c>
      <c r="E592" t="s">
        <v>36</v>
      </c>
      <c r="F592" t="s">
        <v>68</v>
      </c>
      <c r="G592" t="s">
        <v>69</v>
      </c>
      <c r="H592">
        <v>9</v>
      </c>
      <c r="I592">
        <v>0</v>
      </c>
      <c r="J592">
        <v>3</v>
      </c>
      <c r="K592">
        <v>3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67</v>
      </c>
      <c r="R592" t="str">
        <f>_xlfn.XLOOKUP(GERAL[[#This Row],[Dia]],U:U,V:V,"")</f>
        <v/>
      </c>
    </row>
    <row r="593" spans="1:18" hidden="1" x14ac:dyDescent="0.3">
      <c r="A593" t="str">
        <f>_xlfn.XLOOKUP(GERAL[[#This Row],[Dia]],U:U,T:T,"")</f>
        <v/>
      </c>
      <c r="B593" s="1">
        <v>46036</v>
      </c>
      <c r="C593" t="s">
        <v>24</v>
      </c>
      <c r="D593" s="1">
        <v>46036</v>
      </c>
      <c r="E593" t="s">
        <v>36</v>
      </c>
      <c r="F593" t="s">
        <v>68</v>
      </c>
      <c r="G593" t="s">
        <v>69</v>
      </c>
      <c r="H593">
        <v>9</v>
      </c>
      <c r="I593">
        <v>0</v>
      </c>
      <c r="J593">
        <v>3</v>
      </c>
      <c r="K593">
        <v>18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67</v>
      </c>
      <c r="R593" t="str">
        <f>_xlfn.XLOOKUP(GERAL[[#This Row],[Dia]],U:U,V:V,"")</f>
        <v/>
      </c>
    </row>
    <row r="594" spans="1:18" hidden="1" x14ac:dyDescent="0.3">
      <c r="A594" t="str">
        <f>_xlfn.XLOOKUP(GERAL[[#This Row],[Dia]],U:U,T:T,"")</f>
        <v/>
      </c>
      <c r="B594" s="1">
        <v>46037</v>
      </c>
      <c r="C594" t="s">
        <v>25</v>
      </c>
      <c r="D594" s="1">
        <v>46037</v>
      </c>
      <c r="E594" t="s">
        <v>36</v>
      </c>
      <c r="F594" t="s">
        <v>68</v>
      </c>
      <c r="G594" t="s">
        <v>69</v>
      </c>
      <c r="H594">
        <v>0</v>
      </c>
      <c r="I594">
        <v>0</v>
      </c>
      <c r="J594">
        <v>3</v>
      </c>
      <c r="K594">
        <v>18</v>
      </c>
      <c r="L594">
        <v>1</v>
      </c>
      <c r="M594">
        <v>0</v>
      </c>
      <c r="N594">
        <v>0</v>
      </c>
      <c r="O594">
        <v>0</v>
      </c>
      <c r="P594">
        <v>0</v>
      </c>
      <c r="Q594" t="s">
        <v>67</v>
      </c>
      <c r="R594" t="str">
        <f>_xlfn.XLOOKUP(GERAL[[#This Row],[Dia]],U:U,V:V,"")</f>
        <v/>
      </c>
    </row>
    <row r="595" spans="1:18" hidden="1" x14ac:dyDescent="0.3">
      <c r="A595" t="str">
        <f>_xlfn.XLOOKUP(GERAL[[#This Row],[Dia]],U:U,T:T,"")</f>
        <v/>
      </c>
      <c r="B595" s="1">
        <v>46038</v>
      </c>
      <c r="C595" t="s">
        <v>26</v>
      </c>
      <c r="D595" s="1">
        <v>46038</v>
      </c>
      <c r="E595" t="s">
        <v>36</v>
      </c>
      <c r="F595" t="s">
        <v>68</v>
      </c>
      <c r="G595" t="s">
        <v>69</v>
      </c>
      <c r="H595">
        <v>0</v>
      </c>
      <c r="I595">
        <v>0</v>
      </c>
      <c r="J595">
        <v>0</v>
      </c>
      <c r="K595">
        <v>6</v>
      </c>
      <c r="L595">
        <v>1</v>
      </c>
      <c r="M595">
        <v>0</v>
      </c>
      <c r="N595">
        <v>0</v>
      </c>
      <c r="O595">
        <v>0</v>
      </c>
      <c r="P595">
        <v>0</v>
      </c>
      <c r="Q595" t="s">
        <v>67</v>
      </c>
      <c r="R595" t="str">
        <f>_xlfn.XLOOKUP(GERAL[[#This Row],[Dia]],U:U,V:V,"")</f>
        <v/>
      </c>
    </row>
    <row r="596" spans="1:18" hidden="1" x14ac:dyDescent="0.3">
      <c r="A596" t="str">
        <f>_xlfn.XLOOKUP(GERAL[[#This Row],[Dia]],U:U,T:T,"")</f>
        <v/>
      </c>
      <c r="B596" s="1">
        <v>46039</v>
      </c>
      <c r="C596" t="s">
        <v>16</v>
      </c>
      <c r="D596" s="1">
        <v>46039</v>
      </c>
      <c r="E596" t="s">
        <v>17</v>
      </c>
      <c r="Q596" t="s">
        <v>67</v>
      </c>
      <c r="R596" t="str">
        <f>_xlfn.XLOOKUP(GERAL[[#This Row],[Dia]],U:U,V:V,"")</f>
        <v/>
      </c>
    </row>
    <row r="597" spans="1:18" hidden="1" x14ac:dyDescent="0.3">
      <c r="A597" t="str">
        <f>_xlfn.XLOOKUP(GERAL[[#This Row],[Dia]],U:U,T:T,"")</f>
        <v/>
      </c>
      <c r="B597" s="1">
        <v>46040</v>
      </c>
      <c r="C597" t="s">
        <v>21</v>
      </c>
      <c r="D597" s="1">
        <v>46040</v>
      </c>
      <c r="E597" t="s">
        <v>17</v>
      </c>
      <c r="Q597" t="s">
        <v>67</v>
      </c>
      <c r="R597" t="str">
        <f>_xlfn.XLOOKUP(GERAL[[#This Row],[Dia]],U:U,V:V,"")</f>
        <v/>
      </c>
    </row>
    <row r="598" spans="1:18" hidden="1" x14ac:dyDescent="0.3">
      <c r="A598" t="str">
        <f>_xlfn.XLOOKUP(GERAL[[#This Row],[Dia]],U:U,T:T,"")</f>
        <v/>
      </c>
      <c r="B598" s="1">
        <v>46041</v>
      </c>
      <c r="C598" t="s">
        <v>22</v>
      </c>
      <c r="D598" s="1">
        <v>46041</v>
      </c>
      <c r="E598" t="s">
        <v>17</v>
      </c>
      <c r="F598" t="s">
        <v>68</v>
      </c>
      <c r="G598" t="s">
        <v>69</v>
      </c>
      <c r="Q598" t="s">
        <v>67</v>
      </c>
      <c r="R598" t="str">
        <f>_xlfn.XLOOKUP(GERAL[[#This Row],[Dia]],U:U,V:V,"")</f>
        <v/>
      </c>
    </row>
    <row r="599" spans="1:18" hidden="1" x14ac:dyDescent="0.3">
      <c r="A599" t="str">
        <f>_xlfn.XLOOKUP(GERAL[[#This Row],[Dia]],U:U,T:T,"")</f>
        <v/>
      </c>
      <c r="B599" s="1">
        <v>46042</v>
      </c>
      <c r="C599" t="s">
        <v>23</v>
      </c>
      <c r="D599" s="1">
        <v>46042</v>
      </c>
      <c r="E599" t="s">
        <v>36</v>
      </c>
      <c r="F599" t="s">
        <v>68</v>
      </c>
      <c r="G599" t="s">
        <v>69</v>
      </c>
      <c r="H599">
        <v>0</v>
      </c>
      <c r="I599">
        <v>0</v>
      </c>
      <c r="J599">
        <v>0</v>
      </c>
      <c r="K599">
        <v>24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67</v>
      </c>
      <c r="R599" t="str">
        <f>_xlfn.XLOOKUP(GERAL[[#This Row],[Dia]],U:U,V:V,"")</f>
        <v/>
      </c>
    </row>
    <row r="600" spans="1:18" hidden="1" x14ac:dyDescent="0.3">
      <c r="A600" t="str">
        <f>_xlfn.XLOOKUP(GERAL[[#This Row],[Dia]],U:U,T:T,"")</f>
        <v/>
      </c>
      <c r="B600" s="1">
        <v>46043</v>
      </c>
      <c r="C600" t="s">
        <v>24</v>
      </c>
      <c r="D600" s="1">
        <v>46043</v>
      </c>
      <c r="E600" t="s">
        <v>36</v>
      </c>
      <c r="F600" t="s">
        <v>68</v>
      </c>
      <c r="G600" t="s">
        <v>69</v>
      </c>
      <c r="H600">
        <v>10</v>
      </c>
      <c r="I600">
        <v>0</v>
      </c>
      <c r="J600">
        <v>11</v>
      </c>
      <c r="K600">
        <v>18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67</v>
      </c>
      <c r="R600" t="str">
        <f>_xlfn.XLOOKUP(GERAL[[#This Row],[Dia]],U:U,V:V,"")</f>
        <v/>
      </c>
    </row>
    <row r="601" spans="1:18" hidden="1" x14ac:dyDescent="0.3">
      <c r="A601" t="str">
        <f>_xlfn.XLOOKUP(GERAL[[#This Row],[Dia]],U:U,T:T,"")</f>
        <v/>
      </c>
      <c r="B601" s="1">
        <v>46044</v>
      </c>
      <c r="C601" t="s">
        <v>25</v>
      </c>
      <c r="D601" s="1">
        <v>46044</v>
      </c>
      <c r="E601" t="s">
        <v>36</v>
      </c>
      <c r="F601" t="s">
        <v>68</v>
      </c>
      <c r="G601" t="s">
        <v>69</v>
      </c>
      <c r="H601">
        <v>0</v>
      </c>
      <c r="I601">
        <v>0</v>
      </c>
      <c r="J601">
        <v>30</v>
      </c>
      <c r="K601">
        <v>12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67</v>
      </c>
      <c r="R601" t="str">
        <f>_xlfn.XLOOKUP(GERAL[[#This Row],[Dia]],U:U,V:V,"")</f>
        <v/>
      </c>
    </row>
    <row r="602" spans="1:18" hidden="1" x14ac:dyDescent="0.3">
      <c r="A602" t="str">
        <f>_xlfn.XLOOKUP(GERAL[[#This Row],[Dia]],U:U,T:T,"")</f>
        <v/>
      </c>
      <c r="B602" s="1">
        <v>46045</v>
      </c>
      <c r="C602" t="s">
        <v>26</v>
      </c>
      <c r="D602" s="1">
        <v>46045</v>
      </c>
      <c r="E602" t="s">
        <v>36</v>
      </c>
      <c r="F602" t="s">
        <v>68</v>
      </c>
      <c r="G602" t="s">
        <v>69</v>
      </c>
      <c r="H602">
        <v>0</v>
      </c>
      <c r="I602">
        <v>0</v>
      </c>
      <c r="J602">
        <v>8</v>
      </c>
      <c r="K602">
        <v>18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67</v>
      </c>
      <c r="R602" t="str">
        <f>_xlfn.XLOOKUP(GERAL[[#This Row],[Dia]],U:U,V:V,"")</f>
        <v/>
      </c>
    </row>
    <row r="603" spans="1:18" hidden="1" x14ac:dyDescent="0.3">
      <c r="A603" t="str">
        <f>_xlfn.XLOOKUP(GERAL[[#This Row],[Dia]],U:U,T:T,"")</f>
        <v/>
      </c>
      <c r="B603" s="1">
        <v>46046</v>
      </c>
      <c r="C603" t="s">
        <v>16</v>
      </c>
      <c r="D603" s="1">
        <v>46046</v>
      </c>
      <c r="E603" t="s">
        <v>17</v>
      </c>
      <c r="Q603" t="s">
        <v>67</v>
      </c>
      <c r="R603" t="str">
        <f>_xlfn.XLOOKUP(GERAL[[#This Row],[Dia]],U:U,V:V,"")</f>
        <v/>
      </c>
    </row>
    <row r="604" spans="1:18" hidden="1" x14ac:dyDescent="0.3">
      <c r="A604" t="str">
        <f>_xlfn.XLOOKUP(GERAL[[#This Row],[Dia]],U:U,T:T,"")</f>
        <v/>
      </c>
      <c r="B604" s="1">
        <v>46047</v>
      </c>
      <c r="C604" t="s">
        <v>21</v>
      </c>
      <c r="D604" s="1">
        <v>46047</v>
      </c>
      <c r="E604" t="s">
        <v>17</v>
      </c>
      <c r="Q604" t="s">
        <v>67</v>
      </c>
      <c r="R604" t="str">
        <f>_xlfn.XLOOKUP(GERAL[[#This Row],[Dia]],U:U,V:V,"")</f>
        <v/>
      </c>
    </row>
    <row r="605" spans="1:18" hidden="1" x14ac:dyDescent="0.3">
      <c r="A605" t="str">
        <f>_xlfn.XLOOKUP(GERAL[[#This Row],[Dia]],U:U,T:T,"")</f>
        <v/>
      </c>
      <c r="B605" s="1">
        <v>46048</v>
      </c>
      <c r="C605" t="s">
        <v>22</v>
      </c>
      <c r="D605" s="1">
        <v>46048</v>
      </c>
      <c r="E605" t="s">
        <v>17</v>
      </c>
      <c r="Q605" t="s">
        <v>67</v>
      </c>
      <c r="R605" t="str">
        <f>_xlfn.XLOOKUP(GERAL[[#This Row],[Dia]],U:U,V:V,"")</f>
        <v/>
      </c>
    </row>
    <row r="606" spans="1:18" hidden="1" x14ac:dyDescent="0.3">
      <c r="A606" t="str">
        <f>_xlfn.XLOOKUP(GERAL[[#This Row],[Dia]],U:U,T:T,"")</f>
        <v/>
      </c>
      <c r="B606" s="1">
        <v>46049</v>
      </c>
      <c r="C606" t="s">
        <v>23</v>
      </c>
      <c r="D606" s="1">
        <v>46049</v>
      </c>
      <c r="E606" t="s">
        <v>36</v>
      </c>
      <c r="F606" t="s">
        <v>68</v>
      </c>
      <c r="G606" t="s">
        <v>69</v>
      </c>
      <c r="H606">
        <v>10</v>
      </c>
      <c r="I606">
        <v>4</v>
      </c>
      <c r="J606">
        <v>20</v>
      </c>
      <c r="K606">
        <v>12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67</v>
      </c>
      <c r="R606" t="str">
        <f>_xlfn.XLOOKUP(GERAL[[#This Row],[Dia]],U:U,V:V,"")</f>
        <v/>
      </c>
    </row>
    <row r="607" spans="1:18" hidden="1" x14ac:dyDescent="0.3">
      <c r="A607" t="str">
        <f>_xlfn.XLOOKUP(GERAL[[#This Row],[Dia]],U:U,T:T,"")</f>
        <v/>
      </c>
      <c r="B607" s="1">
        <v>46050</v>
      </c>
      <c r="C607" t="s">
        <v>24</v>
      </c>
      <c r="D607" s="1">
        <v>46050</v>
      </c>
      <c r="E607" t="s">
        <v>36</v>
      </c>
      <c r="F607" t="s">
        <v>68</v>
      </c>
      <c r="G607" t="s">
        <v>69</v>
      </c>
      <c r="H607">
        <v>8</v>
      </c>
      <c r="I607">
        <v>0</v>
      </c>
      <c r="J607">
        <v>37</v>
      </c>
      <c r="K607">
        <v>29</v>
      </c>
      <c r="L607">
        <v>0</v>
      </c>
      <c r="M607">
        <v>0</v>
      </c>
      <c r="N607">
        <v>0</v>
      </c>
      <c r="O607">
        <v>8</v>
      </c>
      <c r="P607">
        <v>0</v>
      </c>
      <c r="Q607" t="s">
        <v>67</v>
      </c>
      <c r="R607" t="str">
        <f>_xlfn.XLOOKUP(GERAL[[#This Row],[Dia]],U:U,V:V,"")</f>
        <v/>
      </c>
    </row>
    <row r="608" spans="1:18" hidden="1" x14ac:dyDescent="0.3">
      <c r="A608" t="str">
        <f>_xlfn.XLOOKUP(GERAL[[#This Row],[Dia]],U:U,T:T,"")</f>
        <v/>
      </c>
      <c r="B608" s="1">
        <v>46051</v>
      </c>
      <c r="C608" t="s">
        <v>25</v>
      </c>
      <c r="D608" s="1">
        <v>46051</v>
      </c>
      <c r="E608" t="s">
        <v>36</v>
      </c>
      <c r="F608" t="s">
        <v>68</v>
      </c>
      <c r="G608" t="s">
        <v>69</v>
      </c>
      <c r="H608">
        <v>7</v>
      </c>
      <c r="I608">
        <v>3</v>
      </c>
      <c r="J608">
        <v>6</v>
      </c>
      <c r="K608">
        <v>17</v>
      </c>
      <c r="L608">
        <v>0</v>
      </c>
      <c r="M608">
        <v>0</v>
      </c>
      <c r="N608">
        <v>0</v>
      </c>
      <c r="O608">
        <v>9</v>
      </c>
      <c r="P608">
        <v>0</v>
      </c>
      <c r="Q608" t="s">
        <v>67</v>
      </c>
      <c r="R608" t="str">
        <f>_xlfn.XLOOKUP(GERAL[[#This Row],[Dia]],U:U,V:V,"")</f>
        <v/>
      </c>
    </row>
    <row r="609" spans="1:18" hidden="1" x14ac:dyDescent="0.3">
      <c r="A609" t="str">
        <f>_xlfn.XLOOKUP(GERAL[[#This Row],[Dia]],U:U,T:T,"")</f>
        <v>Semana 1</v>
      </c>
      <c r="B609" s="1">
        <v>46052</v>
      </c>
      <c r="C609" t="s">
        <v>26</v>
      </c>
      <c r="D609" s="1">
        <v>46052</v>
      </c>
      <c r="E609" t="s">
        <v>36</v>
      </c>
      <c r="F609" t="s">
        <v>68</v>
      </c>
      <c r="G609" t="s">
        <v>69</v>
      </c>
      <c r="H609">
        <v>0</v>
      </c>
      <c r="I609">
        <v>0</v>
      </c>
      <c r="J609">
        <v>15</v>
      </c>
      <c r="K609">
        <v>9</v>
      </c>
      <c r="L609">
        <v>0</v>
      </c>
      <c r="M609">
        <v>0</v>
      </c>
      <c r="N609">
        <v>14</v>
      </c>
      <c r="O609">
        <v>10</v>
      </c>
      <c r="P609">
        <v>0</v>
      </c>
      <c r="Q609" t="s">
        <v>67</v>
      </c>
      <c r="R609" t="str">
        <f>_xlfn.XLOOKUP(GERAL[[#This Row],[Dia]],U:U,V:V,"")</f>
        <v>Prazo_30</v>
      </c>
    </row>
    <row r="610" spans="1:18" hidden="1" x14ac:dyDescent="0.3">
      <c r="A610" t="str">
        <f>_xlfn.XLOOKUP(GERAL[[#This Row],[Dia]],U:U,T:T,"")</f>
        <v>Semana 1</v>
      </c>
      <c r="B610" s="1">
        <v>46053</v>
      </c>
      <c r="C610" t="s">
        <v>16</v>
      </c>
      <c r="D610" s="1">
        <v>46053</v>
      </c>
      <c r="E610" t="s">
        <v>36</v>
      </c>
      <c r="F610" t="s">
        <v>68</v>
      </c>
      <c r="G610" t="s">
        <v>69</v>
      </c>
      <c r="H610">
        <v>6</v>
      </c>
      <c r="I610">
        <v>2</v>
      </c>
      <c r="J610">
        <v>20</v>
      </c>
      <c r="K610">
        <v>6</v>
      </c>
      <c r="L610">
        <v>0</v>
      </c>
      <c r="M610">
        <v>0</v>
      </c>
      <c r="N610">
        <v>0</v>
      </c>
      <c r="O610">
        <v>5</v>
      </c>
      <c r="P610">
        <v>0</v>
      </c>
      <c r="Q610" t="s">
        <v>67</v>
      </c>
      <c r="R610" t="str">
        <f>_xlfn.XLOOKUP(GERAL[[#This Row],[Dia]],U:U,V:V,"")</f>
        <v>Prazo_30</v>
      </c>
    </row>
    <row r="611" spans="1:18" hidden="1" x14ac:dyDescent="0.3">
      <c r="A611" t="str">
        <f>_xlfn.XLOOKUP(GERAL[[#This Row],[Dia]],U:U,T:T,"")</f>
        <v>Semana 1</v>
      </c>
      <c r="B611" s="1">
        <v>46054</v>
      </c>
      <c r="C611" t="s">
        <v>21</v>
      </c>
      <c r="D611" s="1">
        <v>46054</v>
      </c>
      <c r="E611" t="s">
        <v>17</v>
      </c>
      <c r="Q611" t="s">
        <v>67</v>
      </c>
      <c r="R611" t="str">
        <f>_xlfn.XLOOKUP(GERAL[[#This Row],[Dia]],U:U,V:V,"")</f>
        <v>Prazo_30</v>
      </c>
    </row>
    <row r="612" spans="1:18" hidden="1" x14ac:dyDescent="0.3">
      <c r="A612" t="str">
        <f>_xlfn.XLOOKUP(GERAL[[#This Row],[Dia]],U:U,T:T,"")</f>
        <v>Semana 1</v>
      </c>
      <c r="B612" s="1">
        <v>46055</v>
      </c>
      <c r="C612" t="s">
        <v>22</v>
      </c>
      <c r="D612" s="1">
        <v>46055</v>
      </c>
      <c r="E612" t="s">
        <v>36</v>
      </c>
      <c r="F612" t="s">
        <v>68</v>
      </c>
      <c r="G612" t="s">
        <v>69</v>
      </c>
      <c r="H612">
        <v>6</v>
      </c>
      <c r="I612">
        <v>0</v>
      </c>
      <c r="N612">
        <v>0</v>
      </c>
      <c r="O612">
        <v>0</v>
      </c>
      <c r="P612">
        <v>0</v>
      </c>
      <c r="Q612" t="s">
        <v>67</v>
      </c>
      <c r="R612" t="str">
        <f>_xlfn.XLOOKUP(GERAL[[#This Row],[Dia]],U:U,V:V,"")</f>
        <v>Prazo_30</v>
      </c>
    </row>
    <row r="613" spans="1:18" hidden="1" x14ac:dyDescent="0.3">
      <c r="A613" t="str">
        <f>_xlfn.XLOOKUP(GERAL[[#This Row],[Dia]],U:U,T:T,"")</f>
        <v>Semana 1</v>
      </c>
      <c r="B613" s="1">
        <v>46056</v>
      </c>
      <c r="C613" t="s">
        <v>23</v>
      </c>
      <c r="D613" s="1">
        <v>46056</v>
      </c>
      <c r="E613" t="s">
        <v>36</v>
      </c>
      <c r="F613" t="s">
        <v>68</v>
      </c>
      <c r="G613" t="s">
        <v>69</v>
      </c>
      <c r="H613">
        <v>10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67</v>
      </c>
      <c r="R613" t="str">
        <f>_xlfn.XLOOKUP(GERAL[[#This Row],[Dia]],U:U,V:V,"")</f>
        <v>Prazo_30</v>
      </c>
    </row>
    <row r="614" spans="1:18" hidden="1" x14ac:dyDescent="0.3">
      <c r="A614" t="str">
        <f>_xlfn.XLOOKUP(GERAL[[#This Row],[Dia]],U:U,T:T,"")</f>
        <v>Semana 1</v>
      </c>
      <c r="B614" s="1">
        <v>46057</v>
      </c>
      <c r="C614" t="s">
        <v>24</v>
      </c>
      <c r="D614" s="1">
        <v>46057</v>
      </c>
      <c r="E614" t="s">
        <v>36</v>
      </c>
      <c r="F614" t="s">
        <v>68</v>
      </c>
      <c r="G614" t="s">
        <v>69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67</v>
      </c>
      <c r="R614" t="str">
        <f>_xlfn.XLOOKUP(GERAL[[#This Row],[Dia]],U:U,V:V,"")</f>
        <v>Prazo_30</v>
      </c>
    </row>
    <row r="615" spans="1:18" hidden="1" x14ac:dyDescent="0.3">
      <c r="A615" t="str">
        <f>_xlfn.XLOOKUP(GERAL[[#This Row],[Dia]],U:U,T:T,"")</f>
        <v>Semana 1</v>
      </c>
      <c r="B615" s="1">
        <v>46058</v>
      </c>
      <c r="C615" t="s">
        <v>25</v>
      </c>
      <c r="D615" s="1">
        <v>46058</v>
      </c>
      <c r="E615" t="s">
        <v>17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67</v>
      </c>
      <c r="R615" t="str">
        <f>_xlfn.XLOOKUP(GERAL[[#This Row],[Dia]],U:U,V:V,"")</f>
        <v>Prazo_30</v>
      </c>
    </row>
    <row r="616" spans="1:18" hidden="1" x14ac:dyDescent="0.3">
      <c r="A616" t="str">
        <f>_xlfn.XLOOKUP(GERAL[[#This Row],[Dia]],U:U,T:T,"")</f>
        <v>Semana 1</v>
      </c>
      <c r="B616" s="1">
        <v>46059</v>
      </c>
      <c r="C616" t="s">
        <v>26</v>
      </c>
      <c r="D616" s="1">
        <v>46059</v>
      </c>
      <c r="E616" t="s">
        <v>36</v>
      </c>
      <c r="F616" t="s">
        <v>68</v>
      </c>
      <c r="G616" t="s">
        <v>69</v>
      </c>
      <c r="H616">
        <v>10</v>
      </c>
      <c r="M616">
        <v>0</v>
      </c>
      <c r="N616">
        <v>0</v>
      </c>
      <c r="O616">
        <v>0</v>
      </c>
      <c r="P616">
        <v>0</v>
      </c>
      <c r="Q616" t="s">
        <v>67</v>
      </c>
      <c r="R616" t="str">
        <f>_xlfn.XLOOKUP(GERAL[[#This Row],[Dia]],U:U,V:V,"")</f>
        <v>Prazo_30</v>
      </c>
    </row>
    <row r="617" spans="1:18" hidden="1" x14ac:dyDescent="0.3">
      <c r="A617" t="str">
        <f>_xlfn.XLOOKUP(GERAL[[#This Row],[Dia]],U:U,T:T,"")</f>
        <v>Semana 1</v>
      </c>
      <c r="B617" s="1">
        <v>46060</v>
      </c>
      <c r="C617" t="s">
        <v>16</v>
      </c>
      <c r="D617" s="1">
        <v>46060</v>
      </c>
      <c r="E617" t="s">
        <v>36</v>
      </c>
      <c r="F617" t="s">
        <v>68</v>
      </c>
      <c r="G617" t="s">
        <v>69</v>
      </c>
      <c r="H617">
        <v>2</v>
      </c>
      <c r="I617">
        <v>1</v>
      </c>
      <c r="J617">
        <v>12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 t="s">
        <v>67</v>
      </c>
      <c r="R617" t="str">
        <f>_xlfn.XLOOKUP(GERAL[[#This Row],[Dia]],U:U,V:V,"")</f>
        <v>Prazo_30</v>
      </c>
    </row>
    <row r="618" spans="1:18" hidden="1" x14ac:dyDescent="0.3">
      <c r="A618" t="str">
        <f>_xlfn.XLOOKUP(GERAL[[#This Row],[Dia]],U:U,T:T,"")</f>
        <v>Semana 2</v>
      </c>
      <c r="B618" s="1">
        <v>46061</v>
      </c>
      <c r="C618" t="s">
        <v>21</v>
      </c>
      <c r="D618" s="1">
        <v>46061</v>
      </c>
      <c r="E618" t="s">
        <v>17</v>
      </c>
      <c r="Q618" t="s">
        <v>67</v>
      </c>
      <c r="R618" t="str">
        <f>_xlfn.XLOOKUP(GERAL[[#This Row],[Dia]],U:U,V:V,"")</f>
        <v>Prazo_30</v>
      </c>
    </row>
    <row r="619" spans="1:18" hidden="1" x14ac:dyDescent="0.3">
      <c r="A619" t="str">
        <f>_xlfn.XLOOKUP(GERAL[[#This Row],[Dia]],U:U,T:T,"")</f>
        <v>Semana 2</v>
      </c>
      <c r="B619" s="1">
        <v>46062</v>
      </c>
      <c r="C619" t="s">
        <v>22</v>
      </c>
      <c r="D619" s="1">
        <v>46062</v>
      </c>
      <c r="E619" t="s">
        <v>36</v>
      </c>
      <c r="F619" t="s">
        <v>68</v>
      </c>
      <c r="G619" t="s">
        <v>69</v>
      </c>
      <c r="H619">
        <v>6</v>
      </c>
      <c r="I619">
        <v>3</v>
      </c>
      <c r="J619">
        <v>21</v>
      </c>
      <c r="K619">
        <v>13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67</v>
      </c>
      <c r="R619" t="str">
        <f>_xlfn.XLOOKUP(GERAL[[#This Row],[Dia]],U:U,V:V,"")</f>
        <v>Prazo_30</v>
      </c>
    </row>
    <row r="620" spans="1:18" hidden="1" x14ac:dyDescent="0.3">
      <c r="A620" t="str">
        <f>_xlfn.XLOOKUP(GERAL[[#This Row],[Dia]],U:U,T:T,"")</f>
        <v>Semana 2</v>
      </c>
      <c r="B620" s="1">
        <v>46063</v>
      </c>
      <c r="C620" t="s">
        <v>23</v>
      </c>
      <c r="D620" s="1">
        <v>46063</v>
      </c>
      <c r="E620" t="s">
        <v>36</v>
      </c>
      <c r="F620" t="s">
        <v>68</v>
      </c>
      <c r="G620" t="s">
        <v>69</v>
      </c>
      <c r="H620">
        <v>23</v>
      </c>
      <c r="I620">
        <v>4</v>
      </c>
      <c r="J620">
        <v>0</v>
      </c>
      <c r="K620">
        <v>12</v>
      </c>
      <c r="L620">
        <v>0</v>
      </c>
      <c r="M620">
        <v>0</v>
      </c>
      <c r="N620">
        <v>0</v>
      </c>
      <c r="O620">
        <v>2</v>
      </c>
      <c r="P620">
        <v>0</v>
      </c>
      <c r="Q620" t="s">
        <v>67</v>
      </c>
      <c r="R620" t="str">
        <f>_xlfn.XLOOKUP(GERAL[[#This Row],[Dia]],U:U,V:V,"")</f>
        <v>Prazo_30</v>
      </c>
    </row>
    <row r="621" spans="1:18" hidden="1" x14ac:dyDescent="0.3">
      <c r="A621" t="str">
        <f>_xlfn.XLOOKUP(GERAL[[#This Row],[Dia]],U:U,T:T,"")</f>
        <v>Semana 2</v>
      </c>
      <c r="B621" s="1">
        <v>46064</v>
      </c>
      <c r="C621" t="s">
        <v>24</v>
      </c>
      <c r="D621" s="1">
        <v>46064</v>
      </c>
      <c r="E621" t="s">
        <v>36</v>
      </c>
      <c r="F621" t="s">
        <v>68</v>
      </c>
      <c r="G621" t="s">
        <v>69</v>
      </c>
      <c r="H621">
        <v>0</v>
      </c>
      <c r="I621">
        <v>7</v>
      </c>
      <c r="J621">
        <v>0</v>
      </c>
      <c r="K621">
        <v>6</v>
      </c>
      <c r="L621">
        <v>1</v>
      </c>
      <c r="M621">
        <v>0</v>
      </c>
      <c r="N621">
        <v>0</v>
      </c>
      <c r="O621">
        <v>5</v>
      </c>
      <c r="P621">
        <v>0</v>
      </c>
      <c r="Q621" t="s">
        <v>67</v>
      </c>
      <c r="R621" t="str">
        <f>_xlfn.XLOOKUP(GERAL[[#This Row],[Dia]],U:U,V:V,"")</f>
        <v>Prazo_30</v>
      </c>
    </row>
    <row r="622" spans="1:18" hidden="1" x14ac:dyDescent="0.3">
      <c r="A622" t="str">
        <f>_xlfn.XLOOKUP(GERAL[[#This Row],[Dia]],U:U,T:T,"")</f>
        <v>Semana 2</v>
      </c>
      <c r="B622" s="1">
        <v>46065</v>
      </c>
      <c r="C622" t="s">
        <v>25</v>
      </c>
      <c r="D622" s="1">
        <v>46065</v>
      </c>
      <c r="E622" t="s">
        <v>36</v>
      </c>
      <c r="F622" t="s">
        <v>68</v>
      </c>
      <c r="G622" t="s">
        <v>69</v>
      </c>
      <c r="H622">
        <v>3</v>
      </c>
      <c r="I622">
        <v>0</v>
      </c>
      <c r="J622">
        <v>0</v>
      </c>
      <c r="K622">
        <v>24</v>
      </c>
      <c r="L622">
        <v>2</v>
      </c>
      <c r="M622">
        <v>0</v>
      </c>
      <c r="N622">
        <v>8</v>
      </c>
      <c r="O622">
        <v>4</v>
      </c>
      <c r="P622">
        <v>0</v>
      </c>
      <c r="Q622" t="s">
        <v>67</v>
      </c>
      <c r="R622" t="str">
        <f>_xlfn.XLOOKUP(GERAL[[#This Row],[Dia]],U:U,V:V,"")</f>
        <v>Prazo_30</v>
      </c>
    </row>
    <row r="623" spans="1:18" hidden="1" x14ac:dyDescent="0.3">
      <c r="A623" t="str">
        <f>_xlfn.XLOOKUP(GERAL[[#This Row],[Dia]],U:U,T:T,"")</f>
        <v>Semana 2</v>
      </c>
      <c r="B623" s="1">
        <v>46066</v>
      </c>
      <c r="C623" t="s">
        <v>26</v>
      </c>
      <c r="D623" s="1">
        <v>46066</v>
      </c>
      <c r="E623" t="s">
        <v>36</v>
      </c>
      <c r="F623" t="s">
        <v>68</v>
      </c>
      <c r="G623" t="s">
        <v>69</v>
      </c>
      <c r="H623">
        <v>13</v>
      </c>
      <c r="I623">
        <v>5</v>
      </c>
      <c r="J623">
        <v>10</v>
      </c>
      <c r="K623">
        <v>28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67</v>
      </c>
      <c r="R623" t="str">
        <f>_xlfn.XLOOKUP(GERAL[[#This Row],[Dia]],U:U,V:V,"")</f>
        <v>Prazo_30</v>
      </c>
    </row>
    <row r="624" spans="1:18" hidden="1" x14ac:dyDescent="0.3">
      <c r="A624" t="str">
        <f>_xlfn.XLOOKUP(GERAL[[#This Row],[Dia]],U:U,T:T,"")</f>
        <v>Semana 2</v>
      </c>
      <c r="B624" s="1">
        <v>46067</v>
      </c>
      <c r="C624" t="s">
        <v>16</v>
      </c>
      <c r="D624" s="1">
        <v>46067</v>
      </c>
      <c r="E624" t="s">
        <v>17</v>
      </c>
      <c r="Q624" t="s">
        <v>67</v>
      </c>
      <c r="R624" t="str">
        <f>_xlfn.XLOOKUP(GERAL[[#This Row],[Dia]],U:U,V:V,"")</f>
        <v>Prazo_30</v>
      </c>
    </row>
    <row r="625" spans="1:18" hidden="1" x14ac:dyDescent="0.3">
      <c r="A625" t="str">
        <f>_xlfn.XLOOKUP(GERAL[[#This Row],[Dia]],U:U,T:T,"")</f>
        <v>Semana 3</v>
      </c>
      <c r="B625" s="1">
        <v>46068</v>
      </c>
      <c r="C625" t="s">
        <v>21</v>
      </c>
      <c r="D625" s="1">
        <v>46068</v>
      </c>
      <c r="E625" t="s">
        <v>17</v>
      </c>
      <c r="Q625" t="s">
        <v>67</v>
      </c>
      <c r="R625" t="str">
        <f>_xlfn.XLOOKUP(GERAL[[#This Row],[Dia]],U:U,V:V,"")</f>
        <v>Prazo_30</v>
      </c>
    </row>
    <row r="626" spans="1:18" hidden="1" x14ac:dyDescent="0.3">
      <c r="A626" t="str">
        <f>_xlfn.XLOOKUP(GERAL[[#This Row],[Dia]],U:U,T:T,"")</f>
        <v>Semana 3</v>
      </c>
      <c r="B626" s="1">
        <v>46069</v>
      </c>
      <c r="C626" t="s">
        <v>22</v>
      </c>
      <c r="D626" s="1">
        <v>46069</v>
      </c>
      <c r="E626" t="s">
        <v>36</v>
      </c>
      <c r="F626" t="s">
        <v>68</v>
      </c>
      <c r="G626" t="s">
        <v>69</v>
      </c>
      <c r="H626">
        <v>0</v>
      </c>
      <c r="I626">
        <v>0</v>
      </c>
      <c r="J626">
        <v>0</v>
      </c>
      <c r="K626">
        <v>16</v>
      </c>
      <c r="L626">
        <v>0</v>
      </c>
      <c r="M626">
        <v>0</v>
      </c>
      <c r="N626">
        <v>0</v>
      </c>
      <c r="O626">
        <v>2</v>
      </c>
      <c r="P626">
        <v>0</v>
      </c>
      <c r="Q626" t="s">
        <v>67</v>
      </c>
      <c r="R626" t="str">
        <f>_xlfn.XLOOKUP(GERAL[[#This Row],[Dia]],U:U,V:V,"")</f>
        <v>Prazo_30</v>
      </c>
    </row>
    <row r="627" spans="1:18" hidden="1" x14ac:dyDescent="0.3">
      <c r="A627" t="str">
        <f>_xlfn.XLOOKUP(GERAL[[#This Row],[Dia]],U:U,T:T,"")</f>
        <v>Semana 3</v>
      </c>
      <c r="B627" s="1">
        <v>46070</v>
      </c>
      <c r="C627" t="s">
        <v>23</v>
      </c>
      <c r="D627" s="1">
        <v>46070</v>
      </c>
      <c r="E627" t="s">
        <v>36</v>
      </c>
      <c r="F627" t="s">
        <v>68</v>
      </c>
      <c r="G627" t="s">
        <v>69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5</v>
      </c>
      <c r="O627">
        <v>0</v>
      </c>
      <c r="P627">
        <v>0</v>
      </c>
      <c r="Q627" t="s">
        <v>67</v>
      </c>
      <c r="R627" t="str">
        <f>_xlfn.XLOOKUP(GERAL[[#This Row],[Dia]],U:U,V:V,"")</f>
        <v>Prazo_30</v>
      </c>
    </row>
    <row r="628" spans="1:18" hidden="1" x14ac:dyDescent="0.3">
      <c r="A628" t="str">
        <f>_xlfn.XLOOKUP(GERAL[[#This Row],[Dia]],U:U,T:T,"")</f>
        <v>Semana 3</v>
      </c>
      <c r="B628" s="1">
        <v>46071</v>
      </c>
      <c r="C628" t="s">
        <v>24</v>
      </c>
      <c r="D628" s="1">
        <v>46071</v>
      </c>
      <c r="E628" t="s">
        <v>36</v>
      </c>
      <c r="F628" t="s">
        <v>68</v>
      </c>
      <c r="G628" t="s">
        <v>69</v>
      </c>
      <c r="H628">
        <v>0</v>
      </c>
      <c r="I628">
        <v>5</v>
      </c>
      <c r="J628">
        <v>97</v>
      </c>
      <c r="K628">
        <v>10</v>
      </c>
      <c r="L628">
        <v>1</v>
      </c>
      <c r="M628">
        <v>0</v>
      </c>
      <c r="N628">
        <v>13</v>
      </c>
      <c r="O628">
        <v>0</v>
      </c>
      <c r="P628">
        <v>0</v>
      </c>
      <c r="Q628" t="s">
        <v>67</v>
      </c>
      <c r="R628" t="str">
        <f>_xlfn.XLOOKUP(GERAL[[#This Row],[Dia]],U:U,V:V,"")</f>
        <v>Prazo_30</v>
      </c>
    </row>
    <row r="629" spans="1:18" hidden="1" x14ac:dyDescent="0.3">
      <c r="A629" t="str">
        <f>_xlfn.XLOOKUP(GERAL[[#This Row],[Dia]],U:U,T:T,"")</f>
        <v>Semana 3</v>
      </c>
      <c r="B629" s="1">
        <v>46072</v>
      </c>
      <c r="C629" t="s">
        <v>25</v>
      </c>
      <c r="D629" s="1">
        <v>46072</v>
      </c>
      <c r="E629" t="s">
        <v>36</v>
      </c>
      <c r="F629" t="s">
        <v>68</v>
      </c>
      <c r="G629" t="s">
        <v>69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67</v>
      </c>
      <c r="R629" t="str">
        <f>_xlfn.XLOOKUP(GERAL[[#This Row],[Dia]],U:U,V:V,"")</f>
        <v>Prazo_30</v>
      </c>
    </row>
    <row r="630" spans="1:18" hidden="1" x14ac:dyDescent="0.3">
      <c r="A630" t="str">
        <f>_xlfn.XLOOKUP(GERAL[[#This Row],[Dia]],U:U,T:T,"")</f>
        <v>Semana 3</v>
      </c>
      <c r="B630" s="1">
        <v>46073</v>
      </c>
      <c r="C630" t="s">
        <v>26</v>
      </c>
      <c r="D630" s="1">
        <v>46073</v>
      </c>
      <c r="E630" t="s">
        <v>36</v>
      </c>
      <c r="F630" t="s">
        <v>68</v>
      </c>
      <c r="G630" t="s">
        <v>69</v>
      </c>
      <c r="H630">
        <v>0</v>
      </c>
      <c r="I630">
        <v>3</v>
      </c>
      <c r="J630">
        <v>0</v>
      </c>
      <c r="K630">
        <v>22</v>
      </c>
      <c r="L630">
        <v>0</v>
      </c>
      <c r="M630">
        <v>0</v>
      </c>
      <c r="N630">
        <v>20</v>
      </c>
      <c r="O630">
        <v>0</v>
      </c>
      <c r="P630">
        <v>0</v>
      </c>
      <c r="Q630" t="s">
        <v>67</v>
      </c>
      <c r="R630" t="str">
        <f>_xlfn.XLOOKUP(GERAL[[#This Row],[Dia]],U:U,V:V,"")</f>
        <v>Prazo_30</v>
      </c>
    </row>
    <row r="631" spans="1:18" hidden="1" x14ac:dyDescent="0.3">
      <c r="A631" t="str">
        <f>_xlfn.XLOOKUP(GERAL[[#This Row],[Dia]],U:U,T:T,"")</f>
        <v>Semana 3</v>
      </c>
      <c r="B631" s="1">
        <v>46074</v>
      </c>
      <c r="C631" t="s">
        <v>16</v>
      </c>
      <c r="D631" s="1">
        <v>46074</v>
      </c>
      <c r="E631" t="s">
        <v>17</v>
      </c>
      <c r="Q631" t="s">
        <v>67</v>
      </c>
      <c r="R631" t="str">
        <f>_xlfn.XLOOKUP(GERAL[[#This Row],[Dia]],U:U,V:V,"")</f>
        <v>Prazo_30</v>
      </c>
    </row>
    <row r="632" spans="1:18" hidden="1" x14ac:dyDescent="0.3">
      <c r="A632" t="str">
        <f>_xlfn.XLOOKUP(GERAL[[#This Row],[Dia]],U:U,T:T,"")</f>
        <v>Semana 4</v>
      </c>
      <c r="B632" s="1">
        <v>46075</v>
      </c>
      <c r="C632" t="s">
        <v>21</v>
      </c>
      <c r="D632" s="1">
        <v>46075</v>
      </c>
      <c r="E632" t="s">
        <v>17</v>
      </c>
      <c r="Q632" t="s">
        <v>67</v>
      </c>
      <c r="R632" t="str">
        <f>_xlfn.XLOOKUP(GERAL[[#This Row],[Dia]],U:U,V:V,"")</f>
        <v>Prazo_30</v>
      </c>
    </row>
    <row r="633" spans="1:18" hidden="1" x14ac:dyDescent="0.3">
      <c r="A633" t="str">
        <f>_xlfn.XLOOKUP(GERAL[[#This Row],[Dia]],U:U,T:T,"")</f>
        <v>Semana 4</v>
      </c>
      <c r="B633" s="1">
        <v>46076</v>
      </c>
      <c r="C633" t="s">
        <v>22</v>
      </c>
      <c r="D633" s="1">
        <v>46076</v>
      </c>
      <c r="E633" t="s">
        <v>36</v>
      </c>
      <c r="F633" t="s">
        <v>68</v>
      </c>
      <c r="G633" t="s">
        <v>69</v>
      </c>
      <c r="H633">
        <v>5</v>
      </c>
      <c r="I633">
        <v>5</v>
      </c>
      <c r="J633">
        <v>38</v>
      </c>
      <c r="K633">
        <v>27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67</v>
      </c>
      <c r="R633" t="str">
        <f>_xlfn.XLOOKUP(GERAL[[#This Row],[Dia]],U:U,V:V,"")</f>
        <v>Prazo_30</v>
      </c>
    </row>
    <row r="634" spans="1:18" hidden="1" x14ac:dyDescent="0.3">
      <c r="A634" t="str">
        <f>_xlfn.XLOOKUP(GERAL[[#This Row],[Dia]],U:U,T:T,"")</f>
        <v>Semana 4</v>
      </c>
      <c r="B634" s="1">
        <v>46077</v>
      </c>
      <c r="C634" t="s">
        <v>23</v>
      </c>
      <c r="D634" s="1">
        <v>46077</v>
      </c>
      <c r="E634" t="s">
        <v>36</v>
      </c>
      <c r="F634" t="s">
        <v>68</v>
      </c>
      <c r="G634" t="s">
        <v>69</v>
      </c>
      <c r="H634">
        <v>0</v>
      </c>
      <c r="I634">
        <v>5</v>
      </c>
      <c r="J634">
        <v>6</v>
      </c>
      <c r="K634">
        <v>12</v>
      </c>
      <c r="L634">
        <v>1</v>
      </c>
      <c r="M634">
        <v>0</v>
      </c>
      <c r="N634">
        <v>0</v>
      </c>
      <c r="O634">
        <v>0</v>
      </c>
      <c r="P634">
        <v>0</v>
      </c>
      <c r="Q634" t="s">
        <v>67</v>
      </c>
      <c r="R634" t="str">
        <f>_xlfn.XLOOKUP(GERAL[[#This Row],[Dia]],U:U,V:V,"")</f>
        <v>Prazo_30</v>
      </c>
    </row>
    <row r="635" spans="1:18" hidden="1" x14ac:dyDescent="0.3">
      <c r="A635" t="str">
        <f>_xlfn.XLOOKUP(GERAL[[#This Row],[Dia]],U:U,T:T,"")</f>
        <v>Semana 4</v>
      </c>
      <c r="B635" s="1">
        <v>46078</v>
      </c>
      <c r="C635" t="s">
        <v>24</v>
      </c>
      <c r="D635" s="1">
        <v>46078</v>
      </c>
      <c r="E635" t="s">
        <v>36</v>
      </c>
      <c r="F635" t="s">
        <v>68</v>
      </c>
      <c r="G635" t="s">
        <v>69</v>
      </c>
      <c r="H635">
        <v>3</v>
      </c>
      <c r="I635">
        <v>2</v>
      </c>
      <c r="J635">
        <v>6</v>
      </c>
      <c r="K635">
        <v>30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67</v>
      </c>
      <c r="R635" t="str">
        <f>_xlfn.XLOOKUP(GERAL[[#This Row],[Dia]],U:U,V:V,"")</f>
        <v>Prazo_30</v>
      </c>
    </row>
    <row r="636" spans="1:18" hidden="1" x14ac:dyDescent="0.3">
      <c r="A636" t="str">
        <f>_xlfn.XLOOKUP(GERAL[[#This Row],[Dia]],U:U,T:T,"")</f>
        <v>Semana 4</v>
      </c>
      <c r="B636" s="1">
        <v>46079</v>
      </c>
      <c r="C636" t="s">
        <v>25</v>
      </c>
      <c r="D636" s="1">
        <v>46079</v>
      </c>
      <c r="E636" t="s">
        <v>17</v>
      </c>
      <c r="Q636" t="s">
        <v>67</v>
      </c>
      <c r="R636" t="str">
        <f>_xlfn.XLOOKUP(GERAL[[#This Row],[Dia]],U:U,V:V,"")</f>
        <v>Prazo_30</v>
      </c>
    </row>
    <row r="637" spans="1:18" hidden="1" x14ac:dyDescent="0.3">
      <c r="A637" t="str">
        <f>_xlfn.XLOOKUP(GERAL[[#This Row],[Dia]],U:U,T:T,"")</f>
        <v>Semana 4</v>
      </c>
      <c r="B637" s="1">
        <v>46080</v>
      </c>
      <c r="C637" t="s">
        <v>26</v>
      </c>
      <c r="D637" s="1">
        <v>46080</v>
      </c>
      <c r="E637" t="s">
        <v>36</v>
      </c>
      <c r="F637" t="s">
        <v>68</v>
      </c>
      <c r="G637" t="s">
        <v>69</v>
      </c>
      <c r="I637">
        <v>11</v>
      </c>
      <c r="J637">
        <v>22</v>
      </c>
      <c r="K637">
        <v>42</v>
      </c>
      <c r="L637">
        <v>1</v>
      </c>
      <c r="Q637" t="s">
        <v>67</v>
      </c>
      <c r="R637" t="str">
        <f>_xlfn.XLOOKUP(GERAL[[#This Row],[Dia]],U:U,V:V,"")</f>
        <v>Prazo_30</v>
      </c>
    </row>
    <row r="638" spans="1:18" hidden="1" x14ac:dyDescent="0.3">
      <c r="A638" t="str">
        <f>_xlfn.XLOOKUP(GERAL[[#This Row],[Dia]],U:U,T:T,"")</f>
        <v>Semana 4</v>
      </c>
      <c r="B638" s="1">
        <v>46081</v>
      </c>
      <c r="C638" t="s">
        <v>16</v>
      </c>
      <c r="D638" s="1">
        <v>46081</v>
      </c>
      <c r="E638" t="s">
        <v>36</v>
      </c>
      <c r="F638" t="s">
        <v>68</v>
      </c>
      <c r="G638" t="s">
        <v>69</v>
      </c>
      <c r="I638">
        <v>22</v>
      </c>
      <c r="J638">
        <v>0</v>
      </c>
      <c r="K638">
        <v>26</v>
      </c>
      <c r="L638">
        <v>2</v>
      </c>
      <c r="Q638" t="s">
        <v>67</v>
      </c>
      <c r="R638" t="str">
        <f>_xlfn.XLOOKUP(GERAL[[#This Row],[Dia]],U:U,V:V,"")</f>
        <v>Prazo_30</v>
      </c>
    </row>
    <row r="639" spans="1:18" x14ac:dyDescent="0.3">
      <c r="A639" t="str">
        <f>_xlfn.XLOOKUP(GERAL[[#This Row],[Dia]],U:U,T:T,"")</f>
        <v>Semana 5</v>
      </c>
      <c r="B639" s="1">
        <v>46082</v>
      </c>
      <c r="C639" t="s">
        <v>21</v>
      </c>
      <c r="D639" s="1">
        <v>46082</v>
      </c>
      <c r="E639" t="s">
        <v>17</v>
      </c>
      <c r="Q639" t="s">
        <v>67</v>
      </c>
      <c r="R639" t="str">
        <f>_xlfn.XLOOKUP(GERAL[[#This Row],[Dia]],U:U,V:V,"")</f>
        <v>Prazo_30</v>
      </c>
    </row>
    <row r="640" spans="1:18" x14ac:dyDescent="0.3">
      <c r="A640" t="str">
        <f>_xlfn.XLOOKUP(GERAL[[#This Row],[Dia]],U:U,T:T,"")</f>
        <v>Semana 5</v>
      </c>
      <c r="B640" s="1">
        <v>46083</v>
      </c>
      <c r="C640" t="s">
        <v>22</v>
      </c>
      <c r="D640" s="1">
        <v>46083</v>
      </c>
      <c r="E640" t="s">
        <v>36</v>
      </c>
      <c r="F640" t="s">
        <v>70</v>
      </c>
      <c r="G640" t="s">
        <v>71</v>
      </c>
      <c r="L640">
        <v>1</v>
      </c>
      <c r="Q640" t="s">
        <v>67</v>
      </c>
      <c r="R640" t="str">
        <f>_xlfn.XLOOKUP(GERAL[[#This Row],[Dia]],U:U,V:V,"")</f>
        <v>Prazo_30</v>
      </c>
    </row>
    <row r="641" spans="1:18" x14ac:dyDescent="0.3">
      <c r="A641" t="str">
        <f>_xlfn.XLOOKUP(GERAL[[#This Row],[Dia]],U:U,T:T,"")</f>
        <v>Semana 5</v>
      </c>
      <c r="B641" s="1">
        <v>46083</v>
      </c>
      <c r="C641" t="s">
        <v>22</v>
      </c>
      <c r="D641" s="1">
        <v>46083</v>
      </c>
      <c r="E641" t="s">
        <v>36</v>
      </c>
      <c r="F641" t="s">
        <v>70</v>
      </c>
      <c r="G641" t="s">
        <v>72</v>
      </c>
      <c r="L641">
        <v>1</v>
      </c>
      <c r="Q641" t="s">
        <v>67</v>
      </c>
      <c r="R641" t="str">
        <f>_xlfn.XLOOKUP(GERAL[[#This Row],[Dia]],U:U,V:V,"")</f>
        <v>Prazo_30</v>
      </c>
    </row>
    <row r="642" spans="1:18" x14ac:dyDescent="0.3">
      <c r="A642" t="str">
        <f>_xlfn.XLOOKUP(GERAL[[#This Row],[Dia]],U:U,T:T,"")</f>
        <v>Semana 5</v>
      </c>
      <c r="B642" s="1">
        <v>46083</v>
      </c>
      <c r="C642" t="s">
        <v>22</v>
      </c>
      <c r="D642" s="1">
        <v>46083</v>
      </c>
      <c r="E642" t="s">
        <v>36</v>
      </c>
      <c r="F642" t="s">
        <v>73</v>
      </c>
      <c r="G642" t="s">
        <v>74</v>
      </c>
      <c r="L642">
        <v>2</v>
      </c>
      <c r="Q642" t="s">
        <v>67</v>
      </c>
      <c r="R642" t="str">
        <f>_xlfn.XLOOKUP(GERAL[[#This Row],[Dia]],U:U,V:V,"")</f>
        <v>Prazo_30</v>
      </c>
    </row>
    <row r="643" spans="1:18" x14ac:dyDescent="0.3">
      <c r="A643" t="str">
        <f>_xlfn.XLOOKUP(GERAL[[#This Row],[Dia]],U:U,T:T,"")</f>
        <v>Semana 5</v>
      </c>
      <c r="B643" s="1">
        <v>46083</v>
      </c>
      <c r="C643" t="s">
        <v>22</v>
      </c>
      <c r="D643" s="1">
        <v>46083</v>
      </c>
      <c r="E643" t="s">
        <v>36</v>
      </c>
      <c r="F643" t="s">
        <v>75</v>
      </c>
      <c r="G643" t="s">
        <v>76</v>
      </c>
      <c r="I643">
        <v>5</v>
      </c>
      <c r="K643">
        <v>6</v>
      </c>
      <c r="Q643" t="s">
        <v>67</v>
      </c>
      <c r="R643" t="str">
        <f>_xlfn.XLOOKUP(GERAL[[#This Row],[Dia]],U:U,V:V,"")</f>
        <v>Prazo_30</v>
      </c>
    </row>
    <row r="644" spans="1:18" x14ac:dyDescent="0.3">
      <c r="A644" t="str">
        <f>_xlfn.XLOOKUP(GERAL[[#This Row],[Dia]],U:U,T:T,"")</f>
        <v>Semana 5</v>
      </c>
      <c r="B644" s="1">
        <v>46083</v>
      </c>
      <c r="C644" t="s">
        <v>22</v>
      </c>
      <c r="D644" s="1">
        <v>46083</v>
      </c>
      <c r="E644" t="s">
        <v>36</v>
      </c>
      <c r="F644" t="s">
        <v>75</v>
      </c>
      <c r="G644" t="s">
        <v>77</v>
      </c>
      <c r="I644">
        <v>2</v>
      </c>
      <c r="K644">
        <v>6</v>
      </c>
      <c r="L644">
        <v>2</v>
      </c>
      <c r="Q644" t="s">
        <v>67</v>
      </c>
      <c r="R644" t="str">
        <f>_xlfn.XLOOKUP(GERAL[[#This Row],[Dia]],U:U,V:V,"")</f>
        <v>Prazo_30</v>
      </c>
    </row>
    <row r="645" spans="1:18" x14ac:dyDescent="0.3">
      <c r="A645" t="str">
        <f>_xlfn.XLOOKUP(GERAL[[#This Row],[Dia]],U:U,T:T,"")</f>
        <v>Semana 5</v>
      </c>
      <c r="B645" s="1">
        <v>46083</v>
      </c>
      <c r="C645" t="s">
        <v>22</v>
      </c>
      <c r="D645" s="1">
        <v>46083</v>
      </c>
      <c r="E645" t="s">
        <v>36</v>
      </c>
      <c r="F645" t="s">
        <v>75</v>
      </c>
      <c r="G645" t="s">
        <v>78</v>
      </c>
      <c r="K645">
        <v>6</v>
      </c>
      <c r="Q645" t="s">
        <v>67</v>
      </c>
      <c r="R645" t="str">
        <f>_xlfn.XLOOKUP(GERAL[[#This Row],[Dia]],U:U,V:V,"")</f>
        <v>Prazo_30</v>
      </c>
    </row>
    <row r="646" spans="1:18" x14ac:dyDescent="0.3">
      <c r="A646" t="str">
        <f>_xlfn.XLOOKUP(GERAL[[#This Row],[Dia]],U:U,T:T,"")</f>
        <v>Semana 6</v>
      </c>
      <c r="B646" s="1">
        <v>46084</v>
      </c>
      <c r="C646" t="s">
        <v>23</v>
      </c>
      <c r="D646" s="1">
        <v>46084</v>
      </c>
      <c r="E646" t="s">
        <v>36</v>
      </c>
      <c r="F646" t="s">
        <v>73</v>
      </c>
      <c r="G646" t="s">
        <v>79</v>
      </c>
      <c r="K646">
        <v>3</v>
      </c>
      <c r="Q646" t="s">
        <v>67</v>
      </c>
      <c r="R646" t="str">
        <f>_xlfn.XLOOKUP(GERAL[[#This Row],[Dia]],U:U,V:V,"")</f>
        <v>Prazo_30</v>
      </c>
    </row>
    <row r="647" spans="1:18" x14ac:dyDescent="0.3">
      <c r="A647" t="str">
        <f>_xlfn.XLOOKUP(GERAL[[#This Row],[Dia]],U:U,T:T,"")</f>
        <v>Semana 6</v>
      </c>
      <c r="B647" s="1">
        <v>46084</v>
      </c>
      <c r="C647" t="s">
        <v>23</v>
      </c>
      <c r="D647" s="1">
        <v>46084</v>
      </c>
      <c r="E647" t="s">
        <v>36</v>
      </c>
      <c r="F647" t="s">
        <v>70</v>
      </c>
      <c r="G647" t="s">
        <v>80</v>
      </c>
      <c r="K647">
        <v>6</v>
      </c>
      <c r="Q647" t="s">
        <v>67</v>
      </c>
      <c r="R647" t="str">
        <f>_xlfn.XLOOKUP(GERAL[[#This Row],[Dia]],U:U,V:V,"")</f>
        <v>Prazo_30</v>
      </c>
    </row>
    <row r="648" spans="1:18" x14ac:dyDescent="0.3">
      <c r="A648" t="str">
        <f>_xlfn.XLOOKUP(GERAL[[#This Row],[Dia]],U:U,T:T,"")</f>
        <v>Semana 6</v>
      </c>
      <c r="B648" s="1">
        <v>46084</v>
      </c>
      <c r="C648" t="s">
        <v>23</v>
      </c>
      <c r="D648" s="1">
        <v>46084</v>
      </c>
      <c r="E648" t="s">
        <v>36</v>
      </c>
      <c r="F648" t="s">
        <v>70</v>
      </c>
      <c r="G648" t="s">
        <v>81</v>
      </c>
      <c r="K648">
        <v>12</v>
      </c>
      <c r="L648">
        <v>1</v>
      </c>
      <c r="Q648" t="s">
        <v>67</v>
      </c>
      <c r="R648" t="str">
        <f>_xlfn.XLOOKUP(GERAL[[#This Row],[Dia]],U:U,V:V,"")</f>
        <v>Prazo_30</v>
      </c>
    </row>
    <row r="649" spans="1:18" x14ac:dyDescent="0.3">
      <c r="A649" t="str">
        <f>_xlfn.XLOOKUP(GERAL[[#This Row],[Dia]],U:U,T:T,"")</f>
        <v>Semana 6</v>
      </c>
      <c r="B649" s="1">
        <v>46084</v>
      </c>
      <c r="C649" t="s">
        <v>23</v>
      </c>
      <c r="D649" s="1">
        <v>46084</v>
      </c>
      <c r="E649" t="s">
        <v>36</v>
      </c>
      <c r="F649" t="s">
        <v>75</v>
      </c>
      <c r="G649" t="s">
        <v>76</v>
      </c>
      <c r="I649">
        <v>7</v>
      </c>
      <c r="J649">
        <v>20</v>
      </c>
      <c r="K649">
        <v>6</v>
      </c>
      <c r="Q649" t="s">
        <v>67</v>
      </c>
      <c r="R649" t="str">
        <f>_xlfn.XLOOKUP(GERAL[[#This Row],[Dia]],U:U,V:V,"")</f>
        <v>Prazo_30</v>
      </c>
    </row>
    <row r="650" spans="1:18" x14ac:dyDescent="0.3">
      <c r="A650" t="str">
        <f>_xlfn.XLOOKUP(GERAL[[#This Row],[Dia]],U:U,T:T,"")</f>
        <v>Semana 6</v>
      </c>
      <c r="B650" s="1">
        <v>46084</v>
      </c>
      <c r="C650" t="s">
        <v>23</v>
      </c>
      <c r="D650" s="1">
        <v>46084</v>
      </c>
      <c r="E650" t="s">
        <v>36</v>
      </c>
      <c r="F650" t="s">
        <v>75</v>
      </c>
      <c r="G650" t="s">
        <v>78</v>
      </c>
      <c r="I650">
        <v>2</v>
      </c>
      <c r="K650">
        <v>6</v>
      </c>
      <c r="Q650" t="s">
        <v>67</v>
      </c>
      <c r="R650" t="str">
        <f>_xlfn.XLOOKUP(GERAL[[#This Row],[Dia]],U:U,V:V,"")</f>
        <v>Prazo_30</v>
      </c>
    </row>
    <row r="651" spans="1:18" x14ac:dyDescent="0.3">
      <c r="A651" t="str">
        <f>_xlfn.XLOOKUP(GERAL[[#This Row],[Dia]],U:U,T:T,"")</f>
        <v>Semana 6</v>
      </c>
      <c r="B651" s="1">
        <v>46085</v>
      </c>
      <c r="C651" t="s">
        <v>24</v>
      </c>
      <c r="D651" s="1">
        <v>46085</v>
      </c>
      <c r="E651" t="s">
        <v>36</v>
      </c>
      <c r="F651" t="s">
        <v>82</v>
      </c>
      <c r="G651" t="s">
        <v>83</v>
      </c>
      <c r="K651">
        <v>12</v>
      </c>
      <c r="Q651" t="s">
        <v>67</v>
      </c>
      <c r="R651" t="str">
        <f>_xlfn.XLOOKUP(GERAL[[#This Row],[Dia]],U:U,V:V,"")</f>
        <v>Prazo_30</v>
      </c>
    </row>
    <row r="652" spans="1:18" x14ac:dyDescent="0.3">
      <c r="A652" t="str">
        <f>_xlfn.XLOOKUP(GERAL[[#This Row],[Dia]],U:U,T:T,"")</f>
        <v>Semana 6</v>
      </c>
      <c r="B652" s="1">
        <v>46085</v>
      </c>
      <c r="C652" t="s">
        <v>24</v>
      </c>
      <c r="D652" s="1">
        <v>46085</v>
      </c>
      <c r="E652" t="s">
        <v>36</v>
      </c>
      <c r="F652" t="s">
        <v>82</v>
      </c>
      <c r="G652" t="s">
        <v>71</v>
      </c>
      <c r="K652">
        <v>6</v>
      </c>
      <c r="Q652" t="s">
        <v>67</v>
      </c>
      <c r="R652" t="str">
        <f>_xlfn.XLOOKUP(GERAL[[#This Row],[Dia]],U:U,V:V,"")</f>
        <v>Prazo_30</v>
      </c>
    </row>
    <row r="653" spans="1:18" x14ac:dyDescent="0.3">
      <c r="A653" t="str">
        <f>_xlfn.XLOOKUP(GERAL[[#This Row],[Dia]],U:U,T:T,"")</f>
        <v>Semana 6</v>
      </c>
      <c r="B653" s="1">
        <v>46085</v>
      </c>
      <c r="C653" t="s">
        <v>24</v>
      </c>
      <c r="D653" s="1">
        <v>46085</v>
      </c>
      <c r="E653" t="s">
        <v>36</v>
      </c>
      <c r="F653" t="s">
        <v>82</v>
      </c>
      <c r="G653" t="s">
        <v>72</v>
      </c>
      <c r="K653">
        <v>12</v>
      </c>
      <c r="L653">
        <v>1</v>
      </c>
      <c r="Q653" t="s">
        <v>67</v>
      </c>
      <c r="R653" t="str">
        <f>_xlfn.XLOOKUP(GERAL[[#This Row],[Dia]],U:U,V:V,"")</f>
        <v>Prazo_30</v>
      </c>
    </row>
    <row r="654" spans="1:18" x14ac:dyDescent="0.3">
      <c r="A654" t="str">
        <f>_xlfn.XLOOKUP(GERAL[[#This Row],[Dia]],U:U,T:T,"")</f>
        <v>Semana 6</v>
      </c>
      <c r="B654" s="1">
        <v>46085</v>
      </c>
      <c r="C654" t="s">
        <v>24</v>
      </c>
      <c r="D654" s="1">
        <v>46085</v>
      </c>
      <c r="E654" t="s">
        <v>36</v>
      </c>
      <c r="F654" t="s">
        <v>75</v>
      </c>
      <c r="G654" t="s">
        <v>76</v>
      </c>
      <c r="I654">
        <v>6</v>
      </c>
      <c r="K654">
        <v>6</v>
      </c>
      <c r="Q654" t="s">
        <v>67</v>
      </c>
      <c r="R654" t="str">
        <f>_xlfn.XLOOKUP(GERAL[[#This Row],[Dia]],U:U,V:V,"")</f>
        <v>Prazo_30</v>
      </c>
    </row>
    <row r="655" spans="1:18" x14ac:dyDescent="0.3">
      <c r="A655" t="str">
        <f>_xlfn.XLOOKUP(GERAL[[#This Row],[Dia]],U:U,T:T,"")</f>
        <v>Semana 6</v>
      </c>
      <c r="B655" s="1">
        <v>46085</v>
      </c>
      <c r="C655" t="s">
        <v>24</v>
      </c>
      <c r="D655" s="1">
        <v>46085</v>
      </c>
      <c r="E655" t="s">
        <v>36</v>
      </c>
      <c r="F655" t="s">
        <v>75</v>
      </c>
      <c r="G655" t="s">
        <v>78</v>
      </c>
      <c r="I655">
        <v>6</v>
      </c>
      <c r="Q655" t="s">
        <v>67</v>
      </c>
      <c r="R655" t="str">
        <f>_xlfn.XLOOKUP(GERAL[[#This Row],[Dia]],U:U,V:V,"")</f>
        <v>Prazo_30</v>
      </c>
    </row>
    <row r="656" spans="1:18" x14ac:dyDescent="0.3">
      <c r="A656" t="str">
        <f>_xlfn.XLOOKUP(GERAL[[#This Row],[Dia]],U:U,T:T,"")</f>
        <v>Semana 6</v>
      </c>
      <c r="B656" s="1">
        <v>46085</v>
      </c>
      <c r="C656" t="s">
        <v>24</v>
      </c>
      <c r="D656" s="1">
        <v>46085</v>
      </c>
      <c r="E656" t="s">
        <v>36</v>
      </c>
      <c r="F656" t="s">
        <v>75</v>
      </c>
      <c r="G656" t="s">
        <v>84</v>
      </c>
      <c r="I656">
        <v>1</v>
      </c>
      <c r="Q656" t="s">
        <v>67</v>
      </c>
      <c r="R656" t="str">
        <f>_xlfn.XLOOKUP(GERAL[[#This Row],[Dia]],U:U,V:V,"")</f>
        <v>Prazo_30</v>
      </c>
    </row>
    <row r="657" spans="1:18" x14ac:dyDescent="0.3">
      <c r="A657" t="str">
        <f>_xlfn.XLOOKUP(GERAL[[#This Row],[Dia]],U:U,T:T,"")</f>
        <v>Semana 6</v>
      </c>
      <c r="B657" s="1">
        <v>46086</v>
      </c>
      <c r="C657" t="s">
        <v>25</v>
      </c>
      <c r="D657" s="1">
        <v>46086</v>
      </c>
      <c r="E657" t="s">
        <v>36</v>
      </c>
      <c r="F657" t="s">
        <v>75</v>
      </c>
      <c r="G657" t="s">
        <v>76</v>
      </c>
      <c r="H657">
        <v>1</v>
      </c>
      <c r="I657">
        <v>7</v>
      </c>
      <c r="K657">
        <v>12</v>
      </c>
      <c r="N657">
        <v>1</v>
      </c>
      <c r="Q657" t="s">
        <v>67</v>
      </c>
      <c r="R657" t="str">
        <f>_xlfn.XLOOKUP(GERAL[[#This Row],[Dia]],U:U,V:V,"")</f>
        <v>Prazo_30</v>
      </c>
    </row>
    <row r="658" spans="1:18" x14ac:dyDescent="0.3">
      <c r="A658" t="str">
        <f>_xlfn.XLOOKUP(GERAL[[#This Row],[Dia]],U:U,T:T,"")</f>
        <v>Semana 6</v>
      </c>
      <c r="B658" s="1">
        <v>46086</v>
      </c>
      <c r="C658" t="s">
        <v>25</v>
      </c>
      <c r="D658" s="1">
        <v>46086</v>
      </c>
      <c r="E658" t="s">
        <v>36</v>
      </c>
      <c r="F658" t="s">
        <v>75</v>
      </c>
      <c r="G658" t="s">
        <v>78</v>
      </c>
      <c r="K658">
        <v>6</v>
      </c>
      <c r="Q658" t="s">
        <v>67</v>
      </c>
      <c r="R658" t="str">
        <f>_xlfn.XLOOKUP(GERAL[[#This Row],[Dia]],U:U,V:V,"")</f>
        <v>Prazo_30</v>
      </c>
    </row>
    <row r="659" spans="1:18" x14ac:dyDescent="0.3">
      <c r="A659" t="str">
        <f>_xlfn.XLOOKUP(GERAL[[#This Row],[Dia]],U:U,T:T,"")</f>
        <v>Semana 6</v>
      </c>
      <c r="B659" s="1">
        <v>46086</v>
      </c>
      <c r="C659" t="s">
        <v>25</v>
      </c>
      <c r="D659" s="1">
        <v>46086</v>
      </c>
      <c r="E659" t="s">
        <v>36</v>
      </c>
      <c r="F659" t="s">
        <v>75</v>
      </c>
      <c r="G659" t="s">
        <v>85</v>
      </c>
      <c r="I659">
        <v>1</v>
      </c>
      <c r="Q659" t="s">
        <v>67</v>
      </c>
      <c r="R659" t="str">
        <f>_xlfn.XLOOKUP(GERAL[[#This Row],[Dia]],U:U,V:V,"")</f>
        <v>Prazo_30</v>
      </c>
    </row>
    <row r="660" spans="1:18" x14ac:dyDescent="0.3">
      <c r="A660" t="str">
        <f>_xlfn.XLOOKUP(GERAL[[#This Row],[Dia]],U:U,T:T,"")</f>
        <v>Semana 6</v>
      </c>
      <c r="B660" s="1">
        <v>46086</v>
      </c>
      <c r="C660" t="s">
        <v>25</v>
      </c>
      <c r="D660" s="1">
        <v>46086</v>
      </c>
      <c r="E660" t="s">
        <v>36</v>
      </c>
      <c r="F660" t="s">
        <v>82</v>
      </c>
      <c r="G660" t="s">
        <v>83</v>
      </c>
      <c r="K660">
        <v>9</v>
      </c>
      <c r="Q660" t="s">
        <v>67</v>
      </c>
      <c r="R660" t="str">
        <f>_xlfn.XLOOKUP(GERAL[[#This Row],[Dia]],U:U,V:V,"")</f>
        <v>Prazo_30</v>
      </c>
    </row>
    <row r="661" spans="1:18" x14ac:dyDescent="0.3">
      <c r="A661" t="str">
        <f>_xlfn.XLOOKUP(GERAL[[#This Row],[Dia]],U:U,T:T,"")</f>
        <v>Semana 6</v>
      </c>
      <c r="B661" s="1">
        <v>46086</v>
      </c>
      <c r="C661" t="s">
        <v>25</v>
      </c>
      <c r="D661" s="1">
        <v>46086</v>
      </c>
      <c r="E661" t="s">
        <v>36</v>
      </c>
      <c r="F661" t="s">
        <v>82</v>
      </c>
      <c r="G661" t="s">
        <v>71</v>
      </c>
      <c r="J661">
        <v>56</v>
      </c>
      <c r="Q661" t="s">
        <v>67</v>
      </c>
      <c r="R661" t="str">
        <f>_xlfn.XLOOKUP(GERAL[[#This Row],[Dia]],U:U,V:V,"")</f>
        <v>Prazo_30</v>
      </c>
    </row>
    <row r="662" spans="1:18" x14ac:dyDescent="0.3">
      <c r="A662" t="str">
        <f>_xlfn.XLOOKUP(GERAL[[#This Row],[Dia]],U:U,T:T,"")</f>
        <v>Semana 6</v>
      </c>
      <c r="B662" s="1">
        <v>46086</v>
      </c>
      <c r="C662" t="s">
        <v>25</v>
      </c>
      <c r="D662" s="1">
        <v>46086</v>
      </c>
      <c r="E662" t="s">
        <v>36</v>
      </c>
      <c r="F662" t="s">
        <v>82</v>
      </c>
      <c r="G662" t="s">
        <v>72</v>
      </c>
      <c r="K662">
        <v>5</v>
      </c>
      <c r="Q662" t="s">
        <v>67</v>
      </c>
      <c r="R662" t="str">
        <f>_xlfn.XLOOKUP(GERAL[[#This Row],[Dia]],U:U,V:V,"")</f>
        <v>Prazo_30</v>
      </c>
    </row>
    <row r="663" spans="1:18" x14ac:dyDescent="0.3">
      <c r="A663" t="str">
        <f>_xlfn.XLOOKUP(GERAL[[#This Row],[Dia]],U:U,T:T,"")</f>
        <v>Semana 6</v>
      </c>
      <c r="B663" s="1">
        <v>46087</v>
      </c>
      <c r="C663" t="s">
        <v>26</v>
      </c>
      <c r="D663" s="1">
        <v>46087</v>
      </c>
      <c r="E663" t="s">
        <v>36</v>
      </c>
      <c r="F663" t="s">
        <v>75</v>
      </c>
      <c r="G663" t="s">
        <v>76</v>
      </c>
      <c r="H663">
        <v>5</v>
      </c>
      <c r="N663">
        <v>1</v>
      </c>
      <c r="Q663" t="s">
        <v>67</v>
      </c>
      <c r="R663" t="str">
        <f>_xlfn.XLOOKUP(GERAL[[#This Row],[Dia]],U:U,V:V,"")</f>
        <v>Prazo_30</v>
      </c>
    </row>
    <row r="664" spans="1:18" x14ac:dyDescent="0.3">
      <c r="A664" t="str">
        <f>_xlfn.XLOOKUP(GERAL[[#This Row],[Dia]],U:U,T:T,"")</f>
        <v>Semana 6</v>
      </c>
      <c r="B664" s="1">
        <v>46087</v>
      </c>
      <c r="C664" t="s">
        <v>26</v>
      </c>
      <c r="D664" s="1">
        <v>46087</v>
      </c>
      <c r="E664" t="s">
        <v>36</v>
      </c>
      <c r="F664" t="s">
        <v>75</v>
      </c>
      <c r="G664" t="s">
        <v>77</v>
      </c>
      <c r="I664">
        <v>1</v>
      </c>
      <c r="L664">
        <v>2</v>
      </c>
      <c r="Q664" t="s">
        <v>67</v>
      </c>
      <c r="R664" t="str">
        <f>_xlfn.XLOOKUP(GERAL[[#This Row],[Dia]],U:U,V:V,"")</f>
        <v>Prazo_30</v>
      </c>
    </row>
    <row r="665" spans="1:18" x14ac:dyDescent="0.3">
      <c r="A665" t="str">
        <f>_xlfn.XLOOKUP(GERAL[[#This Row],[Dia]],U:U,T:T,"")</f>
        <v>Semana 6</v>
      </c>
      <c r="B665" s="1">
        <v>46087</v>
      </c>
      <c r="C665" t="s">
        <v>26</v>
      </c>
      <c r="D665" s="1">
        <v>46087</v>
      </c>
      <c r="E665" t="s">
        <v>36</v>
      </c>
      <c r="F665" t="s">
        <v>75</v>
      </c>
      <c r="G665" t="s">
        <v>78</v>
      </c>
      <c r="I665">
        <v>5</v>
      </c>
      <c r="J665">
        <v>60</v>
      </c>
      <c r="L665">
        <v>1</v>
      </c>
      <c r="Q665" t="s">
        <v>67</v>
      </c>
      <c r="R665" t="str">
        <f>_xlfn.XLOOKUP(GERAL[[#This Row],[Dia]],U:U,V:V,"")</f>
        <v>Prazo_30</v>
      </c>
    </row>
    <row r="666" spans="1:18" x14ac:dyDescent="0.3">
      <c r="A666" t="str">
        <f>_xlfn.XLOOKUP(GERAL[[#This Row],[Dia]],U:U,T:T,"")</f>
        <v>Semana 6</v>
      </c>
      <c r="B666" s="1">
        <v>46087</v>
      </c>
      <c r="C666" t="s">
        <v>26</v>
      </c>
      <c r="D666" s="1">
        <v>46087</v>
      </c>
      <c r="E666" t="s">
        <v>36</v>
      </c>
      <c r="F666" t="s">
        <v>82</v>
      </c>
      <c r="G666" t="s">
        <v>72</v>
      </c>
      <c r="H666">
        <v>7</v>
      </c>
      <c r="J666">
        <v>60</v>
      </c>
      <c r="Q666" t="s">
        <v>67</v>
      </c>
      <c r="R666" t="str">
        <f>_xlfn.XLOOKUP(GERAL[[#This Row],[Dia]],U:U,V:V,"")</f>
        <v>Prazo_30</v>
      </c>
    </row>
    <row r="667" spans="1:18" x14ac:dyDescent="0.3">
      <c r="A667" t="str">
        <f>_xlfn.XLOOKUP(GERAL[[#This Row],[Dia]],U:U,T:T,"")</f>
        <v>Semana 6</v>
      </c>
      <c r="B667" s="1">
        <v>46087</v>
      </c>
      <c r="C667" t="s">
        <v>26</v>
      </c>
      <c r="D667" s="1">
        <v>46087</v>
      </c>
      <c r="E667" t="s">
        <v>36</v>
      </c>
      <c r="F667" t="s">
        <v>82</v>
      </c>
      <c r="G667" t="s">
        <v>83</v>
      </c>
      <c r="K667">
        <v>5</v>
      </c>
      <c r="Q667" t="s">
        <v>67</v>
      </c>
      <c r="R667" t="str">
        <f>_xlfn.XLOOKUP(GERAL[[#This Row],[Dia]],U:U,V:V,"")</f>
        <v>Prazo_30</v>
      </c>
    </row>
    <row r="668" spans="1:18" x14ac:dyDescent="0.3">
      <c r="A668" t="str">
        <f>_xlfn.XLOOKUP(GERAL[[#This Row],[Dia]],U:U,T:T,"")</f>
        <v>Semana 6</v>
      </c>
      <c r="B668" s="1">
        <v>46088</v>
      </c>
      <c r="C668" t="s">
        <v>16</v>
      </c>
      <c r="D668" s="1">
        <v>46088</v>
      </c>
      <c r="E668" t="s">
        <v>17</v>
      </c>
      <c r="Q668" t="s">
        <v>67</v>
      </c>
      <c r="R668" t="str">
        <f>_xlfn.XLOOKUP(GERAL[[#This Row],[Dia]],U:U,V:V,"")</f>
        <v>Prazo_30</v>
      </c>
    </row>
    <row r="669" spans="1:18" x14ac:dyDescent="0.3">
      <c r="A669" t="str">
        <f>_xlfn.XLOOKUP(GERAL[[#This Row],[Dia]],U:U,T:T,"")</f>
        <v>Semana 6</v>
      </c>
      <c r="B669" s="1">
        <v>46089</v>
      </c>
      <c r="C669" t="s">
        <v>21</v>
      </c>
      <c r="D669" s="1">
        <v>46089</v>
      </c>
      <c r="E669" t="s">
        <v>17</v>
      </c>
      <c r="Q669" t="s">
        <v>67</v>
      </c>
      <c r="R669" t="str">
        <f>_xlfn.XLOOKUP(GERAL[[#This Row],[Dia]],U:U,V:V,"")</f>
        <v>Prazo_30</v>
      </c>
    </row>
    <row r="670" spans="1:18" x14ac:dyDescent="0.3">
      <c r="A670" t="str">
        <f>_xlfn.XLOOKUP(GERAL[[#This Row],[Dia]],U:U,T:T,"")</f>
        <v>Semana 7</v>
      </c>
      <c r="B670" s="1">
        <v>46090</v>
      </c>
      <c r="C670" t="s">
        <v>22</v>
      </c>
      <c r="D670" s="1">
        <v>46090</v>
      </c>
      <c r="E670" t="s">
        <v>36</v>
      </c>
      <c r="F670" t="s">
        <v>82</v>
      </c>
      <c r="G670" t="s">
        <v>86</v>
      </c>
      <c r="I670">
        <v>5</v>
      </c>
      <c r="K670">
        <v>12</v>
      </c>
      <c r="Q670" t="s">
        <v>67</v>
      </c>
      <c r="R670" t="str">
        <f>_xlfn.XLOOKUP(GERAL[[#This Row],[Dia]],U:U,V:V,"")</f>
        <v>Prazo_30</v>
      </c>
    </row>
    <row r="671" spans="1:18" x14ac:dyDescent="0.3">
      <c r="A671" t="str">
        <f>_xlfn.XLOOKUP(GERAL[[#This Row],[Dia]],U:U,T:T,"")</f>
        <v>Semana 7</v>
      </c>
      <c r="B671" s="1">
        <v>46090</v>
      </c>
      <c r="C671" t="s">
        <v>22</v>
      </c>
      <c r="D671" s="1">
        <v>46090</v>
      </c>
      <c r="E671" t="s">
        <v>36</v>
      </c>
      <c r="F671" t="s">
        <v>82</v>
      </c>
      <c r="G671" t="s">
        <v>81</v>
      </c>
      <c r="I671">
        <v>5</v>
      </c>
      <c r="Q671" t="s">
        <v>67</v>
      </c>
      <c r="R671" t="str">
        <f>_xlfn.XLOOKUP(GERAL[[#This Row],[Dia]],U:U,V:V,"")</f>
        <v>Prazo_30</v>
      </c>
    </row>
    <row r="672" spans="1:18" x14ac:dyDescent="0.3">
      <c r="A672" t="str">
        <f>_xlfn.XLOOKUP(GERAL[[#This Row],[Dia]],U:U,T:T,"")</f>
        <v>Semana 7</v>
      </c>
      <c r="B672" s="1">
        <v>46090</v>
      </c>
      <c r="C672" t="s">
        <v>22</v>
      </c>
      <c r="D672" s="1">
        <v>46090</v>
      </c>
      <c r="E672" t="s">
        <v>36</v>
      </c>
      <c r="F672" t="s">
        <v>82</v>
      </c>
      <c r="G672" t="s">
        <v>83</v>
      </c>
      <c r="I672">
        <v>1</v>
      </c>
      <c r="Q672" t="s">
        <v>67</v>
      </c>
      <c r="R672" t="str">
        <f>_xlfn.XLOOKUP(GERAL[[#This Row],[Dia]],U:U,V:V,"")</f>
        <v>Prazo_30</v>
      </c>
    </row>
    <row r="673" spans="1:18" x14ac:dyDescent="0.3">
      <c r="A673" t="str">
        <f>_xlfn.XLOOKUP(GERAL[[#This Row],[Dia]],U:U,T:T,"")</f>
        <v>Semana 7</v>
      </c>
      <c r="B673" s="1">
        <v>46090</v>
      </c>
      <c r="C673" t="s">
        <v>22</v>
      </c>
      <c r="D673" s="1">
        <v>46090</v>
      </c>
      <c r="E673" t="s">
        <v>36</v>
      </c>
      <c r="F673" t="s">
        <v>75</v>
      </c>
      <c r="G673" t="s">
        <v>76</v>
      </c>
      <c r="I673">
        <v>1</v>
      </c>
      <c r="K673">
        <v>6</v>
      </c>
      <c r="L673">
        <v>1</v>
      </c>
      <c r="N673">
        <v>2</v>
      </c>
      <c r="Q673" t="s">
        <v>67</v>
      </c>
      <c r="R673" t="str">
        <f>_xlfn.XLOOKUP(GERAL[[#This Row],[Dia]],U:U,V:V,"")</f>
        <v>Prazo_30</v>
      </c>
    </row>
    <row r="674" spans="1:18" x14ac:dyDescent="0.3">
      <c r="A674" t="str">
        <f>_xlfn.XLOOKUP(GERAL[[#This Row],[Dia]],U:U,T:T,"")</f>
        <v>Semana 7</v>
      </c>
      <c r="B674" s="1">
        <v>46090</v>
      </c>
      <c r="C674" t="s">
        <v>22</v>
      </c>
      <c r="D674" s="1">
        <v>46090</v>
      </c>
      <c r="E674" t="s">
        <v>36</v>
      </c>
      <c r="F674" t="s">
        <v>75</v>
      </c>
      <c r="G674" t="s">
        <v>87</v>
      </c>
      <c r="H674">
        <v>2</v>
      </c>
      <c r="Q674" t="s">
        <v>67</v>
      </c>
      <c r="R674" t="str">
        <f>_xlfn.XLOOKUP(GERAL[[#This Row],[Dia]],U:U,V:V,"")</f>
        <v>Prazo_30</v>
      </c>
    </row>
    <row r="675" spans="1:18" x14ac:dyDescent="0.3">
      <c r="A675" t="str">
        <f>_xlfn.XLOOKUP(GERAL[[#This Row],[Dia]],U:U,T:T,"")</f>
        <v>Semana 7</v>
      </c>
      <c r="B675" s="1">
        <v>46090</v>
      </c>
      <c r="C675" t="s">
        <v>22</v>
      </c>
      <c r="D675" s="1">
        <v>46090</v>
      </c>
      <c r="E675" t="s">
        <v>36</v>
      </c>
      <c r="F675" t="s">
        <v>75</v>
      </c>
      <c r="G675" t="s">
        <v>78</v>
      </c>
      <c r="L675">
        <v>1</v>
      </c>
      <c r="Q675" t="s">
        <v>67</v>
      </c>
      <c r="R675" t="str">
        <f>_xlfn.XLOOKUP(GERAL[[#This Row],[Dia]],U:U,V:V,"")</f>
        <v>Prazo_30</v>
      </c>
    </row>
    <row r="676" spans="1:18" x14ac:dyDescent="0.3">
      <c r="A676" t="str">
        <f>_xlfn.XLOOKUP(GERAL[[#This Row],[Dia]],U:U,T:T,"")</f>
        <v>Semana 7</v>
      </c>
      <c r="B676" s="1">
        <v>46091</v>
      </c>
      <c r="C676" t="s">
        <v>23</v>
      </c>
      <c r="D676" s="1">
        <v>46091</v>
      </c>
      <c r="E676" t="s">
        <v>17</v>
      </c>
      <c r="G676" t="s">
        <v>88</v>
      </c>
      <c r="Q676" t="s">
        <v>67</v>
      </c>
      <c r="R676" t="str">
        <f>_xlfn.XLOOKUP(GERAL[[#This Row],[Dia]],U:U,V:V,"")</f>
        <v>Prazo_30</v>
      </c>
    </row>
    <row r="677" spans="1:18" x14ac:dyDescent="0.3">
      <c r="A677" t="str">
        <f>_xlfn.XLOOKUP(GERAL[[#This Row],[Dia]],U:U,T:T,"")</f>
        <v>Semana 7</v>
      </c>
      <c r="B677" s="1">
        <v>46092</v>
      </c>
      <c r="C677" t="s">
        <v>24</v>
      </c>
      <c r="D677" s="1">
        <v>46092</v>
      </c>
      <c r="E677" t="s">
        <v>36</v>
      </c>
      <c r="F677" t="s">
        <v>75</v>
      </c>
      <c r="G677" t="s">
        <v>76</v>
      </c>
      <c r="I677">
        <v>1</v>
      </c>
      <c r="J677">
        <v>23</v>
      </c>
      <c r="L677">
        <v>1</v>
      </c>
      <c r="Q677" t="s">
        <v>67</v>
      </c>
      <c r="R677" t="str">
        <f>_xlfn.XLOOKUP(GERAL[[#This Row],[Dia]],U:U,V:V,"")</f>
        <v>Prazo_30</v>
      </c>
    </row>
    <row r="678" spans="1:18" x14ac:dyDescent="0.3">
      <c r="A678" t="str">
        <f>_xlfn.XLOOKUP(GERAL[[#This Row],[Dia]],U:U,T:T,"")</f>
        <v>Semana 7</v>
      </c>
      <c r="B678" s="1">
        <v>46092</v>
      </c>
      <c r="C678" t="s">
        <v>24</v>
      </c>
      <c r="D678" s="1">
        <v>46092</v>
      </c>
      <c r="E678" t="s">
        <v>36</v>
      </c>
      <c r="F678" t="s">
        <v>75</v>
      </c>
      <c r="G678" t="s">
        <v>85</v>
      </c>
      <c r="H678">
        <v>5</v>
      </c>
      <c r="Q678" t="s">
        <v>67</v>
      </c>
      <c r="R678" t="str">
        <f>_xlfn.XLOOKUP(GERAL[[#This Row],[Dia]],U:U,V:V,"")</f>
        <v>Prazo_30</v>
      </c>
    </row>
    <row r="679" spans="1:18" x14ac:dyDescent="0.3">
      <c r="A679" t="str">
        <f>_xlfn.XLOOKUP(GERAL[[#This Row],[Dia]],U:U,T:T,"")</f>
        <v>Semana 7</v>
      </c>
      <c r="B679" s="1">
        <v>46092</v>
      </c>
      <c r="C679" t="s">
        <v>24</v>
      </c>
      <c r="D679" s="1">
        <v>46092</v>
      </c>
      <c r="E679" t="s">
        <v>36</v>
      </c>
      <c r="F679" t="s">
        <v>75</v>
      </c>
      <c r="G679" t="s">
        <v>78</v>
      </c>
      <c r="L679">
        <v>1</v>
      </c>
      <c r="Q679" t="s">
        <v>67</v>
      </c>
      <c r="R679" t="str">
        <f>_xlfn.XLOOKUP(GERAL[[#This Row],[Dia]],U:U,V:V,"")</f>
        <v>Prazo_30</v>
      </c>
    </row>
    <row r="680" spans="1:18" x14ac:dyDescent="0.3">
      <c r="A680" t="str">
        <f>_xlfn.XLOOKUP(GERAL[[#This Row],[Dia]],U:U,T:T,"")</f>
        <v>Semana 7</v>
      </c>
      <c r="B680" s="1">
        <v>46092</v>
      </c>
      <c r="C680" t="s">
        <v>24</v>
      </c>
      <c r="D680" s="1">
        <v>46092</v>
      </c>
      <c r="E680" t="s">
        <v>36</v>
      </c>
      <c r="F680" t="s">
        <v>75</v>
      </c>
      <c r="G680" t="s">
        <v>77</v>
      </c>
      <c r="H680">
        <v>5</v>
      </c>
      <c r="Q680" t="s">
        <v>67</v>
      </c>
      <c r="R680" t="str">
        <f>_xlfn.XLOOKUP(GERAL[[#This Row],[Dia]],U:U,V:V,"")</f>
        <v>Prazo_30</v>
      </c>
    </row>
    <row r="681" spans="1:18" x14ac:dyDescent="0.3">
      <c r="A681" t="str">
        <f>_xlfn.XLOOKUP(GERAL[[#This Row],[Dia]],U:U,T:T,"")</f>
        <v>Semana 7</v>
      </c>
      <c r="B681" s="1">
        <v>46092</v>
      </c>
      <c r="C681" t="s">
        <v>24</v>
      </c>
      <c r="D681" s="1">
        <v>46092</v>
      </c>
      <c r="E681" t="s">
        <v>36</v>
      </c>
      <c r="F681" t="s">
        <v>82</v>
      </c>
      <c r="G681" t="s">
        <v>89</v>
      </c>
      <c r="I681">
        <v>3</v>
      </c>
      <c r="K681">
        <v>3</v>
      </c>
      <c r="Q681" t="s">
        <v>67</v>
      </c>
      <c r="R681" t="str">
        <f>_xlfn.XLOOKUP(GERAL[[#This Row],[Dia]],U:U,V:V,"")</f>
        <v>Prazo_30</v>
      </c>
    </row>
    <row r="682" spans="1:18" x14ac:dyDescent="0.3">
      <c r="A682" t="str">
        <f>_xlfn.XLOOKUP(GERAL[[#This Row],[Dia]],U:U,T:T,"")</f>
        <v>Semana 7</v>
      </c>
      <c r="B682" s="1">
        <v>46092</v>
      </c>
      <c r="C682" t="s">
        <v>24</v>
      </c>
      <c r="D682" s="1">
        <v>46092</v>
      </c>
      <c r="E682" t="s">
        <v>36</v>
      </c>
      <c r="F682" t="s">
        <v>82</v>
      </c>
      <c r="G682" t="s">
        <v>90</v>
      </c>
      <c r="I682">
        <v>3</v>
      </c>
      <c r="Q682" t="s">
        <v>67</v>
      </c>
      <c r="R682" t="str">
        <f>_xlfn.XLOOKUP(GERAL[[#This Row],[Dia]],U:U,V:V,"")</f>
        <v>Prazo_30</v>
      </c>
    </row>
    <row r="683" spans="1:18" x14ac:dyDescent="0.3">
      <c r="A683" t="str">
        <f>_xlfn.XLOOKUP(GERAL[[#This Row],[Dia]],U:U,T:T,"")</f>
        <v>Semana 7</v>
      </c>
      <c r="B683" s="1">
        <v>46092</v>
      </c>
      <c r="C683" t="s">
        <v>24</v>
      </c>
      <c r="D683" s="1">
        <v>46092</v>
      </c>
      <c r="E683" t="s">
        <v>36</v>
      </c>
      <c r="F683" t="s">
        <v>82</v>
      </c>
      <c r="G683" t="s">
        <v>91</v>
      </c>
      <c r="L683">
        <v>1</v>
      </c>
      <c r="Q683" t="s">
        <v>67</v>
      </c>
      <c r="R683" t="str">
        <f>_xlfn.XLOOKUP(GERAL[[#This Row],[Dia]],U:U,V:V,"")</f>
        <v>Prazo_30</v>
      </c>
    </row>
    <row r="684" spans="1:18" x14ac:dyDescent="0.3">
      <c r="A684" t="str">
        <f>_xlfn.XLOOKUP(GERAL[[#This Row],[Dia]],U:U,T:T,"")</f>
        <v>Semana 7</v>
      </c>
      <c r="B684" s="1">
        <v>46092</v>
      </c>
      <c r="C684" t="s">
        <v>24</v>
      </c>
      <c r="D684" s="1">
        <v>46092</v>
      </c>
      <c r="E684" t="s">
        <v>36</v>
      </c>
      <c r="F684" t="s">
        <v>82</v>
      </c>
      <c r="G684" t="s">
        <v>92</v>
      </c>
      <c r="H684">
        <v>10</v>
      </c>
      <c r="I684">
        <v>4</v>
      </c>
      <c r="O684">
        <v>10</v>
      </c>
      <c r="Q684" t="s">
        <v>67</v>
      </c>
      <c r="R684" t="str">
        <f>_xlfn.XLOOKUP(GERAL[[#This Row],[Dia]],U:U,V:V,"")</f>
        <v>Prazo_30</v>
      </c>
    </row>
    <row r="685" spans="1:18" x14ac:dyDescent="0.3">
      <c r="A685" t="str">
        <f>_xlfn.XLOOKUP(GERAL[[#This Row],[Dia]],U:U,T:T,"")</f>
        <v>Semana 7</v>
      </c>
      <c r="B685" s="1">
        <v>46093</v>
      </c>
      <c r="C685" t="s">
        <v>25</v>
      </c>
      <c r="D685" s="1">
        <v>46093</v>
      </c>
      <c r="E685" t="s">
        <v>17</v>
      </c>
      <c r="G685" t="s">
        <v>88</v>
      </c>
      <c r="Q685" t="s">
        <v>67</v>
      </c>
      <c r="R685" t="str">
        <f>_xlfn.XLOOKUP(GERAL[[#This Row],[Dia]],U:U,V:V,"")</f>
        <v>Prazo_30</v>
      </c>
    </row>
    <row r="686" spans="1:18" x14ac:dyDescent="0.3">
      <c r="A686" t="str">
        <f>_xlfn.XLOOKUP(GERAL[[#This Row],[Dia]],U:U,T:T,"")</f>
        <v>Semana 7</v>
      </c>
      <c r="B686" s="1">
        <v>46094</v>
      </c>
      <c r="C686" t="s">
        <v>26</v>
      </c>
      <c r="D686" s="1">
        <v>46094</v>
      </c>
      <c r="E686" t="s">
        <v>36</v>
      </c>
      <c r="F686" t="s">
        <v>82</v>
      </c>
      <c r="G686" t="s">
        <v>89</v>
      </c>
      <c r="I686">
        <v>6</v>
      </c>
      <c r="Q686" t="s">
        <v>67</v>
      </c>
      <c r="R686" t="str">
        <f>_xlfn.XLOOKUP(GERAL[[#This Row],[Dia]],U:U,V:V,"")</f>
        <v>Prazo_30</v>
      </c>
    </row>
    <row r="687" spans="1:18" x14ac:dyDescent="0.3">
      <c r="A687" t="str">
        <f>_xlfn.XLOOKUP(GERAL[[#This Row],[Dia]],U:U,T:T,"")</f>
        <v>Semana 7</v>
      </c>
      <c r="B687" s="1">
        <v>46094</v>
      </c>
      <c r="C687" t="s">
        <v>26</v>
      </c>
      <c r="D687" s="1">
        <v>46094</v>
      </c>
      <c r="E687" t="s">
        <v>36</v>
      </c>
      <c r="F687" t="s">
        <v>82</v>
      </c>
      <c r="G687" t="s">
        <v>93</v>
      </c>
      <c r="J687">
        <v>5</v>
      </c>
      <c r="Q687" t="s">
        <v>67</v>
      </c>
      <c r="R687" t="str">
        <f>_xlfn.XLOOKUP(GERAL[[#This Row],[Dia]],U:U,V:V,"")</f>
        <v>Prazo_30</v>
      </c>
    </row>
    <row r="688" spans="1:18" x14ac:dyDescent="0.3">
      <c r="A688" t="str">
        <f>_xlfn.XLOOKUP(GERAL[[#This Row],[Dia]],U:U,T:T,"")</f>
        <v>Semana 7</v>
      </c>
      <c r="B688" s="1">
        <v>46094</v>
      </c>
      <c r="C688" t="s">
        <v>26</v>
      </c>
      <c r="D688" s="1">
        <v>46094</v>
      </c>
      <c r="E688" t="s">
        <v>36</v>
      </c>
      <c r="F688" t="s">
        <v>82</v>
      </c>
      <c r="G688" t="s">
        <v>90</v>
      </c>
      <c r="I688">
        <v>3</v>
      </c>
      <c r="Q688" t="s">
        <v>67</v>
      </c>
      <c r="R688" t="str">
        <f>_xlfn.XLOOKUP(GERAL[[#This Row],[Dia]],U:U,V:V,"")</f>
        <v>Prazo_30</v>
      </c>
    </row>
    <row r="689" spans="1:18" x14ac:dyDescent="0.3">
      <c r="A689" t="str">
        <f>_xlfn.XLOOKUP(GERAL[[#This Row],[Dia]],U:U,T:T,"")</f>
        <v>Semana 7</v>
      </c>
      <c r="B689" s="1">
        <v>46094</v>
      </c>
      <c r="C689" t="s">
        <v>26</v>
      </c>
      <c r="D689" s="1">
        <v>46094</v>
      </c>
      <c r="E689" t="s">
        <v>36</v>
      </c>
      <c r="F689" t="s">
        <v>82</v>
      </c>
      <c r="G689" t="s">
        <v>92</v>
      </c>
      <c r="I689">
        <v>2</v>
      </c>
      <c r="Q689" t="s">
        <v>67</v>
      </c>
      <c r="R689" t="str">
        <f>_xlfn.XLOOKUP(GERAL[[#This Row],[Dia]],U:U,V:V,"")</f>
        <v>Prazo_30</v>
      </c>
    </row>
    <row r="690" spans="1:18" x14ac:dyDescent="0.3">
      <c r="A690" t="str">
        <f>_xlfn.XLOOKUP(GERAL[[#This Row],[Dia]],U:U,T:T,"")</f>
        <v>Semana 7</v>
      </c>
      <c r="B690" s="1">
        <v>46094</v>
      </c>
      <c r="C690" t="s">
        <v>26</v>
      </c>
      <c r="D690" s="1">
        <v>46094</v>
      </c>
      <c r="E690" t="s">
        <v>36</v>
      </c>
      <c r="F690" t="s">
        <v>82</v>
      </c>
      <c r="G690" t="s">
        <v>91</v>
      </c>
      <c r="I690">
        <v>3</v>
      </c>
      <c r="Q690" t="s">
        <v>67</v>
      </c>
      <c r="R690" t="str">
        <f>_xlfn.XLOOKUP(GERAL[[#This Row],[Dia]],U:U,V:V,"")</f>
        <v>Prazo_30</v>
      </c>
    </row>
    <row r="691" spans="1:18" x14ac:dyDescent="0.3">
      <c r="A691" t="str">
        <f>_xlfn.XLOOKUP(GERAL[[#This Row],[Dia]],U:U,T:T,"")</f>
        <v>Semana 7</v>
      </c>
      <c r="B691" s="1">
        <v>46094</v>
      </c>
      <c r="C691" t="s">
        <v>26</v>
      </c>
      <c r="D691" s="1">
        <v>46094</v>
      </c>
      <c r="E691" t="s">
        <v>36</v>
      </c>
      <c r="F691" t="s">
        <v>75</v>
      </c>
      <c r="G691" t="s">
        <v>93</v>
      </c>
      <c r="I691">
        <v>1</v>
      </c>
      <c r="N691">
        <v>6</v>
      </c>
      <c r="Q691" t="s">
        <v>67</v>
      </c>
      <c r="R691" t="str">
        <f>_xlfn.XLOOKUP(GERAL[[#This Row],[Dia]],U:U,V:V,"")</f>
        <v>Prazo_30</v>
      </c>
    </row>
    <row r="692" spans="1:18" x14ac:dyDescent="0.3">
      <c r="A692" t="str">
        <f>_xlfn.XLOOKUP(GERAL[[#This Row],[Dia]],U:U,T:T,"")</f>
        <v>Semana 7</v>
      </c>
      <c r="B692" s="1">
        <v>46094</v>
      </c>
      <c r="C692" t="s">
        <v>26</v>
      </c>
      <c r="D692" s="1">
        <v>46094</v>
      </c>
      <c r="E692" t="s">
        <v>36</v>
      </c>
      <c r="F692" t="s">
        <v>75</v>
      </c>
      <c r="G692" t="s">
        <v>94</v>
      </c>
      <c r="H692">
        <v>2</v>
      </c>
      <c r="Q692" t="s">
        <v>67</v>
      </c>
      <c r="R692" t="str">
        <f>_xlfn.XLOOKUP(GERAL[[#This Row],[Dia]],U:U,V:V,"")</f>
        <v>Prazo_30</v>
      </c>
    </row>
    <row r="693" spans="1:18" x14ac:dyDescent="0.3">
      <c r="A693" t="str">
        <f>_xlfn.XLOOKUP(GERAL[[#This Row],[Dia]],U:U,T:T,"")</f>
        <v>Semana 7</v>
      </c>
      <c r="B693" s="1">
        <v>46095</v>
      </c>
      <c r="C693" t="s">
        <v>16</v>
      </c>
      <c r="D693" s="1">
        <v>46095</v>
      </c>
      <c r="E693" t="s">
        <v>36</v>
      </c>
      <c r="F693" t="s">
        <v>75</v>
      </c>
      <c r="G693" t="s">
        <v>94</v>
      </c>
      <c r="H693">
        <v>2</v>
      </c>
      <c r="Q693" t="s">
        <v>67</v>
      </c>
      <c r="R693" t="str">
        <f>_xlfn.XLOOKUP(GERAL[[#This Row],[Dia]],U:U,V:V,"")</f>
        <v>Prazo_30</v>
      </c>
    </row>
    <row r="694" spans="1:18" x14ac:dyDescent="0.3">
      <c r="A694" t="str">
        <f>_xlfn.XLOOKUP(GERAL[[#This Row],[Dia]],U:U,T:T,"")</f>
        <v>Semana 7</v>
      </c>
      <c r="B694" s="1">
        <v>46096</v>
      </c>
      <c r="C694" t="s">
        <v>21</v>
      </c>
      <c r="D694" s="1">
        <v>46096</v>
      </c>
      <c r="E694" t="s">
        <v>17</v>
      </c>
      <c r="Q694" t="s">
        <v>67</v>
      </c>
      <c r="R694" t="str">
        <f>_xlfn.XLOOKUP(GERAL[[#This Row],[Dia]],U:U,V:V,"")</f>
        <v>Prazo_30</v>
      </c>
    </row>
    <row r="695" spans="1:18" x14ac:dyDescent="0.3">
      <c r="A695" t="str">
        <f>_xlfn.XLOOKUP(GERAL[[#This Row],[Dia]],U:U,T:T,"")</f>
        <v>Semana 8</v>
      </c>
      <c r="B695" s="1">
        <v>46097</v>
      </c>
      <c r="C695" t="s">
        <v>22</v>
      </c>
      <c r="D695" s="1">
        <v>46097</v>
      </c>
      <c r="E695" t="s">
        <v>36</v>
      </c>
      <c r="F695" t="s">
        <v>75</v>
      </c>
      <c r="G695" t="s">
        <v>94</v>
      </c>
      <c r="H695">
        <v>2</v>
      </c>
      <c r="N695">
        <v>4</v>
      </c>
      <c r="Q695" t="s">
        <v>67</v>
      </c>
      <c r="R695" t="str">
        <f>_xlfn.XLOOKUP(GERAL[[#This Row],[Dia]],U:U,V:V,"")</f>
        <v>Prazo_30</v>
      </c>
    </row>
    <row r="696" spans="1:18" x14ac:dyDescent="0.3">
      <c r="A696" t="str">
        <f>_xlfn.XLOOKUP(GERAL[[#This Row],[Dia]],U:U,T:T,"")</f>
        <v>Semana 8</v>
      </c>
      <c r="B696" s="1">
        <v>46097</v>
      </c>
      <c r="C696" t="s">
        <v>22</v>
      </c>
      <c r="D696" s="1">
        <v>46097</v>
      </c>
      <c r="E696" t="s">
        <v>36</v>
      </c>
      <c r="F696" t="s">
        <v>75</v>
      </c>
      <c r="G696" t="s">
        <v>95</v>
      </c>
      <c r="K696">
        <v>6</v>
      </c>
      <c r="Q696" t="s">
        <v>67</v>
      </c>
      <c r="R696" t="str">
        <f>_xlfn.XLOOKUP(GERAL[[#This Row],[Dia]],U:U,V:V,"")</f>
        <v>Prazo_30</v>
      </c>
    </row>
    <row r="697" spans="1:18" x14ac:dyDescent="0.3">
      <c r="A697" t="str">
        <f>_xlfn.XLOOKUP(GERAL[[#This Row],[Dia]],U:U,T:T,"")</f>
        <v>Semana 8</v>
      </c>
      <c r="B697" s="1">
        <v>46097</v>
      </c>
      <c r="C697" t="s">
        <v>22</v>
      </c>
      <c r="D697" s="1">
        <v>46097</v>
      </c>
      <c r="E697" t="s">
        <v>36</v>
      </c>
      <c r="F697" t="s">
        <v>82</v>
      </c>
      <c r="G697" t="s">
        <v>91</v>
      </c>
      <c r="K697">
        <v>6</v>
      </c>
      <c r="Q697" t="s">
        <v>67</v>
      </c>
      <c r="R697" t="str">
        <f>_xlfn.XLOOKUP(GERAL[[#This Row],[Dia]],U:U,V:V,"")</f>
        <v>Prazo_30</v>
      </c>
    </row>
    <row r="698" spans="1:18" x14ac:dyDescent="0.3">
      <c r="A698" t="str">
        <f>_xlfn.XLOOKUP(GERAL[[#This Row],[Dia]],U:U,T:T,"")</f>
        <v>Semana 8</v>
      </c>
      <c r="B698" s="1">
        <v>46097</v>
      </c>
      <c r="C698" t="s">
        <v>22</v>
      </c>
      <c r="D698" s="1">
        <v>46097</v>
      </c>
      <c r="E698" t="s">
        <v>36</v>
      </c>
      <c r="F698" t="s">
        <v>82</v>
      </c>
      <c r="G698" t="s">
        <v>92</v>
      </c>
      <c r="K698">
        <v>9</v>
      </c>
      <c r="Q698" t="s">
        <v>67</v>
      </c>
      <c r="R698" t="str">
        <f>_xlfn.XLOOKUP(GERAL[[#This Row],[Dia]],U:U,V:V,"")</f>
        <v>Prazo_30</v>
      </c>
    </row>
    <row r="699" spans="1:18" x14ac:dyDescent="0.3">
      <c r="A699" t="str">
        <f>_xlfn.XLOOKUP(GERAL[[#This Row],[Dia]],U:U,T:T,"")</f>
        <v>Semana 8</v>
      </c>
      <c r="B699" s="1">
        <v>46097</v>
      </c>
      <c r="C699" t="s">
        <v>22</v>
      </c>
      <c r="D699" s="1">
        <v>46097</v>
      </c>
      <c r="E699" t="s">
        <v>36</v>
      </c>
      <c r="F699" t="s">
        <v>82</v>
      </c>
      <c r="G699" t="s">
        <v>89</v>
      </c>
      <c r="K699">
        <v>6</v>
      </c>
      <c r="Q699" t="s">
        <v>67</v>
      </c>
      <c r="R699" t="str">
        <f>_xlfn.XLOOKUP(GERAL[[#This Row],[Dia]],U:U,V:V,"")</f>
        <v>Prazo_30</v>
      </c>
    </row>
    <row r="700" spans="1:18" x14ac:dyDescent="0.3">
      <c r="A700" t="str">
        <f>_xlfn.XLOOKUP(GERAL[[#This Row],[Dia]],U:U,T:T,"")</f>
        <v>Semana 8</v>
      </c>
      <c r="B700" s="1">
        <v>46097</v>
      </c>
      <c r="C700" t="s">
        <v>22</v>
      </c>
      <c r="D700" s="1">
        <v>46097</v>
      </c>
      <c r="E700" t="s">
        <v>36</v>
      </c>
      <c r="F700" t="s">
        <v>82</v>
      </c>
      <c r="G700" t="s">
        <v>93</v>
      </c>
      <c r="K700">
        <v>18</v>
      </c>
      <c r="Q700" t="s">
        <v>67</v>
      </c>
      <c r="R700" t="str">
        <f>_xlfn.XLOOKUP(GERAL[[#This Row],[Dia]],U:U,V:V,"")</f>
        <v>Prazo_30</v>
      </c>
    </row>
    <row r="701" spans="1:18" x14ac:dyDescent="0.3">
      <c r="A701" t="str">
        <f>_xlfn.XLOOKUP(GERAL[[#This Row],[Dia]],U:U,T:T,"")</f>
        <v>Semana 8</v>
      </c>
      <c r="B701" s="1">
        <v>46097</v>
      </c>
      <c r="C701" t="s">
        <v>22</v>
      </c>
      <c r="D701" s="1">
        <v>46097</v>
      </c>
      <c r="E701" t="s">
        <v>36</v>
      </c>
      <c r="F701" t="s">
        <v>82</v>
      </c>
      <c r="G701" t="s">
        <v>96</v>
      </c>
      <c r="O701">
        <v>10</v>
      </c>
      <c r="Q701" t="s">
        <v>67</v>
      </c>
      <c r="R701" t="str">
        <f>_xlfn.XLOOKUP(GERAL[[#This Row],[Dia]],U:U,V:V,"")</f>
        <v>Prazo_30</v>
      </c>
    </row>
    <row r="702" spans="1:18" x14ac:dyDescent="0.3">
      <c r="A702" t="str">
        <f>_xlfn.XLOOKUP(GERAL[[#This Row],[Dia]],U:U,T:T,"")</f>
        <v>Semana 8</v>
      </c>
      <c r="B702" s="1">
        <v>46098</v>
      </c>
      <c r="C702" t="s">
        <v>23</v>
      </c>
      <c r="D702" s="1">
        <v>46098</v>
      </c>
      <c r="E702" t="s">
        <v>36</v>
      </c>
      <c r="F702" t="s">
        <v>75</v>
      </c>
      <c r="G702" t="s">
        <v>94</v>
      </c>
      <c r="H702">
        <v>1</v>
      </c>
      <c r="N702">
        <v>1</v>
      </c>
      <c r="Q702" t="s">
        <v>67</v>
      </c>
      <c r="R702" t="str">
        <f>_xlfn.XLOOKUP(GERAL[[#This Row],[Dia]],U:U,V:V,"")</f>
        <v>Prazo_30</v>
      </c>
    </row>
    <row r="703" spans="1:18" x14ac:dyDescent="0.3">
      <c r="A703" t="str">
        <f>_xlfn.XLOOKUP(GERAL[[#This Row],[Dia]],U:U,T:T,"")</f>
        <v>Semana 8</v>
      </c>
      <c r="B703" s="1">
        <v>46098</v>
      </c>
      <c r="C703" t="s">
        <v>23</v>
      </c>
      <c r="D703" s="1">
        <v>46098</v>
      </c>
      <c r="E703" t="s">
        <v>36</v>
      </c>
      <c r="F703" t="s">
        <v>75</v>
      </c>
      <c r="G703" t="s">
        <v>97</v>
      </c>
      <c r="N703">
        <v>1</v>
      </c>
      <c r="Q703" t="s">
        <v>67</v>
      </c>
      <c r="R703" t="str">
        <f>_xlfn.XLOOKUP(GERAL[[#This Row],[Dia]],U:U,V:V,"")</f>
        <v>Prazo_30</v>
      </c>
    </row>
    <row r="704" spans="1:18" x14ac:dyDescent="0.3">
      <c r="A704" t="str">
        <f>_xlfn.XLOOKUP(GERAL[[#This Row],[Dia]],U:U,T:T,"")</f>
        <v>Semana 8</v>
      </c>
      <c r="B704" s="1">
        <v>46098</v>
      </c>
      <c r="C704" t="s">
        <v>23</v>
      </c>
      <c r="D704" s="1">
        <v>46098</v>
      </c>
      <c r="E704" t="s">
        <v>36</v>
      </c>
      <c r="F704" t="s">
        <v>75</v>
      </c>
      <c r="G704" t="s">
        <v>95</v>
      </c>
      <c r="K704">
        <v>6</v>
      </c>
      <c r="Q704" t="s">
        <v>67</v>
      </c>
      <c r="R704" t="str">
        <f>_xlfn.XLOOKUP(GERAL[[#This Row],[Dia]],U:U,V:V,"")</f>
        <v>Prazo_30</v>
      </c>
    </row>
    <row r="705" spans="1:18" x14ac:dyDescent="0.3">
      <c r="A705" t="str">
        <f>_xlfn.XLOOKUP(GERAL[[#This Row],[Dia]],U:U,T:T,"")</f>
        <v>Semana 8</v>
      </c>
      <c r="B705" s="1">
        <v>46098</v>
      </c>
      <c r="C705" t="s">
        <v>23</v>
      </c>
      <c r="D705" s="1">
        <v>46098</v>
      </c>
      <c r="E705" t="s">
        <v>36</v>
      </c>
      <c r="F705" t="s">
        <v>82</v>
      </c>
      <c r="G705" t="s">
        <v>91</v>
      </c>
      <c r="K705">
        <v>12</v>
      </c>
      <c r="Q705" t="s">
        <v>67</v>
      </c>
      <c r="R705" t="str">
        <f>_xlfn.XLOOKUP(GERAL[[#This Row],[Dia]],U:U,V:V,"")</f>
        <v>Prazo_30</v>
      </c>
    </row>
    <row r="706" spans="1:18" x14ac:dyDescent="0.3">
      <c r="A706" t="str">
        <f>_xlfn.XLOOKUP(GERAL[[#This Row],[Dia]],U:U,T:T,"")</f>
        <v>Semana 8</v>
      </c>
      <c r="B706" s="1">
        <v>46098</v>
      </c>
      <c r="C706" t="s">
        <v>23</v>
      </c>
      <c r="D706" s="1">
        <v>46098</v>
      </c>
      <c r="E706" t="s">
        <v>36</v>
      </c>
      <c r="F706" t="s">
        <v>82</v>
      </c>
      <c r="G706" t="s">
        <v>92</v>
      </c>
      <c r="K706">
        <v>6</v>
      </c>
      <c r="Q706" t="s">
        <v>67</v>
      </c>
      <c r="R706" t="str">
        <f>_xlfn.XLOOKUP(GERAL[[#This Row],[Dia]],U:U,V:V,"")</f>
        <v>Prazo_30</v>
      </c>
    </row>
    <row r="707" spans="1:18" x14ac:dyDescent="0.3">
      <c r="A707" t="str">
        <f>_xlfn.XLOOKUP(GERAL[[#This Row],[Dia]],U:U,T:T,"")</f>
        <v>Semana 8</v>
      </c>
      <c r="B707" s="1">
        <v>46098</v>
      </c>
      <c r="C707" t="s">
        <v>23</v>
      </c>
      <c r="D707" s="1">
        <v>46098</v>
      </c>
      <c r="E707" t="s">
        <v>36</v>
      </c>
      <c r="F707" t="s">
        <v>82</v>
      </c>
      <c r="G707" t="s">
        <v>89</v>
      </c>
      <c r="K707">
        <v>6</v>
      </c>
      <c r="Q707" t="s">
        <v>67</v>
      </c>
      <c r="R707" t="str">
        <f>_xlfn.XLOOKUP(GERAL[[#This Row],[Dia]],U:U,V:V,"")</f>
        <v>Prazo_30</v>
      </c>
    </row>
    <row r="708" spans="1:18" x14ac:dyDescent="0.3">
      <c r="A708" t="str">
        <f>_xlfn.XLOOKUP(GERAL[[#This Row],[Dia]],U:U,T:T,"")</f>
        <v>Semana 8</v>
      </c>
      <c r="B708" s="1">
        <v>46099</v>
      </c>
      <c r="C708" t="s">
        <v>24</v>
      </c>
      <c r="D708" s="1">
        <v>46099</v>
      </c>
      <c r="E708" t="s">
        <v>36</v>
      </c>
      <c r="F708" t="s">
        <v>75</v>
      </c>
      <c r="G708" t="s">
        <v>98</v>
      </c>
      <c r="H708">
        <v>1</v>
      </c>
      <c r="Q708" t="s">
        <v>67</v>
      </c>
      <c r="R708" t="str">
        <f>_xlfn.XLOOKUP(GERAL[[#This Row],[Dia]],U:U,V:V,"")</f>
        <v>Prazo_30</v>
      </c>
    </row>
    <row r="709" spans="1:18" x14ac:dyDescent="0.3">
      <c r="A709" t="str">
        <f>_xlfn.XLOOKUP(GERAL[[#This Row],[Dia]],U:U,T:T,"")</f>
        <v>Semana 8</v>
      </c>
      <c r="B709" s="1">
        <v>46099</v>
      </c>
      <c r="C709" t="s">
        <v>24</v>
      </c>
      <c r="D709" s="1">
        <v>46099</v>
      </c>
      <c r="E709" t="s">
        <v>36</v>
      </c>
      <c r="F709" t="s">
        <v>75</v>
      </c>
      <c r="G709" t="s">
        <v>78</v>
      </c>
      <c r="I709">
        <v>4</v>
      </c>
      <c r="K709">
        <v>12</v>
      </c>
      <c r="Q709" t="s">
        <v>67</v>
      </c>
      <c r="R709" t="str">
        <f>_xlfn.XLOOKUP(GERAL[[#This Row],[Dia]],U:U,V:V,"")</f>
        <v>Prazo_30</v>
      </c>
    </row>
    <row r="710" spans="1:18" x14ac:dyDescent="0.3">
      <c r="A710" t="str">
        <f>_xlfn.XLOOKUP(GERAL[[#This Row],[Dia]],U:U,T:T,"")</f>
        <v>Semana 8</v>
      </c>
      <c r="B710" s="1">
        <v>46099</v>
      </c>
      <c r="C710" t="s">
        <v>24</v>
      </c>
      <c r="D710" s="1">
        <v>46099</v>
      </c>
      <c r="E710" t="s">
        <v>36</v>
      </c>
      <c r="F710" t="s">
        <v>75</v>
      </c>
      <c r="G710" t="s">
        <v>76</v>
      </c>
      <c r="H710">
        <v>1</v>
      </c>
      <c r="N710">
        <v>1</v>
      </c>
      <c r="Q710" t="s">
        <v>67</v>
      </c>
      <c r="R710" t="str">
        <f>_xlfn.XLOOKUP(GERAL[[#This Row],[Dia]],U:U,V:V,"")</f>
        <v>Prazo_30</v>
      </c>
    </row>
    <row r="711" spans="1:18" x14ac:dyDescent="0.3">
      <c r="A711" t="str">
        <f>_xlfn.XLOOKUP(GERAL[[#This Row],[Dia]],U:U,T:T,"")</f>
        <v>Semana 8</v>
      </c>
      <c r="B711" s="1">
        <v>46099</v>
      </c>
      <c r="C711" t="s">
        <v>24</v>
      </c>
      <c r="D711" s="1">
        <v>46099</v>
      </c>
      <c r="E711" t="s">
        <v>36</v>
      </c>
      <c r="F711" t="s">
        <v>75</v>
      </c>
      <c r="G711" t="s">
        <v>99</v>
      </c>
      <c r="N711">
        <v>1</v>
      </c>
      <c r="Q711" t="s">
        <v>67</v>
      </c>
      <c r="R711" t="str">
        <f>_xlfn.XLOOKUP(GERAL[[#This Row],[Dia]],U:U,V:V,"")</f>
        <v>Prazo_30</v>
      </c>
    </row>
    <row r="712" spans="1:18" x14ac:dyDescent="0.3">
      <c r="A712" t="str">
        <f>_xlfn.XLOOKUP(GERAL[[#This Row],[Dia]],U:U,T:T,"")</f>
        <v>Semana 8</v>
      </c>
      <c r="B712" s="1">
        <v>46099</v>
      </c>
      <c r="C712" t="s">
        <v>24</v>
      </c>
      <c r="D712" s="1">
        <v>46099</v>
      </c>
      <c r="E712" t="s">
        <v>36</v>
      </c>
      <c r="F712" t="s">
        <v>82</v>
      </c>
      <c r="G712" t="s">
        <v>92</v>
      </c>
      <c r="K712">
        <v>15</v>
      </c>
      <c r="Q712" t="s">
        <v>67</v>
      </c>
      <c r="R712" t="str">
        <f>_xlfn.XLOOKUP(GERAL[[#This Row],[Dia]],U:U,V:V,"")</f>
        <v>Prazo_30</v>
      </c>
    </row>
    <row r="713" spans="1:18" x14ac:dyDescent="0.3">
      <c r="A713" t="str">
        <f>_xlfn.XLOOKUP(GERAL[[#This Row],[Dia]],U:U,T:T,"")</f>
        <v>Semana 8</v>
      </c>
      <c r="B713" s="1">
        <v>46099</v>
      </c>
      <c r="C713" t="s">
        <v>24</v>
      </c>
      <c r="D713" s="1">
        <v>46099</v>
      </c>
      <c r="E713" t="s">
        <v>36</v>
      </c>
      <c r="F713" t="s">
        <v>82</v>
      </c>
      <c r="G713" t="s">
        <v>91</v>
      </c>
      <c r="J713">
        <v>54</v>
      </c>
      <c r="Q713" t="s">
        <v>67</v>
      </c>
      <c r="R713" t="str">
        <f>_xlfn.XLOOKUP(GERAL[[#This Row],[Dia]],U:U,V:V,"")</f>
        <v>Prazo_30</v>
      </c>
    </row>
    <row r="714" spans="1:18" x14ac:dyDescent="0.3">
      <c r="A714" t="str">
        <f>_xlfn.XLOOKUP(GERAL[[#This Row],[Dia]],U:U,T:T,"")</f>
        <v>Semana 8</v>
      </c>
      <c r="B714" s="1">
        <v>46099</v>
      </c>
      <c r="C714" t="s">
        <v>24</v>
      </c>
      <c r="D714" s="1">
        <v>46099</v>
      </c>
      <c r="E714" t="s">
        <v>36</v>
      </c>
      <c r="F714" t="s">
        <v>82</v>
      </c>
      <c r="G714" t="s">
        <v>89</v>
      </c>
      <c r="K714">
        <v>6</v>
      </c>
      <c r="L714">
        <v>1</v>
      </c>
      <c r="Q714" t="s">
        <v>67</v>
      </c>
      <c r="R714" t="str">
        <f>_xlfn.XLOOKUP(GERAL[[#This Row],[Dia]],U:U,V:V,"")</f>
        <v>Prazo_30</v>
      </c>
    </row>
    <row r="715" spans="1:18" x14ac:dyDescent="0.3">
      <c r="A715" t="str">
        <f>_xlfn.XLOOKUP(GERAL[[#This Row],[Dia]],U:U,T:T,"")</f>
        <v>Semana 8</v>
      </c>
      <c r="B715" s="1">
        <v>46100</v>
      </c>
      <c r="C715" t="s">
        <v>25</v>
      </c>
      <c r="D715" s="1">
        <v>46100</v>
      </c>
      <c r="E715" t="s">
        <v>36</v>
      </c>
      <c r="F715" t="s">
        <v>75</v>
      </c>
      <c r="G715" t="s">
        <v>95</v>
      </c>
      <c r="K715">
        <v>12</v>
      </c>
      <c r="Q715" t="s">
        <v>67</v>
      </c>
      <c r="R715" t="str">
        <f>_xlfn.XLOOKUP(GERAL[[#This Row],[Dia]],U:U,V:V,"")</f>
        <v>Prazo_30</v>
      </c>
    </row>
    <row r="716" spans="1:18" x14ac:dyDescent="0.3">
      <c r="A716" t="str">
        <f>_xlfn.XLOOKUP(GERAL[[#This Row],[Dia]],U:U,T:T,"")</f>
        <v>Semana 8</v>
      </c>
      <c r="B716" s="1">
        <v>46100</v>
      </c>
      <c r="C716" t="s">
        <v>25</v>
      </c>
      <c r="D716" s="1">
        <v>46100</v>
      </c>
      <c r="E716" t="s">
        <v>36</v>
      </c>
      <c r="F716" t="s">
        <v>75</v>
      </c>
      <c r="G716" t="s">
        <v>76</v>
      </c>
      <c r="H716">
        <v>3</v>
      </c>
      <c r="N716">
        <v>2</v>
      </c>
      <c r="Q716" t="s">
        <v>67</v>
      </c>
      <c r="R716" t="str">
        <f>_xlfn.XLOOKUP(GERAL[[#This Row],[Dia]],U:U,V:V,"")</f>
        <v>Prazo_30</v>
      </c>
    </row>
    <row r="717" spans="1:18" x14ac:dyDescent="0.3">
      <c r="A717" t="str">
        <f>_xlfn.XLOOKUP(GERAL[[#This Row],[Dia]],U:U,T:T,"")</f>
        <v>Semana 8</v>
      </c>
      <c r="B717" s="1">
        <v>46100</v>
      </c>
      <c r="C717" t="s">
        <v>25</v>
      </c>
      <c r="D717" s="1">
        <v>46100</v>
      </c>
      <c r="E717" t="s">
        <v>36</v>
      </c>
      <c r="F717" t="s">
        <v>82</v>
      </c>
      <c r="G717" t="s">
        <v>92</v>
      </c>
      <c r="J717">
        <v>37</v>
      </c>
      <c r="K717">
        <v>6</v>
      </c>
      <c r="Q717" t="s">
        <v>67</v>
      </c>
      <c r="R717" t="str">
        <f>_xlfn.XLOOKUP(GERAL[[#This Row],[Dia]],U:U,V:V,"")</f>
        <v>Prazo_30</v>
      </c>
    </row>
    <row r="718" spans="1:18" x14ac:dyDescent="0.3">
      <c r="A718" t="str">
        <f>_xlfn.XLOOKUP(GERAL[[#This Row],[Dia]],U:U,T:T,"")</f>
        <v>Semana 8</v>
      </c>
      <c r="B718" s="1">
        <v>46100</v>
      </c>
      <c r="C718" t="s">
        <v>25</v>
      </c>
      <c r="D718" s="1">
        <v>46100</v>
      </c>
      <c r="E718" t="s">
        <v>36</v>
      </c>
      <c r="F718" t="s">
        <v>82</v>
      </c>
      <c r="G718" t="s">
        <v>100</v>
      </c>
      <c r="N718">
        <v>9</v>
      </c>
      <c r="Q718" t="s">
        <v>67</v>
      </c>
      <c r="R718" t="str">
        <f>_xlfn.XLOOKUP(GERAL[[#This Row],[Dia]],U:U,V:V,"")</f>
        <v>Prazo_30</v>
      </c>
    </row>
    <row r="719" spans="1:18" x14ac:dyDescent="0.3">
      <c r="A719" t="str">
        <f>_xlfn.XLOOKUP(GERAL[[#This Row],[Dia]],U:U,T:T,"")</f>
        <v>Semana 8</v>
      </c>
      <c r="B719" s="1">
        <v>46100</v>
      </c>
      <c r="C719" t="s">
        <v>25</v>
      </c>
      <c r="D719" s="1">
        <v>46100</v>
      </c>
      <c r="E719" t="s">
        <v>36</v>
      </c>
      <c r="F719" t="s">
        <v>82</v>
      </c>
      <c r="G719" t="s">
        <v>89</v>
      </c>
      <c r="K719">
        <v>6</v>
      </c>
      <c r="N719">
        <v>2</v>
      </c>
      <c r="Q719" t="s">
        <v>67</v>
      </c>
      <c r="R719" t="str">
        <f>_xlfn.XLOOKUP(GERAL[[#This Row],[Dia]],U:U,V:V,"")</f>
        <v>Prazo_30</v>
      </c>
    </row>
    <row r="720" spans="1:18" x14ac:dyDescent="0.3">
      <c r="A720" t="str">
        <f>_xlfn.XLOOKUP(GERAL[[#This Row],[Dia]],U:U,T:T,"")</f>
        <v>Semana 8</v>
      </c>
      <c r="B720" s="1">
        <v>46101</v>
      </c>
      <c r="C720" t="s">
        <v>26</v>
      </c>
      <c r="D720" s="1">
        <v>46101</v>
      </c>
      <c r="E720" t="s">
        <v>36</v>
      </c>
      <c r="F720" t="s">
        <v>75</v>
      </c>
      <c r="G720" t="s">
        <v>95</v>
      </c>
      <c r="K720">
        <v>12</v>
      </c>
      <c r="L720">
        <v>1</v>
      </c>
      <c r="Q720" t="s">
        <v>67</v>
      </c>
      <c r="R720" t="str">
        <f>_xlfn.XLOOKUP(GERAL[[#This Row],[Dia]],U:U,V:V,"")</f>
        <v>Prazo_30</v>
      </c>
    </row>
    <row r="721" spans="1:18" x14ac:dyDescent="0.3">
      <c r="A721" t="str">
        <f>_xlfn.XLOOKUP(GERAL[[#This Row],[Dia]],U:U,T:T,"")</f>
        <v>Semana 8</v>
      </c>
      <c r="B721" s="1">
        <v>46101</v>
      </c>
      <c r="C721" t="s">
        <v>26</v>
      </c>
      <c r="D721" s="1">
        <v>46101</v>
      </c>
      <c r="E721" t="s">
        <v>36</v>
      </c>
      <c r="F721" t="s">
        <v>75</v>
      </c>
      <c r="G721" t="s">
        <v>99</v>
      </c>
      <c r="H721">
        <v>1</v>
      </c>
      <c r="Q721" t="s">
        <v>67</v>
      </c>
      <c r="R721" t="str">
        <f>_xlfn.XLOOKUP(GERAL[[#This Row],[Dia]],U:U,V:V,"")</f>
        <v>Prazo_30</v>
      </c>
    </row>
    <row r="722" spans="1:18" x14ac:dyDescent="0.3">
      <c r="A722" t="str">
        <f>_xlfn.XLOOKUP(GERAL[[#This Row],[Dia]],U:U,T:T,"")</f>
        <v>Semana 8</v>
      </c>
      <c r="B722" s="1">
        <v>46101</v>
      </c>
      <c r="C722" t="s">
        <v>26</v>
      </c>
      <c r="D722" s="1">
        <v>46101</v>
      </c>
      <c r="E722" t="s">
        <v>36</v>
      </c>
      <c r="F722" t="s">
        <v>82</v>
      </c>
      <c r="G722" t="s">
        <v>89</v>
      </c>
      <c r="I722">
        <v>6</v>
      </c>
      <c r="Q722" t="s">
        <v>67</v>
      </c>
      <c r="R722" t="str">
        <f>_xlfn.XLOOKUP(GERAL[[#This Row],[Dia]],U:U,V:V,"")</f>
        <v>Prazo_30</v>
      </c>
    </row>
    <row r="723" spans="1:18" x14ac:dyDescent="0.3">
      <c r="A723" t="str">
        <f>_xlfn.XLOOKUP(GERAL[[#This Row],[Dia]],U:U,T:T,"")</f>
        <v>Semana 8</v>
      </c>
      <c r="B723" s="1">
        <v>46101</v>
      </c>
      <c r="C723" t="s">
        <v>26</v>
      </c>
      <c r="D723" s="1">
        <v>46101</v>
      </c>
      <c r="E723" t="s">
        <v>36</v>
      </c>
      <c r="F723" t="s">
        <v>82</v>
      </c>
      <c r="G723" t="s">
        <v>91</v>
      </c>
      <c r="H723">
        <v>9</v>
      </c>
      <c r="Q723" t="s">
        <v>67</v>
      </c>
      <c r="R723" t="str">
        <f>_xlfn.XLOOKUP(GERAL[[#This Row],[Dia]],U:U,V:V,"")</f>
        <v>Prazo_30</v>
      </c>
    </row>
    <row r="724" spans="1:18" x14ac:dyDescent="0.3">
      <c r="A724" t="str">
        <f>_xlfn.XLOOKUP(GERAL[[#This Row],[Dia]],U:U,T:T,"")</f>
        <v>Semana 8</v>
      </c>
      <c r="B724" s="1">
        <v>46102</v>
      </c>
      <c r="C724" t="s">
        <v>16</v>
      </c>
      <c r="D724" s="1">
        <v>46102</v>
      </c>
      <c r="E724" t="s">
        <v>17</v>
      </c>
      <c r="Q724" t="s">
        <v>67</v>
      </c>
      <c r="R724" t="str">
        <f>_xlfn.XLOOKUP(GERAL[[#This Row],[Dia]],U:U,V:V,"")</f>
        <v>Prazo_30</v>
      </c>
    </row>
    <row r="725" spans="1:18" x14ac:dyDescent="0.3">
      <c r="A725" t="str">
        <f>_xlfn.XLOOKUP(GERAL[[#This Row],[Dia]],U:U,T:T,"")</f>
        <v>Semana 8</v>
      </c>
      <c r="B725" s="1">
        <v>46103</v>
      </c>
      <c r="C725" t="s">
        <v>21</v>
      </c>
      <c r="D725" s="1">
        <v>46103</v>
      </c>
      <c r="E725" t="s">
        <v>17</v>
      </c>
      <c r="Q725" t="s">
        <v>67</v>
      </c>
      <c r="R725" t="str">
        <f>_xlfn.XLOOKUP(GERAL[[#This Row],[Dia]],U:U,V:V,"")</f>
        <v>Prazo_30</v>
      </c>
    </row>
    <row r="726" spans="1:18" x14ac:dyDescent="0.3">
      <c r="A726" t="str">
        <f>_xlfn.XLOOKUP(GERAL[[#This Row],[Dia]],U:U,T:T,"")</f>
        <v>Semana 9</v>
      </c>
      <c r="B726" s="1">
        <v>46104</v>
      </c>
      <c r="C726" t="s">
        <v>22</v>
      </c>
      <c r="D726" s="1">
        <v>46104</v>
      </c>
      <c r="E726" t="s">
        <v>36</v>
      </c>
      <c r="F726" t="s">
        <v>82</v>
      </c>
      <c r="G726" t="s">
        <v>101</v>
      </c>
      <c r="K726">
        <v>6</v>
      </c>
      <c r="Q726" t="s">
        <v>67</v>
      </c>
      <c r="R726" t="str">
        <f>_xlfn.XLOOKUP(GERAL[[#This Row],[Dia]],U:U,V:V,"")</f>
        <v>Prazo_30</v>
      </c>
    </row>
    <row r="727" spans="1:18" x14ac:dyDescent="0.3">
      <c r="A727" t="str">
        <f>_xlfn.XLOOKUP(GERAL[[#This Row],[Dia]],U:U,T:T,"")</f>
        <v>Semana 9</v>
      </c>
      <c r="B727" s="1">
        <v>46104</v>
      </c>
      <c r="C727" t="s">
        <v>22</v>
      </c>
      <c r="D727" s="1">
        <v>46104</v>
      </c>
      <c r="E727" t="s">
        <v>36</v>
      </c>
      <c r="F727" t="s">
        <v>82</v>
      </c>
      <c r="G727" t="s">
        <v>91</v>
      </c>
      <c r="H727">
        <v>5</v>
      </c>
      <c r="Q727" t="s">
        <v>67</v>
      </c>
      <c r="R727" t="str">
        <f>_xlfn.XLOOKUP(GERAL[[#This Row],[Dia]],U:U,V:V,"")</f>
        <v>Prazo_30</v>
      </c>
    </row>
    <row r="728" spans="1:18" x14ac:dyDescent="0.3">
      <c r="A728" t="str">
        <f>_xlfn.XLOOKUP(GERAL[[#This Row],[Dia]],U:U,T:T,"")</f>
        <v>Semana 9</v>
      </c>
      <c r="B728" s="1">
        <v>46104</v>
      </c>
      <c r="C728" t="s">
        <v>22</v>
      </c>
      <c r="D728" s="1">
        <v>46104</v>
      </c>
      <c r="E728" t="s">
        <v>36</v>
      </c>
      <c r="F728" t="s">
        <v>82</v>
      </c>
      <c r="G728" t="s">
        <v>92</v>
      </c>
      <c r="L728">
        <v>1</v>
      </c>
      <c r="Q728" t="s">
        <v>67</v>
      </c>
      <c r="R728" t="str">
        <f>_xlfn.XLOOKUP(GERAL[[#This Row],[Dia]],U:U,V:V,"")</f>
        <v>Prazo_30</v>
      </c>
    </row>
    <row r="729" spans="1:18" x14ac:dyDescent="0.3">
      <c r="A729" t="str">
        <f>_xlfn.XLOOKUP(GERAL[[#This Row],[Dia]],U:U,T:T,"")</f>
        <v>Semana 9</v>
      </c>
      <c r="B729" s="1">
        <v>46104</v>
      </c>
      <c r="C729" t="s">
        <v>22</v>
      </c>
      <c r="D729" s="1">
        <v>46104</v>
      </c>
      <c r="E729" t="s">
        <v>36</v>
      </c>
      <c r="F729" t="s">
        <v>75</v>
      </c>
      <c r="G729" t="s">
        <v>95</v>
      </c>
      <c r="L729">
        <v>1</v>
      </c>
      <c r="Q729" t="s">
        <v>67</v>
      </c>
      <c r="R729" t="str">
        <f>_xlfn.XLOOKUP(GERAL[[#This Row],[Dia]],U:U,V:V,"")</f>
        <v>Prazo_30</v>
      </c>
    </row>
    <row r="730" spans="1:18" x14ac:dyDescent="0.3">
      <c r="A730" t="str">
        <f>_xlfn.XLOOKUP(GERAL[[#This Row],[Dia]],U:U,T:T,"")</f>
        <v>Semana 9</v>
      </c>
      <c r="B730" s="1">
        <v>46104</v>
      </c>
      <c r="C730" t="s">
        <v>22</v>
      </c>
      <c r="D730" s="1">
        <v>46104</v>
      </c>
      <c r="E730" t="s">
        <v>36</v>
      </c>
      <c r="F730" t="s">
        <v>75</v>
      </c>
      <c r="G730" t="s">
        <v>99</v>
      </c>
      <c r="H730">
        <v>1</v>
      </c>
      <c r="Q730" t="s">
        <v>67</v>
      </c>
      <c r="R730" t="str">
        <f>_xlfn.XLOOKUP(GERAL[[#This Row],[Dia]],U:U,V:V,"")</f>
        <v>Prazo_30</v>
      </c>
    </row>
    <row r="731" spans="1:18" x14ac:dyDescent="0.3">
      <c r="A731" t="str">
        <f>_xlfn.XLOOKUP(GERAL[[#This Row],[Dia]],U:U,T:T,"")</f>
        <v>Semana 9</v>
      </c>
      <c r="B731" s="1">
        <v>46104</v>
      </c>
      <c r="C731" t="s">
        <v>22</v>
      </c>
      <c r="D731" s="1">
        <v>46104</v>
      </c>
      <c r="E731" t="s">
        <v>36</v>
      </c>
      <c r="F731" t="s">
        <v>75</v>
      </c>
      <c r="G731" t="s">
        <v>102</v>
      </c>
      <c r="H731">
        <v>1</v>
      </c>
      <c r="Q731" t="s">
        <v>67</v>
      </c>
      <c r="R731" t="str">
        <f>_xlfn.XLOOKUP(GERAL[[#This Row],[Dia]],U:U,V:V,"")</f>
        <v>Prazo_30</v>
      </c>
    </row>
    <row r="732" spans="1:18" x14ac:dyDescent="0.3">
      <c r="A732" t="str">
        <f>_xlfn.XLOOKUP(GERAL[[#This Row],[Dia]],U:U,T:T,"")</f>
        <v>Semana 9</v>
      </c>
      <c r="B732" s="1">
        <v>46104</v>
      </c>
      <c r="C732" t="s">
        <v>22</v>
      </c>
      <c r="D732" s="1">
        <v>46104</v>
      </c>
      <c r="E732" t="s">
        <v>36</v>
      </c>
      <c r="F732" t="s">
        <v>75</v>
      </c>
      <c r="G732" t="s">
        <v>76</v>
      </c>
      <c r="H732">
        <v>1</v>
      </c>
      <c r="Q732" t="s">
        <v>67</v>
      </c>
      <c r="R732" t="str">
        <f>_xlfn.XLOOKUP(GERAL[[#This Row],[Dia]],U:U,V:V,"")</f>
        <v>Prazo_30</v>
      </c>
    </row>
    <row r="733" spans="1:18" x14ac:dyDescent="0.3">
      <c r="A733" t="str">
        <f>_xlfn.XLOOKUP(GERAL[[#This Row],[Dia]],U:U,T:T,"")</f>
        <v>Semana 9</v>
      </c>
      <c r="B733" s="1">
        <v>46105</v>
      </c>
      <c r="C733" t="s">
        <v>23</v>
      </c>
      <c r="D733" s="1">
        <v>46105</v>
      </c>
      <c r="E733" t="s">
        <v>36</v>
      </c>
      <c r="F733" t="s">
        <v>82</v>
      </c>
      <c r="G733" t="s">
        <v>103</v>
      </c>
      <c r="K733">
        <v>6</v>
      </c>
      <c r="Q733" t="s">
        <v>67</v>
      </c>
      <c r="R733" t="str">
        <f>_xlfn.XLOOKUP(GERAL[[#This Row],[Dia]],U:U,V:V,"")</f>
        <v>Prazo_30</v>
      </c>
    </row>
    <row r="734" spans="1:18" x14ac:dyDescent="0.3">
      <c r="A734" t="str">
        <f>_xlfn.XLOOKUP(GERAL[[#This Row],[Dia]],U:U,T:T,"")</f>
        <v>Semana 9</v>
      </c>
      <c r="B734" s="1">
        <v>46105</v>
      </c>
      <c r="C734" t="s">
        <v>23</v>
      </c>
      <c r="D734" s="1">
        <v>46105</v>
      </c>
      <c r="E734" t="s">
        <v>36</v>
      </c>
      <c r="F734" t="s">
        <v>82</v>
      </c>
      <c r="G734" t="s">
        <v>89</v>
      </c>
      <c r="L734">
        <v>1</v>
      </c>
      <c r="Q734" t="s">
        <v>67</v>
      </c>
      <c r="R734" t="str">
        <f>_xlfn.XLOOKUP(GERAL[[#This Row],[Dia]],U:U,V:V,"")</f>
        <v>Prazo_30</v>
      </c>
    </row>
    <row r="735" spans="1:18" x14ac:dyDescent="0.3">
      <c r="A735" t="str">
        <f>_xlfn.XLOOKUP(GERAL[[#This Row],[Dia]],U:U,T:T,"")</f>
        <v>Semana 9</v>
      </c>
      <c r="B735" s="1">
        <v>46105</v>
      </c>
      <c r="C735" t="s">
        <v>23</v>
      </c>
      <c r="D735" s="1">
        <v>46105</v>
      </c>
      <c r="E735" t="s">
        <v>36</v>
      </c>
      <c r="F735" t="s">
        <v>75</v>
      </c>
      <c r="G735" t="s">
        <v>104</v>
      </c>
      <c r="H735">
        <v>2</v>
      </c>
      <c r="Q735" t="s">
        <v>67</v>
      </c>
      <c r="R735" t="str">
        <f>_xlfn.XLOOKUP(GERAL[[#This Row],[Dia]],U:U,V:V,"")</f>
        <v>Prazo_30</v>
      </c>
    </row>
    <row r="736" spans="1:18" x14ac:dyDescent="0.3">
      <c r="A736" t="str">
        <f>_xlfn.XLOOKUP(GERAL[[#This Row],[Dia]],U:U,T:T,"")</f>
        <v>Semana 9</v>
      </c>
      <c r="B736" s="1">
        <v>46106</v>
      </c>
      <c r="C736" t="s">
        <v>24</v>
      </c>
      <c r="D736" s="1">
        <v>46106</v>
      </c>
      <c r="E736" t="s">
        <v>36</v>
      </c>
      <c r="F736" t="s">
        <v>82</v>
      </c>
      <c r="G736" t="s">
        <v>89</v>
      </c>
      <c r="K736">
        <v>8.5</v>
      </c>
      <c r="Q736" t="s">
        <v>67</v>
      </c>
      <c r="R736" t="str">
        <f>_xlfn.XLOOKUP(GERAL[[#This Row],[Dia]],U:U,V:V,"")</f>
        <v>Prazo_30</v>
      </c>
    </row>
    <row r="737" spans="1:18" x14ac:dyDescent="0.3">
      <c r="A737" t="str">
        <f>_xlfn.XLOOKUP(GERAL[[#This Row],[Dia]],U:U,T:T,"")</f>
        <v>Semana 9</v>
      </c>
      <c r="B737" s="1">
        <v>46106</v>
      </c>
      <c r="C737" t="s">
        <v>24</v>
      </c>
      <c r="D737" s="1">
        <v>46106</v>
      </c>
      <c r="E737" t="s">
        <v>36</v>
      </c>
      <c r="F737" t="s">
        <v>82</v>
      </c>
      <c r="G737" t="s">
        <v>91</v>
      </c>
      <c r="L737">
        <v>1</v>
      </c>
      <c r="Q737" t="s">
        <v>67</v>
      </c>
      <c r="R737" t="str">
        <f>_xlfn.XLOOKUP(GERAL[[#This Row],[Dia]],U:U,V:V,"")</f>
        <v>Prazo_30</v>
      </c>
    </row>
    <row r="738" spans="1:18" x14ac:dyDescent="0.3">
      <c r="A738" t="str">
        <f>_xlfn.XLOOKUP(GERAL[[#This Row],[Dia]],U:U,T:T,"")</f>
        <v>Semana 9</v>
      </c>
      <c r="B738" s="1">
        <v>46106</v>
      </c>
      <c r="C738" t="s">
        <v>24</v>
      </c>
      <c r="D738" s="1">
        <v>46106</v>
      </c>
      <c r="E738" t="s">
        <v>36</v>
      </c>
      <c r="F738" t="s">
        <v>82</v>
      </c>
      <c r="G738" t="s">
        <v>105</v>
      </c>
      <c r="K738">
        <v>6</v>
      </c>
      <c r="Q738" t="s">
        <v>67</v>
      </c>
      <c r="R738" t="str">
        <f>_xlfn.XLOOKUP(GERAL[[#This Row],[Dia]],U:U,V:V,"")</f>
        <v>Prazo_30</v>
      </c>
    </row>
    <row r="739" spans="1:18" x14ac:dyDescent="0.3">
      <c r="A739" t="str">
        <f>_xlfn.XLOOKUP(GERAL[[#This Row],[Dia]],U:U,T:T,"")</f>
        <v>Semana 9</v>
      </c>
      <c r="B739" s="1">
        <v>46106</v>
      </c>
      <c r="C739" t="s">
        <v>24</v>
      </c>
      <c r="D739" s="1">
        <v>46106</v>
      </c>
      <c r="E739" t="s">
        <v>36</v>
      </c>
      <c r="F739" t="s">
        <v>106</v>
      </c>
      <c r="G739" t="s">
        <v>95</v>
      </c>
      <c r="H739">
        <v>1</v>
      </c>
      <c r="I739">
        <v>2</v>
      </c>
      <c r="K739">
        <v>12</v>
      </c>
      <c r="L739">
        <v>1</v>
      </c>
      <c r="Q739" t="s">
        <v>67</v>
      </c>
      <c r="R739" t="str">
        <f>_xlfn.XLOOKUP(GERAL[[#This Row],[Dia]],U:U,V:V,"")</f>
        <v>Prazo_30</v>
      </c>
    </row>
    <row r="740" spans="1:18" x14ac:dyDescent="0.3">
      <c r="A740" t="str">
        <f>_xlfn.XLOOKUP(GERAL[[#This Row],[Dia]],U:U,T:T,"")</f>
        <v>Semana 9</v>
      </c>
      <c r="B740" s="1">
        <v>46106</v>
      </c>
      <c r="C740" t="s">
        <v>24</v>
      </c>
      <c r="D740" s="1">
        <v>46106</v>
      </c>
      <c r="E740" t="s">
        <v>36</v>
      </c>
      <c r="F740" t="s">
        <v>75</v>
      </c>
      <c r="G740" t="s">
        <v>99</v>
      </c>
      <c r="H740">
        <v>1</v>
      </c>
      <c r="Q740" t="s">
        <v>67</v>
      </c>
      <c r="R740" t="str">
        <f>_xlfn.XLOOKUP(GERAL[[#This Row],[Dia]],U:U,V:V,"")</f>
        <v>Prazo_30</v>
      </c>
    </row>
    <row r="741" spans="1:18" x14ac:dyDescent="0.3">
      <c r="A741" t="str">
        <f>_xlfn.XLOOKUP(GERAL[[#This Row],[Dia]],U:U,T:T,"")</f>
        <v>Semana 9</v>
      </c>
      <c r="B741" s="1">
        <v>46106</v>
      </c>
      <c r="C741" t="s">
        <v>24</v>
      </c>
      <c r="D741" s="1">
        <v>46106</v>
      </c>
      <c r="E741" t="s">
        <v>36</v>
      </c>
      <c r="F741" t="s">
        <v>75</v>
      </c>
      <c r="G741" t="s">
        <v>104</v>
      </c>
      <c r="H741">
        <v>2</v>
      </c>
      <c r="I741">
        <v>2</v>
      </c>
      <c r="K741">
        <v>6</v>
      </c>
      <c r="Q741" t="s">
        <v>67</v>
      </c>
      <c r="R741" t="str">
        <f>_xlfn.XLOOKUP(GERAL[[#This Row],[Dia]],U:U,V:V,"")</f>
        <v>Prazo_30</v>
      </c>
    </row>
    <row r="742" spans="1:18" x14ac:dyDescent="0.3">
      <c r="A742" t="str">
        <f>_xlfn.XLOOKUP(GERAL[[#This Row],[Dia]],U:U,T:T,"")</f>
        <v>Semana 9</v>
      </c>
      <c r="B742" s="1">
        <v>46107</v>
      </c>
      <c r="C742" t="s">
        <v>25</v>
      </c>
      <c r="D742" s="1">
        <v>46107</v>
      </c>
      <c r="E742" t="s">
        <v>36</v>
      </c>
      <c r="F742" t="s">
        <v>82</v>
      </c>
      <c r="G742" t="s">
        <v>107</v>
      </c>
      <c r="K742">
        <v>6</v>
      </c>
      <c r="Q742" t="s">
        <v>67</v>
      </c>
      <c r="R742" t="str">
        <f>_xlfn.XLOOKUP(GERAL[[#This Row],[Dia]],U:U,V:V,"")</f>
        <v>Prazo_30</v>
      </c>
    </row>
    <row r="743" spans="1:18" x14ac:dyDescent="0.3">
      <c r="A743" t="str">
        <f>_xlfn.XLOOKUP(GERAL[[#This Row],[Dia]],U:U,T:T,"")</f>
        <v>Semana 9</v>
      </c>
      <c r="B743" s="1">
        <v>46107</v>
      </c>
      <c r="C743" t="s">
        <v>25</v>
      </c>
      <c r="D743" s="1">
        <v>46107</v>
      </c>
      <c r="E743" t="s">
        <v>36</v>
      </c>
      <c r="F743" t="s">
        <v>75</v>
      </c>
      <c r="G743" t="s">
        <v>95</v>
      </c>
      <c r="I743">
        <v>2</v>
      </c>
      <c r="L743">
        <v>2</v>
      </c>
      <c r="Q743" t="s">
        <v>67</v>
      </c>
      <c r="R743" t="str">
        <f>_xlfn.XLOOKUP(GERAL[[#This Row],[Dia]],U:U,V:V,"")</f>
        <v>Prazo_30</v>
      </c>
    </row>
    <row r="744" spans="1:18" x14ac:dyDescent="0.3">
      <c r="A744" t="str">
        <f>_xlfn.XLOOKUP(GERAL[[#This Row],[Dia]],U:U,T:T,"")</f>
        <v>Semana 9</v>
      </c>
      <c r="B744" s="1">
        <v>46107</v>
      </c>
      <c r="C744" t="s">
        <v>25</v>
      </c>
      <c r="D744" s="1">
        <v>46107</v>
      </c>
      <c r="E744" t="s">
        <v>36</v>
      </c>
      <c r="F744" t="s">
        <v>75</v>
      </c>
      <c r="G744" t="s">
        <v>99</v>
      </c>
      <c r="N744">
        <v>1</v>
      </c>
      <c r="Q744" t="s">
        <v>67</v>
      </c>
      <c r="R744" t="str">
        <f>_xlfn.XLOOKUP(GERAL[[#This Row],[Dia]],U:U,V:V,"")</f>
        <v>Prazo_30</v>
      </c>
    </row>
    <row r="745" spans="1:18" x14ac:dyDescent="0.3">
      <c r="A745" t="str">
        <f>_xlfn.XLOOKUP(GERAL[[#This Row],[Dia]],U:U,T:T,"")</f>
        <v>Semana 9</v>
      </c>
      <c r="B745" s="1">
        <v>46108</v>
      </c>
      <c r="C745" t="s">
        <v>26</v>
      </c>
      <c r="D745" s="1">
        <v>46108</v>
      </c>
      <c r="E745" t="s">
        <v>36</v>
      </c>
      <c r="F745" t="s">
        <v>82</v>
      </c>
      <c r="G745" t="s">
        <v>103</v>
      </c>
      <c r="K745">
        <v>6</v>
      </c>
      <c r="Q745" t="s">
        <v>67</v>
      </c>
      <c r="R745" t="str">
        <f>_xlfn.XLOOKUP(GERAL[[#This Row],[Dia]],U:U,V:V,"")</f>
        <v>Prazo_30</v>
      </c>
    </row>
    <row r="746" spans="1:18" x14ac:dyDescent="0.3">
      <c r="A746" t="str">
        <f>_xlfn.XLOOKUP(GERAL[[#This Row],[Dia]],U:U,T:T,"")</f>
        <v>Semana 9</v>
      </c>
      <c r="B746" s="1">
        <v>46108</v>
      </c>
      <c r="C746" t="s">
        <v>26</v>
      </c>
      <c r="D746" s="1">
        <v>46108</v>
      </c>
      <c r="E746" t="s">
        <v>36</v>
      </c>
      <c r="F746" t="s">
        <v>82</v>
      </c>
      <c r="G746" t="s">
        <v>105</v>
      </c>
      <c r="K746">
        <v>6</v>
      </c>
      <c r="Q746" t="s">
        <v>67</v>
      </c>
      <c r="R746" t="str">
        <f>_xlfn.XLOOKUP(GERAL[[#This Row],[Dia]],U:U,V:V,"")</f>
        <v>Prazo_30</v>
      </c>
    </row>
    <row r="747" spans="1:18" x14ac:dyDescent="0.3">
      <c r="A747" t="str">
        <f>_xlfn.XLOOKUP(GERAL[[#This Row],[Dia]],U:U,T:T,"")</f>
        <v>Semana 9</v>
      </c>
      <c r="B747" s="1">
        <v>46108</v>
      </c>
      <c r="C747" t="s">
        <v>26</v>
      </c>
      <c r="D747" s="1">
        <v>46108</v>
      </c>
      <c r="E747" t="s">
        <v>36</v>
      </c>
      <c r="F747" t="s">
        <v>75</v>
      </c>
      <c r="G747" t="s">
        <v>95</v>
      </c>
      <c r="J747">
        <v>30</v>
      </c>
      <c r="K747">
        <v>6</v>
      </c>
      <c r="Q747" t="s">
        <v>67</v>
      </c>
      <c r="R747" t="str">
        <f>_xlfn.XLOOKUP(GERAL[[#This Row],[Dia]],U:U,V:V,"")</f>
        <v>Prazo_30</v>
      </c>
    </row>
    <row r="748" spans="1:18" x14ac:dyDescent="0.3">
      <c r="A748" t="str">
        <f>_xlfn.XLOOKUP(GERAL[[#This Row],[Dia]],U:U,T:T,"")</f>
        <v>Semana 9</v>
      </c>
      <c r="B748" s="1">
        <v>46108</v>
      </c>
      <c r="C748" t="s">
        <v>26</v>
      </c>
      <c r="D748" s="1">
        <v>46108</v>
      </c>
      <c r="E748" t="s">
        <v>36</v>
      </c>
      <c r="F748" t="s">
        <v>75</v>
      </c>
      <c r="G748" t="s">
        <v>104</v>
      </c>
      <c r="N748">
        <v>2</v>
      </c>
      <c r="Q748" t="s">
        <v>67</v>
      </c>
      <c r="R748" t="str">
        <f>_xlfn.XLOOKUP(GERAL[[#This Row],[Dia]],U:U,V:V,"")</f>
        <v>Prazo_30</v>
      </c>
    </row>
    <row r="749" spans="1:18" x14ac:dyDescent="0.3">
      <c r="A749" t="str">
        <f>_xlfn.XLOOKUP(GERAL[[#This Row],[Dia]],U:U,T:T,"")</f>
        <v>Semana 9</v>
      </c>
      <c r="B749" s="1">
        <v>46109</v>
      </c>
      <c r="C749" t="s">
        <v>16</v>
      </c>
      <c r="D749" s="1">
        <v>46109</v>
      </c>
      <c r="E749" t="s">
        <v>36</v>
      </c>
      <c r="F749" t="s">
        <v>75</v>
      </c>
      <c r="G749" t="s">
        <v>95</v>
      </c>
      <c r="K749">
        <v>6</v>
      </c>
      <c r="Q749" t="s">
        <v>67</v>
      </c>
      <c r="R749" t="str">
        <f>_xlfn.XLOOKUP(GERAL[[#This Row],[Dia]],U:U,V:V,"")</f>
        <v>Prazo_30</v>
      </c>
    </row>
    <row r="750" spans="1:18" x14ac:dyDescent="0.3">
      <c r="A750" t="str">
        <f>_xlfn.XLOOKUP(GERAL[[#This Row],[Dia]],U:U,T:T,"")</f>
        <v>Semana 9</v>
      </c>
      <c r="B750" s="1">
        <v>46109</v>
      </c>
      <c r="C750" t="s">
        <v>16</v>
      </c>
      <c r="D750" s="1">
        <v>46109</v>
      </c>
      <c r="E750" t="s">
        <v>36</v>
      </c>
      <c r="F750" t="s">
        <v>75</v>
      </c>
      <c r="G750" t="s">
        <v>97</v>
      </c>
      <c r="K750">
        <v>6</v>
      </c>
      <c r="Q750" t="s">
        <v>67</v>
      </c>
      <c r="R750" t="str">
        <f>_xlfn.XLOOKUP(GERAL[[#This Row],[Dia]],U:U,V:V,"")</f>
        <v>Prazo_30</v>
      </c>
    </row>
    <row r="751" spans="1:18" x14ac:dyDescent="0.3">
      <c r="A751" t="str">
        <f>_xlfn.XLOOKUP(GERAL[[#This Row],[Dia]],U:U,T:T,"")</f>
        <v>Semana 9</v>
      </c>
      <c r="B751" s="1">
        <v>46110</v>
      </c>
      <c r="C751" t="s">
        <v>21</v>
      </c>
      <c r="D751" s="1">
        <v>46110</v>
      </c>
      <c r="E751" t="s">
        <v>17</v>
      </c>
      <c r="Q751" t="s">
        <v>67</v>
      </c>
      <c r="R751" t="str">
        <f>_xlfn.XLOOKUP(GERAL[[#This Row],[Dia]],U:U,V:V,"")</f>
        <v>Prazo_30</v>
      </c>
    </row>
    <row r="752" spans="1:18" x14ac:dyDescent="0.3">
      <c r="A752" t="str">
        <f>_xlfn.XLOOKUP(GERAL[[#This Row],[Dia]],U:U,T:T,"")</f>
        <v>Semana 10</v>
      </c>
      <c r="B752" s="1">
        <v>46111</v>
      </c>
      <c r="C752" t="s">
        <v>22</v>
      </c>
      <c r="D752" s="1">
        <v>46111</v>
      </c>
      <c r="E752" t="s">
        <v>36</v>
      </c>
      <c r="F752" t="s">
        <v>75</v>
      </c>
      <c r="G752" t="s">
        <v>95</v>
      </c>
      <c r="I752">
        <v>2</v>
      </c>
      <c r="K752">
        <v>6</v>
      </c>
      <c r="L752">
        <v>1</v>
      </c>
      <c r="Q752" t="s">
        <v>67</v>
      </c>
      <c r="R752" t="str">
        <f>_xlfn.XLOOKUP(GERAL[[#This Row],[Dia]],U:U,V:V,"")</f>
        <v>Prazo_30</v>
      </c>
    </row>
    <row r="753" spans="1:18" x14ac:dyDescent="0.3">
      <c r="A753" t="str">
        <f>_xlfn.XLOOKUP(GERAL[[#This Row],[Dia]],U:U,T:T,"")</f>
        <v>Semana 10</v>
      </c>
      <c r="B753" s="1">
        <v>46111</v>
      </c>
      <c r="C753" t="s">
        <v>22</v>
      </c>
      <c r="D753" s="1">
        <v>46111</v>
      </c>
      <c r="E753" t="s">
        <v>36</v>
      </c>
      <c r="F753" t="s">
        <v>75</v>
      </c>
      <c r="G753" t="s">
        <v>104</v>
      </c>
      <c r="H753">
        <v>2</v>
      </c>
      <c r="Q753" t="s">
        <v>67</v>
      </c>
      <c r="R753" t="str">
        <f>_xlfn.XLOOKUP(GERAL[[#This Row],[Dia]],U:U,V:V,"")</f>
        <v>Prazo_30</v>
      </c>
    </row>
    <row r="754" spans="1:18" x14ac:dyDescent="0.3">
      <c r="A754" t="str">
        <f>_xlfn.XLOOKUP(GERAL[[#This Row],[Dia]],U:U,T:T,"")</f>
        <v>Semana 10</v>
      </c>
      <c r="B754" s="1">
        <v>46111</v>
      </c>
      <c r="C754" t="s">
        <v>22</v>
      </c>
      <c r="D754" s="1">
        <v>46111</v>
      </c>
      <c r="E754" t="s">
        <v>36</v>
      </c>
      <c r="F754" t="s">
        <v>82</v>
      </c>
      <c r="G754" t="s">
        <v>103</v>
      </c>
      <c r="K754">
        <v>8</v>
      </c>
      <c r="Q754" t="s">
        <v>67</v>
      </c>
      <c r="R754" t="str">
        <f>_xlfn.XLOOKUP(GERAL[[#This Row],[Dia]],U:U,V:V,"")</f>
        <v>Prazo_30</v>
      </c>
    </row>
    <row r="755" spans="1:18" x14ac:dyDescent="0.3">
      <c r="A755" t="str">
        <f>_xlfn.XLOOKUP(GERAL[[#This Row],[Dia]],U:U,T:T,"")</f>
        <v>Semana 10</v>
      </c>
      <c r="B755" s="1">
        <v>46111</v>
      </c>
      <c r="C755" t="s">
        <v>22</v>
      </c>
      <c r="D755" s="1">
        <v>46111</v>
      </c>
      <c r="E755" t="s">
        <v>36</v>
      </c>
      <c r="F755" t="s">
        <v>82</v>
      </c>
      <c r="G755" t="s">
        <v>105</v>
      </c>
      <c r="K755">
        <v>2</v>
      </c>
      <c r="L755">
        <v>1</v>
      </c>
      <c r="Q755" t="s">
        <v>67</v>
      </c>
      <c r="R755" t="str">
        <f>_xlfn.XLOOKUP(GERAL[[#This Row],[Dia]],U:U,V:V,"")</f>
        <v>Prazo_30</v>
      </c>
    </row>
    <row r="756" spans="1:18" x14ac:dyDescent="0.3">
      <c r="A756" t="str">
        <f>_xlfn.XLOOKUP(GERAL[[#This Row],[Dia]],U:U,T:T,"")</f>
        <v>Semana 10</v>
      </c>
      <c r="B756" s="1">
        <v>46111</v>
      </c>
      <c r="C756" t="s">
        <v>22</v>
      </c>
      <c r="D756" s="1">
        <v>46111</v>
      </c>
      <c r="E756" t="s">
        <v>36</v>
      </c>
      <c r="F756" t="s">
        <v>82</v>
      </c>
      <c r="G756" t="s">
        <v>89</v>
      </c>
      <c r="K756">
        <v>6.5</v>
      </c>
      <c r="Q756" t="s">
        <v>67</v>
      </c>
      <c r="R756" t="str">
        <f>_xlfn.XLOOKUP(GERAL[[#This Row],[Dia]],U:U,V:V,"")</f>
        <v>Prazo_30</v>
      </c>
    </row>
    <row r="757" spans="1:18" x14ac:dyDescent="0.3">
      <c r="A757" t="str">
        <f>_xlfn.XLOOKUP(GERAL[[#This Row],[Dia]],U:U,T:T,"")</f>
        <v>Semana 10</v>
      </c>
      <c r="B757" s="1">
        <v>46112</v>
      </c>
      <c r="C757" t="s">
        <v>23</v>
      </c>
      <c r="D757" s="1">
        <v>46112</v>
      </c>
      <c r="E757" t="s">
        <v>36</v>
      </c>
      <c r="F757" t="s">
        <v>75</v>
      </c>
      <c r="G757" t="s">
        <v>95</v>
      </c>
      <c r="I757">
        <v>1</v>
      </c>
      <c r="K757">
        <v>6</v>
      </c>
      <c r="L757">
        <v>1</v>
      </c>
      <c r="Q757" t="s">
        <v>67</v>
      </c>
      <c r="R757" t="str">
        <f>_xlfn.XLOOKUP(GERAL[[#This Row],[Dia]],U:U,V:V,"")</f>
        <v>Prazo_30</v>
      </c>
    </row>
    <row r="758" spans="1:18" x14ac:dyDescent="0.3">
      <c r="A758" t="str">
        <f>_xlfn.XLOOKUP(GERAL[[#This Row],[Dia]],U:U,T:T,"")</f>
        <v>Semana 10</v>
      </c>
      <c r="B758" s="1">
        <v>46112</v>
      </c>
      <c r="C758" t="s">
        <v>23</v>
      </c>
      <c r="D758" s="1">
        <v>46112</v>
      </c>
      <c r="E758" t="s">
        <v>36</v>
      </c>
      <c r="F758" t="s">
        <v>75</v>
      </c>
      <c r="G758" t="s">
        <v>97</v>
      </c>
      <c r="H758">
        <v>2</v>
      </c>
      <c r="Q758" t="s">
        <v>67</v>
      </c>
      <c r="R758" t="str">
        <f>_xlfn.XLOOKUP(GERAL[[#This Row],[Dia]],U:U,V:V,"")</f>
        <v>Prazo_30</v>
      </c>
    </row>
    <row r="759" spans="1:18" x14ac:dyDescent="0.3">
      <c r="A759" t="str">
        <f>_xlfn.XLOOKUP(GERAL[[#This Row],[Dia]],U:U,T:T,"")</f>
        <v>Semana 10</v>
      </c>
      <c r="B759" s="1">
        <v>46112</v>
      </c>
      <c r="C759" t="s">
        <v>23</v>
      </c>
      <c r="D759" s="1">
        <v>46112</v>
      </c>
      <c r="E759" t="s">
        <v>36</v>
      </c>
      <c r="F759" t="s">
        <v>75</v>
      </c>
      <c r="G759" t="s">
        <v>108</v>
      </c>
      <c r="H759">
        <v>3</v>
      </c>
      <c r="Q759" t="s">
        <v>67</v>
      </c>
      <c r="R759" t="str">
        <f>_xlfn.XLOOKUP(GERAL[[#This Row],[Dia]],U:U,V:V,"")</f>
        <v>Prazo_30</v>
      </c>
    </row>
    <row r="760" spans="1:18" x14ac:dyDescent="0.3">
      <c r="A760" t="str">
        <f>_xlfn.XLOOKUP(GERAL[[#This Row],[Dia]],U:U,T:T,"")</f>
        <v>Semana 10</v>
      </c>
      <c r="B760" s="1">
        <v>46112</v>
      </c>
      <c r="C760" t="s">
        <v>23</v>
      </c>
      <c r="D760" s="1">
        <v>46112</v>
      </c>
      <c r="E760" t="s">
        <v>36</v>
      </c>
      <c r="F760" t="s">
        <v>75</v>
      </c>
      <c r="G760" t="s">
        <v>99</v>
      </c>
      <c r="H760">
        <v>1</v>
      </c>
      <c r="Q760" t="s">
        <v>67</v>
      </c>
      <c r="R760" t="str">
        <f>_xlfn.XLOOKUP(GERAL[[#This Row],[Dia]],U:U,V:V,"")</f>
        <v>Prazo_30</v>
      </c>
    </row>
    <row r="761" spans="1:18" x14ac:dyDescent="0.3">
      <c r="A761" t="str">
        <f>_xlfn.XLOOKUP(GERAL[[#This Row],[Dia]],U:U,T:T,"")</f>
        <v>Semana 10</v>
      </c>
      <c r="B761" s="1">
        <v>46112</v>
      </c>
      <c r="C761" t="s">
        <v>23</v>
      </c>
      <c r="D761" s="1">
        <v>46112</v>
      </c>
      <c r="E761" t="s">
        <v>36</v>
      </c>
      <c r="F761" t="s">
        <v>82</v>
      </c>
      <c r="G761" t="s">
        <v>105</v>
      </c>
      <c r="K761">
        <v>8</v>
      </c>
      <c r="Q761" t="s">
        <v>67</v>
      </c>
      <c r="R761" t="str">
        <f>_xlfn.XLOOKUP(GERAL[[#This Row],[Dia]],U:U,V:V,"")</f>
        <v>Prazo_30</v>
      </c>
    </row>
    <row r="762" spans="1:18" x14ac:dyDescent="0.3">
      <c r="A762" t="str">
        <f>_xlfn.XLOOKUP(GERAL[[#This Row],[Dia]],U:U,T:T,"")</f>
        <v>Semana 10</v>
      </c>
      <c r="B762" s="1">
        <v>46112</v>
      </c>
      <c r="C762" t="s">
        <v>23</v>
      </c>
      <c r="D762" s="1">
        <v>46112</v>
      </c>
      <c r="E762" t="s">
        <v>36</v>
      </c>
      <c r="F762" t="s">
        <v>82</v>
      </c>
      <c r="G762" t="s">
        <v>99</v>
      </c>
      <c r="K762">
        <v>6</v>
      </c>
      <c r="Q762" t="s">
        <v>67</v>
      </c>
      <c r="R762" t="str">
        <f>_xlfn.XLOOKUP(GERAL[[#This Row],[Dia]],U:U,V:V,"")</f>
        <v>Prazo_30</v>
      </c>
    </row>
    <row r="763" spans="1:18" hidden="1" x14ac:dyDescent="0.3">
      <c r="A763" t="str">
        <f>_xlfn.XLOOKUP(GERAL[[#This Row],[Dia]],U:U,T:T,"")</f>
        <v>Semana 10</v>
      </c>
      <c r="B763" s="1">
        <v>46113</v>
      </c>
      <c r="C763" t="s">
        <v>24</v>
      </c>
      <c r="D763" s="1">
        <v>46113</v>
      </c>
      <c r="E763" t="s">
        <v>36</v>
      </c>
      <c r="F763" t="s">
        <v>82</v>
      </c>
      <c r="G763" t="s">
        <v>103</v>
      </c>
      <c r="K763">
        <v>6</v>
      </c>
      <c r="Q763" t="s">
        <v>67</v>
      </c>
      <c r="R763" t="str">
        <f>_xlfn.XLOOKUP(GERAL[[#This Row],[Dia]],U:U,V:V,"")</f>
        <v>Prazo_30</v>
      </c>
    </row>
    <row r="764" spans="1:18" hidden="1" x14ac:dyDescent="0.3">
      <c r="A764" t="str">
        <f>_xlfn.XLOOKUP(GERAL[[#This Row],[Dia]],U:U,T:T,"")</f>
        <v>Semana 10</v>
      </c>
      <c r="B764" s="1">
        <v>46113</v>
      </c>
      <c r="C764" t="s">
        <v>24</v>
      </c>
      <c r="D764" s="1">
        <v>46113</v>
      </c>
      <c r="E764" t="s">
        <v>36</v>
      </c>
      <c r="F764" t="s">
        <v>82</v>
      </c>
      <c r="G764" t="s">
        <v>89</v>
      </c>
      <c r="K764">
        <v>12</v>
      </c>
      <c r="Q764" t="s">
        <v>67</v>
      </c>
      <c r="R764" t="str">
        <f>_xlfn.XLOOKUP(GERAL[[#This Row],[Dia]],U:U,V:V,"")</f>
        <v>Prazo_30</v>
      </c>
    </row>
    <row r="765" spans="1:18" hidden="1" x14ac:dyDescent="0.3">
      <c r="A765" t="str">
        <f>_xlfn.XLOOKUP(GERAL[[#This Row],[Dia]],U:U,T:T,"")</f>
        <v>Semana 10</v>
      </c>
      <c r="B765" s="1">
        <v>46114</v>
      </c>
      <c r="C765" t="s">
        <v>25</v>
      </c>
      <c r="D765" s="1">
        <v>46114</v>
      </c>
      <c r="E765" t="s">
        <v>36</v>
      </c>
      <c r="F765" t="s">
        <v>75</v>
      </c>
      <c r="G765" t="s">
        <v>95</v>
      </c>
      <c r="L765">
        <v>2</v>
      </c>
      <c r="Q765" t="s">
        <v>67</v>
      </c>
      <c r="R765" t="str">
        <f>_xlfn.XLOOKUP(GERAL[[#This Row],[Dia]],U:U,V:V,"")</f>
        <v>Prazo_30</v>
      </c>
    </row>
    <row r="766" spans="1:18" hidden="1" x14ac:dyDescent="0.3">
      <c r="A766" t="str">
        <f>_xlfn.XLOOKUP(GERAL[[#This Row],[Dia]],U:U,T:T,"")</f>
        <v>Semana 10</v>
      </c>
      <c r="B766" s="1">
        <v>46114</v>
      </c>
      <c r="C766" t="s">
        <v>25</v>
      </c>
      <c r="D766" s="1">
        <v>46114</v>
      </c>
      <c r="E766" t="s">
        <v>36</v>
      </c>
      <c r="F766" t="s">
        <v>75</v>
      </c>
      <c r="G766" t="s">
        <v>104</v>
      </c>
      <c r="N766">
        <v>1</v>
      </c>
      <c r="Q766" t="s">
        <v>67</v>
      </c>
      <c r="R766" t="str">
        <f>_xlfn.XLOOKUP(GERAL[[#This Row],[Dia]],U:U,V:V,"")</f>
        <v>Prazo_30</v>
      </c>
    </row>
    <row r="767" spans="1:18" hidden="1" x14ac:dyDescent="0.3">
      <c r="A767" t="str">
        <f>_xlfn.XLOOKUP(GERAL[[#This Row],[Dia]],U:U,T:T,"")</f>
        <v>Semana 10</v>
      </c>
      <c r="B767" s="1">
        <v>46114</v>
      </c>
      <c r="C767" t="s">
        <v>25</v>
      </c>
      <c r="D767" s="1">
        <v>46114</v>
      </c>
      <c r="E767" t="s">
        <v>36</v>
      </c>
      <c r="F767" t="s">
        <v>75</v>
      </c>
      <c r="G767" t="s">
        <v>99</v>
      </c>
      <c r="H767">
        <v>2</v>
      </c>
      <c r="Q767" t="s">
        <v>67</v>
      </c>
      <c r="R767" t="str">
        <f>_xlfn.XLOOKUP(GERAL[[#This Row],[Dia]],U:U,V:V,"")</f>
        <v>Prazo_30</v>
      </c>
    </row>
    <row r="768" spans="1:18" hidden="1" x14ac:dyDescent="0.3">
      <c r="A768" t="str">
        <f>_xlfn.XLOOKUP(GERAL[[#This Row],[Dia]],U:U,T:T,"")</f>
        <v>Semana 10</v>
      </c>
      <c r="B768" s="1">
        <v>46114</v>
      </c>
      <c r="C768" t="s">
        <v>25</v>
      </c>
      <c r="D768" s="1">
        <v>46114</v>
      </c>
      <c r="E768" t="s">
        <v>36</v>
      </c>
      <c r="F768" t="s">
        <v>82</v>
      </c>
      <c r="G768" t="s">
        <v>103</v>
      </c>
      <c r="K768">
        <v>6</v>
      </c>
      <c r="Q768" t="s">
        <v>67</v>
      </c>
      <c r="R768" t="str">
        <f>_xlfn.XLOOKUP(GERAL[[#This Row],[Dia]],U:U,V:V,"")</f>
        <v>Prazo_30</v>
      </c>
    </row>
    <row r="769" spans="1:18" hidden="1" x14ac:dyDescent="0.3">
      <c r="A769" t="str">
        <f>_xlfn.XLOOKUP(GERAL[[#This Row],[Dia]],U:U,T:T,"")</f>
        <v>Semana 10</v>
      </c>
      <c r="B769" s="1">
        <v>46114</v>
      </c>
      <c r="C769" t="s">
        <v>25</v>
      </c>
      <c r="D769" s="1">
        <v>46114</v>
      </c>
      <c r="E769" t="s">
        <v>36</v>
      </c>
      <c r="F769" t="s">
        <v>82</v>
      </c>
      <c r="G769" t="s">
        <v>89</v>
      </c>
      <c r="K769">
        <v>4</v>
      </c>
      <c r="Q769" t="s">
        <v>67</v>
      </c>
      <c r="R769" t="str">
        <f>_xlfn.XLOOKUP(GERAL[[#This Row],[Dia]],U:U,V:V,"")</f>
        <v>Prazo_30</v>
      </c>
    </row>
    <row r="770" spans="1:18" hidden="1" x14ac:dyDescent="0.3">
      <c r="A770" t="str">
        <f>_xlfn.XLOOKUP(GERAL[[#This Row],[Dia]],U:U,T:T,"")</f>
        <v>Semana 10</v>
      </c>
      <c r="B770" s="1">
        <v>46114</v>
      </c>
      <c r="C770" t="s">
        <v>25</v>
      </c>
      <c r="D770" s="1">
        <v>46114</v>
      </c>
      <c r="E770" t="s">
        <v>36</v>
      </c>
      <c r="F770" t="s">
        <v>82</v>
      </c>
      <c r="G770" t="s">
        <v>105</v>
      </c>
      <c r="K770">
        <v>6</v>
      </c>
      <c r="Q770" t="s">
        <v>67</v>
      </c>
      <c r="R770" t="str">
        <f>_xlfn.XLOOKUP(GERAL[[#This Row],[Dia]],U:U,V:V,"")</f>
        <v>Prazo_30</v>
      </c>
    </row>
    <row r="771" spans="1:18" hidden="1" x14ac:dyDescent="0.3">
      <c r="A771" t="str">
        <f>_xlfn.XLOOKUP(GERAL[[#This Row],[Dia]],U:U,T:T,"")</f>
        <v>Semana 10</v>
      </c>
      <c r="B771" s="1">
        <v>46115</v>
      </c>
      <c r="C771" t="s">
        <v>26</v>
      </c>
      <c r="D771" s="1">
        <v>46115</v>
      </c>
      <c r="E771" t="s">
        <v>17</v>
      </c>
      <c r="Q771" t="s">
        <v>67</v>
      </c>
      <c r="R771" t="str">
        <f>_xlfn.XLOOKUP(GERAL[[#This Row],[Dia]],U:U,V:V,"")</f>
        <v>Prazo_30</v>
      </c>
    </row>
    <row r="772" spans="1:18" hidden="1" x14ac:dyDescent="0.3">
      <c r="A772" t="str">
        <f>_xlfn.XLOOKUP(GERAL[[#This Row],[Dia]],U:U,T:T,"")</f>
        <v>Semana 10</v>
      </c>
      <c r="B772" s="1">
        <v>46116</v>
      </c>
      <c r="C772" t="s">
        <v>16</v>
      </c>
      <c r="D772" s="1">
        <v>46116</v>
      </c>
      <c r="E772" t="s">
        <v>17</v>
      </c>
      <c r="Q772" t="s">
        <v>67</v>
      </c>
      <c r="R772" t="str">
        <f>_xlfn.XLOOKUP(GERAL[[#This Row],[Dia]],U:U,V:V,"")</f>
        <v>Prazo_30</v>
      </c>
    </row>
    <row r="773" spans="1:18" hidden="1" x14ac:dyDescent="0.3">
      <c r="A773" t="str">
        <f>_xlfn.XLOOKUP(GERAL[[#This Row],[Dia]],U:U,T:T,"")</f>
        <v>Semana 10</v>
      </c>
      <c r="B773" s="1">
        <v>46117</v>
      </c>
      <c r="C773" t="s">
        <v>21</v>
      </c>
      <c r="D773" s="1">
        <v>46117</v>
      </c>
      <c r="E773" t="s">
        <v>17</v>
      </c>
      <c r="Q773" t="s">
        <v>67</v>
      </c>
      <c r="R773" t="str">
        <f>_xlfn.XLOOKUP(GERAL[[#This Row],[Dia]],U:U,V:V,"")</f>
        <v>Prazo_30</v>
      </c>
    </row>
    <row r="774" spans="1:18" hidden="1" x14ac:dyDescent="0.3">
      <c r="A774" t="str">
        <f>_xlfn.XLOOKUP(GERAL[[#This Row],[Dia]],U:U,T:T,"")</f>
        <v>Semana 11</v>
      </c>
      <c r="B774" s="1">
        <v>46118</v>
      </c>
      <c r="C774" t="s">
        <v>22</v>
      </c>
      <c r="D774" s="1">
        <v>46118</v>
      </c>
      <c r="E774" t="s">
        <v>17</v>
      </c>
      <c r="Q774" t="s">
        <v>67</v>
      </c>
      <c r="R774" t="str">
        <f>_xlfn.XLOOKUP(GERAL[[#This Row],[Dia]],U:U,V:V,"")</f>
        <v>Prazo_30</v>
      </c>
    </row>
    <row r="775" spans="1:18" hidden="1" x14ac:dyDescent="0.3">
      <c r="A775" t="str">
        <f>_xlfn.XLOOKUP(GERAL[[#This Row],[Dia]],U:U,T:T,"")</f>
        <v>Semana 11</v>
      </c>
      <c r="B775" s="1">
        <v>46119</v>
      </c>
      <c r="C775" t="s">
        <v>23</v>
      </c>
      <c r="D775" s="1">
        <v>46119</v>
      </c>
      <c r="E775" t="s">
        <v>17</v>
      </c>
      <c r="Q775" t="s">
        <v>67</v>
      </c>
      <c r="R775" t="str">
        <f>_xlfn.XLOOKUP(GERAL[[#This Row],[Dia]],U:U,V:V,"")</f>
        <v>Prazo_30</v>
      </c>
    </row>
    <row r="776" spans="1:18" hidden="1" x14ac:dyDescent="0.3">
      <c r="A776" t="str">
        <f>_xlfn.XLOOKUP(GERAL[[#This Row],[Dia]],U:U,T:T,"")</f>
        <v>Semana 11</v>
      </c>
      <c r="B776" s="1">
        <v>46120</v>
      </c>
      <c r="C776" t="s">
        <v>24</v>
      </c>
      <c r="D776" s="1">
        <v>46120</v>
      </c>
      <c r="E776" t="s">
        <v>17</v>
      </c>
      <c r="Q776" t="s">
        <v>67</v>
      </c>
      <c r="R776" t="str">
        <f>_xlfn.XLOOKUP(GERAL[[#This Row],[Dia]],U:U,V:V,"")</f>
        <v>Prazo_30</v>
      </c>
    </row>
    <row r="777" spans="1:18" hidden="1" x14ac:dyDescent="0.3">
      <c r="A777" t="str">
        <f>_xlfn.XLOOKUP(GERAL[[#This Row],[Dia]],U:U,T:T,"")</f>
        <v>Semana 11</v>
      </c>
      <c r="B777" s="1">
        <v>46121</v>
      </c>
      <c r="C777" t="s">
        <v>25</v>
      </c>
      <c r="D777" s="1">
        <v>46121</v>
      </c>
      <c r="Q777" t="s">
        <v>67</v>
      </c>
      <c r="R777" t="str">
        <f>_xlfn.XLOOKUP(GERAL[[#This Row],[Dia]],U:U,V:V,"")</f>
        <v>Prazo_30</v>
      </c>
    </row>
    <row r="778" spans="1:18" hidden="1" x14ac:dyDescent="0.3">
      <c r="A778" t="str">
        <f>_xlfn.XLOOKUP(GERAL[[#This Row],[Dia]],U:U,T:T,"")</f>
        <v>Semana 11</v>
      </c>
      <c r="B778" s="1">
        <v>46122</v>
      </c>
      <c r="C778" t="s">
        <v>26</v>
      </c>
      <c r="D778" s="1">
        <v>46122</v>
      </c>
      <c r="Q778" t="s">
        <v>67</v>
      </c>
      <c r="R778" t="str">
        <f>_xlfn.XLOOKUP(GERAL[[#This Row],[Dia]],U:U,V:V,"")</f>
        <v>Prazo_30</v>
      </c>
    </row>
    <row r="779" spans="1:18" hidden="1" x14ac:dyDescent="0.3">
      <c r="A779" t="str">
        <f>_xlfn.XLOOKUP(GERAL[[#This Row],[Dia]],U:U,T:T,"")</f>
        <v>Semana 11</v>
      </c>
      <c r="B779" s="1">
        <v>46123</v>
      </c>
      <c r="C779" t="s">
        <v>16</v>
      </c>
      <c r="D779" s="1">
        <v>46123</v>
      </c>
      <c r="E779" t="s">
        <v>17</v>
      </c>
      <c r="Q779" t="s">
        <v>67</v>
      </c>
      <c r="R779" t="str">
        <f>_xlfn.XLOOKUP(GERAL[[#This Row],[Dia]],U:U,V:V,"")</f>
        <v>Prazo_30</v>
      </c>
    </row>
    <row r="780" spans="1:18" hidden="1" x14ac:dyDescent="0.3">
      <c r="A780" t="str">
        <f>_xlfn.XLOOKUP(GERAL[[#This Row],[Dia]],U:U,T:T,"")</f>
        <v>Semana 11</v>
      </c>
      <c r="B780" s="1">
        <v>46124</v>
      </c>
      <c r="C780" t="s">
        <v>21</v>
      </c>
      <c r="D780" s="1">
        <v>46124</v>
      </c>
      <c r="E780" t="s">
        <v>17</v>
      </c>
      <c r="Q780" t="s">
        <v>67</v>
      </c>
      <c r="R780" t="str">
        <f>_xlfn.XLOOKUP(GERAL[[#This Row],[Dia]],U:U,V:V,"")</f>
        <v>Prazo_30</v>
      </c>
    </row>
    <row r="781" spans="1:18" hidden="1" x14ac:dyDescent="0.3">
      <c r="A781" t="str">
        <f>_xlfn.XLOOKUP(GERAL[[#This Row],[Dia]],U:U,T:T,"")</f>
        <v>Semana 12</v>
      </c>
      <c r="B781" s="1">
        <v>46125</v>
      </c>
      <c r="C781" t="s">
        <v>22</v>
      </c>
      <c r="D781" s="1">
        <v>46125</v>
      </c>
      <c r="Q781" t="s">
        <v>67</v>
      </c>
      <c r="R781" t="str">
        <f>_xlfn.XLOOKUP(GERAL[[#This Row],[Dia]],U:U,V:V,"")</f>
        <v>Prazo_30</v>
      </c>
    </row>
    <row r="782" spans="1:18" hidden="1" x14ac:dyDescent="0.3">
      <c r="A782" t="str">
        <f>_xlfn.XLOOKUP(GERAL[[#This Row],[Dia]],U:U,T:T,"")</f>
        <v>Semana 12</v>
      </c>
      <c r="B782" s="1">
        <v>46126</v>
      </c>
      <c r="C782" t="s">
        <v>23</v>
      </c>
      <c r="D782" s="1">
        <v>46126</v>
      </c>
      <c r="Q782" t="s">
        <v>67</v>
      </c>
      <c r="R782" t="str">
        <f>_xlfn.XLOOKUP(GERAL[[#This Row],[Dia]],U:U,V:V,"")</f>
        <v>Prazo_30</v>
      </c>
    </row>
    <row r="783" spans="1:18" hidden="1" x14ac:dyDescent="0.3">
      <c r="A783" t="str">
        <f>_xlfn.XLOOKUP(GERAL[[#This Row],[Dia]],U:U,T:T,"")</f>
        <v>Semana 12</v>
      </c>
      <c r="B783" s="1">
        <v>46127</v>
      </c>
      <c r="C783" t="s">
        <v>24</v>
      </c>
      <c r="D783" s="1">
        <v>46127</v>
      </c>
      <c r="Q783" t="s">
        <v>67</v>
      </c>
      <c r="R783" t="str">
        <f>_xlfn.XLOOKUP(GERAL[[#This Row],[Dia]],U:U,V:V,"")</f>
        <v>Prazo_30</v>
      </c>
    </row>
    <row r="784" spans="1:18" hidden="1" x14ac:dyDescent="0.3">
      <c r="A784" t="str">
        <f>_xlfn.XLOOKUP(GERAL[[#This Row],[Dia]],U:U,T:T,"")</f>
        <v>Semana 12</v>
      </c>
      <c r="B784" s="1">
        <v>46128</v>
      </c>
      <c r="C784" t="s">
        <v>25</v>
      </c>
      <c r="D784" s="1">
        <v>46128</v>
      </c>
      <c r="Q784" t="s">
        <v>67</v>
      </c>
      <c r="R784" t="str">
        <f>_xlfn.XLOOKUP(GERAL[[#This Row],[Dia]],U:U,V:V,"")</f>
        <v>Prazo_30</v>
      </c>
    </row>
    <row r="785" spans="1:18" hidden="1" x14ac:dyDescent="0.3">
      <c r="A785" t="str">
        <f>_xlfn.XLOOKUP(GERAL[[#This Row],[Dia]],U:U,T:T,"")</f>
        <v>Semana 12</v>
      </c>
      <c r="B785" s="1">
        <v>46129</v>
      </c>
      <c r="C785" t="s">
        <v>26</v>
      </c>
      <c r="D785" s="1">
        <v>46129</v>
      </c>
      <c r="Q785" t="s">
        <v>67</v>
      </c>
      <c r="R785" t="str">
        <f>_xlfn.XLOOKUP(GERAL[[#This Row],[Dia]],U:U,V:V,"")</f>
        <v>Prazo_30</v>
      </c>
    </row>
    <row r="786" spans="1:18" hidden="1" x14ac:dyDescent="0.3">
      <c r="A786" t="str">
        <f>_xlfn.XLOOKUP(GERAL[[#This Row],[Dia]],U:U,T:T,"")</f>
        <v>Semana 12</v>
      </c>
      <c r="B786" s="1">
        <v>46130</v>
      </c>
      <c r="C786" t="s">
        <v>16</v>
      </c>
      <c r="D786" s="1">
        <v>46130</v>
      </c>
      <c r="E786" t="s">
        <v>17</v>
      </c>
      <c r="Q786" t="s">
        <v>67</v>
      </c>
      <c r="R786" t="str">
        <f>_xlfn.XLOOKUP(GERAL[[#This Row],[Dia]],U:U,V:V,"")</f>
        <v>Prazo_30</v>
      </c>
    </row>
    <row r="787" spans="1:18" hidden="1" x14ac:dyDescent="0.3">
      <c r="A787" t="str">
        <f>_xlfn.XLOOKUP(GERAL[[#This Row],[Dia]],U:U,T:T,"")</f>
        <v>Semana 12</v>
      </c>
      <c r="B787" s="1">
        <v>46131</v>
      </c>
      <c r="C787" t="s">
        <v>21</v>
      </c>
      <c r="D787" s="1">
        <v>46131</v>
      </c>
      <c r="E787" t="s">
        <v>17</v>
      </c>
      <c r="Q787" t="s">
        <v>67</v>
      </c>
      <c r="R787" t="str">
        <f>_xlfn.XLOOKUP(GERAL[[#This Row],[Dia]],U:U,V:V,"")</f>
        <v>Prazo_30</v>
      </c>
    </row>
    <row r="788" spans="1:18" hidden="1" x14ac:dyDescent="0.3">
      <c r="A788" t="str">
        <f>_xlfn.XLOOKUP(GERAL[[#This Row],[Dia]],U:U,T:T,"")</f>
        <v>Semana 13</v>
      </c>
      <c r="B788" s="1">
        <v>46132</v>
      </c>
      <c r="C788" t="s">
        <v>22</v>
      </c>
      <c r="D788" s="1">
        <v>46132</v>
      </c>
      <c r="Q788" t="s">
        <v>67</v>
      </c>
      <c r="R788" t="str">
        <f>_xlfn.XLOOKUP(GERAL[[#This Row],[Dia]],U:U,V:V,"")</f>
        <v>Prazo_30</v>
      </c>
    </row>
    <row r="789" spans="1:18" hidden="1" x14ac:dyDescent="0.3">
      <c r="A789" t="str">
        <f>_xlfn.XLOOKUP(GERAL[[#This Row],[Dia]],U:U,T:T,"")</f>
        <v>Semana 13</v>
      </c>
      <c r="B789" s="1">
        <v>46133</v>
      </c>
      <c r="C789" t="s">
        <v>23</v>
      </c>
      <c r="D789" s="1">
        <v>46133</v>
      </c>
      <c r="Q789" t="s">
        <v>67</v>
      </c>
      <c r="R789" t="str">
        <f>_xlfn.XLOOKUP(GERAL[[#This Row],[Dia]],U:U,V:V,"")</f>
        <v>Prazo_30</v>
      </c>
    </row>
    <row r="790" spans="1:18" hidden="1" x14ac:dyDescent="0.3">
      <c r="A790" t="str">
        <f>_xlfn.XLOOKUP(GERAL[[#This Row],[Dia]],U:U,T:T,"")</f>
        <v>Semana 13</v>
      </c>
      <c r="B790" s="1">
        <v>46134</v>
      </c>
      <c r="C790" t="s">
        <v>24</v>
      </c>
      <c r="D790" s="1">
        <v>46134</v>
      </c>
      <c r="Q790" t="s">
        <v>67</v>
      </c>
      <c r="R790" t="str">
        <f>_xlfn.XLOOKUP(GERAL[[#This Row],[Dia]],U:U,V:V,"")</f>
        <v>Prazo_30</v>
      </c>
    </row>
    <row r="791" spans="1:18" hidden="1" x14ac:dyDescent="0.3">
      <c r="A791" t="str">
        <f>_xlfn.XLOOKUP(GERAL[[#This Row],[Dia]],U:U,T:T,"")</f>
        <v>Semana 13</v>
      </c>
      <c r="B791" s="1">
        <v>46135</v>
      </c>
      <c r="C791" t="s">
        <v>25</v>
      </c>
      <c r="D791" s="1">
        <v>46135</v>
      </c>
      <c r="Q791" t="s">
        <v>67</v>
      </c>
      <c r="R791" t="str">
        <f>_xlfn.XLOOKUP(GERAL[[#This Row],[Dia]],U:U,V:V,"")</f>
        <v>Prazo_30</v>
      </c>
    </row>
    <row r="792" spans="1:18" hidden="1" x14ac:dyDescent="0.3">
      <c r="A792" t="str">
        <f>_xlfn.XLOOKUP(GERAL[[#This Row],[Dia]],U:U,T:T,"")</f>
        <v>Semana 13</v>
      </c>
      <c r="B792" s="1">
        <v>46136</v>
      </c>
      <c r="C792" t="s">
        <v>26</v>
      </c>
      <c r="D792" s="1">
        <v>46136</v>
      </c>
      <c r="Q792" t="s">
        <v>67</v>
      </c>
      <c r="R792" t="str">
        <f>_xlfn.XLOOKUP(GERAL[[#This Row],[Dia]],U:U,V:V,"")</f>
        <v>Prazo_30</v>
      </c>
    </row>
    <row r="793" spans="1:18" hidden="1" x14ac:dyDescent="0.3">
      <c r="A793" t="str">
        <f>_xlfn.XLOOKUP(GERAL[[#This Row],[Dia]],U:U,T:T,"")</f>
        <v>Semana 13</v>
      </c>
      <c r="B793" s="1">
        <v>46137</v>
      </c>
      <c r="C793" t="s">
        <v>16</v>
      </c>
      <c r="D793" s="1">
        <v>46137</v>
      </c>
      <c r="E793" t="s">
        <v>17</v>
      </c>
      <c r="Q793" t="s">
        <v>67</v>
      </c>
      <c r="R793" t="str">
        <f>_xlfn.XLOOKUP(GERAL[[#This Row],[Dia]],U:U,V:V,"")</f>
        <v>Prazo_30</v>
      </c>
    </row>
    <row r="794" spans="1:18" hidden="1" x14ac:dyDescent="0.3">
      <c r="A794" t="str">
        <f>_xlfn.XLOOKUP(GERAL[[#This Row],[Dia]],U:U,T:T,"")</f>
        <v>Semana 13</v>
      </c>
      <c r="B794" s="1">
        <v>46138</v>
      </c>
      <c r="C794" t="s">
        <v>21</v>
      </c>
      <c r="D794" s="1">
        <v>46138</v>
      </c>
      <c r="E794" t="s">
        <v>17</v>
      </c>
      <c r="Q794" t="s">
        <v>67</v>
      </c>
      <c r="R794" t="str">
        <f>_xlfn.XLOOKUP(GERAL[[#This Row],[Dia]],U:U,V:V,"")</f>
        <v>Prazo_30</v>
      </c>
    </row>
    <row r="795" spans="1:18" hidden="1" x14ac:dyDescent="0.3">
      <c r="A795" t="str">
        <f>_xlfn.XLOOKUP(GERAL[[#This Row],[Dia]],U:U,T:T,"")</f>
        <v>Semana 14</v>
      </c>
      <c r="B795" s="1">
        <v>46139</v>
      </c>
      <c r="C795" t="s">
        <v>22</v>
      </c>
      <c r="D795" s="1">
        <v>46139</v>
      </c>
      <c r="Q795" t="s">
        <v>67</v>
      </c>
      <c r="R795" t="str">
        <f>_xlfn.XLOOKUP(GERAL[[#This Row],[Dia]],U:U,V:V,"")</f>
        <v>Prazo_30</v>
      </c>
    </row>
    <row r="796" spans="1:18" hidden="1" x14ac:dyDescent="0.3">
      <c r="A796" t="str">
        <f>_xlfn.XLOOKUP(GERAL[[#This Row],[Dia]],U:U,T:T,"")</f>
        <v>Semana 14</v>
      </c>
      <c r="B796" s="1">
        <v>46140</v>
      </c>
      <c r="C796" t="s">
        <v>23</v>
      </c>
      <c r="D796" s="1">
        <v>46140</v>
      </c>
      <c r="Q796" t="s">
        <v>67</v>
      </c>
      <c r="R796" t="str">
        <f>_xlfn.XLOOKUP(GERAL[[#This Row],[Dia]],U:U,V:V,"")</f>
        <v>Prazo_30</v>
      </c>
    </row>
    <row r="797" spans="1:18" hidden="1" x14ac:dyDescent="0.3">
      <c r="A797" t="str">
        <f>_xlfn.XLOOKUP(GERAL[[#This Row],[Dia]],U:U,T:T,"")</f>
        <v>Semana 14</v>
      </c>
      <c r="B797" s="1">
        <v>46141</v>
      </c>
      <c r="C797" t="s">
        <v>24</v>
      </c>
      <c r="D797" s="1">
        <v>46141</v>
      </c>
      <c r="Q797" t="s">
        <v>67</v>
      </c>
      <c r="R797" t="str">
        <f>_xlfn.XLOOKUP(GERAL[[#This Row],[Dia]],U:U,V:V,"")</f>
        <v>Prazo_30</v>
      </c>
    </row>
    <row r="798" spans="1:18" hidden="1" x14ac:dyDescent="0.3">
      <c r="A798" t="str">
        <f>_xlfn.XLOOKUP(GERAL[[#This Row],[Dia]],U:U,T:T,"")</f>
        <v>Semana 14</v>
      </c>
      <c r="B798" s="1">
        <v>46142</v>
      </c>
      <c r="C798" t="s">
        <v>25</v>
      </c>
      <c r="D798" s="1">
        <v>46142</v>
      </c>
      <c r="Q798" t="s">
        <v>67</v>
      </c>
      <c r="R798" t="str">
        <f>_xlfn.XLOOKUP(GERAL[[#This Row],[Dia]],U:U,V:V,"")</f>
        <v>Prazo_30</v>
      </c>
    </row>
    <row r="799" spans="1:18" hidden="1" x14ac:dyDescent="0.3">
      <c r="A799" t="str">
        <f>_xlfn.XLOOKUP(GERAL[[#This Row],[Dia]],U:U,T:T,"")</f>
        <v>Semana 14</v>
      </c>
      <c r="B799" s="1">
        <v>46143</v>
      </c>
      <c r="C799" t="s">
        <v>26</v>
      </c>
      <c r="D799" s="1">
        <v>46143</v>
      </c>
      <c r="Q799" t="s">
        <v>67</v>
      </c>
      <c r="R799" t="str">
        <f>_xlfn.XLOOKUP(GERAL[[#This Row],[Dia]],U:U,V:V,"")</f>
        <v>Prazo_30</v>
      </c>
    </row>
    <row r="800" spans="1:18" hidden="1" x14ac:dyDescent="0.3">
      <c r="A800" t="str">
        <f>_xlfn.XLOOKUP(GERAL[[#This Row],[Dia]],U:U,T:T,"")</f>
        <v>Semana 14</v>
      </c>
      <c r="B800" s="1">
        <v>46144</v>
      </c>
      <c r="C800" t="s">
        <v>16</v>
      </c>
      <c r="D800" s="1">
        <v>46144</v>
      </c>
      <c r="E800" t="s">
        <v>17</v>
      </c>
      <c r="Q800" t="s">
        <v>67</v>
      </c>
      <c r="R800" t="str">
        <f>_xlfn.XLOOKUP(GERAL[[#This Row],[Dia]],U:U,V:V,"")</f>
        <v>Prazo_30</v>
      </c>
    </row>
    <row r="801" spans="1:18" hidden="1" x14ac:dyDescent="0.3">
      <c r="A801" t="str">
        <f>_xlfn.XLOOKUP(GERAL[[#This Row],[Dia]],U:U,T:T,"")</f>
        <v>Semana 14</v>
      </c>
      <c r="B801" s="1">
        <v>46145</v>
      </c>
      <c r="C801" t="s">
        <v>21</v>
      </c>
      <c r="D801" s="1">
        <v>46145</v>
      </c>
      <c r="E801" t="s">
        <v>17</v>
      </c>
      <c r="Q801" t="s">
        <v>67</v>
      </c>
      <c r="R801" t="str">
        <f>_xlfn.XLOOKUP(GERAL[[#This Row],[Dia]],U:U,V:V,"")</f>
        <v>Prazo_30</v>
      </c>
    </row>
    <row r="802" spans="1:18" hidden="1" x14ac:dyDescent="0.3">
      <c r="A802" t="str">
        <f>_xlfn.XLOOKUP(GERAL[[#This Row],[Dia]],U:U,T:T,"")</f>
        <v/>
      </c>
      <c r="B802" s="1">
        <v>46146</v>
      </c>
      <c r="C802" t="s">
        <v>22</v>
      </c>
      <c r="D802" s="1">
        <v>46146</v>
      </c>
      <c r="Q802" t="s">
        <v>67</v>
      </c>
      <c r="R802" t="str">
        <f>_xlfn.XLOOKUP(GERAL[[#This Row],[Dia]],U:U,V:V,"")</f>
        <v/>
      </c>
    </row>
    <row r="803" spans="1:18" hidden="1" x14ac:dyDescent="0.3">
      <c r="A803" t="str">
        <f>_xlfn.XLOOKUP(GERAL[[#This Row],[Dia]],U:U,T:T,"")</f>
        <v/>
      </c>
      <c r="B803" s="1">
        <v>46147</v>
      </c>
      <c r="C803" t="s">
        <v>23</v>
      </c>
      <c r="D803" s="1">
        <v>46147</v>
      </c>
      <c r="Q803" t="s">
        <v>67</v>
      </c>
      <c r="R803" t="str">
        <f>_xlfn.XLOOKUP(GERAL[[#This Row],[Dia]],U:U,V:V,"")</f>
        <v/>
      </c>
    </row>
    <row r="804" spans="1:18" hidden="1" x14ac:dyDescent="0.3">
      <c r="A804" t="str">
        <f>_xlfn.XLOOKUP(GERAL[[#This Row],[Dia]],U:U,T:T,"")</f>
        <v/>
      </c>
      <c r="B804" s="1">
        <v>46148</v>
      </c>
      <c r="C804" t="s">
        <v>24</v>
      </c>
      <c r="D804" s="1">
        <v>46148</v>
      </c>
      <c r="Q804" t="s">
        <v>67</v>
      </c>
      <c r="R804" t="str">
        <f>_xlfn.XLOOKUP(GERAL[[#This Row],[Dia]],U:U,V:V,"")</f>
        <v/>
      </c>
    </row>
    <row r="805" spans="1:18" hidden="1" x14ac:dyDescent="0.3">
      <c r="A805" t="str">
        <f>_xlfn.XLOOKUP(GERAL[[#This Row],[Dia]],U:U,T:T,"")</f>
        <v/>
      </c>
      <c r="B805" s="1">
        <v>46149</v>
      </c>
      <c r="C805" t="s">
        <v>25</v>
      </c>
      <c r="D805" s="1">
        <v>46149</v>
      </c>
      <c r="Q805" t="s">
        <v>67</v>
      </c>
      <c r="R805" t="str">
        <f>_xlfn.XLOOKUP(GERAL[[#This Row],[Dia]],U:U,V:V,"")</f>
        <v/>
      </c>
    </row>
    <row r="806" spans="1:18" hidden="1" x14ac:dyDescent="0.3">
      <c r="A806" t="str">
        <f>_xlfn.XLOOKUP(GERAL[[#This Row],[Dia]],U:U,T:T,"")</f>
        <v/>
      </c>
      <c r="B806" s="1">
        <v>46150</v>
      </c>
      <c r="C806" t="s">
        <v>26</v>
      </c>
      <c r="D806" s="1">
        <v>46150</v>
      </c>
      <c r="Q806" t="s">
        <v>67</v>
      </c>
      <c r="R806" t="str">
        <f>_xlfn.XLOOKUP(GERAL[[#This Row],[Dia]],U:U,V:V,"")</f>
        <v/>
      </c>
    </row>
    <row r="807" spans="1:18" hidden="1" x14ac:dyDescent="0.3">
      <c r="A807" t="str">
        <f>_xlfn.XLOOKUP(GERAL[[#This Row],[Dia]],U:U,T:T,"")</f>
        <v/>
      </c>
      <c r="B807" s="1">
        <v>46151</v>
      </c>
      <c r="C807" t="s">
        <v>16</v>
      </c>
      <c r="D807" s="1">
        <v>46151</v>
      </c>
      <c r="E807" t="s">
        <v>17</v>
      </c>
      <c r="Q807" t="s">
        <v>67</v>
      </c>
      <c r="R807" t="str">
        <f>_xlfn.XLOOKUP(GERAL[[#This Row],[Dia]],U:U,V:V,"")</f>
        <v/>
      </c>
    </row>
    <row r="808" spans="1:18" hidden="1" x14ac:dyDescent="0.3">
      <c r="A808" t="str">
        <f>_xlfn.XLOOKUP(GERAL[[#This Row],[Dia]],U:U,T:T,"")</f>
        <v/>
      </c>
      <c r="B808" s="1">
        <v>46152</v>
      </c>
      <c r="C808" t="s">
        <v>21</v>
      </c>
      <c r="D808" s="1">
        <v>46152</v>
      </c>
      <c r="E808" t="s">
        <v>17</v>
      </c>
      <c r="Q808" t="s">
        <v>67</v>
      </c>
      <c r="R808" t="str">
        <f>_xlfn.XLOOKUP(GERAL[[#This Row],[Dia]],U:U,V:V,"")</f>
        <v/>
      </c>
    </row>
    <row r="809" spans="1:18" hidden="1" x14ac:dyDescent="0.3">
      <c r="A809" t="str">
        <f>_xlfn.XLOOKUP(GERAL[[#This Row],[Dia]],U:U,T:T,"")</f>
        <v/>
      </c>
      <c r="B809" s="1">
        <v>46153</v>
      </c>
      <c r="C809" t="s">
        <v>22</v>
      </c>
      <c r="D809" s="1">
        <v>46153</v>
      </c>
      <c r="Q809" t="s">
        <v>67</v>
      </c>
      <c r="R809" t="str">
        <f>_xlfn.XLOOKUP(GERAL[[#This Row],[Dia]],U:U,V:V,"")</f>
        <v/>
      </c>
    </row>
    <row r="810" spans="1:18" hidden="1" x14ac:dyDescent="0.3">
      <c r="A810" t="str">
        <f>_xlfn.XLOOKUP(GERAL[[#This Row],[Dia]],U:U,T:T,"")</f>
        <v/>
      </c>
      <c r="B810" s="1">
        <v>46154</v>
      </c>
      <c r="C810" t="s">
        <v>23</v>
      </c>
      <c r="D810" s="1">
        <v>46154</v>
      </c>
      <c r="Q810" t="s">
        <v>67</v>
      </c>
      <c r="R810" t="str">
        <f>_xlfn.XLOOKUP(GERAL[[#This Row],[Dia]],U:U,V:V,"")</f>
        <v/>
      </c>
    </row>
    <row r="811" spans="1:18" hidden="1" x14ac:dyDescent="0.3">
      <c r="A811" t="str">
        <f>_xlfn.XLOOKUP(GERAL[[#This Row],[Dia]],U:U,T:T,"")</f>
        <v/>
      </c>
      <c r="B811" s="1">
        <v>46155</v>
      </c>
      <c r="C811" t="s">
        <v>24</v>
      </c>
      <c r="D811" s="1">
        <v>46155</v>
      </c>
      <c r="Q811" t="s">
        <v>67</v>
      </c>
      <c r="R811" t="str">
        <f>_xlfn.XLOOKUP(GERAL[[#This Row],[Dia]],U:U,V:V,"")</f>
        <v/>
      </c>
    </row>
    <row r="812" spans="1:18" hidden="1" x14ac:dyDescent="0.3">
      <c r="A812" t="str">
        <f>_xlfn.XLOOKUP(GERAL[[#This Row],[Dia]],U:U,T:T,"")</f>
        <v/>
      </c>
      <c r="B812" s="1">
        <v>46156</v>
      </c>
      <c r="C812" t="s">
        <v>25</v>
      </c>
      <c r="D812" s="1">
        <v>46156</v>
      </c>
      <c r="Q812" t="s">
        <v>67</v>
      </c>
      <c r="R812" t="str">
        <f>_xlfn.XLOOKUP(GERAL[[#This Row],[Dia]],U:U,V:V,"")</f>
        <v/>
      </c>
    </row>
    <row r="813" spans="1:18" hidden="1" x14ac:dyDescent="0.3">
      <c r="A813" t="str">
        <f>_xlfn.XLOOKUP(GERAL[[#This Row],[Dia]],U:U,T:T,"")</f>
        <v/>
      </c>
      <c r="B813" s="1">
        <v>46157</v>
      </c>
      <c r="C813" t="s">
        <v>26</v>
      </c>
      <c r="D813" s="1">
        <v>46157</v>
      </c>
      <c r="Q813" t="s">
        <v>67</v>
      </c>
      <c r="R813" t="str">
        <f>_xlfn.XLOOKUP(GERAL[[#This Row],[Dia]],U:U,V:V,"")</f>
        <v/>
      </c>
    </row>
    <row r="814" spans="1:18" hidden="1" x14ac:dyDescent="0.3">
      <c r="A814" t="str">
        <f>_xlfn.XLOOKUP(GERAL[[#This Row],[Dia]],U:U,T:T,"")</f>
        <v/>
      </c>
      <c r="B814" s="1">
        <v>46158</v>
      </c>
      <c r="C814" t="s">
        <v>16</v>
      </c>
      <c r="D814" s="1">
        <v>46158</v>
      </c>
      <c r="E814" t="s">
        <v>17</v>
      </c>
      <c r="Q814" t="s">
        <v>67</v>
      </c>
      <c r="R814" t="str">
        <f>_xlfn.XLOOKUP(GERAL[[#This Row],[Dia]],U:U,V:V,"")</f>
        <v/>
      </c>
    </row>
    <row r="815" spans="1:18" hidden="1" x14ac:dyDescent="0.3">
      <c r="A815" t="str">
        <f>_xlfn.XLOOKUP(GERAL[[#This Row],[Dia]],U:U,T:T,"")</f>
        <v/>
      </c>
      <c r="B815" s="1">
        <v>46159</v>
      </c>
      <c r="C815" t="s">
        <v>21</v>
      </c>
      <c r="D815" s="1">
        <v>46159</v>
      </c>
      <c r="E815" t="s">
        <v>17</v>
      </c>
      <c r="Q815" t="s">
        <v>67</v>
      </c>
      <c r="R815" t="str">
        <f>_xlfn.XLOOKUP(GERAL[[#This Row],[Dia]],U:U,V:V,"")</f>
        <v/>
      </c>
    </row>
    <row r="816" spans="1:18" hidden="1" x14ac:dyDescent="0.3">
      <c r="A816" t="str">
        <f>_xlfn.XLOOKUP(GERAL[[#This Row],[Dia]],U:U,T:T,"")</f>
        <v/>
      </c>
      <c r="B816" s="1">
        <v>46160</v>
      </c>
      <c r="C816" t="s">
        <v>22</v>
      </c>
      <c r="D816" s="1">
        <v>46160</v>
      </c>
      <c r="Q816" t="s">
        <v>67</v>
      </c>
      <c r="R816" t="str">
        <f>_xlfn.XLOOKUP(GERAL[[#This Row],[Dia]],U:U,V:V,"")</f>
        <v/>
      </c>
    </row>
    <row r="817" spans="1:18" hidden="1" x14ac:dyDescent="0.3">
      <c r="A817" t="str">
        <f>_xlfn.XLOOKUP(GERAL[[#This Row],[Dia]],U:U,T:T,"")</f>
        <v/>
      </c>
      <c r="B817" s="1">
        <v>46161</v>
      </c>
      <c r="C817" t="s">
        <v>23</v>
      </c>
      <c r="D817" s="1">
        <v>46161</v>
      </c>
      <c r="Q817" t="s">
        <v>67</v>
      </c>
      <c r="R817" t="str">
        <f>_xlfn.XLOOKUP(GERAL[[#This Row],[Dia]],U:U,V:V,"")</f>
        <v/>
      </c>
    </row>
    <row r="818" spans="1:18" hidden="1" x14ac:dyDescent="0.3">
      <c r="A818" t="str">
        <f>_xlfn.XLOOKUP(GERAL[[#This Row],[Dia]],U:U,T:T,"")</f>
        <v/>
      </c>
      <c r="B818" s="1">
        <v>46162</v>
      </c>
      <c r="C818" t="s">
        <v>24</v>
      </c>
      <c r="D818" s="1">
        <v>46162</v>
      </c>
      <c r="Q818" t="s">
        <v>67</v>
      </c>
      <c r="R818" t="str">
        <f>_xlfn.XLOOKUP(GERAL[[#This Row],[Dia]],U:U,V:V,"")</f>
        <v/>
      </c>
    </row>
    <row r="819" spans="1:18" hidden="1" x14ac:dyDescent="0.3">
      <c r="A819" t="str">
        <f>_xlfn.XLOOKUP(GERAL[[#This Row],[Dia]],U:U,T:T,"")</f>
        <v/>
      </c>
      <c r="B819" s="1">
        <v>46163</v>
      </c>
      <c r="C819" t="s">
        <v>25</v>
      </c>
      <c r="D819" s="1">
        <v>46163</v>
      </c>
      <c r="Q819" t="s">
        <v>67</v>
      </c>
      <c r="R819" t="str">
        <f>_xlfn.XLOOKUP(GERAL[[#This Row],[Dia]],U:U,V:V,"")</f>
        <v/>
      </c>
    </row>
    <row r="820" spans="1:18" hidden="1" x14ac:dyDescent="0.3">
      <c r="A820" t="str">
        <f>_xlfn.XLOOKUP(GERAL[[#This Row],[Dia]],U:U,T:T,"")</f>
        <v/>
      </c>
      <c r="B820" s="1">
        <v>46164</v>
      </c>
      <c r="C820" t="s">
        <v>26</v>
      </c>
      <c r="D820" s="1">
        <v>46164</v>
      </c>
      <c r="Q820" t="s">
        <v>67</v>
      </c>
      <c r="R820" t="str">
        <f>_xlfn.XLOOKUP(GERAL[[#This Row],[Dia]],U:U,V:V,"")</f>
        <v/>
      </c>
    </row>
    <row r="821" spans="1:18" hidden="1" x14ac:dyDescent="0.3">
      <c r="A821" t="str">
        <f>_xlfn.XLOOKUP(GERAL[[#This Row],[Dia]],U:U,T:T,"")</f>
        <v/>
      </c>
      <c r="B821" s="1">
        <v>46165</v>
      </c>
      <c r="C821" t="s">
        <v>16</v>
      </c>
      <c r="D821" s="1">
        <v>46165</v>
      </c>
      <c r="E821" t="s">
        <v>17</v>
      </c>
      <c r="Q821" t="s">
        <v>67</v>
      </c>
      <c r="R821" t="str">
        <f>_xlfn.XLOOKUP(GERAL[[#This Row],[Dia]],U:U,V:V,"")</f>
        <v/>
      </c>
    </row>
    <row r="822" spans="1:18" hidden="1" x14ac:dyDescent="0.3">
      <c r="A822" t="str">
        <f>_xlfn.XLOOKUP(GERAL[[#This Row],[Dia]],U:U,T:T,"")</f>
        <v/>
      </c>
      <c r="B822" s="1">
        <v>46166</v>
      </c>
      <c r="C822" t="s">
        <v>21</v>
      </c>
      <c r="D822" s="1">
        <v>46166</v>
      </c>
      <c r="E822" t="s">
        <v>17</v>
      </c>
      <c r="Q822" t="s">
        <v>67</v>
      </c>
      <c r="R822" t="str">
        <f>_xlfn.XLOOKUP(GERAL[[#This Row],[Dia]],U:U,V:V,"")</f>
        <v/>
      </c>
    </row>
    <row r="823" spans="1:18" hidden="1" x14ac:dyDescent="0.3">
      <c r="A823" t="str">
        <f>_xlfn.XLOOKUP(GERAL[[#This Row],[Dia]],U:U,T:T,"")</f>
        <v/>
      </c>
      <c r="B823" s="1">
        <v>46167</v>
      </c>
      <c r="C823" t="s">
        <v>22</v>
      </c>
      <c r="D823" s="1">
        <v>46167</v>
      </c>
      <c r="Q823" t="s">
        <v>67</v>
      </c>
      <c r="R823" t="str">
        <f>_xlfn.XLOOKUP(GERAL[[#This Row],[Dia]],U:U,V:V,"")</f>
        <v/>
      </c>
    </row>
    <row r="824" spans="1:18" hidden="1" x14ac:dyDescent="0.3">
      <c r="A824" t="str">
        <f>_xlfn.XLOOKUP(GERAL[[#This Row],[Dia]],U:U,T:T,"")</f>
        <v/>
      </c>
      <c r="B824" s="1">
        <v>46168</v>
      </c>
      <c r="C824" t="s">
        <v>23</v>
      </c>
      <c r="D824" s="1">
        <v>46168</v>
      </c>
      <c r="Q824" t="s">
        <v>67</v>
      </c>
      <c r="R824" t="str">
        <f>_xlfn.XLOOKUP(GERAL[[#This Row],[Dia]],U:U,V:V,"")</f>
        <v/>
      </c>
    </row>
    <row r="825" spans="1:18" hidden="1" x14ac:dyDescent="0.3">
      <c r="A825" t="str">
        <f>_xlfn.XLOOKUP(GERAL[[#This Row],[Dia]],U:U,T:T,"")</f>
        <v/>
      </c>
      <c r="B825" s="1">
        <v>46169</v>
      </c>
      <c r="C825" t="s">
        <v>24</v>
      </c>
      <c r="D825" s="1">
        <v>46169</v>
      </c>
      <c r="Q825" t="s">
        <v>67</v>
      </c>
      <c r="R825" t="str">
        <f>_xlfn.XLOOKUP(GERAL[[#This Row],[Dia]],U:U,V:V,"")</f>
        <v/>
      </c>
    </row>
    <row r="826" spans="1:18" hidden="1" x14ac:dyDescent="0.3">
      <c r="A826" t="str">
        <f>_xlfn.XLOOKUP(GERAL[[#This Row],[Dia]],U:U,T:T,"")</f>
        <v/>
      </c>
      <c r="B826" s="1">
        <v>46170</v>
      </c>
      <c r="C826" t="s">
        <v>25</v>
      </c>
      <c r="D826" s="1">
        <v>46170</v>
      </c>
      <c r="Q826" t="s">
        <v>67</v>
      </c>
      <c r="R826" t="str">
        <f>_xlfn.XLOOKUP(GERAL[[#This Row],[Dia]],U:U,V:V,"")</f>
        <v/>
      </c>
    </row>
    <row r="827" spans="1:18" hidden="1" x14ac:dyDescent="0.3">
      <c r="A827" t="str">
        <f>_xlfn.XLOOKUP(GERAL[[#This Row],[Dia]],U:U,T:T,"")</f>
        <v/>
      </c>
      <c r="B827" s="1">
        <v>46171</v>
      </c>
      <c r="C827" t="s">
        <v>26</v>
      </c>
      <c r="D827" s="1">
        <v>46171</v>
      </c>
      <c r="Q827" t="s">
        <v>67</v>
      </c>
      <c r="R827" t="str">
        <f>_xlfn.XLOOKUP(GERAL[[#This Row],[Dia]],U:U,V:V,"")</f>
        <v/>
      </c>
    </row>
    <row r="828" spans="1:18" hidden="1" x14ac:dyDescent="0.3">
      <c r="A828" t="str">
        <f>_xlfn.XLOOKUP(GERAL[[#This Row],[Dia]],U:U,T:T,"")</f>
        <v/>
      </c>
      <c r="B828" s="1">
        <v>46172</v>
      </c>
      <c r="C828" t="s">
        <v>16</v>
      </c>
      <c r="D828" s="1">
        <v>46172</v>
      </c>
      <c r="E828" t="s">
        <v>17</v>
      </c>
      <c r="Q828" t="s">
        <v>67</v>
      </c>
      <c r="R828" t="str">
        <f>_xlfn.XLOOKUP(GERAL[[#This Row],[Dia]],U:U,V:V,"")</f>
        <v/>
      </c>
    </row>
    <row r="829" spans="1:18" hidden="1" x14ac:dyDescent="0.3">
      <c r="A829" t="str">
        <f>_xlfn.XLOOKUP(GERAL[[#This Row],[Dia]],U:U,T:T,"")</f>
        <v/>
      </c>
      <c r="B829" s="1">
        <v>46173</v>
      </c>
      <c r="C829" t="s">
        <v>21</v>
      </c>
      <c r="D829" s="1">
        <v>46173</v>
      </c>
      <c r="E829" t="s">
        <v>17</v>
      </c>
      <c r="Q829" t="s">
        <v>67</v>
      </c>
      <c r="R829" t="str">
        <f>_xlfn.XLOOKUP(GERAL[[#This Row],[Dia]],U:U,V:V,"")</f>
        <v/>
      </c>
    </row>
    <row r="830" spans="1:18" hidden="1" x14ac:dyDescent="0.3">
      <c r="A830" t="str">
        <f>_xlfn.XLOOKUP(GERAL[[#This Row],[Dia]],U:U,T:T,"")</f>
        <v/>
      </c>
      <c r="B830" s="1">
        <v>46174</v>
      </c>
      <c r="C830" t="s">
        <v>22</v>
      </c>
      <c r="D830" s="1">
        <v>46174</v>
      </c>
      <c r="Q830" t="s">
        <v>67</v>
      </c>
      <c r="R830" t="str">
        <f>_xlfn.XLOOKUP(GERAL[[#This Row],[Dia]],U:U,V:V,"")</f>
        <v/>
      </c>
    </row>
    <row r="831" spans="1:18" hidden="1" x14ac:dyDescent="0.3">
      <c r="A831" t="str">
        <f>_xlfn.XLOOKUP(GERAL[[#This Row],[Dia]],U:U,T:T,"")</f>
        <v/>
      </c>
      <c r="B831" s="1">
        <v>46175</v>
      </c>
      <c r="C831" t="s">
        <v>23</v>
      </c>
      <c r="D831" s="1">
        <v>46175</v>
      </c>
      <c r="Q831" t="s">
        <v>67</v>
      </c>
      <c r="R831" t="str">
        <f>_xlfn.XLOOKUP(GERAL[[#This Row],[Dia]],U:U,V:V,"")</f>
        <v/>
      </c>
    </row>
    <row r="832" spans="1:18" hidden="1" x14ac:dyDescent="0.3">
      <c r="A832" t="str">
        <f>_xlfn.XLOOKUP(GERAL[[#This Row],[Dia]],U:U,T:T,"")</f>
        <v/>
      </c>
      <c r="B832" s="1">
        <v>46176</v>
      </c>
      <c r="C832" t="s">
        <v>24</v>
      </c>
      <c r="D832" s="1">
        <v>46176</v>
      </c>
      <c r="Q832" t="s">
        <v>67</v>
      </c>
      <c r="R832" t="str">
        <f>_xlfn.XLOOKUP(GERAL[[#This Row],[Dia]],U:U,V:V,"")</f>
        <v/>
      </c>
    </row>
    <row r="833" spans="1:18" hidden="1" x14ac:dyDescent="0.3">
      <c r="A833" t="str">
        <f>_xlfn.XLOOKUP(GERAL[[#This Row],[Dia]],U:U,T:T,"")</f>
        <v/>
      </c>
      <c r="B833" s="1">
        <v>46177</v>
      </c>
      <c r="C833" t="s">
        <v>25</v>
      </c>
      <c r="D833" s="1">
        <v>46177</v>
      </c>
      <c r="Q833" t="s">
        <v>67</v>
      </c>
      <c r="R833" t="str">
        <f>_xlfn.XLOOKUP(GERAL[[#This Row],[Dia]],U:U,V:V,"")</f>
        <v/>
      </c>
    </row>
    <row r="834" spans="1:18" hidden="1" x14ac:dyDescent="0.3">
      <c r="A834" t="str">
        <f>_xlfn.XLOOKUP(GERAL[[#This Row],[Dia]],U:U,T:T,"")</f>
        <v/>
      </c>
      <c r="B834" s="1">
        <v>46178</v>
      </c>
      <c r="C834" t="s">
        <v>26</v>
      </c>
      <c r="D834" s="1">
        <v>46178</v>
      </c>
      <c r="Q834" t="s">
        <v>67</v>
      </c>
      <c r="R834" t="str">
        <f>_xlfn.XLOOKUP(GERAL[[#This Row],[Dia]],U:U,V:V,"")</f>
        <v/>
      </c>
    </row>
    <row r="835" spans="1:18" hidden="1" x14ac:dyDescent="0.3">
      <c r="A835" t="str">
        <f>_xlfn.XLOOKUP(GERAL[[#This Row],[Dia]],U:U,T:T,"")</f>
        <v/>
      </c>
      <c r="B835" s="1">
        <v>46179</v>
      </c>
      <c r="C835" t="s">
        <v>16</v>
      </c>
      <c r="D835" s="1">
        <v>46179</v>
      </c>
      <c r="E835" t="s">
        <v>17</v>
      </c>
      <c r="Q835" t="s">
        <v>67</v>
      </c>
      <c r="R835" t="str">
        <f>_xlfn.XLOOKUP(GERAL[[#This Row],[Dia]],U:U,V:V,"")</f>
        <v/>
      </c>
    </row>
    <row r="836" spans="1:18" hidden="1" x14ac:dyDescent="0.3">
      <c r="A836" t="str">
        <f>_xlfn.XLOOKUP(GERAL[[#This Row],[Dia]],U:U,T:T,"")</f>
        <v/>
      </c>
      <c r="B836" s="1">
        <v>46180</v>
      </c>
      <c r="C836" t="s">
        <v>21</v>
      </c>
      <c r="D836" s="1">
        <v>46180</v>
      </c>
      <c r="E836" t="s">
        <v>17</v>
      </c>
      <c r="Q836" t="s">
        <v>67</v>
      </c>
      <c r="R836" t="str">
        <f>_xlfn.XLOOKUP(GERAL[[#This Row],[Dia]],U:U,V:V,"")</f>
        <v/>
      </c>
    </row>
    <row r="837" spans="1:18" hidden="1" x14ac:dyDescent="0.3">
      <c r="A837" t="str">
        <f>_xlfn.XLOOKUP(GERAL[[#This Row],[Dia]],U:U,T:T,"")</f>
        <v/>
      </c>
      <c r="B837" s="1">
        <v>46181</v>
      </c>
      <c r="C837" t="s">
        <v>22</v>
      </c>
      <c r="D837" s="1">
        <v>46181</v>
      </c>
      <c r="Q837" t="s">
        <v>67</v>
      </c>
      <c r="R837" t="str">
        <f>_xlfn.XLOOKUP(GERAL[[#This Row],[Dia]],U:U,V:V,"")</f>
        <v/>
      </c>
    </row>
    <row r="838" spans="1:18" hidden="1" x14ac:dyDescent="0.3">
      <c r="A838" t="str">
        <f>_xlfn.XLOOKUP(GERAL[[#This Row],[Dia]],U:U,T:T,"")</f>
        <v/>
      </c>
      <c r="B838" s="1">
        <v>46182</v>
      </c>
      <c r="C838" t="s">
        <v>23</v>
      </c>
      <c r="D838" s="1">
        <v>46182</v>
      </c>
      <c r="Q838" t="s">
        <v>67</v>
      </c>
      <c r="R838" t="str">
        <f>_xlfn.XLOOKUP(GERAL[[#This Row],[Dia]],U:U,V:V,"")</f>
        <v/>
      </c>
    </row>
    <row r="839" spans="1:18" hidden="1" x14ac:dyDescent="0.3">
      <c r="A839" t="str">
        <f>_xlfn.XLOOKUP(GERAL[[#This Row],[Dia]],U:U,T:T,"")</f>
        <v/>
      </c>
      <c r="B839" s="1">
        <v>46183</v>
      </c>
      <c r="C839" t="s">
        <v>24</v>
      </c>
      <c r="D839" s="1">
        <v>46183</v>
      </c>
      <c r="Q839" t="s">
        <v>67</v>
      </c>
      <c r="R839" t="str">
        <f>_xlfn.XLOOKUP(GERAL[[#This Row],[Dia]],U:U,V:V,"")</f>
        <v/>
      </c>
    </row>
    <row r="840" spans="1:18" hidden="1" x14ac:dyDescent="0.3">
      <c r="A840" t="str">
        <f>_xlfn.XLOOKUP(GERAL[[#This Row],[Dia]],U:U,T:T,"")</f>
        <v/>
      </c>
      <c r="B840" s="1">
        <v>46184</v>
      </c>
      <c r="C840" t="s">
        <v>25</v>
      </c>
      <c r="D840" s="1">
        <v>46184</v>
      </c>
      <c r="Q840" t="s">
        <v>67</v>
      </c>
      <c r="R840" t="str">
        <f>_xlfn.XLOOKUP(GERAL[[#This Row],[Dia]],U:U,V:V,"")</f>
        <v/>
      </c>
    </row>
    <row r="841" spans="1:18" hidden="1" x14ac:dyDescent="0.3">
      <c r="A841" t="str">
        <f>_xlfn.XLOOKUP(GERAL[[#This Row],[Dia]],U:U,T:T,"")</f>
        <v/>
      </c>
      <c r="B841" s="1">
        <v>46185</v>
      </c>
      <c r="C841" t="s">
        <v>26</v>
      </c>
      <c r="D841" s="1">
        <v>46185</v>
      </c>
      <c r="Q841" t="s">
        <v>67</v>
      </c>
      <c r="R841" t="str">
        <f>_xlfn.XLOOKUP(GERAL[[#This Row],[Dia]],U:U,V:V,"")</f>
        <v/>
      </c>
    </row>
    <row r="842" spans="1:18" hidden="1" x14ac:dyDescent="0.3">
      <c r="A842" t="str">
        <f>_xlfn.XLOOKUP(GERAL[[#This Row],[Dia]],U:U,T:T,"")</f>
        <v/>
      </c>
      <c r="B842" s="1">
        <v>46186</v>
      </c>
      <c r="C842" t="s">
        <v>16</v>
      </c>
      <c r="D842" s="1">
        <v>46186</v>
      </c>
      <c r="E842" t="s">
        <v>17</v>
      </c>
      <c r="Q842" t="s">
        <v>67</v>
      </c>
      <c r="R842" t="str">
        <f>_xlfn.XLOOKUP(GERAL[[#This Row],[Dia]],U:U,V:V,"")</f>
        <v/>
      </c>
    </row>
    <row r="843" spans="1:18" hidden="1" x14ac:dyDescent="0.3">
      <c r="A843" t="str">
        <f>_xlfn.XLOOKUP(GERAL[[#This Row],[Dia]],U:U,T:T,"")</f>
        <v/>
      </c>
      <c r="B843" s="1">
        <v>46187</v>
      </c>
      <c r="C843" t="s">
        <v>21</v>
      </c>
      <c r="D843" s="1">
        <v>46187</v>
      </c>
      <c r="E843" t="s">
        <v>17</v>
      </c>
      <c r="Q843" t="s">
        <v>67</v>
      </c>
      <c r="R843" t="str">
        <f>_xlfn.XLOOKUP(GERAL[[#This Row],[Dia]],U:U,V:V,"")</f>
        <v/>
      </c>
    </row>
    <row r="844" spans="1:18" hidden="1" x14ac:dyDescent="0.3">
      <c r="A844" t="str">
        <f>_xlfn.XLOOKUP(GERAL[[#This Row],[Dia]],U:U,T:T,"")</f>
        <v/>
      </c>
      <c r="B844" s="1">
        <v>46188</v>
      </c>
      <c r="C844" t="s">
        <v>22</v>
      </c>
      <c r="D844" s="1">
        <v>46188</v>
      </c>
      <c r="Q844" t="s">
        <v>67</v>
      </c>
      <c r="R844" t="str">
        <f>_xlfn.XLOOKUP(GERAL[[#This Row],[Dia]],U:U,V:V,"")</f>
        <v/>
      </c>
    </row>
    <row r="845" spans="1:18" hidden="1" x14ac:dyDescent="0.3">
      <c r="A845" t="str">
        <f>_xlfn.XLOOKUP(GERAL[[#This Row],[Dia]],U:U,T:T,"")</f>
        <v/>
      </c>
      <c r="B845" s="1">
        <v>46189</v>
      </c>
      <c r="C845" t="s">
        <v>23</v>
      </c>
      <c r="D845" s="1">
        <v>46189</v>
      </c>
      <c r="Q845" t="s">
        <v>67</v>
      </c>
      <c r="R845" t="str">
        <f>_xlfn.XLOOKUP(GERAL[[#This Row],[Dia]],U:U,V:V,"")</f>
        <v/>
      </c>
    </row>
    <row r="846" spans="1:18" hidden="1" x14ac:dyDescent="0.3">
      <c r="A846" t="str">
        <f>_xlfn.XLOOKUP(GERAL[[#This Row],[Dia]],U:U,T:T,"")</f>
        <v/>
      </c>
      <c r="B846" s="1">
        <v>46190</v>
      </c>
      <c r="C846" t="s">
        <v>24</v>
      </c>
      <c r="D846" s="1">
        <v>46190</v>
      </c>
      <c r="Q846" t="s">
        <v>67</v>
      </c>
      <c r="R846" t="str">
        <f>_xlfn.XLOOKUP(GERAL[[#This Row],[Dia]],U:U,V:V,"")</f>
        <v/>
      </c>
    </row>
    <row r="847" spans="1:18" hidden="1" x14ac:dyDescent="0.3">
      <c r="A847" t="str">
        <f>_xlfn.XLOOKUP(GERAL[[#This Row],[Dia]],U:U,T:T,"")</f>
        <v/>
      </c>
      <c r="B847" s="1">
        <v>46191</v>
      </c>
      <c r="C847" t="s">
        <v>25</v>
      </c>
      <c r="D847" s="1">
        <v>46191</v>
      </c>
      <c r="Q847" t="s">
        <v>67</v>
      </c>
      <c r="R847" t="str">
        <f>_xlfn.XLOOKUP(GERAL[[#This Row],[Dia]],U:U,V:V,"")</f>
        <v/>
      </c>
    </row>
    <row r="848" spans="1:18" hidden="1" x14ac:dyDescent="0.3">
      <c r="A848" t="str">
        <f>_xlfn.XLOOKUP(GERAL[[#This Row],[Dia]],U:U,T:T,"")</f>
        <v/>
      </c>
      <c r="B848" s="1">
        <v>46192</v>
      </c>
      <c r="C848" t="s">
        <v>26</v>
      </c>
      <c r="D848" s="1">
        <v>46192</v>
      </c>
      <c r="Q848" t="s">
        <v>67</v>
      </c>
      <c r="R848" t="str">
        <f>_xlfn.XLOOKUP(GERAL[[#This Row],[Dia]],U:U,V:V,"")</f>
        <v/>
      </c>
    </row>
    <row r="849" spans="1:18" hidden="1" x14ac:dyDescent="0.3">
      <c r="A849" t="str">
        <f>_xlfn.XLOOKUP(GERAL[[#This Row],[Dia]],U:U,T:T,"")</f>
        <v/>
      </c>
      <c r="B849" s="1">
        <v>46193</v>
      </c>
      <c r="C849" t="s">
        <v>16</v>
      </c>
      <c r="D849" s="1">
        <v>46193</v>
      </c>
      <c r="E849" t="s">
        <v>17</v>
      </c>
      <c r="Q849" t="s">
        <v>67</v>
      </c>
      <c r="R849" t="str">
        <f>_xlfn.XLOOKUP(GERAL[[#This Row],[Dia]],U:U,V:V,"")</f>
        <v/>
      </c>
    </row>
    <row r="850" spans="1:18" hidden="1" x14ac:dyDescent="0.3">
      <c r="A850" t="str">
        <f>_xlfn.XLOOKUP(GERAL[[#This Row],[Dia]],U:U,T:T,"")</f>
        <v/>
      </c>
      <c r="B850" s="1">
        <v>46194</v>
      </c>
      <c r="C850" t="s">
        <v>21</v>
      </c>
      <c r="D850" s="1">
        <v>46194</v>
      </c>
      <c r="E850" t="s">
        <v>17</v>
      </c>
      <c r="Q850" t="s">
        <v>67</v>
      </c>
      <c r="R850" t="str">
        <f>_xlfn.XLOOKUP(GERAL[[#This Row],[Dia]],U:U,V:V,"")</f>
        <v/>
      </c>
    </row>
    <row r="851" spans="1:18" hidden="1" x14ac:dyDescent="0.3">
      <c r="A851" t="str">
        <f>_xlfn.XLOOKUP(GERAL[[#This Row],[Dia]],U:U,T:T,"")</f>
        <v/>
      </c>
      <c r="B851" s="1">
        <v>46195</v>
      </c>
      <c r="C851" t="s">
        <v>22</v>
      </c>
      <c r="D851" s="1">
        <v>46195</v>
      </c>
      <c r="Q851" t="s">
        <v>67</v>
      </c>
      <c r="R851" t="str">
        <f>_xlfn.XLOOKUP(GERAL[[#This Row],[Dia]],U:U,V:V,"")</f>
        <v/>
      </c>
    </row>
    <row r="852" spans="1:18" hidden="1" x14ac:dyDescent="0.3">
      <c r="A852" t="str">
        <f>_xlfn.XLOOKUP(GERAL[[#This Row],[Dia]],U:U,T:T,"")</f>
        <v/>
      </c>
      <c r="B852" s="1">
        <v>46196</v>
      </c>
      <c r="C852" t="s">
        <v>23</v>
      </c>
      <c r="D852" s="1">
        <v>46196</v>
      </c>
      <c r="Q852" t="s">
        <v>67</v>
      </c>
      <c r="R852" t="str">
        <f>_xlfn.XLOOKUP(GERAL[[#This Row],[Dia]],U:U,V:V,"")</f>
        <v/>
      </c>
    </row>
    <row r="853" spans="1:18" hidden="1" x14ac:dyDescent="0.3">
      <c r="A853" t="str">
        <f>_xlfn.XLOOKUP(GERAL[[#This Row],[Dia]],U:U,T:T,"")</f>
        <v/>
      </c>
      <c r="B853" s="1">
        <v>46197</v>
      </c>
      <c r="C853" t="s">
        <v>24</v>
      </c>
      <c r="D853" s="1">
        <v>46197</v>
      </c>
      <c r="Q853" t="s">
        <v>67</v>
      </c>
      <c r="R853" t="str">
        <f>_xlfn.XLOOKUP(GERAL[[#This Row],[Dia]],U:U,V:V,"")</f>
        <v/>
      </c>
    </row>
    <row r="854" spans="1:18" hidden="1" x14ac:dyDescent="0.3">
      <c r="A854" t="str">
        <f>_xlfn.XLOOKUP(GERAL[[#This Row],[Dia]],U:U,T:T,"")</f>
        <v/>
      </c>
      <c r="B854" s="1">
        <v>46198</v>
      </c>
      <c r="C854" t="s">
        <v>25</v>
      </c>
      <c r="D854" s="1">
        <v>46198</v>
      </c>
      <c r="Q854" t="s">
        <v>67</v>
      </c>
      <c r="R854" t="str">
        <f>_xlfn.XLOOKUP(GERAL[[#This Row],[Dia]],U:U,V:V,"")</f>
        <v/>
      </c>
    </row>
    <row r="855" spans="1:18" hidden="1" x14ac:dyDescent="0.3">
      <c r="A855" t="str">
        <f>_xlfn.XLOOKUP(GERAL[[#This Row],[Dia]],U:U,T:T,"")</f>
        <v/>
      </c>
      <c r="B855" s="1">
        <v>46199</v>
      </c>
      <c r="C855" t="s">
        <v>26</v>
      </c>
      <c r="D855" s="1">
        <v>46199</v>
      </c>
      <c r="Q855" t="s">
        <v>67</v>
      </c>
      <c r="R855" t="str">
        <f>_xlfn.XLOOKUP(GERAL[[#This Row],[Dia]],U:U,V:V,"")</f>
        <v/>
      </c>
    </row>
    <row r="856" spans="1:18" hidden="1" x14ac:dyDescent="0.3">
      <c r="A856" t="str">
        <f>_xlfn.XLOOKUP(GERAL[[#This Row],[Dia]],U:U,T:T,"")</f>
        <v/>
      </c>
      <c r="B856" s="1">
        <v>46200</v>
      </c>
      <c r="C856" t="s">
        <v>16</v>
      </c>
      <c r="D856" s="1">
        <v>46200</v>
      </c>
      <c r="E856" t="s">
        <v>17</v>
      </c>
      <c r="Q856" t="s">
        <v>67</v>
      </c>
      <c r="R856" t="str">
        <f>_xlfn.XLOOKUP(GERAL[[#This Row],[Dia]],U:U,V:V,"")</f>
        <v/>
      </c>
    </row>
    <row r="857" spans="1:18" hidden="1" x14ac:dyDescent="0.3">
      <c r="A857" t="str">
        <f>_xlfn.XLOOKUP(GERAL[[#This Row],[Dia]],U:U,T:T,"")</f>
        <v/>
      </c>
      <c r="B857" s="1">
        <v>46201</v>
      </c>
      <c r="C857" t="s">
        <v>21</v>
      </c>
      <c r="D857" s="1">
        <v>46201</v>
      </c>
      <c r="E857" t="s">
        <v>17</v>
      </c>
      <c r="Q857" t="s">
        <v>67</v>
      </c>
      <c r="R857" t="str">
        <f>_xlfn.XLOOKUP(GERAL[[#This Row],[Dia]],U:U,V:V,"")</f>
        <v/>
      </c>
    </row>
    <row r="858" spans="1:18" hidden="1" x14ac:dyDescent="0.3">
      <c r="A858" t="str">
        <f>_xlfn.XLOOKUP(GERAL[[#This Row],[Dia]],U:U,T:T,"")</f>
        <v/>
      </c>
      <c r="B858" s="1">
        <v>46202</v>
      </c>
      <c r="C858" t="s">
        <v>22</v>
      </c>
      <c r="D858" s="1">
        <v>46202</v>
      </c>
      <c r="Q858" t="s">
        <v>67</v>
      </c>
      <c r="R858" t="str">
        <f>_xlfn.XLOOKUP(GERAL[[#This Row],[Dia]],U:U,V:V,"")</f>
        <v/>
      </c>
    </row>
    <row r="859" spans="1:18" hidden="1" x14ac:dyDescent="0.3">
      <c r="A859" t="str">
        <f>_xlfn.XLOOKUP(GERAL[[#This Row],[Dia]],U:U,T:T,"")</f>
        <v/>
      </c>
      <c r="B859" s="1">
        <v>46203</v>
      </c>
      <c r="C859" t="s">
        <v>23</v>
      </c>
      <c r="D859" s="1">
        <v>46203</v>
      </c>
      <c r="Q859" t="s">
        <v>67</v>
      </c>
      <c r="R859" t="str">
        <f>_xlfn.XLOOKUP(GERAL[[#This Row],[Dia]],U:U,V:V,"")</f>
        <v/>
      </c>
    </row>
    <row r="860" spans="1:18" hidden="1" x14ac:dyDescent="0.3">
      <c r="A860" t="str">
        <f>_xlfn.XLOOKUP(GERAL[[#This Row],[Dia]],U:U,T:T,"")</f>
        <v/>
      </c>
      <c r="B860" s="1">
        <v>46204</v>
      </c>
      <c r="C860" t="s">
        <v>24</v>
      </c>
      <c r="D860" s="1">
        <v>46204</v>
      </c>
      <c r="Q860" t="s">
        <v>67</v>
      </c>
      <c r="R860" t="str">
        <f>_xlfn.XLOOKUP(GERAL[[#This Row],[Dia]],U:U,V:V,"")</f>
        <v/>
      </c>
    </row>
    <row r="861" spans="1:18" hidden="1" x14ac:dyDescent="0.3">
      <c r="A861" t="str">
        <f>_xlfn.XLOOKUP(GERAL[[#This Row],[Dia]],U:U,T:T,"")</f>
        <v/>
      </c>
      <c r="B861" s="1">
        <v>46205</v>
      </c>
      <c r="C861" t="s">
        <v>25</v>
      </c>
      <c r="D861" s="1">
        <v>46205</v>
      </c>
      <c r="Q861" t="s">
        <v>67</v>
      </c>
      <c r="R861" t="str">
        <f>_xlfn.XLOOKUP(GERAL[[#This Row],[Dia]],U:U,V:V,"")</f>
        <v/>
      </c>
    </row>
    <row r="862" spans="1:18" hidden="1" x14ac:dyDescent="0.3">
      <c r="A862" t="str">
        <f>_xlfn.XLOOKUP(GERAL[[#This Row],[Dia]],U:U,T:T,"")</f>
        <v/>
      </c>
      <c r="B862" s="1">
        <v>46206</v>
      </c>
      <c r="C862" t="s">
        <v>26</v>
      </c>
      <c r="D862" s="1">
        <v>46206</v>
      </c>
      <c r="Q862" t="s">
        <v>67</v>
      </c>
      <c r="R862" t="str">
        <f>_xlfn.XLOOKUP(GERAL[[#This Row],[Dia]],U:U,V:V,"")</f>
        <v/>
      </c>
    </row>
    <row r="863" spans="1:18" hidden="1" x14ac:dyDescent="0.3">
      <c r="A863" t="str">
        <f>_xlfn.XLOOKUP(GERAL[[#This Row],[Dia]],U:U,T:T,"")</f>
        <v/>
      </c>
      <c r="B863" s="1">
        <v>46207</v>
      </c>
      <c r="C863" t="s">
        <v>16</v>
      </c>
      <c r="D863" s="1">
        <v>46207</v>
      </c>
      <c r="E863" t="s">
        <v>17</v>
      </c>
      <c r="Q863" t="s">
        <v>67</v>
      </c>
      <c r="R863" t="str">
        <f>_xlfn.XLOOKUP(GERAL[[#This Row],[Dia]],U:U,V:V,"")</f>
        <v/>
      </c>
    </row>
    <row r="864" spans="1:18" hidden="1" x14ac:dyDescent="0.3">
      <c r="A864" t="str">
        <f>_xlfn.XLOOKUP(GERAL[[#This Row],[Dia]],U:U,T:T,"")</f>
        <v/>
      </c>
      <c r="B864" s="1">
        <v>46208</v>
      </c>
      <c r="C864" t="s">
        <v>21</v>
      </c>
      <c r="D864" s="1">
        <v>46208</v>
      </c>
      <c r="E864" t="s">
        <v>17</v>
      </c>
      <c r="Q864" t="s">
        <v>67</v>
      </c>
      <c r="R864" t="str">
        <f>_xlfn.XLOOKUP(GERAL[[#This Row],[Dia]],U:U,V:V,"")</f>
        <v/>
      </c>
    </row>
    <row r="865" spans="1:18" hidden="1" x14ac:dyDescent="0.3">
      <c r="A865" t="str">
        <f>_xlfn.XLOOKUP(GERAL[[#This Row],[Dia]],U:U,T:T,"")</f>
        <v/>
      </c>
      <c r="B865" s="1">
        <v>46209</v>
      </c>
      <c r="C865" t="s">
        <v>22</v>
      </c>
      <c r="D865" s="1">
        <v>46209</v>
      </c>
      <c r="Q865" t="s">
        <v>67</v>
      </c>
      <c r="R865" t="str">
        <f>_xlfn.XLOOKUP(GERAL[[#This Row],[Dia]],U:U,V:V,"")</f>
        <v/>
      </c>
    </row>
    <row r="866" spans="1:18" hidden="1" x14ac:dyDescent="0.3">
      <c r="A866" t="str">
        <f>_xlfn.XLOOKUP(GERAL[[#This Row],[Dia]],U:U,T:T,"")</f>
        <v/>
      </c>
      <c r="B866" s="1">
        <v>46210</v>
      </c>
      <c r="C866" t="s">
        <v>23</v>
      </c>
      <c r="D866" s="1">
        <v>46210</v>
      </c>
      <c r="Q866" t="s">
        <v>67</v>
      </c>
      <c r="R866" t="str">
        <f>_xlfn.XLOOKUP(GERAL[[#This Row],[Dia]],U:U,V:V,"")</f>
        <v/>
      </c>
    </row>
    <row r="867" spans="1:18" hidden="1" x14ac:dyDescent="0.3">
      <c r="A867" t="str">
        <f>_xlfn.XLOOKUP(GERAL[[#This Row],[Dia]],U:U,T:T,"")</f>
        <v/>
      </c>
      <c r="B867" s="1">
        <v>46211</v>
      </c>
      <c r="C867" t="s">
        <v>24</v>
      </c>
      <c r="D867" s="1">
        <v>46211</v>
      </c>
      <c r="Q867" t="s">
        <v>67</v>
      </c>
      <c r="R867" t="str">
        <f>_xlfn.XLOOKUP(GERAL[[#This Row],[Dia]],U:U,V:V,"")</f>
        <v/>
      </c>
    </row>
    <row r="868" spans="1:18" hidden="1" x14ac:dyDescent="0.3">
      <c r="A868" t="str">
        <f>_xlfn.XLOOKUP(GERAL[[#This Row],[Dia]],U:U,T:T,"")</f>
        <v/>
      </c>
      <c r="B868" s="1">
        <v>46212</v>
      </c>
      <c r="C868" t="s">
        <v>25</v>
      </c>
      <c r="D868" s="1">
        <v>46212</v>
      </c>
      <c r="Q868" t="s">
        <v>67</v>
      </c>
      <c r="R868" t="str">
        <f>_xlfn.XLOOKUP(GERAL[[#This Row],[Dia]],U:U,V:V,"")</f>
        <v/>
      </c>
    </row>
    <row r="869" spans="1:18" hidden="1" x14ac:dyDescent="0.3">
      <c r="A869" t="str">
        <f>_xlfn.XLOOKUP(GERAL[[#This Row],[Dia]],U:U,T:T,"")</f>
        <v/>
      </c>
      <c r="B869" s="1">
        <v>46213</v>
      </c>
      <c r="C869" t="s">
        <v>26</v>
      </c>
      <c r="D869" s="1">
        <v>46213</v>
      </c>
      <c r="Q869" t="s">
        <v>67</v>
      </c>
      <c r="R869" t="str">
        <f>_xlfn.XLOOKUP(GERAL[[#This Row],[Dia]],U:U,V:V,"")</f>
        <v/>
      </c>
    </row>
    <row r="870" spans="1:18" hidden="1" x14ac:dyDescent="0.3">
      <c r="A870" t="str">
        <f>_xlfn.XLOOKUP(GERAL[[#This Row],[Dia]],U:U,T:T,"")</f>
        <v/>
      </c>
      <c r="B870" s="1">
        <v>46214</v>
      </c>
      <c r="C870" t="s">
        <v>16</v>
      </c>
      <c r="D870" s="1">
        <v>46214</v>
      </c>
      <c r="E870" t="s">
        <v>17</v>
      </c>
      <c r="Q870" t="s">
        <v>67</v>
      </c>
      <c r="R870" t="str">
        <f>_xlfn.XLOOKUP(GERAL[[#This Row],[Dia]],U:U,V:V,"")</f>
        <v/>
      </c>
    </row>
    <row r="871" spans="1:18" hidden="1" x14ac:dyDescent="0.3">
      <c r="A871" t="str">
        <f>_xlfn.XLOOKUP(GERAL[[#This Row],[Dia]],U:U,T:T,"")</f>
        <v/>
      </c>
      <c r="B871" s="1">
        <v>46215</v>
      </c>
      <c r="C871" t="s">
        <v>21</v>
      </c>
      <c r="D871" s="1">
        <v>46215</v>
      </c>
      <c r="E871" t="s">
        <v>17</v>
      </c>
      <c r="Q871" t="s">
        <v>67</v>
      </c>
      <c r="R871" t="str">
        <f>_xlfn.XLOOKUP(GERAL[[#This Row],[Dia]],U:U,V:V,"")</f>
        <v/>
      </c>
    </row>
    <row r="872" spans="1:18" hidden="1" x14ac:dyDescent="0.3">
      <c r="A872" t="str">
        <f>_xlfn.XLOOKUP(GERAL[[#This Row],[Dia]],U:U,T:T,"")</f>
        <v/>
      </c>
      <c r="B872" s="1">
        <v>46216</v>
      </c>
      <c r="C872" t="s">
        <v>22</v>
      </c>
      <c r="D872" s="1">
        <v>46216</v>
      </c>
      <c r="Q872" t="s">
        <v>67</v>
      </c>
      <c r="R872" t="str">
        <f>_xlfn.XLOOKUP(GERAL[[#This Row],[Dia]],U:U,V:V,"")</f>
        <v/>
      </c>
    </row>
    <row r="873" spans="1:18" hidden="1" x14ac:dyDescent="0.3">
      <c r="A873" t="str">
        <f>_xlfn.XLOOKUP(GERAL[[#This Row],[Dia]],U:U,T:T,"")</f>
        <v/>
      </c>
      <c r="B873" s="1">
        <v>46217</v>
      </c>
      <c r="C873" t="s">
        <v>23</v>
      </c>
      <c r="D873" s="1">
        <v>46217</v>
      </c>
      <c r="Q873" t="s">
        <v>67</v>
      </c>
      <c r="R873" t="str">
        <f>_xlfn.XLOOKUP(GERAL[[#This Row],[Dia]],U:U,V:V,"")</f>
        <v/>
      </c>
    </row>
    <row r="874" spans="1:18" hidden="1" x14ac:dyDescent="0.3">
      <c r="A874" t="str">
        <f>_xlfn.XLOOKUP(GERAL[[#This Row],[Dia]],U:U,T:T,"")</f>
        <v/>
      </c>
      <c r="B874" s="1">
        <v>46218</v>
      </c>
      <c r="C874" t="s">
        <v>24</v>
      </c>
      <c r="D874" s="1">
        <v>46218</v>
      </c>
      <c r="Q874" t="s">
        <v>67</v>
      </c>
      <c r="R874" t="str">
        <f>_xlfn.XLOOKUP(GERAL[[#This Row],[Dia]],U:U,V:V,"")</f>
        <v/>
      </c>
    </row>
    <row r="875" spans="1:18" hidden="1" x14ac:dyDescent="0.3">
      <c r="A875" t="str">
        <f>_xlfn.XLOOKUP(GERAL[[#This Row],[Dia]],U:U,T:T,"")</f>
        <v/>
      </c>
      <c r="B875" s="1">
        <v>46219</v>
      </c>
      <c r="C875" t="s">
        <v>25</v>
      </c>
      <c r="D875" s="1">
        <v>46219</v>
      </c>
      <c r="Q875" t="s">
        <v>67</v>
      </c>
      <c r="R875" t="str">
        <f>_xlfn.XLOOKUP(GERAL[[#This Row],[Dia]],U:U,V:V,"")</f>
        <v/>
      </c>
    </row>
    <row r="876" spans="1:18" hidden="1" x14ac:dyDescent="0.3">
      <c r="A876" t="str">
        <f>_xlfn.XLOOKUP(GERAL[[#This Row],[Dia]],U:U,T:T,"")</f>
        <v/>
      </c>
      <c r="B876" s="1">
        <v>46220</v>
      </c>
      <c r="C876" t="s">
        <v>26</v>
      </c>
      <c r="D876" s="1">
        <v>46220</v>
      </c>
      <c r="Q876" t="s">
        <v>67</v>
      </c>
      <c r="R876" t="str">
        <f>_xlfn.XLOOKUP(GERAL[[#This Row],[Dia]],U:U,V:V,"")</f>
        <v/>
      </c>
    </row>
    <row r="877" spans="1:18" hidden="1" x14ac:dyDescent="0.3">
      <c r="A877" t="str">
        <f>_xlfn.XLOOKUP(GERAL[[#This Row],[Dia]],U:U,T:T,"")</f>
        <v/>
      </c>
      <c r="B877" s="1">
        <v>46221</v>
      </c>
      <c r="C877" t="s">
        <v>16</v>
      </c>
      <c r="D877" s="1">
        <v>46221</v>
      </c>
      <c r="E877" t="s">
        <v>17</v>
      </c>
      <c r="Q877" t="s">
        <v>67</v>
      </c>
      <c r="R877" t="str">
        <f>_xlfn.XLOOKUP(GERAL[[#This Row],[Dia]],U:U,V:V,"")</f>
        <v/>
      </c>
    </row>
    <row r="878" spans="1:18" hidden="1" x14ac:dyDescent="0.3">
      <c r="A878" t="str">
        <f>_xlfn.XLOOKUP(GERAL[[#This Row],[Dia]],U:U,T:T,"")</f>
        <v/>
      </c>
      <c r="B878" s="1">
        <v>46222</v>
      </c>
      <c r="C878" t="s">
        <v>21</v>
      </c>
      <c r="D878" s="1">
        <v>46222</v>
      </c>
      <c r="E878" t="s">
        <v>17</v>
      </c>
      <c r="Q878" t="s">
        <v>67</v>
      </c>
      <c r="R878" t="str">
        <f>_xlfn.XLOOKUP(GERAL[[#This Row],[Dia]],U:U,V:V,"")</f>
        <v/>
      </c>
    </row>
    <row r="879" spans="1:18" hidden="1" x14ac:dyDescent="0.3">
      <c r="A879" t="str">
        <f>_xlfn.XLOOKUP(GERAL[[#This Row],[Dia]],U:U,T:T,"")</f>
        <v/>
      </c>
      <c r="B879" s="1">
        <v>46223</v>
      </c>
      <c r="C879" t="s">
        <v>22</v>
      </c>
      <c r="D879" s="1">
        <v>46223</v>
      </c>
      <c r="Q879" t="s">
        <v>67</v>
      </c>
      <c r="R879" t="str">
        <f>_xlfn.XLOOKUP(GERAL[[#This Row],[Dia]],U:U,V:V,"")</f>
        <v/>
      </c>
    </row>
    <row r="880" spans="1:18" hidden="1" x14ac:dyDescent="0.3">
      <c r="A880" t="str">
        <f>_xlfn.XLOOKUP(GERAL[[#This Row],[Dia]],U:U,T:T,"")</f>
        <v/>
      </c>
      <c r="B880" s="1">
        <v>46224</v>
      </c>
      <c r="C880" t="s">
        <v>23</v>
      </c>
      <c r="D880" s="1">
        <v>46224</v>
      </c>
      <c r="Q880" t="s">
        <v>67</v>
      </c>
      <c r="R880" t="str">
        <f>_xlfn.XLOOKUP(GERAL[[#This Row],[Dia]],U:U,V:V,"")</f>
        <v/>
      </c>
    </row>
    <row r="881" spans="1:18" hidden="1" x14ac:dyDescent="0.3">
      <c r="A881" t="str">
        <f>_xlfn.XLOOKUP(GERAL[[#This Row],[Dia]],U:U,T:T,"")</f>
        <v/>
      </c>
      <c r="B881" s="1">
        <v>46225</v>
      </c>
      <c r="C881" t="s">
        <v>24</v>
      </c>
      <c r="D881" s="1">
        <v>46225</v>
      </c>
      <c r="Q881" t="s">
        <v>67</v>
      </c>
      <c r="R881" t="str">
        <f>_xlfn.XLOOKUP(GERAL[[#This Row],[Dia]],U:U,V:V,"")</f>
        <v/>
      </c>
    </row>
    <row r="882" spans="1:18" hidden="1" x14ac:dyDescent="0.3">
      <c r="A882" t="str">
        <f>_xlfn.XLOOKUP(GERAL[[#This Row],[Dia]],U:U,T:T,"")</f>
        <v/>
      </c>
      <c r="B882" s="1">
        <v>46226</v>
      </c>
      <c r="C882" t="s">
        <v>25</v>
      </c>
      <c r="D882" s="1">
        <v>46226</v>
      </c>
      <c r="Q882" t="s">
        <v>67</v>
      </c>
      <c r="R882" t="str">
        <f>_xlfn.XLOOKUP(GERAL[[#This Row],[Dia]],U:U,V:V,"")</f>
        <v/>
      </c>
    </row>
    <row r="883" spans="1:18" hidden="1" x14ac:dyDescent="0.3">
      <c r="A883" t="str">
        <f>_xlfn.XLOOKUP(GERAL[[#This Row],[Dia]],U:U,T:T,"")</f>
        <v/>
      </c>
      <c r="B883" s="1">
        <v>46227</v>
      </c>
      <c r="C883" t="s">
        <v>26</v>
      </c>
      <c r="D883" s="1">
        <v>46227</v>
      </c>
      <c r="Q883" t="s">
        <v>67</v>
      </c>
      <c r="R883" t="str">
        <f>_xlfn.XLOOKUP(GERAL[[#This Row],[Dia]],U:U,V:V,"")</f>
        <v/>
      </c>
    </row>
    <row r="884" spans="1:18" hidden="1" x14ac:dyDescent="0.3">
      <c r="A884" t="str">
        <f>_xlfn.XLOOKUP(GERAL[[#This Row],[Dia]],U:U,T:T,"")</f>
        <v/>
      </c>
      <c r="B884" s="1">
        <v>46228</v>
      </c>
      <c r="C884" t="s">
        <v>16</v>
      </c>
      <c r="D884" s="1">
        <v>46228</v>
      </c>
      <c r="E884" t="s">
        <v>17</v>
      </c>
      <c r="Q884" t="s">
        <v>67</v>
      </c>
      <c r="R884" t="str">
        <f>_xlfn.XLOOKUP(GERAL[[#This Row],[Dia]],U:U,V:V,"")</f>
        <v/>
      </c>
    </row>
    <row r="885" spans="1:18" hidden="1" x14ac:dyDescent="0.3">
      <c r="A885" t="str">
        <f>_xlfn.XLOOKUP(GERAL[[#This Row],[Dia]],U:U,T:T,"")</f>
        <v/>
      </c>
      <c r="B885" s="1">
        <v>46229</v>
      </c>
      <c r="C885" t="s">
        <v>21</v>
      </c>
      <c r="D885" s="1">
        <v>46229</v>
      </c>
      <c r="E885" t="s">
        <v>17</v>
      </c>
      <c r="Q885" t="s">
        <v>67</v>
      </c>
      <c r="R885" t="str">
        <f>_xlfn.XLOOKUP(GERAL[[#This Row],[Dia]],U:U,V:V,"")</f>
        <v/>
      </c>
    </row>
    <row r="886" spans="1:18" hidden="1" x14ac:dyDescent="0.3">
      <c r="A886" t="str">
        <f>_xlfn.XLOOKUP(GERAL[[#This Row],[Dia]],U:U,T:T,"")</f>
        <v/>
      </c>
      <c r="B886" s="1">
        <v>46230</v>
      </c>
      <c r="C886" t="s">
        <v>22</v>
      </c>
      <c r="D886" s="1">
        <v>46230</v>
      </c>
      <c r="Q886" t="s">
        <v>67</v>
      </c>
      <c r="R886" t="str">
        <f>_xlfn.XLOOKUP(GERAL[[#This Row],[Dia]],U:U,V:V,"")</f>
        <v/>
      </c>
    </row>
    <row r="887" spans="1:18" hidden="1" x14ac:dyDescent="0.3">
      <c r="A887" t="str">
        <f>_xlfn.XLOOKUP(GERAL[[#This Row],[Dia]],U:U,T:T,"")</f>
        <v/>
      </c>
      <c r="B887" s="1">
        <v>46231</v>
      </c>
      <c r="C887" t="s">
        <v>23</v>
      </c>
      <c r="D887" s="1">
        <v>46231</v>
      </c>
      <c r="Q887" t="s">
        <v>67</v>
      </c>
      <c r="R887" t="str">
        <f>_xlfn.XLOOKUP(GERAL[[#This Row],[Dia]],U:U,V:V,"")</f>
        <v/>
      </c>
    </row>
    <row r="888" spans="1:18" hidden="1" x14ac:dyDescent="0.3">
      <c r="A888" t="str">
        <f>_xlfn.XLOOKUP(GERAL[[#This Row],[Dia]],U:U,T:T,"")</f>
        <v/>
      </c>
      <c r="B888" s="1">
        <v>46232</v>
      </c>
      <c r="C888" t="s">
        <v>24</v>
      </c>
      <c r="D888" s="1">
        <v>46232</v>
      </c>
      <c r="Q888" t="s">
        <v>67</v>
      </c>
      <c r="R888" t="str">
        <f>_xlfn.XLOOKUP(GERAL[[#This Row],[Dia]],U:U,V:V,"")</f>
        <v/>
      </c>
    </row>
    <row r="889" spans="1:18" hidden="1" x14ac:dyDescent="0.3">
      <c r="A889" t="str">
        <f>_xlfn.XLOOKUP(GERAL[[#This Row],[Dia]],U:U,T:T,"")</f>
        <v/>
      </c>
      <c r="B889" s="1">
        <v>46233</v>
      </c>
      <c r="C889" t="s">
        <v>25</v>
      </c>
      <c r="D889" s="1">
        <v>46233</v>
      </c>
      <c r="Q889" t="s">
        <v>67</v>
      </c>
      <c r="R889" t="str">
        <f>_xlfn.XLOOKUP(GERAL[[#This Row],[Dia]],U:U,V:V,"")</f>
        <v/>
      </c>
    </row>
    <row r="890" spans="1:18" hidden="1" x14ac:dyDescent="0.3">
      <c r="A890" t="str">
        <f>_xlfn.XLOOKUP(GERAL[[#This Row],[Dia]],U:U,T:T,"")</f>
        <v/>
      </c>
      <c r="B890" s="1">
        <v>46234</v>
      </c>
      <c r="C890" t="s">
        <v>26</v>
      </c>
      <c r="D890" s="1">
        <v>46234</v>
      </c>
      <c r="Q890" t="s">
        <v>67</v>
      </c>
      <c r="R890" t="str">
        <f>_xlfn.XLOOKUP(GERAL[[#This Row],[Dia]],U:U,V:V,"")</f>
        <v/>
      </c>
    </row>
    <row r="891" spans="1:18" hidden="1" x14ac:dyDescent="0.3">
      <c r="A891" t="str">
        <f>_xlfn.XLOOKUP(GERAL[[#This Row],[Dia]],U:U,T:T,"")</f>
        <v/>
      </c>
      <c r="B891" s="1">
        <v>46235</v>
      </c>
      <c r="C891" t="s">
        <v>16</v>
      </c>
      <c r="D891" s="1">
        <v>46235</v>
      </c>
      <c r="E891" t="s">
        <v>17</v>
      </c>
      <c r="Q891" t="s">
        <v>67</v>
      </c>
      <c r="R891" t="str">
        <f>_xlfn.XLOOKUP(GERAL[[#This Row],[Dia]],U:U,V:V,"")</f>
        <v/>
      </c>
    </row>
    <row r="892" spans="1:18" hidden="1" x14ac:dyDescent="0.3">
      <c r="A892" t="str">
        <f>_xlfn.XLOOKUP(GERAL[[#This Row],[Dia]],U:U,T:T,"")</f>
        <v/>
      </c>
      <c r="B892" s="1">
        <v>46236</v>
      </c>
      <c r="C892" t="s">
        <v>21</v>
      </c>
      <c r="D892" s="1">
        <v>46236</v>
      </c>
      <c r="E892" t="s">
        <v>17</v>
      </c>
      <c r="Q892" t="s">
        <v>67</v>
      </c>
      <c r="R892" t="str">
        <f>_xlfn.XLOOKUP(GERAL[[#This Row],[Dia]],U:U,V:V,"")</f>
        <v/>
      </c>
    </row>
    <row r="893" spans="1:18" hidden="1" x14ac:dyDescent="0.3">
      <c r="A893" t="str">
        <f>_xlfn.XLOOKUP(GERAL[[#This Row],[Dia]],U:U,T:T,"")</f>
        <v/>
      </c>
      <c r="B893" s="1">
        <v>46237</v>
      </c>
      <c r="C893" t="s">
        <v>22</v>
      </c>
      <c r="D893" s="1">
        <v>46237</v>
      </c>
      <c r="Q893" t="s">
        <v>67</v>
      </c>
      <c r="R893" t="str">
        <f>_xlfn.XLOOKUP(GERAL[[#This Row],[Dia]],U:U,V:V,"")</f>
        <v/>
      </c>
    </row>
    <row r="894" spans="1:18" hidden="1" x14ac:dyDescent="0.3">
      <c r="A894" t="str">
        <f>_xlfn.XLOOKUP(GERAL[[#This Row],[Dia]],U:U,T:T,"")</f>
        <v/>
      </c>
      <c r="B894" s="1">
        <v>46238</v>
      </c>
      <c r="C894" t="s">
        <v>23</v>
      </c>
      <c r="D894" s="1">
        <v>46238</v>
      </c>
      <c r="Q894" t="s">
        <v>67</v>
      </c>
      <c r="R894" t="str">
        <f>_xlfn.XLOOKUP(GERAL[[#This Row],[Dia]],U:U,V:V,"")</f>
        <v/>
      </c>
    </row>
    <row r="895" spans="1:18" hidden="1" x14ac:dyDescent="0.3">
      <c r="A895" t="str">
        <f>_xlfn.XLOOKUP(GERAL[[#This Row],[Dia]],U:U,T:T,"")</f>
        <v/>
      </c>
      <c r="B895" s="1">
        <v>46239</v>
      </c>
      <c r="C895" t="s">
        <v>24</v>
      </c>
      <c r="D895" s="1">
        <v>46239</v>
      </c>
      <c r="Q895" t="s">
        <v>67</v>
      </c>
      <c r="R895" t="str">
        <f>_xlfn.XLOOKUP(GERAL[[#This Row],[Dia]],U:U,V:V,"")</f>
        <v/>
      </c>
    </row>
    <row r="896" spans="1:18" hidden="1" x14ac:dyDescent="0.3">
      <c r="A896" t="str">
        <f>_xlfn.XLOOKUP(GERAL[[#This Row],[Dia]],U:U,T:T,"")</f>
        <v/>
      </c>
      <c r="B896" s="1">
        <v>46240</v>
      </c>
      <c r="C896" t="s">
        <v>25</v>
      </c>
      <c r="D896" s="1">
        <v>46240</v>
      </c>
      <c r="Q896" t="s">
        <v>67</v>
      </c>
      <c r="R896" t="str">
        <f>_xlfn.XLOOKUP(GERAL[[#This Row],[Dia]],U:U,V:V,"")</f>
        <v/>
      </c>
    </row>
    <row r="897" spans="1:18" hidden="1" x14ac:dyDescent="0.3">
      <c r="A897" t="str">
        <f>_xlfn.XLOOKUP(GERAL[[#This Row],[Dia]],U:U,T:T,"")</f>
        <v/>
      </c>
      <c r="B897" s="1">
        <v>46241</v>
      </c>
      <c r="C897" t="s">
        <v>26</v>
      </c>
      <c r="D897" s="1">
        <v>46241</v>
      </c>
      <c r="Q897" t="s">
        <v>67</v>
      </c>
      <c r="R897" t="str">
        <f>_xlfn.XLOOKUP(GERAL[[#This Row],[Dia]],U:U,V:V,"")</f>
        <v/>
      </c>
    </row>
    <row r="898" spans="1:18" hidden="1" x14ac:dyDescent="0.3">
      <c r="A898" t="str">
        <f>_xlfn.XLOOKUP(GERAL[[#This Row],[Dia]],U:U,T:T,"")</f>
        <v/>
      </c>
      <c r="B898" s="1">
        <v>46242</v>
      </c>
      <c r="C898" t="s">
        <v>16</v>
      </c>
      <c r="D898" s="1">
        <v>46242</v>
      </c>
      <c r="E898" t="s">
        <v>17</v>
      </c>
      <c r="Q898" t="s">
        <v>67</v>
      </c>
      <c r="R898" t="str">
        <f>_xlfn.XLOOKUP(GERAL[[#This Row],[Dia]],U:U,V:V,"")</f>
        <v/>
      </c>
    </row>
    <row r="899" spans="1:18" hidden="1" x14ac:dyDescent="0.3">
      <c r="A899" t="str">
        <f>_xlfn.XLOOKUP(GERAL[[#This Row],[Dia]],U:U,T:T,"")</f>
        <v/>
      </c>
      <c r="B899" s="1">
        <v>46243</v>
      </c>
      <c r="C899" t="s">
        <v>21</v>
      </c>
      <c r="D899" s="1">
        <v>46243</v>
      </c>
      <c r="E899" t="s">
        <v>17</v>
      </c>
      <c r="Q899" t="s">
        <v>67</v>
      </c>
      <c r="R899" t="str">
        <f>_xlfn.XLOOKUP(GERAL[[#This Row],[Dia]],U:U,V:V,"")</f>
        <v/>
      </c>
    </row>
    <row r="900" spans="1:18" hidden="1" x14ac:dyDescent="0.3">
      <c r="A900" t="str">
        <f>_xlfn.XLOOKUP(GERAL[[#This Row],[Dia]],U:U,T:T,"")</f>
        <v/>
      </c>
      <c r="B900" s="1">
        <v>46244</v>
      </c>
      <c r="C900" t="s">
        <v>22</v>
      </c>
      <c r="D900" s="1">
        <v>46244</v>
      </c>
      <c r="Q900" t="s">
        <v>67</v>
      </c>
      <c r="R900" t="str">
        <f>_xlfn.XLOOKUP(GERAL[[#This Row],[Dia]],U:U,V:V,"")</f>
        <v/>
      </c>
    </row>
    <row r="901" spans="1:18" hidden="1" x14ac:dyDescent="0.3">
      <c r="A901" t="str">
        <f>_xlfn.XLOOKUP(GERAL[[#This Row],[Dia]],U:U,T:T,"")</f>
        <v/>
      </c>
      <c r="B901" s="1">
        <v>46245</v>
      </c>
      <c r="C901" t="s">
        <v>23</v>
      </c>
      <c r="D901" s="1">
        <v>46245</v>
      </c>
      <c r="Q901" t="s">
        <v>67</v>
      </c>
      <c r="R901" t="str">
        <f>_xlfn.XLOOKUP(GERAL[[#This Row],[Dia]],U:U,V:V,"")</f>
        <v/>
      </c>
    </row>
    <row r="902" spans="1:18" hidden="1" x14ac:dyDescent="0.3">
      <c r="A902" t="str">
        <f>_xlfn.XLOOKUP(GERAL[[#This Row],[Dia]],U:U,T:T,"")</f>
        <v/>
      </c>
      <c r="B902" s="1">
        <v>46246</v>
      </c>
      <c r="C902" t="s">
        <v>24</v>
      </c>
      <c r="D902" s="1">
        <v>46246</v>
      </c>
      <c r="Q902" t="s">
        <v>67</v>
      </c>
      <c r="R902" t="str">
        <f>_xlfn.XLOOKUP(GERAL[[#This Row],[Dia]],U:U,V:V,"")</f>
        <v/>
      </c>
    </row>
    <row r="903" spans="1:18" hidden="1" x14ac:dyDescent="0.3">
      <c r="A903" t="str">
        <f>_xlfn.XLOOKUP(GERAL[[#This Row],[Dia]],U:U,T:T,"")</f>
        <v/>
      </c>
      <c r="B903" s="1">
        <v>46247</v>
      </c>
      <c r="C903" t="s">
        <v>25</v>
      </c>
      <c r="D903" s="1">
        <v>46247</v>
      </c>
      <c r="Q903" t="s">
        <v>67</v>
      </c>
      <c r="R903" t="str">
        <f>_xlfn.XLOOKUP(GERAL[[#This Row],[Dia]],U:U,V:V,"")</f>
        <v/>
      </c>
    </row>
    <row r="904" spans="1:18" hidden="1" x14ac:dyDescent="0.3">
      <c r="A904" t="str">
        <f>_xlfn.XLOOKUP(GERAL[[#This Row],[Dia]],U:U,T:T,"")</f>
        <v/>
      </c>
      <c r="B904" s="1">
        <v>46248</v>
      </c>
      <c r="C904" t="s">
        <v>26</v>
      </c>
      <c r="D904" s="1">
        <v>46248</v>
      </c>
      <c r="Q904" t="s">
        <v>67</v>
      </c>
      <c r="R904" t="str">
        <f>_xlfn.XLOOKUP(GERAL[[#This Row],[Dia]],U:U,V:V,"")</f>
        <v/>
      </c>
    </row>
    <row r="905" spans="1:18" hidden="1" x14ac:dyDescent="0.3">
      <c r="A905" t="str">
        <f>_xlfn.XLOOKUP(GERAL[[#This Row],[Dia]],U:U,T:T,"")</f>
        <v/>
      </c>
      <c r="B905" s="1">
        <v>46249</v>
      </c>
      <c r="C905" t="s">
        <v>16</v>
      </c>
      <c r="D905" s="1">
        <v>46249</v>
      </c>
      <c r="E905" t="s">
        <v>17</v>
      </c>
      <c r="Q905" t="s">
        <v>67</v>
      </c>
      <c r="R905" t="str">
        <f>_xlfn.XLOOKUP(GERAL[[#This Row],[Dia]],U:U,V:V,"")</f>
        <v/>
      </c>
    </row>
    <row r="906" spans="1:18" hidden="1" x14ac:dyDescent="0.3">
      <c r="A906" t="str">
        <f>_xlfn.XLOOKUP(GERAL[[#This Row],[Dia]],U:U,T:T,"")</f>
        <v/>
      </c>
      <c r="B906" s="1">
        <v>46250</v>
      </c>
      <c r="C906" t="s">
        <v>21</v>
      </c>
      <c r="D906" s="1">
        <v>46250</v>
      </c>
      <c r="E906" t="s">
        <v>17</v>
      </c>
      <c r="Q906" t="s">
        <v>67</v>
      </c>
      <c r="R906" t="str">
        <f>_xlfn.XLOOKUP(GERAL[[#This Row],[Dia]],U:U,V:V,"")</f>
        <v/>
      </c>
    </row>
    <row r="907" spans="1:18" hidden="1" x14ac:dyDescent="0.3">
      <c r="A907" t="str">
        <f>_xlfn.XLOOKUP(GERAL[[#This Row],[Dia]],U:U,T:T,"")</f>
        <v/>
      </c>
      <c r="B907" s="1">
        <v>46251</v>
      </c>
      <c r="C907" t="s">
        <v>22</v>
      </c>
      <c r="D907" s="1">
        <v>46251</v>
      </c>
      <c r="Q907" t="s">
        <v>67</v>
      </c>
      <c r="R907" t="str">
        <f>_xlfn.XLOOKUP(GERAL[[#This Row],[Dia]],U:U,V:V,"")</f>
        <v/>
      </c>
    </row>
    <row r="908" spans="1:18" hidden="1" x14ac:dyDescent="0.3">
      <c r="A908" t="str">
        <f>_xlfn.XLOOKUP(GERAL[[#This Row],[Dia]],U:U,T:T,"")</f>
        <v/>
      </c>
      <c r="B908" s="1">
        <v>46252</v>
      </c>
      <c r="C908" t="s">
        <v>23</v>
      </c>
      <c r="D908" s="1">
        <v>46252</v>
      </c>
      <c r="Q908" t="s">
        <v>67</v>
      </c>
      <c r="R908" t="str">
        <f>_xlfn.XLOOKUP(GERAL[[#This Row],[Dia]],U:U,V:V,"")</f>
        <v/>
      </c>
    </row>
    <row r="909" spans="1:18" hidden="1" x14ac:dyDescent="0.3">
      <c r="A909" t="str">
        <f>_xlfn.XLOOKUP(GERAL[[#This Row],[Dia]],U:U,T:T,"")</f>
        <v/>
      </c>
      <c r="B909" s="1">
        <v>46253</v>
      </c>
      <c r="C909" t="s">
        <v>24</v>
      </c>
      <c r="D909" s="1">
        <v>46253</v>
      </c>
      <c r="Q909" t="s">
        <v>67</v>
      </c>
      <c r="R909" t="str">
        <f>_xlfn.XLOOKUP(GERAL[[#This Row],[Dia]],U:U,V:V,"")</f>
        <v/>
      </c>
    </row>
    <row r="910" spans="1:18" hidden="1" x14ac:dyDescent="0.3">
      <c r="A910" t="str">
        <f>_xlfn.XLOOKUP(GERAL[[#This Row],[Dia]],U:U,T:T,"")</f>
        <v/>
      </c>
      <c r="B910" s="1">
        <v>46254</v>
      </c>
      <c r="C910" t="s">
        <v>25</v>
      </c>
      <c r="D910" s="1">
        <v>46254</v>
      </c>
      <c r="Q910" t="s">
        <v>67</v>
      </c>
      <c r="R910" t="str">
        <f>_xlfn.XLOOKUP(GERAL[[#This Row],[Dia]],U:U,V:V,"")</f>
        <v/>
      </c>
    </row>
    <row r="911" spans="1:18" hidden="1" x14ac:dyDescent="0.3">
      <c r="A911" t="str">
        <f>_xlfn.XLOOKUP(GERAL[[#This Row],[Dia]],U:U,T:T,"")</f>
        <v/>
      </c>
      <c r="B911" s="1">
        <v>46255</v>
      </c>
      <c r="C911" t="s">
        <v>26</v>
      </c>
      <c r="D911" s="1">
        <v>46255</v>
      </c>
      <c r="Q911" t="s">
        <v>67</v>
      </c>
      <c r="R911" t="str">
        <f>_xlfn.XLOOKUP(GERAL[[#This Row],[Dia]],U:U,V:V,"")</f>
        <v/>
      </c>
    </row>
    <row r="912" spans="1:18" hidden="1" x14ac:dyDescent="0.3">
      <c r="A912" t="str">
        <f>_xlfn.XLOOKUP(GERAL[[#This Row],[Dia]],U:U,T:T,"")</f>
        <v/>
      </c>
      <c r="B912" s="1">
        <v>46256</v>
      </c>
      <c r="C912" t="s">
        <v>16</v>
      </c>
      <c r="D912" s="1">
        <v>46256</v>
      </c>
      <c r="E912" t="s">
        <v>17</v>
      </c>
      <c r="Q912" t="s">
        <v>67</v>
      </c>
      <c r="R912" t="str">
        <f>_xlfn.XLOOKUP(GERAL[[#This Row],[Dia]],U:U,V:V,"")</f>
        <v/>
      </c>
    </row>
    <row r="913" spans="1:18" hidden="1" x14ac:dyDescent="0.3">
      <c r="A913" t="str">
        <f>_xlfn.XLOOKUP(GERAL[[#This Row],[Dia]],U:U,T:T,"")</f>
        <v/>
      </c>
      <c r="B913" s="1">
        <v>46257</v>
      </c>
      <c r="C913" t="s">
        <v>21</v>
      </c>
      <c r="D913" s="1">
        <v>46257</v>
      </c>
      <c r="E913" t="s">
        <v>17</v>
      </c>
      <c r="Q913" t="s">
        <v>67</v>
      </c>
      <c r="R913" t="str">
        <f>_xlfn.XLOOKUP(GERAL[[#This Row],[Dia]],U:U,V:V,"")</f>
        <v/>
      </c>
    </row>
    <row r="914" spans="1:18" hidden="1" x14ac:dyDescent="0.3">
      <c r="A914" t="str">
        <f>_xlfn.XLOOKUP(GERAL[[#This Row],[Dia]],U:U,T:T,"")</f>
        <v/>
      </c>
      <c r="B914" s="1">
        <v>46258</v>
      </c>
      <c r="C914" t="s">
        <v>22</v>
      </c>
      <c r="D914" s="1">
        <v>46258</v>
      </c>
      <c r="Q914" t="s">
        <v>67</v>
      </c>
      <c r="R914" t="str">
        <f>_xlfn.XLOOKUP(GERAL[[#This Row],[Dia]],U:U,V:V,"")</f>
        <v/>
      </c>
    </row>
    <row r="915" spans="1:18" hidden="1" x14ac:dyDescent="0.3">
      <c r="A915" t="str">
        <f>_xlfn.XLOOKUP(GERAL[[#This Row],[Dia]],U:U,T:T,"")</f>
        <v/>
      </c>
      <c r="B915" s="1">
        <v>46259</v>
      </c>
      <c r="C915" t="s">
        <v>23</v>
      </c>
      <c r="D915" s="1">
        <v>46259</v>
      </c>
      <c r="Q915" t="s">
        <v>67</v>
      </c>
      <c r="R915" t="str">
        <f>_xlfn.XLOOKUP(GERAL[[#This Row],[Dia]],U:U,V:V,"")</f>
        <v/>
      </c>
    </row>
    <row r="916" spans="1:18" hidden="1" x14ac:dyDescent="0.3">
      <c r="A916" t="str">
        <f>_xlfn.XLOOKUP(GERAL[[#This Row],[Dia]],U:U,T:T,"")</f>
        <v/>
      </c>
      <c r="B916" s="1">
        <v>46260</v>
      </c>
      <c r="C916" t="s">
        <v>24</v>
      </c>
      <c r="D916" s="1">
        <v>46260</v>
      </c>
      <c r="Q916" t="s">
        <v>67</v>
      </c>
      <c r="R916" t="str">
        <f>_xlfn.XLOOKUP(GERAL[[#This Row],[Dia]],U:U,V:V,"")</f>
        <v/>
      </c>
    </row>
    <row r="917" spans="1:18" hidden="1" x14ac:dyDescent="0.3">
      <c r="A917" t="str">
        <f>_xlfn.XLOOKUP(GERAL[[#This Row],[Dia]],U:U,T:T,"")</f>
        <v/>
      </c>
      <c r="B917" s="1">
        <v>46261</v>
      </c>
      <c r="C917" t="s">
        <v>25</v>
      </c>
      <c r="D917" s="1">
        <v>46261</v>
      </c>
      <c r="Q917" t="s">
        <v>67</v>
      </c>
      <c r="R917" t="str">
        <f>_xlfn.XLOOKUP(GERAL[[#This Row],[Dia]],U:U,V:V,"")</f>
        <v/>
      </c>
    </row>
    <row r="918" spans="1:18" hidden="1" x14ac:dyDescent="0.3">
      <c r="A918" t="str">
        <f>_xlfn.XLOOKUP(GERAL[[#This Row],[Dia]],U:U,T:T,"")</f>
        <v/>
      </c>
      <c r="B918" s="1">
        <v>46262</v>
      </c>
      <c r="C918" t="s">
        <v>26</v>
      </c>
      <c r="D918" s="1">
        <v>46262</v>
      </c>
      <c r="Q918" t="s">
        <v>67</v>
      </c>
      <c r="R918" t="str">
        <f>_xlfn.XLOOKUP(GERAL[[#This Row],[Dia]],U:U,V:V,"")</f>
        <v/>
      </c>
    </row>
    <row r="919" spans="1:18" hidden="1" x14ac:dyDescent="0.3">
      <c r="A919" t="str">
        <f>_xlfn.XLOOKUP(GERAL[[#This Row],[Dia]],U:U,T:T,"")</f>
        <v/>
      </c>
      <c r="B919" s="1">
        <v>46263</v>
      </c>
      <c r="C919" t="s">
        <v>16</v>
      </c>
      <c r="D919" s="1">
        <v>46263</v>
      </c>
      <c r="E919" t="s">
        <v>17</v>
      </c>
      <c r="Q919" t="s">
        <v>67</v>
      </c>
      <c r="R919" t="str">
        <f>_xlfn.XLOOKUP(GERAL[[#This Row],[Dia]],U:U,V:V,"")</f>
        <v/>
      </c>
    </row>
    <row r="920" spans="1:18" hidden="1" x14ac:dyDescent="0.3">
      <c r="A920" t="str">
        <f>_xlfn.XLOOKUP(GERAL[[#This Row],[Dia]],U:U,T:T,"")</f>
        <v/>
      </c>
      <c r="B920" s="1">
        <v>46264</v>
      </c>
      <c r="C920" t="s">
        <v>21</v>
      </c>
      <c r="D920" s="1">
        <v>46264</v>
      </c>
      <c r="E920" t="s">
        <v>17</v>
      </c>
      <c r="Q920" t="s">
        <v>67</v>
      </c>
      <c r="R920" t="str">
        <f>_xlfn.XLOOKUP(GERAL[[#This Row],[Dia]],U:U,V:V,"")</f>
        <v/>
      </c>
    </row>
    <row r="921" spans="1:18" hidden="1" x14ac:dyDescent="0.3">
      <c r="A921" t="str">
        <f>_xlfn.XLOOKUP(GERAL[[#This Row],[Dia]],U:U,T:T,"")</f>
        <v/>
      </c>
      <c r="B921" s="1">
        <v>46265</v>
      </c>
      <c r="C921" t="s">
        <v>22</v>
      </c>
      <c r="D921" s="1">
        <v>46265</v>
      </c>
      <c r="Q921" t="s">
        <v>67</v>
      </c>
      <c r="R921" t="str">
        <f>_xlfn.XLOOKUP(GERAL[[#This Row],[Dia]],U:U,V:V,"")</f>
        <v/>
      </c>
    </row>
    <row r="922" spans="1:18" hidden="1" x14ac:dyDescent="0.3">
      <c r="A922" t="str">
        <f>_xlfn.XLOOKUP(GERAL[[#This Row],[Dia]],U:U,T:T,"")</f>
        <v/>
      </c>
      <c r="B922" s="1">
        <v>46266</v>
      </c>
      <c r="C922" t="s">
        <v>23</v>
      </c>
      <c r="D922" s="1">
        <v>46266</v>
      </c>
      <c r="Q922" t="s">
        <v>67</v>
      </c>
      <c r="R922" t="str">
        <f>_xlfn.XLOOKUP(GERAL[[#This Row],[Dia]],U:U,V:V,"")</f>
        <v/>
      </c>
    </row>
    <row r="923" spans="1:18" hidden="1" x14ac:dyDescent="0.3">
      <c r="A923" t="str">
        <f>_xlfn.XLOOKUP(GERAL[[#This Row],[Dia]],U:U,T:T,"")</f>
        <v/>
      </c>
      <c r="B923" s="1">
        <v>46267</v>
      </c>
      <c r="C923" t="s">
        <v>24</v>
      </c>
      <c r="D923" s="1">
        <v>46267</v>
      </c>
      <c r="Q923" t="s">
        <v>67</v>
      </c>
      <c r="R923" t="str">
        <f>_xlfn.XLOOKUP(GERAL[[#This Row],[Dia]],U:U,V:V,"")</f>
        <v/>
      </c>
    </row>
    <row r="924" spans="1:18" hidden="1" x14ac:dyDescent="0.3">
      <c r="A924" t="str">
        <f>_xlfn.XLOOKUP(GERAL[[#This Row],[Dia]],U:U,T:T,"")</f>
        <v/>
      </c>
      <c r="B924" s="1">
        <v>46268</v>
      </c>
      <c r="C924" t="s">
        <v>25</v>
      </c>
      <c r="D924" s="1">
        <v>46268</v>
      </c>
      <c r="Q924" t="s">
        <v>67</v>
      </c>
      <c r="R924" t="str">
        <f>_xlfn.XLOOKUP(GERAL[[#This Row],[Dia]],U:U,V:V,"")</f>
        <v/>
      </c>
    </row>
    <row r="925" spans="1:18" hidden="1" x14ac:dyDescent="0.3">
      <c r="A925" t="str">
        <f>_xlfn.XLOOKUP(GERAL[[#This Row],[Dia]],U:U,T:T,"")</f>
        <v/>
      </c>
      <c r="B925" s="1">
        <v>46269</v>
      </c>
      <c r="C925" t="s">
        <v>26</v>
      </c>
      <c r="D925" s="1">
        <v>46269</v>
      </c>
      <c r="Q925" t="s">
        <v>67</v>
      </c>
      <c r="R925" t="str">
        <f>_xlfn.XLOOKUP(GERAL[[#This Row],[Dia]],U:U,V:V,"")</f>
        <v/>
      </c>
    </row>
    <row r="926" spans="1:18" hidden="1" x14ac:dyDescent="0.3">
      <c r="A926" t="str">
        <f>_xlfn.XLOOKUP(GERAL[[#This Row],[Dia]],U:U,T:T,"")</f>
        <v/>
      </c>
      <c r="B926" s="1">
        <v>46270</v>
      </c>
      <c r="C926" t="s">
        <v>16</v>
      </c>
      <c r="D926" s="1">
        <v>46270</v>
      </c>
      <c r="E926" t="s">
        <v>17</v>
      </c>
      <c r="Q926" t="s">
        <v>67</v>
      </c>
      <c r="R926" t="str">
        <f>_xlfn.XLOOKUP(GERAL[[#This Row],[Dia]],U:U,V:V,"")</f>
        <v/>
      </c>
    </row>
    <row r="927" spans="1:18" hidden="1" x14ac:dyDescent="0.3">
      <c r="A927" t="str">
        <f>_xlfn.XLOOKUP(GERAL[[#This Row],[Dia]],U:U,T:T,"")</f>
        <v/>
      </c>
      <c r="B927" s="1">
        <v>46271</v>
      </c>
      <c r="C927" t="s">
        <v>21</v>
      </c>
      <c r="D927" s="1">
        <v>46271</v>
      </c>
      <c r="E927" t="s">
        <v>17</v>
      </c>
      <c r="Q927" t="s">
        <v>67</v>
      </c>
      <c r="R927" t="str">
        <f>_xlfn.XLOOKUP(GERAL[[#This Row],[Dia]],U:U,V:V,"")</f>
        <v/>
      </c>
    </row>
    <row r="928" spans="1:18" hidden="1" x14ac:dyDescent="0.3">
      <c r="A928" t="str">
        <f>_xlfn.XLOOKUP(GERAL[[#This Row],[Dia]],U:U,T:T,"")</f>
        <v/>
      </c>
      <c r="B928" s="1">
        <v>46272</v>
      </c>
      <c r="C928" t="s">
        <v>22</v>
      </c>
      <c r="D928" s="1">
        <v>46272</v>
      </c>
      <c r="Q928" t="s">
        <v>67</v>
      </c>
      <c r="R928" t="str">
        <f>_xlfn.XLOOKUP(GERAL[[#This Row],[Dia]],U:U,V:V,"")</f>
        <v/>
      </c>
    </row>
    <row r="929" spans="1:18" hidden="1" x14ac:dyDescent="0.3">
      <c r="A929" t="str">
        <f>_xlfn.XLOOKUP(GERAL[[#This Row],[Dia]],U:U,T:T,"")</f>
        <v/>
      </c>
      <c r="B929" s="1">
        <v>46273</v>
      </c>
      <c r="C929" t="s">
        <v>23</v>
      </c>
      <c r="D929" s="1">
        <v>46273</v>
      </c>
      <c r="Q929" t="s">
        <v>67</v>
      </c>
      <c r="R929" t="str">
        <f>_xlfn.XLOOKUP(GERAL[[#This Row],[Dia]],U:U,V:V,"")</f>
        <v/>
      </c>
    </row>
    <row r="930" spans="1:18" hidden="1" x14ac:dyDescent="0.3">
      <c r="A930" t="str">
        <f>_xlfn.XLOOKUP(GERAL[[#This Row],[Dia]],U:U,T:T,"")</f>
        <v/>
      </c>
      <c r="B930" s="1">
        <v>46274</v>
      </c>
      <c r="C930" t="s">
        <v>24</v>
      </c>
      <c r="D930" s="1">
        <v>46274</v>
      </c>
      <c r="Q930" t="s">
        <v>67</v>
      </c>
      <c r="R930" t="str">
        <f>_xlfn.XLOOKUP(GERAL[[#This Row],[Dia]],U:U,V:V,"")</f>
        <v/>
      </c>
    </row>
    <row r="931" spans="1:18" hidden="1" x14ac:dyDescent="0.3">
      <c r="A931" t="str">
        <f>_xlfn.XLOOKUP(GERAL[[#This Row],[Dia]],U:U,T:T,"")</f>
        <v/>
      </c>
      <c r="B931" s="1">
        <v>46275</v>
      </c>
      <c r="C931" t="s">
        <v>25</v>
      </c>
      <c r="D931" s="1">
        <v>46275</v>
      </c>
      <c r="Q931" t="s">
        <v>67</v>
      </c>
      <c r="R931" t="str">
        <f>_xlfn.XLOOKUP(GERAL[[#This Row],[Dia]],U:U,V:V,"")</f>
        <v/>
      </c>
    </row>
    <row r="932" spans="1:18" hidden="1" x14ac:dyDescent="0.3">
      <c r="A932" t="str">
        <f>_xlfn.XLOOKUP(GERAL[[#This Row],[Dia]],U:U,T:T,"")</f>
        <v/>
      </c>
      <c r="B932" s="1">
        <v>46276</v>
      </c>
      <c r="C932" t="s">
        <v>26</v>
      </c>
      <c r="D932" s="1">
        <v>46276</v>
      </c>
      <c r="Q932" t="s">
        <v>67</v>
      </c>
      <c r="R932" t="str">
        <f>_xlfn.XLOOKUP(GERAL[[#This Row],[Dia]],U:U,V:V,"")</f>
        <v/>
      </c>
    </row>
    <row r="933" spans="1:18" hidden="1" x14ac:dyDescent="0.3">
      <c r="A933" t="str">
        <f>_xlfn.XLOOKUP(GERAL[[#This Row],[Dia]],U:U,T:T,"")</f>
        <v/>
      </c>
      <c r="B933" s="1">
        <v>46277</v>
      </c>
      <c r="C933" t="s">
        <v>16</v>
      </c>
      <c r="D933" s="1">
        <v>46277</v>
      </c>
      <c r="E933" t="s">
        <v>17</v>
      </c>
      <c r="Q933" t="s">
        <v>67</v>
      </c>
      <c r="R933" t="str">
        <f>_xlfn.XLOOKUP(GERAL[[#This Row],[Dia]],U:U,V:V,"")</f>
        <v/>
      </c>
    </row>
    <row r="934" spans="1:18" hidden="1" x14ac:dyDescent="0.3">
      <c r="A934" t="str">
        <f>_xlfn.XLOOKUP(GERAL[[#This Row],[Dia]],U:U,T:T,"")</f>
        <v/>
      </c>
      <c r="B934" s="1">
        <v>46278</v>
      </c>
      <c r="C934" t="s">
        <v>21</v>
      </c>
      <c r="D934" s="1">
        <v>46278</v>
      </c>
      <c r="E934" t="s">
        <v>17</v>
      </c>
      <c r="Q934" t="s">
        <v>67</v>
      </c>
      <c r="R934" t="str">
        <f>_xlfn.XLOOKUP(GERAL[[#This Row],[Dia]],U:U,V:V,"")</f>
        <v/>
      </c>
    </row>
    <row r="935" spans="1:18" hidden="1" x14ac:dyDescent="0.3">
      <c r="A935" t="str">
        <f>_xlfn.XLOOKUP(GERAL[[#This Row],[Dia]],U:U,T:T,"")</f>
        <v/>
      </c>
      <c r="B935" s="1">
        <v>46279</v>
      </c>
      <c r="C935" t="s">
        <v>22</v>
      </c>
      <c r="D935" s="1">
        <v>46279</v>
      </c>
      <c r="Q935" t="s">
        <v>67</v>
      </c>
      <c r="R935" t="str">
        <f>_xlfn.XLOOKUP(GERAL[[#This Row],[Dia]],U:U,V:V,"")</f>
        <v/>
      </c>
    </row>
    <row r="936" spans="1:18" hidden="1" x14ac:dyDescent="0.3">
      <c r="A936" t="str">
        <f>_xlfn.XLOOKUP(GERAL[[#This Row],[Dia]],U:U,T:T,"")</f>
        <v/>
      </c>
      <c r="B936" s="1">
        <v>46280</v>
      </c>
      <c r="C936" t="s">
        <v>23</v>
      </c>
      <c r="D936" s="1">
        <v>46280</v>
      </c>
      <c r="Q936" t="s">
        <v>67</v>
      </c>
      <c r="R936" t="str">
        <f>_xlfn.XLOOKUP(GERAL[[#This Row],[Dia]],U:U,V:V,"")</f>
        <v/>
      </c>
    </row>
    <row r="937" spans="1:18" hidden="1" x14ac:dyDescent="0.3">
      <c r="A937" t="str">
        <f>_xlfn.XLOOKUP(GERAL[[#This Row],[Dia]],U:U,T:T,"")</f>
        <v/>
      </c>
      <c r="B937" s="1">
        <v>46281</v>
      </c>
      <c r="C937" t="s">
        <v>24</v>
      </c>
      <c r="D937" s="1">
        <v>46281</v>
      </c>
      <c r="Q937" t="s">
        <v>67</v>
      </c>
      <c r="R937" t="str">
        <f>_xlfn.XLOOKUP(GERAL[[#This Row],[Dia]],U:U,V:V,"")</f>
        <v/>
      </c>
    </row>
    <row r="938" spans="1:18" hidden="1" x14ac:dyDescent="0.3">
      <c r="A938" t="str">
        <f>_xlfn.XLOOKUP(GERAL[[#This Row],[Dia]],U:U,T:T,"")</f>
        <v/>
      </c>
      <c r="B938" s="1">
        <v>46282</v>
      </c>
      <c r="C938" t="s">
        <v>25</v>
      </c>
      <c r="D938" s="1">
        <v>46282</v>
      </c>
      <c r="Q938" t="s">
        <v>67</v>
      </c>
      <c r="R938" t="str">
        <f>_xlfn.XLOOKUP(GERAL[[#This Row],[Dia]],U:U,V:V,"")</f>
        <v/>
      </c>
    </row>
    <row r="939" spans="1:18" hidden="1" x14ac:dyDescent="0.3">
      <c r="A939" t="str">
        <f>_xlfn.XLOOKUP(GERAL[[#This Row],[Dia]],U:U,T:T,"")</f>
        <v/>
      </c>
      <c r="B939" s="1">
        <v>46283</v>
      </c>
      <c r="C939" t="s">
        <v>26</v>
      </c>
      <c r="D939" s="1">
        <v>46283</v>
      </c>
      <c r="Q939" t="s">
        <v>67</v>
      </c>
      <c r="R939" t="str">
        <f>_xlfn.XLOOKUP(GERAL[[#This Row],[Dia]],U:U,V:V,"")</f>
        <v/>
      </c>
    </row>
    <row r="940" spans="1:18" hidden="1" x14ac:dyDescent="0.3">
      <c r="A940" t="str">
        <f>_xlfn.XLOOKUP(GERAL[[#This Row],[Dia]],U:U,T:T,"")</f>
        <v/>
      </c>
      <c r="B940" s="1">
        <v>46284</v>
      </c>
      <c r="C940" t="s">
        <v>16</v>
      </c>
      <c r="D940" s="1">
        <v>46284</v>
      </c>
      <c r="E940" t="s">
        <v>17</v>
      </c>
      <c r="Q940" t="s">
        <v>67</v>
      </c>
      <c r="R940" t="str">
        <f>_xlfn.XLOOKUP(GERAL[[#This Row],[Dia]],U:U,V:V,"")</f>
        <v/>
      </c>
    </row>
    <row r="941" spans="1:18" hidden="1" x14ac:dyDescent="0.3">
      <c r="A941" t="str">
        <f>_xlfn.XLOOKUP(GERAL[[#This Row],[Dia]],U:U,T:T,"")</f>
        <v/>
      </c>
      <c r="B941" s="1">
        <v>46285</v>
      </c>
      <c r="C941" t="s">
        <v>21</v>
      </c>
      <c r="D941" s="1">
        <v>46285</v>
      </c>
      <c r="E941" t="s">
        <v>17</v>
      </c>
      <c r="Q941" t="s">
        <v>67</v>
      </c>
      <c r="R941" t="str">
        <f>_xlfn.XLOOKUP(GERAL[[#This Row],[Dia]],U:U,V:V,"")</f>
        <v/>
      </c>
    </row>
    <row r="942" spans="1:18" hidden="1" x14ac:dyDescent="0.3">
      <c r="A942" t="str">
        <f>_xlfn.XLOOKUP(GERAL[[#This Row],[Dia]],U:U,T:T,"")</f>
        <v/>
      </c>
      <c r="B942" s="1">
        <v>46286</v>
      </c>
      <c r="C942" t="s">
        <v>22</v>
      </c>
      <c r="D942" s="1">
        <v>46286</v>
      </c>
      <c r="Q942" t="s">
        <v>67</v>
      </c>
      <c r="R942" t="str">
        <f>_xlfn.XLOOKUP(GERAL[[#This Row],[Dia]],U:U,V:V,"")</f>
        <v/>
      </c>
    </row>
    <row r="943" spans="1:18" hidden="1" x14ac:dyDescent="0.3">
      <c r="A943" t="str">
        <f>_xlfn.XLOOKUP(GERAL[[#This Row],[Dia]],U:U,T:T,"")</f>
        <v/>
      </c>
      <c r="B943" s="1">
        <v>46287</v>
      </c>
      <c r="C943" t="s">
        <v>23</v>
      </c>
      <c r="D943" s="1">
        <v>46287</v>
      </c>
      <c r="Q943" t="s">
        <v>67</v>
      </c>
      <c r="R943" t="str">
        <f>_xlfn.XLOOKUP(GERAL[[#This Row],[Dia]],U:U,V:V,"")</f>
        <v/>
      </c>
    </row>
    <row r="944" spans="1:18" hidden="1" x14ac:dyDescent="0.3">
      <c r="A944" t="str">
        <f>_xlfn.XLOOKUP(GERAL[[#This Row],[Dia]],U:U,T:T,"")</f>
        <v/>
      </c>
      <c r="B944" s="1">
        <v>46288</v>
      </c>
      <c r="C944" t="s">
        <v>24</v>
      </c>
      <c r="D944" s="1">
        <v>46288</v>
      </c>
      <c r="Q944" t="s">
        <v>67</v>
      </c>
      <c r="R944" t="str">
        <f>_xlfn.XLOOKUP(GERAL[[#This Row],[Dia]],U:U,V:V,"")</f>
        <v/>
      </c>
    </row>
    <row r="945" spans="1:18" hidden="1" x14ac:dyDescent="0.3">
      <c r="A945" t="str">
        <f>_xlfn.XLOOKUP(GERAL[[#This Row],[Dia]],U:U,T:T,"")</f>
        <v/>
      </c>
      <c r="B945" s="1">
        <v>46289</v>
      </c>
      <c r="C945" t="s">
        <v>25</v>
      </c>
      <c r="D945" s="1">
        <v>46289</v>
      </c>
      <c r="Q945" t="s">
        <v>67</v>
      </c>
      <c r="R945" t="str">
        <f>_xlfn.XLOOKUP(GERAL[[#This Row],[Dia]],U:U,V:V,"")</f>
        <v/>
      </c>
    </row>
    <row r="946" spans="1:18" hidden="1" x14ac:dyDescent="0.3">
      <c r="A946" t="str">
        <f>_xlfn.XLOOKUP(GERAL[[#This Row],[Dia]],U:U,T:T,"")</f>
        <v/>
      </c>
      <c r="B946" s="1">
        <v>46290</v>
      </c>
      <c r="C946" t="s">
        <v>26</v>
      </c>
      <c r="D946" s="1">
        <v>46290</v>
      </c>
      <c r="Q946" t="s">
        <v>67</v>
      </c>
      <c r="R946" t="str">
        <f>_xlfn.XLOOKUP(GERAL[[#This Row],[Dia]],U:U,V:V,"")</f>
        <v/>
      </c>
    </row>
    <row r="947" spans="1:18" hidden="1" x14ac:dyDescent="0.3">
      <c r="A947" t="str">
        <f>_xlfn.XLOOKUP(GERAL[[#This Row],[Dia]],U:U,T:T,"")</f>
        <v/>
      </c>
      <c r="B947" s="1">
        <v>46291</v>
      </c>
      <c r="C947" t="s">
        <v>16</v>
      </c>
      <c r="D947" s="1">
        <v>46291</v>
      </c>
      <c r="E947" t="s">
        <v>17</v>
      </c>
      <c r="Q947" t="s">
        <v>67</v>
      </c>
      <c r="R947" t="str">
        <f>_xlfn.XLOOKUP(GERAL[[#This Row],[Dia]],U:U,V:V,"")</f>
        <v/>
      </c>
    </row>
    <row r="948" spans="1:18" hidden="1" x14ac:dyDescent="0.3">
      <c r="A948" t="str">
        <f>_xlfn.XLOOKUP(GERAL[[#This Row],[Dia]],U:U,T:T,"")</f>
        <v/>
      </c>
      <c r="B948" s="1">
        <v>46292</v>
      </c>
      <c r="C948" t="s">
        <v>21</v>
      </c>
      <c r="D948" s="1">
        <v>46292</v>
      </c>
      <c r="E948" t="s">
        <v>17</v>
      </c>
      <c r="Q948" t="s">
        <v>67</v>
      </c>
      <c r="R948" t="str">
        <f>_xlfn.XLOOKUP(GERAL[[#This Row],[Dia]],U:U,V:V,"")</f>
        <v/>
      </c>
    </row>
    <row r="949" spans="1:18" hidden="1" x14ac:dyDescent="0.3">
      <c r="A949" t="str">
        <f>_xlfn.XLOOKUP(GERAL[[#This Row],[Dia]],U:U,T:T,"")</f>
        <v/>
      </c>
      <c r="B949" s="1">
        <v>46293</v>
      </c>
      <c r="C949" t="s">
        <v>22</v>
      </c>
      <c r="D949" s="1">
        <v>46293</v>
      </c>
      <c r="Q949" t="s">
        <v>67</v>
      </c>
      <c r="R949" t="str">
        <f>_xlfn.XLOOKUP(GERAL[[#This Row],[Dia]],U:U,V:V,"")</f>
        <v/>
      </c>
    </row>
    <row r="950" spans="1:18" hidden="1" x14ac:dyDescent="0.3">
      <c r="A950" t="str">
        <f>_xlfn.XLOOKUP(GERAL[[#This Row],[Dia]],U:U,T:T,"")</f>
        <v/>
      </c>
      <c r="B950" s="1">
        <v>46294</v>
      </c>
      <c r="C950" t="s">
        <v>23</v>
      </c>
      <c r="D950" s="1">
        <v>46294</v>
      </c>
      <c r="Q950" t="s">
        <v>67</v>
      </c>
      <c r="R950" t="str">
        <f>_xlfn.XLOOKUP(GERAL[[#This Row],[Dia]],U:U,V:V,"")</f>
        <v/>
      </c>
    </row>
    <row r="951" spans="1:18" hidden="1" x14ac:dyDescent="0.3">
      <c r="A951" t="str">
        <f>_xlfn.XLOOKUP(GERAL[[#This Row],[Dia]],U:U,T:T,"")</f>
        <v/>
      </c>
      <c r="B951" s="1">
        <v>46295</v>
      </c>
      <c r="C951" t="s">
        <v>24</v>
      </c>
      <c r="D951" s="1">
        <v>46295</v>
      </c>
      <c r="Q951" t="s">
        <v>67</v>
      </c>
      <c r="R951" t="str">
        <f>_xlfn.XLOOKUP(GERAL[[#This Row],[Dia]],U:U,V:V,"")</f>
        <v/>
      </c>
    </row>
    <row r="952" spans="1:18" hidden="1" x14ac:dyDescent="0.3">
      <c r="A952" t="str">
        <f>_xlfn.XLOOKUP(GERAL[[#This Row],[Dia]],U:U,T:T,"")</f>
        <v/>
      </c>
      <c r="B952" s="1">
        <v>46296</v>
      </c>
      <c r="C952" t="s">
        <v>25</v>
      </c>
      <c r="D952" s="1">
        <v>46296</v>
      </c>
      <c r="Q952" t="s">
        <v>67</v>
      </c>
      <c r="R952" t="str">
        <f>_xlfn.XLOOKUP(GERAL[[#This Row],[Dia]],U:U,V:V,"")</f>
        <v/>
      </c>
    </row>
    <row r="953" spans="1:18" hidden="1" x14ac:dyDescent="0.3">
      <c r="A953" t="str">
        <f>_xlfn.XLOOKUP(GERAL[[#This Row],[Dia]],U:U,T:T,"")</f>
        <v/>
      </c>
      <c r="B953" s="1">
        <v>46297</v>
      </c>
      <c r="C953" t="s">
        <v>26</v>
      </c>
      <c r="D953" s="1">
        <v>46297</v>
      </c>
      <c r="Q953" t="s">
        <v>67</v>
      </c>
      <c r="R953" t="str">
        <f>_xlfn.XLOOKUP(GERAL[[#This Row],[Dia]],U:U,V:V,"")</f>
        <v/>
      </c>
    </row>
    <row r="954" spans="1:18" hidden="1" x14ac:dyDescent="0.3">
      <c r="A954" t="str">
        <f>_xlfn.XLOOKUP(GERAL[[#This Row],[Dia]],U:U,T:T,"")</f>
        <v/>
      </c>
      <c r="B954" s="1">
        <v>46298</v>
      </c>
      <c r="C954" t="s">
        <v>16</v>
      </c>
      <c r="D954" s="1">
        <v>46298</v>
      </c>
      <c r="E954" t="s">
        <v>17</v>
      </c>
      <c r="Q954" t="s">
        <v>67</v>
      </c>
      <c r="R954" t="str">
        <f>_xlfn.XLOOKUP(GERAL[[#This Row],[Dia]],U:U,V:V,"")</f>
        <v/>
      </c>
    </row>
    <row r="955" spans="1:18" hidden="1" x14ac:dyDescent="0.3">
      <c r="A955" t="str">
        <f>_xlfn.XLOOKUP(GERAL[[#This Row],[Dia]],U:U,T:T,"")</f>
        <v/>
      </c>
      <c r="B955" s="1">
        <v>46299</v>
      </c>
      <c r="C955" t="s">
        <v>21</v>
      </c>
      <c r="D955" s="1">
        <v>46299</v>
      </c>
      <c r="E955" t="s">
        <v>17</v>
      </c>
      <c r="Q955" t="s">
        <v>67</v>
      </c>
      <c r="R955" t="str">
        <f>_xlfn.XLOOKUP(GERAL[[#This Row],[Dia]],U:U,V:V,"")</f>
        <v/>
      </c>
    </row>
    <row r="956" spans="1:18" hidden="1" x14ac:dyDescent="0.3">
      <c r="A956" t="str">
        <f>_xlfn.XLOOKUP(GERAL[[#This Row],[Dia]],U:U,T:T,"")</f>
        <v/>
      </c>
      <c r="B956" s="1">
        <v>46300</v>
      </c>
      <c r="C956" t="s">
        <v>22</v>
      </c>
      <c r="D956" s="1">
        <v>46300</v>
      </c>
      <c r="Q956" t="s">
        <v>67</v>
      </c>
      <c r="R956" t="str">
        <f>_xlfn.XLOOKUP(GERAL[[#This Row],[Dia]],U:U,V:V,"")</f>
        <v/>
      </c>
    </row>
    <row r="957" spans="1:18" hidden="1" x14ac:dyDescent="0.3">
      <c r="A957" t="str">
        <f>_xlfn.XLOOKUP(GERAL[[#This Row],[Dia]],U:U,T:T,"")</f>
        <v/>
      </c>
      <c r="B957" s="1">
        <v>46301</v>
      </c>
      <c r="C957" t="s">
        <v>23</v>
      </c>
      <c r="D957" s="1">
        <v>46301</v>
      </c>
      <c r="Q957" t="s">
        <v>67</v>
      </c>
      <c r="R957" t="str">
        <f>_xlfn.XLOOKUP(GERAL[[#This Row],[Dia]],U:U,V:V,"")</f>
        <v/>
      </c>
    </row>
    <row r="958" spans="1:18" hidden="1" x14ac:dyDescent="0.3">
      <c r="A958" t="str">
        <f>_xlfn.XLOOKUP(GERAL[[#This Row],[Dia]],U:U,T:T,"")</f>
        <v/>
      </c>
      <c r="B958" s="1">
        <v>46302</v>
      </c>
      <c r="C958" t="s">
        <v>24</v>
      </c>
      <c r="D958" s="1">
        <v>46302</v>
      </c>
      <c r="Q958" t="s">
        <v>67</v>
      </c>
      <c r="R958" t="str">
        <f>_xlfn.XLOOKUP(GERAL[[#This Row],[Dia]],U:U,V:V,"")</f>
        <v/>
      </c>
    </row>
    <row r="959" spans="1:18" hidden="1" x14ac:dyDescent="0.3">
      <c r="A959" t="str">
        <f>_xlfn.XLOOKUP(GERAL[[#This Row],[Dia]],U:U,T:T,"")</f>
        <v/>
      </c>
      <c r="B959" s="1">
        <v>46303</v>
      </c>
      <c r="C959" t="s">
        <v>25</v>
      </c>
      <c r="D959" s="1">
        <v>46303</v>
      </c>
      <c r="Q959" t="s">
        <v>67</v>
      </c>
      <c r="R959" t="str">
        <f>_xlfn.XLOOKUP(GERAL[[#This Row],[Dia]],U:U,V:V,"")</f>
        <v/>
      </c>
    </row>
    <row r="960" spans="1:18" hidden="1" x14ac:dyDescent="0.3">
      <c r="A960" t="str">
        <f>_xlfn.XLOOKUP(GERAL[[#This Row],[Dia]],U:U,T:T,"")</f>
        <v/>
      </c>
      <c r="B960" s="1">
        <v>46304</v>
      </c>
      <c r="C960" t="s">
        <v>26</v>
      </c>
      <c r="D960" s="1">
        <v>46304</v>
      </c>
      <c r="Q960" t="s">
        <v>67</v>
      </c>
      <c r="R960" t="str">
        <f>_xlfn.XLOOKUP(GERAL[[#This Row],[Dia]],U:U,V:V,"")</f>
        <v/>
      </c>
    </row>
    <row r="961" spans="1:18" hidden="1" x14ac:dyDescent="0.3">
      <c r="A961" t="str">
        <f>_xlfn.XLOOKUP(GERAL[[#This Row],[Dia]],U:U,T:T,"")</f>
        <v/>
      </c>
      <c r="B961" s="1">
        <v>46305</v>
      </c>
      <c r="C961" t="s">
        <v>16</v>
      </c>
      <c r="D961" s="1">
        <v>46305</v>
      </c>
      <c r="E961" t="s">
        <v>17</v>
      </c>
      <c r="Q961" t="s">
        <v>67</v>
      </c>
      <c r="R961" t="str">
        <f>_xlfn.XLOOKUP(GERAL[[#This Row],[Dia]],U:U,V:V,"")</f>
        <v/>
      </c>
    </row>
    <row r="962" spans="1:18" hidden="1" x14ac:dyDescent="0.3">
      <c r="A962" t="str">
        <f>_xlfn.XLOOKUP(GERAL[[#This Row],[Dia]],U:U,T:T,"")</f>
        <v/>
      </c>
      <c r="B962" s="1">
        <v>46306</v>
      </c>
      <c r="C962" t="s">
        <v>21</v>
      </c>
      <c r="D962" s="1">
        <v>46306</v>
      </c>
      <c r="E962" t="s">
        <v>17</v>
      </c>
      <c r="Q962" t="s">
        <v>67</v>
      </c>
      <c r="R962" t="str">
        <f>_xlfn.XLOOKUP(GERAL[[#This Row],[Dia]],U:U,V:V,"")</f>
        <v/>
      </c>
    </row>
    <row r="963" spans="1:18" hidden="1" x14ac:dyDescent="0.3">
      <c r="A963" t="str">
        <f>_xlfn.XLOOKUP(GERAL[[#This Row],[Dia]],U:U,T:T,"")</f>
        <v/>
      </c>
      <c r="B963" s="1">
        <v>46307</v>
      </c>
      <c r="C963" t="s">
        <v>22</v>
      </c>
      <c r="D963" s="1">
        <v>46307</v>
      </c>
      <c r="Q963" t="s">
        <v>67</v>
      </c>
      <c r="R963" t="str">
        <f>_xlfn.XLOOKUP(GERAL[[#This Row],[Dia]],U:U,V:V,"")</f>
        <v/>
      </c>
    </row>
    <row r="964" spans="1:18" hidden="1" x14ac:dyDescent="0.3">
      <c r="A964" t="str">
        <f>_xlfn.XLOOKUP(GERAL[[#This Row],[Dia]],U:U,T:T,"")</f>
        <v/>
      </c>
      <c r="B964" s="1">
        <v>46308</v>
      </c>
      <c r="C964" t="s">
        <v>23</v>
      </c>
      <c r="D964" s="1">
        <v>46308</v>
      </c>
      <c r="Q964" t="s">
        <v>67</v>
      </c>
      <c r="R964" t="str">
        <f>_xlfn.XLOOKUP(GERAL[[#This Row],[Dia]],U:U,V:V,"")</f>
        <v/>
      </c>
    </row>
    <row r="965" spans="1:18" hidden="1" x14ac:dyDescent="0.3">
      <c r="A965" t="str">
        <f>_xlfn.XLOOKUP(GERAL[[#This Row],[Dia]],U:U,T:T,"")</f>
        <v/>
      </c>
      <c r="B965" s="1">
        <v>46309</v>
      </c>
      <c r="C965" t="s">
        <v>24</v>
      </c>
      <c r="D965" s="1">
        <v>46309</v>
      </c>
      <c r="Q965" t="s">
        <v>67</v>
      </c>
      <c r="R965" t="str">
        <f>_xlfn.XLOOKUP(GERAL[[#This Row],[Dia]],U:U,V:V,"")</f>
        <v/>
      </c>
    </row>
    <row r="966" spans="1:18" hidden="1" x14ac:dyDescent="0.3">
      <c r="A966" t="str">
        <f>_xlfn.XLOOKUP(GERAL[[#This Row],[Dia]],U:U,T:T,"")</f>
        <v/>
      </c>
      <c r="B966" s="1">
        <v>46310</v>
      </c>
      <c r="C966" t="s">
        <v>25</v>
      </c>
      <c r="D966" s="1">
        <v>46310</v>
      </c>
      <c r="Q966" t="s">
        <v>67</v>
      </c>
      <c r="R966" t="str">
        <f>_xlfn.XLOOKUP(GERAL[[#This Row],[Dia]],U:U,V:V,"")</f>
        <v/>
      </c>
    </row>
    <row r="967" spans="1:18" hidden="1" x14ac:dyDescent="0.3">
      <c r="A967" t="str">
        <f>_xlfn.XLOOKUP(GERAL[[#This Row],[Dia]],U:U,T:T,"")</f>
        <v/>
      </c>
      <c r="B967" s="1">
        <v>46311</v>
      </c>
      <c r="C967" t="s">
        <v>26</v>
      </c>
      <c r="D967" s="1">
        <v>46311</v>
      </c>
      <c r="Q967" t="s">
        <v>67</v>
      </c>
      <c r="R967" t="str">
        <f>_xlfn.XLOOKUP(GERAL[[#This Row],[Dia]],U:U,V:V,"")</f>
        <v/>
      </c>
    </row>
    <row r="968" spans="1:18" hidden="1" x14ac:dyDescent="0.3">
      <c r="A968" t="str">
        <f>_xlfn.XLOOKUP(GERAL[[#This Row],[Dia]],U:U,T:T,"")</f>
        <v/>
      </c>
      <c r="B968" s="1">
        <v>46312</v>
      </c>
      <c r="C968" t="s">
        <v>16</v>
      </c>
      <c r="D968" s="1">
        <v>46312</v>
      </c>
      <c r="E968" t="s">
        <v>17</v>
      </c>
      <c r="Q968" t="s">
        <v>67</v>
      </c>
      <c r="R968" t="str">
        <f>_xlfn.XLOOKUP(GERAL[[#This Row],[Dia]],U:U,V:V,"")</f>
        <v/>
      </c>
    </row>
    <row r="969" spans="1:18" hidden="1" x14ac:dyDescent="0.3">
      <c r="A969" t="str">
        <f>_xlfn.XLOOKUP(GERAL[[#This Row],[Dia]],U:U,T:T,"")</f>
        <v/>
      </c>
      <c r="B969" s="1">
        <v>46313</v>
      </c>
      <c r="C969" t="s">
        <v>21</v>
      </c>
      <c r="D969" s="1">
        <v>46313</v>
      </c>
      <c r="E969" t="s">
        <v>17</v>
      </c>
      <c r="Q969" t="s">
        <v>67</v>
      </c>
      <c r="R969" t="str">
        <f>_xlfn.XLOOKUP(GERAL[[#This Row],[Dia]],U:U,V:V,"")</f>
        <v/>
      </c>
    </row>
    <row r="970" spans="1:18" hidden="1" x14ac:dyDescent="0.3">
      <c r="A970" t="str">
        <f>_xlfn.XLOOKUP(GERAL[[#This Row],[Dia]],U:U,T:T,"")</f>
        <v/>
      </c>
      <c r="B970" s="1">
        <v>46314</v>
      </c>
      <c r="C970" t="s">
        <v>22</v>
      </c>
      <c r="D970" s="1">
        <v>46314</v>
      </c>
      <c r="Q970" t="s">
        <v>67</v>
      </c>
      <c r="R970" t="str">
        <f>_xlfn.XLOOKUP(GERAL[[#This Row],[Dia]],U:U,V:V,"")</f>
        <v/>
      </c>
    </row>
    <row r="971" spans="1:18" hidden="1" x14ac:dyDescent="0.3">
      <c r="A971" t="str">
        <f>_xlfn.XLOOKUP(GERAL[[#This Row],[Dia]],U:U,T:T,"")</f>
        <v/>
      </c>
      <c r="B971" s="1">
        <v>46315</v>
      </c>
      <c r="C971" t="s">
        <v>23</v>
      </c>
      <c r="D971" s="1">
        <v>46315</v>
      </c>
      <c r="Q971" t="s">
        <v>67</v>
      </c>
      <c r="R971" t="str">
        <f>_xlfn.XLOOKUP(GERAL[[#This Row],[Dia]],U:U,V:V,"")</f>
        <v/>
      </c>
    </row>
    <row r="972" spans="1:18" hidden="1" x14ac:dyDescent="0.3">
      <c r="A972" t="str">
        <f>_xlfn.XLOOKUP(GERAL[[#This Row],[Dia]],U:U,T:T,"")</f>
        <v/>
      </c>
      <c r="B972" s="1">
        <v>46316</v>
      </c>
      <c r="C972" t="s">
        <v>24</v>
      </c>
      <c r="D972" s="1">
        <v>46316</v>
      </c>
      <c r="Q972" t="s">
        <v>67</v>
      </c>
      <c r="R972" t="str">
        <f>_xlfn.XLOOKUP(GERAL[[#This Row],[Dia]],U:U,V:V,"")</f>
        <v/>
      </c>
    </row>
    <row r="973" spans="1:18" hidden="1" x14ac:dyDescent="0.3">
      <c r="A973" t="str">
        <f>_xlfn.XLOOKUP(GERAL[[#This Row],[Dia]],U:U,T:T,"")</f>
        <v/>
      </c>
      <c r="B973" s="1">
        <v>46317</v>
      </c>
      <c r="C973" t="s">
        <v>25</v>
      </c>
      <c r="D973" s="1">
        <v>46317</v>
      </c>
      <c r="Q973" t="s">
        <v>67</v>
      </c>
      <c r="R973" t="str">
        <f>_xlfn.XLOOKUP(GERAL[[#This Row],[Dia]],U:U,V:V,"")</f>
        <v/>
      </c>
    </row>
    <row r="974" spans="1:18" hidden="1" x14ac:dyDescent="0.3">
      <c r="A974" t="str">
        <f>_xlfn.XLOOKUP(GERAL[[#This Row],[Dia]],U:U,T:T,"")</f>
        <v/>
      </c>
      <c r="B974" s="1">
        <v>46318</v>
      </c>
      <c r="C974" t="s">
        <v>26</v>
      </c>
      <c r="D974" s="1">
        <v>46318</v>
      </c>
      <c r="Q974" t="s">
        <v>67</v>
      </c>
      <c r="R974" t="str">
        <f>_xlfn.XLOOKUP(GERAL[[#This Row],[Dia]],U:U,V:V,"")</f>
        <v/>
      </c>
    </row>
    <row r="975" spans="1:18" hidden="1" x14ac:dyDescent="0.3">
      <c r="A975" t="str">
        <f>_xlfn.XLOOKUP(GERAL[[#This Row],[Dia]],U:U,T:T,"")</f>
        <v/>
      </c>
      <c r="B975" s="1">
        <v>46319</v>
      </c>
      <c r="C975" t="s">
        <v>16</v>
      </c>
      <c r="D975" s="1">
        <v>46319</v>
      </c>
      <c r="E975" t="s">
        <v>17</v>
      </c>
      <c r="Q975" t="s">
        <v>67</v>
      </c>
      <c r="R975" t="str">
        <f>_xlfn.XLOOKUP(GERAL[[#This Row],[Dia]],U:U,V:V,"")</f>
        <v/>
      </c>
    </row>
    <row r="976" spans="1:18" hidden="1" x14ac:dyDescent="0.3">
      <c r="A976" t="str">
        <f>_xlfn.XLOOKUP(GERAL[[#This Row],[Dia]],U:U,T:T,"")</f>
        <v/>
      </c>
      <c r="B976" s="1">
        <v>46320</v>
      </c>
      <c r="C976" t="s">
        <v>21</v>
      </c>
      <c r="D976" s="1">
        <v>46320</v>
      </c>
      <c r="E976" t="s">
        <v>17</v>
      </c>
      <c r="Q976" t="s">
        <v>67</v>
      </c>
      <c r="R976" t="str">
        <f>_xlfn.XLOOKUP(GERAL[[#This Row],[Dia]],U:U,V:V,"")</f>
        <v/>
      </c>
    </row>
    <row r="977" spans="1:18" hidden="1" x14ac:dyDescent="0.3">
      <c r="A977" t="str">
        <f>_xlfn.XLOOKUP(GERAL[[#This Row],[Dia]],U:U,T:T,"")</f>
        <v/>
      </c>
      <c r="B977" s="1">
        <v>46321</v>
      </c>
      <c r="C977" t="s">
        <v>22</v>
      </c>
      <c r="D977" s="1">
        <v>46321</v>
      </c>
      <c r="Q977" t="s">
        <v>67</v>
      </c>
      <c r="R977" t="str">
        <f>_xlfn.XLOOKUP(GERAL[[#This Row],[Dia]],U:U,V:V,"")</f>
        <v/>
      </c>
    </row>
    <row r="978" spans="1:18" hidden="1" x14ac:dyDescent="0.3">
      <c r="A978" t="str">
        <f>_xlfn.XLOOKUP(GERAL[[#This Row],[Dia]],U:U,T:T,"")</f>
        <v/>
      </c>
      <c r="B978" s="1">
        <v>46322</v>
      </c>
      <c r="C978" t="s">
        <v>23</v>
      </c>
      <c r="D978" s="1">
        <v>46322</v>
      </c>
      <c r="Q978" t="s">
        <v>67</v>
      </c>
      <c r="R978" t="str">
        <f>_xlfn.XLOOKUP(GERAL[[#This Row],[Dia]],U:U,V:V,"")</f>
        <v/>
      </c>
    </row>
    <row r="979" spans="1:18" hidden="1" x14ac:dyDescent="0.3">
      <c r="A979" t="str">
        <f>_xlfn.XLOOKUP(GERAL[[#This Row],[Dia]],U:U,T:T,"")</f>
        <v/>
      </c>
      <c r="B979" s="1">
        <v>46323</v>
      </c>
      <c r="C979" t="s">
        <v>24</v>
      </c>
      <c r="D979" s="1">
        <v>46323</v>
      </c>
      <c r="Q979" t="s">
        <v>67</v>
      </c>
      <c r="R979" t="str">
        <f>_xlfn.XLOOKUP(GERAL[[#This Row],[Dia]],U:U,V:V,"")</f>
        <v/>
      </c>
    </row>
    <row r="980" spans="1:18" hidden="1" x14ac:dyDescent="0.3">
      <c r="A980" t="str">
        <f>_xlfn.XLOOKUP(GERAL[[#This Row],[Dia]],U:U,T:T,"")</f>
        <v/>
      </c>
      <c r="B980" s="1">
        <v>46324</v>
      </c>
      <c r="C980" t="s">
        <v>25</v>
      </c>
      <c r="D980" s="1">
        <v>46324</v>
      </c>
      <c r="Q980" t="s">
        <v>67</v>
      </c>
      <c r="R980" t="str">
        <f>_xlfn.XLOOKUP(GERAL[[#This Row],[Dia]],U:U,V:V,"")</f>
        <v/>
      </c>
    </row>
    <row r="981" spans="1:18" hidden="1" x14ac:dyDescent="0.3">
      <c r="A981" t="str">
        <f>_xlfn.XLOOKUP(GERAL[[#This Row],[Dia]],U:U,T:T,"")</f>
        <v/>
      </c>
      <c r="B981" s="1">
        <v>46325</v>
      </c>
      <c r="C981" t="s">
        <v>26</v>
      </c>
      <c r="D981" s="1">
        <v>46325</v>
      </c>
      <c r="Q981" t="s">
        <v>67</v>
      </c>
      <c r="R981" t="str">
        <f>_xlfn.XLOOKUP(GERAL[[#This Row],[Dia]],U:U,V:V,"")</f>
        <v/>
      </c>
    </row>
    <row r="982" spans="1:18" hidden="1" x14ac:dyDescent="0.3">
      <c r="A982" t="str">
        <f>_xlfn.XLOOKUP(GERAL[[#This Row],[Dia]],U:U,T:T,"")</f>
        <v/>
      </c>
      <c r="B982" s="1">
        <v>46326</v>
      </c>
      <c r="C982" t="s">
        <v>16</v>
      </c>
      <c r="D982" s="1">
        <v>46326</v>
      </c>
      <c r="E982" t="s">
        <v>17</v>
      </c>
      <c r="Q982" t="s">
        <v>67</v>
      </c>
      <c r="R982" t="str">
        <f>_xlfn.XLOOKUP(GERAL[[#This Row],[Dia]],U:U,V:V,"")</f>
        <v/>
      </c>
    </row>
    <row r="983" spans="1:18" hidden="1" x14ac:dyDescent="0.3">
      <c r="A983" t="str">
        <f>_xlfn.XLOOKUP(GERAL[[#This Row],[Dia]],U:U,T:T,"")</f>
        <v/>
      </c>
      <c r="B983" s="1">
        <v>46327</v>
      </c>
      <c r="C983" t="s">
        <v>21</v>
      </c>
      <c r="D983" s="1">
        <v>46327</v>
      </c>
      <c r="E983" t="s">
        <v>17</v>
      </c>
      <c r="Q983" t="s">
        <v>67</v>
      </c>
      <c r="R983" t="str">
        <f>_xlfn.XLOOKUP(GERAL[[#This Row],[Dia]],U:U,V:V,"")</f>
        <v/>
      </c>
    </row>
    <row r="984" spans="1:18" hidden="1" x14ac:dyDescent="0.3">
      <c r="A984" t="str">
        <f>_xlfn.XLOOKUP(GERAL[[#This Row],[Dia]],U:U,T:T,"")</f>
        <v/>
      </c>
      <c r="B984" s="1">
        <v>46328</v>
      </c>
      <c r="C984" t="s">
        <v>22</v>
      </c>
      <c r="D984" s="1">
        <v>46328</v>
      </c>
      <c r="Q984" t="s">
        <v>67</v>
      </c>
      <c r="R984" t="str">
        <f>_xlfn.XLOOKUP(GERAL[[#This Row],[Dia]],U:U,V:V,"")</f>
        <v/>
      </c>
    </row>
    <row r="985" spans="1:18" hidden="1" x14ac:dyDescent="0.3">
      <c r="A985" t="str">
        <f>_xlfn.XLOOKUP(GERAL[[#This Row],[Dia]],U:U,T:T,"")</f>
        <v/>
      </c>
      <c r="B985" s="1">
        <v>46329</v>
      </c>
      <c r="C985" t="s">
        <v>23</v>
      </c>
      <c r="D985" s="1">
        <v>46329</v>
      </c>
      <c r="Q985" t="s">
        <v>67</v>
      </c>
      <c r="R985" t="str">
        <f>_xlfn.XLOOKUP(GERAL[[#This Row],[Dia]],U:U,V:V,"")</f>
        <v/>
      </c>
    </row>
    <row r="986" spans="1:18" hidden="1" x14ac:dyDescent="0.3">
      <c r="A986" t="str">
        <f>_xlfn.XLOOKUP(GERAL[[#This Row],[Dia]],U:U,T:T,"")</f>
        <v/>
      </c>
      <c r="B986" s="1">
        <v>46330</v>
      </c>
      <c r="C986" t="s">
        <v>24</v>
      </c>
      <c r="D986" s="1">
        <v>46330</v>
      </c>
      <c r="Q986" t="s">
        <v>67</v>
      </c>
      <c r="R986" t="str">
        <f>_xlfn.XLOOKUP(GERAL[[#This Row],[Dia]],U:U,V:V,"")</f>
        <v/>
      </c>
    </row>
    <row r="987" spans="1:18" hidden="1" x14ac:dyDescent="0.3">
      <c r="A987" t="str">
        <f>_xlfn.XLOOKUP(GERAL[[#This Row],[Dia]],U:U,T:T,"")</f>
        <v/>
      </c>
      <c r="B987" s="1">
        <v>46331</v>
      </c>
      <c r="C987" t="s">
        <v>25</v>
      </c>
      <c r="D987" s="1">
        <v>46331</v>
      </c>
      <c r="Q987" t="s">
        <v>67</v>
      </c>
      <c r="R987" t="str">
        <f>_xlfn.XLOOKUP(GERAL[[#This Row],[Dia]],U:U,V:V,"")</f>
        <v/>
      </c>
    </row>
    <row r="988" spans="1:18" hidden="1" x14ac:dyDescent="0.3">
      <c r="A988" t="str">
        <f>_xlfn.XLOOKUP(GERAL[[#This Row],[Dia]],U:U,T:T,"")</f>
        <v/>
      </c>
      <c r="B988" s="1">
        <v>46332</v>
      </c>
      <c r="C988" t="s">
        <v>26</v>
      </c>
      <c r="D988" s="1">
        <v>46332</v>
      </c>
      <c r="Q988" t="s">
        <v>67</v>
      </c>
      <c r="R988" t="str">
        <f>_xlfn.XLOOKUP(GERAL[[#This Row],[Dia]],U:U,V:V,"")</f>
        <v/>
      </c>
    </row>
    <row r="989" spans="1:18" hidden="1" x14ac:dyDescent="0.3">
      <c r="A989" t="str">
        <f>_xlfn.XLOOKUP(GERAL[[#This Row],[Dia]],U:U,T:T,"")</f>
        <v/>
      </c>
      <c r="B989" s="1">
        <v>46333</v>
      </c>
      <c r="C989" t="s">
        <v>16</v>
      </c>
      <c r="D989" s="1">
        <v>46333</v>
      </c>
      <c r="E989" t="s">
        <v>17</v>
      </c>
      <c r="Q989" t="s">
        <v>67</v>
      </c>
      <c r="R989" t="str">
        <f>_xlfn.XLOOKUP(GERAL[[#This Row],[Dia]],U:U,V:V,"")</f>
        <v/>
      </c>
    </row>
    <row r="990" spans="1:18" hidden="1" x14ac:dyDescent="0.3">
      <c r="A990" t="str">
        <f>_xlfn.XLOOKUP(GERAL[[#This Row],[Dia]],U:U,T:T,"")</f>
        <v/>
      </c>
      <c r="B990" s="1">
        <v>46334</v>
      </c>
      <c r="C990" t="s">
        <v>21</v>
      </c>
      <c r="D990" s="1">
        <v>46334</v>
      </c>
      <c r="E990" t="s">
        <v>17</v>
      </c>
      <c r="Q990" t="s">
        <v>67</v>
      </c>
      <c r="R990" t="str">
        <f>_xlfn.XLOOKUP(GERAL[[#This Row],[Dia]],U:U,V:V,"")</f>
        <v/>
      </c>
    </row>
    <row r="991" spans="1:18" hidden="1" x14ac:dyDescent="0.3">
      <c r="A991" t="str">
        <f>_xlfn.XLOOKUP(GERAL[[#This Row],[Dia]],U:U,T:T,"")</f>
        <v/>
      </c>
      <c r="B991" s="1">
        <v>46335</v>
      </c>
      <c r="C991" t="s">
        <v>22</v>
      </c>
      <c r="D991" s="1">
        <v>46335</v>
      </c>
      <c r="Q991" t="s">
        <v>67</v>
      </c>
      <c r="R991" t="str">
        <f>_xlfn.XLOOKUP(GERAL[[#This Row],[Dia]],U:U,V:V,"")</f>
        <v/>
      </c>
    </row>
    <row r="992" spans="1:18" hidden="1" x14ac:dyDescent="0.3">
      <c r="A992" t="str">
        <f>_xlfn.XLOOKUP(GERAL[[#This Row],[Dia]],U:U,T:T,"")</f>
        <v/>
      </c>
      <c r="B992" s="1">
        <v>46336</v>
      </c>
      <c r="C992" t="s">
        <v>23</v>
      </c>
      <c r="D992" s="1">
        <v>46336</v>
      </c>
      <c r="Q992" t="s">
        <v>67</v>
      </c>
      <c r="R992" t="str">
        <f>_xlfn.XLOOKUP(GERAL[[#This Row],[Dia]],U:U,V:V,"")</f>
        <v/>
      </c>
    </row>
    <row r="993" spans="1:18" hidden="1" x14ac:dyDescent="0.3">
      <c r="A993" t="str">
        <f>_xlfn.XLOOKUP(GERAL[[#This Row],[Dia]],U:U,T:T,"")</f>
        <v/>
      </c>
      <c r="B993" s="1">
        <v>46337</v>
      </c>
      <c r="C993" t="s">
        <v>24</v>
      </c>
      <c r="D993" s="1">
        <v>46337</v>
      </c>
      <c r="Q993" t="s">
        <v>67</v>
      </c>
      <c r="R993" t="str">
        <f>_xlfn.XLOOKUP(GERAL[[#This Row],[Dia]],U:U,V:V,"")</f>
        <v/>
      </c>
    </row>
    <row r="994" spans="1:18" hidden="1" x14ac:dyDescent="0.3">
      <c r="A994" t="str">
        <f>_xlfn.XLOOKUP(GERAL[[#This Row],[Dia]],U:U,T:T,"")</f>
        <v/>
      </c>
      <c r="B994" s="1">
        <v>46338</v>
      </c>
      <c r="C994" t="s">
        <v>25</v>
      </c>
      <c r="D994" s="1">
        <v>46338</v>
      </c>
      <c r="Q994" t="s">
        <v>67</v>
      </c>
      <c r="R994" t="str">
        <f>_xlfn.XLOOKUP(GERAL[[#This Row],[Dia]],U:U,V:V,"")</f>
        <v/>
      </c>
    </row>
    <row r="995" spans="1:18" hidden="1" x14ac:dyDescent="0.3">
      <c r="A995" t="str">
        <f>_xlfn.XLOOKUP(GERAL[[#This Row],[Dia]],U:U,T:T,"")</f>
        <v/>
      </c>
      <c r="B995" s="1">
        <v>46339</v>
      </c>
      <c r="C995" t="s">
        <v>26</v>
      </c>
      <c r="D995" s="1">
        <v>46339</v>
      </c>
      <c r="Q995" t="s">
        <v>67</v>
      </c>
      <c r="R995" t="str">
        <f>_xlfn.XLOOKUP(GERAL[[#This Row],[Dia]],U:U,V:V,"")</f>
        <v/>
      </c>
    </row>
    <row r="996" spans="1:18" hidden="1" x14ac:dyDescent="0.3">
      <c r="A996" t="str">
        <f>_xlfn.XLOOKUP(GERAL[[#This Row],[Dia]],U:U,T:T,"")</f>
        <v/>
      </c>
      <c r="B996" s="1">
        <v>46340</v>
      </c>
      <c r="C996" t="s">
        <v>16</v>
      </c>
      <c r="D996" s="1">
        <v>46340</v>
      </c>
      <c r="E996" t="s">
        <v>17</v>
      </c>
      <c r="Q996" t="s">
        <v>67</v>
      </c>
      <c r="R996" t="str">
        <f>_xlfn.XLOOKUP(GERAL[[#This Row],[Dia]],U:U,V:V,"")</f>
        <v/>
      </c>
    </row>
    <row r="997" spans="1:18" hidden="1" x14ac:dyDescent="0.3">
      <c r="A997" t="str">
        <f>_xlfn.XLOOKUP(GERAL[[#This Row],[Dia]],U:U,T:T,"")</f>
        <v/>
      </c>
      <c r="B997" s="1">
        <v>46341</v>
      </c>
      <c r="C997" t="s">
        <v>21</v>
      </c>
      <c r="D997" s="1">
        <v>46341</v>
      </c>
      <c r="E997" t="s">
        <v>17</v>
      </c>
      <c r="Q997" t="s">
        <v>67</v>
      </c>
      <c r="R997" t="str">
        <f>_xlfn.XLOOKUP(GERAL[[#This Row],[Dia]],U:U,V:V,"")</f>
        <v/>
      </c>
    </row>
    <row r="998" spans="1:18" hidden="1" x14ac:dyDescent="0.3">
      <c r="A998" t="str">
        <f>_xlfn.XLOOKUP(GERAL[[#This Row],[Dia]],U:U,T:T,"")</f>
        <v/>
      </c>
      <c r="B998" s="1">
        <v>46342</v>
      </c>
      <c r="C998" t="s">
        <v>22</v>
      </c>
      <c r="D998" s="1">
        <v>46342</v>
      </c>
      <c r="Q998" t="s">
        <v>67</v>
      </c>
      <c r="R998" t="str">
        <f>_xlfn.XLOOKUP(GERAL[[#This Row],[Dia]],U:U,V:V,"")</f>
        <v/>
      </c>
    </row>
    <row r="999" spans="1:18" hidden="1" x14ac:dyDescent="0.3">
      <c r="A999" t="str">
        <f>_xlfn.XLOOKUP(GERAL[[#This Row],[Dia]],U:U,T:T,"")</f>
        <v/>
      </c>
      <c r="B999" s="1">
        <v>46343</v>
      </c>
      <c r="C999" t="s">
        <v>23</v>
      </c>
      <c r="D999" s="1">
        <v>46343</v>
      </c>
      <c r="Q999" t="s">
        <v>67</v>
      </c>
      <c r="R999" t="str">
        <f>_xlfn.XLOOKUP(GERAL[[#This Row],[Dia]],U:U,V:V,"")</f>
        <v/>
      </c>
    </row>
    <row r="1000" spans="1:18" hidden="1" x14ac:dyDescent="0.3">
      <c r="A1000" t="str">
        <f>_xlfn.XLOOKUP(GERAL[[#This Row],[Dia]],U:U,T:T,"")</f>
        <v/>
      </c>
      <c r="B1000" s="1">
        <v>46344</v>
      </c>
      <c r="C1000" t="s">
        <v>24</v>
      </c>
      <c r="D1000" s="1">
        <v>46344</v>
      </c>
      <c r="Q1000" t="s">
        <v>67</v>
      </c>
      <c r="R1000" t="str">
        <f>_xlfn.XLOOKUP(GERAL[[#This Row],[Dia]],U:U,V:V,"")</f>
        <v/>
      </c>
    </row>
    <row r="1001" spans="1:18" hidden="1" x14ac:dyDescent="0.3">
      <c r="A1001" t="str">
        <f>_xlfn.XLOOKUP(GERAL[[#This Row],[Dia]],U:U,T:T,"")</f>
        <v/>
      </c>
      <c r="B1001" s="1">
        <v>46345</v>
      </c>
      <c r="C1001" t="s">
        <v>25</v>
      </c>
      <c r="D1001" s="1">
        <v>46345</v>
      </c>
      <c r="Q1001" t="s">
        <v>67</v>
      </c>
      <c r="R1001" t="str">
        <f>_xlfn.XLOOKUP(GERAL[[#This Row],[Dia]],U:U,V:V,"")</f>
        <v/>
      </c>
    </row>
    <row r="1002" spans="1:18" hidden="1" x14ac:dyDescent="0.3">
      <c r="A1002" t="str">
        <f>_xlfn.XLOOKUP(GERAL[[#This Row],[Dia]],U:U,T:T,"")</f>
        <v/>
      </c>
      <c r="B1002" s="1">
        <v>46346</v>
      </c>
      <c r="C1002" t="s">
        <v>26</v>
      </c>
      <c r="D1002" s="1">
        <v>46346</v>
      </c>
      <c r="Q1002" t="s">
        <v>67</v>
      </c>
      <c r="R1002" t="str">
        <f>_xlfn.XLOOKUP(GERAL[[#This Row],[Dia]],U:U,V:V,"")</f>
        <v/>
      </c>
    </row>
    <row r="1003" spans="1:18" hidden="1" x14ac:dyDescent="0.3">
      <c r="A1003" t="str">
        <f>_xlfn.XLOOKUP(GERAL[[#This Row],[Dia]],U:U,T:T,"")</f>
        <v/>
      </c>
      <c r="B1003" s="1">
        <v>46347</v>
      </c>
      <c r="C1003" t="s">
        <v>16</v>
      </c>
      <c r="D1003" s="1">
        <v>46347</v>
      </c>
      <c r="E1003" t="s">
        <v>17</v>
      </c>
      <c r="Q1003" t="s">
        <v>67</v>
      </c>
      <c r="R1003" t="str">
        <f>_xlfn.XLOOKUP(GERAL[[#This Row],[Dia]],U:U,V:V,"")</f>
        <v/>
      </c>
    </row>
    <row r="1004" spans="1:18" hidden="1" x14ac:dyDescent="0.3">
      <c r="A1004" t="str">
        <f>_xlfn.XLOOKUP(GERAL[[#This Row],[Dia]],U:U,T:T,"")</f>
        <v/>
      </c>
      <c r="B1004" s="1">
        <v>46348</v>
      </c>
      <c r="C1004" t="s">
        <v>21</v>
      </c>
      <c r="D1004" s="1">
        <v>46348</v>
      </c>
      <c r="E1004" t="s">
        <v>17</v>
      </c>
      <c r="Q1004" t="s">
        <v>67</v>
      </c>
      <c r="R1004" t="str">
        <f>_xlfn.XLOOKUP(GERAL[[#This Row],[Dia]],U:U,V:V,"")</f>
        <v/>
      </c>
    </row>
    <row r="1005" spans="1:18" hidden="1" x14ac:dyDescent="0.3">
      <c r="A1005" t="str">
        <f>_xlfn.XLOOKUP(GERAL[[#This Row],[Dia]],U:U,T:T,"")</f>
        <v/>
      </c>
      <c r="B1005" s="1">
        <v>46349</v>
      </c>
      <c r="C1005" t="s">
        <v>22</v>
      </c>
      <c r="D1005" s="1">
        <v>46349</v>
      </c>
      <c r="Q1005" t="s">
        <v>67</v>
      </c>
      <c r="R1005" t="str">
        <f>_xlfn.XLOOKUP(GERAL[[#This Row],[Dia]],U:U,V:V,"")</f>
        <v/>
      </c>
    </row>
    <row r="1006" spans="1:18" hidden="1" x14ac:dyDescent="0.3">
      <c r="A1006" t="str">
        <f>_xlfn.XLOOKUP(GERAL[[#This Row],[Dia]],U:U,T:T,"")</f>
        <v/>
      </c>
      <c r="B1006" s="1">
        <v>46350</v>
      </c>
      <c r="C1006" t="s">
        <v>23</v>
      </c>
      <c r="D1006" s="1">
        <v>46350</v>
      </c>
      <c r="Q1006" t="s">
        <v>67</v>
      </c>
      <c r="R1006" t="str">
        <f>_xlfn.XLOOKUP(GERAL[[#This Row],[Dia]],U:U,V:V,"")</f>
        <v/>
      </c>
    </row>
    <row r="1007" spans="1:18" hidden="1" x14ac:dyDescent="0.3">
      <c r="A1007" t="str">
        <f>_xlfn.XLOOKUP(GERAL[[#This Row],[Dia]],U:U,T:T,"")</f>
        <v/>
      </c>
      <c r="B1007" s="1">
        <v>46351</v>
      </c>
      <c r="C1007" t="s">
        <v>24</v>
      </c>
      <c r="D1007" s="1">
        <v>46351</v>
      </c>
      <c r="Q1007" t="s">
        <v>67</v>
      </c>
      <c r="R1007" t="str">
        <f>_xlfn.XLOOKUP(GERAL[[#This Row],[Dia]],U:U,V:V,"")</f>
        <v/>
      </c>
    </row>
    <row r="1008" spans="1:18" hidden="1" x14ac:dyDescent="0.3">
      <c r="A1008" t="str">
        <f>_xlfn.XLOOKUP(GERAL[[#This Row],[Dia]],U:U,T:T,"")</f>
        <v/>
      </c>
      <c r="B1008" s="1">
        <v>46352</v>
      </c>
      <c r="C1008" t="s">
        <v>25</v>
      </c>
      <c r="D1008" s="1">
        <v>46352</v>
      </c>
      <c r="Q1008" t="s">
        <v>67</v>
      </c>
      <c r="R1008" t="str">
        <f>_xlfn.XLOOKUP(GERAL[[#This Row],[Dia]],U:U,V:V,"")</f>
        <v/>
      </c>
    </row>
    <row r="1009" spans="1:18" hidden="1" x14ac:dyDescent="0.3">
      <c r="A1009" t="str">
        <f>_xlfn.XLOOKUP(GERAL[[#This Row],[Dia]],U:U,T:T,"")</f>
        <v/>
      </c>
      <c r="B1009" s="1">
        <v>46353</v>
      </c>
      <c r="C1009" t="s">
        <v>26</v>
      </c>
      <c r="D1009" s="1">
        <v>46353</v>
      </c>
      <c r="Q1009" t="s">
        <v>67</v>
      </c>
      <c r="R1009" t="str">
        <f>_xlfn.XLOOKUP(GERAL[[#This Row],[Dia]],U:U,V:V,"")</f>
        <v/>
      </c>
    </row>
    <row r="1010" spans="1:18" hidden="1" x14ac:dyDescent="0.3">
      <c r="A1010" t="str">
        <f>_xlfn.XLOOKUP(GERAL[[#This Row],[Dia]],U:U,T:T,"")</f>
        <v/>
      </c>
      <c r="B1010" s="1">
        <v>46354</v>
      </c>
      <c r="C1010" t="s">
        <v>16</v>
      </c>
      <c r="D1010" s="1">
        <v>46354</v>
      </c>
      <c r="E1010" t="s">
        <v>17</v>
      </c>
      <c r="Q1010" t="s">
        <v>67</v>
      </c>
      <c r="R1010" t="str">
        <f>_xlfn.XLOOKUP(GERAL[[#This Row],[Dia]],U:U,V:V,"")</f>
        <v/>
      </c>
    </row>
    <row r="1011" spans="1:18" hidden="1" x14ac:dyDescent="0.3">
      <c r="A1011" t="str">
        <f>_xlfn.XLOOKUP(GERAL[[#This Row],[Dia]],U:U,T:T,"")</f>
        <v/>
      </c>
      <c r="B1011" s="1">
        <v>46355</v>
      </c>
      <c r="C1011" t="s">
        <v>21</v>
      </c>
      <c r="D1011" s="1">
        <v>46355</v>
      </c>
      <c r="E1011" t="s">
        <v>17</v>
      </c>
      <c r="Q1011" t="s">
        <v>67</v>
      </c>
      <c r="R1011" t="str">
        <f>_xlfn.XLOOKUP(GERAL[[#This Row],[Dia]],U:U,V:V,"")</f>
        <v/>
      </c>
    </row>
    <row r="1012" spans="1:18" hidden="1" x14ac:dyDescent="0.3">
      <c r="A1012" t="str">
        <f>_xlfn.XLOOKUP(GERAL[[#This Row],[Dia]],U:U,T:T,"")</f>
        <v/>
      </c>
      <c r="B1012" s="1">
        <v>46356</v>
      </c>
      <c r="C1012" t="s">
        <v>22</v>
      </c>
      <c r="D1012" s="1">
        <v>46356</v>
      </c>
      <c r="Q1012" t="s">
        <v>67</v>
      </c>
      <c r="R1012" t="str">
        <f>_xlfn.XLOOKUP(GERAL[[#This Row],[Dia]],U:U,V:V,"")</f>
        <v/>
      </c>
    </row>
    <row r="1013" spans="1:18" hidden="1" x14ac:dyDescent="0.3">
      <c r="A1013" t="str">
        <f>_xlfn.XLOOKUP(GERAL[[#This Row],[Dia]],U:U,T:T,"")</f>
        <v/>
      </c>
      <c r="B1013" s="1">
        <v>46357</v>
      </c>
      <c r="C1013" t="s">
        <v>23</v>
      </c>
      <c r="D1013" s="1">
        <v>46357</v>
      </c>
      <c r="Q1013" t="s">
        <v>67</v>
      </c>
      <c r="R1013" t="str">
        <f>_xlfn.XLOOKUP(GERAL[[#This Row],[Dia]],U:U,V:V,"")</f>
        <v/>
      </c>
    </row>
    <row r="1014" spans="1:18" hidden="1" x14ac:dyDescent="0.3">
      <c r="A1014" t="str">
        <f>_xlfn.XLOOKUP(GERAL[[#This Row],[Dia]],U:U,T:T,"")</f>
        <v/>
      </c>
      <c r="B1014" s="1">
        <v>46358</v>
      </c>
      <c r="C1014" t="s">
        <v>24</v>
      </c>
      <c r="D1014" s="1">
        <v>46358</v>
      </c>
      <c r="Q1014" t="s">
        <v>67</v>
      </c>
      <c r="R1014" t="str">
        <f>_xlfn.XLOOKUP(GERAL[[#This Row],[Dia]],U:U,V:V,"")</f>
        <v/>
      </c>
    </row>
    <row r="1015" spans="1:18" hidden="1" x14ac:dyDescent="0.3">
      <c r="A1015" t="str">
        <f>_xlfn.XLOOKUP(GERAL[[#This Row],[Dia]],U:U,T:T,"")</f>
        <v/>
      </c>
      <c r="B1015" s="1">
        <v>46359</v>
      </c>
      <c r="C1015" t="s">
        <v>25</v>
      </c>
      <c r="D1015" s="1">
        <v>46359</v>
      </c>
      <c r="Q1015" t="s">
        <v>67</v>
      </c>
      <c r="R1015" t="str">
        <f>_xlfn.XLOOKUP(GERAL[[#This Row],[Dia]],U:U,V:V,"")</f>
        <v/>
      </c>
    </row>
    <row r="1016" spans="1:18" hidden="1" x14ac:dyDescent="0.3">
      <c r="A1016" t="str">
        <f>_xlfn.XLOOKUP(GERAL[[#This Row],[Dia]],U:U,T:T,"")</f>
        <v/>
      </c>
      <c r="B1016" s="1">
        <v>46360</v>
      </c>
      <c r="C1016" t="s">
        <v>26</v>
      </c>
      <c r="D1016" s="1">
        <v>46360</v>
      </c>
      <c r="Q1016" t="s">
        <v>67</v>
      </c>
      <c r="R1016" t="str">
        <f>_xlfn.XLOOKUP(GERAL[[#This Row],[Dia]],U:U,V:V,"")</f>
        <v/>
      </c>
    </row>
    <row r="1017" spans="1:18" hidden="1" x14ac:dyDescent="0.3">
      <c r="A1017" t="str">
        <f>_xlfn.XLOOKUP(GERAL[[#This Row],[Dia]],U:U,T:T,"")</f>
        <v/>
      </c>
      <c r="B1017" s="1">
        <v>46361</v>
      </c>
      <c r="C1017" t="s">
        <v>16</v>
      </c>
      <c r="D1017" s="1">
        <v>46361</v>
      </c>
      <c r="E1017" t="s">
        <v>17</v>
      </c>
      <c r="Q1017" t="s">
        <v>67</v>
      </c>
      <c r="R1017" t="str">
        <f>_xlfn.XLOOKUP(GERAL[[#This Row],[Dia]],U:U,V:V,"")</f>
        <v/>
      </c>
    </row>
    <row r="1018" spans="1:18" hidden="1" x14ac:dyDescent="0.3">
      <c r="A1018" t="str">
        <f>_xlfn.XLOOKUP(GERAL[[#This Row],[Dia]],U:U,T:T,"")</f>
        <v/>
      </c>
      <c r="B1018" s="1">
        <v>46362</v>
      </c>
      <c r="C1018" t="s">
        <v>21</v>
      </c>
      <c r="D1018" s="1">
        <v>46362</v>
      </c>
      <c r="E1018" t="s">
        <v>17</v>
      </c>
      <c r="Q1018" t="s">
        <v>67</v>
      </c>
      <c r="R1018" t="str">
        <f>_xlfn.XLOOKUP(GERAL[[#This Row],[Dia]],U:U,V:V,"")</f>
        <v/>
      </c>
    </row>
    <row r="1019" spans="1:18" hidden="1" x14ac:dyDescent="0.3">
      <c r="A1019" t="str">
        <f>_xlfn.XLOOKUP(GERAL[[#This Row],[Dia]],U:U,T:T,"")</f>
        <v/>
      </c>
      <c r="B1019" s="1">
        <v>46363</v>
      </c>
      <c r="C1019" t="s">
        <v>22</v>
      </c>
      <c r="D1019" s="1">
        <v>46363</v>
      </c>
      <c r="Q1019" t="s">
        <v>67</v>
      </c>
      <c r="R1019" t="str">
        <f>_xlfn.XLOOKUP(GERAL[[#This Row],[Dia]],U:U,V:V,"")</f>
        <v/>
      </c>
    </row>
    <row r="1020" spans="1:18" hidden="1" x14ac:dyDescent="0.3">
      <c r="A1020" t="str">
        <f>_xlfn.XLOOKUP(GERAL[[#This Row],[Dia]],U:U,T:T,"")</f>
        <v/>
      </c>
      <c r="B1020" s="1">
        <v>46364</v>
      </c>
      <c r="C1020" t="s">
        <v>23</v>
      </c>
      <c r="D1020" s="1">
        <v>46364</v>
      </c>
      <c r="Q1020" t="s">
        <v>67</v>
      </c>
      <c r="R1020" t="str">
        <f>_xlfn.XLOOKUP(GERAL[[#This Row],[Dia]],U:U,V:V,"")</f>
        <v/>
      </c>
    </row>
    <row r="1021" spans="1:18" hidden="1" x14ac:dyDescent="0.3">
      <c r="A1021" t="str">
        <f>_xlfn.XLOOKUP(GERAL[[#This Row],[Dia]],U:U,T:T,"")</f>
        <v/>
      </c>
      <c r="B1021" s="1">
        <v>46365</v>
      </c>
      <c r="C1021" t="s">
        <v>24</v>
      </c>
      <c r="D1021" s="1">
        <v>46365</v>
      </c>
      <c r="Q1021" t="s">
        <v>67</v>
      </c>
      <c r="R1021" t="str">
        <f>_xlfn.XLOOKUP(GERAL[[#This Row],[Dia]],U:U,V:V,"")</f>
        <v/>
      </c>
    </row>
    <row r="1022" spans="1:18" hidden="1" x14ac:dyDescent="0.3">
      <c r="A1022" t="str">
        <f>_xlfn.XLOOKUP(GERAL[[#This Row],[Dia]],U:U,T:T,"")</f>
        <v/>
      </c>
      <c r="B1022" s="1">
        <v>46366</v>
      </c>
      <c r="C1022" t="s">
        <v>25</v>
      </c>
      <c r="D1022" s="1">
        <v>46366</v>
      </c>
      <c r="Q1022" t="s">
        <v>67</v>
      </c>
      <c r="R1022" t="str">
        <f>_xlfn.XLOOKUP(GERAL[[#This Row],[Dia]],U:U,V:V,"")</f>
        <v/>
      </c>
    </row>
    <row r="1023" spans="1:18" hidden="1" x14ac:dyDescent="0.3">
      <c r="A1023" t="str">
        <f>_xlfn.XLOOKUP(GERAL[[#This Row],[Dia]],U:U,T:T,"")</f>
        <v/>
      </c>
      <c r="B1023" s="1">
        <v>46367</v>
      </c>
      <c r="C1023" t="s">
        <v>26</v>
      </c>
      <c r="D1023" s="1">
        <v>46367</v>
      </c>
      <c r="Q1023" t="s">
        <v>67</v>
      </c>
      <c r="R1023" t="str">
        <f>_xlfn.XLOOKUP(GERAL[[#This Row],[Dia]],U:U,V:V,"")</f>
        <v/>
      </c>
    </row>
    <row r="1024" spans="1:18" hidden="1" x14ac:dyDescent="0.3">
      <c r="A1024" t="str">
        <f>_xlfn.XLOOKUP(GERAL[[#This Row],[Dia]],U:U,T:T,"")</f>
        <v/>
      </c>
      <c r="B1024" s="1">
        <v>46368</v>
      </c>
      <c r="C1024" t="s">
        <v>16</v>
      </c>
      <c r="D1024" s="1">
        <v>46368</v>
      </c>
      <c r="E1024" t="s">
        <v>17</v>
      </c>
      <c r="Q1024" t="s">
        <v>67</v>
      </c>
      <c r="R1024" t="str">
        <f>_xlfn.XLOOKUP(GERAL[[#This Row],[Dia]],U:U,V:V,"")</f>
        <v/>
      </c>
    </row>
    <row r="1025" spans="1:18" hidden="1" x14ac:dyDescent="0.3">
      <c r="A1025" t="str">
        <f>_xlfn.XLOOKUP(GERAL[[#This Row],[Dia]],U:U,T:T,"")</f>
        <v/>
      </c>
      <c r="B1025" s="1">
        <v>46369</v>
      </c>
      <c r="C1025" t="s">
        <v>21</v>
      </c>
      <c r="D1025" s="1">
        <v>46369</v>
      </c>
      <c r="E1025" t="s">
        <v>17</v>
      </c>
      <c r="Q1025" t="s">
        <v>67</v>
      </c>
      <c r="R1025" t="str">
        <f>_xlfn.XLOOKUP(GERAL[[#This Row],[Dia]],U:U,V:V,"")</f>
        <v/>
      </c>
    </row>
    <row r="1026" spans="1:18" hidden="1" x14ac:dyDescent="0.3">
      <c r="A1026" t="str">
        <f>_xlfn.XLOOKUP(GERAL[[#This Row],[Dia]],U:U,T:T,"")</f>
        <v/>
      </c>
      <c r="B1026" s="1">
        <v>46370</v>
      </c>
      <c r="C1026" t="s">
        <v>22</v>
      </c>
      <c r="D1026" s="1">
        <v>46370</v>
      </c>
      <c r="Q1026" t="s">
        <v>67</v>
      </c>
      <c r="R1026" t="str">
        <f>_xlfn.XLOOKUP(GERAL[[#This Row],[Dia]],U:U,V:V,"")</f>
        <v/>
      </c>
    </row>
    <row r="1027" spans="1:18" hidden="1" x14ac:dyDescent="0.3">
      <c r="A1027" t="str">
        <f>_xlfn.XLOOKUP(GERAL[[#This Row],[Dia]],U:U,T:T,"")</f>
        <v/>
      </c>
      <c r="B1027" s="1">
        <v>46371</v>
      </c>
      <c r="C1027" t="s">
        <v>23</v>
      </c>
      <c r="D1027" s="1">
        <v>46371</v>
      </c>
      <c r="Q1027" t="s">
        <v>67</v>
      </c>
      <c r="R1027" t="str">
        <f>_xlfn.XLOOKUP(GERAL[[#This Row],[Dia]],U:U,V:V,"")</f>
        <v/>
      </c>
    </row>
    <row r="1028" spans="1:18" hidden="1" x14ac:dyDescent="0.3">
      <c r="A1028" t="str">
        <f>_xlfn.XLOOKUP(GERAL[[#This Row],[Dia]],U:U,T:T,"")</f>
        <v/>
      </c>
      <c r="B1028" s="1">
        <v>46372</v>
      </c>
      <c r="C1028" t="s">
        <v>24</v>
      </c>
      <c r="D1028" s="1">
        <v>46372</v>
      </c>
      <c r="Q1028" t="s">
        <v>67</v>
      </c>
      <c r="R1028" t="str">
        <f>_xlfn.XLOOKUP(GERAL[[#This Row],[Dia]],U:U,V:V,"")</f>
        <v/>
      </c>
    </row>
    <row r="1029" spans="1:18" hidden="1" x14ac:dyDescent="0.3">
      <c r="A1029" t="str">
        <f>_xlfn.XLOOKUP(GERAL[[#This Row],[Dia]],U:U,T:T,"")</f>
        <v/>
      </c>
      <c r="B1029" s="1">
        <v>46373</v>
      </c>
      <c r="C1029" t="s">
        <v>25</v>
      </c>
      <c r="D1029" s="1">
        <v>46373</v>
      </c>
      <c r="Q1029" t="s">
        <v>67</v>
      </c>
      <c r="R1029" t="str">
        <f>_xlfn.XLOOKUP(GERAL[[#This Row],[Dia]],U:U,V:V,"")</f>
        <v/>
      </c>
    </row>
    <row r="1030" spans="1:18" hidden="1" x14ac:dyDescent="0.3">
      <c r="A1030" t="str">
        <f>_xlfn.XLOOKUP(GERAL[[#This Row],[Dia]],U:U,T:T,"")</f>
        <v/>
      </c>
      <c r="B1030" s="1">
        <v>46374</v>
      </c>
      <c r="C1030" t="s">
        <v>26</v>
      </c>
      <c r="D1030" s="1">
        <v>46374</v>
      </c>
      <c r="Q1030" t="s">
        <v>67</v>
      </c>
      <c r="R1030" t="str">
        <f>_xlfn.XLOOKUP(GERAL[[#This Row],[Dia]],U:U,V:V,"")</f>
        <v/>
      </c>
    </row>
    <row r="1031" spans="1:18" hidden="1" x14ac:dyDescent="0.3">
      <c r="A1031" t="str">
        <f>_xlfn.XLOOKUP(GERAL[[#This Row],[Dia]],U:U,T:T,"")</f>
        <v/>
      </c>
      <c r="B1031" s="1">
        <v>46375</v>
      </c>
      <c r="C1031" t="s">
        <v>16</v>
      </c>
      <c r="D1031" s="1">
        <v>46375</v>
      </c>
      <c r="E1031" t="s">
        <v>17</v>
      </c>
      <c r="Q1031" t="s">
        <v>67</v>
      </c>
      <c r="R1031" t="str">
        <f>_xlfn.XLOOKUP(GERAL[[#This Row],[Dia]],U:U,V:V,"")</f>
        <v/>
      </c>
    </row>
    <row r="1032" spans="1:18" hidden="1" x14ac:dyDescent="0.3">
      <c r="A1032" t="str">
        <f>_xlfn.XLOOKUP(GERAL[[#This Row],[Dia]],U:U,T:T,"")</f>
        <v/>
      </c>
      <c r="B1032" s="1">
        <v>46376</v>
      </c>
      <c r="C1032" t="s">
        <v>21</v>
      </c>
      <c r="D1032" s="1">
        <v>46376</v>
      </c>
      <c r="E1032" t="s">
        <v>17</v>
      </c>
      <c r="Q1032" t="s">
        <v>67</v>
      </c>
      <c r="R1032" t="str">
        <f>_xlfn.XLOOKUP(GERAL[[#This Row],[Dia]],U:U,V:V,"")</f>
        <v/>
      </c>
    </row>
    <row r="1033" spans="1:18" hidden="1" x14ac:dyDescent="0.3">
      <c r="A1033" t="str">
        <f>_xlfn.XLOOKUP(GERAL[[#This Row],[Dia]],U:U,T:T,"")</f>
        <v/>
      </c>
      <c r="B1033" s="1">
        <v>46377</v>
      </c>
      <c r="C1033" t="s">
        <v>22</v>
      </c>
      <c r="D1033" s="1">
        <v>46377</v>
      </c>
      <c r="Q1033" t="s">
        <v>67</v>
      </c>
      <c r="R1033" t="str">
        <f>_xlfn.XLOOKUP(GERAL[[#This Row],[Dia]],U:U,V:V,"")</f>
        <v/>
      </c>
    </row>
    <row r="1034" spans="1:18" hidden="1" x14ac:dyDescent="0.3">
      <c r="A1034" t="str">
        <f>_xlfn.XLOOKUP(GERAL[[#This Row],[Dia]],U:U,T:T,"")</f>
        <v/>
      </c>
      <c r="B1034" s="1">
        <v>46378</v>
      </c>
      <c r="C1034" t="s">
        <v>23</v>
      </c>
      <c r="D1034" s="1">
        <v>46378</v>
      </c>
      <c r="Q1034" t="s">
        <v>67</v>
      </c>
      <c r="R1034" t="str">
        <f>_xlfn.XLOOKUP(GERAL[[#This Row],[Dia]],U:U,V:V,"")</f>
        <v/>
      </c>
    </row>
    <row r="1035" spans="1:18" hidden="1" x14ac:dyDescent="0.3">
      <c r="A1035" t="str">
        <f>_xlfn.XLOOKUP(GERAL[[#This Row],[Dia]],U:U,T:T,"")</f>
        <v/>
      </c>
      <c r="B1035" s="1">
        <v>46379</v>
      </c>
      <c r="C1035" t="s">
        <v>24</v>
      </c>
      <c r="D1035" s="1">
        <v>46379</v>
      </c>
      <c r="Q1035" t="s">
        <v>67</v>
      </c>
      <c r="R1035" t="str">
        <f>_xlfn.XLOOKUP(GERAL[[#This Row],[Dia]],U:U,V:V,"")</f>
        <v/>
      </c>
    </row>
    <row r="1036" spans="1:18" hidden="1" x14ac:dyDescent="0.3">
      <c r="A1036" t="str">
        <f>_xlfn.XLOOKUP(GERAL[[#This Row],[Dia]],U:U,T:T,"")</f>
        <v/>
      </c>
      <c r="B1036" s="1">
        <v>46380</v>
      </c>
      <c r="C1036" t="s">
        <v>25</v>
      </c>
      <c r="D1036" s="1">
        <v>46380</v>
      </c>
      <c r="Q1036" t="s">
        <v>67</v>
      </c>
      <c r="R1036" t="str">
        <f>_xlfn.XLOOKUP(GERAL[[#This Row],[Dia]],U:U,V:V,"")</f>
        <v/>
      </c>
    </row>
    <row r="1037" spans="1:18" hidden="1" x14ac:dyDescent="0.3">
      <c r="A1037" t="str">
        <f>_xlfn.XLOOKUP(GERAL[[#This Row],[Dia]],U:U,T:T,"")</f>
        <v/>
      </c>
      <c r="B1037" s="1">
        <v>46381</v>
      </c>
      <c r="C1037" t="s">
        <v>26</v>
      </c>
      <c r="D1037" s="1">
        <v>46381</v>
      </c>
      <c r="Q1037" t="s">
        <v>67</v>
      </c>
      <c r="R1037" t="str">
        <f>_xlfn.XLOOKUP(GERAL[[#This Row],[Dia]],U:U,V:V,"")</f>
        <v/>
      </c>
    </row>
    <row r="1038" spans="1:18" hidden="1" x14ac:dyDescent="0.3">
      <c r="A1038" t="str">
        <f>_xlfn.XLOOKUP(GERAL[[#This Row],[Dia]],U:U,T:T,"")</f>
        <v/>
      </c>
      <c r="B1038" s="1">
        <v>46382</v>
      </c>
      <c r="C1038" t="s">
        <v>16</v>
      </c>
      <c r="D1038" s="1">
        <v>46382</v>
      </c>
      <c r="E1038" t="s">
        <v>17</v>
      </c>
      <c r="Q1038" t="s">
        <v>67</v>
      </c>
      <c r="R1038" t="str">
        <f>_xlfn.XLOOKUP(GERAL[[#This Row],[Dia]],U:U,V:V,"")</f>
        <v/>
      </c>
    </row>
    <row r="1039" spans="1:18" hidden="1" x14ac:dyDescent="0.3">
      <c r="A1039" t="str">
        <f>_xlfn.XLOOKUP(GERAL[[#This Row],[Dia]],U:U,T:T,"")</f>
        <v/>
      </c>
      <c r="B1039" s="1">
        <v>46383</v>
      </c>
      <c r="C1039" t="s">
        <v>21</v>
      </c>
      <c r="D1039" s="1">
        <v>46383</v>
      </c>
      <c r="E1039" t="s">
        <v>17</v>
      </c>
      <c r="Q1039" t="s">
        <v>67</v>
      </c>
      <c r="R1039" t="str">
        <f>_xlfn.XLOOKUP(GERAL[[#This Row],[Dia]],U:U,V:V,"")</f>
        <v/>
      </c>
    </row>
    <row r="1040" spans="1:18" hidden="1" x14ac:dyDescent="0.3">
      <c r="A1040" t="str">
        <f>_xlfn.XLOOKUP(GERAL[[#This Row],[Dia]],U:U,T:T,"")</f>
        <v/>
      </c>
      <c r="B1040" s="1">
        <v>46384</v>
      </c>
      <c r="C1040" t="s">
        <v>22</v>
      </c>
      <c r="D1040" s="1">
        <v>46384</v>
      </c>
      <c r="Q1040" t="s">
        <v>67</v>
      </c>
      <c r="R1040" t="str">
        <f>_xlfn.XLOOKUP(GERAL[[#This Row],[Dia]],U:U,V:V,"")</f>
        <v/>
      </c>
    </row>
    <row r="1041" spans="1:18" hidden="1" x14ac:dyDescent="0.3">
      <c r="A1041" t="str">
        <f>_xlfn.XLOOKUP(GERAL[[#This Row],[Dia]],U:U,T:T,"")</f>
        <v/>
      </c>
      <c r="B1041" s="1">
        <v>46385</v>
      </c>
      <c r="C1041" t="s">
        <v>23</v>
      </c>
      <c r="D1041" s="1">
        <v>46385</v>
      </c>
      <c r="Q1041" t="s">
        <v>67</v>
      </c>
      <c r="R1041" t="str">
        <f>_xlfn.XLOOKUP(GERAL[[#This Row],[Dia]],U:U,V:V,"")</f>
        <v/>
      </c>
    </row>
    <row r="1042" spans="1:18" hidden="1" x14ac:dyDescent="0.3">
      <c r="A1042" t="str">
        <f>_xlfn.XLOOKUP(GERAL[[#This Row],[Dia]],U:U,T:T,"")</f>
        <v/>
      </c>
      <c r="B1042" s="1">
        <v>46386</v>
      </c>
      <c r="C1042" t="s">
        <v>24</v>
      </c>
      <c r="D1042" s="1">
        <v>46386</v>
      </c>
      <c r="Q1042" t="s">
        <v>67</v>
      </c>
      <c r="R1042" t="str">
        <f>_xlfn.XLOOKUP(GERAL[[#This Row],[Dia]],U:U,V:V,"")</f>
        <v/>
      </c>
    </row>
    <row r="1043" spans="1:18" hidden="1" x14ac:dyDescent="0.3">
      <c r="A1043" t="str">
        <f>_xlfn.XLOOKUP(GERAL[[#This Row],[Dia]],U:U,T:T,"")</f>
        <v/>
      </c>
      <c r="B1043" s="1">
        <v>46387</v>
      </c>
      <c r="C1043" t="s">
        <v>25</v>
      </c>
      <c r="D1043" s="1">
        <v>46387</v>
      </c>
      <c r="Q1043" t="s">
        <v>67</v>
      </c>
      <c r="R1043" t="str">
        <f>_xlfn.XLOOKUP(GERAL[[#This Row],[Dia]],U:U,V:V,"")</f>
        <v/>
      </c>
    </row>
    <row r="1044" spans="1:18" hidden="1" x14ac:dyDescent="0.3">
      <c r="A1044" t="str">
        <f>_xlfn.XLOOKUP(GERAL[[#This Row],[Dia]],U:U,T:T,"")</f>
        <v/>
      </c>
      <c r="B1044" s="1">
        <v>46388</v>
      </c>
      <c r="C1044" t="s">
        <v>26</v>
      </c>
      <c r="D1044" s="1">
        <v>46388</v>
      </c>
      <c r="Q1044" t="s">
        <v>67</v>
      </c>
      <c r="R1044" t="str">
        <f>_xlfn.XLOOKUP(GERAL[[#This Row],[Dia]],U:U,V:V,"")</f>
        <v/>
      </c>
    </row>
    <row r="1045" spans="1:18" hidden="1" x14ac:dyDescent="0.3">
      <c r="A1045" t="str">
        <f>_xlfn.XLOOKUP(GERAL[[#This Row],[Dia]],U:U,T:T,"")</f>
        <v/>
      </c>
      <c r="B1045" s="1">
        <v>46389</v>
      </c>
      <c r="C1045" t="s">
        <v>16</v>
      </c>
      <c r="D1045" s="1">
        <v>46389</v>
      </c>
      <c r="E1045" t="s">
        <v>17</v>
      </c>
      <c r="Q1045" t="s">
        <v>67</v>
      </c>
      <c r="R1045" t="str">
        <f>_xlfn.XLOOKUP(GERAL[[#This Row],[Dia]],U:U,V:V,"")</f>
        <v/>
      </c>
    </row>
    <row r="1046" spans="1:18" hidden="1" x14ac:dyDescent="0.3">
      <c r="A1046" t="str">
        <f>_xlfn.XLOOKUP(GERAL[[#This Row],[Dia]],U:U,T:T,"")</f>
        <v/>
      </c>
      <c r="B1046" s="1">
        <v>46390</v>
      </c>
      <c r="C1046" t="s">
        <v>21</v>
      </c>
      <c r="D1046" s="1">
        <v>46390</v>
      </c>
      <c r="E1046" t="s">
        <v>17</v>
      </c>
      <c r="Q1046" t="s">
        <v>67</v>
      </c>
      <c r="R1046" t="str">
        <f>_xlfn.XLOOKUP(GERAL[[#This Row],[Dia]],U:U,V:V,"")</f>
        <v/>
      </c>
    </row>
    <row r="1047" spans="1:18" hidden="1" x14ac:dyDescent="0.3">
      <c r="A1047" t="str">
        <f>_xlfn.XLOOKUP(GERAL[[#This Row],[Dia]],U:U,T:T,"")</f>
        <v/>
      </c>
      <c r="B1047" s="1">
        <v>46391</v>
      </c>
      <c r="C1047" t="s">
        <v>22</v>
      </c>
      <c r="D1047" s="1">
        <v>46391</v>
      </c>
      <c r="Q1047" t="s">
        <v>67</v>
      </c>
      <c r="R1047" t="str">
        <f>_xlfn.XLOOKUP(GERAL[[#This Row],[Dia]],U:U,V:V,"")</f>
        <v/>
      </c>
    </row>
    <row r="1048" spans="1:18" hidden="1" x14ac:dyDescent="0.3">
      <c r="A1048" t="str">
        <f>_xlfn.XLOOKUP(GERAL[[#This Row],[Dia]],U:U,T:T,"")</f>
        <v/>
      </c>
      <c r="B1048" s="1">
        <v>46392</v>
      </c>
      <c r="C1048" t="s">
        <v>23</v>
      </c>
      <c r="D1048" s="1">
        <v>46392</v>
      </c>
      <c r="Q1048" t="s">
        <v>67</v>
      </c>
      <c r="R1048" t="str">
        <f>_xlfn.XLOOKUP(GERAL[[#This Row],[Dia]],U:U,V:V,"")</f>
        <v/>
      </c>
    </row>
    <row r="1049" spans="1:18" hidden="1" x14ac:dyDescent="0.3">
      <c r="A1049" t="str">
        <f>_xlfn.XLOOKUP(GERAL[[#This Row],[Dia]],U:U,T:T,"")</f>
        <v/>
      </c>
      <c r="B1049" s="1">
        <v>46393</v>
      </c>
      <c r="C1049" t="s">
        <v>24</v>
      </c>
      <c r="D1049" s="1">
        <v>46393</v>
      </c>
      <c r="Q1049" t="s">
        <v>67</v>
      </c>
      <c r="R1049" t="str">
        <f>_xlfn.XLOOKUP(GERAL[[#This Row],[Dia]],U:U,V:V,"")</f>
        <v/>
      </c>
    </row>
    <row r="1050" spans="1:18" hidden="1" x14ac:dyDescent="0.3">
      <c r="A1050" t="str">
        <f>_xlfn.XLOOKUP(GERAL[[#This Row],[Dia]],U:U,T:T,"")</f>
        <v/>
      </c>
      <c r="B1050" s="1">
        <v>46394</v>
      </c>
      <c r="C1050" t="s">
        <v>25</v>
      </c>
      <c r="D1050" s="1">
        <v>46394</v>
      </c>
      <c r="Q1050" t="s">
        <v>67</v>
      </c>
      <c r="R1050" t="str">
        <f>_xlfn.XLOOKUP(GERAL[[#This Row],[Dia]],U:U,V:V,"")</f>
        <v/>
      </c>
    </row>
    <row r="1051" spans="1:18" hidden="1" x14ac:dyDescent="0.3">
      <c r="A1051" t="str">
        <f>_xlfn.XLOOKUP(GERAL[[#This Row],[Dia]],U:U,T:T,"")</f>
        <v/>
      </c>
      <c r="B1051" s="1">
        <v>46395</v>
      </c>
      <c r="C1051" t="s">
        <v>26</v>
      </c>
      <c r="D1051" s="1">
        <v>46395</v>
      </c>
      <c r="Q1051" t="s">
        <v>67</v>
      </c>
      <c r="R1051" t="str">
        <f>_xlfn.XLOOKUP(GERAL[[#This Row],[Dia]],U:U,V:V,"")</f>
        <v/>
      </c>
    </row>
    <row r="1052" spans="1:18" hidden="1" x14ac:dyDescent="0.3">
      <c r="A1052" t="str">
        <f>_xlfn.XLOOKUP(GERAL[[#This Row],[Dia]],U:U,T:T,"")</f>
        <v/>
      </c>
      <c r="B1052" s="1">
        <v>46396</v>
      </c>
      <c r="C1052" t="s">
        <v>16</v>
      </c>
      <c r="D1052" s="1">
        <v>46396</v>
      </c>
      <c r="E1052" t="s">
        <v>17</v>
      </c>
      <c r="Q1052" t="s">
        <v>67</v>
      </c>
      <c r="R1052" t="str">
        <f>_xlfn.XLOOKUP(GERAL[[#This Row],[Dia]],U:U,V:V,"")</f>
        <v/>
      </c>
    </row>
    <row r="1053" spans="1:18" hidden="1" x14ac:dyDescent="0.3">
      <c r="A1053" t="str">
        <f>_xlfn.XLOOKUP(GERAL[[#This Row],[Dia]],U:U,T:T,"")</f>
        <v/>
      </c>
      <c r="B1053" s="1">
        <v>46397</v>
      </c>
      <c r="C1053" t="s">
        <v>21</v>
      </c>
      <c r="D1053" s="1">
        <v>46397</v>
      </c>
      <c r="E1053" t="s">
        <v>17</v>
      </c>
      <c r="Q1053" t="s">
        <v>67</v>
      </c>
      <c r="R1053" t="str">
        <f>_xlfn.XLOOKUP(GERAL[[#This Row],[Dia]],U:U,V:V,"")</f>
        <v/>
      </c>
    </row>
    <row r="1054" spans="1:18" hidden="1" x14ac:dyDescent="0.3">
      <c r="A1054" t="str">
        <f>_xlfn.XLOOKUP(GERAL[[#This Row],[Dia]],U:U,T:T,"")</f>
        <v/>
      </c>
      <c r="B1054" s="1">
        <v>46398</v>
      </c>
      <c r="C1054" t="s">
        <v>22</v>
      </c>
      <c r="D1054" s="1">
        <v>46398</v>
      </c>
      <c r="Q1054" t="s">
        <v>67</v>
      </c>
      <c r="R1054" t="str">
        <f>_xlfn.XLOOKUP(GERAL[[#This Row],[Dia]],U:U,V:V,"")</f>
        <v/>
      </c>
    </row>
    <row r="1055" spans="1:18" hidden="1" x14ac:dyDescent="0.3">
      <c r="A1055" t="str">
        <f>_xlfn.XLOOKUP(GERAL[[#This Row],[Dia]],U:U,T:T,"")</f>
        <v/>
      </c>
      <c r="B1055" s="1">
        <v>46399</v>
      </c>
      <c r="C1055" t="s">
        <v>23</v>
      </c>
      <c r="D1055" s="1">
        <v>46399</v>
      </c>
      <c r="Q1055" t="s">
        <v>67</v>
      </c>
      <c r="R1055" t="str">
        <f>_xlfn.XLOOKUP(GERAL[[#This Row],[Dia]],U:U,V:V,"")</f>
        <v/>
      </c>
    </row>
    <row r="1056" spans="1:18" hidden="1" x14ac:dyDescent="0.3">
      <c r="A1056" t="str">
        <f>_xlfn.XLOOKUP(GERAL[[#This Row],[Dia]],U:U,T:T,"")</f>
        <v/>
      </c>
      <c r="B1056" s="1">
        <v>46400</v>
      </c>
      <c r="C1056" t="s">
        <v>24</v>
      </c>
      <c r="D1056" s="1">
        <v>46400</v>
      </c>
      <c r="Q1056" t="s">
        <v>67</v>
      </c>
      <c r="R1056" t="str">
        <f>_xlfn.XLOOKUP(GERAL[[#This Row],[Dia]],U:U,V:V,"")</f>
        <v/>
      </c>
    </row>
    <row r="1057" spans="1:18" hidden="1" x14ac:dyDescent="0.3">
      <c r="A1057" t="str">
        <f>_xlfn.XLOOKUP(GERAL[[#This Row],[Dia]],U:U,T:T,"")</f>
        <v/>
      </c>
      <c r="B1057" s="1">
        <v>46401</v>
      </c>
      <c r="C1057" t="s">
        <v>25</v>
      </c>
      <c r="D1057" s="1">
        <v>46401</v>
      </c>
      <c r="Q1057" t="s">
        <v>67</v>
      </c>
      <c r="R1057" t="str">
        <f>_xlfn.XLOOKUP(GERAL[[#This Row],[Dia]],U:U,V:V,"")</f>
        <v/>
      </c>
    </row>
    <row r="1058" spans="1:18" hidden="1" x14ac:dyDescent="0.3">
      <c r="A1058" t="str">
        <f>_xlfn.XLOOKUP(GERAL[[#This Row],[Dia]],U:U,T:T,"")</f>
        <v/>
      </c>
      <c r="B1058" s="1">
        <v>46402</v>
      </c>
      <c r="C1058" t="s">
        <v>26</v>
      </c>
      <c r="D1058" s="1">
        <v>46402</v>
      </c>
      <c r="Q1058" t="s">
        <v>67</v>
      </c>
      <c r="R1058" t="str">
        <f>_xlfn.XLOOKUP(GERAL[[#This Row],[Dia]],U:U,V:V,"")</f>
        <v/>
      </c>
    </row>
    <row r="1059" spans="1:18" hidden="1" x14ac:dyDescent="0.3">
      <c r="A1059" t="str">
        <f>_xlfn.XLOOKUP(GERAL[[#This Row],[Dia]],U:U,T:T,"")</f>
        <v/>
      </c>
      <c r="B1059" s="1">
        <v>46403</v>
      </c>
      <c r="C1059" t="s">
        <v>16</v>
      </c>
      <c r="D1059" s="1">
        <v>46403</v>
      </c>
      <c r="E1059" t="s">
        <v>17</v>
      </c>
      <c r="Q1059" t="s">
        <v>67</v>
      </c>
      <c r="R1059" t="str">
        <f>_xlfn.XLOOKUP(GERAL[[#This Row],[Dia]],U:U,V:V,"")</f>
        <v/>
      </c>
    </row>
    <row r="1060" spans="1:18" hidden="1" x14ac:dyDescent="0.3">
      <c r="A1060" t="str">
        <f>_xlfn.XLOOKUP(GERAL[[#This Row],[Dia]],U:U,T:T,"")</f>
        <v/>
      </c>
      <c r="B1060" s="1">
        <v>46404</v>
      </c>
      <c r="C1060" t="s">
        <v>21</v>
      </c>
      <c r="D1060" s="1">
        <v>46404</v>
      </c>
      <c r="E1060" t="s">
        <v>17</v>
      </c>
      <c r="Q1060" t="s">
        <v>67</v>
      </c>
      <c r="R1060" t="str">
        <f>_xlfn.XLOOKUP(GERAL[[#This Row],[Dia]],U:U,V:V,"")</f>
        <v/>
      </c>
    </row>
    <row r="1061" spans="1:18" hidden="1" x14ac:dyDescent="0.3">
      <c r="A1061" t="str">
        <f>_xlfn.XLOOKUP(GERAL[[#This Row],[Dia]],U:U,T:T,"")</f>
        <v/>
      </c>
      <c r="B1061" s="1">
        <v>46405</v>
      </c>
      <c r="C1061" t="s">
        <v>22</v>
      </c>
      <c r="D1061" s="1">
        <v>46405</v>
      </c>
      <c r="Q1061" t="s">
        <v>67</v>
      </c>
      <c r="R1061" t="str">
        <f>_xlfn.XLOOKUP(GERAL[[#This Row],[Dia]],U:U,V:V,"")</f>
        <v/>
      </c>
    </row>
    <row r="1062" spans="1:18" hidden="1" x14ac:dyDescent="0.3">
      <c r="A1062" t="str">
        <f>_xlfn.XLOOKUP(GERAL[[#This Row],[Dia]],U:U,T:T,"")</f>
        <v/>
      </c>
      <c r="B1062" s="1">
        <v>46406</v>
      </c>
      <c r="C1062" t="s">
        <v>23</v>
      </c>
      <c r="D1062" s="1">
        <v>46406</v>
      </c>
      <c r="Q1062" t="s">
        <v>67</v>
      </c>
      <c r="R1062" t="str">
        <f>_xlfn.XLOOKUP(GERAL[[#This Row],[Dia]],U:U,V:V,"")</f>
        <v/>
      </c>
    </row>
    <row r="1063" spans="1:18" hidden="1" x14ac:dyDescent="0.3">
      <c r="A1063" t="str">
        <f>_xlfn.XLOOKUP(GERAL[[#This Row],[Dia]],U:U,T:T,"")</f>
        <v/>
      </c>
      <c r="B1063" s="1">
        <v>46407</v>
      </c>
      <c r="C1063" t="s">
        <v>24</v>
      </c>
      <c r="D1063" s="1">
        <v>46407</v>
      </c>
      <c r="Q1063" t="s">
        <v>67</v>
      </c>
      <c r="R1063" t="str">
        <f>_xlfn.XLOOKUP(GERAL[[#This Row],[Dia]],U:U,V:V,"")</f>
        <v/>
      </c>
    </row>
    <row r="1064" spans="1:18" hidden="1" x14ac:dyDescent="0.3">
      <c r="A1064" t="str">
        <f>_xlfn.XLOOKUP(GERAL[[#This Row],[Dia]],U:U,T:T,"")</f>
        <v/>
      </c>
      <c r="B1064" s="1">
        <v>46408</v>
      </c>
      <c r="C1064" t="s">
        <v>25</v>
      </c>
      <c r="D1064" s="1">
        <v>46408</v>
      </c>
      <c r="Q1064" t="s">
        <v>67</v>
      </c>
      <c r="R1064" t="str">
        <f>_xlfn.XLOOKUP(GERAL[[#This Row],[Dia]],U:U,V:V,"")</f>
        <v/>
      </c>
    </row>
    <row r="1065" spans="1:18" hidden="1" x14ac:dyDescent="0.3">
      <c r="A1065" t="str">
        <f>_xlfn.XLOOKUP(GERAL[[#This Row],[Dia]],U:U,T:T,"")</f>
        <v/>
      </c>
      <c r="B1065" s="1">
        <v>46409</v>
      </c>
      <c r="C1065" t="s">
        <v>26</v>
      </c>
      <c r="D1065" s="1">
        <v>46409</v>
      </c>
      <c r="Q1065" t="s">
        <v>67</v>
      </c>
      <c r="R1065" t="str">
        <f>_xlfn.XLOOKUP(GERAL[[#This Row],[Dia]],U:U,V:V,"")</f>
        <v/>
      </c>
    </row>
    <row r="1066" spans="1:18" hidden="1" x14ac:dyDescent="0.3">
      <c r="A1066" t="str">
        <f>_xlfn.XLOOKUP(GERAL[[#This Row],[Dia]],U:U,T:T,"")</f>
        <v/>
      </c>
      <c r="B1066" s="1">
        <v>46410</v>
      </c>
      <c r="C1066" t="s">
        <v>16</v>
      </c>
      <c r="D1066" s="1">
        <v>46410</v>
      </c>
      <c r="E1066" t="s">
        <v>17</v>
      </c>
      <c r="Q1066" t="s">
        <v>67</v>
      </c>
      <c r="R1066" t="str">
        <f>_xlfn.XLOOKUP(GERAL[[#This Row],[Dia]],U:U,V:V,"")</f>
        <v/>
      </c>
    </row>
    <row r="1067" spans="1:18" hidden="1" x14ac:dyDescent="0.3">
      <c r="A1067" t="str">
        <f>_xlfn.XLOOKUP(GERAL[[#This Row],[Dia]],U:U,T:T,"")</f>
        <v/>
      </c>
      <c r="B1067" s="1">
        <v>46411</v>
      </c>
      <c r="C1067" t="s">
        <v>21</v>
      </c>
      <c r="D1067" s="1">
        <v>46411</v>
      </c>
      <c r="E1067" t="s">
        <v>17</v>
      </c>
      <c r="Q1067" t="s">
        <v>67</v>
      </c>
      <c r="R1067" t="str">
        <f>_xlfn.XLOOKUP(GERAL[[#This Row],[Dia]],U:U,V:V,"")</f>
        <v/>
      </c>
    </row>
    <row r="1068" spans="1:18" hidden="1" x14ac:dyDescent="0.3">
      <c r="A1068" t="str">
        <f>_xlfn.XLOOKUP(GERAL[[#This Row],[Dia]],U:U,T:T,"")</f>
        <v/>
      </c>
      <c r="B1068" s="1">
        <v>46412</v>
      </c>
      <c r="C1068" t="s">
        <v>22</v>
      </c>
      <c r="D1068" s="1">
        <v>46412</v>
      </c>
      <c r="Q1068" t="s">
        <v>67</v>
      </c>
      <c r="R1068" t="str">
        <f>_xlfn.XLOOKUP(GERAL[[#This Row],[Dia]],U:U,V:V,"")</f>
        <v/>
      </c>
    </row>
    <row r="1069" spans="1:18" hidden="1" x14ac:dyDescent="0.3">
      <c r="A1069" t="str">
        <f>_xlfn.XLOOKUP(GERAL[[#This Row],[Dia]],U:U,T:T,"")</f>
        <v/>
      </c>
      <c r="B1069" s="1">
        <v>46413</v>
      </c>
      <c r="C1069" t="s">
        <v>23</v>
      </c>
      <c r="D1069" s="1">
        <v>46413</v>
      </c>
      <c r="Q1069" t="s">
        <v>67</v>
      </c>
      <c r="R1069" t="str">
        <f>_xlfn.XLOOKUP(GERAL[[#This Row],[Dia]],U:U,V:V,"")</f>
        <v/>
      </c>
    </row>
    <row r="1070" spans="1:18" hidden="1" x14ac:dyDescent="0.3">
      <c r="A1070" t="str">
        <f>_xlfn.XLOOKUP(GERAL[[#This Row],[Dia]],U:U,T:T,"")</f>
        <v/>
      </c>
      <c r="B1070" s="1">
        <v>46414</v>
      </c>
      <c r="C1070" t="s">
        <v>24</v>
      </c>
      <c r="D1070" s="1">
        <v>46414</v>
      </c>
      <c r="Q1070" t="s">
        <v>67</v>
      </c>
      <c r="R1070" t="str">
        <f>_xlfn.XLOOKUP(GERAL[[#This Row],[Dia]],U:U,V:V,"")</f>
        <v/>
      </c>
    </row>
    <row r="1071" spans="1:18" hidden="1" x14ac:dyDescent="0.3">
      <c r="A1071" t="str">
        <f>_xlfn.XLOOKUP(GERAL[[#This Row],[Dia]],U:U,T:T,"")</f>
        <v/>
      </c>
      <c r="B1071" s="1">
        <v>46415</v>
      </c>
      <c r="C1071" t="s">
        <v>25</v>
      </c>
      <c r="D1071" s="1">
        <v>46415</v>
      </c>
      <c r="Q1071" t="s">
        <v>67</v>
      </c>
      <c r="R1071" t="str">
        <f>_xlfn.XLOOKUP(GERAL[[#This Row],[Dia]],U:U,V:V,"")</f>
        <v/>
      </c>
    </row>
    <row r="1072" spans="1:18" hidden="1" x14ac:dyDescent="0.3">
      <c r="A1072" t="str">
        <f>_xlfn.XLOOKUP(GERAL[[#This Row],[Dia]],U:U,T:T,"")</f>
        <v/>
      </c>
      <c r="B1072" s="1">
        <v>46416</v>
      </c>
      <c r="C1072" t="s">
        <v>26</v>
      </c>
      <c r="D1072" s="1">
        <v>46416</v>
      </c>
      <c r="Q1072" t="s">
        <v>67</v>
      </c>
      <c r="R1072" t="str">
        <f>_xlfn.XLOOKUP(GERAL[[#This Row],[Dia]],U:U,V:V,"")</f>
        <v/>
      </c>
    </row>
    <row r="1073" spans="1:18" hidden="1" x14ac:dyDescent="0.3">
      <c r="A1073" t="str">
        <f>_xlfn.XLOOKUP(GERAL[[#This Row],[Dia]],U:U,T:T,"")</f>
        <v/>
      </c>
      <c r="B1073" s="1">
        <v>46417</v>
      </c>
      <c r="C1073" t="s">
        <v>16</v>
      </c>
      <c r="D1073" s="1">
        <v>46417</v>
      </c>
      <c r="E1073" t="s">
        <v>17</v>
      </c>
      <c r="Q1073" t="s">
        <v>67</v>
      </c>
      <c r="R1073" t="str">
        <f>_xlfn.XLOOKUP(GERAL[[#This Row],[Dia]],U:U,V:V,"")</f>
        <v/>
      </c>
    </row>
    <row r="1074" spans="1:18" hidden="1" x14ac:dyDescent="0.3">
      <c r="A1074" t="str">
        <f>_xlfn.XLOOKUP(GERAL[[#This Row],[Dia]],U:U,T:T,"")</f>
        <v/>
      </c>
      <c r="B1074" s="1">
        <v>46418</v>
      </c>
      <c r="C1074" t="s">
        <v>21</v>
      </c>
      <c r="D1074" s="1">
        <v>46418</v>
      </c>
      <c r="E1074" t="s">
        <v>17</v>
      </c>
      <c r="Q1074" t="s">
        <v>67</v>
      </c>
      <c r="R1074" t="str">
        <f>_xlfn.XLOOKUP(GERAL[[#This Row],[Dia]],U:U,V:V,"")</f>
        <v/>
      </c>
    </row>
    <row r="1075" spans="1:18" hidden="1" x14ac:dyDescent="0.3">
      <c r="A1075" t="str">
        <f>_xlfn.XLOOKUP(GERAL[[#This Row],[Dia]],U:U,T:T,"")</f>
        <v/>
      </c>
      <c r="B1075" s="1">
        <v>46419</v>
      </c>
      <c r="C1075" t="s">
        <v>22</v>
      </c>
      <c r="D1075" s="1">
        <v>46419</v>
      </c>
      <c r="Q1075" t="s">
        <v>67</v>
      </c>
      <c r="R1075" t="str">
        <f>_xlfn.XLOOKUP(GERAL[[#This Row],[Dia]],U:U,V:V,"")</f>
        <v/>
      </c>
    </row>
    <row r="1076" spans="1:18" hidden="1" x14ac:dyDescent="0.3">
      <c r="A1076" t="str">
        <f>_xlfn.XLOOKUP(GERAL[[#This Row],[Dia]],U:U,T:T,"")</f>
        <v/>
      </c>
      <c r="B1076" s="1">
        <v>46420</v>
      </c>
      <c r="C1076" t="s">
        <v>23</v>
      </c>
      <c r="D1076" s="1">
        <v>46420</v>
      </c>
      <c r="Q1076" t="s">
        <v>67</v>
      </c>
      <c r="R1076" t="str">
        <f>_xlfn.XLOOKUP(GERAL[[#This Row],[Dia]],U:U,V:V,"")</f>
        <v/>
      </c>
    </row>
    <row r="1077" spans="1:18" hidden="1" x14ac:dyDescent="0.3">
      <c r="A1077" t="str">
        <f>_xlfn.XLOOKUP(GERAL[[#This Row],[Dia]],U:U,T:T,"")</f>
        <v/>
      </c>
      <c r="B1077" s="1">
        <v>46421</v>
      </c>
      <c r="C1077" t="s">
        <v>24</v>
      </c>
      <c r="D1077" s="1">
        <v>46421</v>
      </c>
      <c r="Q1077" t="s">
        <v>67</v>
      </c>
      <c r="R1077" t="str">
        <f>_xlfn.XLOOKUP(GERAL[[#This Row],[Dia]],U:U,V:V,"")</f>
        <v/>
      </c>
    </row>
    <row r="1078" spans="1:18" hidden="1" x14ac:dyDescent="0.3">
      <c r="A1078" t="str">
        <f>_xlfn.XLOOKUP(GERAL[[#This Row],[Dia]],U:U,T:T,"")</f>
        <v/>
      </c>
      <c r="B1078" s="1">
        <v>46422</v>
      </c>
      <c r="C1078" t="s">
        <v>25</v>
      </c>
      <c r="D1078" s="1">
        <v>46422</v>
      </c>
      <c r="Q1078" t="s">
        <v>67</v>
      </c>
      <c r="R1078" t="str">
        <f>_xlfn.XLOOKUP(GERAL[[#This Row],[Dia]],U:U,V:V,"")</f>
        <v/>
      </c>
    </row>
    <row r="1079" spans="1:18" hidden="1" x14ac:dyDescent="0.3">
      <c r="A1079" t="str">
        <f>_xlfn.XLOOKUP(GERAL[[#This Row],[Dia]],U:U,T:T,"")</f>
        <v/>
      </c>
      <c r="B1079" s="1">
        <v>46423</v>
      </c>
      <c r="C1079" t="s">
        <v>26</v>
      </c>
      <c r="D1079" s="1">
        <v>46423</v>
      </c>
      <c r="Q1079" t="s">
        <v>67</v>
      </c>
      <c r="R1079" t="str">
        <f>_xlfn.XLOOKUP(GERAL[[#This Row],[Dia]],U:U,V:V,"")</f>
        <v/>
      </c>
    </row>
    <row r="1080" spans="1:18" hidden="1" x14ac:dyDescent="0.3">
      <c r="A1080" t="str">
        <f>_xlfn.XLOOKUP(GERAL[[#This Row],[Dia]],U:U,T:T,"")</f>
        <v/>
      </c>
      <c r="B1080" s="1">
        <v>46424</v>
      </c>
      <c r="C1080" t="s">
        <v>16</v>
      </c>
      <c r="D1080" s="1">
        <v>46424</v>
      </c>
      <c r="E1080" t="s">
        <v>17</v>
      </c>
      <c r="Q1080" t="s">
        <v>67</v>
      </c>
      <c r="R1080" t="str">
        <f>_xlfn.XLOOKUP(GERAL[[#This Row],[Dia]],U:U,V:V,"")</f>
        <v/>
      </c>
    </row>
    <row r="1081" spans="1:18" hidden="1" x14ac:dyDescent="0.3">
      <c r="A1081" t="str">
        <f>_xlfn.XLOOKUP(GERAL[[#This Row],[Dia]],U:U,T:T,"")</f>
        <v/>
      </c>
      <c r="B1081" s="1">
        <v>46425</v>
      </c>
      <c r="C1081" t="s">
        <v>21</v>
      </c>
      <c r="D1081" s="1">
        <v>46425</v>
      </c>
      <c r="E1081" t="s">
        <v>17</v>
      </c>
      <c r="Q1081" t="s">
        <v>67</v>
      </c>
      <c r="R1081" t="str">
        <f>_xlfn.XLOOKUP(GERAL[[#This Row],[Dia]],U:U,V:V,"")</f>
        <v/>
      </c>
    </row>
    <row r="1082" spans="1:18" hidden="1" x14ac:dyDescent="0.3">
      <c r="A1082" t="str">
        <f>_xlfn.XLOOKUP(GERAL[[#This Row],[Dia]],U:U,T:T,"")</f>
        <v/>
      </c>
      <c r="B1082" s="1">
        <v>46426</v>
      </c>
      <c r="C1082" t="s">
        <v>22</v>
      </c>
      <c r="D1082" s="1">
        <v>46426</v>
      </c>
      <c r="Q1082" t="s">
        <v>67</v>
      </c>
      <c r="R1082" t="str">
        <f>_xlfn.XLOOKUP(GERAL[[#This Row],[Dia]],U:U,V:V,"")</f>
        <v/>
      </c>
    </row>
    <row r="1083" spans="1:18" hidden="1" x14ac:dyDescent="0.3">
      <c r="A1083" t="str">
        <f>_xlfn.XLOOKUP(GERAL[[#This Row],[Dia]],U:U,T:T,"")</f>
        <v/>
      </c>
      <c r="B1083" s="1">
        <v>46427</v>
      </c>
      <c r="C1083" t="s">
        <v>23</v>
      </c>
      <c r="D1083" s="1">
        <v>46427</v>
      </c>
      <c r="Q1083" t="s">
        <v>67</v>
      </c>
      <c r="R1083" t="str">
        <f>_xlfn.XLOOKUP(GERAL[[#This Row],[Dia]],U:U,V:V,"")</f>
        <v/>
      </c>
    </row>
    <row r="1084" spans="1:18" hidden="1" x14ac:dyDescent="0.3">
      <c r="A1084" t="str">
        <f>_xlfn.XLOOKUP(GERAL[[#This Row],[Dia]],U:U,T:T,"")</f>
        <v/>
      </c>
      <c r="B1084" s="1">
        <v>46428</v>
      </c>
      <c r="C1084" t="s">
        <v>24</v>
      </c>
      <c r="D1084" s="1">
        <v>46428</v>
      </c>
      <c r="Q1084" t="s">
        <v>67</v>
      </c>
      <c r="R1084" t="str">
        <f>_xlfn.XLOOKUP(GERAL[[#This Row],[Dia]],U:U,V:V,"")</f>
        <v/>
      </c>
    </row>
    <row r="1085" spans="1:18" hidden="1" x14ac:dyDescent="0.3">
      <c r="A1085" t="str">
        <f>_xlfn.XLOOKUP(GERAL[[#This Row],[Dia]],U:U,T:T,"")</f>
        <v/>
      </c>
      <c r="B1085" s="1">
        <v>46429</v>
      </c>
      <c r="C1085" t="s">
        <v>25</v>
      </c>
      <c r="D1085" s="1">
        <v>46429</v>
      </c>
      <c r="Q1085" t="s">
        <v>67</v>
      </c>
      <c r="R1085" t="str">
        <f>_xlfn.XLOOKUP(GERAL[[#This Row],[Dia]],U:U,V:V,"")</f>
        <v/>
      </c>
    </row>
    <row r="1086" spans="1:18" hidden="1" x14ac:dyDescent="0.3">
      <c r="A1086" t="str">
        <f>_xlfn.XLOOKUP(GERAL[[#This Row],[Dia]],U:U,T:T,"")</f>
        <v/>
      </c>
      <c r="B1086" s="1">
        <v>46430</v>
      </c>
      <c r="C1086" t="s">
        <v>26</v>
      </c>
      <c r="D1086" s="1">
        <v>46430</v>
      </c>
      <c r="Q1086" t="s">
        <v>67</v>
      </c>
      <c r="R1086" t="str">
        <f>_xlfn.XLOOKUP(GERAL[[#This Row],[Dia]],U:U,V:V,"")</f>
        <v/>
      </c>
    </row>
    <row r="1087" spans="1:18" hidden="1" x14ac:dyDescent="0.3">
      <c r="A1087" t="str">
        <f>_xlfn.XLOOKUP(GERAL[[#This Row],[Dia]],U:U,T:T,"")</f>
        <v/>
      </c>
      <c r="B1087" s="1">
        <v>46431</v>
      </c>
      <c r="C1087" t="s">
        <v>16</v>
      </c>
      <c r="D1087" s="1">
        <v>46431</v>
      </c>
      <c r="E1087" t="s">
        <v>17</v>
      </c>
      <c r="Q1087" t="s">
        <v>67</v>
      </c>
      <c r="R1087" t="str">
        <f>_xlfn.XLOOKUP(GERAL[[#This Row],[Dia]],U:U,V:V,"")</f>
        <v/>
      </c>
    </row>
    <row r="1088" spans="1:18" hidden="1" x14ac:dyDescent="0.3">
      <c r="A1088" t="str">
        <f>_xlfn.XLOOKUP(GERAL[[#This Row],[Dia]],U:U,T:T,"")</f>
        <v/>
      </c>
      <c r="B1088" s="1">
        <v>46432</v>
      </c>
      <c r="C1088" t="s">
        <v>21</v>
      </c>
      <c r="D1088" s="1">
        <v>46432</v>
      </c>
      <c r="E1088" t="s">
        <v>17</v>
      </c>
      <c r="Q1088" t="s">
        <v>67</v>
      </c>
      <c r="R1088" t="str">
        <f>_xlfn.XLOOKUP(GERAL[[#This Row],[Dia]],U:U,V:V,"")</f>
        <v/>
      </c>
    </row>
    <row r="1089" spans="1:18" hidden="1" x14ac:dyDescent="0.3">
      <c r="A1089" t="str">
        <f>_xlfn.XLOOKUP(GERAL[[#This Row],[Dia]],U:U,T:T,"")</f>
        <v/>
      </c>
      <c r="B1089" s="1">
        <v>46433</v>
      </c>
      <c r="C1089" t="s">
        <v>22</v>
      </c>
      <c r="D1089" s="1">
        <v>46433</v>
      </c>
      <c r="Q1089" t="s">
        <v>67</v>
      </c>
      <c r="R1089" t="str">
        <f>_xlfn.XLOOKUP(GERAL[[#This Row],[Dia]],U:U,V:V,"")</f>
        <v/>
      </c>
    </row>
    <row r="1090" spans="1:18" hidden="1" x14ac:dyDescent="0.3">
      <c r="A1090" t="str">
        <f>_xlfn.XLOOKUP(GERAL[[#This Row],[Dia]],U:U,T:T,"")</f>
        <v/>
      </c>
      <c r="B1090" s="1">
        <v>45962</v>
      </c>
      <c r="C1090" t="s">
        <v>16</v>
      </c>
      <c r="D1090" s="1">
        <v>45962</v>
      </c>
      <c r="E1090" t="s">
        <v>17</v>
      </c>
      <c r="Q1090" t="s">
        <v>109</v>
      </c>
      <c r="R1090" t="str">
        <f>_xlfn.XLOOKUP(GERAL[[#This Row],[Dia]],U:U,V:V,"")</f>
        <v/>
      </c>
    </row>
    <row r="1091" spans="1:18" hidden="1" x14ac:dyDescent="0.3">
      <c r="A1091" t="str">
        <f>_xlfn.XLOOKUP(GERAL[[#This Row],[Dia]],U:U,T:T,"")</f>
        <v/>
      </c>
      <c r="B1091" s="1">
        <v>45963</v>
      </c>
      <c r="C1091" t="s">
        <v>21</v>
      </c>
      <c r="D1091" s="1">
        <v>45963</v>
      </c>
      <c r="E1091" t="s">
        <v>17</v>
      </c>
      <c r="Q1091" t="s">
        <v>109</v>
      </c>
      <c r="R1091" t="str">
        <f>_xlfn.XLOOKUP(GERAL[[#This Row],[Dia]],U:U,V:V,"")</f>
        <v/>
      </c>
    </row>
    <row r="1092" spans="1:18" hidden="1" x14ac:dyDescent="0.3">
      <c r="A1092" t="str">
        <f>_xlfn.XLOOKUP(GERAL[[#This Row],[Dia]],U:U,T:T,"")</f>
        <v/>
      </c>
      <c r="B1092" s="1">
        <v>45964</v>
      </c>
      <c r="C1092" t="s">
        <v>22</v>
      </c>
      <c r="D1092" s="1">
        <v>45964</v>
      </c>
      <c r="Q1092" t="s">
        <v>109</v>
      </c>
      <c r="R1092" t="str">
        <f>_xlfn.XLOOKUP(GERAL[[#This Row],[Dia]],U:U,V:V,"")</f>
        <v/>
      </c>
    </row>
    <row r="1093" spans="1:18" hidden="1" x14ac:dyDescent="0.3">
      <c r="A1093" t="str">
        <f>_xlfn.XLOOKUP(GERAL[[#This Row],[Dia]],U:U,T:T,"")</f>
        <v/>
      </c>
      <c r="B1093" s="1">
        <v>45965</v>
      </c>
      <c r="C1093" t="s">
        <v>23</v>
      </c>
      <c r="D1093" s="1">
        <v>45965</v>
      </c>
      <c r="Q1093" t="s">
        <v>109</v>
      </c>
      <c r="R1093" t="str">
        <f>_xlfn.XLOOKUP(GERAL[[#This Row],[Dia]],U:U,V:V,"")</f>
        <v/>
      </c>
    </row>
    <row r="1094" spans="1:18" hidden="1" x14ac:dyDescent="0.3">
      <c r="A1094" t="str">
        <f>_xlfn.XLOOKUP(GERAL[[#This Row],[Dia]],U:U,T:T,"")</f>
        <v/>
      </c>
      <c r="B1094" s="1">
        <v>45966</v>
      </c>
      <c r="C1094" t="s">
        <v>24</v>
      </c>
      <c r="D1094" s="1">
        <v>45966</v>
      </c>
      <c r="Q1094" t="s">
        <v>109</v>
      </c>
      <c r="R1094" t="str">
        <f>_xlfn.XLOOKUP(GERAL[[#This Row],[Dia]],U:U,V:V,"")</f>
        <v/>
      </c>
    </row>
    <row r="1095" spans="1:18" hidden="1" x14ac:dyDescent="0.3">
      <c r="A1095" t="str">
        <f>_xlfn.XLOOKUP(GERAL[[#This Row],[Dia]],U:U,T:T,"")</f>
        <v/>
      </c>
      <c r="B1095" s="1">
        <v>45967</v>
      </c>
      <c r="C1095" t="s">
        <v>25</v>
      </c>
      <c r="D1095" s="1">
        <v>45967</v>
      </c>
      <c r="Q1095" t="s">
        <v>109</v>
      </c>
      <c r="R1095" t="str">
        <f>_xlfn.XLOOKUP(GERAL[[#This Row],[Dia]],U:U,V:V,"")</f>
        <v/>
      </c>
    </row>
    <row r="1096" spans="1:18" hidden="1" x14ac:dyDescent="0.3">
      <c r="A1096" t="str">
        <f>_xlfn.XLOOKUP(GERAL[[#This Row],[Dia]],U:U,T:T,"")</f>
        <v/>
      </c>
      <c r="B1096" s="1">
        <v>45968</v>
      </c>
      <c r="C1096" t="s">
        <v>26</v>
      </c>
      <c r="D1096" s="1">
        <v>45968</v>
      </c>
      <c r="Q1096" t="s">
        <v>109</v>
      </c>
      <c r="R1096" t="str">
        <f>_xlfn.XLOOKUP(GERAL[[#This Row],[Dia]],U:U,V:V,"")</f>
        <v/>
      </c>
    </row>
    <row r="1097" spans="1:18" hidden="1" x14ac:dyDescent="0.3">
      <c r="A1097" t="str">
        <f>_xlfn.XLOOKUP(GERAL[[#This Row],[Dia]],U:U,T:T,"")</f>
        <v/>
      </c>
      <c r="B1097" s="1">
        <v>45969</v>
      </c>
      <c r="C1097" t="s">
        <v>16</v>
      </c>
      <c r="D1097" s="1">
        <v>45969</v>
      </c>
      <c r="E1097" t="s">
        <v>17</v>
      </c>
      <c r="Q1097" t="s">
        <v>109</v>
      </c>
      <c r="R1097" t="str">
        <f>_xlfn.XLOOKUP(GERAL[[#This Row],[Dia]],U:U,V:V,"")</f>
        <v/>
      </c>
    </row>
    <row r="1098" spans="1:18" hidden="1" x14ac:dyDescent="0.3">
      <c r="A1098" t="str">
        <f>_xlfn.XLOOKUP(GERAL[[#This Row],[Dia]],U:U,T:T,"")</f>
        <v/>
      </c>
      <c r="B1098" s="1">
        <v>45970</v>
      </c>
      <c r="C1098" t="s">
        <v>21</v>
      </c>
      <c r="D1098" s="1">
        <v>45970</v>
      </c>
      <c r="E1098" t="s">
        <v>17</v>
      </c>
      <c r="Q1098" t="s">
        <v>109</v>
      </c>
      <c r="R1098" t="str">
        <f>_xlfn.XLOOKUP(GERAL[[#This Row],[Dia]],U:U,V:V,"")</f>
        <v/>
      </c>
    </row>
    <row r="1099" spans="1:18" hidden="1" x14ac:dyDescent="0.3">
      <c r="A1099" t="str">
        <f>_xlfn.XLOOKUP(GERAL[[#This Row],[Dia]],U:U,T:T,"")</f>
        <v/>
      </c>
      <c r="B1099" s="1">
        <v>45971</v>
      </c>
      <c r="C1099" t="s">
        <v>22</v>
      </c>
      <c r="D1099" s="1">
        <v>45971</v>
      </c>
      <c r="Q1099" t="s">
        <v>109</v>
      </c>
      <c r="R1099" t="str">
        <f>_xlfn.XLOOKUP(GERAL[[#This Row],[Dia]],U:U,V:V,"")</f>
        <v/>
      </c>
    </row>
    <row r="1100" spans="1:18" hidden="1" x14ac:dyDescent="0.3">
      <c r="A1100" t="str">
        <f>_xlfn.XLOOKUP(GERAL[[#This Row],[Dia]],U:U,T:T,"")</f>
        <v/>
      </c>
      <c r="B1100" s="1">
        <v>45972</v>
      </c>
      <c r="C1100" t="s">
        <v>23</v>
      </c>
      <c r="D1100" s="1">
        <v>45972</v>
      </c>
      <c r="Q1100" t="s">
        <v>109</v>
      </c>
      <c r="R1100" t="str">
        <f>_xlfn.XLOOKUP(GERAL[[#This Row],[Dia]],U:U,V:V,"")</f>
        <v/>
      </c>
    </row>
    <row r="1101" spans="1:18" hidden="1" x14ac:dyDescent="0.3">
      <c r="A1101" t="str">
        <f>_xlfn.XLOOKUP(GERAL[[#This Row],[Dia]],U:U,T:T,"")</f>
        <v/>
      </c>
      <c r="B1101" s="1">
        <v>45973</v>
      </c>
      <c r="C1101" t="s">
        <v>24</v>
      </c>
      <c r="D1101" s="1">
        <v>45973</v>
      </c>
      <c r="Q1101" t="s">
        <v>109</v>
      </c>
      <c r="R1101" t="str">
        <f>_xlfn.XLOOKUP(GERAL[[#This Row],[Dia]],U:U,V:V,"")</f>
        <v/>
      </c>
    </row>
    <row r="1102" spans="1:18" hidden="1" x14ac:dyDescent="0.3">
      <c r="A1102" t="str">
        <f>_xlfn.XLOOKUP(GERAL[[#This Row],[Dia]],U:U,T:T,"")</f>
        <v/>
      </c>
      <c r="B1102" s="1">
        <v>45974</v>
      </c>
      <c r="C1102" t="s">
        <v>25</v>
      </c>
      <c r="D1102" s="1">
        <v>45974</v>
      </c>
      <c r="Q1102" t="s">
        <v>109</v>
      </c>
      <c r="R1102" t="str">
        <f>_xlfn.XLOOKUP(GERAL[[#This Row],[Dia]],U:U,V:V,"")</f>
        <v/>
      </c>
    </row>
    <row r="1103" spans="1:18" hidden="1" x14ac:dyDescent="0.3">
      <c r="A1103" t="str">
        <f>_xlfn.XLOOKUP(GERAL[[#This Row],[Dia]],U:U,T:T,"")</f>
        <v/>
      </c>
      <c r="B1103" s="1">
        <v>45975</v>
      </c>
      <c r="C1103" t="s">
        <v>26</v>
      </c>
      <c r="D1103" s="1">
        <v>45975</v>
      </c>
      <c r="Q1103" t="s">
        <v>109</v>
      </c>
      <c r="R1103" t="str">
        <f>_xlfn.XLOOKUP(GERAL[[#This Row],[Dia]],U:U,V:V,"")</f>
        <v/>
      </c>
    </row>
    <row r="1104" spans="1:18" hidden="1" x14ac:dyDescent="0.3">
      <c r="A1104" t="str">
        <f>_xlfn.XLOOKUP(GERAL[[#This Row],[Dia]],U:U,T:T,"")</f>
        <v/>
      </c>
      <c r="B1104" s="1">
        <v>45976</v>
      </c>
      <c r="C1104" t="s">
        <v>16</v>
      </c>
      <c r="D1104" s="1">
        <v>45976</v>
      </c>
      <c r="E1104" t="s">
        <v>17</v>
      </c>
      <c r="Q1104" t="s">
        <v>109</v>
      </c>
      <c r="R1104" t="str">
        <f>_xlfn.XLOOKUP(GERAL[[#This Row],[Dia]],U:U,V:V,"")</f>
        <v/>
      </c>
    </row>
    <row r="1105" spans="1:18" hidden="1" x14ac:dyDescent="0.3">
      <c r="A1105" t="str">
        <f>_xlfn.XLOOKUP(GERAL[[#This Row],[Dia]],U:U,T:T,"")</f>
        <v/>
      </c>
      <c r="B1105" s="1">
        <v>45977</v>
      </c>
      <c r="C1105" t="s">
        <v>21</v>
      </c>
      <c r="D1105" s="1">
        <v>45977</v>
      </c>
      <c r="E1105" t="s">
        <v>17</v>
      </c>
      <c r="Q1105" t="s">
        <v>109</v>
      </c>
      <c r="R1105" t="str">
        <f>_xlfn.XLOOKUP(GERAL[[#This Row],[Dia]],U:U,V:V,"")</f>
        <v/>
      </c>
    </row>
    <row r="1106" spans="1:18" hidden="1" x14ac:dyDescent="0.3">
      <c r="A1106" t="str">
        <f>_xlfn.XLOOKUP(GERAL[[#This Row],[Dia]],U:U,T:T,"")</f>
        <v/>
      </c>
      <c r="B1106" s="1">
        <v>45978</v>
      </c>
      <c r="C1106" t="s">
        <v>22</v>
      </c>
      <c r="D1106" s="1">
        <v>45978</v>
      </c>
      <c r="Q1106" t="s">
        <v>109</v>
      </c>
      <c r="R1106" t="str">
        <f>_xlfn.XLOOKUP(GERAL[[#This Row],[Dia]],U:U,V:V,"")</f>
        <v/>
      </c>
    </row>
    <row r="1107" spans="1:18" hidden="1" x14ac:dyDescent="0.3">
      <c r="A1107" t="str">
        <f>_xlfn.XLOOKUP(GERAL[[#This Row],[Dia]],U:U,T:T,"")</f>
        <v/>
      </c>
      <c r="B1107" s="1">
        <v>45979</v>
      </c>
      <c r="C1107" t="s">
        <v>23</v>
      </c>
      <c r="D1107" s="1">
        <v>45979</v>
      </c>
      <c r="Q1107" t="s">
        <v>109</v>
      </c>
      <c r="R1107" t="str">
        <f>_xlfn.XLOOKUP(GERAL[[#This Row],[Dia]],U:U,V:V,"")</f>
        <v/>
      </c>
    </row>
    <row r="1108" spans="1:18" hidden="1" x14ac:dyDescent="0.3">
      <c r="A1108" t="str">
        <f>_xlfn.XLOOKUP(GERAL[[#This Row],[Dia]],U:U,T:T,"")</f>
        <v/>
      </c>
      <c r="B1108" s="1">
        <v>45980</v>
      </c>
      <c r="C1108" t="s">
        <v>24</v>
      </c>
      <c r="D1108" s="1">
        <v>45980</v>
      </c>
      <c r="Q1108" t="s">
        <v>109</v>
      </c>
      <c r="R1108" t="str">
        <f>_xlfn.XLOOKUP(GERAL[[#This Row],[Dia]],U:U,V:V,"")</f>
        <v/>
      </c>
    </row>
    <row r="1109" spans="1:18" hidden="1" x14ac:dyDescent="0.3">
      <c r="A1109" t="str">
        <f>_xlfn.XLOOKUP(GERAL[[#This Row],[Dia]],U:U,T:T,"")</f>
        <v/>
      </c>
      <c r="B1109" s="1">
        <v>45981</v>
      </c>
      <c r="C1109" t="s">
        <v>25</v>
      </c>
      <c r="D1109" s="1">
        <v>45981</v>
      </c>
      <c r="Q1109" t="s">
        <v>109</v>
      </c>
      <c r="R1109" t="str">
        <f>_xlfn.XLOOKUP(GERAL[[#This Row],[Dia]],U:U,V:V,"")</f>
        <v/>
      </c>
    </row>
    <row r="1110" spans="1:18" hidden="1" x14ac:dyDescent="0.3">
      <c r="A1110" t="str">
        <f>_xlfn.XLOOKUP(GERAL[[#This Row],[Dia]],U:U,T:T,"")</f>
        <v/>
      </c>
      <c r="B1110" s="1">
        <v>45982</v>
      </c>
      <c r="C1110" t="s">
        <v>26</v>
      </c>
      <c r="D1110" s="1">
        <v>45982</v>
      </c>
      <c r="Q1110" t="s">
        <v>109</v>
      </c>
      <c r="R1110" t="str">
        <f>_xlfn.XLOOKUP(GERAL[[#This Row],[Dia]],U:U,V:V,"")</f>
        <v/>
      </c>
    </row>
    <row r="1111" spans="1:18" hidden="1" x14ac:dyDescent="0.3">
      <c r="A1111" t="str">
        <f>_xlfn.XLOOKUP(GERAL[[#This Row],[Dia]],U:U,T:T,"")</f>
        <v/>
      </c>
      <c r="B1111" s="1">
        <v>45983</v>
      </c>
      <c r="C1111" t="s">
        <v>16</v>
      </c>
      <c r="D1111" s="1">
        <v>45983</v>
      </c>
      <c r="E1111" t="s">
        <v>17</v>
      </c>
      <c r="Q1111" t="s">
        <v>109</v>
      </c>
      <c r="R1111" t="str">
        <f>_xlfn.XLOOKUP(GERAL[[#This Row],[Dia]],U:U,V:V,"")</f>
        <v/>
      </c>
    </row>
    <row r="1112" spans="1:18" hidden="1" x14ac:dyDescent="0.3">
      <c r="A1112" t="str">
        <f>_xlfn.XLOOKUP(GERAL[[#This Row],[Dia]],U:U,T:T,"")</f>
        <v/>
      </c>
      <c r="B1112" s="1">
        <v>45984</v>
      </c>
      <c r="C1112" t="s">
        <v>21</v>
      </c>
      <c r="D1112" s="1">
        <v>45984</v>
      </c>
      <c r="E1112" t="s">
        <v>17</v>
      </c>
      <c r="Q1112" t="s">
        <v>109</v>
      </c>
      <c r="R1112" t="str">
        <f>_xlfn.XLOOKUP(GERAL[[#This Row],[Dia]],U:U,V:V,"")</f>
        <v/>
      </c>
    </row>
    <row r="1113" spans="1:18" hidden="1" x14ac:dyDescent="0.3">
      <c r="A1113" t="str">
        <f>_xlfn.XLOOKUP(GERAL[[#This Row],[Dia]],U:U,T:T,"")</f>
        <v/>
      </c>
      <c r="B1113" s="1">
        <v>45985</v>
      </c>
      <c r="C1113" t="s">
        <v>22</v>
      </c>
      <c r="D1113" s="1">
        <v>45985</v>
      </c>
      <c r="Q1113" t="s">
        <v>109</v>
      </c>
      <c r="R1113" t="str">
        <f>_xlfn.XLOOKUP(GERAL[[#This Row],[Dia]],U:U,V:V,"")</f>
        <v/>
      </c>
    </row>
    <row r="1114" spans="1:18" hidden="1" x14ac:dyDescent="0.3">
      <c r="A1114" t="str">
        <f>_xlfn.XLOOKUP(GERAL[[#This Row],[Dia]],U:U,T:T,"")</f>
        <v/>
      </c>
      <c r="B1114" s="1">
        <v>45986</v>
      </c>
      <c r="C1114" t="s">
        <v>23</v>
      </c>
      <c r="D1114" s="1">
        <v>45986</v>
      </c>
      <c r="Q1114" t="s">
        <v>109</v>
      </c>
      <c r="R1114" t="str">
        <f>_xlfn.XLOOKUP(GERAL[[#This Row],[Dia]],U:U,V:V,"")</f>
        <v/>
      </c>
    </row>
    <row r="1115" spans="1:18" hidden="1" x14ac:dyDescent="0.3">
      <c r="A1115" t="str">
        <f>_xlfn.XLOOKUP(GERAL[[#This Row],[Dia]],U:U,T:T,"")</f>
        <v/>
      </c>
      <c r="B1115" s="1">
        <v>45987</v>
      </c>
      <c r="C1115" t="s">
        <v>24</v>
      </c>
      <c r="D1115" s="1">
        <v>45987</v>
      </c>
      <c r="Q1115" t="s">
        <v>109</v>
      </c>
      <c r="R1115" t="str">
        <f>_xlfn.XLOOKUP(GERAL[[#This Row],[Dia]],U:U,V:V,"")</f>
        <v/>
      </c>
    </row>
    <row r="1116" spans="1:18" hidden="1" x14ac:dyDescent="0.3">
      <c r="A1116" t="str">
        <f>_xlfn.XLOOKUP(GERAL[[#This Row],[Dia]],U:U,T:T,"")</f>
        <v/>
      </c>
      <c r="B1116" s="1">
        <v>45988</v>
      </c>
      <c r="C1116" t="s">
        <v>25</v>
      </c>
      <c r="D1116" s="1">
        <v>45988</v>
      </c>
      <c r="Q1116" t="s">
        <v>109</v>
      </c>
      <c r="R1116" t="str">
        <f>_xlfn.XLOOKUP(GERAL[[#This Row],[Dia]],U:U,V:V,"")</f>
        <v/>
      </c>
    </row>
    <row r="1117" spans="1:18" hidden="1" x14ac:dyDescent="0.3">
      <c r="A1117" t="str">
        <f>_xlfn.XLOOKUP(GERAL[[#This Row],[Dia]],U:U,T:T,"")</f>
        <v/>
      </c>
      <c r="B1117" s="1">
        <v>45989</v>
      </c>
      <c r="C1117" t="s">
        <v>26</v>
      </c>
      <c r="D1117" s="1">
        <v>45989</v>
      </c>
      <c r="Q1117" t="s">
        <v>109</v>
      </c>
      <c r="R1117" t="str">
        <f>_xlfn.XLOOKUP(GERAL[[#This Row],[Dia]],U:U,V:V,"")</f>
        <v/>
      </c>
    </row>
    <row r="1118" spans="1:18" hidden="1" x14ac:dyDescent="0.3">
      <c r="A1118" t="str">
        <f>_xlfn.XLOOKUP(GERAL[[#This Row],[Dia]],U:U,T:T,"")</f>
        <v/>
      </c>
      <c r="B1118" s="1">
        <v>45990</v>
      </c>
      <c r="C1118" t="s">
        <v>16</v>
      </c>
      <c r="D1118" s="1">
        <v>45990</v>
      </c>
      <c r="E1118" t="s">
        <v>17</v>
      </c>
      <c r="Q1118" t="s">
        <v>109</v>
      </c>
      <c r="R1118" t="str">
        <f>_xlfn.XLOOKUP(GERAL[[#This Row],[Dia]],U:U,V:V,"")</f>
        <v/>
      </c>
    </row>
    <row r="1119" spans="1:18" hidden="1" x14ac:dyDescent="0.3">
      <c r="A1119" t="str">
        <f>_xlfn.XLOOKUP(GERAL[[#This Row],[Dia]],U:U,T:T,"")</f>
        <v/>
      </c>
      <c r="B1119" s="1">
        <v>45991</v>
      </c>
      <c r="C1119" t="s">
        <v>21</v>
      </c>
      <c r="D1119" s="1">
        <v>45991</v>
      </c>
      <c r="E1119" t="s">
        <v>17</v>
      </c>
      <c r="Q1119" t="s">
        <v>109</v>
      </c>
      <c r="R1119" t="str">
        <f>_xlfn.XLOOKUP(GERAL[[#This Row],[Dia]],U:U,V:V,"")</f>
        <v/>
      </c>
    </row>
    <row r="1120" spans="1:18" hidden="1" x14ac:dyDescent="0.3">
      <c r="A1120" t="str">
        <f>_xlfn.XLOOKUP(GERAL[[#This Row],[Dia]],U:U,T:T,"")</f>
        <v/>
      </c>
      <c r="B1120" s="1">
        <v>45992</v>
      </c>
      <c r="C1120" t="s">
        <v>22</v>
      </c>
      <c r="D1120" s="1">
        <v>45992</v>
      </c>
      <c r="Q1120" t="s">
        <v>109</v>
      </c>
      <c r="R1120" t="str">
        <f>_xlfn.XLOOKUP(GERAL[[#This Row],[Dia]],U:U,V:V,"")</f>
        <v/>
      </c>
    </row>
    <row r="1121" spans="1:18" hidden="1" x14ac:dyDescent="0.3">
      <c r="A1121" t="str">
        <f>_xlfn.XLOOKUP(GERAL[[#This Row],[Dia]],U:U,T:T,"")</f>
        <v/>
      </c>
      <c r="B1121" s="1">
        <v>45993</v>
      </c>
      <c r="C1121" t="s">
        <v>23</v>
      </c>
      <c r="D1121" s="1">
        <v>45993</v>
      </c>
      <c r="Q1121" t="s">
        <v>109</v>
      </c>
      <c r="R1121" t="str">
        <f>_xlfn.XLOOKUP(GERAL[[#This Row],[Dia]],U:U,V:V,"")</f>
        <v/>
      </c>
    </row>
    <row r="1122" spans="1:18" hidden="1" x14ac:dyDescent="0.3">
      <c r="A1122" t="str">
        <f>_xlfn.XLOOKUP(GERAL[[#This Row],[Dia]],U:U,T:T,"")</f>
        <v/>
      </c>
      <c r="B1122" s="1">
        <v>45994</v>
      </c>
      <c r="C1122" t="s">
        <v>24</v>
      </c>
      <c r="D1122" s="1">
        <v>45994</v>
      </c>
      <c r="Q1122" t="s">
        <v>109</v>
      </c>
      <c r="R1122" t="str">
        <f>_xlfn.XLOOKUP(GERAL[[#This Row],[Dia]],U:U,V:V,"")</f>
        <v/>
      </c>
    </row>
    <row r="1123" spans="1:18" hidden="1" x14ac:dyDescent="0.3">
      <c r="A1123" t="str">
        <f>_xlfn.XLOOKUP(GERAL[[#This Row],[Dia]],U:U,T:T,"")</f>
        <v/>
      </c>
      <c r="B1123" s="1">
        <v>45995</v>
      </c>
      <c r="C1123" t="s">
        <v>25</v>
      </c>
      <c r="D1123" s="1">
        <v>45995</v>
      </c>
      <c r="Q1123" t="s">
        <v>109</v>
      </c>
      <c r="R1123" t="str">
        <f>_xlfn.XLOOKUP(GERAL[[#This Row],[Dia]],U:U,V:V,"")</f>
        <v/>
      </c>
    </row>
    <row r="1124" spans="1:18" hidden="1" x14ac:dyDescent="0.3">
      <c r="A1124" t="str">
        <f>_xlfn.XLOOKUP(GERAL[[#This Row],[Dia]],U:U,T:T,"")</f>
        <v/>
      </c>
      <c r="B1124" s="1">
        <v>45996</v>
      </c>
      <c r="C1124" t="s">
        <v>26</v>
      </c>
      <c r="D1124" s="1">
        <v>45996</v>
      </c>
      <c r="Q1124" t="s">
        <v>109</v>
      </c>
      <c r="R1124" t="str">
        <f>_xlfn.XLOOKUP(GERAL[[#This Row],[Dia]],U:U,V:V,"")</f>
        <v/>
      </c>
    </row>
    <row r="1125" spans="1:18" hidden="1" x14ac:dyDescent="0.3">
      <c r="A1125" t="str">
        <f>_xlfn.XLOOKUP(GERAL[[#This Row],[Dia]],U:U,T:T,"")</f>
        <v/>
      </c>
      <c r="B1125" s="1">
        <v>45997</v>
      </c>
      <c r="C1125" t="s">
        <v>16</v>
      </c>
      <c r="D1125" s="1">
        <v>45997</v>
      </c>
      <c r="E1125" t="s">
        <v>17</v>
      </c>
      <c r="Q1125" t="s">
        <v>109</v>
      </c>
      <c r="R1125" t="str">
        <f>_xlfn.XLOOKUP(GERAL[[#This Row],[Dia]],U:U,V:V,"")</f>
        <v/>
      </c>
    </row>
    <row r="1126" spans="1:18" hidden="1" x14ac:dyDescent="0.3">
      <c r="A1126" t="str">
        <f>_xlfn.XLOOKUP(GERAL[[#This Row],[Dia]],U:U,T:T,"")</f>
        <v/>
      </c>
      <c r="B1126" s="1">
        <v>45998</v>
      </c>
      <c r="C1126" t="s">
        <v>21</v>
      </c>
      <c r="D1126" s="1">
        <v>45998</v>
      </c>
      <c r="E1126" t="s">
        <v>17</v>
      </c>
      <c r="Q1126" t="s">
        <v>109</v>
      </c>
      <c r="R1126" t="str">
        <f>_xlfn.XLOOKUP(GERAL[[#This Row],[Dia]],U:U,V:V,"")</f>
        <v/>
      </c>
    </row>
    <row r="1127" spans="1:18" hidden="1" x14ac:dyDescent="0.3">
      <c r="A1127" t="str">
        <f>_xlfn.XLOOKUP(GERAL[[#This Row],[Dia]],U:U,T:T,"")</f>
        <v/>
      </c>
      <c r="B1127" s="1">
        <v>45999</v>
      </c>
      <c r="C1127" t="s">
        <v>22</v>
      </c>
      <c r="D1127" s="1">
        <v>45999</v>
      </c>
      <c r="Q1127" t="s">
        <v>109</v>
      </c>
      <c r="R1127" t="str">
        <f>_xlfn.XLOOKUP(GERAL[[#This Row],[Dia]],U:U,V:V,"")</f>
        <v/>
      </c>
    </row>
    <row r="1128" spans="1:18" hidden="1" x14ac:dyDescent="0.3">
      <c r="A1128" t="str">
        <f>_xlfn.XLOOKUP(GERAL[[#This Row],[Dia]],U:U,T:T,"")</f>
        <v/>
      </c>
      <c r="B1128" s="1">
        <v>46000</v>
      </c>
      <c r="C1128" t="s">
        <v>23</v>
      </c>
      <c r="D1128" s="1">
        <v>46000</v>
      </c>
      <c r="Q1128" t="s">
        <v>109</v>
      </c>
      <c r="R1128" t="str">
        <f>_xlfn.XLOOKUP(GERAL[[#This Row],[Dia]],U:U,V:V,"")</f>
        <v/>
      </c>
    </row>
    <row r="1129" spans="1:18" hidden="1" x14ac:dyDescent="0.3">
      <c r="A1129" t="str">
        <f>_xlfn.XLOOKUP(GERAL[[#This Row],[Dia]],U:U,T:T,"")</f>
        <v/>
      </c>
      <c r="B1129" s="1">
        <v>46001</v>
      </c>
      <c r="C1129" t="s">
        <v>24</v>
      </c>
      <c r="D1129" s="1">
        <v>46001</v>
      </c>
      <c r="Q1129" t="s">
        <v>109</v>
      </c>
      <c r="R1129" t="str">
        <f>_xlfn.XLOOKUP(GERAL[[#This Row],[Dia]],U:U,V:V,"")</f>
        <v/>
      </c>
    </row>
    <row r="1130" spans="1:18" hidden="1" x14ac:dyDescent="0.3">
      <c r="A1130" t="str">
        <f>_xlfn.XLOOKUP(GERAL[[#This Row],[Dia]],U:U,T:T,"")</f>
        <v/>
      </c>
      <c r="B1130" s="1">
        <v>46002</v>
      </c>
      <c r="C1130" t="s">
        <v>25</v>
      </c>
      <c r="D1130" s="1">
        <v>46002</v>
      </c>
      <c r="Q1130" t="s">
        <v>109</v>
      </c>
      <c r="R1130" t="str">
        <f>_xlfn.XLOOKUP(GERAL[[#This Row],[Dia]],U:U,V:V,"")</f>
        <v/>
      </c>
    </row>
    <row r="1131" spans="1:18" hidden="1" x14ac:dyDescent="0.3">
      <c r="A1131" t="str">
        <f>_xlfn.XLOOKUP(GERAL[[#This Row],[Dia]],U:U,T:T,"")</f>
        <v/>
      </c>
      <c r="B1131" s="1">
        <v>46003</v>
      </c>
      <c r="C1131" t="s">
        <v>26</v>
      </c>
      <c r="D1131" s="1">
        <v>46003</v>
      </c>
      <c r="Q1131" t="s">
        <v>109</v>
      </c>
      <c r="R1131" t="str">
        <f>_xlfn.XLOOKUP(GERAL[[#This Row],[Dia]],U:U,V:V,"")</f>
        <v/>
      </c>
    </row>
    <row r="1132" spans="1:18" hidden="1" x14ac:dyDescent="0.3">
      <c r="A1132" t="str">
        <f>_xlfn.XLOOKUP(GERAL[[#This Row],[Dia]],U:U,T:T,"")</f>
        <v/>
      </c>
      <c r="B1132" s="1">
        <v>46004</v>
      </c>
      <c r="C1132" t="s">
        <v>16</v>
      </c>
      <c r="D1132" s="1">
        <v>46004</v>
      </c>
      <c r="E1132" t="s">
        <v>17</v>
      </c>
      <c r="Q1132" t="s">
        <v>109</v>
      </c>
      <c r="R1132" t="str">
        <f>_xlfn.XLOOKUP(GERAL[[#This Row],[Dia]],U:U,V:V,"")</f>
        <v/>
      </c>
    </row>
    <row r="1133" spans="1:18" hidden="1" x14ac:dyDescent="0.3">
      <c r="A1133" t="str">
        <f>_xlfn.XLOOKUP(GERAL[[#This Row],[Dia]],U:U,T:T,"")</f>
        <v/>
      </c>
      <c r="B1133" s="1">
        <v>46005</v>
      </c>
      <c r="C1133" t="s">
        <v>21</v>
      </c>
      <c r="D1133" s="1">
        <v>46005</v>
      </c>
      <c r="E1133" t="s">
        <v>17</v>
      </c>
      <c r="Q1133" t="s">
        <v>109</v>
      </c>
      <c r="R1133" t="str">
        <f>_xlfn.XLOOKUP(GERAL[[#This Row],[Dia]],U:U,V:V,"")</f>
        <v/>
      </c>
    </row>
    <row r="1134" spans="1:18" hidden="1" x14ac:dyDescent="0.3">
      <c r="A1134" t="str">
        <f>_xlfn.XLOOKUP(GERAL[[#This Row],[Dia]],U:U,T:T,"")</f>
        <v/>
      </c>
      <c r="B1134" s="1">
        <v>46006</v>
      </c>
      <c r="C1134" t="s">
        <v>22</v>
      </c>
      <c r="D1134" s="1">
        <v>46006</v>
      </c>
      <c r="Q1134" t="s">
        <v>109</v>
      </c>
      <c r="R1134" t="str">
        <f>_xlfn.XLOOKUP(GERAL[[#This Row],[Dia]],U:U,V:V,"")</f>
        <v/>
      </c>
    </row>
    <row r="1135" spans="1:18" hidden="1" x14ac:dyDescent="0.3">
      <c r="A1135" t="str">
        <f>_xlfn.XLOOKUP(GERAL[[#This Row],[Dia]],U:U,T:T,"")</f>
        <v/>
      </c>
      <c r="B1135" s="1">
        <v>46007</v>
      </c>
      <c r="C1135" t="s">
        <v>23</v>
      </c>
      <c r="D1135" s="1">
        <v>46007</v>
      </c>
      <c r="Q1135" t="s">
        <v>109</v>
      </c>
      <c r="R1135" t="str">
        <f>_xlfn.XLOOKUP(GERAL[[#This Row],[Dia]],U:U,V:V,"")</f>
        <v/>
      </c>
    </row>
    <row r="1136" spans="1:18" hidden="1" x14ac:dyDescent="0.3">
      <c r="A1136" t="str">
        <f>_xlfn.XLOOKUP(GERAL[[#This Row],[Dia]],U:U,T:T,"")</f>
        <v/>
      </c>
      <c r="B1136" s="1">
        <v>46008</v>
      </c>
      <c r="C1136" t="s">
        <v>24</v>
      </c>
      <c r="D1136" s="1">
        <v>46008</v>
      </c>
      <c r="Q1136" t="s">
        <v>109</v>
      </c>
      <c r="R1136" t="str">
        <f>_xlfn.XLOOKUP(GERAL[[#This Row],[Dia]],U:U,V:V,"")</f>
        <v/>
      </c>
    </row>
    <row r="1137" spans="1:18" hidden="1" x14ac:dyDescent="0.3">
      <c r="A1137" t="str">
        <f>_xlfn.XLOOKUP(GERAL[[#This Row],[Dia]],U:U,T:T,"")</f>
        <v/>
      </c>
      <c r="B1137" s="1">
        <v>46009</v>
      </c>
      <c r="C1137" t="s">
        <v>25</v>
      </c>
      <c r="D1137" s="1">
        <v>46009</v>
      </c>
      <c r="Q1137" t="s">
        <v>109</v>
      </c>
      <c r="R1137" t="str">
        <f>_xlfn.XLOOKUP(GERAL[[#This Row],[Dia]],U:U,V:V,"")</f>
        <v/>
      </c>
    </row>
    <row r="1138" spans="1:18" hidden="1" x14ac:dyDescent="0.3">
      <c r="A1138" t="str">
        <f>_xlfn.XLOOKUP(GERAL[[#This Row],[Dia]],U:U,T:T,"")</f>
        <v/>
      </c>
      <c r="B1138" s="1">
        <v>46010</v>
      </c>
      <c r="C1138" t="s">
        <v>26</v>
      </c>
      <c r="D1138" s="1">
        <v>46010</v>
      </c>
      <c r="Q1138" t="s">
        <v>109</v>
      </c>
      <c r="R1138" t="str">
        <f>_xlfn.XLOOKUP(GERAL[[#This Row],[Dia]],U:U,V:V,"")</f>
        <v/>
      </c>
    </row>
    <row r="1139" spans="1:18" hidden="1" x14ac:dyDescent="0.3">
      <c r="A1139" t="str">
        <f>_xlfn.XLOOKUP(GERAL[[#This Row],[Dia]],U:U,T:T,"")</f>
        <v/>
      </c>
      <c r="B1139" s="1">
        <v>46011</v>
      </c>
      <c r="C1139" t="s">
        <v>16</v>
      </c>
      <c r="D1139" s="1">
        <v>46011</v>
      </c>
      <c r="E1139" t="s">
        <v>17</v>
      </c>
      <c r="Q1139" t="s">
        <v>109</v>
      </c>
      <c r="R1139" t="str">
        <f>_xlfn.XLOOKUP(GERAL[[#This Row],[Dia]],U:U,V:V,"")</f>
        <v/>
      </c>
    </row>
    <row r="1140" spans="1:18" hidden="1" x14ac:dyDescent="0.3">
      <c r="A1140" t="str">
        <f>_xlfn.XLOOKUP(GERAL[[#This Row],[Dia]],U:U,T:T,"")</f>
        <v/>
      </c>
      <c r="B1140" s="1">
        <v>46012</v>
      </c>
      <c r="C1140" t="s">
        <v>21</v>
      </c>
      <c r="D1140" s="1">
        <v>46012</v>
      </c>
      <c r="E1140" t="s">
        <v>17</v>
      </c>
      <c r="Q1140" t="s">
        <v>109</v>
      </c>
      <c r="R1140" t="str">
        <f>_xlfn.XLOOKUP(GERAL[[#This Row],[Dia]],U:U,V:V,"")</f>
        <v/>
      </c>
    </row>
    <row r="1141" spans="1:18" hidden="1" x14ac:dyDescent="0.3">
      <c r="A1141" t="str">
        <f>_xlfn.XLOOKUP(GERAL[[#This Row],[Dia]],U:U,T:T,"")</f>
        <v/>
      </c>
      <c r="B1141" s="1">
        <v>46013</v>
      </c>
      <c r="C1141" t="s">
        <v>22</v>
      </c>
      <c r="D1141" s="1">
        <v>46013</v>
      </c>
      <c r="Q1141" t="s">
        <v>109</v>
      </c>
      <c r="R1141" t="str">
        <f>_xlfn.XLOOKUP(GERAL[[#This Row],[Dia]],U:U,V:V,"")</f>
        <v/>
      </c>
    </row>
    <row r="1142" spans="1:18" hidden="1" x14ac:dyDescent="0.3">
      <c r="A1142" t="str">
        <f>_xlfn.XLOOKUP(GERAL[[#This Row],[Dia]],U:U,T:T,"")</f>
        <v/>
      </c>
      <c r="B1142" s="1">
        <v>46014</v>
      </c>
      <c r="C1142" t="s">
        <v>23</v>
      </c>
      <c r="D1142" s="1">
        <v>46014</v>
      </c>
      <c r="Q1142" t="s">
        <v>109</v>
      </c>
      <c r="R1142" t="str">
        <f>_xlfn.XLOOKUP(GERAL[[#This Row],[Dia]],U:U,V:V,"")</f>
        <v/>
      </c>
    </row>
    <row r="1143" spans="1:18" hidden="1" x14ac:dyDescent="0.3">
      <c r="A1143" t="str">
        <f>_xlfn.XLOOKUP(GERAL[[#This Row],[Dia]],U:U,T:T,"")</f>
        <v/>
      </c>
      <c r="B1143" s="1">
        <v>46015</v>
      </c>
      <c r="C1143" t="s">
        <v>24</v>
      </c>
      <c r="D1143" s="1">
        <v>46015</v>
      </c>
      <c r="Q1143" t="s">
        <v>109</v>
      </c>
      <c r="R1143" t="str">
        <f>_xlfn.XLOOKUP(GERAL[[#This Row],[Dia]],U:U,V:V,"")</f>
        <v/>
      </c>
    </row>
    <row r="1144" spans="1:18" hidden="1" x14ac:dyDescent="0.3">
      <c r="A1144" t="str">
        <f>_xlfn.XLOOKUP(GERAL[[#This Row],[Dia]],U:U,T:T,"")</f>
        <v/>
      </c>
      <c r="B1144" s="1">
        <v>46016</v>
      </c>
      <c r="C1144" t="s">
        <v>25</v>
      </c>
      <c r="D1144" s="1">
        <v>46016</v>
      </c>
      <c r="Q1144" t="s">
        <v>109</v>
      </c>
      <c r="R1144" t="str">
        <f>_xlfn.XLOOKUP(GERAL[[#This Row],[Dia]],U:U,V:V,"")</f>
        <v/>
      </c>
    </row>
    <row r="1145" spans="1:18" hidden="1" x14ac:dyDescent="0.3">
      <c r="A1145" t="str">
        <f>_xlfn.XLOOKUP(GERAL[[#This Row],[Dia]],U:U,T:T,"")</f>
        <v/>
      </c>
      <c r="B1145" s="1">
        <v>46017</v>
      </c>
      <c r="C1145" t="s">
        <v>26</v>
      </c>
      <c r="D1145" s="1">
        <v>46017</v>
      </c>
      <c r="Q1145" t="s">
        <v>109</v>
      </c>
      <c r="R1145" t="str">
        <f>_xlfn.XLOOKUP(GERAL[[#This Row],[Dia]],U:U,V:V,"")</f>
        <v/>
      </c>
    </row>
    <row r="1146" spans="1:18" hidden="1" x14ac:dyDescent="0.3">
      <c r="A1146" t="str">
        <f>_xlfn.XLOOKUP(GERAL[[#This Row],[Dia]],U:U,T:T,"")</f>
        <v/>
      </c>
      <c r="B1146" s="1">
        <v>46018</v>
      </c>
      <c r="C1146" t="s">
        <v>16</v>
      </c>
      <c r="D1146" s="1">
        <v>46018</v>
      </c>
      <c r="E1146" t="s">
        <v>17</v>
      </c>
      <c r="Q1146" t="s">
        <v>109</v>
      </c>
      <c r="R1146" t="str">
        <f>_xlfn.XLOOKUP(GERAL[[#This Row],[Dia]],U:U,V:V,"")</f>
        <v/>
      </c>
    </row>
    <row r="1147" spans="1:18" hidden="1" x14ac:dyDescent="0.3">
      <c r="A1147" t="str">
        <f>_xlfn.XLOOKUP(GERAL[[#This Row],[Dia]],U:U,T:T,"")</f>
        <v/>
      </c>
      <c r="B1147" s="1">
        <v>46019</v>
      </c>
      <c r="C1147" t="s">
        <v>21</v>
      </c>
      <c r="D1147" s="1">
        <v>46019</v>
      </c>
      <c r="E1147" t="s">
        <v>17</v>
      </c>
      <c r="Q1147" t="s">
        <v>109</v>
      </c>
      <c r="R1147" t="str">
        <f>_xlfn.XLOOKUP(GERAL[[#This Row],[Dia]],U:U,V:V,"")</f>
        <v/>
      </c>
    </row>
    <row r="1148" spans="1:18" hidden="1" x14ac:dyDescent="0.3">
      <c r="A1148" t="str">
        <f>_xlfn.XLOOKUP(GERAL[[#This Row],[Dia]],U:U,T:T,"")</f>
        <v/>
      </c>
      <c r="B1148" s="1">
        <v>46020</v>
      </c>
      <c r="C1148" t="s">
        <v>22</v>
      </c>
      <c r="D1148" s="1">
        <v>46020</v>
      </c>
      <c r="Q1148" t="s">
        <v>109</v>
      </c>
      <c r="R1148" t="str">
        <f>_xlfn.XLOOKUP(GERAL[[#This Row],[Dia]],U:U,V:V,"")</f>
        <v/>
      </c>
    </row>
    <row r="1149" spans="1:18" hidden="1" x14ac:dyDescent="0.3">
      <c r="A1149" t="str">
        <f>_xlfn.XLOOKUP(GERAL[[#This Row],[Dia]],U:U,T:T,"")</f>
        <v/>
      </c>
      <c r="B1149" s="1">
        <v>46021</v>
      </c>
      <c r="C1149" t="s">
        <v>23</v>
      </c>
      <c r="D1149" s="1">
        <v>46021</v>
      </c>
      <c r="Q1149" t="s">
        <v>109</v>
      </c>
      <c r="R1149" t="str">
        <f>_xlfn.XLOOKUP(GERAL[[#This Row],[Dia]],U:U,V:V,"")</f>
        <v/>
      </c>
    </row>
    <row r="1150" spans="1:18" hidden="1" x14ac:dyDescent="0.3">
      <c r="A1150" t="str">
        <f>_xlfn.XLOOKUP(GERAL[[#This Row],[Dia]],U:U,T:T,"")</f>
        <v/>
      </c>
      <c r="B1150" s="1">
        <v>46022</v>
      </c>
      <c r="C1150" t="s">
        <v>24</v>
      </c>
      <c r="D1150" s="1">
        <v>46022</v>
      </c>
      <c r="Q1150" t="s">
        <v>109</v>
      </c>
      <c r="R1150" t="str">
        <f>_xlfn.XLOOKUP(GERAL[[#This Row],[Dia]],U:U,V:V,"")</f>
        <v/>
      </c>
    </row>
    <row r="1151" spans="1:18" hidden="1" x14ac:dyDescent="0.3">
      <c r="A1151" t="str">
        <f>_xlfn.XLOOKUP(GERAL[[#This Row],[Dia]],U:U,T:T,"")</f>
        <v/>
      </c>
      <c r="B1151" s="1">
        <v>46023</v>
      </c>
      <c r="C1151" t="s">
        <v>25</v>
      </c>
      <c r="D1151" s="1">
        <v>46023</v>
      </c>
      <c r="Q1151" t="s">
        <v>109</v>
      </c>
      <c r="R1151" t="str">
        <f>_xlfn.XLOOKUP(GERAL[[#This Row],[Dia]],U:U,V:V,"")</f>
        <v/>
      </c>
    </row>
    <row r="1152" spans="1:18" hidden="1" x14ac:dyDescent="0.3">
      <c r="A1152" t="str">
        <f>_xlfn.XLOOKUP(GERAL[[#This Row],[Dia]],U:U,T:T,"")</f>
        <v/>
      </c>
      <c r="B1152" s="1">
        <v>46024</v>
      </c>
      <c r="C1152" t="s">
        <v>26</v>
      </c>
      <c r="D1152" s="1">
        <v>46024</v>
      </c>
      <c r="Q1152" t="s">
        <v>109</v>
      </c>
      <c r="R1152" t="str">
        <f>_xlfn.XLOOKUP(GERAL[[#This Row],[Dia]],U:U,V:V,"")</f>
        <v/>
      </c>
    </row>
    <row r="1153" spans="1:18" hidden="1" x14ac:dyDescent="0.3">
      <c r="A1153" t="str">
        <f>_xlfn.XLOOKUP(GERAL[[#This Row],[Dia]],U:U,T:T,"")</f>
        <v/>
      </c>
      <c r="B1153" s="1">
        <v>46025</v>
      </c>
      <c r="C1153" t="s">
        <v>16</v>
      </c>
      <c r="D1153" s="1">
        <v>46025</v>
      </c>
      <c r="E1153" t="s">
        <v>17</v>
      </c>
      <c r="Q1153" t="s">
        <v>109</v>
      </c>
      <c r="R1153" t="str">
        <f>_xlfn.XLOOKUP(GERAL[[#This Row],[Dia]],U:U,V:V,"")</f>
        <v/>
      </c>
    </row>
    <row r="1154" spans="1:18" hidden="1" x14ac:dyDescent="0.3">
      <c r="A1154" t="str">
        <f>_xlfn.XLOOKUP(GERAL[[#This Row],[Dia]],U:U,T:T,"")</f>
        <v/>
      </c>
      <c r="B1154" s="1">
        <v>46026</v>
      </c>
      <c r="C1154" t="s">
        <v>21</v>
      </c>
      <c r="D1154" s="1">
        <v>46026</v>
      </c>
      <c r="E1154" t="s">
        <v>17</v>
      </c>
      <c r="Q1154" t="s">
        <v>109</v>
      </c>
      <c r="R1154" t="str">
        <f>_xlfn.XLOOKUP(GERAL[[#This Row],[Dia]],U:U,V:V,"")</f>
        <v/>
      </c>
    </row>
    <row r="1155" spans="1:18" hidden="1" x14ac:dyDescent="0.3">
      <c r="A1155" t="str">
        <f>_xlfn.XLOOKUP(GERAL[[#This Row],[Dia]],U:U,T:T,"")</f>
        <v/>
      </c>
      <c r="B1155" s="1">
        <v>46027</v>
      </c>
      <c r="C1155" t="s">
        <v>22</v>
      </c>
      <c r="D1155" s="1">
        <v>46027</v>
      </c>
      <c r="Q1155" t="s">
        <v>109</v>
      </c>
      <c r="R1155" t="str">
        <f>_xlfn.XLOOKUP(GERAL[[#This Row],[Dia]],U:U,V:V,"")</f>
        <v/>
      </c>
    </row>
    <row r="1156" spans="1:18" hidden="1" x14ac:dyDescent="0.3">
      <c r="A1156" t="str">
        <f>_xlfn.XLOOKUP(GERAL[[#This Row],[Dia]],U:U,T:T,"")</f>
        <v/>
      </c>
      <c r="B1156" s="1">
        <v>46028</v>
      </c>
      <c r="C1156" t="s">
        <v>23</v>
      </c>
      <c r="D1156" s="1">
        <v>46028</v>
      </c>
      <c r="Q1156" t="s">
        <v>109</v>
      </c>
      <c r="R1156" t="str">
        <f>_xlfn.XLOOKUP(GERAL[[#This Row],[Dia]],U:U,V:V,"")</f>
        <v/>
      </c>
    </row>
    <row r="1157" spans="1:18" hidden="1" x14ac:dyDescent="0.3">
      <c r="A1157" t="str">
        <f>_xlfn.XLOOKUP(GERAL[[#This Row],[Dia]],U:U,T:T,"")</f>
        <v/>
      </c>
      <c r="B1157" s="1">
        <v>46029</v>
      </c>
      <c r="C1157" t="s">
        <v>24</v>
      </c>
      <c r="D1157" s="1">
        <v>46029</v>
      </c>
      <c r="Q1157" t="s">
        <v>109</v>
      </c>
      <c r="R1157" t="str">
        <f>_xlfn.XLOOKUP(GERAL[[#This Row],[Dia]],U:U,V:V,"")</f>
        <v/>
      </c>
    </row>
    <row r="1158" spans="1:18" hidden="1" x14ac:dyDescent="0.3">
      <c r="A1158" t="str">
        <f>_xlfn.XLOOKUP(GERAL[[#This Row],[Dia]],U:U,T:T,"")</f>
        <v/>
      </c>
      <c r="B1158" s="1">
        <v>46030</v>
      </c>
      <c r="C1158" t="s">
        <v>25</v>
      </c>
      <c r="D1158" s="1">
        <v>46030</v>
      </c>
      <c r="Q1158" t="s">
        <v>109</v>
      </c>
      <c r="R1158" t="str">
        <f>_xlfn.XLOOKUP(GERAL[[#This Row],[Dia]],U:U,V:V,"")</f>
        <v/>
      </c>
    </row>
    <row r="1159" spans="1:18" hidden="1" x14ac:dyDescent="0.3">
      <c r="A1159" t="str">
        <f>_xlfn.XLOOKUP(GERAL[[#This Row],[Dia]],U:U,T:T,"")</f>
        <v/>
      </c>
      <c r="B1159" s="1">
        <v>46031</v>
      </c>
      <c r="C1159" t="s">
        <v>26</v>
      </c>
      <c r="D1159" s="1">
        <v>46031</v>
      </c>
      <c r="Q1159" t="s">
        <v>109</v>
      </c>
      <c r="R1159" t="str">
        <f>_xlfn.XLOOKUP(GERAL[[#This Row],[Dia]],U:U,V:V,"")</f>
        <v/>
      </c>
    </row>
    <row r="1160" spans="1:18" hidden="1" x14ac:dyDescent="0.3">
      <c r="A1160" t="str">
        <f>_xlfn.XLOOKUP(GERAL[[#This Row],[Dia]],U:U,T:T,"")</f>
        <v/>
      </c>
      <c r="B1160" s="1">
        <v>46032</v>
      </c>
      <c r="C1160" t="s">
        <v>16</v>
      </c>
      <c r="D1160" s="1">
        <v>46032</v>
      </c>
      <c r="E1160" t="s">
        <v>17</v>
      </c>
      <c r="Q1160" t="s">
        <v>109</v>
      </c>
      <c r="R1160" t="str">
        <f>_xlfn.XLOOKUP(GERAL[[#This Row],[Dia]],U:U,V:V,"")</f>
        <v/>
      </c>
    </row>
    <row r="1161" spans="1:18" hidden="1" x14ac:dyDescent="0.3">
      <c r="A1161" t="str">
        <f>_xlfn.XLOOKUP(GERAL[[#This Row],[Dia]],U:U,T:T,"")</f>
        <v/>
      </c>
      <c r="B1161" s="1">
        <v>46033</v>
      </c>
      <c r="C1161" t="s">
        <v>21</v>
      </c>
      <c r="D1161" s="1">
        <v>46033</v>
      </c>
      <c r="E1161" t="s">
        <v>17</v>
      </c>
      <c r="Q1161" t="s">
        <v>109</v>
      </c>
      <c r="R1161" t="str">
        <f>_xlfn.XLOOKUP(GERAL[[#This Row],[Dia]],U:U,V:V,"")</f>
        <v/>
      </c>
    </row>
    <row r="1162" spans="1:18" hidden="1" x14ac:dyDescent="0.3">
      <c r="A1162" t="str">
        <f>_xlfn.XLOOKUP(GERAL[[#This Row],[Dia]],U:U,T:T,"")</f>
        <v/>
      </c>
      <c r="B1162" s="1">
        <v>46034</v>
      </c>
      <c r="C1162" t="s">
        <v>22</v>
      </c>
      <c r="D1162" s="1">
        <v>46034</v>
      </c>
      <c r="E1162" t="s">
        <v>36</v>
      </c>
      <c r="F1162" t="s">
        <v>110</v>
      </c>
      <c r="G1162" t="s">
        <v>111</v>
      </c>
      <c r="H1162">
        <v>0</v>
      </c>
      <c r="I1162">
        <v>0</v>
      </c>
      <c r="J1162">
        <v>48</v>
      </c>
      <c r="K1162">
        <v>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109</v>
      </c>
      <c r="R1162" t="str">
        <f>_xlfn.XLOOKUP(GERAL[[#This Row],[Dia]],U:U,V:V,"")</f>
        <v/>
      </c>
    </row>
    <row r="1163" spans="1:18" hidden="1" x14ac:dyDescent="0.3">
      <c r="A1163" t="str">
        <f>_xlfn.XLOOKUP(GERAL[[#This Row],[Dia]],U:U,T:T,"")</f>
        <v/>
      </c>
      <c r="B1163" s="1">
        <v>46035</v>
      </c>
      <c r="C1163" t="s">
        <v>23</v>
      </c>
      <c r="D1163" s="1">
        <v>46035</v>
      </c>
      <c r="E1163" t="s">
        <v>36</v>
      </c>
      <c r="F1163" t="s">
        <v>110</v>
      </c>
      <c r="G1163" t="s">
        <v>111</v>
      </c>
      <c r="H1163">
        <v>0</v>
      </c>
      <c r="I1163">
        <v>0</v>
      </c>
      <c r="J1163">
        <v>58</v>
      </c>
      <c r="K1163">
        <v>6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109</v>
      </c>
      <c r="R1163" t="str">
        <f>_xlfn.XLOOKUP(GERAL[[#This Row],[Dia]],U:U,V:V,"")</f>
        <v/>
      </c>
    </row>
    <row r="1164" spans="1:18" hidden="1" x14ac:dyDescent="0.3">
      <c r="A1164" t="str">
        <f>_xlfn.XLOOKUP(GERAL[[#This Row],[Dia]],U:U,T:T,"")</f>
        <v/>
      </c>
      <c r="B1164" s="1">
        <v>46036</v>
      </c>
      <c r="C1164" t="s">
        <v>24</v>
      </c>
      <c r="D1164" s="1">
        <v>46036</v>
      </c>
      <c r="E1164" t="s">
        <v>36</v>
      </c>
      <c r="F1164" t="s">
        <v>110</v>
      </c>
      <c r="G1164" t="s">
        <v>111</v>
      </c>
      <c r="H1164">
        <v>0</v>
      </c>
      <c r="I1164">
        <v>0</v>
      </c>
      <c r="J1164">
        <v>40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 t="s">
        <v>109</v>
      </c>
      <c r="R1164" t="str">
        <f>_xlfn.XLOOKUP(GERAL[[#This Row],[Dia]],U:U,V:V,"")</f>
        <v/>
      </c>
    </row>
    <row r="1165" spans="1:18" hidden="1" x14ac:dyDescent="0.3">
      <c r="A1165" t="str">
        <f>_xlfn.XLOOKUP(GERAL[[#This Row],[Dia]],U:U,T:T,"")</f>
        <v/>
      </c>
      <c r="B1165" s="1">
        <v>46037</v>
      </c>
      <c r="C1165" t="s">
        <v>25</v>
      </c>
      <c r="D1165" s="1">
        <v>46037</v>
      </c>
      <c r="E1165" t="s">
        <v>36</v>
      </c>
      <c r="F1165" t="s">
        <v>110</v>
      </c>
      <c r="G1165" t="s">
        <v>111</v>
      </c>
      <c r="H1165">
        <v>0</v>
      </c>
      <c r="I1165">
        <v>0</v>
      </c>
      <c r="J1165">
        <v>30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 t="s">
        <v>109</v>
      </c>
      <c r="R1165" t="str">
        <f>_xlfn.XLOOKUP(GERAL[[#This Row],[Dia]],U:U,V:V,"")</f>
        <v/>
      </c>
    </row>
    <row r="1166" spans="1:18" hidden="1" x14ac:dyDescent="0.3">
      <c r="A1166" t="str">
        <f>_xlfn.XLOOKUP(GERAL[[#This Row],[Dia]],U:U,T:T,"")</f>
        <v/>
      </c>
      <c r="B1166" s="1">
        <v>46038</v>
      </c>
      <c r="C1166" t="s">
        <v>26</v>
      </c>
      <c r="D1166" s="1">
        <v>46038</v>
      </c>
      <c r="E1166" t="s">
        <v>36</v>
      </c>
      <c r="F1166" t="s">
        <v>110</v>
      </c>
      <c r="G1166" t="s">
        <v>111</v>
      </c>
      <c r="H1166">
        <v>0</v>
      </c>
      <c r="I1166">
        <v>0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0</v>
      </c>
      <c r="P1166">
        <v>0</v>
      </c>
      <c r="Q1166" t="s">
        <v>109</v>
      </c>
      <c r="R1166" t="str">
        <f>_xlfn.XLOOKUP(GERAL[[#This Row],[Dia]],U:U,V:V,"")</f>
        <v/>
      </c>
    </row>
    <row r="1167" spans="1:18" hidden="1" x14ac:dyDescent="0.3">
      <c r="A1167" t="str">
        <f>_xlfn.XLOOKUP(GERAL[[#This Row],[Dia]],U:U,T:T,"")</f>
        <v/>
      </c>
      <c r="B1167" s="1">
        <v>46039</v>
      </c>
      <c r="C1167" t="s">
        <v>16</v>
      </c>
      <c r="D1167" s="1">
        <v>46039</v>
      </c>
      <c r="E1167" t="s">
        <v>36</v>
      </c>
      <c r="F1167" t="s">
        <v>110</v>
      </c>
      <c r="G1167" t="s">
        <v>111</v>
      </c>
      <c r="H1167">
        <v>0</v>
      </c>
      <c r="I1167">
        <v>0</v>
      </c>
      <c r="J1167">
        <v>6</v>
      </c>
      <c r="K1167">
        <v>6</v>
      </c>
      <c r="L1167">
        <v>1</v>
      </c>
      <c r="M1167">
        <v>0</v>
      </c>
      <c r="N1167">
        <v>0</v>
      </c>
      <c r="O1167">
        <v>0</v>
      </c>
      <c r="P1167">
        <v>0</v>
      </c>
      <c r="Q1167" t="s">
        <v>109</v>
      </c>
      <c r="R1167" t="str">
        <f>_xlfn.XLOOKUP(GERAL[[#This Row],[Dia]],U:U,V:V,"")</f>
        <v/>
      </c>
    </row>
    <row r="1168" spans="1:18" hidden="1" x14ac:dyDescent="0.3">
      <c r="A1168" t="str">
        <f>_xlfn.XLOOKUP(GERAL[[#This Row],[Dia]],U:U,T:T,"")</f>
        <v/>
      </c>
      <c r="B1168" s="1">
        <v>46040</v>
      </c>
      <c r="C1168" t="s">
        <v>21</v>
      </c>
      <c r="D1168" s="1">
        <v>46040</v>
      </c>
      <c r="E1168" t="s">
        <v>17</v>
      </c>
      <c r="Q1168" t="s">
        <v>109</v>
      </c>
      <c r="R1168" t="str">
        <f>_xlfn.XLOOKUP(GERAL[[#This Row],[Dia]],U:U,V:V,"")</f>
        <v/>
      </c>
    </row>
    <row r="1169" spans="1:18" hidden="1" x14ac:dyDescent="0.3">
      <c r="A1169" t="str">
        <f>_xlfn.XLOOKUP(GERAL[[#This Row],[Dia]],U:U,T:T,"")</f>
        <v/>
      </c>
      <c r="B1169" s="1">
        <v>46041</v>
      </c>
      <c r="C1169" t="s">
        <v>22</v>
      </c>
      <c r="D1169" s="1">
        <v>46041</v>
      </c>
      <c r="E1169" t="s">
        <v>36</v>
      </c>
      <c r="F1169" t="s">
        <v>110</v>
      </c>
      <c r="G1169" t="s">
        <v>111</v>
      </c>
      <c r="H1169">
        <v>0</v>
      </c>
      <c r="I1169">
        <v>0</v>
      </c>
      <c r="J1169">
        <v>13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109</v>
      </c>
      <c r="R1169" t="str">
        <f>_xlfn.XLOOKUP(GERAL[[#This Row],[Dia]],U:U,V:V,"")</f>
        <v/>
      </c>
    </row>
    <row r="1170" spans="1:18" hidden="1" x14ac:dyDescent="0.3">
      <c r="A1170" t="str">
        <f>_xlfn.XLOOKUP(GERAL[[#This Row],[Dia]],U:U,T:T,"")</f>
        <v/>
      </c>
      <c r="B1170" s="1">
        <v>46042</v>
      </c>
      <c r="C1170" t="s">
        <v>23</v>
      </c>
      <c r="D1170" s="1">
        <v>46042</v>
      </c>
      <c r="E1170" t="s">
        <v>36</v>
      </c>
      <c r="F1170" t="s">
        <v>110</v>
      </c>
      <c r="G1170" t="s">
        <v>111</v>
      </c>
      <c r="H1170">
        <v>0</v>
      </c>
      <c r="I1170">
        <v>0</v>
      </c>
      <c r="J1170">
        <v>15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109</v>
      </c>
      <c r="R1170" t="str">
        <f>_xlfn.XLOOKUP(GERAL[[#This Row],[Dia]],U:U,V:V,"")</f>
        <v/>
      </c>
    </row>
    <row r="1171" spans="1:18" hidden="1" x14ac:dyDescent="0.3">
      <c r="A1171" t="str">
        <f>_xlfn.XLOOKUP(GERAL[[#This Row],[Dia]],U:U,T:T,"")</f>
        <v/>
      </c>
      <c r="B1171" s="1">
        <v>46043</v>
      </c>
      <c r="C1171" t="s">
        <v>24</v>
      </c>
      <c r="D1171" s="1">
        <v>46043</v>
      </c>
      <c r="E1171" t="s">
        <v>36</v>
      </c>
      <c r="F1171" t="s">
        <v>110</v>
      </c>
      <c r="G1171" t="s">
        <v>111</v>
      </c>
      <c r="H1171">
        <v>0</v>
      </c>
      <c r="I1171">
        <v>0</v>
      </c>
      <c r="J1171">
        <v>28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">
        <v>109</v>
      </c>
      <c r="R1171" t="str">
        <f>_xlfn.XLOOKUP(GERAL[[#This Row],[Dia]],U:U,V:V,"")</f>
        <v/>
      </c>
    </row>
    <row r="1172" spans="1:18" hidden="1" x14ac:dyDescent="0.3">
      <c r="A1172" t="str">
        <f>_xlfn.XLOOKUP(GERAL[[#This Row],[Dia]],U:U,T:T,"")</f>
        <v/>
      </c>
      <c r="B1172" s="1">
        <v>46044</v>
      </c>
      <c r="C1172" t="s">
        <v>25</v>
      </c>
      <c r="D1172" s="1">
        <v>46044</v>
      </c>
      <c r="E1172" t="s">
        <v>36</v>
      </c>
      <c r="F1172" t="s">
        <v>110</v>
      </c>
      <c r="G1172" t="s">
        <v>111</v>
      </c>
      <c r="H1172">
        <v>0</v>
      </c>
      <c r="I1172">
        <v>0</v>
      </c>
      <c r="J1172">
        <v>12</v>
      </c>
      <c r="K1172">
        <v>6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109</v>
      </c>
      <c r="R1172" t="str">
        <f>_xlfn.XLOOKUP(GERAL[[#This Row],[Dia]],U:U,V:V,"")</f>
        <v/>
      </c>
    </row>
    <row r="1173" spans="1:18" hidden="1" x14ac:dyDescent="0.3">
      <c r="A1173" t="str">
        <f>_xlfn.XLOOKUP(GERAL[[#This Row],[Dia]],U:U,T:T,"")</f>
        <v/>
      </c>
      <c r="B1173" s="1">
        <v>46045</v>
      </c>
      <c r="C1173" t="s">
        <v>26</v>
      </c>
      <c r="D1173" s="1">
        <v>46045</v>
      </c>
      <c r="E1173" t="s">
        <v>36</v>
      </c>
      <c r="F1173" t="s">
        <v>110</v>
      </c>
      <c r="G1173" t="s">
        <v>111</v>
      </c>
      <c r="H1173">
        <v>0</v>
      </c>
      <c r="I1173">
        <v>0</v>
      </c>
      <c r="J1173">
        <v>12</v>
      </c>
      <c r="K1173">
        <v>6</v>
      </c>
      <c r="L1173">
        <v>1</v>
      </c>
      <c r="M1173">
        <v>0</v>
      </c>
      <c r="N1173">
        <v>0</v>
      </c>
      <c r="O1173">
        <v>0</v>
      </c>
      <c r="P1173">
        <v>0</v>
      </c>
      <c r="Q1173" t="s">
        <v>109</v>
      </c>
      <c r="R1173" t="str">
        <f>_xlfn.XLOOKUP(GERAL[[#This Row],[Dia]],U:U,V:V,"")</f>
        <v/>
      </c>
    </row>
    <row r="1174" spans="1:18" hidden="1" x14ac:dyDescent="0.3">
      <c r="A1174" t="str">
        <f>_xlfn.XLOOKUP(GERAL[[#This Row],[Dia]],U:U,T:T,"")</f>
        <v/>
      </c>
      <c r="B1174" s="1">
        <v>46046</v>
      </c>
      <c r="C1174" t="s">
        <v>16</v>
      </c>
      <c r="D1174" s="1">
        <v>46046</v>
      </c>
      <c r="E1174" t="s">
        <v>36</v>
      </c>
      <c r="F1174" t="s">
        <v>110</v>
      </c>
      <c r="G1174" t="s">
        <v>111</v>
      </c>
      <c r="H1174">
        <v>0</v>
      </c>
      <c r="I1174">
        <v>0</v>
      </c>
      <c r="J1174">
        <v>12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 t="s">
        <v>109</v>
      </c>
      <c r="R1174" t="str">
        <f>_xlfn.XLOOKUP(GERAL[[#This Row],[Dia]],U:U,V:V,"")</f>
        <v/>
      </c>
    </row>
    <row r="1175" spans="1:18" hidden="1" x14ac:dyDescent="0.3">
      <c r="A1175" t="str">
        <f>_xlfn.XLOOKUP(GERAL[[#This Row],[Dia]],U:U,T:T,"")</f>
        <v/>
      </c>
      <c r="B1175" s="1">
        <v>46047</v>
      </c>
      <c r="C1175" t="s">
        <v>21</v>
      </c>
      <c r="D1175" s="1">
        <v>46047</v>
      </c>
      <c r="E1175" t="s">
        <v>17</v>
      </c>
      <c r="Q1175" t="s">
        <v>109</v>
      </c>
      <c r="R1175" t="str">
        <f>_xlfn.XLOOKUP(GERAL[[#This Row],[Dia]],U:U,V:V,"")</f>
        <v/>
      </c>
    </row>
    <row r="1176" spans="1:18" hidden="1" x14ac:dyDescent="0.3">
      <c r="A1176" t="str">
        <f>_xlfn.XLOOKUP(GERAL[[#This Row],[Dia]],U:U,T:T,"")</f>
        <v/>
      </c>
      <c r="B1176" s="1">
        <v>46048</v>
      </c>
      <c r="C1176" t="s">
        <v>22</v>
      </c>
      <c r="D1176" s="1">
        <v>46048</v>
      </c>
      <c r="E1176" t="s">
        <v>36</v>
      </c>
      <c r="F1176" t="s">
        <v>110</v>
      </c>
      <c r="G1176" t="s">
        <v>111</v>
      </c>
      <c r="H1176">
        <v>0</v>
      </c>
      <c r="I1176">
        <v>0</v>
      </c>
      <c r="J1176">
        <v>0</v>
      </c>
      <c r="K1176">
        <v>6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109</v>
      </c>
      <c r="R1176" t="str">
        <f>_xlfn.XLOOKUP(GERAL[[#This Row],[Dia]],U:U,V:V,"")</f>
        <v/>
      </c>
    </row>
    <row r="1177" spans="1:18" hidden="1" x14ac:dyDescent="0.3">
      <c r="A1177" t="str">
        <f>_xlfn.XLOOKUP(GERAL[[#This Row],[Dia]],U:U,T:T,"")</f>
        <v/>
      </c>
      <c r="B1177" s="1">
        <v>46049</v>
      </c>
      <c r="C1177" t="s">
        <v>23</v>
      </c>
      <c r="D1177" s="1">
        <v>46049</v>
      </c>
      <c r="E1177" t="s">
        <v>36</v>
      </c>
      <c r="F1177" t="s">
        <v>110</v>
      </c>
      <c r="G1177" t="s">
        <v>111</v>
      </c>
      <c r="H1177">
        <v>0</v>
      </c>
      <c r="I1177">
        <v>0</v>
      </c>
      <c r="J1177">
        <v>6</v>
      </c>
      <c r="K1177">
        <v>6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109</v>
      </c>
      <c r="R1177" t="str">
        <f>_xlfn.XLOOKUP(GERAL[[#This Row],[Dia]],U:U,V:V,"")</f>
        <v/>
      </c>
    </row>
    <row r="1178" spans="1:18" hidden="1" x14ac:dyDescent="0.3">
      <c r="A1178" t="str">
        <f>_xlfn.XLOOKUP(GERAL[[#This Row],[Dia]],U:U,T:T,"")</f>
        <v/>
      </c>
      <c r="B1178" s="1">
        <v>46050</v>
      </c>
      <c r="C1178" t="s">
        <v>24</v>
      </c>
      <c r="D1178" s="1">
        <v>46050</v>
      </c>
      <c r="E1178" t="s">
        <v>36</v>
      </c>
      <c r="F1178" t="s">
        <v>110</v>
      </c>
      <c r="G1178" t="s">
        <v>111</v>
      </c>
      <c r="H1178">
        <v>0</v>
      </c>
      <c r="I1178">
        <v>0</v>
      </c>
      <c r="J1178">
        <v>10</v>
      </c>
      <c r="K1178">
        <v>18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109</v>
      </c>
      <c r="R1178" t="str">
        <f>_xlfn.XLOOKUP(GERAL[[#This Row],[Dia]],U:U,V:V,"")</f>
        <v/>
      </c>
    </row>
    <row r="1179" spans="1:18" hidden="1" x14ac:dyDescent="0.3">
      <c r="A1179" t="str">
        <f>_xlfn.XLOOKUP(GERAL[[#This Row],[Dia]],U:U,T:T,"")</f>
        <v/>
      </c>
      <c r="B1179" s="1">
        <v>46051</v>
      </c>
      <c r="C1179" t="s">
        <v>25</v>
      </c>
      <c r="D1179" s="1">
        <v>46051</v>
      </c>
      <c r="E1179" t="s">
        <v>36</v>
      </c>
      <c r="F1179" t="s">
        <v>110</v>
      </c>
      <c r="G1179" t="s">
        <v>111</v>
      </c>
      <c r="H1179">
        <v>0</v>
      </c>
      <c r="I1179">
        <v>0</v>
      </c>
      <c r="J1179">
        <v>0</v>
      </c>
      <c r="K1179">
        <v>12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109</v>
      </c>
      <c r="R1179" t="str">
        <f>_xlfn.XLOOKUP(GERAL[[#This Row],[Dia]],U:U,V:V,"")</f>
        <v/>
      </c>
    </row>
    <row r="1180" spans="1:18" hidden="1" x14ac:dyDescent="0.3">
      <c r="A1180" t="str">
        <f>_xlfn.XLOOKUP(GERAL[[#This Row],[Dia]],U:U,T:T,"")</f>
        <v>Semana 1</v>
      </c>
      <c r="B1180" s="1">
        <v>46052</v>
      </c>
      <c r="C1180" t="s">
        <v>26</v>
      </c>
      <c r="D1180" s="1">
        <v>46052</v>
      </c>
      <c r="E1180" t="s">
        <v>36</v>
      </c>
      <c r="F1180" t="s">
        <v>110</v>
      </c>
      <c r="G1180" t="s">
        <v>111</v>
      </c>
      <c r="H1180">
        <v>0</v>
      </c>
      <c r="I1180">
        <v>0</v>
      </c>
      <c r="J1180">
        <v>0</v>
      </c>
      <c r="K1180">
        <v>10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109</v>
      </c>
      <c r="R1180" t="str">
        <f>_xlfn.XLOOKUP(GERAL[[#This Row],[Dia]],U:U,V:V,"")</f>
        <v>Prazo_30</v>
      </c>
    </row>
    <row r="1181" spans="1:18" hidden="1" x14ac:dyDescent="0.3">
      <c r="A1181" t="str">
        <f>_xlfn.XLOOKUP(GERAL[[#This Row],[Dia]],U:U,T:T,"")</f>
        <v>Semana 1</v>
      </c>
      <c r="B1181" s="1">
        <v>46053</v>
      </c>
      <c r="C1181" t="s">
        <v>16</v>
      </c>
      <c r="D1181" s="1">
        <v>46053</v>
      </c>
      <c r="E1181" t="s">
        <v>36</v>
      </c>
      <c r="F1181" t="s">
        <v>110</v>
      </c>
      <c r="G1181" t="s">
        <v>111</v>
      </c>
      <c r="H1181">
        <v>0</v>
      </c>
      <c r="I1181">
        <v>0</v>
      </c>
      <c r="J1181">
        <v>42</v>
      </c>
      <c r="K1181">
        <v>4</v>
      </c>
      <c r="L1181">
        <v>2</v>
      </c>
      <c r="M1181">
        <v>0</v>
      </c>
      <c r="N1181">
        <v>0</v>
      </c>
      <c r="O1181">
        <v>0</v>
      </c>
      <c r="P1181">
        <v>0</v>
      </c>
      <c r="Q1181" t="s">
        <v>109</v>
      </c>
      <c r="R1181" t="str">
        <f>_xlfn.XLOOKUP(GERAL[[#This Row],[Dia]],U:U,V:V,"")</f>
        <v>Prazo_30</v>
      </c>
    </row>
    <row r="1182" spans="1:18" hidden="1" x14ac:dyDescent="0.3">
      <c r="A1182" t="str">
        <f>_xlfn.XLOOKUP(GERAL[[#This Row],[Dia]],U:U,T:T,"")</f>
        <v>Semana 1</v>
      </c>
      <c r="B1182" s="1">
        <v>46054</v>
      </c>
      <c r="C1182" t="s">
        <v>21</v>
      </c>
      <c r="D1182" s="1">
        <v>46054</v>
      </c>
      <c r="E1182" t="s">
        <v>17</v>
      </c>
      <c r="Q1182" t="s">
        <v>109</v>
      </c>
      <c r="R1182" t="str">
        <f>_xlfn.XLOOKUP(GERAL[[#This Row],[Dia]],U:U,V:V,"")</f>
        <v>Prazo_30</v>
      </c>
    </row>
    <row r="1183" spans="1:18" hidden="1" x14ac:dyDescent="0.3">
      <c r="A1183" t="str">
        <f>_xlfn.XLOOKUP(GERAL[[#This Row],[Dia]],U:U,T:T,"")</f>
        <v>Semana 1</v>
      </c>
      <c r="B1183" s="1">
        <v>46055</v>
      </c>
      <c r="C1183" t="s">
        <v>22</v>
      </c>
      <c r="D1183" s="1">
        <v>46055</v>
      </c>
      <c r="E1183" t="s">
        <v>36</v>
      </c>
      <c r="F1183" t="s">
        <v>110</v>
      </c>
      <c r="G1183" t="s">
        <v>111</v>
      </c>
      <c r="H1183">
        <v>0</v>
      </c>
      <c r="I1183">
        <v>0</v>
      </c>
      <c r="J1183">
        <v>30</v>
      </c>
      <c r="K1183">
        <v>30</v>
      </c>
      <c r="L1183">
        <v>1</v>
      </c>
      <c r="M1183">
        <v>0</v>
      </c>
      <c r="N1183">
        <v>0</v>
      </c>
      <c r="O1183">
        <v>0</v>
      </c>
      <c r="P1183">
        <v>0</v>
      </c>
      <c r="Q1183" t="s">
        <v>109</v>
      </c>
      <c r="R1183" t="str">
        <f>_xlfn.XLOOKUP(GERAL[[#This Row],[Dia]],U:U,V:V,"")</f>
        <v>Prazo_30</v>
      </c>
    </row>
    <row r="1184" spans="1:18" hidden="1" x14ac:dyDescent="0.3">
      <c r="A1184" t="str">
        <f>_xlfn.XLOOKUP(GERAL[[#This Row],[Dia]],U:U,T:T,"")</f>
        <v>Semana 1</v>
      </c>
      <c r="B1184" s="1">
        <v>46056</v>
      </c>
      <c r="C1184" t="s">
        <v>23</v>
      </c>
      <c r="D1184" s="1">
        <v>46056</v>
      </c>
      <c r="E1184" t="s">
        <v>36</v>
      </c>
      <c r="F1184" t="s">
        <v>110</v>
      </c>
      <c r="G1184" t="s">
        <v>111</v>
      </c>
      <c r="H1184">
        <v>0</v>
      </c>
      <c r="I1184">
        <v>3</v>
      </c>
      <c r="J1184">
        <v>0</v>
      </c>
      <c r="K1184">
        <v>6</v>
      </c>
      <c r="L1184">
        <v>1</v>
      </c>
      <c r="M1184">
        <v>0</v>
      </c>
      <c r="N1184">
        <v>7</v>
      </c>
      <c r="O1184">
        <v>7</v>
      </c>
      <c r="P1184">
        <v>0</v>
      </c>
      <c r="Q1184" t="s">
        <v>109</v>
      </c>
      <c r="R1184" t="str">
        <f>_xlfn.XLOOKUP(GERAL[[#This Row],[Dia]],U:U,V:V,"")</f>
        <v>Prazo_30</v>
      </c>
    </row>
    <row r="1185" spans="1:18" hidden="1" x14ac:dyDescent="0.3">
      <c r="A1185" t="str">
        <f>_xlfn.XLOOKUP(GERAL[[#This Row],[Dia]],U:U,T:T,"")</f>
        <v>Semana 1</v>
      </c>
      <c r="B1185" s="1">
        <v>46057</v>
      </c>
      <c r="C1185" t="s">
        <v>24</v>
      </c>
      <c r="D1185" s="1">
        <v>46057</v>
      </c>
      <c r="E1185" t="s">
        <v>36</v>
      </c>
      <c r="F1185" t="s">
        <v>110</v>
      </c>
      <c r="G1185" t="s">
        <v>111</v>
      </c>
      <c r="H1185">
        <v>0</v>
      </c>
      <c r="I1185">
        <v>2</v>
      </c>
      <c r="J1185">
        <v>22</v>
      </c>
      <c r="K1185">
        <v>0</v>
      </c>
      <c r="L1185">
        <v>0</v>
      </c>
      <c r="M1185">
        <v>0</v>
      </c>
      <c r="N1185">
        <v>15</v>
      </c>
      <c r="O1185">
        <v>0</v>
      </c>
      <c r="P1185">
        <v>0</v>
      </c>
      <c r="Q1185" t="s">
        <v>109</v>
      </c>
      <c r="R1185" t="str">
        <f>_xlfn.XLOOKUP(GERAL[[#This Row],[Dia]],U:U,V:V,"")</f>
        <v>Prazo_30</v>
      </c>
    </row>
    <row r="1186" spans="1:18" hidden="1" x14ac:dyDescent="0.3">
      <c r="A1186" t="str">
        <f>_xlfn.XLOOKUP(GERAL[[#This Row],[Dia]],U:U,T:T,"")</f>
        <v>Semana 1</v>
      </c>
      <c r="B1186" s="1">
        <v>46058</v>
      </c>
      <c r="C1186" t="s">
        <v>25</v>
      </c>
      <c r="D1186" s="1">
        <v>46058</v>
      </c>
      <c r="E1186" t="s">
        <v>36</v>
      </c>
      <c r="F1186" t="s">
        <v>110</v>
      </c>
      <c r="G1186" t="s">
        <v>111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12</v>
      </c>
      <c r="O1186">
        <v>0</v>
      </c>
      <c r="P1186">
        <v>0</v>
      </c>
      <c r="Q1186" t="s">
        <v>109</v>
      </c>
      <c r="R1186" t="str">
        <f>_xlfn.XLOOKUP(GERAL[[#This Row],[Dia]],U:U,V:V,"")</f>
        <v>Prazo_30</v>
      </c>
    </row>
    <row r="1187" spans="1:18" hidden="1" x14ac:dyDescent="0.3">
      <c r="A1187" t="str">
        <f>_xlfn.XLOOKUP(GERAL[[#This Row],[Dia]],U:U,T:T,"")</f>
        <v>Semana 1</v>
      </c>
      <c r="B1187" s="1">
        <v>46059</v>
      </c>
      <c r="C1187" t="s">
        <v>26</v>
      </c>
      <c r="D1187" s="1">
        <v>46059</v>
      </c>
      <c r="E1187" t="s">
        <v>36</v>
      </c>
      <c r="F1187" t="s">
        <v>110</v>
      </c>
      <c r="G1187" t="s">
        <v>111</v>
      </c>
      <c r="H1187">
        <v>10</v>
      </c>
      <c r="I1187">
        <v>0</v>
      </c>
      <c r="J1187">
        <v>0</v>
      </c>
      <c r="K1187">
        <v>30</v>
      </c>
      <c r="L1187">
        <v>1</v>
      </c>
      <c r="M1187">
        <v>0</v>
      </c>
      <c r="N1187">
        <v>0</v>
      </c>
      <c r="O1187">
        <v>0</v>
      </c>
      <c r="P1187">
        <v>0</v>
      </c>
      <c r="Q1187" t="s">
        <v>109</v>
      </c>
      <c r="R1187" t="str">
        <f>_xlfn.XLOOKUP(GERAL[[#This Row],[Dia]],U:U,V:V,"")</f>
        <v>Prazo_30</v>
      </c>
    </row>
    <row r="1188" spans="1:18" hidden="1" x14ac:dyDescent="0.3">
      <c r="A1188" t="str">
        <f>_xlfn.XLOOKUP(GERAL[[#This Row],[Dia]],U:U,T:T,"")</f>
        <v>Semana 1</v>
      </c>
      <c r="B1188" s="1">
        <v>46060</v>
      </c>
      <c r="C1188" t="s">
        <v>16</v>
      </c>
      <c r="D1188" s="1">
        <v>46060</v>
      </c>
      <c r="E1188" t="s">
        <v>36</v>
      </c>
      <c r="F1188" t="s">
        <v>110</v>
      </c>
      <c r="G1188" t="s">
        <v>111</v>
      </c>
      <c r="H1188">
        <v>0</v>
      </c>
      <c r="I1188">
        <v>0</v>
      </c>
      <c r="J1188">
        <v>30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109</v>
      </c>
      <c r="R1188" t="str">
        <f>_xlfn.XLOOKUP(GERAL[[#This Row],[Dia]],U:U,V:V,"")</f>
        <v>Prazo_30</v>
      </c>
    </row>
    <row r="1189" spans="1:18" hidden="1" x14ac:dyDescent="0.3">
      <c r="A1189" t="str">
        <f>_xlfn.XLOOKUP(GERAL[[#This Row],[Dia]],U:U,T:T,"")</f>
        <v>Semana 2</v>
      </c>
      <c r="B1189" s="1">
        <v>46061</v>
      </c>
      <c r="C1189" t="s">
        <v>21</v>
      </c>
      <c r="D1189" s="1">
        <v>46061</v>
      </c>
      <c r="E1189" t="s">
        <v>17</v>
      </c>
      <c r="Q1189" t="s">
        <v>109</v>
      </c>
      <c r="R1189" t="str">
        <f>_xlfn.XLOOKUP(GERAL[[#This Row],[Dia]],U:U,V:V,"")</f>
        <v>Prazo_30</v>
      </c>
    </row>
    <row r="1190" spans="1:18" hidden="1" x14ac:dyDescent="0.3">
      <c r="A1190" t="str">
        <f>_xlfn.XLOOKUP(GERAL[[#This Row],[Dia]],U:U,T:T,"")</f>
        <v>Semana 2</v>
      </c>
      <c r="B1190" s="1">
        <v>46062</v>
      </c>
      <c r="C1190" t="s">
        <v>22</v>
      </c>
      <c r="D1190" s="1">
        <v>46062</v>
      </c>
      <c r="E1190" t="s">
        <v>36</v>
      </c>
      <c r="F1190" t="s">
        <v>110</v>
      </c>
      <c r="G1190" t="s">
        <v>111</v>
      </c>
      <c r="H1190">
        <v>0</v>
      </c>
      <c r="I1190">
        <v>0</v>
      </c>
      <c r="J1190">
        <v>0</v>
      </c>
      <c r="K1190">
        <v>16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109</v>
      </c>
      <c r="R1190" t="str">
        <f>_xlfn.XLOOKUP(GERAL[[#This Row],[Dia]],U:U,V:V,"")</f>
        <v>Prazo_30</v>
      </c>
    </row>
    <row r="1191" spans="1:18" hidden="1" x14ac:dyDescent="0.3">
      <c r="A1191" t="str">
        <f>_xlfn.XLOOKUP(GERAL[[#This Row],[Dia]],U:U,T:T,"")</f>
        <v>Semana 2</v>
      </c>
      <c r="B1191" s="1">
        <v>46063</v>
      </c>
      <c r="C1191" t="s">
        <v>23</v>
      </c>
      <c r="D1191" s="1">
        <v>46063</v>
      </c>
      <c r="E1191" t="s">
        <v>36</v>
      </c>
      <c r="F1191" t="s">
        <v>110</v>
      </c>
      <c r="G1191" t="s">
        <v>111</v>
      </c>
      <c r="H1191">
        <v>5</v>
      </c>
      <c r="I1191">
        <v>4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0</v>
      </c>
      <c r="Q1191" t="s">
        <v>109</v>
      </c>
      <c r="R1191" t="str">
        <f>_xlfn.XLOOKUP(GERAL[[#This Row],[Dia]],U:U,V:V,"")</f>
        <v>Prazo_30</v>
      </c>
    </row>
    <row r="1192" spans="1:18" hidden="1" x14ac:dyDescent="0.3">
      <c r="A1192" t="str">
        <f>_xlfn.XLOOKUP(GERAL[[#This Row],[Dia]],U:U,T:T,"")</f>
        <v>Semana 2</v>
      </c>
      <c r="B1192" s="1">
        <v>46064</v>
      </c>
      <c r="C1192" t="s">
        <v>24</v>
      </c>
      <c r="D1192" s="1">
        <v>46064</v>
      </c>
      <c r="E1192" t="s">
        <v>36</v>
      </c>
      <c r="F1192" t="s">
        <v>110</v>
      </c>
      <c r="G1192" t="s">
        <v>111</v>
      </c>
      <c r="H1192">
        <v>0</v>
      </c>
      <c r="I1192">
        <v>0</v>
      </c>
      <c r="J1192">
        <v>12</v>
      </c>
      <c r="K1192">
        <v>12</v>
      </c>
      <c r="L1192">
        <v>0</v>
      </c>
      <c r="M1192">
        <v>0</v>
      </c>
      <c r="N1192">
        <v>23</v>
      </c>
      <c r="O1192">
        <v>0</v>
      </c>
      <c r="P1192">
        <v>0</v>
      </c>
      <c r="Q1192" t="s">
        <v>109</v>
      </c>
      <c r="R1192" t="str">
        <f>_xlfn.XLOOKUP(GERAL[[#This Row],[Dia]],U:U,V:V,"")</f>
        <v>Prazo_30</v>
      </c>
    </row>
    <row r="1193" spans="1:18" hidden="1" x14ac:dyDescent="0.3">
      <c r="A1193" t="str">
        <f>_xlfn.XLOOKUP(GERAL[[#This Row],[Dia]],U:U,T:T,"")</f>
        <v>Semana 2</v>
      </c>
      <c r="B1193" s="1">
        <v>46065</v>
      </c>
      <c r="C1193" t="s">
        <v>25</v>
      </c>
      <c r="D1193" s="1">
        <v>46065</v>
      </c>
      <c r="E1193" t="s">
        <v>36</v>
      </c>
      <c r="F1193" t="s">
        <v>110</v>
      </c>
      <c r="G1193" t="s">
        <v>111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16</v>
      </c>
      <c r="O1193">
        <v>0</v>
      </c>
      <c r="P1193">
        <v>0</v>
      </c>
      <c r="Q1193" t="s">
        <v>109</v>
      </c>
      <c r="R1193" t="str">
        <f>_xlfn.XLOOKUP(GERAL[[#This Row],[Dia]],U:U,V:V,"")</f>
        <v>Prazo_30</v>
      </c>
    </row>
    <row r="1194" spans="1:18" hidden="1" x14ac:dyDescent="0.3">
      <c r="A1194" t="str">
        <f>_xlfn.XLOOKUP(GERAL[[#This Row],[Dia]],U:U,T:T,"")</f>
        <v>Semana 2</v>
      </c>
      <c r="B1194" s="1">
        <v>46066</v>
      </c>
      <c r="C1194" t="s">
        <v>26</v>
      </c>
      <c r="D1194" s="1">
        <v>46066</v>
      </c>
      <c r="E1194" t="s">
        <v>36</v>
      </c>
      <c r="F1194" t="s">
        <v>110</v>
      </c>
      <c r="G1194" t="s">
        <v>111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13</v>
      </c>
      <c r="O1194">
        <v>0</v>
      </c>
      <c r="P1194">
        <v>0</v>
      </c>
      <c r="Q1194" t="s">
        <v>109</v>
      </c>
      <c r="R1194" t="str">
        <f>_xlfn.XLOOKUP(GERAL[[#This Row],[Dia]],U:U,V:V,"")</f>
        <v>Prazo_30</v>
      </c>
    </row>
    <row r="1195" spans="1:18" hidden="1" x14ac:dyDescent="0.3">
      <c r="A1195" t="str">
        <f>_xlfn.XLOOKUP(GERAL[[#This Row],[Dia]],U:U,T:T,"")</f>
        <v>Semana 2</v>
      </c>
      <c r="B1195" s="1">
        <v>46067</v>
      </c>
      <c r="C1195" t="s">
        <v>16</v>
      </c>
      <c r="D1195" s="1">
        <v>46067</v>
      </c>
      <c r="E1195" t="s">
        <v>17</v>
      </c>
      <c r="Q1195" t="s">
        <v>109</v>
      </c>
      <c r="R1195" t="str">
        <f>_xlfn.XLOOKUP(GERAL[[#This Row],[Dia]],U:U,V:V,"")</f>
        <v>Prazo_30</v>
      </c>
    </row>
    <row r="1196" spans="1:18" hidden="1" x14ac:dyDescent="0.3">
      <c r="A1196" t="str">
        <f>_xlfn.XLOOKUP(GERAL[[#This Row],[Dia]],U:U,T:T,"")</f>
        <v>Semana 3</v>
      </c>
      <c r="B1196" s="1">
        <v>46068</v>
      </c>
      <c r="C1196" t="s">
        <v>21</v>
      </c>
      <c r="D1196" s="1">
        <v>46068</v>
      </c>
      <c r="E1196" t="s">
        <v>17</v>
      </c>
      <c r="Q1196" t="s">
        <v>109</v>
      </c>
      <c r="R1196" t="str">
        <f>_xlfn.XLOOKUP(GERAL[[#This Row],[Dia]],U:U,V:V,"")</f>
        <v>Prazo_30</v>
      </c>
    </row>
    <row r="1197" spans="1:18" hidden="1" x14ac:dyDescent="0.3">
      <c r="A1197" t="str">
        <f>_xlfn.XLOOKUP(GERAL[[#This Row],[Dia]],U:U,T:T,"")</f>
        <v>Semana 3</v>
      </c>
      <c r="B1197" s="1">
        <v>46069</v>
      </c>
      <c r="C1197" t="s">
        <v>22</v>
      </c>
      <c r="D1197" s="1">
        <v>46069</v>
      </c>
      <c r="E1197" t="s">
        <v>36</v>
      </c>
      <c r="F1197" t="s">
        <v>110</v>
      </c>
      <c r="G1197" t="s">
        <v>111</v>
      </c>
      <c r="H1197">
        <v>6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6</v>
      </c>
      <c r="P1197">
        <v>0</v>
      </c>
      <c r="Q1197" t="s">
        <v>109</v>
      </c>
      <c r="R1197" t="str">
        <f>_xlfn.XLOOKUP(GERAL[[#This Row],[Dia]],U:U,V:V,"")</f>
        <v>Prazo_30</v>
      </c>
    </row>
    <row r="1198" spans="1:18" hidden="1" x14ac:dyDescent="0.3">
      <c r="A1198" t="str">
        <f>_xlfn.XLOOKUP(GERAL[[#This Row],[Dia]],U:U,T:T,"")</f>
        <v>Semana 3</v>
      </c>
      <c r="B1198" s="1">
        <v>46070</v>
      </c>
      <c r="C1198" t="s">
        <v>23</v>
      </c>
      <c r="D1198" s="1">
        <v>46070</v>
      </c>
      <c r="E1198" t="s">
        <v>36</v>
      </c>
      <c r="F1198" t="s">
        <v>110</v>
      </c>
      <c r="G1198" t="s">
        <v>111</v>
      </c>
      <c r="H1198">
        <v>5</v>
      </c>
      <c r="I1198">
        <v>1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 t="s">
        <v>109</v>
      </c>
      <c r="R1198" t="str">
        <f>_xlfn.XLOOKUP(GERAL[[#This Row],[Dia]],U:U,V:V,"")</f>
        <v>Prazo_30</v>
      </c>
    </row>
    <row r="1199" spans="1:18" hidden="1" x14ac:dyDescent="0.3">
      <c r="A1199" t="str">
        <f>_xlfn.XLOOKUP(GERAL[[#This Row],[Dia]],U:U,T:T,"")</f>
        <v>Semana 3</v>
      </c>
      <c r="B1199" s="1">
        <v>46071</v>
      </c>
      <c r="C1199" t="s">
        <v>24</v>
      </c>
      <c r="D1199" s="1">
        <v>46071</v>
      </c>
      <c r="E1199" t="s">
        <v>36</v>
      </c>
      <c r="F1199" t="s">
        <v>110</v>
      </c>
      <c r="G1199" t="s">
        <v>111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14</v>
      </c>
      <c r="O1199">
        <v>0</v>
      </c>
      <c r="P1199">
        <v>0</v>
      </c>
      <c r="Q1199" t="s">
        <v>109</v>
      </c>
      <c r="R1199" t="str">
        <f>_xlfn.XLOOKUP(GERAL[[#This Row],[Dia]],U:U,V:V,"")</f>
        <v>Prazo_30</v>
      </c>
    </row>
    <row r="1200" spans="1:18" hidden="1" x14ac:dyDescent="0.3">
      <c r="A1200" t="str">
        <f>_xlfn.XLOOKUP(GERAL[[#This Row],[Dia]],U:U,T:T,"")</f>
        <v>Semana 3</v>
      </c>
      <c r="B1200" s="1">
        <v>46072</v>
      </c>
      <c r="C1200" t="s">
        <v>25</v>
      </c>
      <c r="D1200" s="1">
        <v>46072</v>
      </c>
      <c r="E1200" t="s">
        <v>36</v>
      </c>
      <c r="F1200" t="s">
        <v>110</v>
      </c>
      <c r="G1200" t="s">
        <v>111</v>
      </c>
      <c r="H1200">
        <v>6</v>
      </c>
      <c r="I1200">
        <v>0</v>
      </c>
      <c r="J1200">
        <v>0</v>
      </c>
      <c r="K1200">
        <v>6</v>
      </c>
      <c r="L1200">
        <v>0</v>
      </c>
      <c r="M1200">
        <v>0</v>
      </c>
      <c r="N1200">
        <v>4</v>
      </c>
      <c r="O1200">
        <v>6</v>
      </c>
      <c r="P1200">
        <v>0</v>
      </c>
      <c r="Q1200" t="s">
        <v>109</v>
      </c>
      <c r="R1200" t="str">
        <f>_xlfn.XLOOKUP(GERAL[[#This Row],[Dia]],U:U,V:V,"")</f>
        <v>Prazo_30</v>
      </c>
    </row>
    <row r="1201" spans="1:18" hidden="1" x14ac:dyDescent="0.3">
      <c r="A1201" t="str">
        <f>_xlfn.XLOOKUP(GERAL[[#This Row],[Dia]],U:U,T:T,"")</f>
        <v>Semana 3</v>
      </c>
      <c r="B1201" s="1">
        <v>46073</v>
      </c>
      <c r="C1201" t="s">
        <v>26</v>
      </c>
      <c r="D1201" s="1">
        <v>46073</v>
      </c>
      <c r="E1201" t="s">
        <v>17</v>
      </c>
      <c r="Q1201" t="s">
        <v>109</v>
      </c>
      <c r="R1201" t="str">
        <f>_xlfn.XLOOKUP(GERAL[[#This Row],[Dia]],U:U,V:V,"")</f>
        <v>Prazo_30</v>
      </c>
    </row>
    <row r="1202" spans="1:18" hidden="1" x14ac:dyDescent="0.3">
      <c r="A1202" t="str">
        <f>_xlfn.XLOOKUP(GERAL[[#This Row],[Dia]],U:U,T:T,"")</f>
        <v>Semana 3</v>
      </c>
      <c r="B1202" s="1">
        <v>46074</v>
      </c>
      <c r="C1202" t="s">
        <v>16</v>
      </c>
      <c r="D1202" s="1">
        <v>46074</v>
      </c>
      <c r="E1202" t="s">
        <v>36</v>
      </c>
      <c r="F1202" t="s">
        <v>110</v>
      </c>
      <c r="G1202" t="s">
        <v>111</v>
      </c>
      <c r="H1202">
        <v>0</v>
      </c>
      <c r="I1202">
        <v>0</v>
      </c>
      <c r="J1202">
        <v>0</v>
      </c>
      <c r="K1202">
        <v>30</v>
      </c>
      <c r="L1202">
        <v>0</v>
      </c>
      <c r="M1202">
        <v>0</v>
      </c>
      <c r="N1202">
        <v>9</v>
      </c>
      <c r="O1202">
        <v>0</v>
      </c>
      <c r="P1202">
        <v>0</v>
      </c>
      <c r="Q1202" t="s">
        <v>109</v>
      </c>
      <c r="R1202" t="str">
        <f>_xlfn.XLOOKUP(GERAL[[#This Row],[Dia]],U:U,V:V,"")</f>
        <v>Prazo_30</v>
      </c>
    </row>
    <row r="1203" spans="1:18" hidden="1" x14ac:dyDescent="0.3">
      <c r="A1203" t="str">
        <f>_xlfn.XLOOKUP(GERAL[[#This Row],[Dia]],U:U,T:T,"")</f>
        <v>Semana 4</v>
      </c>
      <c r="B1203" s="1">
        <v>46075</v>
      </c>
      <c r="C1203" t="s">
        <v>21</v>
      </c>
      <c r="D1203" s="1">
        <v>46075</v>
      </c>
      <c r="E1203" t="s">
        <v>17</v>
      </c>
      <c r="Q1203" t="s">
        <v>109</v>
      </c>
      <c r="R1203" t="str">
        <f>_xlfn.XLOOKUP(GERAL[[#This Row],[Dia]],U:U,V:V,"")</f>
        <v>Prazo_30</v>
      </c>
    </row>
    <row r="1204" spans="1:18" hidden="1" x14ac:dyDescent="0.3">
      <c r="A1204" t="str">
        <f>_xlfn.XLOOKUP(GERAL[[#This Row],[Dia]],U:U,T:T,"")</f>
        <v>Semana 4</v>
      </c>
      <c r="B1204" s="1">
        <v>46076</v>
      </c>
      <c r="C1204" t="s">
        <v>22</v>
      </c>
      <c r="D1204" s="1">
        <v>46076</v>
      </c>
      <c r="E1204" t="s">
        <v>36</v>
      </c>
      <c r="F1204" t="s">
        <v>110</v>
      </c>
      <c r="G1204" t="s">
        <v>111</v>
      </c>
      <c r="H1204">
        <v>3</v>
      </c>
      <c r="I1204">
        <v>8</v>
      </c>
      <c r="J1204">
        <v>30</v>
      </c>
      <c r="K1204">
        <v>0</v>
      </c>
      <c r="L1204">
        <v>0</v>
      </c>
      <c r="M1204">
        <v>4</v>
      </c>
      <c r="N1204">
        <v>0</v>
      </c>
      <c r="O1204">
        <v>7</v>
      </c>
      <c r="P1204">
        <v>0</v>
      </c>
      <c r="Q1204" t="s">
        <v>109</v>
      </c>
      <c r="R1204" t="str">
        <f>_xlfn.XLOOKUP(GERAL[[#This Row],[Dia]],U:U,V:V,"")</f>
        <v>Prazo_30</v>
      </c>
    </row>
    <row r="1205" spans="1:18" hidden="1" x14ac:dyDescent="0.3">
      <c r="A1205" t="str">
        <f>_xlfn.XLOOKUP(GERAL[[#This Row],[Dia]],U:U,T:T,"")</f>
        <v>Semana 4</v>
      </c>
      <c r="B1205" s="1">
        <v>46077</v>
      </c>
      <c r="C1205" t="s">
        <v>23</v>
      </c>
      <c r="D1205" s="1">
        <v>46077</v>
      </c>
      <c r="E1205" t="s">
        <v>36</v>
      </c>
      <c r="F1205" t="s">
        <v>110</v>
      </c>
      <c r="G1205" t="s">
        <v>111</v>
      </c>
      <c r="H1205">
        <v>5</v>
      </c>
      <c r="I1205">
        <v>3</v>
      </c>
      <c r="J1205">
        <v>30</v>
      </c>
      <c r="K1205">
        <v>0</v>
      </c>
      <c r="L1205">
        <v>0</v>
      </c>
      <c r="M1205">
        <v>0</v>
      </c>
      <c r="N1205">
        <v>7</v>
      </c>
      <c r="O1205">
        <v>0</v>
      </c>
      <c r="P1205">
        <v>0</v>
      </c>
      <c r="Q1205" t="s">
        <v>109</v>
      </c>
      <c r="R1205" t="str">
        <f>_xlfn.XLOOKUP(GERAL[[#This Row],[Dia]],U:U,V:V,"")</f>
        <v>Prazo_30</v>
      </c>
    </row>
    <row r="1206" spans="1:18" hidden="1" x14ac:dyDescent="0.3">
      <c r="A1206" t="str">
        <f>_xlfn.XLOOKUP(GERAL[[#This Row],[Dia]],U:U,T:T,"")</f>
        <v>Semana 4</v>
      </c>
      <c r="B1206" s="1">
        <v>46078</v>
      </c>
      <c r="C1206" t="s">
        <v>24</v>
      </c>
      <c r="D1206" s="1">
        <v>46078</v>
      </c>
      <c r="E1206" t="s">
        <v>36</v>
      </c>
      <c r="F1206" t="s">
        <v>110</v>
      </c>
      <c r="G1206" t="s">
        <v>111</v>
      </c>
      <c r="H1206">
        <v>10</v>
      </c>
      <c r="I1206">
        <v>3</v>
      </c>
      <c r="J1206">
        <v>35</v>
      </c>
      <c r="K1206">
        <v>0</v>
      </c>
      <c r="L1206">
        <v>0</v>
      </c>
      <c r="M1206">
        <v>0</v>
      </c>
      <c r="N1206">
        <v>6</v>
      </c>
      <c r="O1206">
        <v>0</v>
      </c>
      <c r="P1206">
        <v>0</v>
      </c>
      <c r="Q1206" t="s">
        <v>109</v>
      </c>
      <c r="R1206" t="str">
        <f>_xlfn.XLOOKUP(GERAL[[#This Row],[Dia]],U:U,V:V,"")</f>
        <v>Prazo_30</v>
      </c>
    </row>
    <row r="1207" spans="1:18" hidden="1" x14ac:dyDescent="0.3">
      <c r="A1207" t="str">
        <f>_xlfn.XLOOKUP(GERAL[[#This Row],[Dia]],U:U,T:T,"")</f>
        <v>Semana 4</v>
      </c>
      <c r="B1207" s="1">
        <v>46079</v>
      </c>
      <c r="C1207" t="s">
        <v>25</v>
      </c>
      <c r="D1207" s="1">
        <v>46079</v>
      </c>
      <c r="E1207" t="s">
        <v>17</v>
      </c>
      <c r="Q1207" t="s">
        <v>109</v>
      </c>
      <c r="R1207" t="str">
        <f>_xlfn.XLOOKUP(GERAL[[#This Row],[Dia]],U:U,V:V,"")</f>
        <v>Prazo_30</v>
      </c>
    </row>
    <row r="1208" spans="1:18" hidden="1" x14ac:dyDescent="0.3">
      <c r="A1208" t="str">
        <f>_xlfn.XLOOKUP(GERAL[[#This Row],[Dia]],U:U,T:T,"")</f>
        <v>Semana 4</v>
      </c>
      <c r="B1208" s="1">
        <v>46080</v>
      </c>
      <c r="C1208" t="s">
        <v>26</v>
      </c>
      <c r="D1208" s="1">
        <v>46080</v>
      </c>
      <c r="E1208" t="s">
        <v>36</v>
      </c>
      <c r="F1208" t="s">
        <v>110</v>
      </c>
      <c r="G1208" t="s">
        <v>111</v>
      </c>
      <c r="H1208">
        <v>15</v>
      </c>
      <c r="I1208">
        <v>6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 t="s">
        <v>109</v>
      </c>
      <c r="R1208" t="str">
        <f>_xlfn.XLOOKUP(GERAL[[#This Row],[Dia]],U:U,V:V,"")</f>
        <v>Prazo_30</v>
      </c>
    </row>
    <row r="1209" spans="1:18" hidden="1" x14ac:dyDescent="0.3">
      <c r="A1209" t="str">
        <f>_xlfn.XLOOKUP(GERAL[[#This Row],[Dia]],U:U,T:T,"")</f>
        <v>Semana 4</v>
      </c>
      <c r="B1209" s="1">
        <v>46081</v>
      </c>
      <c r="C1209" t="s">
        <v>16</v>
      </c>
      <c r="D1209" s="1">
        <v>46081</v>
      </c>
      <c r="E1209" t="s">
        <v>36</v>
      </c>
      <c r="F1209" t="s">
        <v>110</v>
      </c>
      <c r="G1209" t="s">
        <v>111</v>
      </c>
      <c r="H1209">
        <v>4</v>
      </c>
      <c r="I1209">
        <v>2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 t="s">
        <v>109</v>
      </c>
      <c r="R1209" t="str">
        <f>_xlfn.XLOOKUP(GERAL[[#This Row],[Dia]],U:U,V:V,"")</f>
        <v>Prazo_30</v>
      </c>
    </row>
    <row r="1210" spans="1:18" x14ac:dyDescent="0.3">
      <c r="A1210" t="str">
        <f>_xlfn.XLOOKUP(GERAL[[#This Row],[Dia]],U:U,T:T,"")</f>
        <v>Semana 5</v>
      </c>
      <c r="B1210" s="1">
        <v>46082</v>
      </c>
      <c r="C1210" t="s">
        <v>21</v>
      </c>
      <c r="D1210" s="1">
        <v>46082</v>
      </c>
      <c r="E1210" t="s">
        <v>17</v>
      </c>
      <c r="Q1210" t="s">
        <v>109</v>
      </c>
      <c r="R1210" t="str">
        <f>_xlfn.XLOOKUP(GERAL[[#This Row],[Dia]],U:U,V:V,"")</f>
        <v>Prazo_30</v>
      </c>
    </row>
    <row r="1211" spans="1:18" x14ac:dyDescent="0.3">
      <c r="A1211" t="str">
        <f>_xlfn.XLOOKUP(GERAL[[#This Row],[Dia]],U:U,T:T,"")</f>
        <v>Semana 5</v>
      </c>
      <c r="B1211" s="1">
        <v>46083</v>
      </c>
      <c r="C1211" t="s">
        <v>22</v>
      </c>
      <c r="D1211" s="1">
        <v>46083</v>
      </c>
      <c r="E1211" t="s">
        <v>36</v>
      </c>
      <c r="F1211" t="s">
        <v>112</v>
      </c>
      <c r="G1211" t="s">
        <v>72</v>
      </c>
      <c r="I1211">
        <v>3</v>
      </c>
      <c r="Q1211" t="s">
        <v>109</v>
      </c>
      <c r="R1211" t="str">
        <f>_xlfn.XLOOKUP(GERAL[[#This Row],[Dia]],U:U,V:V,"")</f>
        <v>Prazo_30</v>
      </c>
    </row>
    <row r="1212" spans="1:18" x14ac:dyDescent="0.3">
      <c r="A1212" t="str">
        <f>_xlfn.XLOOKUP(GERAL[[#This Row],[Dia]],U:U,T:T,"")</f>
        <v>Semana 5</v>
      </c>
      <c r="B1212" s="1">
        <v>46083</v>
      </c>
      <c r="C1212" t="s">
        <v>22</v>
      </c>
      <c r="D1212" s="1">
        <v>46083</v>
      </c>
      <c r="E1212" t="s">
        <v>36</v>
      </c>
      <c r="F1212" t="s">
        <v>112</v>
      </c>
      <c r="G1212" t="s">
        <v>113</v>
      </c>
      <c r="I1212">
        <v>2</v>
      </c>
      <c r="Q1212" t="s">
        <v>109</v>
      </c>
      <c r="R1212" t="str">
        <f>_xlfn.XLOOKUP(GERAL[[#This Row],[Dia]],U:U,V:V,"")</f>
        <v>Prazo_30</v>
      </c>
    </row>
    <row r="1213" spans="1:18" x14ac:dyDescent="0.3">
      <c r="A1213" t="str">
        <f>_xlfn.XLOOKUP(GERAL[[#This Row],[Dia]],U:U,T:T,"")</f>
        <v>Semana 5</v>
      </c>
      <c r="B1213" s="1">
        <v>46083</v>
      </c>
      <c r="C1213" t="s">
        <v>22</v>
      </c>
      <c r="D1213" s="1">
        <v>46083</v>
      </c>
      <c r="E1213" t="s">
        <v>36</v>
      </c>
      <c r="F1213" t="s">
        <v>114</v>
      </c>
      <c r="G1213" t="s">
        <v>115</v>
      </c>
      <c r="J1213">
        <v>35</v>
      </c>
      <c r="Q1213" t="s">
        <v>109</v>
      </c>
      <c r="R1213" t="str">
        <f>_xlfn.XLOOKUP(GERAL[[#This Row],[Dia]],U:U,V:V,"")</f>
        <v>Prazo_30</v>
      </c>
    </row>
    <row r="1214" spans="1:18" x14ac:dyDescent="0.3">
      <c r="A1214" t="str">
        <f>_xlfn.XLOOKUP(GERAL[[#This Row],[Dia]],U:U,T:T,"")</f>
        <v>Semana 5</v>
      </c>
      <c r="B1214" s="1">
        <v>46083</v>
      </c>
      <c r="C1214" t="s">
        <v>22</v>
      </c>
      <c r="D1214" s="1">
        <v>46083</v>
      </c>
      <c r="E1214" t="s">
        <v>36</v>
      </c>
      <c r="F1214" t="s">
        <v>116</v>
      </c>
      <c r="G1214" t="s">
        <v>83</v>
      </c>
      <c r="I1214">
        <v>1</v>
      </c>
      <c r="Q1214" t="s">
        <v>109</v>
      </c>
      <c r="R1214" t="str">
        <f>_xlfn.XLOOKUP(GERAL[[#This Row],[Dia]],U:U,V:V,"")</f>
        <v>Prazo_30</v>
      </c>
    </row>
    <row r="1215" spans="1:18" x14ac:dyDescent="0.3">
      <c r="A1215" t="str">
        <f>_xlfn.XLOOKUP(GERAL[[#This Row],[Dia]],U:U,T:T,"")</f>
        <v>Semana 5</v>
      </c>
      <c r="B1215" s="1">
        <v>46083</v>
      </c>
      <c r="C1215" t="s">
        <v>22</v>
      </c>
      <c r="D1215" s="1">
        <v>46083</v>
      </c>
      <c r="E1215" t="s">
        <v>36</v>
      </c>
      <c r="F1215" t="s">
        <v>116</v>
      </c>
      <c r="G1215" t="s">
        <v>115</v>
      </c>
      <c r="N1215">
        <v>2</v>
      </c>
      <c r="Q1215" t="s">
        <v>109</v>
      </c>
      <c r="R1215" t="str">
        <f>_xlfn.XLOOKUP(GERAL[[#This Row],[Dia]],U:U,V:V,"")</f>
        <v>Prazo_30</v>
      </c>
    </row>
    <row r="1216" spans="1:18" x14ac:dyDescent="0.3">
      <c r="A1216" t="str">
        <f>_xlfn.XLOOKUP(GERAL[[#This Row],[Dia]],U:U,T:T,"")</f>
        <v>Semana 6</v>
      </c>
      <c r="B1216" s="1">
        <v>46084</v>
      </c>
      <c r="C1216" t="s">
        <v>23</v>
      </c>
      <c r="D1216" s="1">
        <v>46084</v>
      </c>
      <c r="E1216" t="s">
        <v>36</v>
      </c>
      <c r="F1216" t="s">
        <v>116</v>
      </c>
      <c r="G1216" t="s">
        <v>115</v>
      </c>
      <c r="J1216">
        <v>35</v>
      </c>
      <c r="Q1216" t="s">
        <v>109</v>
      </c>
      <c r="R1216" t="str">
        <f>_xlfn.XLOOKUP(GERAL[[#This Row],[Dia]],U:U,V:V,"")</f>
        <v>Prazo_30</v>
      </c>
    </row>
    <row r="1217" spans="1:18" x14ac:dyDescent="0.3">
      <c r="A1217" t="str">
        <f>_xlfn.XLOOKUP(GERAL[[#This Row],[Dia]],U:U,T:T,"")</f>
        <v>Semana 6</v>
      </c>
      <c r="B1217" s="1">
        <v>46084</v>
      </c>
      <c r="C1217" t="s">
        <v>23</v>
      </c>
      <c r="D1217" s="1">
        <v>46084</v>
      </c>
      <c r="E1217" t="s">
        <v>36</v>
      </c>
      <c r="F1217" t="s">
        <v>112</v>
      </c>
      <c r="G1217" t="s">
        <v>117</v>
      </c>
      <c r="I1217">
        <v>7</v>
      </c>
      <c r="Q1217" t="s">
        <v>109</v>
      </c>
      <c r="R1217" t="str">
        <f>_xlfn.XLOOKUP(GERAL[[#This Row],[Dia]],U:U,V:V,"")</f>
        <v>Prazo_30</v>
      </c>
    </row>
    <row r="1218" spans="1:18" x14ac:dyDescent="0.3">
      <c r="A1218" t="str">
        <f>_xlfn.XLOOKUP(GERAL[[#This Row],[Dia]],U:U,T:T,"")</f>
        <v>Semana 6</v>
      </c>
      <c r="B1218" s="1">
        <v>46084</v>
      </c>
      <c r="C1218" t="s">
        <v>23</v>
      </c>
      <c r="D1218" s="1">
        <v>46084</v>
      </c>
      <c r="E1218" t="s">
        <v>36</v>
      </c>
      <c r="F1218" t="s">
        <v>114</v>
      </c>
      <c r="G1218" t="s">
        <v>83</v>
      </c>
      <c r="I1218">
        <v>2</v>
      </c>
      <c r="Q1218" t="s">
        <v>109</v>
      </c>
      <c r="R1218" t="str">
        <f>_xlfn.XLOOKUP(GERAL[[#This Row],[Dia]],U:U,V:V,"")</f>
        <v>Prazo_30</v>
      </c>
    </row>
    <row r="1219" spans="1:18" x14ac:dyDescent="0.3">
      <c r="A1219" t="str">
        <f>_xlfn.XLOOKUP(GERAL[[#This Row],[Dia]],U:U,T:T,"")</f>
        <v>Semana 6</v>
      </c>
      <c r="B1219" s="1">
        <v>46085</v>
      </c>
      <c r="C1219" t="s">
        <v>24</v>
      </c>
      <c r="D1219" s="1">
        <v>46085</v>
      </c>
      <c r="E1219" t="s">
        <v>36</v>
      </c>
      <c r="F1219" t="s">
        <v>116</v>
      </c>
      <c r="G1219" t="s">
        <v>115</v>
      </c>
      <c r="J1219">
        <v>50</v>
      </c>
      <c r="Q1219" t="s">
        <v>109</v>
      </c>
      <c r="R1219" t="str">
        <f>_xlfn.XLOOKUP(GERAL[[#This Row],[Dia]],U:U,V:V,"")</f>
        <v>Prazo_30</v>
      </c>
    </row>
    <row r="1220" spans="1:18" x14ac:dyDescent="0.3">
      <c r="A1220" t="str">
        <f>_xlfn.XLOOKUP(GERAL[[#This Row],[Dia]],U:U,T:T,"")</f>
        <v>Semana 6</v>
      </c>
      <c r="B1220" s="1">
        <v>46085</v>
      </c>
      <c r="C1220" t="s">
        <v>24</v>
      </c>
      <c r="D1220" s="1">
        <v>46085</v>
      </c>
      <c r="E1220" t="s">
        <v>36</v>
      </c>
      <c r="F1220" t="s">
        <v>112</v>
      </c>
      <c r="G1220" t="s">
        <v>78</v>
      </c>
      <c r="I1220">
        <v>3</v>
      </c>
      <c r="Q1220" t="s">
        <v>109</v>
      </c>
      <c r="R1220" t="str">
        <f>_xlfn.XLOOKUP(GERAL[[#This Row],[Dia]],U:U,V:V,"")</f>
        <v>Prazo_30</v>
      </c>
    </row>
    <row r="1221" spans="1:18" x14ac:dyDescent="0.3">
      <c r="A1221" t="str">
        <f>_xlfn.XLOOKUP(GERAL[[#This Row],[Dia]],U:U,T:T,"")</f>
        <v>Semana 6</v>
      </c>
      <c r="B1221" s="1">
        <v>46085</v>
      </c>
      <c r="C1221" t="s">
        <v>24</v>
      </c>
      <c r="D1221" s="1">
        <v>46085</v>
      </c>
      <c r="E1221" t="s">
        <v>36</v>
      </c>
      <c r="F1221" t="s">
        <v>112</v>
      </c>
      <c r="G1221" t="s">
        <v>72</v>
      </c>
      <c r="I1221">
        <v>3</v>
      </c>
      <c r="Q1221" t="s">
        <v>109</v>
      </c>
      <c r="R1221" t="str">
        <f>_xlfn.XLOOKUP(GERAL[[#This Row],[Dia]],U:U,V:V,"")</f>
        <v>Prazo_30</v>
      </c>
    </row>
    <row r="1222" spans="1:18" x14ac:dyDescent="0.3">
      <c r="A1222" t="str">
        <f>_xlfn.XLOOKUP(GERAL[[#This Row],[Dia]],U:U,T:T,"")</f>
        <v>Semana 6</v>
      </c>
      <c r="B1222" s="1">
        <v>46085</v>
      </c>
      <c r="C1222" t="s">
        <v>24</v>
      </c>
      <c r="D1222" s="1">
        <v>46085</v>
      </c>
      <c r="E1222" t="s">
        <v>36</v>
      </c>
      <c r="F1222" t="s">
        <v>112</v>
      </c>
      <c r="G1222" t="s">
        <v>118</v>
      </c>
      <c r="I1222">
        <v>2</v>
      </c>
      <c r="Q1222" t="s">
        <v>109</v>
      </c>
      <c r="R1222" t="str">
        <f>_xlfn.XLOOKUP(GERAL[[#This Row],[Dia]],U:U,V:V,"")</f>
        <v>Prazo_30</v>
      </c>
    </row>
    <row r="1223" spans="1:18" x14ac:dyDescent="0.3">
      <c r="A1223" t="str">
        <f>_xlfn.XLOOKUP(GERAL[[#This Row],[Dia]],U:U,T:T,"")</f>
        <v>Semana 6</v>
      </c>
      <c r="B1223" s="1">
        <v>46086</v>
      </c>
      <c r="C1223" t="s">
        <v>25</v>
      </c>
      <c r="D1223" s="1">
        <v>46086</v>
      </c>
      <c r="E1223" t="s">
        <v>36</v>
      </c>
      <c r="F1223" t="s">
        <v>116</v>
      </c>
      <c r="G1223" t="s">
        <v>115</v>
      </c>
      <c r="J1223">
        <v>40</v>
      </c>
      <c r="Q1223" t="s">
        <v>109</v>
      </c>
      <c r="R1223" t="str">
        <f>_xlfn.XLOOKUP(GERAL[[#This Row],[Dia]],U:U,V:V,"")</f>
        <v>Prazo_30</v>
      </c>
    </row>
    <row r="1224" spans="1:18" x14ac:dyDescent="0.3">
      <c r="A1224" t="str">
        <f>_xlfn.XLOOKUP(GERAL[[#This Row],[Dia]],U:U,T:T,"")</f>
        <v>Semana 6</v>
      </c>
      <c r="B1224" s="1">
        <v>46086</v>
      </c>
      <c r="C1224" t="s">
        <v>25</v>
      </c>
      <c r="D1224" s="1">
        <v>46086</v>
      </c>
      <c r="E1224" t="s">
        <v>36</v>
      </c>
      <c r="F1224" t="s">
        <v>112</v>
      </c>
      <c r="G1224" t="s">
        <v>78</v>
      </c>
      <c r="I1224">
        <v>4</v>
      </c>
      <c r="Q1224" t="s">
        <v>109</v>
      </c>
      <c r="R1224" t="str">
        <f>_xlfn.XLOOKUP(GERAL[[#This Row],[Dia]],U:U,V:V,"")</f>
        <v>Prazo_30</v>
      </c>
    </row>
    <row r="1225" spans="1:18" x14ac:dyDescent="0.3">
      <c r="A1225" t="str">
        <f>_xlfn.XLOOKUP(GERAL[[#This Row],[Dia]],U:U,T:T,"")</f>
        <v>Semana 6</v>
      </c>
      <c r="B1225" s="1">
        <v>46087</v>
      </c>
      <c r="C1225" t="s">
        <v>26</v>
      </c>
      <c r="D1225" s="1">
        <v>46087</v>
      </c>
      <c r="E1225" t="s">
        <v>36</v>
      </c>
      <c r="F1225" t="s">
        <v>112</v>
      </c>
      <c r="G1225" t="s">
        <v>80</v>
      </c>
      <c r="I1225">
        <v>3</v>
      </c>
      <c r="Q1225" t="s">
        <v>109</v>
      </c>
      <c r="R1225" t="str">
        <f>_xlfn.XLOOKUP(GERAL[[#This Row],[Dia]],U:U,V:V,"")</f>
        <v>Prazo_30</v>
      </c>
    </row>
    <row r="1226" spans="1:18" x14ac:dyDescent="0.3">
      <c r="A1226" t="str">
        <f>_xlfn.XLOOKUP(GERAL[[#This Row],[Dia]],U:U,T:T,"")</f>
        <v>Semana 6</v>
      </c>
      <c r="B1226" s="1">
        <v>46086</v>
      </c>
      <c r="C1226" t="s">
        <v>25</v>
      </c>
      <c r="D1226" s="1">
        <v>46086</v>
      </c>
      <c r="E1226" t="s">
        <v>36</v>
      </c>
      <c r="F1226" t="s">
        <v>112</v>
      </c>
      <c r="G1226" t="s">
        <v>71</v>
      </c>
      <c r="I1226">
        <v>2</v>
      </c>
      <c r="Q1226" t="s">
        <v>109</v>
      </c>
      <c r="R1226" t="str">
        <f>_xlfn.XLOOKUP(GERAL[[#This Row],[Dia]],U:U,V:V,"")</f>
        <v>Prazo_30</v>
      </c>
    </row>
    <row r="1227" spans="1:18" x14ac:dyDescent="0.3">
      <c r="A1227" t="str">
        <f>_xlfn.XLOOKUP(GERAL[[#This Row],[Dia]],U:U,T:T,"")</f>
        <v>Semana 6</v>
      </c>
      <c r="B1227" s="1">
        <v>46087</v>
      </c>
      <c r="C1227" t="s">
        <v>26</v>
      </c>
      <c r="D1227" s="1">
        <v>46087</v>
      </c>
      <c r="E1227" t="s">
        <v>36</v>
      </c>
      <c r="F1227" t="s">
        <v>114</v>
      </c>
      <c r="G1227" t="s">
        <v>115</v>
      </c>
      <c r="H1227">
        <v>18</v>
      </c>
      <c r="Q1227" t="s">
        <v>109</v>
      </c>
      <c r="R1227" t="str">
        <f>_xlfn.XLOOKUP(GERAL[[#This Row],[Dia]],U:U,V:V,"")</f>
        <v>Prazo_30</v>
      </c>
    </row>
    <row r="1228" spans="1:18" x14ac:dyDescent="0.3">
      <c r="A1228" t="str">
        <f>_xlfn.XLOOKUP(GERAL[[#This Row],[Dia]],U:U,T:T,"")</f>
        <v>Semana 6</v>
      </c>
      <c r="B1228" s="1">
        <v>46087</v>
      </c>
      <c r="C1228" t="s">
        <v>26</v>
      </c>
      <c r="D1228" s="1">
        <v>46087</v>
      </c>
      <c r="E1228" t="s">
        <v>36</v>
      </c>
      <c r="F1228" t="s">
        <v>112</v>
      </c>
      <c r="G1228" t="s">
        <v>71</v>
      </c>
      <c r="I1228">
        <v>7</v>
      </c>
      <c r="Q1228" t="s">
        <v>109</v>
      </c>
      <c r="R1228" t="str">
        <f>_xlfn.XLOOKUP(GERAL[[#This Row],[Dia]],U:U,V:V,"")</f>
        <v>Prazo_30</v>
      </c>
    </row>
    <row r="1229" spans="1:18" x14ac:dyDescent="0.3">
      <c r="A1229" t="str">
        <f>_xlfn.XLOOKUP(GERAL[[#This Row],[Dia]],U:U,T:T,"")</f>
        <v>Semana 6</v>
      </c>
      <c r="B1229" s="1">
        <v>46087</v>
      </c>
      <c r="C1229" t="s">
        <v>26</v>
      </c>
      <c r="D1229" s="1">
        <v>46087</v>
      </c>
      <c r="E1229" t="s">
        <v>36</v>
      </c>
      <c r="F1229" t="s">
        <v>112</v>
      </c>
      <c r="G1229" t="s">
        <v>115</v>
      </c>
      <c r="H1229">
        <v>3</v>
      </c>
      <c r="Q1229" t="s">
        <v>109</v>
      </c>
      <c r="R1229" t="str">
        <f>_xlfn.XLOOKUP(GERAL[[#This Row],[Dia]],U:U,V:V,"")</f>
        <v>Prazo_30</v>
      </c>
    </row>
    <row r="1230" spans="1:18" x14ac:dyDescent="0.3">
      <c r="A1230" t="str">
        <f>_xlfn.XLOOKUP(GERAL[[#This Row],[Dia]],U:U,T:T,"")</f>
        <v>Semana 6</v>
      </c>
      <c r="B1230" s="1">
        <v>46087</v>
      </c>
      <c r="C1230" t="s">
        <v>26</v>
      </c>
      <c r="D1230" s="1">
        <v>46087</v>
      </c>
      <c r="E1230" t="s">
        <v>36</v>
      </c>
      <c r="F1230" t="s">
        <v>116</v>
      </c>
      <c r="G1230" t="s">
        <v>115</v>
      </c>
      <c r="J1230">
        <v>15</v>
      </c>
      <c r="Q1230" t="s">
        <v>109</v>
      </c>
      <c r="R1230" t="str">
        <f>_xlfn.XLOOKUP(GERAL[[#This Row],[Dia]],U:U,V:V,"")</f>
        <v>Prazo_30</v>
      </c>
    </row>
    <row r="1231" spans="1:18" x14ac:dyDescent="0.3">
      <c r="A1231" t="str">
        <f>_xlfn.XLOOKUP(GERAL[[#This Row],[Dia]],U:U,T:T,"")</f>
        <v>Semana 6</v>
      </c>
      <c r="B1231" s="1">
        <v>46088</v>
      </c>
      <c r="C1231" t="s">
        <v>16</v>
      </c>
      <c r="D1231" s="1">
        <v>46088</v>
      </c>
      <c r="E1231" t="s">
        <v>36</v>
      </c>
      <c r="F1231" t="s">
        <v>112</v>
      </c>
      <c r="G1231" t="s">
        <v>115</v>
      </c>
      <c r="H1231">
        <v>5</v>
      </c>
      <c r="Q1231" t="s">
        <v>109</v>
      </c>
      <c r="R1231" t="str">
        <f>_xlfn.XLOOKUP(GERAL[[#This Row],[Dia]],U:U,V:V,"")</f>
        <v>Prazo_30</v>
      </c>
    </row>
    <row r="1232" spans="1:18" x14ac:dyDescent="0.3">
      <c r="A1232" t="str">
        <f>_xlfn.XLOOKUP(GERAL[[#This Row],[Dia]],U:U,T:T,"")</f>
        <v>Semana 6</v>
      </c>
      <c r="B1232" s="1">
        <v>46089</v>
      </c>
      <c r="C1232" t="s">
        <v>21</v>
      </c>
      <c r="D1232" s="1">
        <v>46089</v>
      </c>
      <c r="E1232" t="s">
        <v>17</v>
      </c>
      <c r="Q1232" t="s">
        <v>109</v>
      </c>
      <c r="R1232" t="str">
        <f>_xlfn.XLOOKUP(GERAL[[#This Row],[Dia]],U:U,V:V,"")</f>
        <v>Prazo_30</v>
      </c>
    </row>
    <row r="1233" spans="1:18" x14ac:dyDescent="0.3">
      <c r="A1233" t="str">
        <f>_xlfn.XLOOKUP(GERAL[[#This Row],[Dia]],U:U,T:T,"")</f>
        <v>Semana 7</v>
      </c>
      <c r="B1233" s="1">
        <v>46090</v>
      </c>
      <c r="C1233" t="s">
        <v>22</v>
      </c>
      <c r="D1233" s="1">
        <v>46090</v>
      </c>
      <c r="E1233" t="s">
        <v>36</v>
      </c>
      <c r="F1233" t="s">
        <v>112</v>
      </c>
      <c r="G1233" t="s">
        <v>71</v>
      </c>
      <c r="I1233">
        <v>4</v>
      </c>
      <c r="Q1233" t="s">
        <v>109</v>
      </c>
      <c r="R1233" t="str">
        <f>_xlfn.XLOOKUP(GERAL[[#This Row],[Dia]],U:U,V:V,"")</f>
        <v>Prazo_30</v>
      </c>
    </row>
    <row r="1234" spans="1:18" x14ac:dyDescent="0.3">
      <c r="A1234" t="str">
        <f>_xlfn.XLOOKUP(GERAL[[#This Row],[Dia]],U:U,T:T,"")</f>
        <v>Semana 7</v>
      </c>
      <c r="B1234" s="1">
        <v>46090</v>
      </c>
      <c r="C1234" t="s">
        <v>22</v>
      </c>
      <c r="D1234" s="1">
        <v>46090</v>
      </c>
      <c r="E1234" t="s">
        <v>36</v>
      </c>
      <c r="F1234" t="s">
        <v>114</v>
      </c>
      <c r="G1234" t="s">
        <v>115</v>
      </c>
      <c r="H1234">
        <v>5</v>
      </c>
      <c r="Q1234" t="s">
        <v>109</v>
      </c>
      <c r="R1234" t="str">
        <f>_xlfn.XLOOKUP(GERAL[[#This Row],[Dia]],U:U,V:V,"")</f>
        <v>Prazo_30</v>
      </c>
    </row>
    <row r="1235" spans="1:18" x14ac:dyDescent="0.3">
      <c r="A1235" t="str">
        <f>_xlfn.XLOOKUP(GERAL[[#This Row],[Dia]],U:U,T:T,"")</f>
        <v>Semana 7</v>
      </c>
      <c r="B1235" s="1">
        <v>46090</v>
      </c>
      <c r="C1235" t="s">
        <v>22</v>
      </c>
      <c r="D1235" s="1">
        <v>46090</v>
      </c>
      <c r="E1235" t="s">
        <v>36</v>
      </c>
      <c r="F1235" t="s">
        <v>116</v>
      </c>
      <c r="G1235" t="s">
        <v>115</v>
      </c>
      <c r="H1235">
        <v>6</v>
      </c>
      <c r="Q1235" t="s">
        <v>109</v>
      </c>
      <c r="R1235" t="str">
        <f>_xlfn.XLOOKUP(GERAL[[#This Row],[Dia]],U:U,V:V,"")</f>
        <v>Prazo_30</v>
      </c>
    </row>
    <row r="1236" spans="1:18" x14ac:dyDescent="0.3">
      <c r="A1236" t="str">
        <f>_xlfn.XLOOKUP(GERAL[[#This Row],[Dia]],U:U,T:T,"")</f>
        <v>Semana 7</v>
      </c>
      <c r="B1236" s="1">
        <v>46091</v>
      </c>
      <c r="C1236" t="s">
        <v>23</v>
      </c>
      <c r="D1236" s="1">
        <v>46091</v>
      </c>
      <c r="E1236" t="s">
        <v>17</v>
      </c>
      <c r="G1236" t="s">
        <v>88</v>
      </c>
      <c r="Q1236" t="s">
        <v>109</v>
      </c>
      <c r="R1236" t="str">
        <f>_xlfn.XLOOKUP(GERAL[[#This Row],[Dia]],U:U,V:V,"")</f>
        <v>Prazo_30</v>
      </c>
    </row>
    <row r="1237" spans="1:18" x14ac:dyDescent="0.3">
      <c r="A1237" t="str">
        <f>_xlfn.XLOOKUP(GERAL[[#This Row],[Dia]],U:U,T:T,"")</f>
        <v>Semana 7</v>
      </c>
      <c r="B1237" s="1">
        <v>46092</v>
      </c>
      <c r="C1237" t="s">
        <v>24</v>
      </c>
      <c r="D1237" s="1">
        <v>46092</v>
      </c>
      <c r="E1237" t="s">
        <v>36</v>
      </c>
      <c r="F1237" t="s">
        <v>112</v>
      </c>
      <c r="G1237" t="s">
        <v>115</v>
      </c>
      <c r="N1237">
        <v>7</v>
      </c>
      <c r="Q1237" t="s">
        <v>109</v>
      </c>
      <c r="R1237" t="str">
        <f>_xlfn.XLOOKUP(GERAL[[#This Row],[Dia]],U:U,V:V,"")</f>
        <v>Prazo_30</v>
      </c>
    </row>
    <row r="1238" spans="1:18" x14ac:dyDescent="0.3">
      <c r="A1238" t="str">
        <f>_xlfn.XLOOKUP(GERAL[[#This Row],[Dia]],U:U,T:T,"")</f>
        <v>Semana 7</v>
      </c>
      <c r="B1238" s="1">
        <v>46092</v>
      </c>
      <c r="C1238" t="s">
        <v>24</v>
      </c>
      <c r="D1238" s="1">
        <v>46092</v>
      </c>
      <c r="E1238" t="s">
        <v>36</v>
      </c>
      <c r="F1238" t="s">
        <v>116</v>
      </c>
      <c r="G1238" t="s">
        <v>115</v>
      </c>
      <c r="N1238">
        <v>7</v>
      </c>
      <c r="Q1238" t="s">
        <v>109</v>
      </c>
      <c r="R1238" t="str">
        <f>_xlfn.XLOOKUP(GERAL[[#This Row],[Dia]],U:U,V:V,"")</f>
        <v>Prazo_30</v>
      </c>
    </row>
    <row r="1239" spans="1:18" x14ac:dyDescent="0.3">
      <c r="A1239" t="str">
        <f>_xlfn.XLOOKUP(GERAL[[#This Row],[Dia]],U:U,T:T,"")</f>
        <v>Semana 7</v>
      </c>
      <c r="B1239" s="1">
        <v>46092</v>
      </c>
      <c r="C1239" t="s">
        <v>24</v>
      </c>
      <c r="D1239" s="1">
        <v>46092</v>
      </c>
      <c r="E1239" t="s">
        <v>36</v>
      </c>
      <c r="F1239" t="s">
        <v>114</v>
      </c>
      <c r="G1239" t="s">
        <v>115</v>
      </c>
      <c r="N1239">
        <v>7</v>
      </c>
      <c r="Q1239" t="s">
        <v>109</v>
      </c>
      <c r="R1239" t="str">
        <f>_xlfn.XLOOKUP(GERAL[[#This Row],[Dia]],U:U,V:V,"")</f>
        <v>Prazo_30</v>
      </c>
    </row>
    <row r="1240" spans="1:18" x14ac:dyDescent="0.3">
      <c r="A1240" t="str">
        <f>_xlfn.XLOOKUP(GERAL[[#This Row],[Dia]],U:U,T:T,"")</f>
        <v>Semana 7</v>
      </c>
      <c r="B1240" s="1">
        <v>46093</v>
      </c>
      <c r="C1240" t="s">
        <v>25</v>
      </c>
      <c r="D1240" s="1">
        <v>46093</v>
      </c>
      <c r="E1240" t="s">
        <v>36</v>
      </c>
      <c r="F1240" t="s">
        <v>112</v>
      </c>
      <c r="G1240" t="s">
        <v>115</v>
      </c>
      <c r="N1240">
        <v>5</v>
      </c>
      <c r="Q1240" t="s">
        <v>109</v>
      </c>
      <c r="R1240" t="str">
        <f>_xlfn.XLOOKUP(GERAL[[#This Row],[Dia]],U:U,V:V,"")</f>
        <v>Prazo_30</v>
      </c>
    </row>
    <row r="1241" spans="1:18" x14ac:dyDescent="0.3">
      <c r="A1241" t="str">
        <f>_xlfn.XLOOKUP(GERAL[[#This Row],[Dia]],U:U,T:T,"")</f>
        <v>Semana 7</v>
      </c>
      <c r="B1241" s="1">
        <v>46093</v>
      </c>
      <c r="C1241" t="s">
        <v>25</v>
      </c>
      <c r="D1241" s="1">
        <v>46093</v>
      </c>
      <c r="E1241" t="s">
        <v>36</v>
      </c>
      <c r="F1241" t="s">
        <v>114</v>
      </c>
      <c r="G1241" t="s">
        <v>115</v>
      </c>
      <c r="N1241">
        <v>3</v>
      </c>
      <c r="Q1241" t="s">
        <v>109</v>
      </c>
      <c r="R1241" t="str">
        <f>_xlfn.XLOOKUP(GERAL[[#This Row],[Dia]],U:U,V:V,"")</f>
        <v>Prazo_30</v>
      </c>
    </row>
    <row r="1242" spans="1:18" x14ac:dyDescent="0.3">
      <c r="A1242" t="str">
        <f>_xlfn.XLOOKUP(GERAL[[#This Row],[Dia]],U:U,T:T,"")</f>
        <v>Semana 7</v>
      </c>
      <c r="B1242" s="1">
        <v>46093</v>
      </c>
      <c r="C1242" t="s">
        <v>25</v>
      </c>
      <c r="D1242" s="1">
        <v>46093</v>
      </c>
      <c r="E1242" t="s">
        <v>36</v>
      </c>
      <c r="F1242" t="s">
        <v>116</v>
      </c>
      <c r="G1242" t="s">
        <v>115</v>
      </c>
      <c r="N1242">
        <v>4</v>
      </c>
      <c r="Q1242" t="s">
        <v>109</v>
      </c>
      <c r="R1242" t="str">
        <f>_xlfn.XLOOKUP(GERAL[[#This Row],[Dia]],U:U,V:V,"")</f>
        <v>Prazo_30</v>
      </c>
    </row>
    <row r="1243" spans="1:18" x14ac:dyDescent="0.3">
      <c r="A1243" t="str">
        <f>_xlfn.XLOOKUP(GERAL[[#This Row],[Dia]],U:U,T:T,"")</f>
        <v>Semana 7</v>
      </c>
      <c r="B1243" s="1">
        <v>46094</v>
      </c>
      <c r="C1243" t="s">
        <v>26</v>
      </c>
      <c r="D1243" s="1">
        <v>46094</v>
      </c>
      <c r="E1243" t="s">
        <v>36</v>
      </c>
      <c r="F1243" t="s">
        <v>112</v>
      </c>
      <c r="G1243" t="s">
        <v>115</v>
      </c>
      <c r="L1243">
        <v>1</v>
      </c>
      <c r="Q1243" t="s">
        <v>109</v>
      </c>
      <c r="R1243" t="str">
        <f>_xlfn.XLOOKUP(GERAL[[#This Row],[Dia]],U:U,V:V,"")</f>
        <v>Prazo_30</v>
      </c>
    </row>
    <row r="1244" spans="1:18" x14ac:dyDescent="0.3">
      <c r="A1244" t="str">
        <f>_xlfn.XLOOKUP(GERAL[[#This Row],[Dia]],U:U,T:T,"")</f>
        <v>Semana 7</v>
      </c>
      <c r="B1244" s="1">
        <v>46094</v>
      </c>
      <c r="C1244" t="s">
        <v>26</v>
      </c>
      <c r="D1244" s="1">
        <v>46094</v>
      </c>
      <c r="E1244" t="s">
        <v>36</v>
      </c>
      <c r="F1244" t="s">
        <v>114</v>
      </c>
      <c r="G1244" t="s">
        <v>115</v>
      </c>
      <c r="L1244">
        <v>1</v>
      </c>
      <c r="Q1244" t="s">
        <v>109</v>
      </c>
      <c r="R1244" t="str">
        <f>_xlfn.XLOOKUP(GERAL[[#This Row],[Dia]],U:U,V:V,"")</f>
        <v>Prazo_30</v>
      </c>
    </row>
    <row r="1245" spans="1:18" x14ac:dyDescent="0.3">
      <c r="A1245" t="str">
        <f>_xlfn.XLOOKUP(GERAL[[#This Row],[Dia]],U:U,T:T,"")</f>
        <v>Semana 7</v>
      </c>
      <c r="B1245" s="1">
        <v>46094</v>
      </c>
      <c r="C1245" t="s">
        <v>26</v>
      </c>
      <c r="D1245" s="1">
        <v>46094</v>
      </c>
      <c r="E1245" t="s">
        <v>36</v>
      </c>
      <c r="F1245" t="s">
        <v>116</v>
      </c>
      <c r="G1245" t="s">
        <v>115</v>
      </c>
      <c r="L1245">
        <v>1</v>
      </c>
      <c r="Q1245" t="s">
        <v>109</v>
      </c>
      <c r="R1245" t="str">
        <f>_xlfn.XLOOKUP(GERAL[[#This Row],[Dia]],U:U,V:V,"")</f>
        <v>Prazo_30</v>
      </c>
    </row>
    <row r="1246" spans="1:18" x14ac:dyDescent="0.3">
      <c r="A1246" t="str">
        <f>_xlfn.XLOOKUP(GERAL[[#This Row],[Dia]],U:U,T:T,"")</f>
        <v>Semana 7</v>
      </c>
      <c r="B1246" s="1">
        <v>46095</v>
      </c>
      <c r="C1246" t="s">
        <v>16</v>
      </c>
      <c r="D1246" s="1">
        <v>46095</v>
      </c>
      <c r="E1246" t="s">
        <v>36</v>
      </c>
      <c r="F1246" t="s">
        <v>112</v>
      </c>
      <c r="G1246" t="s">
        <v>115</v>
      </c>
      <c r="L1246">
        <v>1</v>
      </c>
      <c r="Q1246" t="s">
        <v>109</v>
      </c>
      <c r="R1246" t="str">
        <f>_xlfn.XLOOKUP(GERAL[[#This Row],[Dia]],U:U,V:V,"")</f>
        <v>Prazo_30</v>
      </c>
    </row>
    <row r="1247" spans="1:18" x14ac:dyDescent="0.3">
      <c r="A1247" t="str">
        <f>_xlfn.XLOOKUP(GERAL[[#This Row],[Dia]],U:U,T:T,"")</f>
        <v>Semana 7</v>
      </c>
      <c r="B1247" s="1">
        <v>46095</v>
      </c>
      <c r="C1247" t="s">
        <v>16</v>
      </c>
      <c r="D1247" s="1">
        <v>46095</v>
      </c>
      <c r="E1247" t="s">
        <v>36</v>
      </c>
      <c r="F1247" t="s">
        <v>114</v>
      </c>
      <c r="G1247" t="s">
        <v>115</v>
      </c>
      <c r="L1247">
        <v>1</v>
      </c>
      <c r="Q1247" t="s">
        <v>109</v>
      </c>
      <c r="R1247" t="str">
        <f>_xlfn.XLOOKUP(GERAL[[#This Row],[Dia]],U:U,V:V,"")</f>
        <v>Prazo_30</v>
      </c>
    </row>
    <row r="1248" spans="1:18" x14ac:dyDescent="0.3">
      <c r="A1248" t="str">
        <f>_xlfn.XLOOKUP(GERAL[[#This Row],[Dia]],U:U,T:T,"")</f>
        <v>Semana 7</v>
      </c>
      <c r="B1248" s="1">
        <v>46095</v>
      </c>
      <c r="C1248" t="s">
        <v>16</v>
      </c>
      <c r="D1248" s="1">
        <v>46095</v>
      </c>
      <c r="E1248" t="s">
        <v>36</v>
      </c>
      <c r="F1248" t="s">
        <v>116</v>
      </c>
      <c r="G1248" t="s">
        <v>115</v>
      </c>
      <c r="L1248">
        <v>1</v>
      </c>
      <c r="Q1248" t="s">
        <v>109</v>
      </c>
      <c r="R1248" t="str">
        <f>_xlfn.XLOOKUP(GERAL[[#This Row],[Dia]],U:U,V:V,"")</f>
        <v>Prazo_30</v>
      </c>
    </row>
    <row r="1249" spans="1:18" x14ac:dyDescent="0.3">
      <c r="A1249" t="str">
        <f>_xlfn.XLOOKUP(GERAL[[#This Row],[Dia]],U:U,T:T,"")</f>
        <v>Semana 7</v>
      </c>
      <c r="B1249" s="1">
        <v>46096</v>
      </c>
      <c r="C1249" t="s">
        <v>21</v>
      </c>
      <c r="D1249" s="1">
        <v>46096</v>
      </c>
      <c r="E1249" t="s">
        <v>36</v>
      </c>
      <c r="F1249" t="s">
        <v>112</v>
      </c>
      <c r="G1249" t="s">
        <v>115</v>
      </c>
      <c r="L1249">
        <v>1</v>
      </c>
      <c r="Q1249" t="s">
        <v>109</v>
      </c>
      <c r="R1249" t="str">
        <f>_xlfn.XLOOKUP(GERAL[[#This Row],[Dia]],U:U,V:V,"")</f>
        <v>Prazo_30</v>
      </c>
    </row>
    <row r="1250" spans="1:18" x14ac:dyDescent="0.3">
      <c r="A1250" t="str">
        <f>_xlfn.XLOOKUP(GERAL[[#This Row],[Dia]],U:U,T:T,"")</f>
        <v>Semana 8</v>
      </c>
      <c r="B1250" s="1">
        <v>46097</v>
      </c>
      <c r="C1250" t="s">
        <v>22</v>
      </c>
      <c r="D1250" s="1">
        <v>46097</v>
      </c>
      <c r="E1250" t="s">
        <v>36</v>
      </c>
      <c r="F1250" t="s">
        <v>112</v>
      </c>
      <c r="G1250" t="s">
        <v>115</v>
      </c>
      <c r="I1250">
        <v>3</v>
      </c>
      <c r="Q1250" t="s">
        <v>109</v>
      </c>
      <c r="R1250" t="str">
        <f>_xlfn.XLOOKUP(GERAL[[#This Row],[Dia]],U:U,V:V,"")</f>
        <v>Prazo_30</v>
      </c>
    </row>
    <row r="1251" spans="1:18" x14ac:dyDescent="0.3">
      <c r="A1251" t="str">
        <f>_xlfn.XLOOKUP(GERAL[[#This Row],[Dia]],U:U,T:T,"")</f>
        <v>Semana 8</v>
      </c>
      <c r="B1251" s="1">
        <v>46097</v>
      </c>
      <c r="C1251" t="s">
        <v>22</v>
      </c>
      <c r="D1251" s="1">
        <v>46097</v>
      </c>
      <c r="E1251" t="s">
        <v>36</v>
      </c>
      <c r="F1251" t="s">
        <v>114</v>
      </c>
      <c r="G1251" t="s">
        <v>115</v>
      </c>
      <c r="J1251">
        <v>30</v>
      </c>
      <c r="Q1251" t="s">
        <v>109</v>
      </c>
      <c r="R1251" t="str">
        <f>_xlfn.XLOOKUP(GERAL[[#This Row],[Dia]],U:U,V:V,"")</f>
        <v>Prazo_30</v>
      </c>
    </row>
    <row r="1252" spans="1:18" x14ac:dyDescent="0.3">
      <c r="A1252" t="str">
        <f>_xlfn.XLOOKUP(GERAL[[#This Row],[Dia]],U:U,T:T,"")</f>
        <v>Semana 8</v>
      </c>
      <c r="B1252" s="1">
        <v>46097</v>
      </c>
      <c r="C1252" t="s">
        <v>22</v>
      </c>
      <c r="D1252" s="1">
        <v>46097</v>
      </c>
      <c r="E1252" t="s">
        <v>36</v>
      </c>
      <c r="F1252" t="s">
        <v>116</v>
      </c>
      <c r="G1252" t="s">
        <v>115</v>
      </c>
      <c r="J1252">
        <v>30</v>
      </c>
      <c r="Q1252" t="s">
        <v>109</v>
      </c>
      <c r="R1252" t="str">
        <f>_xlfn.XLOOKUP(GERAL[[#This Row],[Dia]],U:U,V:V,"")</f>
        <v>Prazo_30</v>
      </c>
    </row>
    <row r="1253" spans="1:18" x14ac:dyDescent="0.3">
      <c r="A1253" t="str">
        <f>_xlfn.XLOOKUP(GERAL[[#This Row],[Dia]],U:U,T:T,"")</f>
        <v>Semana 8</v>
      </c>
      <c r="B1253" s="1">
        <v>46098</v>
      </c>
      <c r="C1253" t="s">
        <v>23</v>
      </c>
      <c r="D1253" s="1">
        <v>46098</v>
      </c>
      <c r="E1253" t="s">
        <v>36</v>
      </c>
      <c r="F1253" t="s">
        <v>112</v>
      </c>
      <c r="G1253" t="s">
        <v>119</v>
      </c>
      <c r="I1253">
        <v>1</v>
      </c>
      <c r="Q1253" t="s">
        <v>109</v>
      </c>
      <c r="R1253" t="str">
        <f>_xlfn.XLOOKUP(GERAL[[#This Row],[Dia]],U:U,V:V,"")</f>
        <v>Prazo_30</v>
      </c>
    </row>
    <row r="1254" spans="1:18" x14ac:dyDescent="0.3">
      <c r="A1254" t="str">
        <f>_xlfn.XLOOKUP(GERAL[[#This Row],[Dia]],U:U,T:T,"")</f>
        <v>Semana 8</v>
      </c>
      <c r="B1254" s="1">
        <v>46098</v>
      </c>
      <c r="C1254" t="s">
        <v>23</v>
      </c>
      <c r="D1254" s="1">
        <v>46098</v>
      </c>
      <c r="E1254" t="s">
        <v>36</v>
      </c>
      <c r="F1254" t="s">
        <v>114</v>
      </c>
      <c r="G1254" t="s">
        <v>115</v>
      </c>
      <c r="J1254">
        <v>40</v>
      </c>
      <c r="Q1254" t="s">
        <v>109</v>
      </c>
      <c r="R1254" t="str">
        <f>_xlfn.XLOOKUP(GERAL[[#This Row],[Dia]],U:U,V:V,"")</f>
        <v>Prazo_30</v>
      </c>
    </row>
    <row r="1255" spans="1:18" x14ac:dyDescent="0.3">
      <c r="A1255" t="str">
        <f>_xlfn.XLOOKUP(GERAL[[#This Row],[Dia]],U:U,T:T,"")</f>
        <v>Semana 8</v>
      </c>
      <c r="B1255" s="1">
        <v>46098</v>
      </c>
      <c r="C1255" t="s">
        <v>23</v>
      </c>
      <c r="D1255" s="1">
        <v>46098</v>
      </c>
      <c r="E1255" t="s">
        <v>36</v>
      </c>
      <c r="F1255" t="s">
        <v>116</v>
      </c>
      <c r="G1255" t="s">
        <v>115</v>
      </c>
      <c r="J1255">
        <v>45</v>
      </c>
      <c r="Q1255" t="s">
        <v>109</v>
      </c>
      <c r="R1255" t="str">
        <f>_xlfn.XLOOKUP(GERAL[[#This Row],[Dia]],U:U,V:V,"")</f>
        <v>Prazo_30</v>
      </c>
    </row>
    <row r="1256" spans="1:18" x14ac:dyDescent="0.3">
      <c r="A1256" t="str">
        <f>_xlfn.XLOOKUP(GERAL[[#This Row],[Dia]],U:U,T:T,"")</f>
        <v>Semana 8</v>
      </c>
      <c r="B1256" s="1">
        <v>46099</v>
      </c>
      <c r="C1256" t="s">
        <v>24</v>
      </c>
      <c r="D1256" s="1">
        <v>46099</v>
      </c>
      <c r="E1256" t="s">
        <v>36</v>
      </c>
      <c r="F1256" t="s">
        <v>116</v>
      </c>
      <c r="G1256" t="s">
        <v>115</v>
      </c>
      <c r="J1256">
        <v>12</v>
      </c>
      <c r="Q1256" t="s">
        <v>109</v>
      </c>
      <c r="R1256" t="str">
        <f>_xlfn.XLOOKUP(GERAL[[#This Row],[Dia]],U:U,V:V,"")</f>
        <v>Prazo_30</v>
      </c>
    </row>
    <row r="1257" spans="1:18" x14ac:dyDescent="0.3">
      <c r="A1257" t="str">
        <f>_xlfn.XLOOKUP(GERAL[[#This Row],[Dia]],U:U,T:T,"")</f>
        <v>Semana 8</v>
      </c>
      <c r="B1257" s="1">
        <v>46100</v>
      </c>
      <c r="C1257" t="s">
        <v>25</v>
      </c>
      <c r="D1257" s="1">
        <v>46100</v>
      </c>
      <c r="E1257" t="s">
        <v>36</v>
      </c>
      <c r="F1257" t="s">
        <v>112</v>
      </c>
      <c r="G1257" t="s">
        <v>113</v>
      </c>
      <c r="I1257">
        <v>2</v>
      </c>
      <c r="Q1257" t="s">
        <v>109</v>
      </c>
      <c r="R1257" t="str">
        <f>_xlfn.XLOOKUP(GERAL[[#This Row],[Dia]],U:U,V:V,"")</f>
        <v>Prazo_30</v>
      </c>
    </row>
    <row r="1258" spans="1:18" x14ac:dyDescent="0.3">
      <c r="A1258" t="str">
        <f>_xlfn.XLOOKUP(GERAL[[#This Row],[Dia]],U:U,T:T,"")</f>
        <v>Semana 8</v>
      </c>
      <c r="B1258" s="1">
        <v>46100</v>
      </c>
      <c r="C1258" t="s">
        <v>25</v>
      </c>
      <c r="D1258" s="1">
        <v>46100</v>
      </c>
      <c r="E1258" t="s">
        <v>36</v>
      </c>
      <c r="F1258" t="s">
        <v>112</v>
      </c>
      <c r="G1258" t="s">
        <v>115</v>
      </c>
      <c r="H1258">
        <v>3</v>
      </c>
      <c r="O1258">
        <v>3</v>
      </c>
      <c r="Q1258" t="s">
        <v>109</v>
      </c>
      <c r="R1258" t="str">
        <f>_xlfn.XLOOKUP(GERAL[[#This Row],[Dia]],U:U,V:V,"")</f>
        <v>Prazo_30</v>
      </c>
    </row>
    <row r="1259" spans="1:18" x14ac:dyDescent="0.3">
      <c r="A1259" t="str">
        <f>_xlfn.XLOOKUP(GERAL[[#This Row],[Dia]],U:U,T:T,"")</f>
        <v>Semana 8</v>
      </c>
      <c r="B1259" s="1">
        <v>46100</v>
      </c>
      <c r="C1259" t="s">
        <v>25</v>
      </c>
      <c r="D1259" s="1">
        <v>46100</v>
      </c>
      <c r="E1259" t="s">
        <v>36</v>
      </c>
      <c r="F1259" t="s">
        <v>114</v>
      </c>
      <c r="G1259" t="s">
        <v>115</v>
      </c>
      <c r="H1259">
        <v>7</v>
      </c>
      <c r="O1259">
        <v>7</v>
      </c>
      <c r="Q1259" t="s">
        <v>109</v>
      </c>
      <c r="R1259" t="str">
        <f>_xlfn.XLOOKUP(GERAL[[#This Row],[Dia]],U:U,V:V,"")</f>
        <v>Prazo_30</v>
      </c>
    </row>
    <row r="1260" spans="1:18" x14ac:dyDescent="0.3">
      <c r="A1260" t="str">
        <f>_xlfn.XLOOKUP(GERAL[[#This Row],[Dia]],U:U,T:T,"")</f>
        <v>Semana 8</v>
      </c>
      <c r="B1260" s="1">
        <v>46100</v>
      </c>
      <c r="C1260" t="s">
        <v>25</v>
      </c>
      <c r="D1260" s="1">
        <v>46100</v>
      </c>
      <c r="E1260" t="s">
        <v>36</v>
      </c>
      <c r="F1260" t="s">
        <v>116</v>
      </c>
      <c r="G1260" t="s">
        <v>115</v>
      </c>
      <c r="H1260">
        <v>4</v>
      </c>
      <c r="J1260">
        <v>8</v>
      </c>
      <c r="O1260">
        <v>4</v>
      </c>
      <c r="Q1260" t="s">
        <v>109</v>
      </c>
      <c r="R1260" t="str">
        <f>_xlfn.XLOOKUP(GERAL[[#This Row],[Dia]],U:U,V:V,"")</f>
        <v>Prazo_30</v>
      </c>
    </row>
    <row r="1261" spans="1:18" x14ac:dyDescent="0.3">
      <c r="A1261" t="str">
        <f>_xlfn.XLOOKUP(GERAL[[#This Row],[Dia]],U:U,T:T,"")</f>
        <v>Semana 8</v>
      </c>
      <c r="B1261" s="1">
        <v>46101</v>
      </c>
      <c r="C1261" t="s">
        <v>26</v>
      </c>
      <c r="D1261" s="1">
        <v>46101</v>
      </c>
      <c r="E1261" t="s">
        <v>36</v>
      </c>
      <c r="F1261" t="s">
        <v>112</v>
      </c>
      <c r="G1261" t="s">
        <v>113</v>
      </c>
      <c r="I1261">
        <v>4</v>
      </c>
      <c r="Q1261" t="s">
        <v>109</v>
      </c>
      <c r="R1261" t="str">
        <f>_xlfn.XLOOKUP(GERAL[[#This Row],[Dia]],U:U,V:V,"")</f>
        <v>Prazo_30</v>
      </c>
    </row>
    <row r="1262" spans="1:18" x14ac:dyDescent="0.3">
      <c r="A1262" t="str">
        <f>_xlfn.XLOOKUP(GERAL[[#This Row],[Dia]],U:U,T:T,"")</f>
        <v>Semana 8</v>
      </c>
      <c r="B1262" s="1">
        <v>46101</v>
      </c>
      <c r="C1262" t="s">
        <v>26</v>
      </c>
      <c r="D1262" s="1">
        <v>46101</v>
      </c>
      <c r="E1262" t="s">
        <v>36</v>
      </c>
      <c r="F1262" t="s">
        <v>116</v>
      </c>
      <c r="G1262" t="s">
        <v>115</v>
      </c>
      <c r="H1262">
        <v>4</v>
      </c>
      <c r="O1262">
        <v>4</v>
      </c>
      <c r="Q1262" t="s">
        <v>109</v>
      </c>
      <c r="R1262" t="str">
        <f>_xlfn.XLOOKUP(GERAL[[#This Row],[Dia]],U:U,V:V,"")</f>
        <v>Prazo_30</v>
      </c>
    </row>
    <row r="1263" spans="1:18" x14ac:dyDescent="0.3">
      <c r="A1263" t="str">
        <f>_xlfn.XLOOKUP(GERAL[[#This Row],[Dia]],U:U,T:T,"")</f>
        <v>Semana 8</v>
      </c>
      <c r="B1263" s="1">
        <v>46102</v>
      </c>
      <c r="C1263" t="s">
        <v>16</v>
      </c>
      <c r="D1263" s="1">
        <v>46102</v>
      </c>
      <c r="E1263" t="s">
        <v>17</v>
      </c>
      <c r="Q1263" t="s">
        <v>109</v>
      </c>
      <c r="R1263" t="str">
        <f>_xlfn.XLOOKUP(GERAL[[#This Row],[Dia]],U:U,V:V,"")</f>
        <v>Prazo_30</v>
      </c>
    </row>
    <row r="1264" spans="1:18" x14ac:dyDescent="0.3">
      <c r="A1264" t="str">
        <f>_xlfn.XLOOKUP(GERAL[[#This Row],[Dia]],U:U,T:T,"")</f>
        <v>Semana 8</v>
      </c>
      <c r="B1264" s="1">
        <v>46103</v>
      </c>
      <c r="C1264" t="s">
        <v>21</v>
      </c>
      <c r="D1264" s="1">
        <v>46103</v>
      </c>
      <c r="E1264" t="s">
        <v>17</v>
      </c>
      <c r="Q1264" t="s">
        <v>109</v>
      </c>
      <c r="R1264" t="str">
        <f>_xlfn.XLOOKUP(GERAL[[#This Row],[Dia]],U:U,V:V,"")</f>
        <v>Prazo_30</v>
      </c>
    </row>
    <row r="1265" spans="1:18" x14ac:dyDescent="0.3">
      <c r="A1265" t="str">
        <f>_xlfn.XLOOKUP(GERAL[[#This Row],[Dia]],U:U,T:T,"")</f>
        <v>Semana 9</v>
      </c>
      <c r="B1265" s="1">
        <v>46104</v>
      </c>
      <c r="C1265" t="s">
        <v>22</v>
      </c>
      <c r="D1265" s="1">
        <v>46104</v>
      </c>
      <c r="E1265" t="s">
        <v>36</v>
      </c>
      <c r="F1265" t="s">
        <v>114</v>
      </c>
      <c r="G1265" t="s">
        <v>115</v>
      </c>
      <c r="N1265">
        <v>8</v>
      </c>
      <c r="Q1265" t="s">
        <v>109</v>
      </c>
      <c r="R1265" t="str">
        <f>_xlfn.XLOOKUP(GERAL[[#This Row],[Dia]],U:U,V:V,"")</f>
        <v>Prazo_30</v>
      </c>
    </row>
    <row r="1266" spans="1:18" x14ac:dyDescent="0.3">
      <c r="A1266" t="str">
        <f>_xlfn.XLOOKUP(GERAL[[#This Row],[Dia]],U:U,T:T,"")</f>
        <v>Semana 9</v>
      </c>
      <c r="B1266" s="1">
        <v>46104</v>
      </c>
      <c r="C1266" t="s">
        <v>22</v>
      </c>
      <c r="D1266" s="1">
        <v>46104</v>
      </c>
      <c r="E1266" t="s">
        <v>36</v>
      </c>
      <c r="F1266" t="s">
        <v>116</v>
      </c>
      <c r="G1266" t="s">
        <v>115</v>
      </c>
      <c r="N1266">
        <v>8</v>
      </c>
      <c r="Q1266" t="s">
        <v>109</v>
      </c>
      <c r="R1266" t="str">
        <f>_xlfn.XLOOKUP(GERAL[[#This Row],[Dia]],U:U,V:V,"")</f>
        <v>Prazo_30</v>
      </c>
    </row>
    <row r="1267" spans="1:18" x14ac:dyDescent="0.3">
      <c r="A1267" t="str">
        <f>_xlfn.XLOOKUP(GERAL[[#This Row],[Dia]],U:U,T:T,"")</f>
        <v>Semana 9</v>
      </c>
      <c r="B1267" s="1">
        <v>46105</v>
      </c>
      <c r="C1267" t="s">
        <v>23</v>
      </c>
      <c r="D1267" s="1">
        <v>46105</v>
      </c>
      <c r="E1267" t="s">
        <v>36</v>
      </c>
      <c r="F1267" t="s">
        <v>114</v>
      </c>
      <c r="G1267" t="s">
        <v>115</v>
      </c>
      <c r="N1267">
        <v>6</v>
      </c>
      <c r="Q1267" t="s">
        <v>109</v>
      </c>
      <c r="R1267" t="str">
        <f>_xlfn.XLOOKUP(GERAL[[#This Row],[Dia]],U:U,V:V,"")</f>
        <v>Prazo_30</v>
      </c>
    </row>
    <row r="1268" spans="1:18" x14ac:dyDescent="0.3">
      <c r="A1268" t="str">
        <f>_xlfn.XLOOKUP(GERAL[[#This Row],[Dia]],U:U,T:T,"")</f>
        <v>Semana 9</v>
      </c>
      <c r="B1268" s="1">
        <v>46105</v>
      </c>
      <c r="C1268" t="s">
        <v>23</v>
      </c>
      <c r="D1268" s="1">
        <v>46105</v>
      </c>
      <c r="E1268" t="s">
        <v>36</v>
      </c>
      <c r="F1268" t="s">
        <v>116</v>
      </c>
      <c r="G1268" t="s">
        <v>115</v>
      </c>
      <c r="N1268">
        <v>6</v>
      </c>
      <c r="Q1268" t="s">
        <v>109</v>
      </c>
      <c r="R1268" t="str">
        <f>_xlfn.XLOOKUP(GERAL[[#This Row],[Dia]],U:U,V:V,"")</f>
        <v>Prazo_30</v>
      </c>
    </row>
    <row r="1269" spans="1:18" x14ac:dyDescent="0.3">
      <c r="A1269" t="str">
        <f>_xlfn.XLOOKUP(GERAL[[#This Row],[Dia]],U:U,T:T,"")</f>
        <v>Semana 9</v>
      </c>
      <c r="B1269" s="1">
        <v>46106</v>
      </c>
      <c r="C1269" t="s">
        <v>24</v>
      </c>
      <c r="D1269" s="1">
        <v>46106</v>
      </c>
      <c r="E1269" t="s">
        <v>36</v>
      </c>
      <c r="F1269" t="s">
        <v>114</v>
      </c>
      <c r="G1269" t="s">
        <v>115</v>
      </c>
      <c r="M1269">
        <v>8</v>
      </c>
      <c r="Q1269" t="s">
        <v>109</v>
      </c>
      <c r="R1269" t="str">
        <f>_xlfn.XLOOKUP(GERAL[[#This Row],[Dia]],U:U,V:V,"")</f>
        <v>Prazo_30</v>
      </c>
    </row>
    <row r="1270" spans="1:18" x14ac:dyDescent="0.3">
      <c r="A1270" t="str">
        <f>_xlfn.XLOOKUP(GERAL[[#This Row],[Dia]],U:U,T:T,"")</f>
        <v>Semana 9</v>
      </c>
      <c r="B1270" s="1">
        <v>46106</v>
      </c>
      <c r="C1270" t="s">
        <v>24</v>
      </c>
      <c r="D1270" s="1">
        <v>46106</v>
      </c>
      <c r="E1270" t="s">
        <v>36</v>
      </c>
      <c r="F1270" t="s">
        <v>116</v>
      </c>
      <c r="G1270" t="s">
        <v>115</v>
      </c>
      <c r="M1270">
        <v>8</v>
      </c>
      <c r="Q1270" t="s">
        <v>109</v>
      </c>
      <c r="R1270" t="str">
        <f>_xlfn.XLOOKUP(GERAL[[#This Row],[Dia]],U:U,V:V,"")</f>
        <v>Prazo_30</v>
      </c>
    </row>
    <row r="1271" spans="1:18" x14ac:dyDescent="0.3">
      <c r="A1271" t="str">
        <f>_xlfn.XLOOKUP(GERAL[[#This Row],[Dia]],U:U,T:T,"")</f>
        <v>Semana 9</v>
      </c>
      <c r="B1271" s="1">
        <v>46107</v>
      </c>
      <c r="C1271" t="s">
        <v>25</v>
      </c>
      <c r="D1271" s="1">
        <v>46107</v>
      </c>
      <c r="E1271" t="s">
        <v>36</v>
      </c>
      <c r="F1271" t="s">
        <v>114</v>
      </c>
      <c r="G1271" t="s">
        <v>115</v>
      </c>
      <c r="M1271">
        <v>8</v>
      </c>
      <c r="Q1271" t="s">
        <v>109</v>
      </c>
      <c r="R1271" t="str">
        <f>_xlfn.XLOOKUP(GERAL[[#This Row],[Dia]],U:U,V:V,"")</f>
        <v>Prazo_30</v>
      </c>
    </row>
    <row r="1272" spans="1:18" x14ac:dyDescent="0.3">
      <c r="A1272" t="str">
        <f>_xlfn.XLOOKUP(GERAL[[#This Row],[Dia]],U:U,T:T,"")</f>
        <v>Semana 9</v>
      </c>
      <c r="B1272" s="1">
        <v>46107</v>
      </c>
      <c r="C1272" t="s">
        <v>25</v>
      </c>
      <c r="D1272" s="1">
        <v>46107</v>
      </c>
      <c r="E1272" t="s">
        <v>36</v>
      </c>
      <c r="F1272" t="s">
        <v>116</v>
      </c>
      <c r="G1272" t="s">
        <v>71</v>
      </c>
      <c r="I1272">
        <v>4</v>
      </c>
      <c r="Q1272" t="s">
        <v>109</v>
      </c>
      <c r="R1272" t="str">
        <f>_xlfn.XLOOKUP(GERAL[[#This Row],[Dia]],U:U,V:V,"")</f>
        <v>Prazo_30</v>
      </c>
    </row>
    <row r="1273" spans="1:18" x14ac:dyDescent="0.3">
      <c r="A1273" t="str">
        <f>_xlfn.XLOOKUP(GERAL[[#This Row],[Dia]],U:U,T:T,"")</f>
        <v>Semana 9</v>
      </c>
      <c r="B1273" s="1">
        <v>46108</v>
      </c>
      <c r="C1273" t="s">
        <v>26</v>
      </c>
      <c r="D1273" s="1">
        <v>46108</v>
      </c>
      <c r="E1273" t="s">
        <v>36</v>
      </c>
      <c r="F1273" t="s">
        <v>114</v>
      </c>
      <c r="G1273" t="s">
        <v>115</v>
      </c>
      <c r="N1273">
        <v>5</v>
      </c>
      <c r="Q1273" t="s">
        <v>109</v>
      </c>
      <c r="R1273" t="str">
        <f>_xlfn.XLOOKUP(GERAL[[#This Row],[Dia]],U:U,V:V,"")</f>
        <v>Prazo_30</v>
      </c>
    </row>
    <row r="1274" spans="1:18" x14ac:dyDescent="0.3">
      <c r="A1274" t="str">
        <f>_xlfn.XLOOKUP(GERAL[[#This Row],[Dia]],U:U,T:T,"")</f>
        <v>Semana 9</v>
      </c>
      <c r="B1274" s="1">
        <v>46108</v>
      </c>
      <c r="C1274" t="s">
        <v>26</v>
      </c>
      <c r="D1274" s="1">
        <v>46108</v>
      </c>
      <c r="E1274" t="s">
        <v>36</v>
      </c>
      <c r="F1274" t="s">
        <v>116</v>
      </c>
      <c r="G1274" t="s">
        <v>61</v>
      </c>
      <c r="I1274">
        <v>4</v>
      </c>
      <c r="Q1274" t="s">
        <v>109</v>
      </c>
      <c r="R1274" t="str">
        <f>_xlfn.XLOOKUP(GERAL[[#This Row],[Dia]],U:U,V:V,"")</f>
        <v>Prazo_30</v>
      </c>
    </row>
    <row r="1275" spans="1:18" x14ac:dyDescent="0.3">
      <c r="A1275" t="str">
        <f>_xlfn.XLOOKUP(GERAL[[#This Row],[Dia]],U:U,T:T,"")</f>
        <v>Semana 9</v>
      </c>
      <c r="B1275" s="1">
        <v>46109</v>
      </c>
      <c r="C1275" t="s">
        <v>16</v>
      </c>
      <c r="D1275" s="1">
        <v>46109</v>
      </c>
      <c r="E1275" t="s">
        <v>17</v>
      </c>
      <c r="Q1275" t="s">
        <v>109</v>
      </c>
      <c r="R1275" t="str">
        <f>_xlfn.XLOOKUP(GERAL[[#This Row],[Dia]],U:U,V:V,"")</f>
        <v>Prazo_30</v>
      </c>
    </row>
    <row r="1276" spans="1:18" x14ac:dyDescent="0.3">
      <c r="A1276" t="str">
        <f>_xlfn.XLOOKUP(GERAL[[#This Row],[Dia]],U:U,T:T,"")</f>
        <v>Semana 9</v>
      </c>
      <c r="B1276" s="1">
        <v>46110</v>
      </c>
      <c r="C1276" t="s">
        <v>21</v>
      </c>
      <c r="D1276" s="1">
        <v>46110</v>
      </c>
      <c r="E1276" t="s">
        <v>17</v>
      </c>
      <c r="Q1276" t="s">
        <v>109</v>
      </c>
      <c r="R1276" t="str">
        <f>_xlfn.XLOOKUP(GERAL[[#This Row],[Dia]],U:U,V:V,"")</f>
        <v>Prazo_30</v>
      </c>
    </row>
    <row r="1277" spans="1:18" x14ac:dyDescent="0.3">
      <c r="A1277" t="str">
        <f>_xlfn.XLOOKUP(GERAL[[#This Row],[Dia]],U:U,T:T,"")</f>
        <v>Semana 10</v>
      </c>
      <c r="B1277" s="1">
        <v>46111</v>
      </c>
      <c r="C1277" t="s">
        <v>22</v>
      </c>
      <c r="D1277" s="1">
        <v>46111</v>
      </c>
      <c r="E1277" t="s">
        <v>36</v>
      </c>
      <c r="F1277" t="s">
        <v>112</v>
      </c>
      <c r="G1277" t="s">
        <v>117</v>
      </c>
      <c r="L1277">
        <v>2</v>
      </c>
      <c r="Q1277" t="s">
        <v>109</v>
      </c>
      <c r="R1277" t="str">
        <f>_xlfn.XLOOKUP(GERAL[[#This Row],[Dia]],U:U,V:V,"")</f>
        <v>Prazo_30</v>
      </c>
    </row>
    <row r="1278" spans="1:18" x14ac:dyDescent="0.3">
      <c r="A1278" t="str">
        <f>_xlfn.XLOOKUP(GERAL[[#This Row],[Dia]],U:U,T:T,"")</f>
        <v>Semana 10</v>
      </c>
      <c r="B1278" s="1">
        <v>46111</v>
      </c>
      <c r="C1278" t="s">
        <v>22</v>
      </c>
      <c r="D1278" s="1">
        <v>46111</v>
      </c>
      <c r="E1278" t="s">
        <v>36</v>
      </c>
      <c r="F1278" t="s">
        <v>120</v>
      </c>
      <c r="G1278" t="s">
        <v>115</v>
      </c>
      <c r="H1278">
        <v>4</v>
      </c>
      <c r="N1278">
        <v>4</v>
      </c>
      <c r="O1278">
        <v>4</v>
      </c>
      <c r="Q1278" t="s">
        <v>109</v>
      </c>
      <c r="R1278" t="str">
        <f>_xlfn.XLOOKUP(GERAL[[#This Row],[Dia]],U:U,V:V,"")</f>
        <v>Prazo_30</v>
      </c>
    </row>
    <row r="1279" spans="1:18" x14ac:dyDescent="0.3">
      <c r="A1279" t="str">
        <f>_xlfn.XLOOKUP(GERAL[[#This Row],[Dia]],U:U,T:T,"")</f>
        <v>Semana 10</v>
      </c>
      <c r="B1279" s="1">
        <v>46112</v>
      </c>
      <c r="C1279" t="s">
        <v>23</v>
      </c>
      <c r="D1279" s="1">
        <v>46112</v>
      </c>
      <c r="E1279" t="s">
        <v>36</v>
      </c>
      <c r="F1279" t="s">
        <v>112</v>
      </c>
      <c r="G1279" t="s">
        <v>117</v>
      </c>
      <c r="K1279">
        <v>3</v>
      </c>
      <c r="Q1279" t="s">
        <v>109</v>
      </c>
      <c r="R1279" t="str">
        <f>_xlfn.XLOOKUP(GERAL[[#This Row],[Dia]],U:U,V:V,"")</f>
        <v>Prazo_30</v>
      </c>
    </row>
    <row r="1280" spans="1:18" x14ac:dyDescent="0.3">
      <c r="A1280" t="str">
        <f>_xlfn.XLOOKUP(GERAL[[#This Row],[Dia]],U:U,T:T,"")</f>
        <v>Semana 10</v>
      </c>
      <c r="B1280" s="1">
        <v>46112</v>
      </c>
      <c r="C1280" t="s">
        <v>23</v>
      </c>
      <c r="D1280" s="1">
        <v>46112</v>
      </c>
      <c r="E1280" t="s">
        <v>36</v>
      </c>
      <c r="F1280" t="s">
        <v>114</v>
      </c>
      <c r="G1280" t="s">
        <v>115</v>
      </c>
      <c r="H1280">
        <v>4</v>
      </c>
      <c r="N1280">
        <v>4</v>
      </c>
      <c r="O1280">
        <v>4</v>
      </c>
      <c r="Q1280" t="s">
        <v>109</v>
      </c>
      <c r="R1280" t="str">
        <f>_xlfn.XLOOKUP(GERAL[[#This Row],[Dia]],U:U,V:V,"")</f>
        <v>Prazo_30</v>
      </c>
    </row>
    <row r="1281" spans="1:18" x14ac:dyDescent="0.3">
      <c r="A1281" t="str">
        <f>_xlfn.XLOOKUP(GERAL[[#This Row],[Dia]],U:U,T:T,"")</f>
        <v>Semana 10</v>
      </c>
      <c r="B1281" s="1">
        <v>46112</v>
      </c>
      <c r="C1281" t="s">
        <v>23</v>
      </c>
      <c r="D1281" s="1">
        <v>46112</v>
      </c>
      <c r="E1281" t="s">
        <v>36</v>
      </c>
      <c r="F1281" t="s">
        <v>114</v>
      </c>
      <c r="G1281" t="s">
        <v>72</v>
      </c>
      <c r="I1281">
        <v>3</v>
      </c>
      <c r="Q1281" t="s">
        <v>109</v>
      </c>
      <c r="R1281" t="str">
        <f>_xlfn.XLOOKUP(GERAL[[#This Row],[Dia]],U:U,V:V,"")</f>
        <v>Prazo_30</v>
      </c>
    </row>
    <row r="1282" spans="1:18" hidden="1" x14ac:dyDescent="0.3">
      <c r="A1282" t="str">
        <f>_xlfn.XLOOKUP(GERAL[[#This Row],[Dia]],U:U,T:T,"")</f>
        <v>Semana 10</v>
      </c>
      <c r="B1282" s="1">
        <v>46113</v>
      </c>
      <c r="C1282" t="s">
        <v>24</v>
      </c>
      <c r="D1282" s="1">
        <v>46113</v>
      </c>
      <c r="E1282" t="s">
        <v>36</v>
      </c>
      <c r="F1282" t="s">
        <v>112</v>
      </c>
      <c r="G1282" t="s">
        <v>86</v>
      </c>
      <c r="I1282">
        <v>2</v>
      </c>
      <c r="Q1282" t="s">
        <v>109</v>
      </c>
      <c r="R1282" t="str">
        <f>_xlfn.XLOOKUP(GERAL[[#This Row],[Dia]],U:U,V:V,"")</f>
        <v>Prazo_30</v>
      </c>
    </row>
    <row r="1283" spans="1:18" hidden="1" x14ac:dyDescent="0.3">
      <c r="A1283" t="str">
        <f>_xlfn.XLOOKUP(GERAL[[#This Row],[Dia]],U:U,T:T,"")</f>
        <v>Semana 10</v>
      </c>
      <c r="B1283" s="1">
        <v>46113</v>
      </c>
      <c r="C1283" t="s">
        <v>24</v>
      </c>
      <c r="D1283" s="1">
        <v>46113</v>
      </c>
      <c r="E1283" t="s">
        <v>36</v>
      </c>
      <c r="F1283" t="s">
        <v>112</v>
      </c>
      <c r="G1283" t="s">
        <v>72</v>
      </c>
      <c r="I1283">
        <v>3</v>
      </c>
      <c r="Q1283" t="s">
        <v>109</v>
      </c>
      <c r="R1283" t="str">
        <f>_xlfn.XLOOKUP(GERAL[[#This Row],[Dia]],U:U,V:V,"")</f>
        <v>Prazo_30</v>
      </c>
    </row>
    <row r="1284" spans="1:18" hidden="1" x14ac:dyDescent="0.3">
      <c r="A1284" t="str">
        <f>_xlfn.XLOOKUP(GERAL[[#This Row],[Dia]],U:U,T:T,"")</f>
        <v>Semana 10</v>
      </c>
      <c r="B1284" s="1">
        <v>46113</v>
      </c>
      <c r="C1284" t="s">
        <v>24</v>
      </c>
      <c r="D1284" s="1">
        <v>46113</v>
      </c>
      <c r="E1284" t="s">
        <v>36</v>
      </c>
      <c r="F1284" t="s">
        <v>112</v>
      </c>
      <c r="G1284" t="s">
        <v>86</v>
      </c>
      <c r="I1284">
        <v>2</v>
      </c>
      <c r="Q1284" t="s">
        <v>109</v>
      </c>
      <c r="R1284" t="str">
        <f>_xlfn.XLOOKUP(GERAL[[#This Row],[Dia]],U:U,V:V,"")</f>
        <v>Prazo_30</v>
      </c>
    </row>
    <row r="1285" spans="1:18" hidden="1" x14ac:dyDescent="0.3">
      <c r="A1285" t="str">
        <f>_xlfn.XLOOKUP(GERAL[[#This Row],[Dia]],U:U,T:T,"")</f>
        <v>Semana 10</v>
      </c>
      <c r="B1285" s="1">
        <v>46114</v>
      </c>
      <c r="C1285" t="s">
        <v>25</v>
      </c>
      <c r="D1285" s="1">
        <v>46114</v>
      </c>
      <c r="E1285" t="s">
        <v>36</v>
      </c>
      <c r="F1285" t="s">
        <v>112</v>
      </c>
      <c r="G1285" t="s">
        <v>86</v>
      </c>
      <c r="I1285">
        <v>2</v>
      </c>
      <c r="Q1285" t="s">
        <v>109</v>
      </c>
      <c r="R1285" t="str">
        <f>_xlfn.XLOOKUP(GERAL[[#This Row],[Dia]],U:U,V:V,"")</f>
        <v>Prazo_30</v>
      </c>
    </row>
    <row r="1286" spans="1:18" hidden="1" x14ac:dyDescent="0.3">
      <c r="A1286" t="str">
        <f>_xlfn.XLOOKUP(GERAL[[#This Row],[Dia]],U:U,T:T,"")</f>
        <v>Semana 10</v>
      </c>
      <c r="B1286" s="1">
        <v>46114</v>
      </c>
      <c r="C1286" t="s">
        <v>25</v>
      </c>
      <c r="D1286" s="1">
        <v>46114</v>
      </c>
      <c r="E1286" t="s">
        <v>36</v>
      </c>
      <c r="F1286" t="s">
        <v>112</v>
      </c>
      <c r="G1286" t="s">
        <v>72</v>
      </c>
      <c r="I1286">
        <v>2</v>
      </c>
      <c r="Q1286" t="s">
        <v>109</v>
      </c>
      <c r="R1286" t="str">
        <f>_xlfn.XLOOKUP(GERAL[[#This Row],[Dia]],U:U,V:V,"")</f>
        <v>Prazo_30</v>
      </c>
    </row>
    <row r="1287" spans="1:18" hidden="1" x14ac:dyDescent="0.3">
      <c r="A1287" t="str">
        <f>_xlfn.XLOOKUP(GERAL[[#This Row],[Dia]],U:U,T:T,"")</f>
        <v>Semana 10</v>
      </c>
      <c r="B1287" s="1">
        <v>46114</v>
      </c>
      <c r="C1287" t="s">
        <v>25</v>
      </c>
      <c r="D1287" s="1">
        <v>46114</v>
      </c>
      <c r="E1287" t="s">
        <v>36</v>
      </c>
      <c r="F1287" t="s">
        <v>112</v>
      </c>
      <c r="G1287" t="s">
        <v>86</v>
      </c>
      <c r="I1287">
        <v>1</v>
      </c>
      <c r="Q1287" t="s">
        <v>109</v>
      </c>
      <c r="R1287" t="str">
        <f>_xlfn.XLOOKUP(GERAL[[#This Row],[Dia]],U:U,V:V,"")</f>
        <v>Prazo_30</v>
      </c>
    </row>
    <row r="1288" spans="1:18" hidden="1" x14ac:dyDescent="0.3">
      <c r="A1288" t="str">
        <f>_xlfn.XLOOKUP(GERAL[[#This Row],[Dia]],U:U,T:T,"")</f>
        <v>Semana 10</v>
      </c>
      <c r="B1288" s="1">
        <v>46114</v>
      </c>
      <c r="C1288" t="s">
        <v>25</v>
      </c>
      <c r="D1288" s="1">
        <v>46114</v>
      </c>
      <c r="E1288" t="s">
        <v>36</v>
      </c>
      <c r="F1288" t="s">
        <v>114</v>
      </c>
      <c r="G1288" t="s">
        <v>115</v>
      </c>
      <c r="H1288">
        <v>3</v>
      </c>
      <c r="N1288">
        <v>3</v>
      </c>
      <c r="O1288">
        <v>3</v>
      </c>
      <c r="Q1288" t="s">
        <v>109</v>
      </c>
      <c r="R1288" t="str">
        <f>_xlfn.XLOOKUP(GERAL[[#This Row],[Dia]],U:U,V:V,"")</f>
        <v>Prazo_30</v>
      </c>
    </row>
    <row r="1289" spans="1:18" hidden="1" x14ac:dyDescent="0.3">
      <c r="A1289" t="str">
        <f>_xlfn.XLOOKUP(GERAL[[#This Row],[Dia]],U:U,T:T,"")</f>
        <v>Semana 10</v>
      </c>
      <c r="B1289" s="1">
        <v>46115</v>
      </c>
      <c r="C1289" t="s">
        <v>26</v>
      </c>
      <c r="D1289" s="1">
        <v>46115</v>
      </c>
      <c r="E1289" t="s">
        <v>17</v>
      </c>
      <c r="Q1289" t="s">
        <v>109</v>
      </c>
      <c r="R1289" t="str">
        <f>_xlfn.XLOOKUP(GERAL[[#This Row],[Dia]],U:U,V:V,"")</f>
        <v>Prazo_30</v>
      </c>
    </row>
    <row r="1290" spans="1:18" hidden="1" x14ac:dyDescent="0.3">
      <c r="A1290" t="str">
        <f>_xlfn.XLOOKUP(GERAL[[#This Row],[Dia]],U:U,T:T,"")</f>
        <v>Semana 10</v>
      </c>
      <c r="B1290" s="1">
        <v>46116</v>
      </c>
      <c r="C1290" t="s">
        <v>16</v>
      </c>
      <c r="D1290" s="1">
        <v>46116</v>
      </c>
      <c r="E1290" t="s">
        <v>17</v>
      </c>
      <c r="Q1290" t="s">
        <v>109</v>
      </c>
      <c r="R1290" t="str">
        <f>_xlfn.XLOOKUP(GERAL[[#This Row],[Dia]],U:U,V:V,"")</f>
        <v>Prazo_30</v>
      </c>
    </row>
    <row r="1291" spans="1:18" hidden="1" x14ac:dyDescent="0.3">
      <c r="A1291" t="str">
        <f>_xlfn.XLOOKUP(GERAL[[#This Row],[Dia]],U:U,T:T,"")</f>
        <v>Semana 10</v>
      </c>
      <c r="B1291" s="1">
        <v>46117</v>
      </c>
      <c r="C1291" t="s">
        <v>21</v>
      </c>
      <c r="D1291" s="1">
        <v>46117</v>
      </c>
      <c r="E1291" t="s">
        <v>17</v>
      </c>
      <c r="Q1291" t="s">
        <v>109</v>
      </c>
      <c r="R1291" t="str">
        <f>_xlfn.XLOOKUP(GERAL[[#This Row],[Dia]],U:U,V:V,"")</f>
        <v>Prazo_30</v>
      </c>
    </row>
    <row r="1292" spans="1:18" hidden="1" x14ac:dyDescent="0.3">
      <c r="A1292" t="str">
        <f>_xlfn.XLOOKUP(GERAL[[#This Row],[Dia]],U:U,T:T,"")</f>
        <v>Semana 11</v>
      </c>
      <c r="B1292" s="1">
        <v>46118</v>
      </c>
      <c r="C1292" t="s">
        <v>22</v>
      </c>
      <c r="D1292" s="1">
        <v>46118</v>
      </c>
      <c r="E1292" t="s">
        <v>17</v>
      </c>
      <c r="Q1292" t="s">
        <v>109</v>
      </c>
      <c r="R1292" t="str">
        <f>_xlfn.XLOOKUP(GERAL[[#This Row],[Dia]],U:U,V:V,"")</f>
        <v>Prazo_30</v>
      </c>
    </row>
    <row r="1293" spans="1:18" hidden="1" x14ac:dyDescent="0.3">
      <c r="A1293" t="str">
        <f>_xlfn.XLOOKUP(GERAL[[#This Row],[Dia]],U:U,T:T,"")</f>
        <v>Semana 11</v>
      </c>
      <c r="B1293" s="1">
        <v>46119</v>
      </c>
      <c r="C1293" t="s">
        <v>23</v>
      </c>
      <c r="D1293" s="1">
        <v>46119</v>
      </c>
      <c r="E1293" t="s">
        <v>17</v>
      </c>
      <c r="Q1293" t="s">
        <v>109</v>
      </c>
      <c r="R1293" t="str">
        <f>_xlfn.XLOOKUP(GERAL[[#This Row],[Dia]],U:U,V:V,"")</f>
        <v>Prazo_30</v>
      </c>
    </row>
    <row r="1294" spans="1:18" hidden="1" x14ac:dyDescent="0.3">
      <c r="A1294" t="str">
        <f>_xlfn.XLOOKUP(GERAL[[#This Row],[Dia]],U:U,T:T,"")</f>
        <v>Semana 11</v>
      </c>
      <c r="B1294" s="1">
        <v>46120</v>
      </c>
      <c r="C1294" t="s">
        <v>24</v>
      </c>
      <c r="D1294" s="1">
        <v>46120</v>
      </c>
      <c r="E1294" t="s">
        <v>17</v>
      </c>
      <c r="Q1294" t="s">
        <v>109</v>
      </c>
      <c r="R1294" t="str">
        <f>_xlfn.XLOOKUP(GERAL[[#This Row],[Dia]],U:U,V:V,"")</f>
        <v>Prazo_30</v>
      </c>
    </row>
    <row r="1295" spans="1:18" hidden="1" x14ac:dyDescent="0.3">
      <c r="A1295" t="str">
        <f>_xlfn.XLOOKUP(GERAL[[#This Row],[Dia]],U:U,T:T,"")</f>
        <v>Semana 11</v>
      </c>
      <c r="B1295" s="1">
        <v>46121</v>
      </c>
      <c r="C1295" t="s">
        <v>25</v>
      </c>
      <c r="D1295" s="1">
        <v>46121</v>
      </c>
      <c r="Q1295" t="s">
        <v>109</v>
      </c>
      <c r="R1295" t="str">
        <f>_xlfn.XLOOKUP(GERAL[[#This Row],[Dia]],U:U,V:V,"")</f>
        <v>Prazo_30</v>
      </c>
    </row>
    <row r="1296" spans="1:18" hidden="1" x14ac:dyDescent="0.3">
      <c r="A1296" t="str">
        <f>_xlfn.XLOOKUP(GERAL[[#This Row],[Dia]],U:U,T:T,"")</f>
        <v>Semana 11</v>
      </c>
      <c r="B1296" s="1">
        <v>46122</v>
      </c>
      <c r="C1296" t="s">
        <v>26</v>
      </c>
      <c r="D1296" s="1">
        <v>46122</v>
      </c>
      <c r="Q1296" t="s">
        <v>109</v>
      </c>
      <c r="R1296" t="str">
        <f>_xlfn.XLOOKUP(GERAL[[#This Row],[Dia]],U:U,V:V,"")</f>
        <v>Prazo_30</v>
      </c>
    </row>
    <row r="1297" spans="1:18" hidden="1" x14ac:dyDescent="0.3">
      <c r="A1297" t="str">
        <f>_xlfn.XLOOKUP(GERAL[[#This Row],[Dia]],U:U,T:T,"")</f>
        <v>Semana 11</v>
      </c>
      <c r="B1297" s="1">
        <v>46123</v>
      </c>
      <c r="C1297" t="s">
        <v>16</v>
      </c>
      <c r="D1297" s="1">
        <v>46123</v>
      </c>
      <c r="E1297" t="s">
        <v>17</v>
      </c>
      <c r="Q1297" t="s">
        <v>109</v>
      </c>
      <c r="R1297" t="str">
        <f>_xlfn.XLOOKUP(GERAL[[#This Row],[Dia]],U:U,V:V,"")</f>
        <v>Prazo_30</v>
      </c>
    </row>
    <row r="1298" spans="1:18" hidden="1" x14ac:dyDescent="0.3">
      <c r="A1298" t="str">
        <f>_xlfn.XLOOKUP(GERAL[[#This Row],[Dia]],U:U,T:T,"")</f>
        <v>Semana 11</v>
      </c>
      <c r="B1298" s="1">
        <v>46124</v>
      </c>
      <c r="C1298" t="s">
        <v>21</v>
      </c>
      <c r="D1298" s="1">
        <v>46124</v>
      </c>
      <c r="E1298" t="s">
        <v>17</v>
      </c>
      <c r="Q1298" t="s">
        <v>109</v>
      </c>
      <c r="R1298" t="str">
        <f>_xlfn.XLOOKUP(GERAL[[#This Row],[Dia]],U:U,V:V,"")</f>
        <v>Prazo_30</v>
      </c>
    </row>
    <row r="1299" spans="1:18" hidden="1" x14ac:dyDescent="0.3">
      <c r="A1299" t="str">
        <f>_xlfn.XLOOKUP(GERAL[[#This Row],[Dia]],U:U,T:T,"")</f>
        <v>Semana 12</v>
      </c>
      <c r="B1299" s="1">
        <v>46125</v>
      </c>
      <c r="C1299" t="s">
        <v>22</v>
      </c>
      <c r="D1299" s="1">
        <v>46125</v>
      </c>
      <c r="Q1299" t="s">
        <v>109</v>
      </c>
      <c r="R1299" t="str">
        <f>_xlfn.XLOOKUP(GERAL[[#This Row],[Dia]],U:U,V:V,"")</f>
        <v>Prazo_30</v>
      </c>
    </row>
    <row r="1300" spans="1:18" hidden="1" x14ac:dyDescent="0.3">
      <c r="A1300" t="str">
        <f>_xlfn.XLOOKUP(GERAL[[#This Row],[Dia]],U:U,T:T,"")</f>
        <v>Semana 12</v>
      </c>
      <c r="B1300" s="1">
        <v>46126</v>
      </c>
      <c r="C1300" t="s">
        <v>23</v>
      </c>
      <c r="D1300" s="1">
        <v>46126</v>
      </c>
      <c r="Q1300" t="s">
        <v>109</v>
      </c>
      <c r="R1300" t="str">
        <f>_xlfn.XLOOKUP(GERAL[[#This Row],[Dia]],U:U,V:V,"")</f>
        <v>Prazo_30</v>
      </c>
    </row>
    <row r="1301" spans="1:18" hidden="1" x14ac:dyDescent="0.3">
      <c r="A1301" t="str">
        <f>_xlfn.XLOOKUP(GERAL[[#This Row],[Dia]],U:U,T:T,"")</f>
        <v>Semana 12</v>
      </c>
      <c r="B1301" s="1">
        <v>46127</v>
      </c>
      <c r="C1301" t="s">
        <v>24</v>
      </c>
      <c r="D1301" s="1">
        <v>46127</v>
      </c>
      <c r="Q1301" t="s">
        <v>109</v>
      </c>
      <c r="R1301" t="str">
        <f>_xlfn.XLOOKUP(GERAL[[#This Row],[Dia]],U:U,V:V,"")</f>
        <v>Prazo_30</v>
      </c>
    </row>
    <row r="1302" spans="1:18" hidden="1" x14ac:dyDescent="0.3">
      <c r="A1302" t="str">
        <f>_xlfn.XLOOKUP(GERAL[[#This Row],[Dia]],U:U,T:T,"")</f>
        <v>Semana 12</v>
      </c>
      <c r="B1302" s="1">
        <v>46128</v>
      </c>
      <c r="C1302" t="s">
        <v>25</v>
      </c>
      <c r="D1302" s="1">
        <v>46128</v>
      </c>
      <c r="Q1302" t="s">
        <v>109</v>
      </c>
      <c r="R1302" t="str">
        <f>_xlfn.XLOOKUP(GERAL[[#This Row],[Dia]],U:U,V:V,"")</f>
        <v>Prazo_30</v>
      </c>
    </row>
    <row r="1303" spans="1:18" hidden="1" x14ac:dyDescent="0.3">
      <c r="A1303" t="str">
        <f>_xlfn.XLOOKUP(GERAL[[#This Row],[Dia]],U:U,T:T,"")</f>
        <v>Semana 12</v>
      </c>
      <c r="B1303" s="1">
        <v>46129</v>
      </c>
      <c r="C1303" t="s">
        <v>26</v>
      </c>
      <c r="D1303" s="1">
        <v>46129</v>
      </c>
      <c r="Q1303" t="s">
        <v>109</v>
      </c>
      <c r="R1303" t="str">
        <f>_xlfn.XLOOKUP(GERAL[[#This Row],[Dia]],U:U,V:V,"")</f>
        <v>Prazo_30</v>
      </c>
    </row>
    <row r="1304" spans="1:18" hidden="1" x14ac:dyDescent="0.3">
      <c r="A1304" t="str">
        <f>_xlfn.XLOOKUP(GERAL[[#This Row],[Dia]],U:U,T:T,"")</f>
        <v>Semana 12</v>
      </c>
      <c r="B1304" s="1">
        <v>46130</v>
      </c>
      <c r="C1304" t="s">
        <v>16</v>
      </c>
      <c r="D1304" s="1">
        <v>46130</v>
      </c>
      <c r="E1304" t="s">
        <v>17</v>
      </c>
      <c r="Q1304" t="s">
        <v>109</v>
      </c>
      <c r="R1304" t="str">
        <f>_xlfn.XLOOKUP(GERAL[[#This Row],[Dia]],U:U,V:V,"")</f>
        <v>Prazo_30</v>
      </c>
    </row>
    <row r="1305" spans="1:18" hidden="1" x14ac:dyDescent="0.3">
      <c r="A1305" t="str">
        <f>_xlfn.XLOOKUP(GERAL[[#This Row],[Dia]],U:U,T:T,"")</f>
        <v>Semana 12</v>
      </c>
      <c r="B1305" s="1">
        <v>46131</v>
      </c>
      <c r="C1305" t="s">
        <v>21</v>
      </c>
      <c r="D1305" s="1">
        <v>46131</v>
      </c>
      <c r="E1305" t="s">
        <v>17</v>
      </c>
      <c r="Q1305" t="s">
        <v>109</v>
      </c>
      <c r="R1305" t="str">
        <f>_xlfn.XLOOKUP(GERAL[[#This Row],[Dia]],U:U,V:V,"")</f>
        <v>Prazo_30</v>
      </c>
    </row>
    <row r="1306" spans="1:18" hidden="1" x14ac:dyDescent="0.3">
      <c r="A1306" t="str">
        <f>_xlfn.XLOOKUP(GERAL[[#This Row],[Dia]],U:U,T:T,"")</f>
        <v>Semana 13</v>
      </c>
      <c r="B1306" s="1">
        <v>46132</v>
      </c>
      <c r="C1306" t="s">
        <v>22</v>
      </c>
      <c r="D1306" s="1">
        <v>46132</v>
      </c>
      <c r="Q1306" t="s">
        <v>109</v>
      </c>
      <c r="R1306" t="str">
        <f>_xlfn.XLOOKUP(GERAL[[#This Row],[Dia]],U:U,V:V,"")</f>
        <v>Prazo_30</v>
      </c>
    </row>
    <row r="1307" spans="1:18" hidden="1" x14ac:dyDescent="0.3">
      <c r="A1307" t="str">
        <f>_xlfn.XLOOKUP(GERAL[[#This Row],[Dia]],U:U,T:T,"")</f>
        <v>Semana 13</v>
      </c>
      <c r="B1307" s="1">
        <v>46133</v>
      </c>
      <c r="C1307" t="s">
        <v>23</v>
      </c>
      <c r="D1307" s="1">
        <v>46133</v>
      </c>
      <c r="Q1307" t="s">
        <v>109</v>
      </c>
      <c r="R1307" t="str">
        <f>_xlfn.XLOOKUP(GERAL[[#This Row],[Dia]],U:U,V:V,"")</f>
        <v>Prazo_30</v>
      </c>
    </row>
    <row r="1308" spans="1:18" hidden="1" x14ac:dyDescent="0.3">
      <c r="A1308" t="str">
        <f>_xlfn.XLOOKUP(GERAL[[#This Row],[Dia]],U:U,T:T,"")</f>
        <v>Semana 13</v>
      </c>
      <c r="B1308" s="1">
        <v>46134</v>
      </c>
      <c r="C1308" t="s">
        <v>24</v>
      </c>
      <c r="D1308" s="1">
        <v>46134</v>
      </c>
      <c r="Q1308" t="s">
        <v>109</v>
      </c>
      <c r="R1308" t="str">
        <f>_xlfn.XLOOKUP(GERAL[[#This Row],[Dia]],U:U,V:V,"")</f>
        <v>Prazo_30</v>
      </c>
    </row>
    <row r="1309" spans="1:18" hidden="1" x14ac:dyDescent="0.3">
      <c r="A1309" t="str">
        <f>_xlfn.XLOOKUP(GERAL[[#This Row],[Dia]],U:U,T:T,"")</f>
        <v>Semana 13</v>
      </c>
      <c r="B1309" s="1">
        <v>46135</v>
      </c>
      <c r="C1309" t="s">
        <v>25</v>
      </c>
      <c r="D1309" s="1">
        <v>46135</v>
      </c>
      <c r="Q1309" t="s">
        <v>109</v>
      </c>
      <c r="R1309" t="str">
        <f>_xlfn.XLOOKUP(GERAL[[#This Row],[Dia]],U:U,V:V,"")</f>
        <v>Prazo_30</v>
      </c>
    </row>
    <row r="1310" spans="1:18" hidden="1" x14ac:dyDescent="0.3">
      <c r="A1310" t="str">
        <f>_xlfn.XLOOKUP(GERAL[[#This Row],[Dia]],U:U,T:T,"")</f>
        <v>Semana 13</v>
      </c>
      <c r="B1310" s="1">
        <v>46136</v>
      </c>
      <c r="C1310" t="s">
        <v>26</v>
      </c>
      <c r="D1310" s="1">
        <v>46136</v>
      </c>
      <c r="Q1310" t="s">
        <v>109</v>
      </c>
      <c r="R1310" t="str">
        <f>_xlfn.XLOOKUP(GERAL[[#This Row],[Dia]],U:U,V:V,"")</f>
        <v>Prazo_30</v>
      </c>
    </row>
    <row r="1311" spans="1:18" hidden="1" x14ac:dyDescent="0.3">
      <c r="A1311" t="str">
        <f>_xlfn.XLOOKUP(GERAL[[#This Row],[Dia]],U:U,T:T,"")</f>
        <v>Semana 13</v>
      </c>
      <c r="B1311" s="1">
        <v>46137</v>
      </c>
      <c r="C1311" t="s">
        <v>16</v>
      </c>
      <c r="D1311" s="1">
        <v>46137</v>
      </c>
      <c r="E1311" t="s">
        <v>17</v>
      </c>
      <c r="Q1311" t="s">
        <v>109</v>
      </c>
      <c r="R1311" t="str">
        <f>_xlfn.XLOOKUP(GERAL[[#This Row],[Dia]],U:U,V:V,"")</f>
        <v>Prazo_30</v>
      </c>
    </row>
    <row r="1312" spans="1:18" hidden="1" x14ac:dyDescent="0.3">
      <c r="A1312" t="str">
        <f>_xlfn.XLOOKUP(GERAL[[#This Row],[Dia]],U:U,T:T,"")</f>
        <v>Semana 13</v>
      </c>
      <c r="B1312" s="1">
        <v>46138</v>
      </c>
      <c r="C1312" t="s">
        <v>21</v>
      </c>
      <c r="D1312" s="1">
        <v>46138</v>
      </c>
      <c r="E1312" t="s">
        <v>17</v>
      </c>
      <c r="Q1312" t="s">
        <v>109</v>
      </c>
      <c r="R1312" t="str">
        <f>_xlfn.XLOOKUP(GERAL[[#This Row],[Dia]],U:U,V:V,"")</f>
        <v>Prazo_30</v>
      </c>
    </row>
    <row r="1313" spans="1:18" hidden="1" x14ac:dyDescent="0.3">
      <c r="A1313" t="str">
        <f>_xlfn.XLOOKUP(GERAL[[#This Row],[Dia]],U:U,T:T,"")</f>
        <v>Semana 14</v>
      </c>
      <c r="B1313" s="1">
        <v>46139</v>
      </c>
      <c r="C1313" t="s">
        <v>22</v>
      </c>
      <c r="D1313" s="1">
        <v>46139</v>
      </c>
      <c r="Q1313" t="s">
        <v>109</v>
      </c>
      <c r="R1313" t="str">
        <f>_xlfn.XLOOKUP(GERAL[[#This Row],[Dia]],U:U,V:V,"")</f>
        <v>Prazo_30</v>
      </c>
    </row>
    <row r="1314" spans="1:18" hidden="1" x14ac:dyDescent="0.3">
      <c r="A1314" t="str">
        <f>_xlfn.XLOOKUP(GERAL[[#This Row],[Dia]],U:U,T:T,"")</f>
        <v>Semana 14</v>
      </c>
      <c r="B1314" s="1">
        <v>46140</v>
      </c>
      <c r="C1314" t="s">
        <v>23</v>
      </c>
      <c r="D1314" s="1">
        <v>46140</v>
      </c>
      <c r="Q1314" t="s">
        <v>109</v>
      </c>
      <c r="R1314" t="str">
        <f>_xlfn.XLOOKUP(GERAL[[#This Row],[Dia]],U:U,V:V,"")</f>
        <v>Prazo_30</v>
      </c>
    </row>
    <row r="1315" spans="1:18" hidden="1" x14ac:dyDescent="0.3">
      <c r="A1315" t="str">
        <f>_xlfn.XLOOKUP(GERAL[[#This Row],[Dia]],U:U,T:T,"")</f>
        <v>Semana 14</v>
      </c>
      <c r="B1315" s="1">
        <v>46141</v>
      </c>
      <c r="C1315" t="s">
        <v>24</v>
      </c>
      <c r="D1315" s="1">
        <v>46141</v>
      </c>
      <c r="Q1315" t="s">
        <v>109</v>
      </c>
      <c r="R1315" t="str">
        <f>_xlfn.XLOOKUP(GERAL[[#This Row],[Dia]],U:U,V:V,"")</f>
        <v>Prazo_30</v>
      </c>
    </row>
    <row r="1316" spans="1:18" hidden="1" x14ac:dyDescent="0.3">
      <c r="A1316" t="str">
        <f>_xlfn.XLOOKUP(GERAL[[#This Row],[Dia]],U:U,T:T,"")</f>
        <v>Semana 14</v>
      </c>
      <c r="B1316" s="1">
        <v>46142</v>
      </c>
      <c r="C1316" t="s">
        <v>25</v>
      </c>
      <c r="D1316" s="1">
        <v>46142</v>
      </c>
      <c r="Q1316" t="s">
        <v>109</v>
      </c>
      <c r="R1316" t="str">
        <f>_xlfn.XLOOKUP(GERAL[[#This Row],[Dia]],U:U,V:V,"")</f>
        <v>Prazo_30</v>
      </c>
    </row>
    <row r="1317" spans="1:18" hidden="1" x14ac:dyDescent="0.3">
      <c r="A1317" t="str">
        <f>_xlfn.XLOOKUP(GERAL[[#This Row],[Dia]],U:U,T:T,"")</f>
        <v>Semana 14</v>
      </c>
      <c r="B1317" s="1">
        <v>46143</v>
      </c>
      <c r="C1317" t="s">
        <v>26</v>
      </c>
      <c r="D1317" s="1">
        <v>46143</v>
      </c>
      <c r="Q1317" t="s">
        <v>109</v>
      </c>
      <c r="R1317" t="str">
        <f>_xlfn.XLOOKUP(GERAL[[#This Row],[Dia]],U:U,V:V,"")</f>
        <v>Prazo_30</v>
      </c>
    </row>
    <row r="1318" spans="1:18" hidden="1" x14ac:dyDescent="0.3">
      <c r="A1318" t="str">
        <f>_xlfn.XLOOKUP(GERAL[[#This Row],[Dia]],U:U,T:T,"")</f>
        <v>Semana 14</v>
      </c>
      <c r="B1318" s="1">
        <v>46144</v>
      </c>
      <c r="C1318" t="s">
        <v>16</v>
      </c>
      <c r="D1318" s="1">
        <v>46144</v>
      </c>
      <c r="E1318" t="s">
        <v>17</v>
      </c>
      <c r="Q1318" t="s">
        <v>109</v>
      </c>
      <c r="R1318" t="str">
        <f>_xlfn.XLOOKUP(GERAL[[#This Row],[Dia]],U:U,V:V,"")</f>
        <v>Prazo_30</v>
      </c>
    </row>
    <row r="1319" spans="1:18" hidden="1" x14ac:dyDescent="0.3">
      <c r="A1319" t="str">
        <f>_xlfn.XLOOKUP(GERAL[[#This Row],[Dia]],U:U,T:T,"")</f>
        <v>Semana 14</v>
      </c>
      <c r="B1319" s="1">
        <v>46145</v>
      </c>
      <c r="C1319" t="s">
        <v>21</v>
      </c>
      <c r="D1319" s="1">
        <v>46145</v>
      </c>
      <c r="E1319" t="s">
        <v>17</v>
      </c>
      <c r="Q1319" t="s">
        <v>109</v>
      </c>
      <c r="R1319" t="str">
        <f>_xlfn.XLOOKUP(GERAL[[#This Row],[Dia]],U:U,V:V,"")</f>
        <v>Prazo_30</v>
      </c>
    </row>
    <row r="1320" spans="1:18" hidden="1" x14ac:dyDescent="0.3">
      <c r="A1320" t="str">
        <f>_xlfn.XLOOKUP(GERAL[[#This Row],[Dia]],U:U,T:T,"")</f>
        <v/>
      </c>
      <c r="B1320" s="1">
        <v>46146</v>
      </c>
      <c r="C1320" t="s">
        <v>22</v>
      </c>
      <c r="D1320" s="1">
        <v>46146</v>
      </c>
      <c r="Q1320" t="s">
        <v>109</v>
      </c>
      <c r="R1320" t="str">
        <f>_xlfn.XLOOKUP(GERAL[[#This Row],[Dia]],U:U,V:V,"")</f>
        <v/>
      </c>
    </row>
    <row r="1321" spans="1:18" hidden="1" x14ac:dyDescent="0.3">
      <c r="A1321" t="str">
        <f>_xlfn.XLOOKUP(GERAL[[#This Row],[Dia]],U:U,T:T,"")</f>
        <v/>
      </c>
      <c r="B1321" s="1">
        <v>46147</v>
      </c>
      <c r="C1321" t="s">
        <v>23</v>
      </c>
      <c r="D1321" s="1">
        <v>46147</v>
      </c>
      <c r="Q1321" t="s">
        <v>109</v>
      </c>
      <c r="R1321" t="str">
        <f>_xlfn.XLOOKUP(GERAL[[#This Row],[Dia]],U:U,V:V,"")</f>
        <v/>
      </c>
    </row>
    <row r="1322" spans="1:18" hidden="1" x14ac:dyDescent="0.3">
      <c r="A1322" t="str">
        <f>_xlfn.XLOOKUP(GERAL[[#This Row],[Dia]],U:U,T:T,"")</f>
        <v/>
      </c>
      <c r="B1322" s="1">
        <v>46148</v>
      </c>
      <c r="C1322" t="s">
        <v>24</v>
      </c>
      <c r="D1322" s="1">
        <v>46148</v>
      </c>
      <c r="Q1322" t="s">
        <v>109</v>
      </c>
      <c r="R1322" t="str">
        <f>_xlfn.XLOOKUP(GERAL[[#This Row],[Dia]],U:U,V:V,"")</f>
        <v/>
      </c>
    </row>
    <row r="1323" spans="1:18" hidden="1" x14ac:dyDescent="0.3">
      <c r="A1323" t="str">
        <f>_xlfn.XLOOKUP(GERAL[[#This Row],[Dia]],U:U,T:T,"")</f>
        <v/>
      </c>
      <c r="B1323" s="1">
        <v>46149</v>
      </c>
      <c r="C1323" t="s">
        <v>25</v>
      </c>
      <c r="D1323" s="1">
        <v>46149</v>
      </c>
      <c r="Q1323" t="s">
        <v>109</v>
      </c>
      <c r="R1323" t="str">
        <f>_xlfn.XLOOKUP(GERAL[[#This Row],[Dia]],U:U,V:V,"")</f>
        <v/>
      </c>
    </row>
    <row r="1324" spans="1:18" hidden="1" x14ac:dyDescent="0.3">
      <c r="A1324" t="str">
        <f>_xlfn.XLOOKUP(GERAL[[#This Row],[Dia]],U:U,T:T,"")</f>
        <v/>
      </c>
      <c r="B1324" s="1">
        <v>46150</v>
      </c>
      <c r="C1324" t="s">
        <v>26</v>
      </c>
      <c r="D1324" s="1">
        <v>46150</v>
      </c>
      <c r="Q1324" t="s">
        <v>109</v>
      </c>
      <c r="R1324" t="str">
        <f>_xlfn.XLOOKUP(GERAL[[#This Row],[Dia]],U:U,V:V,"")</f>
        <v/>
      </c>
    </row>
    <row r="1325" spans="1:18" hidden="1" x14ac:dyDescent="0.3">
      <c r="A1325" t="str">
        <f>_xlfn.XLOOKUP(GERAL[[#This Row],[Dia]],U:U,T:T,"")</f>
        <v/>
      </c>
      <c r="B1325" s="1">
        <v>46151</v>
      </c>
      <c r="C1325" t="s">
        <v>16</v>
      </c>
      <c r="D1325" s="1">
        <v>46151</v>
      </c>
      <c r="E1325" t="s">
        <v>17</v>
      </c>
      <c r="Q1325" t="s">
        <v>109</v>
      </c>
      <c r="R1325" t="str">
        <f>_xlfn.XLOOKUP(GERAL[[#This Row],[Dia]],U:U,V:V,"")</f>
        <v/>
      </c>
    </row>
    <row r="1326" spans="1:18" hidden="1" x14ac:dyDescent="0.3">
      <c r="A1326" t="str">
        <f>_xlfn.XLOOKUP(GERAL[[#This Row],[Dia]],U:U,T:T,"")</f>
        <v/>
      </c>
      <c r="B1326" s="1">
        <v>46152</v>
      </c>
      <c r="C1326" t="s">
        <v>21</v>
      </c>
      <c r="D1326" s="1">
        <v>46152</v>
      </c>
      <c r="E1326" t="s">
        <v>17</v>
      </c>
      <c r="Q1326" t="s">
        <v>109</v>
      </c>
      <c r="R1326" t="str">
        <f>_xlfn.XLOOKUP(GERAL[[#This Row],[Dia]],U:U,V:V,"")</f>
        <v/>
      </c>
    </row>
    <row r="1327" spans="1:18" hidden="1" x14ac:dyDescent="0.3">
      <c r="A1327" t="str">
        <f>_xlfn.XLOOKUP(GERAL[[#This Row],[Dia]],U:U,T:T,"")</f>
        <v/>
      </c>
      <c r="B1327" s="1">
        <v>46153</v>
      </c>
      <c r="C1327" t="s">
        <v>22</v>
      </c>
      <c r="D1327" s="1">
        <v>46153</v>
      </c>
      <c r="Q1327" t="s">
        <v>109</v>
      </c>
      <c r="R1327" t="str">
        <f>_xlfn.XLOOKUP(GERAL[[#This Row],[Dia]],U:U,V:V,"")</f>
        <v/>
      </c>
    </row>
    <row r="1328" spans="1:18" hidden="1" x14ac:dyDescent="0.3">
      <c r="A1328" t="str">
        <f>_xlfn.XLOOKUP(GERAL[[#This Row],[Dia]],U:U,T:T,"")</f>
        <v/>
      </c>
      <c r="B1328" s="1">
        <v>46154</v>
      </c>
      <c r="C1328" t="s">
        <v>23</v>
      </c>
      <c r="D1328" s="1">
        <v>46154</v>
      </c>
      <c r="Q1328" t="s">
        <v>109</v>
      </c>
      <c r="R1328" t="str">
        <f>_xlfn.XLOOKUP(GERAL[[#This Row],[Dia]],U:U,V:V,"")</f>
        <v/>
      </c>
    </row>
    <row r="1329" spans="1:18" hidden="1" x14ac:dyDescent="0.3">
      <c r="A1329" t="str">
        <f>_xlfn.XLOOKUP(GERAL[[#This Row],[Dia]],U:U,T:T,"")</f>
        <v/>
      </c>
      <c r="B1329" s="1">
        <v>46155</v>
      </c>
      <c r="C1329" t="s">
        <v>24</v>
      </c>
      <c r="D1329" s="1">
        <v>46155</v>
      </c>
      <c r="Q1329" t="s">
        <v>109</v>
      </c>
      <c r="R1329" t="str">
        <f>_xlfn.XLOOKUP(GERAL[[#This Row],[Dia]],U:U,V:V,"")</f>
        <v/>
      </c>
    </row>
    <row r="1330" spans="1:18" hidden="1" x14ac:dyDescent="0.3">
      <c r="A1330" t="str">
        <f>_xlfn.XLOOKUP(GERAL[[#This Row],[Dia]],U:U,T:T,"")</f>
        <v/>
      </c>
      <c r="B1330" s="1">
        <v>46156</v>
      </c>
      <c r="C1330" t="s">
        <v>25</v>
      </c>
      <c r="D1330" s="1">
        <v>46156</v>
      </c>
      <c r="Q1330" t="s">
        <v>109</v>
      </c>
      <c r="R1330" t="str">
        <f>_xlfn.XLOOKUP(GERAL[[#This Row],[Dia]],U:U,V:V,"")</f>
        <v/>
      </c>
    </row>
    <row r="1331" spans="1:18" hidden="1" x14ac:dyDescent="0.3">
      <c r="A1331" t="str">
        <f>_xlfn.XLOOKUP(GERAL[[#This Row],[Dia]],U:U,T:T,"")</f>
        <v/>
      </c>
      <c r="B1331" s="1">
        <v>46157</v>
      </c>
      <c r="C1331" t="s">
        <v>26</v>
      </c>
      <c r="D1331" s="1">
        <v>46157</v>
      </c>
      <c r="Q1331" t="s">
        <v>109</v>
      </c>
      <c r="R1331" t="str">
        <f>_xlfn.XLOOKUP(GERAL[[#This Row],[Dia]],U:U,V:V,"")</f>
        <v/>
      </c>
    </row>
    <row r="1332" spans="1:18" hidden="1" x14ac:dyDescent="0.3">
      <c r="A1332" t="str">
        <f>_xlfn.XLOOKUP(GERAL[[#This Row],[Dia]],U:U,T:T,"")</f>
        <v/>
      </c>
      <c r="B1332" s="1">
        <v>46158</v>
      </c>
      <c r="C1332" t="s">
        <v>16</v>
      </c>
      <c r="D1332" s="1">
        <v>46158</v>
      </c>
      <c r="E1332" t="s">
        <v>17</v>
      </c>
      <c r="Q1332" t="s">
        <v>109</v>
      </c>
      <c r="R1332" t="str">
        <f>_xlfn.XLOOKUP(GERAL[[#This Row],[Dia]],U:U,V:V,"")</f>
        <v/>
      </c>
    </row>
    <row r="1333" spans="1:18" hidden="1" x14ac:dyDescent="0.3">
      <c r="A1333" t="str">
        <f>_xlfn.XLOOKUP(GERAL[[#This Row],[Dia]],U:U,T:T,"")</f>
        <v/>
      </c>
      <c r="B1333" s="1">
        <v>46159</v>
      </c>
      <c r="C1333" t="s">
        <v>21</v>
      </c>
      <c r="D1333" s="1">
        <v>46159</v>
      </c>
      <c r="E1333" t="s">
        <v>17</v>
      </c>
      <c r="Q1333" t="s">
        <v>109</v>
      </c>
      <c r="R1333" t="str">
        <f>_xlfn.XLOOKUP(GERAL[[#This Row],[Dia]],U:U,V:V,"")</f>
        <v/>
      </c>
    </row>
    <row r="1334" spans="1:18" hidden="1" x14ac:dyDescent="0.3">
      <c r="A1334" t="str">
        <f>_xlfn.XLOOKUP(GERAL[[#This Row],[Dia]],U:U,T:T,"")</f>
        <v/>
      </c>
      <c r="B1334" s="1">
        <v>46160</v>
      </c>
      <c r="C1334" t="s">
        <v>22</v>
      </c>
      <c r="D1334" s="1">
        <v>46160</v>
      </c>
      <c r="Q1334" t="s">
        <v>109</v>
      </c>
      <c r="R1334" t="str">
        <f>_xlfn.XLOOKUP(GERAL[[#This Row],[Dia]],U:U,V:V,"")</f>
        <v/>
      </c>
    </row>
    <row r="1335" spans="1:18" hidden="1" x14ac:dyDescent="0.3">
      <c r="A1335" t="str">
        <f>_xlfn.XLOOKUP(GERAL[[#This Row],[Dia]],U:U,T:T,"")</f>
        <v/>
      </c>
      <c r="B1335" s="1">
        <v>46161</v>
      </c>
      <c r="C1335" t="s">
        <v>23</v>
      </c>
      <c r="D1335" s="1">
        <v>46161</v>
      </c>
      <c r="Q1335" t="s">
        <v>109</v>
      </c>
      <c r="R1335" t="str">
        <f>_xlfn.XLOOKUP(GERAL[[#This Row],[Dia]],U:U,V:V,"")</f>
        <v/>
      </c>
    </row>
    <row r="1336" spans="1:18" hidden="1" x14ac:dyDescent="0.3">
      <c r="A1336" t="str">
        <f>_xlfn.XLOOKUP(GERAL[[#This Row],[Dia]],U:U,T:T,"")</f>
        <v/>
      </c>
      <c r="B1336" s="1">
        <v>46162</v>
      </c>
      <c r="C1336" t="s">
        <v>24</v>
      </c>
      <c r="D1336" s="1">
        <v>46162</v>
      </c>
      <c r="Q1336" t="s">
        <v>109</v>
      </c>
      <c r="R1336" t="str">
        <f>_xlfn.XLOOKUP(GERAL[[#This Row],[Dia]],U:U,V:V,"")</f>
        <v/>
      </c>
    </row>
    <row r="1337" spans="1:18" hidden="1" x14ac:dyDescent="0.3">
      <c r="A1337" t="str">
        <f>_xlfn.XLOOKUP(GERAL[[#This Row],[Dia]],U:U,T:T,"")</f>
        <v/>
      </c>
      <c r="B1337" s="1">
        <v>46163</v>
      </c>
      <c r="C1337" t="s">
        <v>25</v>
      </c>
      <c r="D1337" s="1">
        <v>46163</v>
      </c>
      <c r="Q1337" t="s">
        <v>109</v>
      </c>
      <c r="R1337" t="str">
        <f>_xlfn.XLOOKUP(GERAL[[#This Row],[Dia]],U:U,V:V,"")</f>
        <v/>
      </c>
    </row>
    <row r="1338" spans="1:18" hidden="1" x14ac:dyDescent="0.3">
      <c r="A1338" t="str">
        <f>_xlfn.XLOOKUP(GERAL[[#This Row],[Dia]],U:U,T:T,"")</f>
        <v/>
      </c>
      <c r="B1338" s="1">
        <v>46164</v>
      </c>
      <c r="C1338" t="s">
        <v>26</v>
      </c>
      <c r="D1338" s="1">
        <v>46164</v>
      </c>
      <c r="Q1338" t="s">
        <v>109</v>
      </c>
      <c r="R1338" t="str">
        <f>_xlfn.XLOOKUP(GERAL[[#This Row],[Dia]],U:U,V:V,"")</f>
        <v/>
      </c>
    </row>
    <row r="1339" spans="1:18" hidden="1" x14ac:dyDescent="0.3">
      <c r="A1339" t="str">
        <f>_xlfn.XLOOKUP(GERAL[[#This Row],[Dia]],U:U,T:T,"")</f>
        <v/>
      </c>
      <c r="B1339" s="1">
        <v>46165</v>
      </c>
      <c r="C1339" t="s">
        <v>16</v>
      </c>
      <c r="D1339" s="1">
        <v>46165</v>
      </c>
      <c r="E1339" t="s">
        <v>17</v>
      </c>
      <c r="Q1339" t="s">
        <v>109</v>
      </c>
      <c r="R1339" t="str">
        <f>_xlfn.XLOOKUP(GERAL[[#This Row],[Dia]],U:U,V:V,"")</f>
        <v/>
      </c>
    </row>
    <row r="1340" spans="1:18" hidden="1" x14ac:dyDescent="0.3">
      <c r="A1340" t="str">
        <f>_xlfn.XLOOKUP(GERAL[[#This Row],[Dia]],U:U,T:T,"")</f>
        <v/>
      </c>
      <c r="B1340" s="1">
        <v>46166</v>
      </c>
      <c r="C1340" t="s">
        <v>21</v>
      </c>
      <c r="D1340" s="1">
        <v>46166</v>
      </c>
      <c r="E1340" t="s">
        <v>17</v>
      </c>
      <c r="Q1340" t="s">
        <v>109</v>
      </c>
      <c r="R1340" t="str">
        <f>_xlfn.XLOOKUP(GERAL[[#This Row],[Dia]],U:U,V:V,"")</f>
        <v/>
      </c>
    </row>
    <row r="1341" spans="1:18" hidden="1" x14ac:dyDescent="0.3">
      <c r="A1341" t="str">
        <f>_xlfn.XLOOKUP(GERAL[[#This Row],[Dia]],U:U,T:T,"")</f>
        <v/>
      </c>
      <c r="B1341" s="1">
        <v>46167</v>
      </c>
      <c r="C1341" t="s">
        <v>22</v>
      </c>
      <c r="D1341" s="1">
        <v>46167</v>
      </c>
      <c r="Q1341" t="s">
        <v>109</v>
      </c>
      <c r="R1341" t="str">
        <f>_xlfn.XLOOKUP(GERAL[[#This Row],[Dia]],U:U,V:V,"")</f>
        <v/>
      </c>
    </row>
    <row r="1342" spans="1:18" hidden="1" x14ac:dyDescent="0.3">
      <c r="A1342" t="str">
        <f>_xlfn.XLOOKUP(GERAL[[#This Row],[Dia]],U:U,T:T,"")</f>
        <v/>
      </c>
      <c r="B1342" s="1">
        <v>46168</v>
      </c>
      <c r="C1342" t="s">
        <v>23</v>
      </c>
      <c r="D1342" s="1">
        <v>46168</v>
      </c>
      <c r="Q1342" t="s">
        <v>109</v>
      </c>
      <c r="R1342" t="str">
        <f>_xlfn.XLOOKUP(GERAL[[#This Row],[Dia]],U:U,V:V,"")</f>
        <v/>
      </c>
    </row>
    <row r="1343" spans="1:18" hidden="1" x14ac:dyDescent="0.3">
      <c r="A1343" t="str">
        <f>_xlfn.XLOOKUP(GERAL[[#This Row],[Dia]],U:U,T:T,"")</f>
        <v/>
      </c>
      <c r="B1343" s="1">
        <v>46169</v>
      </c>
      <c r="C1343" t="s">
        <v>24</v>
      </c>
      <c r="D1343" s="1">
        <v>46169</v>
      </c>
      <c r="Q1343" t="s">
        <v>109</v>
      </c>
      <c r="R1343" t="str">
        <f>_xlfn.XLOOKUP(GERAL[[#This Row],[Dia]],U:U,V:V,"")</f>
        <v/>
      </c>
    </row>
    <row r="1344" spans="1:18" hidden="1" x14ac:dyDescent="0.3">
      <c r="A1344" t="str">
        <f>_xlfn.XLOOKUP(GERAL[[#This Row],[Dia]],U:U,T:T,"")</f>
        <v/>
      </c>
      <c r="B1344" s="1">
        <v>46170</v>
      </c>
      <c r="C1344" t="s">
        <v>25</v>
      </c>
      <c r="D1344" s="1">
        <v>46170</v>
      </c>
      <c r="Q1344" t="s">
        <v>109</v>
      </c>
      <c r="R1344" t="str">
        <f>_xlfn.XLOOKUP(GERAL[[#This Row],[Dia]],U:U,V:V,"")</f>
        <v/>
      </c>
    </row>
    <row r="1345" spans="1:18" hidden="1" x14ac:dyDescent="0.3">
      <c r="A1345" t="str">
        <f>_xlfn.XLOOKUP(GERAL[[#This Row],[Dia]],U:U,T:T,"")</f>
        <v/>
      </c>
      <c r="B1345" s="1">
        <v>46171</v>
      </c>
      <c r="C1345" t="s">
        <v>26</v>
      </c>
      <c r="D1345" s="1">
        <v>46171</v>
      </c>
      <c r="Q1345" t="s">
        <v>109</v>
      </c>
      <c r="R1345" t="str">
        <f>_xlfn.XLOOKUP(GERAL[[#This Row],[Dia]],U:U,V:V,"")</f>
        <v/>
      </c>
    </row>
    <row r="1346" spans="1:18" hidden="1" x14ac:dyDescent="0.3">
      <c r="A1346" t="str">
        <f>_xlfn.XLOOKUP(GERAL[[#This Row],[Dia]],U:U,T:T,"")</f>
        <v/>
      </c>
      <c r="B1346" s="1">
        <v>46172</v>
      </c>
      <c r="C1346" t="s">
        <v>16</v>
      </c>
      <c r="D1346" s="1">
        <v>46172</v>
      </c>
      <c r="E1346" t="s">
        <v>17</v>
      </c>
      <c r="Q1346" t="s">
        <v>109</v>
      </c>
      <c r="R1346" t="str">
        <f>_xlfn.XLOOKUP(GERAL[[#This Row],[Dia]],U:U,V:V,"")</f>
        <v/>
      </c>
    </row>
    <row r="1347" spans="1:18" hidden="1" x14ac:dyDescent="0.3">
      <c r="A1347" t="str">
        <f>_xlfn.XLOOKUP(GERAL[[#This Row],[Dia]],U:U,T:T,"")</f>
        <v/>
      </c>
      <c r="B1347" s="1">
        <v>46173</v>
      </c>
      <c r="C1347" t="s">
        <v>21</v>
      </c>
      <c r="D1347" s="1">
        <v>46173</v>
      </c>
      <c r="E1347" t="s">
        <v>17</v>
      </c>
      <c r="Q1347" t="s">
        <v>109</v>
      </c>
      <c r="R1347" t="str">
        <f>_xlfn.XLOOKUP(GERAL[[#This Row],[Dia]],U:U,V:V,"")</f>
        <v/>
      </c>
    </row>
    <row r="1348" spans="1:18" hidden="1" x14ac:dyDescent="0.3">
      <c r="A1348" t="str">
        <f>_xlfn.XLOOKUP(GERAL[[#This Row],[Dia]],U:U,T:T,"")</f>
        <v/>
      </c>
      <c r="B1348" s="1">
        <v>46174</v>
      </c>
      <c r="C1348" t="s">
        <v>22</v>
      </c>
      <c r="D1348" s="1">
        <v>46174</v>
      </c>
      <c r="Q1348" t="s">
        <v>109</v>
      </c>
      <c r="R1348" t="str">
        <f>_xlfn.XLOOKUP(GERAL[[#This Row],[Dia]],U:U,V:V,"")</f>
        <v/>
      </c>
    </row>
    <row r="1349" spans="1:18" hidden="1" x14ac:dyDescent="0.3">
      <c r="A1349" t="str">
        <f>_xlfn.XLOOKUP(GERAL[[#This Row],[Dia]],U:U,T:T,"")</f>
        <v/>
      </c>
      <c r="B1349" s="1">
        <v>46175</v>
      </c>
      <c r="C1349" t="s">
        <v>23</v>
      </c>
      <c r="D1349" s="1">
        <v>46175</v>
      </c>
      <c r="Q1349" t="s">
        <v>109</v>
      </c>
      <c r="R1349" t="str">
        <f>_xlfn.XLOOKUP(GERAL[[#This Row],[Dia]],U:U,V:V,"")</f>
        <v/>
      </c>
    </row>
    <row r="1350" spans="1:18" hidden="1" x14ac:dyDescent="0.3">
      <c r="A1350" t="str">
        <f>_xlfn.XLOOKUP(GERAL[[#This Row],[Dia]],U:U,T:T,"")</f>
        <v/>
      </c>
      <c r="B1350" s="1">
        <v>46176</v>
      </c>
      <c r="C1350" t="s">
        <v>24</v>
      </c>
      <c r="D1350" s="1">
        <v>46176</v>
      </c>
      <c r="Q1350" t="s">
        <v>109</v>
      </c>
      <c r="R1350" t="str">
        <f>_xlfn.XLOOKUP(GERAL[[#This Row],[Dia]],U:U,V:V,"")</f>
        <v/>
      </c>
    </row>
    <row r="1351" spans="1:18" hidden="1" x14ac:dyDescent="0.3">
      <c r="A1351" t="str">
        <f>_xlfn.XLOOKUP(GERAL[[#This Row],[Dia]],U:U,T:T,"")</f>
        <v/>
      </c>
      <c r="B1351" s="1">
        <v>46177</v>
      </c>
      <c r="C1351" t="s">
        <v>25</v>
      </c>
      <c r="D1351" s="1">
        <v>46177</v>
      </c>
      <c r="Q1351" t="s">
        <v>109</v>
      </c>
      <c r="R1351" t="str">
        <f>_xlfn.XLOOKUP(GERAL[[#This Row],[Dia]],U:U,V:V,"")</f>
        <v/>
      </c>
    </row>
    <row r="1352" spans="1:18" hidden="1" x14ac:dyDescent="0.3">
      <c r="A1352" t="str">
        <f>_xlfn.XLOOKUP(GERAL[[#This Row],[Dia]],U:U,T:T,"")</f>
        <v/>
      </c>
      <c r="B1352" s="1">
        <v>46178</v>
      </c>
      <c r="C1352" t="s">
        <v>26</v>
      </c>
      <c r="D1352" s="1">
        <v>46178</v>
      </c>
      <c r="Q1352" t="s">
        <v>109</v>
      </c>
      <c r="R1352" t="str">
        <f>_xlfn.XLOOKUP(GERAL[[#This Row],[Dia]],U:U,V:V,"")</f>
        <v/>
      </c>
    </row>
    <row r="1353" spans="1:18" hidden="1" x14ac:dyDescent="0.3">
      <c r="A1353" t="str">
        <f>_xlfn.XLOOKUP(GERAL[[#This Row],[Dia]],U:U,T:T,"")</f>
        <v/>
      </c>
      <c r="B1353" s="1">
        <v>46179</v>
      </c>
      <c r="C1353" t="s">
        <v>16</v>
      </c>
      <c r="D1353" s="1">
        <v>46179</v>
      </c>
      <c r="E1353" t="s">
        <v>17</v>
      </c>
      <c r="Q1353" t="s">
        <v>109</v>
      </c>
      <c r="R1353" t="str">
        <f>_xlfn.XLOOKUP(GERAL[[#This Row],[Dia]],U:U,V:V,"")</f>
        <v/>
      </c>
    </row>
    <row r="1354" spans="1:18" hidden="1" x14ac:dyDescent="0.3">
      <c r="A1354" t="str">
        <f>_xlfn.XLOOKUP(GERAL[[#This Row],[Dia]],U:U,T:T,"")</f>
        <v/>
      </c>
      <c r="B1354" s="1">
        <v>46180</v>
      </c>
      <c r="C1354" t="s">
        <v>21</v>
      </c>
      <c r="D1354" s="1">
        <v>46180</v>
      </c>
      <c r="E1354" t="s">
        <v>17</v>
      </c>
      <c r="Q1354" t="s">
        <v>109</v>
      </c>
      <c r="R1354" t="str">
        <f>_xlfn.XLOOKUP(GERAL[[#This Row],[Dia]],U:U,V:V,"")</f>
        <v/>
      </c>
    </row>
    <row r="1355" spans="1:18" hidden="1" x14ac:dyDescent="0.3">
      <c r="A1355" t="str">
        <f>_xlfn.XLOOKUP(GERAL[[#This Row],[Dia]],U:U,T:T,"")</f>
        <v/>
      </c>
      <c r="B1355" s="1">
        <v>46181</v>
      </c>
      <c r="C1355" t="s">
        <v>22</v>
      </c>
      <c r="D1355" s="1">
        <v>46181</v>
      </c>
      <c r="Q1355" t="s">
        <v>109</v>
      </c>
      <c r="R1355" t="str">
        <f>_xlfn.XLOOKUP(GERAL[[#This Row],[Dia]],U:U,V:V,"")</f>
        <v/>
      </c>
    </row>
    <row r="1356" spans="1:18" hidden="1" x14ac:dyDescent="0.3">
      <c r="A1356" t="str">
        <f>_xlfn.XLOOKUP(GERAL[[#This Row],[Dia]],U:U,T:T,"")</f>
        <v/>
      </c>
      <c r="B1356" s="1">
        <v>46182</v>
      </c>
      <c r="C1356" t="s">
        <v>23</v>
      </c>
      <c r="D1356" s="1">
        <v>46182</v>
      </c>
      <c r="Q1356" t="s">
        <v>109</v>
      </c>
      <c r="R1356" t="str">
        <f>_xlfn.XLOOKUP(GERAL[[#This Row],[Dia]],U:U,V:V,"")</f>
        <v/>
      </c>
    </row>
    <row r="1357" spans="1:18" hidden="1" x14ac:dyDescent="0.3">
      <c r="A1357" t="str">
        <f>_xlfn.XLOOKUP(GERAL[[#This Row],[Dia]],U:U,T:T,"")</f>
        <v/>
      </c>
      <c r="B1357" s="1">
        <v>46183</v>
      </c>
      <c r="C1357" t="s">
        <v>24</v>
      </c>
      <c r="D1357" s="1">
        <v>46183</v>
      </c>
      <c r="Q1357" t="s">
        <v>109</v>
      </c>
      <c r="R1357" t="str">
        <f>_xlfn.XLOOKUP(GERAL[[#This Row],[Dia]],U:U,V:V,"")</f>
        <v/>
      </c>
    </row>
    <row r="1358" spans="1:18" hidden="1" x14ac:dyDescent="0.3">
      <c r="A1358" t="str">
        <f>_xlfn.XLOOKUP(GERAL[[#This Row],[Dia]],U:U,T:T,"")</f>
        <v/>
      </c>
      <c r="B1358" s="1">
        <v>46184</v>
      </c>
      <c r="C1358" t="s">
        <v>25</v>
      </c>
      <c r="D1358" s="1">
        <v>46184</v>
      </c>
      <c r="Q1358" t="s">
        <v>109</v>
      </c>
      <c r="R1358" t="str">
        <f>_xlfn.XLOOKUP(GERAL[[#This Row],[Dia]],U:U,V:V,"")</f>
        <v/>
      </c>
    </row>
    <row r="1359" spans="1:18" hidden="1" x14ac:dyDescent="0.3">
      <c r="A1359" t="str">
        <f>_xlfn.XLOOKUP(GERAL[[#This Row],[Dia]],U:U,T:T,"")</f>
        <v/>
      </c>
      <c r="B1359" s="1">
        <v>46185</v>
      </c>
      <c r="C1359" t="s">
        <v>26</v>
      </c>
      <c r="D1359" s="1">
        <v>46185</v>
      </c>
      <c r="Q1359" t="s">
        <v>109</v>
      </c>
      <c r="R1359" t="str">
        <f>_xlfn.XLOOKUP(GERAL[[#This Row],[Dia]],U:U,V:V,"")</f>
        <v/>
      </c>
    </row>
    <row r="1360" spans="1:18" hidden="1" x14ac:dyDescent="0.3">
      <c r="A1360" t="str">
        <f>_xlfn.XLOOKUP(GERAL[[#This Row],[Dia]],U:U,T:T,"")</f>
        <v/>
      </c>
      <c r="B1360" s="1">
        <v>46186</v>
      </c>
      <c r="C1360" t="s">
        <v>16</v>
      </c>
      <c r="D1360" s="1">
        <v>46186</v>
      </c>
      <c r="E1360" t="s">
        <v>17</v>
      </c>
      <c r="Q1360" t="s">
        <v>109</v>
      </c>
      <c r="R1360" t="str">
        <f>_xlfn.XLOOKUP(GERAL[[#This Row],[Dia]],U:U,V:V,"")</f>
        <v/>
      </c>
    </row>
    <row r="1361" spans="1:18" hidden="1" x14ac:dyDescent="0.3">
      <c r="A1361" t="str">
        <f>_xlfn.XLOOKUP(GERAL[[#This Row],[Dia]],U:U,T:T,"")</f>
        <v/>
      </c>
      <c r="B1361" s="1">
        <v>46187</v>
      </c>
      <c r="C1361" t="s">
        <v>21</v>
      </c>
      <c r="D1361" s="1">
        <v>46187</v>
      </c>
      <c r="E1361" t="s">
        <v>17</v>
      </c>
      <c r="Q1361" t="s">
        <v>109</v>
      </c>
      <c r="R1361" t="str">
        <f>_xlfn.XLOOKUP(GERAL[[#This Row],[Dia]],U:U,V:V,"")</f>
        <v/>
      </c>
    </row>
    <row r="1362" spans="1:18" hidden="1" x14ac:dyDescent="0.3">
      <c r="A1362" t="str">
        <f>_xlfn.XLOOKUP(GERAL[[#This Row],[Dia]],U:U,T:T,"")</f>
        <v/>
      </c>
      <c r="B1362" s="1">
        <v>46188</v>
      </c>
      <c r="C1362" t="s">
        <v>22</v>
      </c>
      <c r="D1362" s="1">
        <v>46188</v>
      </c>
      <c r="Q1362" t="s">
        <v>109</v>
      </c>
      <c r="R1362" t="str">
        <f>_xlfn.XLOOKUP(GERAL[[#This Row],[Dia]],U:U,V:V,"")</f>
        <v/>
      </c>
    </row>
    <row r="1363" spans="1:18" hidden="1" x14ac:dyDescent="0.3">
      <c r="A1363" t="str">
        <f>_xlfn.XLOOKUP(GERAL[[#This Row],[Dia]],U:U,T:T,"")</f>
        <v/>
      </c>
      <c r="B1363" s="1">
        <v>46189</v>
      </c>
      <c r="C1363" t="s">
        <v>23</v>
      </c>
      <c r="D1363" s="1">
        <v>46189</v>
      </c>
      <c r="Q1363" t="s">
        <v>109</v>
      </c>
      <c r="R1363" t="str">
        <f>_xlfn.XLOOKUP(GERAL[[#This Row],[Dia]],U:U,V:V,"")</f>
        <v/>
      </c>
    </row>
    <row r="1364" spans="1:18" hidden="1" x14ac:dyDescent="0.3">
      <c r="A1364" t="str">
        <f>_xlfn.XLOOKUP(GERAL[[#This Row],[Dia]],U:U,T:T,"")</f>
        <v/>
      </c>
      <c r="B1364" s="1">
        <v>46190</v>
      </c>
      <c r="C1364" t="s">
        <v>24</v>
      </c>
      <c r="D1364" s="1">
        <v>46190</v>
      </c>
      <c r="Q1364" t="s">
        <v>109</v>
      </c>
      <c r="R1364" t="str">
        <f>_xlfn.XLOOKUP(GERAL[[#This Row],[Dia]],U:U,V:V,"")</f>
        <v/>
      </c>
    </row>
    <row r="1365" spans="1:18" hidden="1" x14ac:dyDescent="0.3">
      <c r="A1365" t="str">
        <f>_xlfn.XLOOKUP(GERAL[[#This Row],[Dia]],U:U,T:T,"")</f>
        <v/>
      </c>
      <c r="B1365" s="1">
        <v>46191</v>
      </c>
      <c r="C1365" t="s">
        <v>25</v>
      </c>
      <c r="D1365" s="1">
        <v>46191</v>
      </c>
      <c r="Q1365" t="s">
        <v>109</v>
      </c>
      <c r="R1365" t="str">
        <f>_xlfn.XLOOKUP(GERAL[[#This Row],[Dia]],U:U,V:V,"")</f>
        <v/>
      </c>
    </row>
    <row r="1366" spans="1:18" hidden="1" x14ac:dyDescent="0.3">
      <c r="A1366" t="str">
        <f>_xlfn.XLOOKUP(GERAL[[#This Row],[Dia]],U:U,T:T,"")</f>
        <v/>
      </c>
      <c r="B1366" s="1">
        <v>46192</v>
      </c>
      <c r="C1366" t="s">
        <v>26</v>
      </c>
      <c r="D1366" s="1">
        <v>46192</v>
      </c>
      <c r="Q1366" t="s">
        <v>109</v>
      </c>
      <c r="R1366" t="str">
        <f>_xlfn.XLOOKUP(GERAL[[#This Row],[Dia]],U:U,V:V,"")</f>
        <v/>
      </c>
    </row>
    <row r="1367" spans="1:18" hidden="1" x14ac:dyDescent="0.3">
      <c r="A1367" t="str">
        <f>_xlfn.XLOOKUP(GERAL[[#This Row],[Dia]],U:U,T:T,"")</f>
        <v/>
      </c>
      <c r="B1367" s="1">
        <v>46193</v>
      </c>
      <c r="C1367" t="s">
        <v>16</v>
      </c>
      <c r="D1367" s="1">
        <v>46193</v>
      </c>
      <c r="E1367" t="s">
        <v>17</v>
      </c>
      <c r="Q1367" t="s">
        <v>109</v>
      </c>
      <c r="R1367" t="str">
        <f>_xlfn.XLOOKUP(GERAL[[#This Row],[Dia]],U:U,V:V,"")</f>
        <v/>
      </c>
    </row>
    <row r="1368" spans="1:18" hidden="1" x14ac:dyDescent="0.3">
      <c r="A1368" t="str">
        <f>_xlfn.XLOOKUP(GERAL[[#This Row],[Dia]],U:U,T:T,"")</f>
        <v/>
      </c>
      <c r="B1368" s="1">
        <v>46194</v>
      </c>
      <c r="C1368" t="s">
        <v>21</v>
      </c>
      <c r="D1368" s="1">
        <v>46194</v>
      </c>
      <c r="E1368" t="s">
        <v>17</v>
      </c>
      <c r="Q1368" t="s">
        <v>109</v>
      </c>
      <c r="R1368" t="str">
        <f>_xlfn.XLOOKUP(GERAL[[#This Row],[Dia]],U:U,V:V,"")</f>
        <v/>
      </c>
    </row>
    <row r="1369" spans="1:18" hidden="1" x14ac:dyDescent="0.3">
      <c r="A1369" t="str">
        <f>_xlfn.XLOOKUP(GERAL[[#This Row],[Dia]],U:U,T:T,"")</f>
        <v/>
      </c>
      <c r="B1369" s="1">
        <v>46195</v>
      </c>
      <c r="C1369" t="s">
        <v>22</v>
      </c>
      <c r="D1369" s="1">
        <v>46195</v>
      </c>
      <c r="Q1369" t="s">
        <v>109</v>
      </c>
      <c r="R1369" t="str">
        <f>_xlfn.XLOOKUP(GERAL[[#This Row],[Dia]],U:U,V:V,"")</f>
        <v/>
      </c>
    </row>
    <row r="1370" spans="1:18" hidden="1" x14ac:dyDescent="0.3">
      <c r="A1370" t="str">
        <f>_xlfn.XLOOKUP(GERAL[[#This Row],[Dia]],U:U,T:T,"")</f>
        <v/>
      </c>
      <c r="B1370" s="1">
        <v>46196</v>
      </c>
      <c r="C1370" t="s">
        <v>23</v>
      </c>
      <c r="D1370" s="1">
        <v>46196</v>
      </c>
      <c r="Q1370" t="s">
        <v>109</v>
      </c>
      <c r="R1370" t="str">
        <f>_xlfn.XLOOKUP(GERAL[[#This Row],[Dia]],U:U,V:V,"")</f>
        <v/>
      </c>
    </row>
    <row r="1371" spans="1:18" hidden="1" x14ac:dyDescent="0.3">
      <c r="A1371" t="str">
        <f>_xlfn.XLOOKUP(GERAL[[#This Row],[Dia]],U:U,T:T,"")</f>
        <v/>
      </c>
      <c r="B1371" s="1">
        <v>46197</v>
      </c>
      <c r="C1371" t="s">
        <v>24</v>
      </c>
      <c r="D1371" s="1">
        <v>46197</v>
      </c>
      <c r="Q1371" t="s">
        <v>109</v>
      </c>
      <c r="R1371" t="str">
        <f>_xlfn.XLOOKUP(GERAL[[#This Row],[Dia]],U:U,V:V,"")</f>
        <v/>
      </c>
    </row>
    <row r="1372" spans="1:18" hidden="1" x14ac:dyDescent="0.3">
      <c r="A1372" t="str">
        <f>_xlfn.XLOOKUP(GERAL[[#This Row],[Dia]],U:U,T:T,"")</f>
        <v/>
      </c>
      <c r="B1372" s="1">
        <v>46198</v>
      </c>
      <c r="C1372" t="s">
        <v>25</v>
      </c>
      <c r="D1372" s="1">
        <v>46198</v>
      </c>
      <c r="Q1372" t="s">
        <v>109</v>
      </c>
      <c r="R1372" t="str">
        <f>_xlfn.XLOOKUP(GERAL[[#This Row],[Dia]],U:U,V:V,"")</f>
        <v/>
      </c>
    </row>
    <row r="1373" spans="1:18" hidden="1" x14ac:dyDescent="0.3">
      <c r="A1373" t="str">
        <f>_xlfn.XLOOKUP(GERAL[[#This Row],[Dia]],U:U,T:T,"")</f>
        <v/>
      </c>
      <c r="B1373" s="1">
        <v>46199</v>
      </c>
      <c r="C1373" t="s">
        <v>26</v>
      </c>
      <c r="D1373" s="1">
        <v>46199</v>
      </c>
      <c r="Q1373" t="s">
        <v>109</v>
      </c>
      <c r="R1373" t="str">
        <f>_xlfn.XLOOKUP(GERAL[[#This Row],[Dia]],U:U,V:V,"")</f>
        <v/>
      </c>
    </row>
    <row r="1374" spans="1:18" hidden="1" x14ac:dyDescent="0.3">
      <c r="A1374" t="str">
        <f>_xlfn.XLOOKUP(GERAL[[#This Row],[Dia]],U:U,T:T,"")</f>
        <v/>
      </c>
      <c r="B1374" s="1">
        <v>46200</v>
      </c>
      <c r="C1374" t="s">
        <v>16</v>
      </c>
      <c r="D1374" s="1">
        <v>46200</v>
      </c>
      <c r="E1374" t="s">
        <v>17</v>
      </c>
      <c r="Q1374" t="s">
        <v>109</v>
      </c>
      <c r="R1374" t="str">
        <f>_xlfn.XLOOKUP(GERAL[[#This Row],[Dia]],U:U,V:V,"")</f>
        <v/>
      </c>
    </row>
    <row r="1375" spans="1:18" hidden="1" x14ac:dyDescent="0.3">
      <c r="A1375" t="str">
        <f>_xlfn.XLOOKUP(GERAL[[#This Row],[Dia]],U:U,T:T,"")</f>
        <v/>
      </c>
      <c r="B1375" s="1">
        <v>46201</v>
      </c>
      <c r="C1375" t="s">
        <v>21</v>
      </c>
      <c r="D1375" s="1">
        <v>46201</v>
      </c>
      <c r="E1375" t="s">
        <v>17</v>
      </c>
      <c r="Q1375" t="s">
        <v>109</v>
      </c>
      <c r="R1375" t="str">
        <f>_xlfn.XLOOKUP(GERAL[[#This Row],[Dia]],U:U,V:V,"")</f>
        <v/>
      </c>
    </row>
    <row r="1376" spans="1:18" hidden="1" x14ac:dyDescent="0.3">
      <c r="A1376" t="str">
        <f>_xlfn.XLOOKUP(GERAL[[#This Row],[Dia]],U:U,T:T,"")</f>
        <v/>
      </c>
      <c r="B1376" s="1">
        <v>46202</v>
      </c>
      <c r="C1376" t="s">
        <v>22</v>
      </c>
      <c r="D1376" s="1">
        <v>46202</v>
      </c>
      <c r="Q1376" t="s">
        <v>109</v>
      </c>
      <c r="R1376" t="str">
        <f>_xlfn.XLOOKUP(GERAL[[#This Row],[Dia]],U:U,V:V,"")</f>
        <v/>
      </c>
    </row>
    <row r="1377" spans="1:18" hidden="1" x14ac:dyDescent="0.3">
      <c r="A1377" t="str">
        <f>_xlfn.XLOOKUP(GERAL[[#This Row],[Dia]],U:U,T:T,"")</f>
        <v/>
      </c>
      <c r="B1377" s="1">
        <v>46203</v>
      </c>
      <c r="C1377" t="s">
        <v>23</v>
      </c>
      <c r="D1377" s="1">
        <v>46203</v>
      </c>
      <c r="Q1377" t="s">
        <v>109</v>
      </c>
      <c r="R1377" t="str">
        <f>_xlfn.XLOOKUP(GERAL[[#This Row],[Dia]],U:U,V:V,"")</f>
        <v/>
      </c>
    </row>
    <row r="1378" spans="1:18" hidden="1" x14ac:dyDescent="0.3">
      <c r="A1378" t="str">
        <f>_xlfn.XLOOKUP(GERAL[[#This Row],[Dia]],U:U,T:T,"")</f>
        <v/>
      </c>
      <c r="B1378" s="1">
        <v>46204</v>
      </c>
      <c r="C1378" t="s">
        <v>24</v>
      </c>
      <c r="D1378" s="1">
        <v>46204</v>
      </c>
      <c r="Q1378" t="s">
        <v>109</v>
      </c>
      <c r="R1378" t="str">
        <f>_xlfn.XLOOKUP(GERAL[[#This Row],[Dia]],U:U,V:V,"")</f>
        <v/>
      </c>
    </row>
    <row r="1379" spans="1:18" hidden="1" x14ac:dyDescent="0.3">
      <c r="A1379" t="str">
        <f>_xlfn.XLOOKUP(GERAL[[#This Row],[Dia]],U:U,T:T,"")</f>
        <v/>
      </c>
      <c r="B1379" s="1">
        <v>46205</v>
      </c>
      <c r="C1379" t="s">
        <v>25</v>
      </c>
      <c r="D1379" s="1">
        <v>46205</v>
      </c>
      <c r="Q1379" t="s">
        <v>109</v>
      </c>
      <c r="R1379" t="str">
        <f>_xlfn.XLOOKUP(GERAL[[#This Row],[Dia]],U:U,V:V,"")</f>
        <v/>
      </c>
    </row>
    <row r="1380" spans="1:18" hidden="1" x14ac:dyDescent="0.3">
      <c r="A1380" t="str">
        <f>_xlfn.XLOOKUP(GERAL[[#This Row],[Dia]],U:U,T:T,"")</f>
        <v/>
      </c>
      <c r="B1380" s="1">
        <v>46206</v>
      </c>
      <c r="C1380" t="s">
        <v>26</v>
      </c>
      <c r="D1380" s="1">
        <v>46206</v>
      </c>
      <c r="Q1380" t="s">
        <v>109</v>
      </c>
      <c r="R1380" t="str">
        <f>_xlfn.XLOOKUP(GERAL[[#This Row],[Dia]],U:U,V:V,"")</f>
        <v/>
      </c>
    </row>
    <row r="1381" spans="1:18" hidden="1" x14ac:dyDescent="0.3">
      <c r="A1381" t="str">
        <f>_xlfn.XLOOKUP(GERAL[[#This Row],[Dia]],U:U,T:T,"")</f>
        <v/>
      </c>
      <c r="B1381" s="1">
        <v>46207</v>
      </c>
      <c r="C1381" t="s">
        <v>16</v>
      </c>
      <c r="D1381" s="1">
        <v>46207</v>
      </c>
      <c r="E1381" t="s">
        <v>17</v>
      </c>
      <c r="Q1381" t="s">
        <v>109</v>
      </c>
      <c r="R1381" t="str">
        <f>_xlfn.XLOOKUP(GERAL[[#This Row],[Dia]],U:U,V:V,"")</f>
        <v/>
      </c>
    </row>
    <row r="1382" spans="1:18" hidden="1" x14ac:dyDescent="0.3">
      <c r="A1382" t="str">
        <f>_xlfn.XLOOKUP(GERAL[[#This Row],[Dia]],U:U,T:T,"")</f>
        <v/>
      </c>
      <c r="B1382" s="1">
        <v>46208</v>
      </c>
      <c r="C1382" t="s">
        <v>21</v>
      </c>
      <c r="D1382" s="1">
        <v>46208</v>
      </c>
      <c r="E1382" t="s">
        <v>17</v>
      </c>
      <c r="Q1382" t="s">
        <v>109</v>
      </c>
      <c r="R1382" t="str">
        <f>_xlfn.XLOOKUP(GERAL[[#This Row],[Dia]],U:U,V:V,"")</f>
        <v/>
      </c>
    </row>
    <row r="1383" spans="1:18" hidden="1" x14ac:dyDescent="0.3">
      <c r="A1383" t="str">
        <f>_xlfn.XLOOKUP(GERAL[[#This Row],[Dia]],U:U,T:T,"")</f>
        <v/>
      </c>
      <c r="B1383" s="1">
        <v>46209</v>
      </c>
      <c r="C1383" t="s">
        <v>22</v>
      </c>
      <c r="D1383" s="1">
        <v>46209</v>
      </c>
      <c r="Q1383" t="s">
        <v>109</v>
      </c>
      <c r="R1383" t="str">
        <f>_xlfn.XLOOKUP(GERAL[[#This Row],[Dia]],U:U,V:V,"")</f>
        <v/>
      </c>
    </row>
    <row r="1384" spans="1:18" hidden="1" x14ac:dyDescent="0.3">
      <c r="A1384" t="str">
        <f>_xlfn.XLOOKUP(GERAL[[#This Row],[Dia]],U:U,T:T,"")</f>
        <v/>
      </c>
      <c r="B1384" s="1">
        <v>46210</v>
      </c>
      <c r="C1384" t="s">
        <v>23</v>
      </c>
      <c r="D1384" s="1">
        <v>46210</v>
      </c>
      <c r="Q1384" t="s">
        <v>109</v>
      </c>
      <c r="R1384" t="str">
        <f>_xlfn.XLOOKUP(GERAL[[#This Row],[Dia]],U:U,V:V,"")</f>
        <v/>
      </c>
    </row>
    <row r="1385" spans="1:18" hidden="1" x14ac:dyDescent="0.3">
      <c r="A1385" t="str">
        <f>_xlfn.XLOOKUP(GERAL[[#This Row],[Dia]],U:U,T:T,"")</f>
        <v/>
      </c>
      <c r="B1385" s="1">
        <v>46211</v>
      </c>
      <c r="C1385" t="s">
        <v>24</v>
      </c>
      <c r="D1385" s="1">
        <v>46211</v>
      </c>
      <c r="Q1385" t="s">
        <v>109</v>
      </c>
      <c r="R1385" t="str">
        <f>_xlfn.XLOOKUP(GERAL[[#This Row],[Dia]],U:U,V:V,"")</f>
        <v/>
      </c>
    </row>
    <row r="1386" spans="1:18" hidden="1" x14ac:dyDescent="0.3">
      <c r="A1386" t="str">
        <f>_xlfn.XLOOKUP(GERAL[[#This Row],[Dia]],U:U,T:T,"")</f>
        <v/>
      </c>
      <c r="B1386" s="1">
        <v>46212</v>
      </c>
      <c r="C1386" t="s">
        <v>25</v>
      </c>
      <c r="D1386" s="1">
        <v>46212</v>
      </c>
      <c r="Q1386" t="s">
        <v>109</v>
      </c>
      <c r="R1386" t="str">
        <f>_xlfn.XLOOKUP(GERAL[[#This Row],[Dia]],U:U,V:V,"")</f>
        <v/>
      </c>
    </row>
    <row r="1387" spans="1:18" hidden="1" x14ac:dyDescent="0.3">
      <c r="A1387" t="str">
        <f>_xlfn.XLOOKUP(GERAL[[#This Row],[Dia]],U:U,T:T,"")</f>
        <v/>
      </c>
      <c r="B1387" s="1">
        <v>46213</v>
      </c>
      <c r="C1387" t="s">
        <v>26</v>
      </c>
      <c r="D1387" s="1">
        <v>46213</v>
      </c>
      <c r="Q1387" t="s">
        <v>109</v>
      </c>
      <c r="R1387" t="str">
        <f>_xlfn.XLOOKUP(GERAL[[#This Row],[Dia]],U:U,V:V,"")</f>
        <v/>
      </c>
    </row>
    <row r="1388" spans="1:18" hidden="1" x14ac:dyDescent="0.3">
      <c r="A1388" t="str">
        <f>_xlfn.XLOOKUP(GERAL[[#This Row],[Dia]],U:U,T:T,"")</f>
        <v/>
      </c>
      <c r="B1388" s="1">
        <v>46214</v>
      </c>
      <c r="C1388" t="s">
        <v>16</v>
      </c>
      <c r="D1388" s="1">
        <v>46214</v>
      </c>
      <c r="E1388" t="s">
        <v>17</v>
      </c>
      <c r="Q1388" t="s">
        <v>109</v>
      </c>
      <c r="R1388" t="str">
        <f>_xlfn.XLOOKUP(GERAL[[#This Row],[Dia]],U:U,V:V,"")</f>
        <v/>
      </c>
    </row>
    <row r="1389" spans="1:18" hidden="1" x14ac:dyDescent="0.3">
      <c r="A1389" t="str">
        <f>_xlfn.XLOOKUP(GERAL[[#This Row],[Dia]],U:U,T:T,"")</f>
        <v/>
      </c>
      <c r="B1389" s="1">
        <v>46215</v>
      </c>
      <c r="C1389" t="s">
        <v>21</v>
      </c>
      <c r="D1389" s="1">
        <v>46215</v>
      </c>
      <c r="E1389" t="s">
        <v>17</v>
      </c>
      <c r="Q1389" t="s">
        <v>109</v>
      </c>
      <c r="R1389" t="str">
        <f>_xlfn.XLOOKUP(GERAL[[#This Row],[Dia]],U:U,V:V,"")</f>
        <v/>
      </c>
    </row>
    <row r="1390" spans="1:18" hidden="1" x14ac:dyDescent="0.3">
      <c r="A1390" t="str">
        <f>_xlfn.XLOOKUP(GERAL[[#This Row],[Dia]],U:U,T:T,"")</f>
        <v/>
      </c>
      <c r="B1390" s="1">
        <v>46216</v>
      </c>
      <c r="C1390" t="s">
        <v>22</v>
      </c>
      <c r="D1390" s="1">
        <v>46216</v>
      </c>
      <c r="Q1390" t="s">
        <v>109</v>
      </c>
      <c r="R1390" t="str">
        <f>_xlfn.XLOOKUP(GERAL[[#This Row],[Dia]],U:U,V:V,"")</f>
        <v/>
      </c>
    </row>
    <row r="1391" spans="1:18" hidden="1" x14ac:dyDescent="0.3">
      <c r="A1391" t="str">
        <f>_xlfn.XLOOKUP(GERAL[[#This Row],[Dia]],U:U,T:T,"")</f>
        <v/>
      </c>
      <c r="B1391" s="1">
        <v>46217</v>
      </c>
      <c r="C1391" t="s">
        <v>23</v>
      </c>
      <c r="D1391" s="1">
        <v>46217</v>
      </c>
      <c r="Q1391" t="s">
        <v>109</v>
      </c>
      <c r="R1391" t="str">
        <f>_xlfn.XLOOKUP(GERAL[[#This Row],[Dia]],U:U,V:V,"")</f>
        <v/>
      </c>
    </row>
    <row r="1392" spans="1:18" hidden="1" x14ac:dyDescent="0.3">
      <c r="A1392" t="str">
        <f>_xlfn.XLOOKUP(GERAL[[#This Row],[Dia]],U:U,T:T,"")</f>
        <v/>
      </c>
      <c r="B1392" s="1">
        <v>46218</v>
      </c>
      <c r="C1392" t="s">
        <v>24</v>
      </c>
      <c r="D1392" s="1">
        <v>46218</v>
      </c>
      <c r="Q1392" t="s">
        <v>109</v>
      </c>
      <c r="R1392" t="str">
        <f>_xlfn.XLOOKUP(GERAL[[#This Row],[Dia]],U:U,V:V,"")</f>
        <v/>
      </c>
    </row>
    <row r="1393" spans="1:18" hidden="1" x14ac:dyDescent="0.3">
      <c r="A1393" t="str">
        <f>_xlfn.XLOOKUP(GERAL[[#This Row],[Dia]],U:U,T:T,"")</f>
        <v/>
      </c>
      <c r="B1393" s="1">
        <v>46219</v>
      </c>
      <c r="C1393" t="s">
        <v>25</v>
      </c>
      <c r="D1393" s="1">
        <v>46219</v>
      </c>
      <c r="Q1393" t="s">
        <v>109</v>
      </c>
      <c r="R1393" t="str">
        <f>_xlfn.XLOOKUP(GERAL[[#This Row],[Dia]],U:U,V:V,"")</f>
        <v/>
      </c>
    </row>
    <row r="1394" spans="1:18" hidden="1" x14ac:dyDescent="0.3">
      <c r="A1394" t="str">
        <f>_xlfn.XLOOKUP(GERAL[[#This Row],[Dia]],U:U,T:T,"")</f>
        <v/>
      </c>
      <c r="B1394" s="1">
        <v>46220</v>
      </c>
      <c r="C1394" t="s">
        <v>26</v>
      </c>
      <c r="D1394" s="1">
        <v>46220</v>
      </c>
      <c r="Q1394" t="s">
        <v>109</v>
      </c>
      <c r="R1394" t="str">
        <f>_xlfn.XLOOKUP(GERAL[[#This Row],[Dia]],U:U,V:V,"")</f>
        <v/>
      </c>
    </row>
    <row r="1395" spans="1:18" hidden="1" x14ac:dyDescent="0.3">
      <c r="A1395" t="str">
        <f>_xlfn.XLOOKUP(GERAL[[#This Row],[Dia]],U:U,T:T,"")</f>
        <v/>
      </c>
      <c r="B1395" s="1">
        <v>46221</v>
      </c>
      <c r="C1395" t="s">
        <v>16</v>
      </c>
      <c r="D1395" s="1">
        <v>46221</v>
      </c>
      <c r="E1395" t="s">
        <v>17</v>
      </c>
      <c r="Q1395" t="s">
        <v>109</v>
      </c>
      <c r="R1395" t="str">
        <f>_xlfn.XLOOKUP(GERAL[[#This Row],[Dia]],U:U,V:V,"")</f>
        <v/>
      </c>
    </row>
    <row r="1396" spans="1:18" hidden="1" x14ac:dyDescent="0.3">
      <c r="A1396" t="str">
        <f>_xlfn.XLOOKUP(GERAL[[#This Row],[Dia]],U:U,T:T,"")</f>
        <v/>
      </c>
      <c r="B1396" s="1">
        <v>46222</v>
      </c>
      <c r="C1396" t="s">
        <v>21</v>
      </c>
      <c r="D1396" s="1">
        <v>46222</v>
      </c>
      <c r="E1396" t="s">
        <v>17</v>
      </c>
      <c r="Q1396" t="s">
        <v>109</v>
      </c>
      <c r="R1396" t="str">
        <f>_xlfn.XLOOKUP(GERAL[[#This Row],[Dia]],U:U,V:V,"")</f>
        <v/>
      </c>
    </row>
    <row r="1397" spans="1:18" hidden="1" x14ac:dyDescent="0.3">
      <c r="A1397" t="str">
        <f>_xlfn.XLOOKUP(GERAL[[#This Row],[Dia]],U:U,T:T,"")</f>
        <v/>
      </c>
      <c r="B1397" s="1">
        <v>46223</v>
      </c>
      <c r="C1397" t="s">
        <v>22</v>
      </c>
      <c r="D1397" s="1">
        <v>46223</v>
      </c>
      <c r="Q1397" t="s">
        <v>109</v>
      </c>
      <c r="R1397" t="str">
        <f>_xlfn.XLOOKUP(GERAL[[#This Row],[Dia]],U:U,V:V,"")</f>
        <v/>
      </c>
    </row>
    <row r="1398" spans="1:18" hidden="1" x14ac:dyDescent="0.3">
      <c r="A1398" t="str">
        <f>_xlfn.XLOOKUP(GERAL[[#This Row],[Dia]],U:U,T:T,"")</f>
        <v/>
      </c>
      <c r="B1398" s="1">
        <v>46224</v>
      </c>
      <c r="C1398" t="s">
        <v>23</v>
      </c>
      <c r="D1398" s="1">
        <v>46224</v>
      </c>
      <c r="Q1398" t="s">
        <v>109</v>
      </c>
      <c r="R1398" t="str">
        <f>_xlfn.XLOOKUP(GERAL[[#This Row],[Dia]],U:U,V:V,"")</f>
        <v/>
      </c>
    </row>
    <row r="1399" spans="1:18" hidden="1" x14ac:dyDescent="0.3">
      <c r="A1399" t="str">
        <f>_xlfn.XLOOKUP(GERAL[[#This Row],[Dia]],U:U,T:T,"")</f>
        <v/>
      </c>
      <c r="B1399" s="1">
        <v>46225</v>
      </c>
      <c r="C1399" t="s">
        <v>24</v>
      </c>
      <c r="D1399" s="1">
        <v>46225</v>
      </c>
      <c r="Q1399" t="s">
        <v>109</v>
      </c>
      <c r="R1399" t="str">
        <f>_xlfn.XLOOKUP(GERAL[[#This Row],[Dia]],U:U,V:V,"")</f>
        <v/>
      </c>
    </row>
    <row r="1400" spans="1:18" hidden="1" x14ac:dyDescent="0.3">
      <c r="A1400" t="str">
        <f>_xlfn.XLOOKUP(GERAL[[#This Row],[Dia]],U:U,T:T,"")</f>
        <v/>
      </c>
      <c r="B1400" s="1">
        <v>46226</v>
      </c>
      <c r="C1400" t="s">
        <v>25</v>
      </c>
      <c r="D1400" s="1">
        <v>46226</v>
      </c>
      <c r="Q1400" t="s">
        <v>109</v>
      </c>
      <c r="R1400" t="str">
        <f>_xlfn.XLOOKUP(GERAL[[#This Row],[Dia]],U:U,V:V,"")</f>
        <v/>
      </c>
    </row>
    <row r="1401" spans="1:18" hidden="1" x14ac:dyDescent="0.3">
      <c r="A1401" t="str">
        <f>_xlfn.XLOOKUP(GERAL[[#This Row],[Dia]],U:U,T:T,"")</f>
        <v/>
      </c>
      <c r="B1401" s="1">
        <v>46227</v>
      </c>
      <c r="C1401" t="s">
        <v>26</v>
      </c>
      <c r="D1401" s="1">
        <v>46227</v>
      </c>
      <c r="Q1401" t="s">
        <v>109</v>
      </c>
      <c r="R1401" t="str">
        <f>_xlfn.XLOOKUP(GERAL[[#This Row],[Dia]],U:U,V:V,"")</f>
        <v/>
      </c>
    </row>
    <row r="1402" spans="1:18" hidden="1" x14ac:dyDescent="0.3">
      <c r="A1402" t="str">
        <f>_xlfn.XLOOKUP(GERAL[[#This Row],[Dia]],U:U,T:T,"")</f>
        <v/>
      </c>
      <c r="B1402" s="1">
        <v>46228</v>
      </c>
      <c r="C1402" t="s">
        <v>16</v>
      </c>
      <c r="D1402" s="1">
        <v>46228</v>
      </c>
      <c r="E1402" t="s">
        <v>17</v>
      </c>
      <c r="Q1402" t="s">
        <v>109</v>
      </c>
      <c r="R1402" t="str">
        <f>_xlfn.XLOOKUP(GERAL[[#This Row],[Dia]],U:U,V:V,"")</f>
        <v/>
      </c>
    </row>
    <row r="1403" spans="1:18" hidden="1" x14ac:dyDescent="0.3">
      <c r="A1403" t="str">
        <f>_xlfn.XLOOKUP(GERAL[[#This Row],[Dia]],U:U,T:T,"")</f>
        <v/>
      </c>
      <c r="B1403" s="1">
        <v>46229</v>
      </c>
      <c r="C1403" t="s">
        <v>21</v>
      </c>
      <c r="D1403" s="1">
        <v>46229</v>
      </c>
      <c r="E1403" t="s">
        <v>17</v>
      </c>
      <c r="Q1403" t="s">
        <v>109</v>
      </c>
      <c r="R1403" t="str">
        <f>_xlfn.XLOOKUP(GERAL[[#This Row],[Dia]],U:U,V:V,"")</f>
        <v/>
      </c>
    </row>
    <row r="1404" spans="1:18" hidden="1" x14ac:dyDescent="0.3">
      <c r="A1404" t="str">
        <f>_xlfn.XLOOKUP(GERAL[[#This Row],[Dia]],U:U,T:T,"")</f>
        <v/>
      </c>
      <c r="B1404" s="1">
        <v>46230</v>
      </c>
      <c r="C1404" t="s">
        <v>22</v>
      </c>
      <c r="D1404" s="1">
        <v>46230</v>
      </c>
      <c r="Q1404" t="s">
        <v>109</v>
      </c>
      <c r="R1404" t="str">
        <f>_xlfn.XLOOKUP(GERAL[[#This Row],[Dia]],U:U,V:V,"")</f>
        <v/>
      </c>
    </row>
    <row r="1405" spans="1:18" hidden="1" x14ac:dyDescent="0.3">
      <c r="A1405" t="str">
        <f>_xlfn.XLOOKUP(GERAL[[#This Row],[Dia]],U:U,T:T,"")</f>
        <v/>
      </c>
      <c r="B1405" s="1">
        <v>46231</v>
      </c>
      <c r="C1405" t="s">
        <v>23</v>
      </c>
      <c r="D1405" s="1">
        <v>46231</v>
      </c>
      <c r="Q1405" t="s">
        <v>109</v>
      </c>
      <c r="R1405" t="str">
        <f>_xlfn.XLOOKUP(GERAL[[#This Row],[Dia]],U:U,V:V,"")</f>
        <v/>
      </c>
    </row>
    <row r="1406" spans="1:18" hidden="1" x14ac:dyDescent="0.3">
      <c r="A1406" t="str">
        <f>_xlfn.XLOOKUP(GERAL[[#This Row],[Dia]],U:U,T:T,"")</f>
        <v/>
      </c>
      <c r="B1406" s="1">
        <v>46232</v>
      </c>
      <c r="C1406" t="s">
        <v>24</v>
      </c>
      <c r="D1406" s="1">
        <v>46232</v>
      </c>
      <c r="Q1406" t="s">
        <v>109</v>
      </c>
      <c r="R1406" t="str">
        <f>_xlfn.XLOOKUP(GERAL[[#This Row],[Dia]],U:U,V:V,"")</f>
        <v/>
      </c>
    </row>
    <row r="1407" spans="1:18" hidden="1" x14ac:dyDescent="0.3">
      <c r="A1407" t="str">
        <f>_xlfn.XLOOKUP(GERAL[[#This Row],[Dia]],U:U,T:T,"")</f>
        <v/>
      </c>
      <c r="B1407" s="1">
        <v>46233</v>
      </c>
      <c r="C1407" t="s">
        <v>25</v>
      </c>
      <c r="D1407" s="1">
        <v>46233</v>
      </c>
      <c r="Q1407" t="s">
        <v>109</v>
      </c>
      <c r="R1407" t="str">
        <f>_xlfn.XLOOKUP(GERAL[[#This Row],[Dia]],U:U,V:V,"")</f>
        <v/>
      </c>
    </row>
    <row r="1408" spans="1:18" hidden="1" x14ac:dyDescent="0.3">
      <c r="A1408" t="str">
        <f>_xlfn.XLOOKUP(GERAL[[#This Row],[Dia]],U:U,T:T,"")</f>
        <v/>
      </c>
      <c r="B1408" s="1">
        <v>46234</v>
      </c>
      <c r="C1408" t="s">
        <v>26</v>
      </c>
      <c r="D1408" s="1">
        <v>46234</v>
      </c>
      <c r="Q1408" t="s">
        <v>109</v>
      </c>
      <c r="R1408" t="str">
        <f>_xlfn.XLOOKUP(GERAL[[#This Row],[Dia]],U:U,V:V,"")</f>
        <v/>
      </c>
    </row>
    <row r="1409" spans="1:18" hidden="1" x14ac:dyDescent="0.3">
      <c r="A1409" t="str">
        <f>_xlfn.XLOOKUP(GERAL[[#This Row],[Dia]],U:U,T:T,"")</f>
        <v/>
      </c>
      <c r="B1409" s="1">
        <v>46235</v>
      </c>
      <c r="C1409" t="s">
        <v>16</v>
      </c>
      <c r="D1409" s="1">
        <v>46235</v>
      </c>
      <c r="E1409" t="s">
        <v>17</v>
      </c>
      <c r="Q1409" t="s">
        <v>109</v>
      </c>
      <c r="R1409" t="str">
        <f>_xlfn.XLOOKUP(GERAL[[#This Row],[Dia]],U:U,V:V,"")</f>
        <v/>
      </c>
    </row>
    <row r="1410" spans="1:18" hidden="1" x14ac:dyDescent="0.3">
      <c r="A1410" t="str">
        <f>_xlfn.XLOOKUP(GERAL[[#This Row],[Dia]],U:U,T:T,"")</f>
        <v/>
      </c>
      <c r="B1410" s="1">
        <v>46236</v>
      </c>
      <c r="C1410" t="s">
        <v>21</v>
      </c>
      <c r="D1410" s="1">
        <v>46236</v>
      </c>
      <c r="E1410" t="s">
        <v>17</v>
      </c>
      <c r="Q1410" t="s">
        <v>109</v>
      </c>
      <c r="R1410" t="str">
        <f>_xlfn.XLOOKUP(GERAL[[#This Row],[Dia]],U:U,V:V,"")</f>
        <v/>
      </c>
    </row>
    <row r="1411" spans="1:18" hidden="1" x14ac:dyDescent="0.3">
      <c r="A1411" t="str">
        <f>_xlfn.XLOOKUP(GERAL[[#This Row],[Dia]],U:U,T:T,"")</f>
        <v/>
      </c>
      <c r="B1411" s="1">
        <v>46237</v>
      </c>
      <c r="C1411" t="s">
        <v>22</v>
      </c>
      <c r="D1411" s="1">
        <v>46237</v>
      </c>
      <c r="Q1411" t="s">
        <v>109</v>
      </c>
      <c r="R1411" t="str">
        <f>_xlfn.XLOOKUP(GERAL[[#This Row],[Dia]],U:U,V:V,"")</f>
        <v/>
      </c>
    </row>
    <row r="1412" spans="1:18" hidden="1" x14ac:dyDescent="0.3">
      <c r="A1412" t="str">
        <f>_xlfn.XLOOKUP(GERAL[[#This Row],[Dia]],U:U,T:T,"")</f>
        <v/>
      </c>
      <c r="B1412" s="1">
        <v>46238</v>
      </c>
      <c r="C1412" t="s">
        <v>23</v>
      </c>
      <c r="D1412" s="1">
        <v>46238</v>
      </c>
      <c r="Q1412" t="s">
        <v>109</v>
      </c>
      <c r="R1412" t="str">
        <f>_xlfn.XLOOKUP(GERAL[[#This Row],[Dia]],U:U,V:V,"")</f>
        <v/>
      </c>
    </row>
    <row r="1413" spans="1:18" hidden="1" x14ac:dyDescent="0.3">
      <c r="A1413" t="str">
        <f>_xlfn.XLOOKUP(GERAL[[#This Row],[Dia]],U:U,T:T,"")</f>
        <v/>
      </c>
      <c r="B1413" s="1">
        <v>46239</v>
      </c>
      <c r="C1413" t="s">
        <v>24</v>
      </c>
      <c r="D1413" s="1">
        <v>46239</v>
      </c>
      <c r="Q1413" t="s">
        <v>109</v>
      </c>
      <c r="R1413" t="str">
        <f>_xlfn.XLOOKUP(GERAL[[#This Row],[Dia]],U:U,V:V,"")</f>
        <v/>
      </c>
    </row>
    <row r="1414" spans="1:18" hidden="1" x14ac:dyDescent="0.3">
      <c r="A1414" t="str">
        <f>_xlfn.XLOOKUP(GERAL[[#This Row],[Dia]],U:U,T:T,"")</f>
        <v/>
      </c>
      <c r="B1414" s="1">
        <v>46240</v>
      </c>
      <c r="C1414" t="s">
        <v>25</v>
      </c>
      <c r="D1414" s="1">
        <v>46240</v>
      </c>
      <c r="Q1414" t="s">
        <v>109</v>
      </c>
      <c r="R1414" t="str">
        <f>_xlfn.XLOOKUP(GERAL[[#This Row],[Dia]],U:U,V:V,"")</f>
        <v/>
      </c>
    </row>
    <row r="1415" spans="1:18" hidden="1" x14ac:dyDescent="0.3">
      <c r="A1415" t="str">
        <f>_xlfn.XLOOKUP(GERAL[[#This Row],[Dia]],U:U,T:T,"")</f>
        <v/>
      </c>
      <c r="B1415" s="1">
        <v>46241</v>
      </c>
      <c r="C1415" t="s">
        <v>26</v>
      </c>
      <c r="D1415" s="1">
        <v>46241</v>
      </c>
      <c r="Q1415" t="s">
        <v>109</v>
      </c>
      <c r="R1415" t="str">
        <f>_xlfn.XLOOKUP(GERAL[[#This Row],[Dia]],U:U,V:V,"")</f>
        <v/>
      </c>
    </row>
    <row r="1416" spans="1:18" hidden="1" x14ac:dyDescent="0.3">
      <c r="A1416" t="str">
        <f>_xlfn.XLOOKUP(GERAL[[#This Row],[Dia]],U:U,T:T,"")</f>
        <v/>
      </c>
      <c r="B1416" s="1">
        <v>46242</v>
      </c>
      <c r="C1416" t="s">
        <v>16</v>
      </c>
      <c r="D1416" s="1">
        <v>46242</v>
      </c>
      <c r="E1416" t="s">
        <v>17</v>
      </c>
      <c r="Q1416" t="s">
        <v>109</v>
      </c>
      <c r="R1416" t="str">
        <f>_xlfn.XLOOKUP(GERAL[[#This Row],[Dia]],U:U,V:V,"")</f>
        <v/>
      </c>
    </row>
    <row r="1417" spans="1:18" hidden="1" x14ac:dyDescent="0.3">
      <c r="A1417" t="str">
        <f>_xlfn.XLOOKUP(GERAL[[#This Row],[Dia]],U:U,T:T,"")</f>
        <v/>
      </c>
      <c r="B1417" s="1">
        <v>46243</v>
      </c>
      <c r="C1417" t="s">
        <v>21</v>
      </c>
      <c r="D1417" s="1">
        <v>46243</v>
      </c>
      <c r="E1417" t="s">
        <v>17</v>
      </c>
      <c r="Q1417" t="s">
        <v>109</v>
      </c>
      <c r="R1417" t="str">
        <f>_xlfn.XLOOKUP(GERAL[[#This Row],[Dia]],U:U,V:V,"")</f>
        <v/>
      </c>
    </row>
    <row r="1418" spans="1:18" hidden="1" x14ac:dyDescent="0.3">
      <c r="A1418" t="str">
        <f>_xlfn.XLOOKUP(GERAL[[#This Row],[Dia]],U:U,T:T,"")</f>
        <v/>
      </c>
      <c r="B1418" s="1">
        <v>46244</v>
      </c>
      <c r="C1418" t="s">
        <v>22</v>
      </c>
      <c r="D1418" s="1">
        <v>46244</v>
      </c>
      <c r="Q1418" t="s">
        <v>109</v>
      </c>
      <c r="R1418" t="str">
        <f>_xlfn.XLOOKUP(GERAL[[#This Row],[Dia]],U:U,V:V,"")</f>
        <v/>
      </c>
    </row>
    <row r="1419" spans="1:18" hidden="1" x14ac:dyDescent="0.3">
      <c r="A1419" t="str">
        <f>_xlfn.XLOOKUP(GERAL[[#This Row],[Dia]],U:U,T:T,"")</f>
        <v/>
      </c>
      <c r="B1419" s="1">
        <v>46245</v>
      </c>
      <c r="C1419" t="s">
        <v>23</v>
      </c>
      <c r="D1419" s="1">
        <v>46245</v>
      </c>
      <c r="Q1419" t="s">
        <v>109</v>
      </c>
      <c r="R1419" t="str">
        <f>_xlfn.XLOOKUP(GERAL[[#This Row],[Dia]],U:U,V:V,"")</f>
        <v/>
      </c>
    </row>
    <row r="1420" spans="1:18" hidden="1" x14ac:dyDescent="0.3">
      <c r="A1420" t="str">
        <f>_xlfn.XLOOKUP(GERAL[[#This Row],[Dia]],U:U,T:T,"")</f>
        <v/>
      </c>
      <c r="B1420" s="1">
        <v>46246</v>
      </c>
      <c r="C1420" t="s">
        <v>24</v>
      </c>
      <c r="D1420" s="1">
        <v>46246</v>
      </c>
      <c r="Q1420" t="s">
        <v>109</v>
      </c>
      <c r="R1420" t="str">
        <f>_xlfn.XLOOKUP(GERAL[[#This Row],[Dia]],U:U,V:V,"")</f>
        <v/>
      </c>
    </row>
    <row r="1421" spans="1:18" hidden="1" x14ac:dyDescent="0.3">
      <c r="A1421" t="str">
        <f>_xlfn.XLOOKUP(GERAL[[#This Row],[Dia]],U:U,T:T,"")</f>
        <v/>
      </c>
      <c r="B1421" s="1">
        <v>46247</v>
      </c>
      <c r="C1421" t="s">
        <v>25</v>
      </c>
      <c r="D1421" s="1">
        <v>46247</v>
      </c>
      <c r="Q1421" t="s">
        <v>109</v>
      </c>
      <c r="R1421" t="str">
        <f>_xlfn.XLOOKUP(GERAL[[#This Row],[Dia]],U:U,V:V,"")</f>
        <v/>
      </c>
    </row>
    <row r="1422" spans="1:18" hidden="1" x14ac:dyDescent="0.3">
      <c r="A1422" t="str">
        <f>_xlfn.XLOOKUP(GERAL[[#This Row],[Dia]],U:U,T:T,"")</f>
        <v/>
      </c>
      <c r="B1422" s="1">
        <v>46248</v>
      </c>
      <c r="C1422" t="s">
        <v>26</v>
      </c>
      <c r="D1422" s="1">
        <v>46248</v>
      </c>
      <c r="Q1422" t="s">
        <v>109</v>
      </c>
      <c r="R1422" t="str">
        <f>_xlfn.XLOOKUP(GERAL[[#This Row],[Dia]],U:U,V:V,"")</f>
        <v/>
      </c>
    </row>
    <row r="1423" spans="1:18" hidden="1" x14ac:dyDescent="0.3">
      <c r="A1423" t="str">
        <f>_xlfn.XLOOKUP(GERAL[[#This Row],[Dia]],U:U,T:T,"")</f>
        <v/>
      </c>
      <c r="B1423" s="1">
        <v>46249</v>
      </c>
      <c r="C1423" t="s">
        <v>16</v>
      </c>
      <c r="D1423" s="1">
        <v>46249</v>
      </c>
      <c r="E1423" t="s">
        <v>17</v>
      </c>
      <c r="Q1423" t="s">
        <v>109</v>
      </c>
      <c r="R1423" t="str">
        <f>_xlfn.XLOOKUP(GERAL[[#This Row],[Dia]],U:U,V:V,"")</f>
        <v/>
      </c>
    </row>
    <row r="1424" spans="1:18" hidden="1" x14ac:dyDescent="0.3">
      <c r="A1424" t="str">
        <f>_xlfn.XLOOKUP(GERAL[[#This Row],[Dia]],U:U,T:T,"")</f>
        <v/>
      </c>
      <c r="B1424" s="1">
        <v>46250</v>
      </c>
      <c r="C1424" t="s">
        <v>21</v>
      </c>
      <c r="D1424" s="1">
        <v>46250</v>
      </c>
      <c r="E1424" t="s">
        <v>17</v>
      </c>
      <c r="Q1424" t="s">
        <v>109</v>
      </c>
      <c r="R1424" t="str">
        <f>_xlfn.XLOOKUP(GERAL[[#This Row],[Dia]],U:U,V:V,"")</f>
        <v/>
      </c>
    </row>
    <row r="1425" spans="1:18" hidden="1" x14ac:dyDescent="0.3">
      <c r="A1425" t="str">
        <f>_xlfn.XLOOKUP(GERAL[[#This Row],[Dia]],U:U,T:T,"")</f>
        <v/>
      </c>
      <c r="B1425" s="1">
        <v>46251</v>
      </c>
      <c r="C1425" t="s">
        <v>22</v>
      </c>
      <c r="D1425" s="1">
        <v>46251</v>
      </c>
      <c r="Q1425" t="s">
        <v>109</v>
      </c>
      <c r="R1425" t="str">
        <f>_xlfn.XLOOKUP(GERAL[[#This Row],[Dia]],U:U,V:V,"")</f>
        <v/>
      </c>
    </row>
    <row r="1426" spans="1:18" hidden="1" x14ac:dyDescent="0.3">
      <c r="A1426" t="str">
        <f>_xlfn.XLOOKUP(GERAL[[#This Row],[Dia]],U:U,T:T,"")</f>
        <v/>
      </c>
      <c r="B1426" s="1">
        <v>46252</v>
      </c>
      <c r="C1426" t="s">
        <v>23</v>
      </c>
      <c r="D1426" s="1">
        <v>46252</v>
      </c>
      <c r="Q1426" t="s">
        <v>109</v>
      </c>
      <c r="R1426" t="str">
        <f>_xlfn.XLOOKUP(GERAL[[#This Row],[Dia]],U:U,V:V,"")</f>
        <v/>
      </c>
    </row>
    <row r="1427" spans="1:18" hidden="1" x14ac:dyDescent="0.3">
      <c r="A1427" t="str">
        <f>_xlfn.XLOOKUP(GERAL[[#This Row],[Dia]],U:U,T:T,"")</f>
        <v/>
      </c>
      <c r="B1427" s="1">
        <v>46253</v>
      </c>
      <c r="C1427" t="s">
        <v>24</v>
      </c>
      <c r="D1427" s="1">
        <v>46253</v>
      </c>
      <c r="Q1427" t="s">
        <v>109</v>
      </c>
      <c r="R1427" t="str">
        <f>_xlfn.XLOOKUP(GERAL[[#This Row],[Dia]],U:U,V:V,"")</f>
        <v/>
      </c>
    </row>
    <row r="1428" spans="1:18" hidden="1" x14ac:dyDescent="0.3">
      <c r="A1428" t="str">
        <f>_xlfn.XLOOKUP(GERAL[[#This Row],[Dia]],U:U,T:T,"")</f>
        <v/>
      </c>
      <c r="B1428" s="1">
        <v>46254</v>
      </c>
      <c r="C1428" t="s">
        <v>25</v>
      </c>
      <c r="D1428" s="1">
        <v>46254</v>
      </c>
      <c r="Q1428" t="s">
        <v>109</v>
      </c>
      <c r="R1428" t="str">
        <f>_xlfn.XLOOKUP(GERAL[[#This Row],[Dia]],U:U,V:V,"")</f>
        <v/>
      </c>
    </row>
    <row r="1429" spans="1:18" hidden="1" x14ac:dyDescent="0.3">
      <c r="A1429" t="str">
        <f>_xlfn.XLOOKUP(GERAL[[#This Row],[Dia]],U:U,T:T,"")</f>
        <v/>
      </c>
      <c r="B1429" s="1">
        <v>46255</v>
      </c>
      <c r="C1429" t="s">
        <v>26</v>
      </c>
      <c r="D1429" s="1">
        <v>46255</v>
      </c>
      <c r="Q1429" t="s">
        <v>109</v>
      </c>
      <c r="R1429" t="str">
        <f>_xlfn.XLOOKUP(GERAL[[#This Row],[Dia]],U:U,V:V,"")</f>
        <v/>
      </c>
    </row>
    <row r="1430" spans="1:18" hidden="1" x14ac:dyDescent="0.3">
      <c r="A1430" t="str">
        <f>_xlfn.XLOOKUP(GERAL[[#This Row],[Dia]],U:U,T:T,"")</f>
        <v/>
      </c>
      <c r="B1430" s="1">
        <v>46256</v>
      </c>
      <c r="C1430" t="s">
        <v>16</v>
      </c>
      <c r="D1430" s="1">
        <v>46256</v>
      </c>
      <c r="E1430" t="s">
        <v>17</v>
      </c>
      <c r="Q1430" t="s">
        <v>109</v>
      </c>
      <c r="R1430" t="str">
        <f>_xlfn.XLOOKUP(GERAL[[#This Row],[Dia]],U:U,V:V,"")</f>
        <v/>
      </c>
    </row>
    <row r="1431" spans="1:18" hidden="1" x14ac:dyDescent="0.3">
      <c r="A1431" t="str">
        <f>_xlfn.XLOOKUP(GERAL[[#This Row],[Dia]],U:U,T:T,"")</f>
        <v/>
      </c>
      <c r="B1431" s="1">
        <v>46257</v>
      </c>
      <c r="C1431" t="s">
        <v>21</v>
      </c>
      <c r="D1431" s="1">
        <v>46257</v>
      </c>
      <c r="E1431" t="s">
        <v>17</v>
      </c>
      <c r="Q1431" t="s">
        <v>109</v>
      </c>
      <c r="R1431" t="str">
        <f>_xlfn.XLOOKUP(GERAL[[#This Row],[Dia]],U:U,V:V,"")</f>
        <v/>
      </c>
    </row>
    <row r="1432" spans="1:18" hidden="1" x14ac:dyDescent="0.3">
      <c r="A1432" t="str">
        <f>_xlfn.XLOOKUP(GERAL[[#This Row],[Dia]],U:U,T:T,"")</f>
        <v/>
      </c>
      <c r="B1432" s="1">
        <v>46258</v>
      </c>
      <c r="C1432" t="s">
        <v>22</v>
      </c>
      <c r="D1432" s="1">
        <v>46258</v>
      </c>
      <c r="Q1432" t="s">
        <v>109</v>
      </c>
      <c r="R1432" t="str">
        <f>_xlfn.XLOOKUP(GERAL[[#This Row],[Dia]],U:U,V:V,"")</f>
        <v/>
      </c>
    </row>
    <row r="1433" spans="1:18" hidden="1" x14ac:dyDescent="0.3">
      <c r="A1433" t="str">
        <f>_xlfn.XLOOKUP(GERAL[[#This Row],[Dia]],U:U,T:T,"")</f>
        <v/>
      </c>
      <c r="B1433" s="1">
        <v>46259</v>
      </c>
      <c r="C1433" t="s">
        <v>23</v>
      </c>
      <c r="D1433" s="1">
        <v>46259</v>
      </c>
      <c r="Q1433" t="s">
        <v>109</v>
      </c>
      <c r="R1433" t="str">
        <f>_xlfn.XLOOKUP(GERAL[[#This Row],[Dia]],U:U,V:V,"")</f>
        <v/>
      </c>
    </row>
    <row r="1434" spans="1:18" hidden="1" x14ac:dyDescent="0.3">
      <c r="A1434" t="str">
        <f>_xlfn.XLOOKUP(GERAL[[#This Row],[Dia]],U:U,T:T,"")</f>
        <v/>
      </c>
      <c r="B1434" s="1">
        <v>46260</v>
      </c>
      <c r="C1434" t="s">
        <v>24</v>
      </c>
      <c r="D1434" s="1">
        <v>46260</v>
      </c>
      <c r="Q1434" t="s">
        <v>109</v>
      </c>
      <c r="R1434" t="str">
        <f>_xlfn.XLOOKUP(GERAL[[#This Row],[Dia]],U:U,V:V,"")</f>
        <v/>
      </c>
    </row>
    <row r="1435" spans="1:18" hidden="1" x14ac:dyDescent="0.3">
      <c r="A1435" t="str">
        <f>_xlfn.XLOOKUP(GERAL[[#This Row],[Dia]],U:U,T:T,"")</f>
        <v/>
      </c>
      <c r="B1435" s="1">
        <v>46261</v>
      </c>
      <c r="C1435" t="s">
        <v>25</v>
      </c>
      <c r="D1435" s="1">
        <v>46261</v>
      </c>
      <c r="Q1435" t="s">
        <v>109</v>
      </c>
      <c r="R1435" t="str">
        <f>_xlfn.XLOOKUP(GERAL[[#This Row],[Dia]],U:U,V:V,"")</f>
        <v/>
      </c>
    </row>
    <row r="1436" spans="1:18" hidden="1" x14ac:dyDescent="0.3">
      <c r="A1436" t="str">
        <f>_xlfn.XLOOKUP(GERAL[[#This Row],[Dia]],U:U,T:T,"")</f>
        <v/>
      </c>
      <c r="B1436" s="1">
        <v>46262</v>
      </c>
      <c r="C1436" t="s">
        <v>26</v>
      </c>
      <c r="D1436" s="1">
        <v>46262</v>
      </c>
      <c r="Q1436" t="s">
        <v>109</v>
      </c>
      <c r="R1436" t="str">
        <f>_xlfn.XLOOKUP(GERAL[[#This Row],[Dia]],U:U,V:V,"")</f>
        <v/>
      </c>
    </row>
    <row r="1437" spans="1:18" hidden="1" x14ac:dyDescent="0.3">
      <c r="A1437" t="str">
        <f>_xlfn.XLOOKUP(GERAL[[#This Row],[Dia]],U:U,T:T,"")</f>
        <v/>
      </c>
      <c r="B1437" s="1">
        <v>46263</v>
      </c>
      <c r="C1437" t="s">
        <v>16</v>
      </c>
      <c r="D1437" s="1">
        <v>46263</v>
      </c>
      <c r="E1437" t="s">
        <v>17</v>
      </c>
      <c r="Q1437" t="s">
        <v>109</v>
      </c>
      <c r="R1437" t="str">
        <f>_xlfn.XLOOKUP(GERAL[[#This Row],[Dia]],U:U,V:V,"")</f>
        <v/>
      </c>
    </row>
    <row r="1438" spans="1:18" hidden="1" x14ac:dyDescent="0.3">
      <c r="A1438" t="str">
        <f>_xlfn.XLOOKUP(GERAL[[#This Row],[Dia]],U:U,T:T,"")</f>
        <v/>
      </c>
      <c r="B1438" s="1">
        <v>46264</v>
      </c>
      <c r="C1438" t="s">
        <v>21</v>
      </c>
      <c r="D1438" s="1">
        <v>46264</v>
      </c>
      <c r="E1438" t="s">
        <v>17</v>
      </c>
      <c r="Q1438" t="s">
        <v>109</v>
      </c>
      <c r="R1438" t="str">
        <f>_xlfn.XLOOKUP(GERAL[[#This Row],[Dia]],U:U,V:V,"")</f>
        <v/>
      </c>
    </row>
    <row r="1439" spans="1:18" hidden="1" x14ac:dyDescent="0.3">
      <c r="A1439" t="str">
        <f>_xlfn.XLOOKUP(GERAL[[#This Row],[Dia]],U:U,T:T,"")</f>
        <v/>
      </c>
      <c r="B1439" s="1">
        <v>46265</v>
      </c>
      <c r="C1439" t="s">
        <v>22</v>
      </c>
      <c r="D1439" s="1">
        <v>46265</v>
      </c>
      <c r="Q1439" t="s">
        <v>109</v>
      </c>
      <c r="R1439" t="str">
        <f>_xlfn.XLOOKUP(GERAL[[#This Row],[Dia]],U:U,V:V,"")</f>
        <v/>
      </c>
    </row>
    <row r="1440" spans="1:18" hidden="1" x14ac:dyDescent="0.3">
      <c r="A1440" t="str">
        <f>_xlfn.XLOOKUP(GERAL[[#This Row],[Dia]],U:U,T:T,"")</f>
        <v/>
      </c>
      <c r="B1440" s="1">
        <v>46266</v>
      </c>
      <c r="C1440" t="s">
        <v>23</v>
      </c>
      <c r="D1440" s="1">
        <v>46266</v>
      </c>
      <c r="Q1440" t="s">
        <v>109</v>
      </c>
      <c r="R1440" t="str">
        <f>_xlfn.XLOOKUP(GERAL[[#This Row],[Dia]],U:U,V:V,"")</f>
        <v/>
      </c>
    </row>
    <row r="1441" spans="1:18" hidden="1" x14ac:dyDescent="0.3">
      <c r="A1441" t="str">
        <f>_xlfn.XLOOKUP(GERAL[[#This Row],[Dia]],U:U,T:T,"")</f>
        <v/>
      </c>
      <c r="B1441" s="1">
        <v>46267</v>
      </c>
      <c r="C1441" t="s">
        <v>24</v>
      </c>
      <c r="D1441" s="1">
        <v>46267</v>
      </c>
      <c r="Q1441" t="s">
        <v>109</v>
      </c>
      <c r="R1441" t="str">
        <f>_xlfn.XLOOKUP(GERAL[[#This Row],[Dia]],U:U,V:V,"")</f>
        <v/>
      </c>
    </row>
    <row r="1442" spans="1:18" hidden="1" x14ac:dyDescent="0.3">
      <c r="A1442" t="str">
        <f>_xlfn.XLOOKUP(GERAL[[#This Row],[Dia]],U:U,T:T,"")</f>
        <v/>
      </c>
      <c r="B1442" s="1">
        <v>46268</v>
      </c>
      <c r="C1442" t="s">
        <v>25</v>
      </c>
      <c r="D1442" s="1">
        <v>46268</v>
      </c>
      <c r="Q1442" t="s">
        <v>109</v>
      </c>
      <c r="R1442" t="str">
        <f>_xlfn.XLOOKUP(GERAL[[#This Row],[Dia]],U:U,V:V,"")</f>
        <v/>
      </c>
    </row>
    <row r="1443" spans="1:18" hidden="1" x14ac:dyDescent="0.3">
      <c r="A1443" t="str">
        <f>_xlfn.XLOOKUP(GERAL[[#This Row],[Dia]],U:U,T:T,"")</f>
        <v/>
      </c>
      <c r="B1443" s="1">
        <v>46269</v>
      </c>
      <c r="C1443" t="s">
        <v>26</v>
      </c>
      <c r="D1443" s="1">
        <v>46269</v>
      </c>
      <c r="Q1443" t="s">
        <v>109</v>
      </c>
      <c r="R1443" t="str">
        <f>_xlfn.XLOOKUP(GERAL[[#This Row],[Dia]],U:U,V:V,"")</f>
        <v/>
      </c>
    </row>
    <row r="1444" spans="1:18" hidden="1" x14ac:dyDescent="0.3">
      <c r="A1444" t="str">
        <f>_xlfn.XLOOKUP(GERAL[[#This Row],[Dia]],U:U,T:T,"")</f>
        <v/>
      </c>
      <c r="B1444" s="1">
        <v>46270</v>
      </c>
      <c r="C1444" t="s">
        <v>16</v>
      </c>
      <c r="D1444" s="1">
        <v>46270</v>
      </c>
      <c r="E1444" t="s">
        <v>17</v>
      </c>
      <c r="Q1444" t="s">
        <v>109</v>
      </c>
      <c r="R1444" t="str">
        <f>_xlfn.XLOOKUP(GERAL[[#This Row],[Dia]],U:U,V:V,"")</f>
        <v/>
      </c>
    </row>
    <row r="1445" spans="1:18" hidden="1" x14ac:dyDescent="0.3">
      <c r="A1445" t="str">
        <f>_xlfn.XLOOKUP(GERAL[[#This Row],[Dia]],U:U,T:T,"")</f>
        <v/>
      </c>
      <c r="B1445" s="1">
        <v>46271</v>
      </c>
      <c r="C1445" t="s">
        <v>21</v>
      </c>
      <c r="D1445" s="1">
        <v>46271</v>
      </c>
      <c r="E1445" t="s">
        <v>17</v>
      </c>
      <c r="Q1445" t="s">
        <v>109</v>
      </c>
      <c r="R1445" t="str">
        <f>_xlfn.XLOOKUP(GERAL[[#This Row],[Dia]],U:U,V:V,"")</f>
        <v/>
      </c>
    </row>
    <row r="1446" spans="1:18" hidden="1" x14ac:dyDescent="0.3">
      <c r="A1446" t="str">
        <f>_xlfn.XLOOKUP(GERAL[[#This Row],[Dia]],U:U,T:T,"")</f>
        <v/>
      </c>
      <c r="B1446" s="1">
        <v>46272</v>
      </c>
      <c r="C1446" t="s">
        <v>22</v>
      </c>
      <c r="D1446" s="1">
        <v>46272</v>
      </c>
      <c r="Q1446" t="s">
        <v>109</v>
      </c>
      <c r="R1446" t="str">
        <f>_xlfn.XLOOKUP(GERAL[[#This Row],[Dia]],U:U,V:V,"")</f>
        <v/>
      </c>
    </row>
    <row r="1447" spans="1:18" hidden="1" x14ac:dyDescent="0.3">
      <c r="A1447" t="str">
        <f>_xlfn.XLOOKUP(GERAL[[#This Row],[Dia]],U:U,T:T,"")</f>
        <v/>
      </c>
      <c r="B1447" s="1">
        <v>46273</v>
      </c>
      <c r="C1447" t="s">
        <v>23</v>
      </c>
      <c r="D1447" s="1">
        <v>46273</v>
      </c>
      <c r="Q1447" t="s">
        <v>109</v>
      </c>
      <c r="R1447" t="str">
        <f>_xlfn.XLOOKUP(GERAL[[#This Row],[Dia]],U:U,V:V,"")</f>
        <v/>
      </c>
    </row>
    <row r="1448" spans="1:18" hidden="1" x14ac:dyDescent="0.3">
      <c r="A1448" t="str">
        <f>_xlfn.XLOOKUP(GERAL[[#This Row],[Dia]],U:U,T:T,"")</f>
        <v/>
      </c>
      <c r="B1448" s="1">
        <v>46274</v>
      </c>
      <c r="C1448" t="s">
        <v>24</v>
      </c>
      <c r="D1448" s="1">
        <v>46274</v>
      </c>
      <c r="Q1448" t="s">
        <v>109</v>
      </c>
      <c r="R1448" t="str">
        <f>_xlfn.XLOOKUP(GERAL[[#This Row],[Dia]],U:U,V:V,"")</f>
        <v/>
      </c>
    </row>
    <row r="1449" spans="1:18" hidden="1" x14ac:dyDescent="0.3">
      <c r="A1449" t="str">
        <f>_xlfn.XLOOKUP(GERAL[[#This Row],[Dia]],U:U,T:T,"")</f>
        <v/>
      </c>
      <c r="B1449" s="1">
        <v>46275</v>
      </c>
      <c r="C1449" t="s">
        <v>25</v>
      </c>
      <c r="D1449" s="1">
        <v>46275</v>
      </c>
      <c r="Q1449" t="s">
        <v>109</v>
      </c>
      <c r="R1449" t="str">
        <f>_xlfn.XLOOKUP(GERAL[[#This Row],[Dia]],U:U,V:V,"")</f>
        <v/>
      </c>
    </row>
    <row r="1450" spans="1:18" hidden="1" x14ac:dyDescent="0.3">
      <c r="A1450" t="str">
        <f>_xlfn.XLOOKUP(GERAL[[#This Row],[Dia]],U:U,T:T,"")</f>
        <v/>
      </c>
      <c r="B1450" s="1">
        <v>46276</v>
      </c>
      <c r="C1450" t="s">
        <v>26</v>
      </c>
      <c r="D1450" s="1">
        <v>46276</v>
      </c>
      <c r="Q1450" t="s">
        <v>109</v>
      </c>
      <c r="R1450" t="str">
        <f>_xlfn.XLOOKUP(GERAL[[#This Row],[Dia]],U:U,V:V,"")</f>
        <v/>
      </c>
    </row>
    <row r="1451" spans="1:18" hidden="1" x14ac:dyDescent="0.3">
      <c r="A1451" t="str">
        <f>_xlfn.XLOOKUP(GERAL[[#This Row],[Dia]],U:U,T:T,"")</f>
        <v/>
      </c>
      <c r="B1451" s="1">
        <v>46277</v>
      </c>
      <c r="C1451" t="s">
        <v>16</v>
      </c>
      <c r="D1451" s="1">
        <v>46277</v>
      </c>
      <c r="E1451" t="s">
        <v>17</v>
      </c>
      <c r="Q1451" t="s">
        <v>109</v>
      </c>
      <c r="R1451" t="str">
        <f>_xlfn.XLOOKUP(GERAL[[#This Row],[Dia]],U:U,V:V,"")</f>
        <v/>
      </c>
    </row>
    <row r="1452" spans="1:18" hidden="1" x14ac:dyDescent="0.3">
      <c r="A1452" t="str">
        <f>_xlfn.XLOOKUP(GERAL[[#This Row],[Dia]],U:U,T:T,"")</f>
        <v/>
      </c>
      <c r="B1452" s="1">
        <v>46278</v>
      </c>
      <c r="C1452" t="s">
        <v>21</v>
      </c>
      <c r="D1452" s="1">
        <v>46278</v>
      </c>
      <c r="E1452" t="s">
        <v>17</v>
      </c>
      <c r="Q1452" t="s">
        <v>109</v>
      </c>
      <c r="R1452" t="str">
        <f>_xlfn.XLOOKUP(GERAL[[#This Row],[Dia]],U:U,V:V,"")</f>
        <v/>
      </c>
    </row>
    <row r="1453" spans="1:18" hidden="1" x14ac:dyDescent="0.3">
      <c r="A1453" t="str">
        <f>_xlfn.XLOOKUP(GERAL[[#This Row],[Dia]],U:U,T:T,"")</f>
        <v/>
      </c>
      <c r="B1453" s="1">
        <v>46279</v>
      </c>
      <c r="C1453" t="s">
        <v>22</v>
      </c>
      <c r="D1453" s="1">
        <v>46279</v>
      </c>
      <c r="Q1453" t="s">
        <v>109</v>
      </c>
      <c r="R1453" t="str">
        <f>_xlfn.XLOOKUP(GERAL[[#This Row],[Dia]],U:U,V:V,"")</f>
        <v/>
      </c>
    </row>
    <row r="1454" spans="1:18" hidden="1" x14ac:dyDescent="0.3">
      <c r="A1454" t="str">
        <f>_xlfn.XLOOKUP(GERAL[[#This Row],[Dia]],U:U,T:T,"")</f>
        <v/>
      </c>
      <c r="B1454" s="1">
        <v>46280</v>
      </c>
      <c r="C1454" t="s">
        <v>23</v>
      </c>
      <c r="D1454" s="1">
        <v>46280</v>
      </c>
      <c r="Q1454" t="s">
        <v>109</v>
      </c>
      <c r="R1454" t="str">
        <f>_xlfn.XLOOKUP(GERAL[[#This Row],[Dia]],U:U,V:V,"")</f>
        <v/>
      </c>
    </row>
    <row r="1455" spans="1:18" hidden="1" x14ac:dyDescent="0.3">
      <c r="A1455" t="str">
        <f>_xlfn.XLOOKUP(GERAL[[#This Row],[Dia]],U:U,T:T,"")</f>
        <v/>
      </c>
      <c r="B1455" s="1">
        <v>46281</v>
      </c>
      <c r="C1455" t="s">
        <v>24</v>
      </c>
      <c r="D1455" s="1">
        <v>46281</v>
      </c>
      <c r="Q1455" t="s">
        <v>109</v>
      </c>
      <c r="R1455" t="str">
        <f>_xlfn.XLOOKUP(GERAL[[#This Row],[Dia]],U:U,V:V,"")</f>
        <v/>
      </c>
    </row>
    <row r="1456" spans="1:18" hidden="1" x14ac:dyDescent="0.3">
      <c r="A1456" t="str">
        <f>_xlfn.XLOOKUP(GERAL[[#This Row],[Dia]],U:U,T:T,"")</f>
        <v/>
      </c>
      <c r="B1456" s="1">
        <v>46282</v>
      </c>
      <c r="C1456" t="s">
        <v>25</v>
      </c>
      <c r="D1456" s="1">
        <v>46282</v>
      </c>
      <c r="Q1456" t="s">
        <v>109</v>
      </c>
      <c r="R1456" t="str">
        <f>_xlfn.XLOOKUP(GERAL[[#This Row],[Dia]],U:U,V:V,"")</f>
        <v/>
      </c>
    </row>
    <row r="1457" spans="1:18" hidden="1" x14ac:dyDescent="0.3">
      <c r="A1457" t="str">
        <f>_xlfn.XLOOKUP(GERAL[[#This Row],[Dia]],U:U,T:T,"")</f>
        <v/>
      </c>
      <c r="B1457" s="1">
        <v>46283</v>
      </c>
      <c r="C1457" t="s">
        <v>26</v>
      </c>
      <c r="D1457" s="1">
        <v>46283</v>
      </c>
      <c r="Q1457" t="s">
        <v>109</v>
      </c>
      <c r="R1457" t="str">
        <f>_xlfn.XLOOKUP(GERAL[[#This Row],[Dia]],U:U,V:V,"")</f>
        <v/>
      </c>
    </row>
    <row r="1458" spans="1:18" hidden="1" x14ac:dyDescent="0.3">
      <c r="A1458" t="str">
        <f>_xlfn.XLOOKUP(GERAL[[#This Row],[Dia]],U:U,T:T,"")</f>
        <v/>
      </c>
      <c r="B1458" s="1">
        <v>46284</v>
      </c>
      <c r="C1458" t="s">
        <v>16</v>
      </c>
      <c r="D1458" s="1">
        <v>46284</v>
      </c>
      <c r="E1458" t="s">
        <v>17</v>
      </c>
      <c r="Q1458" t="s">
        <v>109</v>
      </c>
      <c r="R1458" t="str">
        <f>_xlfn.XLOOKUP(GERAL[[#This Row],[Dia]],U:U,V:V,"")</f>
        <v/>
      </c>
    </row>
    <row r="1459" spans="1:18" hidden="1" x14ac:dyDescent="0.3">
      <c r="A1459" t="str">
        <f>_xlfn.XLOOKUP(GERAL[[#This Row],[Dia]],U:U,T:T,"")</f>
        <v/>
      </c>
      <c r="B1459" s="1">
        <v>46285</v>
      </c>
      <c r="C1459" t="s">
        <v>21</v>
      </c>
      <c r="D1459" s="1">
        <v>46285</v>
      </c>
      <c r="E1459" t="s">
        <v>17</v>
      </c>
      <c r="Q1459" t="s">
        <v>109</v>
      </c>
      <c r="R1459" t="str">
        <f>_xlfn.XLOOKUP(GERAL[[#This Row],[Dia]],U:U,V:V,"")</f>
        <v/>
      </c>
    </row>
    <row r="1460" spans="1:18" hidden="1" x14ac:dyDescent="0.3">
      <c r="A1460" t="str">
        <f>_xlfn.XLOOKUP(GERAL[[#This Row],[Dia]],U:U,T:T,"")</f>
        <v/>
      </c>
      <c r="B1460" s="1">
        <v>46286</v>
      </c>
      <c r="C1460" t="s">
        <v>22</v>
      </c>
      <c r="D1460" s="1">
        <v>46286</v>
      </c>
      <c r="Q1460" t="s">
        <v>109</v>
      </c>
      <c r="R1460" t="str">
        <f>_xlfn.XLOOKUP(GERAL[[#This Row],[Dia]],U:U,V:V,"")</f>
        <v/>
      </c>
    </row>
    <row r="1461" spans="1:18" hidden="1" x14ac:dyDescent="0.3">
      <c r="A1461" t="str">
        <f>_xlfn.XLOOKUP(GERAL[[#This Row],[Dia]],U:U,T:T,"")</f>
        <v/>
      </c>
      <c r="B1461" s="1">
        <v>46287</v>
      </c>
      <c r="C1461" t="s">
        <v>23</v>
      </c>
      <c r="D1461" s="1">
        <v>46287</v>
      </c>
      <c r="Q1461" t="s">
        <v>109</v>
      </c>
      <c r="R1461" t="str">
        <f>_xlfn.XLOOKUP(GERAL[[#This Row],[Dia]],U:U,V:V,"")</f>
        <v/>
      </c>
    </row>
    <row r="1462" spans="1:18" hidden="1" x14ac:dyDescent="0.3">
      <c r="A1462" t="str">
        <f>_xlfn.XLOOKUP(GERAL[[#This Row],[Dia]],U:U,T:T,"")</f>
        <v/>
      </c>
      <c r="B1462" s="1">
        <v>46288</v>
      </c>
      <c r="C1462" t="s">
        <v>24</v>
      </c>
      <c r="D1462" s="1">
        <v>46288</v>
      </c>
      <c r="Q1462" t="s">
        <v>109</v>
      </c>
      <c r="R1462" t="str">
        <f>_xlfn.XLOOKUP(GERAL[[#This Row],[Dia]],U:U,V:V,"")</f>
        <v/>
      </c>
    </row>
    <row r="1463" spans="1:18" hidden="1" x14ac:dyDescent="0.3">
      <c r="A1463" t="str">
        <f>_xlfn.XLOOKUP(GERAL[[#This Row],[Dia]],U:U,T:T,"")</f>
        <v/>
      </c>
      <c r="B1463" s="1">
        <v>46289</v>
      </c>
      <c r="C1463" t="s">
        <v>25</v>
      </c>
      <c r="D1463" s="1">
        <v>46289</v>
      </c>
      <c r="Q1463" t="s">
        <v>109</v>
      </c>
      <c r="R1463" t="str">
        <f>_xlfn.XLOOKUP(GERAL[[#This Row],[Dia]],U:U,V:V,"")</f>
        <v/>
      </c>
    </row>
    <row r="1464" spans="1:18" hidden="1" x14ac:dyDescent="0.3">
      <c r="A1464" t="str">
        <f>_xlfn.XLOOKUP(GERAL[[#This Row],[Dia]],U:U,T:T,"")</f>
        <v/>
      </c>
      <c r="B1464" s="1">
        <v>46290</v>
      </c>
      <c r="C1464" t="s">
        <v>26</v>
      </c>
      <c r="D1464" s="1">
        <v>46290</v>
      </c>
      <c r="Q1464" t="s">
        <v>109</v>
      </c>
      <c r="R1464" t="str">
        <f>_xlfn.XLOOKUP(GERAL[[#This Row],[Dia]],U:U,V:V,"")</f>
        <v/>
      </c>
    </row>
    <row r="1465" spans="1:18" hidden="1" x14ac:dyDescent="0.3">
      <c r="A1465" t="str">
        <f>_xlfn.XLOOKUP(GERAL[[#This Row],[Dia]],U:U,T:T,"")</f>
        <v/>
      </c>
      <c r="B1465" s="1">
        <v>46291</v>
      </c>
      <c r="C1465" t="s">
        <v>16</v>
      </c>
      <c r="D1465" s="1">
        <v>46291</v>
      </c>
      <c r="E1465" t="s">
        <v>17</v>
      </c>
      <c r="Q1465" t="s">
        <v>109</v>
      </c>
      <c r="R1465" t="str">
        <f>_xlfn.XLOOKUP(GERAL[[#This Row],[Dia]],U:U,V:V,"")</f>
        <v/>
      </c>
    </row>
    <row r="1466" spans="1:18" hidden="1" x14ac:dyDescent="0.3">
      <c r="A1466" t="str">
        <f>_xlfn.XLOOKUP(GERAL[[#This Row],[Dia]],U:U,T:T,"")</f>
        <v/>
      </c>
      <c r="B1466" s="1">
        <v>46292</v>
      </c>
      <c r="C1466" t="s">
        <v>21</v>
      </c>
      <c r="D1466" s="1">
        <v>46292</v>
      </c>
      <c r="E1466" t="s">
        <v>17</v>
      </c>
      <c r="Q1466" t="s">
        <v>109</v>
      </c>
      <c r="R1466" t="str">
        <f>_xlfn.XLOOKUP(GERAL[[#This Row],[Dia]],U:U,V:V,"")</f>
        <v/>
      </c>
    </row>
    <row r="1467" spans="1:18" hidden="1" x14ac:dyDescent="0.3">
      <c r="A1467" t="str">
        <f>_xlfn.XLOOKUP(GERAL[[#This Row],[Dia]],U:U,T:T,"")</f>
        <v/>
      </c>
      <c r="B1467" s="1">
        <v>46293</v>
      </c>
      <c r="C1467" t="s">
        <v>22</v>
      </c>
      <c r="D1467" s="1">
        <v>46293</v>
      </c>
      <c r="Q1467" t="s">
        <v>109</v>
      </c>
      <c r="R1467" t="str">
        <f>_xlfn.XLOOKUP(GERAL[[#This Row],[Dia]],U:U,V:V,"")</f>
        <v/>
      </c>
    </row>
    <row r="1468" spans="1:18" hidden="1" x14ac:dyDescent="0.3">
      <c r="A1468" t="str">
        <f>_xlfn.XLOOKUP(GERAL[[#This Row],[Dia]],U:U,T:T,"")</f>
        <v/>
      </c>
      <c r="B1468" s="1">
        <v>46294</v>
      </c>
      <c r="C1468" t="s">
        <v>23</v>
      </c>
      <c r="D1468" s="1">
        <v>46294</v>
      </c>
      <c r="Q1468" t="s">
        <v>109</v>
      </c>
      <c r="R1468" t="str">
        <f>_xlfn.XLOOKUP(GERAL[[#This Row],[Dia]],U:U,V:V,"")</f>
        <v/>
      </c>
    </row>
    <row r="1469" spans="1:18" hidden="1" x14ac:dyDescent="0.3">
      <c r="A1469" t="str">
        <f>_xlfn.XLOOKUP(GERAL[[#This Row],[Dia]],U:U,T:T,"")</f>
        <v/>
      </c>
      <c r="B1469" s="1">
        <v>46295</v>
      </c>
      <c r="C1469" t="s">
        <v>24</v>
      </c>
      <c r="D1469" s="1">
        <v>46295</v>
      </c>
      <c r="Q1469" t="s">
        <v>109</v>
      </c>
      <c r="R1469" t="str">
        <f>_xlfn.XLOOKUP(GERAL[[#This Row],[Dia]],U:U,V:V,"")</f>
        <v/>
      </c>
    </row>
    <row r="1470" spans="1:18" hidden="1" x14ac:dyDescent="0.3">
      <c r="A1470" t="str">
        <f>_xlfn.XLOOKUP(GERAL[[#This Row],[Dia]],U:U,T:T,"")</f>
        <v/>
      </c>
      <c r="B1470" s="1">
        <v>46296</v>
      </c>
      <c r="C1470" t="s">
        <v>25</v>
      </c>
      <c r="D1470" s="1">
        <v>46296</v>
      </c>
      <c r="Q1470" t="s">
        <v>109</v>
      </c>
      <c r="R1470" t="str">
        <f>_xlfn.XLOOKUP(GERAL[[#This Row],[Dia]],U:U,V:V,"")</f>
        <v/>
      </c>
    </row>
    <row r="1471" spans="1:18" hidden="1" x14ac:dyDescent="0.3">
      <c r="A1471" t="str">
        <f>_xlfn.XLOOKUP(GERAL[[#This Row],[Dia]],U:U,T:T,"")</f>
        <v/>
      </c>
      <c r="B1471" s="1">
        <v>46297</v>
      </c>
      <c r="C1471" t="s">
        <v>26</v>
      </c>
      <c r="D1471" s="1">
        <v>46297</v>
      </c>
      <c r="Q1471" t="s">
        <v>109</v>
      </c>
      <c r="R1471" t="str">
        <f>_xlfn.XLOOKUP(GERAL[[#This Row],[Dia]],U:U,V:V,"")</f>
        <v/>
      </c>
    </row>
    <row r="1472" spans="1:18" hidden="1" x14ac:dyDescent="0.3">
      <c r="A1472" t="str">
        <f>_xlfn.XLOOKUP(GERAL[[#This Row],[Dia]],U:U,T:T,"")</f>
        <v/>
      </c>
      <c r="B1472" s="1">
        <v>46298</v>
      </c>
      <c r="C1472" t="s">
        <v>16</v>
      </c>
      <c r="D1472" s="1">
        <v>46298</v>
      </c>
      <c r="E1472" t="s">
        <v>17</v>
      </c>
      <c r="Q1472" t="s">
        <v>109</v>
      </c>
      <c r="R1472" t="str">
        <f>_xlfn.XLOOKUP(GERAL[[#This Row],[Dia]],U:U,V:V,"")</f>
        <v/>
      </c>
    </row>
    <row r="1473" spans="1:18" hidden="1" x14ac:dyDescent="0.3">
      <c r="A1473" t="str">
        <f>_xlfn.XLOOKUP(GERAL[[#This Row],[Dia]],U:U,T:T,"")</f>
        <v/>
      </c>
      <c r="B1473" s="1">
        <v>46299</v>
      </c>
      <c r="C1473" t="s">
        <v>21</v>
      </c>
      <c r="D1473" s="1">
        <v>46299</v>
      </c>
      <c r="E1473" t="s">
        <v>17</v>
      </c>
      <c r="Q1473" t="s">
        <v>109</v>
      </c>
      <c r="R1473" t="str">
        <f>_xlfn.XLOOKUP(GERAL[[#This Row],[Dia]],U:U,V:V,"")</f>
        <v/>
      </c>
    </row>
    <row r="1474" spans="1:18" hidden="1" x14ac:dyDescent="0.3">
      <c r="A1474" t="str">
        <f>_xlfn.XLOOKUP(GERAL[[#This Row],[Dia]],U:U,T:T,"")</f>
        <v/>
      </c>
      <c r="B1474" s="1">
        <v>46300</v>
      </c>
      <c r="C1474" t="s">
        <v>22</v>
      </c>
      <c r="D1474" s="1">
        <v>46300</v>
      </c>
      <c r="Q1474" t="s">
        <v>109</v>
      </c>
      <c r="R1474" t="str">
        <f>_xlfn.XLOOKUP(GERAL[[#This Row],[Dia]],U:U,V:V,"")</f>
        <v/>
      </c>
    </row>
    <row r="1475" spans="1:18" hidden="1" x14ac:dyDescent="0.3">
      <c r="A1475" t="str">
        <f>_xlfn.XLOOKUP(GERAL[[#This Row],[Dia]],U:U,T:T,"")</f>
        <v/>
      </c>
      <c r="B1475" s="1">
        <v>46301</v>
      </c>
      <c r="C1475" t="s">
        <v>23</v>
      </c>
      <c r="D1475" s="1">
        <v>46301</v>
      </c>
      <c r="Q1475" t="s">
        <v>109</v>
      </c>
      <c r="R1475" t="str">
        <f>_xlfn.XLOOKUP(GERAL[[#This Row],[Dia]],U:U,V:V,"")</f>
        <v/>
      </c>
    </row>
    <row r="1476" spans="1:18" hidden="1" x14ac:dyDescent="0.3">
      <c r="A1476" t="str">
        <f>_xlfn.XLOOKUP(GERAL[[#This Row],[Dia]],U:U,T:T,"")</f>
        <v/>
      </c>
      <c r="B1476" s="1">
        <v>46302</v>
      </c>
      <c r="C1476" t="s">
        <v>24</v>
      </c>
      <c r="D1476" s="1">
        <v>46302</v>
      </c>
      <c r="Q1476" t="s">
        <v>109</v>
      </c>
      <c r="R1476" t="str">
        <f>_xlfn.XLOOKUP(GERAL[[#This Row],[Dia]],U:U,V:V,"")</f>
        <v/>
      </c>
    </row>
    <row r="1477" spans="1:18" hidden="1" x14ac:dyDescent="0.3">
      <c r="A1477" t="str">
        <f>_xlfn.XLOOKUP(GERAL[[#This Row],[Dia]],U:U,T:T,"")</f>
        <v/>
      </c>
      <c r="B1477" s="1">
        <v>46303</v>
      </c>
      <c r="C1477" t="s">
        <v>25</v>
      </c>
      <c r="D1477" s="1">
        <v>46303</v>
      </c>
      <c r="Q1477" t="s">
        <v>109</v>
      </c>
      <c r="R1477" t="str">
        <f>_xlfn.XLOOKUP(GERAL[[#This Row],[Dia]],U:U,V:V,"")</f>
        <v/>
      </c>
    </row>
    <row r="1478" spans="1:18" hidden="1" x14ac:dyDescent="0.3">
      <c r="A1478" t="str">
        <f>_xlfn.XLOOKUP(GERAL[[#This Row],[Dia]],U:U,T:T,"")</f>
        <v/>
      </c>
      <c r="B1478" s="1">
        <v>46304</v>
      </c>
      <c r="C1478" t="s">
        <v>26</v>
      </c>
      <c r="D1478" s="1">
        <v>46304</v>
      </c>
      <c r="Q1478" t="s">
        <v>109</v>
      </c>
      <c r="R1478" t="str">
        <f>_xlfn.XLOOKUP(GERAL[[#This Row],[Dia]],U:U,V:V,"")</f>
        <v/>
      </c>
    </row>
    <row r="1479" spans="1:18" hidden="1" x14ac:dyDescent="0.3">
      <c r="A1479" t="str">
        <f>_xlfn.XLOOKUP(GERAL[[#This Row],[Dia]],U:U,T:T,"")</f>
        <v/>
      </c>
      <c r="B1479" s="1">
        <v>46305</v>
      </c>
      <c r="C1479" t="s">
        <v>16</v>
      </c>
      <c r="D1479" s="1">
        <v>46305</v>
      </c>
      <c r="E1479" t="s">
        <v>17</v>
      </c>
      <c r="Q1479" t="s">
        <v>109</v>
      </c>
      <c r="R1479" t="str">
        <f>_xlfn.XLOOKUP(GERAL[[#This Row],[Dia]],U:U,V:V,"")</f>
        <v/>
      </c>
    </row>
    <row r="1480" spans="1:18" hidden="1" x14ac:dyDescent="0.3">
      <c r="A1480" t="str">
        <f>_xlfn.XLOOKUP(GERAL[[#This Row],[Dia]],U:U,T:T,"")</f>
        <v/>
      </c>
      <c r="B1480" s="1">
        <v>46306</v>
      </c>
      <c r="C1480" t="s">
        <v>21</v>
      </c>
      <c r="D1480" s="1">
        <v>46306</v>
      </c>
      <c r="E1480" t="s">
        <v>17</v>
      </c>
      <c r="Q1480" t="s">
        <v>109</v>
      </c>
      <c r="R1480" t="str">
        <f>_xlfn.XLOOKUP(GERAL[[#This Row],[Dia]],U:U,V:V,"")</f>
        <v/>
      </c>
    </row>
    <row r="1481" spans="1:18" hidden="1" x14ac:dyDescent="0.3">
      <c r="A1481" t="str">
        <f>_xlfn.XLOOKUP(GERAL[[#This Row],[Dia]],U:U,T:T,"")</f>
        <v/>
      </c>
      <c r="B1481" s="1">
        <v>46307</v>
      </c>
      <c r="C1481" t="s">
        <v>22</v>
      </c>
      <c r="D1481" s="1">
        <v>46307</v>
      </c>
      <c r="Q1481" t="s">
        <v>109</v>
      </c>
      <c r="R1481" t="str">
        <f>_xlfn.XLOOKUP(GERAL[[#This Row],[Dia]],U:U,V:V,"")</f>
        <v/>
      </c>
    </row>
    <row r="1482" spans="1:18" hidden="1" x14ac:dyDescent="0.3">
      <c r="A1482" t="str">
        <f>_xlfn.XLOOKUP(GERAL[[#This Row],[Dia]],U:U,T:T,"")</f>
        <v/>
      </c>
      <c r="B1482" s="1">
        <v>46308</v>
      </c>
      <c r="C1482" t="s">
        <v>23</v>
      </c>
      <c r="D1482" s="1">
        <v>46308</v>
      </c>
      <c r="Q1482" t="s">
        <v>109</v>
      </c>
      <c r="R1482" t="str">
        <f>_xlfn.XLOOKUP(GERAL[[#This Row],[Dia]],U:U,V:V,"")</f>
        <v/>
      </c>
    </row>
    <row r="1483" spans="1:18" hidden="1" x14ac:dyDescent="0.3">
      <c r="A1483" t="str">
        <f>_xlfn.XLOOKUP(GERAL[[#This Row],[Dia]],U:U,T:T,"")</f>
        <v/>
      </c>
      <c r="B1483" s="1">
        <v>46309</v>
      </c>
      <c r="C1483" t="s">
        <v>24</v>
      </c>
      <c r="D1483" s="1">
        <v>46309</v>
      </c>
      <c r="Q1483" t="s">
        <v>109</v>
      </c>
      <c r="R1483" t="str">
        <f>_xlfn.XLOOKUP(GERAL[[#This Row],[Dia]],U:U,V:V,"")</f>
        <v/>
      </c>
    </row>
    <row r="1484" spans="1:18" hidden="1" x14ac:dyDescent="0.3">
      <c r="A1484" t="str">
        <f>_xlfn.XLOOKUP(GERAL[[#This Row],[Dia]],U:U,T:T,"")</f>
        <v/>
      </c>
      <c r="B1484" s="1">
        <v>46310</v>
      </c>
      <c r="C1484" t="s">
        <v>25</v>
      </c>
      <c r="D1484" s="1">
        <v>46310</v>
      </c>
      <c r="Q1484" t="s">
        <v>109</v>
      </c>
      <c r="R1484" t="str">
        <f>_xlfn.XLOOKUP(GERAL[[#This Row],[Dia]],U:U,V:V,"")</f>
        <v/>
      </c>
    </row>
    <row r="1485" spans="1:18" hidden="1" x14ac:dyDescent="0.3">
      <c r="A1485" t="str">
        <f>_xlfn.XLOOKUP(GERAL[[#This Row],[Dia]],U:U,T:T,"")</f>
        <v/>
      </c>
      <c r="B1485" s="1">
        <v>46311</v>
      </c>
      <c r="C1485" t="s">
        <v>26</v>
      </c>
      <c r="D1485" s="1">
        <v>46311</v>
      </c>
      <c r="Q1485" t="s">
        <v>109</v>
      </c>
      <c r="R1485" t="str">
        <f>_xlfn.XLOOKUP(GERAL[[#This Row],[Dia]],U:U,V:V,"")</f>
        <v/>
      </c>
    </row>
    <row r="1486" spans="1:18" hidden="1" x14ac:dyDescent="0.3">
      <c r="A1486" t="str">
        <f>_xlfn.XLOOKUP(GERAL[[#This Row],[Dia]],U:U,T:T,"")</f>
        <v/>
      </c>
      <c r="B1486" s="1">
        <v>46312</v>
      </c>
      <c r="C1486" t="s">
        <v>16</v>
      </c>
      <c r="D1486" s="1">
        <v>46312</v>
      </c>
      <c r="E1486" t="s">
        <v>17</v>
      </c>
      <c r="Q1486" t="s">
        <v>109</v>
      </c>
      <c r="R1486" t="str">
        <f>_xlfn.XLOOKUP(GERAL[[#This Row],[Dia]],U:U,V:V,"")</f>
        <v/>
      </c>
    </row>
    <row r="1487" spans="1:18" hidden="1" x14ac:dyDescent="0.3">
      <c r="A1487" t="str">
        <f>_xlfn.XLOOKUP(GERAL[[#This Row],[Dia]],U:U,T:T,"")</f>
        <v/>
      </c>
      <c r="B1487" s="1">
        <v>46313</v>
      </c>
      <c r="C1487" t="s">
        <v>21</v>
      </c>
      <c r="D1487" s="1">
        <v>46313</v>
      </c>
      <c r="E1487" t="s">
        <v>17</v>
      </c>
      <c r="Q1487" t="s">
        <v>109</v>
      </c>
      <c r="R1487" t="str">
        <f>_xlfn.XLOOKUP(GERAL[[#This Row],[Dia]],U:U,V:V,"")</f>
        <v/>
      </c>
    </row>
    <row r="1488" spans="1:18" hidden="1" x14ac:dyDescent="0.3">
      <c r="A1488" t="str">
        <f>_xlfn.XLOOKUP(GERAL[[#This Row],[Dia]],U:U,T:T,"")</f>
        <v/>
      </c>
      <c r="B1488" s="1">
        <v>46314</v>
      </c>
      <c r="C1488" t="s">
        <v>22</v>
      </c>
      <c r="D1488" s="1">
        <v>46314</v>
      </c>
      <c r="Q1488" t="s">
        <v>109</v>
      </c>
      <c r="R1488" t="str">
        <f>_xlfn.XLOOKUP(GERAL[[#This Row],[Dia]],U:U,V:V,"")</f>
        <v/>
      </c>
    </row>
    <row r="1489" spans="1:18" hidden="1" x14ac:dyDescent="0.3">
      <c r="A1489" t="str">
        <f>_xlfn.XLOOKUP(GERAL[[#This Row],[Dia]],U:U,T:T,"")</f>
        <v/>
      </c>
      <c r="B1489" s="1">
        <v>46315</v>
      </c>
      <c r="C1489" t="s">
        <v>23</v>
      </c>
      <c r="D1489" s="1">
        <v>46315</v>
      </c>
      <c r="Q1489" t="s">
        <v>109</v>
      </c>
      <c r="R1489" t="str">
        <f>_xlfn.XLOOKUP(GERAL[[#This Row],[Dia]],U:U,V:V,"")</f>
        <v/>
      </c>
    </row>
    <row r="1490" spans="1:18" hidden="1" x14ac:dyDescent="0.3">
      <c r="A1490" t="str">
        <f>_xlfn.XLOOKUP(GERAL[[#This Row],[Dia]],U:U,T:T,"")</f>
        <v/>
      </c>
      <c r="B1490" s="1">
        <v>46316</v>
      </c>
      <c r="C1490" t="s">
        <v>24</v>
      </c>
      <c r="D1490" s="1">
        <v>46316</v>
      </c>
      <c r="Q1490" t="s">
        <v>109</v>
      </c>
      <c r="R1490" t="str">
        <f>_xlfn.XLOOKUP(GERAL[[#This Row],[Dia]],U:U,V:V,"")</f>
        <v/>
      </c>
    </row>
    <row r="1491" spans="1:18" hidden="1" x14ac:dyDescent="0.3">
      <c r="A1491" t="str">
        <f>_xlfn.XLOOKUP(GERAL[[#This Row],[Dia]],U:U,T:T,"")</f>
        <v/>
      </c>
      <c r="B1491" s="1">
        <v>46317</v>
      </c>
      <c r="C1491" t="s">
        <v>25</v>
      </c>
      <c r="D1491" s="1">
        <v>46317</v>
      </c>
      <c r="Q1491" t="s">
        <v>109</v>
      </c>
      <c r="R1491" t="str">
        <f>_xlfn.XLOOKUP(GERAL[[#This Row],[Dia]],U:U,V:V,"")</f>
        <v/>
      </c>
    </row>
    <row r="1492" spans="1:18" hidden="1" x14ac:dyDescent="0.3">
      <c r="A1492" t="str">
        <f>_xlfn.XLOOKUP(GERAL[[#This Row],[Dia]],U:U,T:T,"")</f>
        <v/>
      </c>
      <c r="B1492" s="1">
        <v>46318</v>
      </c>
      <c r="C1492" t="s">
        <v>26</v>
      </c>
      <c r="D1492" s="1">
        <v>46318</v>
      </c>
      <c r="Q1492" t="s">
        <v>109</v>
      </c>
      <c r="R1492" t="str">
        <f>_xlfn.XLOOKUP(GERAL[[#This Row],[Dia]],U:U,V:V,"")</f>
        <v/>
      </c>
    </row>
    <row r="1493" spans="1:18" hidden="1" x14ac:dyDescent="0.3">
      <c r="A1493" t="str">
        <f>_xlfn.XLOOKUP(GERAL[[#This Row],[Dia]],U:U,T:T,"")</f>
        <v/>
      </c>
      <c r="B1493" s="1">
        <v>46319</v>
      </c>
      <c r="C1493" t="s">
        <v>16</v>
      </c>
      <c r="D1493" s="1">
        <v>46319</v>
      </c>
      <c r="E1493" t="s">
        <v>17</v>
      </c>
      <c r="Q1493" t="s">
        <v>109</v>
      </c>
      <c r="R1493" t="str">
        <f>_xlfn.XLOOKUP(GERAL[[#This Row],[Dia]],U:U,V:V,"")</f>
        <v/>
      </c>
    </row>
    <row r="1494" spans="1:18" hidden="1" x14ac:dyDescent="0.3">
      <c r="A1494" t="str">
        <f>_xlfn.XLOOKUP(GERAL[[#This Row],[Dia]],U:U,T:T,"")</f>
        <v/>
      </c>
      <c r="B1494" s="1">
        <v>46320</v>
      </c>
      <c r="C1494" t="s">
        <v>21</v>
      </c>
      <c r="D1494" s="1">
        <v>46320</v>
      </c>
      <c r="E1494" t="s">
        <v>17</v>
      </c>
      <c r="Q1494" t="s">
        <v>109</v>
      </c>
      <c r="R1494" t="str">
        <f>_xlfn.XLOOKUP(GERAL[[#This Row],[Dia]],U:U,V:V,"")</f>
        <v/>
      </c>
    </row>
    <row r="1495" spans="1:18" hidden="1" x14ac:dyDescent="0.3">
      <c r="A1495" t="str">
        <f>_xlfn.XLOOKUP(GERAL[[#This Row],[Dia]],U:U,T:T,"")</f>
        <v/>
      </c>
      <c r="B1495" s="1">
        <v>46321</v>
      </c>
      <c r="C1495" t="s">
        <v>22</v>
      </c>
      <c r="D1495" s="1">
        <v>46321</v>
      </c>
      <c r="Q1495" t="s">
        <v>109</v>
      </c>
      <c r="R1495" t="str">
        <f>_xlfn.XLOOKUP(GERAL[[#This Row],[Dia]],U:U,V:V,"")</f>
        <v/>
      </c>
    </row>
    <row r="1496" spans="1:18" hidden="1" x14ac:dyDescent="0.3">
      <c r="A1496" t="str">
        <f>_xlfn.XLOOKUP(GERAL[[#This Row],[Dia]],U:U,T:T,"")</f>
        <v/>
      </c>
      <c r="B1496" s="1">
        <v>46322</v>
      </c>
      <c r="C1496" t="s">
        <v>23</v>
      </c>
      <c r="D1496" s="1">
        <v>46322</v>
      </c>
      <c r="Q1496" t="s">
        <v>109</v>
      </c>
      <c r="R1496" t="str">
        <f>_xlfn.XLOOKUP(GERAL[[#This Row],[Dia]],U:U,V:V,"")</f>
        <v/>
      </c>
    </row>
    <row r="1497" spans="1:18" hidden="1" x14ac:dyDescent="0.3">
      <c r="A1497" t="str">
        <f>_xlfn.XLOOKUP(GERAL[[#This Row],[Dia]],U:U,T:T,"")</f>
        <v/>
      </c>
      <c r="B1497" s="1">
        <v>46323</v>
      </c>
      <c r="C1497" t="s">
        <v>24</v>
      </c>
      <c r="D1497" s="1">
        <v>46323</v>
      </c>
      <c r="Q1497" t="s">
        <v>109</v>
      </c>
      <c r="R1497" t="str">
        <f>_xlfn.XLOOKUP(GERAL[[#This Row],[Dia]],U:U,V:V,"")</f>
        <v/>
      </c>
    </row>
    <row r="1498" spans="1:18" hidden="1" x14ac:dyDescent="0.3">
      <c r="A1498" t="str">
        <f>_xlfn.XLOOKUP(GERAL[[#This Row],[Dia]],U:U,T:T,"")</f>
        <v/>
      </c>
      <c r="B1498" s="1">
        <v>46324</v>
      </c>
      <c r="C1498" t="s">
        <v>25</v>
      </c>
      <c r="D1498" s="1">
        <v>46324</v>
      </c>
      <c r="Q1498" t="s">
        <v>109</v>
      </c>
      <c r="R1498" t="str">
        <f>_xlfn.XLOOKUP(GERAL[[#This Row],[Dia]],U:U,V:V,"")</f>
        <v/>
      </c>
    </row>
    <row r="1499" spans="1:18" hidden="1" x14ac:dyDescent="0.3">
      <c r="A1499" t="str">
        <f>_xlfn.XLOOKUP(GERAL[[#This Row],[Dia]],U:U,T:T,"")</f>
        <v/>
      </c>
      <c r="B1499" s="1">
        <v>46325</v>
      </c>
      <c r="C1499" t="s">
        <v>26</v>
      </c>
      <c r="D1499" s="1">
        <v>46325</v>
      </c>
      <c r="Q1499" t="s">
        <v>109</v>
      </c>
      <c r="R1499" t="str">
        <f>_xlfn.XLOOKUP(GERAL[[#This Row],[Dia]],U:U,V:V,"")</f>
        <v/>
      </c>
    </row>
    <row r="1500" spans="1:18" hidden="1" x14ac:dyDescent="0.3">
      <c r="A1500" t="str">
        <f>_xlfn.XLOOKUP(GERAL[[#This Row],[Dia]],U:U,T:T,"")</f>
        <v/>
      </c>
      <c r="B1500" s="1">
        <v>46326</v>
      </c>
      <c r="C1500" t="s">
        <v>16</v>
      </c>
      <c r="D1500" s="1">
        <v>46326</v>
      </c>
      <c r="E1500" t="s">
        <v>17</v>
      </c>
      <c r="Q1500" t="s">
        <v>109</v>
      </c>
      <c r="R1500" t="str">
        <f>_xlfn.XLOOKUP(GERAL[[#This Row],[Dia]],U:U,V:V,"")</f>
        <v/>
      </c>
    </row>
    <row r="1501" spans="1:18" hidden="1" x14ac:dyDescent="0.3">
      <c r="A1501" t="str">
        <f>_xlfn.XLOOKUP(GERAL[[#This Row],[Dia]],U:U,T:T,"")</f>
        <v/>
      </c>
      <c r="B1501" s="1">
        <v>46327</v>
      </c>
      <c r="C1501" t="s">
        <v>21</v>
      </c>
      <c r="D1501" s="1">
        <v>46327</v>
      </c>
      <c r="E1501" t="s">
        <v>17</v>
      </c>
      <c r="Q1501" t="s">
        <v>109</v>
      </c>
      <c r="R1501" t="str">
        <f>_xlfn.XLOOKUP(GERAL[[#This Row],[Dia]],U:U,V:V,"")</f>
        <v/>
      </c>
    </row>
    <row r="1502" spans="1:18" hidden="1" x14ac:dyDescent="0.3">
      <c r="A1502" t="str">
        <f>_xlfn.XLOOKUP(GERAL[[#This Row],[Dia]],U:U,T:T,"")</f>
        <v/>
      </c>
      <c r="B1502" s="1">
        <v>46328</v>
      </c>
      <c r="C1502" t="s">
        <v>22</v>
      </c>
      <c r="D1502" s="1">
        <v>46328</v>
      </c>
      <c r="Q1502" t="s">
        <v>109</v>
      </c>
      <c r="R1502" t="str">
        <f>_xlfn.XLOOKUP(GERAL[[#This Row],[Dia]],U:U,V:V,"")</f>
        <v/>
      </c>
    </row>
    <row r="1503" spans="1:18" hidden="1" x14ac:dyDescent="0.3">
      <c r="A1503" t="str">
        <f>_xlfn.XLOOKUP(GERAL[[#This Row],[Dia]],U:U,T:T,"")</f>
        <v/>
      </c>
      <c r="B1503" s="1">
        <v>46329</v>
      </c>
      <c r="C1503" t="s">
        <v>23</v>
      </c>
      <c r="D1503" s="1">
        <v>46329</v>
      </c>
      <c r="Q1503" t="s">
        <v>109</v>
      </c>
      <c r="R1503" t="str">
        <f>_xlfn.XLOOKUP(GERAL[[#This Row],[Dia]],U:U,V:V,"")</f>
        <v/>
      </c>
    </row>
    <row r="1504" spans="1:18" hidden="1" x14ac:dyDescent="0.3">
      <c r="A1504" t="str">
        <f>_xlfn.XLOOKUP(GERAL[[#This Row],[Dia]],U:U,T:T,"")</f>
        <v/>
      </c>
      <c r="B1504" s="1">
        <v>46330</v>
      </c>
      <c r="C1504" t="s">
        <v>24</v>
      </c>
      <c r="D1504" s="1">
        <v>46330</v>
      </c>
      <c r="Q1504" t="s">
        <v>109</v>
      </c>
      <c r="R1504" t="str">
        <f>_xlfn.XLOOKUP(GERAL[[#This Row],[Dia]],U:U,V:V,"")</f>
        <v/>
      </c>
    </row>
    <row r="1505" spans="1:18" hidden="1" x14ac:dyDescent="0.3">
      <c r="A1505" t="str">
        <f>_xlfn.XLOOKUP(GERAL[[#This Row],[Dia]],U:U,T:T,"")</f>
        <v/>
      </c>
      <c r="B1505" s="1">
        <v>46331</v>
      </c>
      <c r="C1505" t="s">
        <v>25</v>
      </c>
      <c r="D1505" s="1">
        <v>46331</v>
      </c>
      <c r="Q1505" t="s">
        <v>109</v>
      </c>
      <c r="R1505" t="str">
        <f>_xlfn.XLOOKUP(GERAL[[#This Row],[Dia]],U:U,V:V,"")</f>
        <v/>
      </c>
    </row>
    <row r="1506" spans="1:18" hidden="1" x14ac:dyDescent="0.3">
      <c r="A1506" t="str">
        <f>_xlfn.XLOOKUP(GERAL[[#This Row],[Dia]],U:U,T:T,"")</f>
        <v/>
      </c>
      <c r="B1506" s="1">
        <v>46332</v>
      </c>
      <c r="C1506" t="s">
        <v>26</v>
      </c>
      <c r="D1506" s="1">
        <v>46332</v>
      </c>
      <c r="Q1506" t="s">
        <v>109</v>
      </c>
      <c r="R1506" t="str">
        <f>_xlfn.XLOOKUP(GERAL[[#This Row],[Dia]],U:U,V:V,"")</f>
        <v/>
      </c>
    </row>
    <row r="1507" spans="1:18" hidden="1" x14ac:dyDescent="0.3">
      <c r="A1507" t="str">
        <f>_xlfn.XLOOKUP(GERAL[[#This Row],[Dia]],U:U,T:T,"")</f>
        <v/>
      </c>
      <c r="B1507" s="1">
        <v>46333</v>
      </c>
      <c r="C1507" t="s">
        <v>16</v>
      </c>
      <c r="D1507" s="1">
        <v>46333</v>
      </c>
      <c r="E1507" t="s">
        <v>17</v>
      </c>
      <c r="Q1507" t="s">
        <v>109</v>
      </c>
      <c r="R1507" t="str">
        <f>_xlfn.XLOOKUP(GERAL[[#This Row],[Dia]],U:U,V:V,"")</f>
        <v/>
      </c>
    </row>
    <row r="1508" spans="1:18" hidden="1" x14ac:dyDescent="0.3">
      <c r="A1508" t="str">
        <f>_xlfn.XLOOKUP(GERAL[[#This Row],[Dia]],U:U,T:T,"")</f>
        <v/>
      </c>
      <c r="B1508" s="1">
        <v>46334</v>
      </c>
      <c r="C1508" t="s">
        <v>21</v>
      </c>
      <c r="D1508" s="1">
        <v>46334</v>
      </c>
      <c r="E1508" t="s">
        <v>17</v>
      </c>
      <c r="Q1508" t="s">
        <v>109</v>
      </c>
      <c r="R1508" t="str">
        <f>_xlfn.XLOOKUP(GERAL[[#This Row],[Dia]],U:U,V:V,"")</f>
        <v/>
      </c>
    </row>
    <row r="1509" spans="1:18" hidden="1" x14ac:dyDescent="0.3">
      <c r="A1509" t="str">
        <f>_xlfn.XLOOKUP(GERAL[[#This Row],[Dia]],U:U,T:T,"")</f>
        <v/>
      </c>
      <c r="B1509" s="1">
        <v>46335</v>
      </c>
      <c r="C1509" t="s">
        <v>22</v>
      </c>
      <c r="D1509" s="1">
        <v>46335</v>
      </c>
      <c r="Q1509" t="s">
        <v>109</v>
      </c>
      <c r="R1509" t="str">
        <f>_xlfn.XLOOKUP(GERAL[[#This Row],[Dia]],U:U,V:V,"")</f>
        <v/>
      </c>
    </row>
    <row r="1510" spans="1:18" hidden="1" x14ac:dyDescent="0.3">
      <c r="A1510" t="str">
        <f>_xlfn.XLOOKUP(GERAL[[#This Row],[Dia]],U:U,T:T,"")</f>
        <v/>
      </c>
      <c r="B1510" s="1">
        <v>46336</v>
      </c>
      <c r="C1510" t="s">
        <v>23</v>
      </c>
      <c r="D1510" s="1">
        <v>46336</v>
      </c>
      <c r="Q1510" t="s">
        <v>109</v>
      </c>
      <c r="R1510" t="str">
        <f>_xlfn.XLOOKUP(GERAL[[#This Row],[Dia]],U:U,V:V,"")</f>
        <v/>
      </c>
    </row>
    <row r="1511" spans="1:18" hidden="1" x14ac:dyDescent="0.3">
      <c r="A1511" t="str">
        <f>_xlfn.XLOOKUP(GERAL[[#This Row],[Dia]],U:U,T:T,"")</f>
        <v/>
      </c>
      <c r="B1511" s="1">
        <v>46337</v>
      </c>
      <c r="C1511" t="s">
        <v>24</v>
      </c>
      <c r="D1511" s="1">
        <v>46337</v>
      </c>
      <c r="Q1511" t="s">
        <v>109</v>
      </c>
      <c r="R1511" t="str">
        <f>_xlfn.XLOOKUP(GERAL[[#This Row],[Dia]],U:U,V:V,"")</f>
        <v/>
      </c>
    </row>
    <row r="1512" spans="1:18" hidden="1" x14ac:dyDescent="0.3">
      <c r="A1512" t="str">
        <f>_xlfn.XLOOKUP(GERAL[[#This Row],[Dia]],U:U,T:T,"")</f>
        <v/>
      </c>
      <c r="B1512" s="1">
        <v>46338</v>
      </c>
      <c r="C1512" t="s">
        <v>25</v>
      </c>
      <c r="D1512" s="1">
        <v>46338</v>
      </c>
      <c r="Q1512" t="s">
        <v>109</v>
      </c>
      <c r="R1512" t="str">
        <f>_xlfn.XLOOKUP(GERAL[[#This Row],[Dia]],U:U,V:V,"")</f>
        <v/>
      </c>
    </row>
    <row r="1513" spans="1:18" hidden="1" x14ac:dyDescent="0.3">
      <c r="A1513" t="str">
        <f>_xlfn.XLOOKUP(GERAL[[#This Row],[Dia]],U:U,T:T,"")</f>
        <v/>
      </c>
      <c r="B1513" s="1">
        <v>46339</v>
      </c>
      <c r="C1513" t="s">
        <v>26</v>
      </c>
      <c r="D1513" s="1">
        <v>46339</v>
      </c>
      <c r="Q1513" t="s">
        <v>109</v>
      </c>
      <c r="R1513" t="str">
        <f>_xlfn.XLOOKUP(GERAL[[#This Row],[Dia]],U:U,V:V,"")</f>
        <v/>
      </c>
    </row>
    <row r="1514" spans="1:18" hidden="1" x14ac:dyDescent="0.3">
      <c r="A1514" t="str">
        <f>_xlfn.XLOOKUP(GERAL[[#This Row],[Dia]],U:U,T:T,"")</f>
        <v/>
      </c>
      <c r="B1514" s="1">
        <v>46340</v>
      </c>
      <c r="C1514" t="s">
        <v>16</v>
      </c>
      <c r="D1514" s="1">
        <v>46340</v>
      </c>
      <c r="E1514" t="s">
        <v>17</v>
      </c>
      <c r="Q1514" t="s">
        <v>109</v>
      </c>
      <c r="R1514" t="str">
        <f>_xlfn.XLOOKUP(GERAL[[#This Row],[Dia]],U:U,V:V,"")</f>
        <v/>
      </c>
    </row>
    <row r="1515" spans="1:18" hidden="1" x14ac:dyDescent="0.3">
      <c r="A1515" t="str">
        <f>_xlfn.XLOOKUP(GERAL[[#This Row],[Dia]],U:U,T:T,"")</f>
        <v/>
      </c>
      <c r="B1515" s="1">
        <v>46341</v>
      </c>
      <c r="C1515" t="s">
        <v>21</v>
      </c>
      <c r="D1515" s="1">
        <v>46341</v>
      </c>
      <c r="E1515" t="s">
        <v>17</v>
      </c>
      <c r="Q1515" t="s">
        <v>109</v>
      </c>
      <c r="R1515" t="str">
        <f>_xlfn.XLOOKUP(GERAL[[#This Row],[Dia]],U:U,V:V,"")</f>
        <v/>
      </c>
    </row>
    <row r="1516" spans="1:18" hidden="1" x14ac:dyDescent="0.3">
      <c r="A1516" t="str">
        <f>_xlfn.XLOOKUP(GERAL[[#This Row],[Dia]],U:U,T:T,"")</f>
        <v/>
      </c>
      <c r="B1516" s="1">
        <v>46342</v>
      </c>
      <c r="C1516" t="s">
        <v>22</v>
      </c>
      <c r="D1516" s="1">
        <v>46342</v>
      </c>
      <c r="Q1516" t="s">
        <v>109</v>
      </c>
      <c r="R1516" t="str">
        <f>_xlfn.XLOOKUP(GERAL[[#This Row],[Dia]],U:U,V:V,"")</f>
        <v/>
      </c>
    </row>
    <row r="1517" spans="1:18" hidden="1" x14ac:dyDescent="0.3">
      <c r="A1517" t="str">
        <f>_xlfn.XLOOKUP(GERAL[[#This Row],[Dia]],U:U,T:T,"")</f>
        <v/>
      </c>
      <c r="B1517" s="1">
        <v>46343</v>
      </c>
      <c r="C1517" t="s">
        <v>23</v>
      </c>
      <c r="D1517" s="1">
        <v>46343</v>
      </c>
      <c r="Q1517" t="s">
        <v>109</v>
      </c>
      <c r="R1517" t="str">
        <f>_xlfn.XLOOKUP(GERAL[[#This Row],[Dia]],U:U,V:V,"")</f>
        <v/>
      </c>
    </row>
    <row r="1518" spans="1:18" hidden="1" x14ac:dyDescent="0.3">
      <c r="A1518" t="str">
        <f>_xlfn.XLOOKUP(GERAL[[#This Row],[Dia]],U:U,T:T,"")</f>
        <v/>
      </c>
      <c r="B1518" s="1">
        <v>46344</v>
      </c>
      <c r="C1518" t="s">
        <v>24</v>
      </c>
      <c r="D1518" s="1">
        <v>46344</v>
      </c>
      <c r="Q1518" t="s">
        <v>109</v>
      </c>
      <c r="R1518" t="str">
        <f>_xlfn.XLOOKUP(GERAL[[#This Row],[Dia]],U:U,V:V,"")</f>
        <v/>
      </c>
    </row>
    <row r="1519" spans="1:18" hidden="1" x14ac:dyDescent="0.3">
      <c r="A1519" t="str">
        <f>_xlfn.XLOOKUP(GERAL[[#This Row],[Dia]],U:U,T:T,"")</f>
        <v/>
      </c>
      <c r="B1519" s="1">
        <v>46345</v>
      </c>
      <c r="C1519" t="s">
        <v>25</v>
      </c>
      <c r="D1519" s="1">
        <v>46345</v>
      </c>
      <c r="Q1519" t="s">
        <v>109</v>
      </c>
      <c r="R1519" t="str">
        <f>_xlfn.XLOOKUP(GERAL[[#This Row],[Dia]],U:U,V:V,"")</f>
        <v/>
      </c>
    </row>
    <row r="1520" spans="1:18" hidden="1" x14ac:dyDescent="0.3">
      <c r="A1520" t="str">
        <f>_xlfn.XLOOKUP(GERAL[[#This Row],[Dia]],U:U,T:T,"")</f>
        <v/>
      </c>
      <c r="B1520" s="1">
        <v>46346</v>
      </c>
      <c r="C1520" t="s">
        <v>26</v>
      </c>
      <c r="D1520" s="1">
        <v>46346</v>
      </c>
      <c r="Q1520" t="s">
        <v>109</v>
      </c>
      <c r="R1520" t="str">
        <f>_xlfn.XLOOKUP(GERAL[[#This Row],[Dia]],U:U,V:V,"")</f>
        <v/>
      </c>
    </row>
    <row r="1521" spans="1:18" hidden="1" x14ac:dyDescent="0.3">
      <c r="A1521" t="str">
        <f>_xlfn.XLOOKUP(GERAL[[#This Row],[Dia]],U:U,T:T,"")</f>
        <v/>
      </c>
      <c r="B1521" s="1">
        <v>46347</v>
      </c>
      <c r="C1521" t="s">
        <v>16</v>
      </c>
      <c r="D1521" s="1">
        <v>46347</v>
      </c>
      <c r="E1521" t="s">
        <v>17</v>
      </c>
      <c r="Q1521" t="s">
        <v>109</v>
      </c>
      <c r="R1521" t="str">
        <f>_xlfn.XLOOKUP(GERAL[[#This Row],[Dia]],U:U,V:V,"")</f>
        <v/>
      </c>
    </row>
    <row r="1522" spans="1:18" hidden="1" x14ac:dyDescent="0.3">
      <c r="A1522" t="str">
        <f>_xlfn.XLOOKUP(GERAL[[#This Row],[Dia]],U:U,T:T,"")</f>
        <v/>
      </c>
      <c r="B1522" s="1">
        <v>46348</v>
      </c>
      <c r="C1522" t="s">
        <v>21</v>
      </c>
      <c r="D1522" s="1">
        <v>46348</v>
      </c>
      <c r="E1522" t="s">
        <v>17</v>
      </c>
      <c r="Q1522" t="s">
        <v>109</v>
      </c>
      <c r="R1522" t="str">
        <f>_xlfn.XLOOKUP(GERAL[[#This Row],[Dia]],U:U,V:V,"")</f>
        <v/>
      </c>
    </row>
    <row r="1523" spans="1:18" hidden="1" x14ac:dyDescent="0.3">
      <c r="A1523" t="str">
        <f>_xlfn.XLOOKUP(GERAL[[#This Row],[Dia]],U:U,T:T,"")</f>
        <v/>
      </c>
      <c r="B1523" s="1">
        <v>46349</v>
      </c>
      <c r="C1523" t="s">
        <v>22</v>
      </c>
      <c r="D1523" s="1">
        <v>46349</v>
      </c>
      <c r="Q1523" t="s">
        <v>109</v>
      </c>
      <c r="R1523" t="str">
        <f>_xlfn.XLOOKUP(GERAL[[#This Row],[Dia]],U:U,V:V,"")</f>
        <v/>
      </c>
    </row>
    <row r="1524" spans="1:18" hidden="1" x14ac:dyDescent="0.3">
      <c r="A1524" t="str">
        <f>_xlfn.XLOOKUP(GERAL[[#This Row],[Dia]],U:U,T:T,"")</f>
        <v/>
      </c>
      <c r="B1524" s="1">
        <v>46350</v>
      </c>
      <c r="C1524" t="s">
        <v>23</v>
      </c>
      <c r="D1524" s="1">
        <v>46350</v>
      </c>
      <c r="Q1524" t="s">
        <v>109</v>
      </c>
      <c r="R1524" t="str">
        <f>_xlfn.XLOOKUP(GERAL[[#This Row],[Dia]],U:U,V:V,"")</f>
        <v/>
      </c>
    </row>
    <row r="1525" spans="1:18" hidden="1" x14ac:dyDescent="0.3">
      <c r="A1525" t="str">
        <f>_xlfn.XLOOKUP(GERAL[[#This Row],[Dia]],U:U,T:T,"")</f>
        <v/>
      </c>
      <c r="B1525" s="1">
        <v>46351</v>
      </c>
      <c r="C1525" t="s">
        <v>24</v>
      </c>
      <c r="D1525" s="1">
        <v>46351</v>
      </c>
      <c r="Q1525" t="s">
        <v>109</v>
      </c>
      <c r="R1525" t="str">
        <f>_xlfn.XLOOKUP(GERAL[[#This Row],[Dia]],U:U,V:V,"")</f>
        <v/>
      </c>
    </row>
    <row r="1526" spans="1:18" hidden="1" x14ac:dyDescent="0.3">
      <c r="A1526" t="str">
        <f>_xlfn.XLOOKUP(GERAL[[#This Row],[Dia]],U:U,T:T,"")</f>
        <v/>
      </c>
      <c r="B1526" s="1">
        <v>46352</v>
      </c>
      <c r="C1526" t="s">
        <v>25</v>
      </c>
      <c r="D1526" s="1">
        <v>46352</v>
      </c>
      <c r="Q1526" t="s">
        <v>109</v>
      </c>
      <c r="R1526" t="str">
        <f>_xlfn.XLOOKUP(GERAL[[#This Row],[Dia]],U:U,V:V,"")</f>
        <v/>
      </c>
    </row>
    <row r="1527" spans="1:18" hidden="1" x14ac:dyDescent="0.3">
      <c r="A1527" t="str">
        <f>_xlfn.XLOOKUP(GERAL[[#This Row],[Dia]],U:U,T:T,"")</f>
        <v/>
      </c>
      <c r="B1527" s="1">
        <v>46353</v>
      </c>
      <c r="C1527" t="s">
        <v>26</v>
      </c>
      <c r="D1527" s="1">
        <v>46353</v>
      </c>
      <c r="Q1527" t="s">
        <v>109</v>
      </c>
      <c r="R1527" t="str">
        <f>_xlfn.XLOOKUP(GERAL[[#This Row],[Dia]],U:U,V:V,"")</f>
        <v/>
      </c>
    </row>
    <row r="1528" spans="1:18" hidden="1" x14ac:dyDescent="0.3">
      <c r="A1528" t="str">
        <f>_xlfn.XLOOKUP(GERAL[[#This Row],[Dia]],U:U,T:T,"")</f>
        <v/>
      </c>
      <c r="B1528" s="1">
        <v>46354</v>
      </c>
      <c r="C1528" t="s">
        <v>16</v>
      </c>
      <c r="D1528" s="1">
        <v>46354</v>
      </c>
      <c r="E1528" t="s">
        <v>17</v>
      </c>
      <c r="Q1528" t="s">
        <v>109</v>
      </c>
      <c r="R1528" t="str">
        <f>_xlfn.XLOOKUP(GERAL[[#This Row],[Dia]],U:U,V:V,"")</f>
        <v/>
      </c>
    </row>
    <row r="1529" spans="1:18" hidden="1" x14ac:dyDescent="0.3">
      <c r="A1529" t="str">
        <f>_xlfn.XLOOKUP(GERAL[[#This Row],[Dia]],U:U,T:T,"")</f>
        <v/>
      </c>
      <c r="B1529" s="1">
        <v>46355</v>
      </c>
      <c r="C1529" t="s">
        <v>21</v>
      </c>
      <c r="D1529" s="1">
        <v>46355</v>
      </c>
      <c r="E1529" t="s">
        <v>17</v>
      </c>
      <c r="Q1529" t="s">
        <v>109</v>
      </c>
      <c r="R1529" t="str">
        <f>_xlfn.XLOOKUP(GERAL[[#This Row],[Dia]],U:U,V:V,"")</f>
        <v/>
      </c>
    </row>
    <row r="1530" spans="1:18" hidden="1" x14ac:dyDescent="0.3">
      <c r="A1530" t="str">
        <f>_xlfn.XLOOKUP(GERAL[[#This Row],[Dia]],U:U,T:T,"")</f>
        <v/>
      </c>
      <c r="B1530" s="1">
        <v>46356</v>
      </c>
      <c r="C1530" t="s">
        <v>22</v>
      </c>
      <c r="D1530" s="1">
        <v>46356</v>
      </c>
      <c r="Q1530" t="s">
        <v>109</v>
      </c>
      <c r="R1530" t="str">
        <f>_xlfn.XLOOKUP(GERAL[[#This Row],[Dia]],U:U,V:V,"")</f>
        <v/>
      </c>
    </row>
    <row r="1531" spans="1:18" hidden="1" x14ac:dyDescent="0.3">
      <c r="A1531" t="str">
        <f>_xlfn.XLOOKUP(GERAL[[#This Row],[Dia]],U:U,T:T,"")</f>
        <v/>
      </c>
      <c r="B1531" s="1">
        <v>46357</v>
      </c>
      <c r="C1531" t="s">
        <v>23</v>
      </c>
      <c r="D1531" s="1">
        <v>46357</v>
      </c>
      <c r="Q1531" t="s">
        <v>109</v>
      </c>
      <c r="R1531" t="str">
        <f>_xlfn.XLOOKUP(GERAL[[#This Row],[Dia]],U:U,V:V,"")</f>
        <v/>
      </c>
    </row>
    <row r="1532" spans="1:18" hidden="1" x14ac:dyDescent="0.3">
      <c r="A1532" t="str">
        <f>_xlfn.XLOOKUP(GERAL[[#This Row],[Dia]],U:U,T:T,"")</f>
        <v/>
      </c>
      <c r="B1532" s="1">
        <v>46358</v>
      </c>
      <c r="C1532" t="s">
        <v>24</v>
      </c>
      <c r="D1532" s="1">
        <v>46358</v>
      </c>
      <c r="Q1532" t="s">
        <v>109</v>
      </c>
      <c r="R1532" t="str">
        <f>_xlfn.XLOOKUP(GERAL[[#This Row],[Dia]],U:U,V:V,"")</f>
        <v/>
      </c>
    </row>
    <row r="1533" spans="1:18" hidden="1" x14ac:dyDescent="0.3">
      <c r="A1533" t="str">
        <f>_xlfn.XLOOKUP(GERAL[[#This Row],[Dia]],U:U,T:T,"")</f>
        <v/>
      </c>
      <c r="B1533" s="1">
        <v>46359</v>
      </c>
      <c r="C1533" t="s">
        <v>25</v>
      </c>
      <c r="D1533" s="1">
        <v>46359</v>
      </c>
      <c r="Q1533" t="s">
        <v>109</v>
      </c>
      <c r="R1533" t="str">
        <f>_xlfn.XLOOKUP(GERAL[[#This Row],[Dia]],U:U,V:V,"")</f>
        <v/>
      </c>
    </row>
    <row r="1534" spans="1:18" hidden="1" x14ac:dyDescent="0.3">
      <c r="A1534" t="str">
        <f>_xlfn.XLOOKUP(GERAL[[#This Row],[Dia]],U:U,T:T,"")</f>
        <v/>
      </c>
      <c r="B1534" s="1">
        <v>46360</v>
      </c>
      <c r="C1534" t="s">
        <v>26</v>
      </c>
      <c r="D1534" s="1">
        <v>46360</v>
      </c>
      <c r="Q1534" t="s">
        <v>109</v>
      </c>
      <c r="R1534" t="str">
        <f>_xlfn.XLOOKUP(GERAL[[#This Row],[Dia]],U:U,V:V,"")</f>
        <v/>
      </c>
    </row>
    <row r="1535" spans="1:18" hidden="1" x14ac:dyDescent="0.3">
      <c r="A1535" t="str">
        <f>_xlfn.XLOOKUP(GERAL[[#This Row],[Dia]],U:U,T:T,"")</f>
        <v/>
      </c>
      <c r="B1535" s="1">
        <v>46361</v>
      </c>
      <c r="C1535" t="s">
        <v>16</v>
      </c>
      <c r="D1535" s="1">
        <v>46361</v>
      </c>
      <c r="E1535" t="s">
        <v>17</v>
      </c>
      <c r="Q1535" t="s">
        <v>109</v>
      </c>
      <c r="R1535" t="str">
        <f>_xlfn.XLOOKUP(GERAL[[#This Row],[Dia]],U:U,V:V,"")</f>
        <v/>
      </c>
    </row>
    <row r="1536" spans="1:18" hidden="1" x14ac:dyDescent="0.3">
      <c r="A1536" t="str">
        <f>_xlfn.XLOOKUP(GERAL[[#This Row],[Dia]],U:U,T:T,"")</f>
        <v/>
      </c>
      <c r="B1536" s="1">
        <v>46362</v>
      </c>
      <c r="C1536" t="s">
        <v>21</v>
      </c>
      <c r="D1536" s="1">
        <v>46362</v>
      </c>
      <c r="E1536" t="s">
        <v>17</v>
      </c>
      <c r="Q1536" t="s">
        <v>109</v>
      </c>
      <c r="R1536" t="str">
        <f>_xlfn.XLOOKUP(GERAL[[#This Row],[Dia]],U:U,V:V,"")</f>
        <v/>
      </c>
    </row>
    <row r="1537" spans="1:18" hidden="1" x14ac:dyDescent="0.3">
      <c r="A1537" t="str">
        <f>_xlfn.XLOOKUP(GERAL[[#This Row],[Dia]],U:U,T:T,"")</f>
        <v/>
      </c>
      <c r="B1537" s="1">
        <v>46363</v>
      </c>
      <c r="C1537" t="s">
        <v>22</v>
      </c>
      <c r="D1537" s="1">
        <v>46363</v>
      </c>
      <c r="Q1537" t="s">
        <v>109</v>
      </c>
      <c r="R1537" t="str">
        <f>_xlfn.XLOOKUP(GERAL[[#This Row],[Dia]],U:U,V:V,"")</f>
        <v/>
      </c>
    </row>
    <row r="1538" spans="1:18" hidden="1" x14ac:dyDescent="0.3">
      <c r="A1538" t="str">
        <f>_xlfn.XLOOKUP(GERAL[[#This Row],[Dia]],U:U,T:T,"")</f>
        <v/>
      </c>
      <c r="B1538" s="1">
        <v>46364</v>
      </c>
      <c r="C1538" t="s">
        <v>23</v>
      </c>
      <c r="D1538" s="1">
        <v>46364</v>
      </c>
      <c r="Q1538" t="s">
        <v>109</v>
      </c>
      <c r="R1538" t="str">
        <f>_xlfn.XLOOKUP(GERAL[[#This Row],[Dia]],U:U,V:V,"")</f>
        <v/>
      </c>
    </row>
    <row r="1539" spans="1:18" hidden="1" x14ac:dyDescent="0.3">
      <c r="A1539" t="str">
        <f>_xlfn.XLOOKUP(GERAL[[#This Row],[Dia]],U:U,T:T,"")</f>
        <v/>
      </c>
      <c r="B1539" s="1">
        <v>46365</v>
      </c>
      <c r="C1539" t="s">
        <v>24</v>
      </c>
      <c r="D1539" s="1">
        <v>46365</v>
      </c>
      <c r="Q1539" t="s">
        <v>109</v>
      </c>
      <c r="R1539" t="str">
        <f>_xlfn.XLOOKUP(GERAL[[#This Row],[Dia]],U:U,V:V,"")</f>
        <v/>
      </c>
    </row>
    <row r="1540" spans="1:18" hidden="1" x14ac:dyDescent="0.3">
      <c r="A1540" t="str">
        <f>_xlfn.XLOOKUP(GERAL[[#This Row],[Dia]],U:U,T:T,"")</f>
        <v/>
      </c>
      <c r="B1540" s="1">
        <v>46366</v>
      </c>
      <c r="C1540" t="s">
        <v>25</v>
      </c>
      <c r="D1540" s="1">
        <v>46366</v>
      </c>
      <c r="Q1540" t="s">
        <v>109</v>
      </c>
      <c r="R1540" t="str">
        <f>_xlfn.XLOOKUP(GERAL[[#This Row],[Dia]],U:U,V:V,"")</f>
        <v/>
      </c>
    </row>
    <row r="1541" spans="1:18" hidden="1" x14ac:dyDescent="0.3">
      <c r="A1541" t="str">
        <f>_xlfn.XLOOKUP(GERAL[[#This Row],[Dia]],U:U,T:T,"")</f>
        <v/>
      </c>
      <c r="B1541" s="1">
        <v>46367</v>
      </c>
      <c r="C1541" t="s">
        <v>26</v>
      </c>
      <c r="D1541" s="1">
        <v>46367</v>
      </c>
      <c r="Q1541" t="s">
        <v>109</v>
      </c>
      <c r="R1541" t="str">
        <f>_xlfn.XLOOKUP(GERAL[[#This Row],[Dia]],U:U,V:V,"")</f>
        <v/>
      </c>
    </row>
    <row r="1542" spans="1:18" hidden="1" x14ac:dyDescent="0.3">
      <c r="A1542" t="str">
        <f>_xlfn.XLOOKUP(GERAL[[#This Row],[Dia]],U:U,T:T,"")</f>
        <v/>
      </c>
      <c r="B1542" s="1">
        <v>46368</v>
      </c>
      <c r="C1542" t="s">
        <v>16</v>
      </c>
      <c r="D1542" s="1">
        <v>46368</v>
      </c>
      <c r="E1542" t="s">
        <v>17</v>
      </c>
      <c r="Q1542" t="s">
        <v>109</v>
      </c>
      <c r="R1542" t="str">
        <f>_xlfn.XLOOKUP(GERAL[[#This Row],[Dia]],U:U,V:V,"")</f>
        <v/>
      </c>
    </row>
    <row r="1543" spans="1:18" hidden="1" x14ac:dyDescent="0.3">
      <c r="A1543" t="str">
        <f>_xlfn.XLOOKUP(GERAL[[#This Row],[Dia]],U:U,T:T,"")</f>
        <v/>
      </c>
      <c r="B1543" s="1">
        <v>46369</v>
      </c>
      <c r="C1543" t="s">
        <v>21</v>
      </c>
      <c r="D1543" s="1">
        <v>46369</v>
      </c>
      <c r="E1543" t="s">
        <v>17</v>
      </c>
      <c r="Q1543" t="s">
        <v>109</v>
      </c>
      <c r="R1543" t="str">
        <f>_xlfn.XLOOKUP(GERAL[[#This Row],[Dia]],U:U,V:V,"")</f>
        <v/>
      </c>
    </row>
    <row r="1544" spans="1:18" hidden="1" x14ac:dyDescent="0.3">
      <c r="A1544" t="str">
        <f>_xlfn.XLOOKUP(GERAL[[#This Row],[Dia]],U:U,T:T,"")</f>
        <v/>
      </c>
      <c r="B1544" s="1">
        <v>46370</v>
      </c>
      <c r="C1544" t="s">
        <v>22</v>
      </c>
      <c r="D1544" s="1">
        <v>46370</v>
      </c>
      <c r="Q1544" t="s">
        <v>109</v>
      </c>
      <c r="R1544" t="str">
        <f>_xlfn.XLOOKUP(GERAL[[#This Row],[Dia]],U:U,V:V,"")</f>
        <v/>
      </c>
    </row>
    <row r="1545" spans="1:18" hidden="1" x14ac:dyDescent="0.3">
      <c r="A1545" t="str">
        <f>_xlfn.XLOOKUP(GERAL[[#This Row],[Dia]],U:U,T:T,"")</f>
        <v/>
      </c>
      <c r="B1545" s="1">
        <v>46371</v>
      </c>
      <c r="C1545" t="s">
        <v>23</v>
      </c>
      <c r="D1545" s="1">
        <v>46371</v>
      </c>
      <c r="Q1545" t="s">
        <v>109</v>
      </c>
      <c r="R1545" t="str">
        <f>_xlfn.XLOOKUP(GERAL[[#This Row],[Dia]],U:U,V:V,"")</f>
        <v/>
      </c>
    </row>
    <row r="1546" spans="1:18" hidden="1" x14ac:dyDescent="0.3">
      <c r="A1546" t="str">
        <f>_xlfn.XLOOKUP(GERAL[[#This Row],[Dia]],U:U,T:T,"")</f>
        <v/>
      </c>
      <c r="B1546" s="1">
        <v>46372</v>
      </c>
      <c r="C1546" t="s">
        <v>24</v>
      </c>
      <c r="D1546" s="1">
        <v>46372</v>
      </c>
      <c r="Q1546" t="s">
        <v>109</v>
      </c>
      <c r="R1546" t="str">
        <f>_xlfn.XLOOKUP(GERAL[[#This Row],[Dia]],U:U,V:V,"")</f>
        <v/>
      </c>
    </row>
    <row r="1547" spans="1:18" hidden="1" x14ac:dyDescent="0.3">
      <c r="A1547" t="str">
        <f>_xlfn.XLOOKUP(GERAL[[#This Row],[Dia]],U:U,T:T,"")</f>
        <v/>
      </c>
      <c r="B1547" s="1">
        <v>46373</v>
      </c>
      <c r="C1547" t="s">
        <v>25</v>
      </c>
      <c r="D1547" s="1">
        <v>46373</v>
      </c>
      <c r="Q1547" t="s">
        <v>109</v>
      </c>
      <c r="R1547" t="str">
        <f>_xlfn.XLOOKUP(GERAL[[#This Row],[Dia]],U:U,V:V,"")</f>
        <v/>
      </c>
    </row>
    <row r="1548" spans="1:18" hidden="1" x14ac:dyDescent="0.3">
      <c r="A1548" t="str">
        <f>_xlfn.XLOOKUP(GERAL[[#This Row],[Dia]],U:U,T:T,"")</f>
        <v/>
      </c>
      <c r="B1548" s="1">
        <v>46374</v>
      </c>
      <c r="C1548" t="s">
        <v>26</v>
      </c>
      <c r="D1548" s="1">
        <v>46374</v>
      </c>
      <c r="Q1548" t="s">
        <v>109</v>
      </c>
      <c r="R1548" t="str">
        <f>_xlfn.XLOOKUP(GERAL[[#This Row],[Dia]],U:U,V:V,"")</f>
        <v/>
      </c>
    </row>
    <row r="1549" spans="1:18" hidden="1" x14ac:dyDescent="0.3">
      <c r="A1549" t="str">
        <f>_xlfn.XLOOKUP(GERAL[[#This Row],[Dia]],U:U,T:T,"")</f>
        <v/>
      </c>
      <c r="B1549" s="1">
        <v>46375</v>
      </c>
      <c r="C1549" t="s">
        <v>16</v>
      </c>
      <c r="D1549" s="1">
        <v>46375</v>
      </c>
      <c r="E1549" t="s">
        <v>17</v>
      </c>
      <c r="Q1549" t="s">
        <v>109</v>
      </c>
      <c r="R1549" t="str">
        <f>_xlfn.XLOOKUP(GERAL[[#This Row],[Dia]],U:U,V:V,"")</f>
        <v/>
      </c>
    </row>
    <row r="1550" spans="1:18" hidden="1" x14ac:dyDescent="0.3">
      <c r="A1550" t="str">
        <f>_xlfn.XLOOKUP(GERAL[[#This Row],[Dia]],U:U,T:T,"")</f>
        <v/>
      </c>
      <c r="B1550" s="1">
        <v>46376</v>
      </c>
      <c r="C1550" t="s">
        <v>21</v>
      </c>
      <c r="D1550" s="1">
        <v>46376</v>
      </c>
      <c r="E1550" t="s">
        <v>17</v>
      </c>
      <c r="Q1550" t="s">
        <v>109</v>
      </c>
      <c r="R1550" t="str">
        <f>_xlfn.XLOOKUP(GERAL[[#This Row],[Dia]],U:U,V:V,"")</f>
        <v/>
      </c>
    </row>
    <row r="1551" spans="1:18" hidden="1" x14ac:dyDescent="0.3">
      <c r="A1551" t="str">
        <f>_xlfn.XLOOKUP(GERAL[[#This Row],[Dia]],U:U,T:T,"")</f>
        <v/>
      </c>
      <c r="B1551" s="1">
        <v>46377</v>
      </c>
      <c r="C1551" t="s">
        <v>22</v>
      </c>
      <c r="D1551" s="1">
        <v>46377</v>
      </c>
      <c r="Q1551" t="s">
        <v>109</v>
      </c>
      <c r="R1551" t="str">
        <f>_xlfn.XLOOKUP(GERAL[[#This Row],[Dia]],U:U,V:V,"")</f>
        <v/>
      </c>
    </row>
    <row r="1552" spans="1:18" hidden="1" x14ac:dyDescent="0.3">
      <c r="A1552" t="str">
        <f>_xlfn.XLOOKUP(GERAL[[#This Row],[Dia]],U:U,T:T,"")</f>
        <v/>
      </c>
      <c r="B1552" s="1">
        <v>46378</v>
      </c>
      <c r="C1552" t="s">
        <v>23</v>
      </c>
      <c r="D1552" s="1">
        <v>46378</v>
      </c>
      <c r="Q1552" t="s">
        <v>109</v>
      </c>
      <c r="R1552" t="str">
        <f>_xlfn.XLOOKUP(GERAL[[#This Row],[Dia]],U:U,V:V,"")</f>
        <v/>
      </c>
    </row>
    <row r="1553" spans="1:18" hidden="1" x14ac:dyDescent="0.3">
      <c r="A1553" t="str">
        <f>_xlfn.XLOOKUP(GERAL[[#This Row],[Dia]],U:U,T:T,"")</f>
        <v/>
      </c>
      <c r="B1553" s="1">
        <v>46379</v>
      </c>
      <c r="C1553" t="s">
        <v>24</v>
      </c>
      <c r="D1553" s="1">
        <v>46379</v>
      </c>
      <c r="Q1553" t="s">
        <v>109</v>
      </c>
      <c r="R1553" t="str">
        <f>_xlfn.XLOOKUP(GERAL[[#This Row],[Dia]],U:U,V:V,"")</f>
        <v/>
      </c>
    </row>
    <row r="1554" spans="1:18" hidden="1" x14ac:dyDescent="0.3">
      <c r="A1554" t="str">
        <f>_xlfn.XLOOKUP(GERAL[[#This Row],[Dia]],U:U,T:T,"")</f>
        <v/>
      </c>
      <c r="B1554" s="1">
        <v>46380</v>
      </c>
      <c r="C1554" t="s">
        <v>25</v>
      </c>
      <c r="D1554" s="1">
        <v>46380</v>
      </c>
      <c r="Q1554" t="s">
        <v>109</v>
      </c>
      <c r="R1554" t="str">
        <f>_xlfn.XLOOKUP(GERAL[[#This Row],[Dia]],U:U,V:V,"")</f>
        <v/>
      </c>
    </row>
    <row r="1555" spans="1:18" hidden="1" x14ac:dyDescent="0.3">
      <c r="A1555" t="str">
        <f>_xlfn.XLOOKUP(GERAL[[#This Row],[Dia]],U:U,T:T,"")</f>
        <v/>
      </c>
      <c r="B1555" s="1">
        <v>46381</v>
      </c>
      <c r="C1555" t="s">
        <v>26</v>
      </c>
      <c r="D1555" s="1">
        <v>46381</v>
      </c>
      <c r="Q1555" t="s">
        <v>109</v>
      </c>
      <c r="R1555" t="str">
        <f>_xlfn.XLOOKUP(GERAL[[#This Row],[Dia]],U:U,V:V,"")</f>
        <v/>
      </c>
    </row>
    <row r="1556" spans="1:18" hidden="1" x14ac:dyDescent="0.3">
      <c r="A1556" t="str">
        <f>_xlfn.XLOOKUP(GERAL[[#This Row],[Dia]],U:U,T:T,"")</f>
        <v/>
      </c>
      <c r="B1556" s="1">
        <v>46382</v>
      </c>
      <c r="C1556" t="s">
        <v>16</v>
      </c>
      <c r="D1556" s="1">
        <v>46382</v>
      </c>
      <c r="E1556" t="s">
        <v>17</v>
      </c>
      <c r="Q1556" t="s">
        <v>109</v>
      </c>
      <c r="R1556" t="str">
        <f>_xlfn.XLOOKUP(GERAL[[#This Row],[Dia]],U:U,V:V,"")</f>
        <v/>
      </c>
    </row>
    <row r="1557" spans="1:18" hidden="1" x14ac:dyDescent="0.3">
      <c r="A1557" t="str">
        <f>_xlfn.XLOOKUP(GERAL[[#This Row],[Dia]],U:U,T:T,"")</f>
        <v/>
      </c>
      <c r="B1557" s="1">
        <v>46383</v>
      </c>
      <c r="C1557" t="s">
        <v>21</v>
      </c>
      <c r="D1557" s="1">
        <v>46383</v>
      </c>
      <c r="E1557" t="s">
        <v>17</v>
      </c>
      <c r="Q1557" t="s">
        <v>109</v>
      </c>
      <c r="R1557" t="str">
        <f>_xlfn.XLOOKUP(GERAL[[#This Row],[Dia]],U:U,V:V,"")</f>
        <v/>
      </c>
    </row>
    <row r="1558" spans="1:18" hidden="1" x14ac:dyDescent="0.3">
      <c r="A1558" t="str">
        <f>_xlfn.XLOOKUP(GERAL[[#This Row],[Dia]],U:U,T:T,"")</f>
        <v/>
      </c>
      <c r="B1558" s="1">
        <v>46384</v>
      </c>
      <c r="C1558" t="s">
        <v>22</v>
      </c>
      <c r="D1558" s="1">
        <v>46384</v>
      </c>
      <c r="Q1558" t="s">
        <v>109</v>
      </c>
      <c r="R1558" t="str">
        <f>_xlfn.XLOOKUP(GERAL[[#This Row],[Dia]],U:U,V:V,"")</f>
        <v/>
      </c>
    </row>
    <row r="1559" spans="1:18" hidden="1" x14ac:dyDescent="0.3">
      <c r="A1559" t="str">
        <f>_xlfn.XLOOKUP(GERAL[[#This Row],[Dia]],U:U,T:T,"")</f>
        <v/>
      </c>
      <c r="B1559" s="1">
        <v>46385</v>
      </c>
      <c r="C1559" t="s">
        <v>23</v>
      </c>
      <c r="D1559" s="1">
        <v>46385</v>
      </c>
      <c r="Q1559" t="s">
        <v>109</v>
      </c>
      <c r="R1559" t="str">
        <f>_xlfn.XLOOKUP(GERAL[[#This Row],[Dia]],U:U,V:V,"")</f>
        <v/>
      </c>
    </row>
    <row r="1560" spans="1:18" hidden="1" x14ac:dyDescent="0.3">
      <c r="A1560" t="str">
        <f>_xlfn.XLOOKUP(GERAL[[#This Row],[Dia]],U:U,T:T,"")</f>
        <v/>
      </c>
      <c r="B1560" s="1">
        <v>46386</v>
      </c>
      <c r="C1560" t="s">
        <v>24</v>
      </c>
      <c r="D1560" s="1">
        <v>46386</v>
      </c>
      <c r="Q1560" t="s">
        <v>109</v>
      </c>
      <c r="R1560" t="str">
        <f>_xlfn.XLOOKUP(GERAL[[#This Row],[Dia]],U:U,V:V,"")</f>
        <v/>
      </c>
    </row>
    <row r="1561" spans="1:18" hidden="1" x14ac:dyDescent="0.3">
      <c r="A1561" t="str">
        <f>_xlfn.XLOOKUP(GERAL[[#This Row],[Dia]],U:U,T:T,"")</f>
        <v/>
      </c>
      <c r="B1561" s="1">
        <v>46387</v>
      </c>
      <c r="C1561" t="s">
        <v>25</v>
      </c>
      <c r="D1561" s="1">
        <v>46387</v>
      </c>
      <c r="Q1561" t="s">
        <v>109</v>
      </c>
      <c r="R1561" t="str">
        <f>_xlfn.XLOOKUP(GERAL[[#This Row],[Dia]],U:U,V:V,"")</f>
        <v/>
      </c>
    </row>
    <row r="1562" spans="1:18" hidden="1" x14ac:dyDescent="0.3">
      <c r="A1562" t="str">
        <f>_xlfn.XLOOKUP(GERAL[[#This Row],[Dia]],U:U,T:T,"")</f>
        <v/>
      </c>
      <c r="B1562" s="1">
        <v>46388</v>
      </c>
      <c r="C1562" t="s">
        <v>26</v>
      </c>
      <c r="D1562" s="1">
        <v>46388</v>
      </c>
      <c r="Q1562" t="s">
        <v>109</v>
      </c>
      <c r="R1562" t="str">
        <f>_xlfn.XLOOKUP(GERAL[[#This Row],[Dia]],U:U,V:V,"")</f>
        <v/>
      </c>
    </row>
    <row r="1563" spans="1:18" hidden="1" x14ac:dyDescent="0.3">
      <c r="A1563" t="str">
        <f>_xlfn.XLOOKUP(GERAL[[#This Row],[Dia]],U:U,T:T,"")</f>
        <v/>
      </c>
      <c r="B1563" s="1">
        <v>46389</v>
      </c>
      <c r="C1563" t="s">
        <v>16</v>
      </c>
      <c r="D1563" s="1">
        <v>46389</v>
      </c>
      <c r="E1563" t="s">
        <v>17</v>
      </c>
      <c r="Q1563" t="s">
        <v>109</v>
      </c>
      <c r="R1563" t="str">
        <f>_xlfn.XLOOKUP(GERAL[[#This Row],[Dia]],U:U,V:V,"")</f>
        <v/>
      </c>
    </row>
    <row r="1564" spans="1:18" hidden="1" x14ac:dyDescent="0.3">
      <c r="A1564" t="str">
        <f>_xlfn.XLOOKUP(GERAL[[#This Row],[Dia]],U:U,T:T,"")</f>
        <v/>
      </c>
      <c r="B1564" s="1">
        <v>46390</v>
      </c>
      <c r="C1564" t="s">
        <v>21</v>
      </c>
      <c r="D1564" s="1">
        <v>46390</v>
      </c>
      <c r="E1564" t="s">
        <v>17</v>
      </c>
      <c r="Q1564" t="s">
        <v>109</v>
      </c>
      <c r="R1564" t="str">
        <f>_xlfn.XLOOKUP(GERAL[[#This Row],[Dia]],U:U,V:V,"")</f>
        <v/>
      </c>
    </row>
    <row r="1565" spans="1:18" hidden="1" x14ac:dyDescent="0.3">
      <c r="A1565" t="str">
        <f>_xlfn.XLOOKUP(GERAL[[#This Row],[Dia]],U:U,T:T,"")</f>
        <v/>
      </c>
      <c r="B1565" s="1">
        <v>46391</v>
      </c>
      <c r="C1565" t="s">
        <v>22</v>
      </c>
      <c r="D1565" s="1">
        <v>46391</v>
      </c>
      <c r="Q1565" t="s">
        <v>109</v>
      </c>
      <c r="R1565" t="str">
        <f>_xlfn.XLOOKUP(GERAL[[#This Row],[Dia]],U:U,V:V,"")</f>
        <v/>
      </c>
    </row>
    <row r="1566" spans="1:18" hidden="1" x14ac:dyDescent="0.3">
      <c r="A1566" t="str">
        <f>_xlfn.XLOOKUP(GERAL[[#This Row],[Dia]],U:U,T:T,"")</f>
        <v/>
      </c>
      <c r="B1566" s="1">
        <v>46392</v>
      </c>
      <c r="C1566" t="s">
        <v>23</v>
      </c>
      <c r="D1566" s="1">
        <v>46392</v>
      </c>
      <c r="Q1566" t="s">
        <v>109</v>
      </c>
      <c r="R1566" t="str">
        <f>_xlfn.XLOOKUP(GERAL[[#This Row],[Dia]],U:U,V:V,"")</f>
        <v/>
      </c>
    </row>
    <row r="1567" spans="1:18" hidden="1" x14ac:dyDescent="0.3">
      <c r="A1567" t="str">
        <f>_xlfn.XLOOKUP(GERAL[[#This Row],[Dia]],U:U,T:T,"")</f>
        <v/>
      </c>
      <c r="B1567" s="1">
        <v>46393</v>
      </c>
      <c r="C1567" t="s">
        <v>24</v>
      </c>
      <c r="D1567" s="1">
        <v>46393</v>
      </c>
      <c r="Q1567" t="s">
        <v>109</v>
      </c>
      <c r="R1567" t="str">
        <f>_xlfn.XLOOKUP(GERAL[[#This Row],[Dia]],U:U,V:V,"")</f>
        <v/>
      </c>
    </row>
    <row r="1568" spans="1:18" hidden="1" x14ac:dyDescent="0.3">
      <c r="A1568" t="str">
        <f>_xlfn.XLOOKUP(GERAL[[#This Row],[Dia]],U:U,T:T,"")</f>
        <v/>
      </c>
      <c r="B1568" s="1">
        <v>46394</v>
      </c>
      <c r="C1568" t="s">
        <v>25</v>
      </c>
      <c r="D1568" s="1">
        <v>46394</v>
      </c>
      <c r="Q1568" t="s">
        <v>109</v>
      </c>
      <c r="R1568" t="str">
        <f>_xlfn.XLOOKUP(GERAL[[#This Row],[Dia]],U:U,V:V,"")</f>
        <v/>
      </c>
    </row>
    <row r="1569" spans="1:18" hidden="1" x14ac:dyDescent="0.3">
      <c r="A1569" t="str">
        <f>_xlfn.XLOOKUP(GERAL[[#This Row],[Dia]],U:U,T:T,"")</f>
        <v/>
      </c>
      <c r="B1569" s="1">
        <v>46395</v>
      </c>
      <c r="C1569" t="s">
        <v>26</v>
      </c>
      <c r="D1569" s="1">
        <v>46395</v>
      </c>
      <c r="Q1569" t="s">
        <v>109</v>
      </c>
      <c r="R1569" t="str">
        <f>_xlfn.XLOOKUP(GERAL[[#This Row],[Dia]],U:U,V:V,"")</f>
        <v/>
      </c>
    </row>
    <row r="1570" spans="1:18" hidden="1" x14ac:dyDescent="0.3">
      <c r="A1570" t="str">
        <f>_xlfn.XLOOKUP(GERAL[[#This Row],[Dia]],U:U,T:T,"")</f>
        <v/>
      </c>
      <c r="B1570" s="1">
        <v>46396</v>
      </c>
      <c r="C1570" t="s">
        <v>16</v>
      </c>
      <c r="D1570" s="1">
        <v>46396</v>
      </c>
      <c r="E1570" t="s">
        <v>17</v>
      </c>
      <c r="Q1570" t="s">
        <v>109</v>
      </c>
      <c r="R1570" t="str">
        <f>_xlfn.XLOOKUP(GERAL[[#This Row],[Dia]],U:U,V:V,"")</f>
        <v/>
      </c>
    </row>
    <row r="1571" spans="1:18" hidden="1" x14ac:dyDescent="0.3">
      <c r="A1571" t="str">
        <f>_xlfn.XLOOKUP(GERAL[[#This Row],[Dia]],U:U,T:T,"")</f>
        <v/>
      </c>
      <c r="B1571" s="1">
        <v>46397</v>
      </c>
      <c r="C1571" t="s">
        <v>21</v>
      </c>
      <c r="D1571" s="1">
        <v>46397</v>
      </c>
      <c r="E1571" t="s">
        <v>17</v>
      </c>
      <c r="Q1571" t="s">
        <v>109</v>
      </c>
      <c r="R1571" t="str">
        <f>_xlfn.XLOOKUP(GERAL[[#This Row],[Dia]],U:U,V:V,"")</f>
        <v/>
      </c>
    </row>
    <row r="1572" spans="1:18" hidden="1" x14ac:dyDescent="0.3">
      <c r="A1572" t="str">
        <f>_xlfn.XLOOKUP(GERAL[[#This Row],[Dia]],U:U,T:T,"")</f>
        <v/>
      </c>
      <c r="B1572" s="1">
        <v>46398</v>
      </c>
      <c r="C1572" t="s">
        <v>22</v>
      </c>
      <c r="D1572" s="1">
        <v>46398</v>
      </c>
      <c r="Q1572" t="s">
        <v>109</v>
      </c>
      <c r="R1572" t="str">
        <f>_xlfn.XLOOKUP(GERAL[[#This Row],[Dia]],U:U,V:V,"")</f>
        <v/>
      </c>
    </row>
    <row r="1573" spans="1:18" hidden="1" x14ac:dyDescent="0.3">
      <c r="A1573" t="str">
        <f>_xlfn.XLOOKUP(GERAL[[#This Row],[Dia]],U:U,T:T,"")</f>
        <v/>
      </c>
      <c r="B1573" s="1">
        <v>46399</v>
      </c>
      <c r="C1573" t="s">
        <v>23</v>
      </c>
      <c r="D1573" s="1">
        <v>46399</v>
      </c>
      <c r="Q1573" t="s">
        <v>109</v>
      </c>
      <c r="R1573" t="str">
        <f>_xlfn.XLOOKUP(GERAL[[#This Row],[Dia]],U:U,V:V,"")</f>
        <v/>
      </c>
    </row>
    <row r="1574" spans="1:18" hidden="1" x14ac:dyDescent="0.3">
      <c r="A1574" t="str">
        <f>_xlfn.XLOOKUP(GERAL[[#This Row],[Dia]],U:U,T:T,"")</f>
        <v/>
      </c>
      <c r="B1574" s="1">
        <v>46400</v>
      </c>
      <c r="C1574" t="s">
        <v>24</v>
      </c>
      <c r="D1574" s="1">
        <v>46400</v>
      </c>
      <c r="Q1574" t="s">
        <v>109</v>
      </c>
      <c r="R1574" t="str">
        <f>_xlfn.XLOOKUP(GERAL[[#This Row],[Dia]],U:U,V:V,"")</f>
        <v/>
      </c>
    </row>
    <row r="1575" spans="1:18" hidden="1" x14ac:dyDescent="0.3">
      <c r="A1575" t="str">
        <f>_xlfn.XLOOKUP(GERAL[[#This Row],[Dia]],U:U,T:T,"")</f>
        <v/>
      </c>
      <c r="B1575" s="1">
        <v>46401</v>
      </c>
      <c r="C1575" t="s">
        <v>25</v>
      </c>
      <c r="D1575" s="1">
        <v>46401</v>
      </c>
      <c r="Q1575" t="s">
        <v>109</v>
      </c>
      <c r="R1575" t="str">
        <f>_xlfn.XLOOKUP(GERAL[[#This Row],[Dia]],U:U,V:V,"")</f>
        <v/>
      </c>
    </row>
    <row r="1576" spans="1:18" hidden="1" x14ac:dyDescent="0.3">
      <c r="A1576" t="str">
        <f>_xlfn.XLOOKUP(GERAL[[#This Row],[Dia]],U:U,T:T,"")</f>
        <v/>
      </c>
      <c r="B1576" s="1">
        <v>46402</v>
      </c>
      <c r="C1576" t="s">
        <v>26</v>
      </c>
      <c r="D1576" s="1">
        <v>46402</v>
      </c>
      <c r="Q1576" t="s">
        <v>109</v>
      </c>
      <c r="R1576" t="str">
        <f>_xlfn.XLOOKUP(GERAL[[#This Row],[Dia]],U:U,V:V,"")</f>
        <v/>
      </c>
    </row>
    <row r="1577" spans="1:18" hidden="1" x14ac:dyDescent="0.3">
      <c r="A1577" t="str">
        <f>_xlfn.XLOOKUP(GERAL[[#This Row],[Dia]],U:U,T:T,"")</f>
        <v/>
      </c>
      <c r="B1577" s="1">
        <v>46403</v>
      </c>
      <c r="C1577" t="s">
        <v>16</v>
      </c>
      <c r="D1577" s="1">
        <v>46403</v>
      </c>
      <c r="E1577" t="s">
        <v>17</v>
      </c>
      <c r="Q1577" t="s">
        <v>109</v>
      </c>
      <c r="R1577" t="str">
        <f>_xlfn.XLOOKUP(GERAL[[#This Row],[Dia]],U:U,V:V,"")</f>
        <v/>
      </c>
    </row>
    <row r="1578" spans="1:18" hidden="1" x14ac:dyDescent="0.3">
      <c r="A1578" t="str">
        <f>_xlfn.XLOOKUP(GERAL[[#This Row],[Dia]],U:U,T:T,"")</f>
        <v/>
      </c>
      <c r="B1578" s="1">
        <v>46404</v>
      </c>
      <c r="C1578" t="s">
        <v>21</v>
      </c>
      <c r="D1578" s="1">
        <v>46404</v>
      </c>
      <c r="E1578" t="s">
        <v>17</v>
      </c>
      <c r="Q1578" t="s">
        <v>109</v>
      </c>
      <c r="R1578" t="str">
        <f>_xlfn.XLOOKUP(GERAL[[#This Row],[Dia]],U:U,V:V,"")</f>
        <v/>
      </c>
    </row>
    <row r="1579" spans="1:18" hidden="1" x14ac:dyDescent="0.3">
      <c r="A1579" t="str">
        <f>_xlfn.XLOOKUP(GERAL[[#This Row],[Dia]],U:U,T:T,"")</f>
        <v/>
      </c>
      <c r="B1579" s="1">
        <v>46405</v>
      </c>
      <c r="C1579" t="s">
        <v>22</v>
      </c>
      <c r="D1579" s="1">
        <v>46405</v>
      </c>
      <c r="Q1579" t="s">
        <v>109</v>
      </c>
      <c r="R1579" t="str">
        <f>_xlfn.XLOOKUP(GERAL[[#This Row],[Dia]],U:U,V:V,"")</f>
        <v/>
      </c>
    </row>
    <row r="1580" spans="1:18" hidden="1" x14ac:dyDescent="0.3">
      <c r="A1580" t="str">
        <f>_xlfn.XLOOKUP(GERAL[[#This Row],[Dia]],U:U,T:T,"")</f>
        <v/>
      </c>
      <c r="B1580" s="1">
        <v>46406</v>
      </c>
      <c r="C1580" t="s">
        <v>23</v>
      </c>
      <c r="D1580" s="1">
        <v>46406</v>
      </c>
      <c r="Q1580" t="s">
        <v>109</v>
      </c>
      <c r="R1580" t="str">
        <f>_xlfn.XLOOKUP(GERAL[[#This Row],[Dia]],U:U,V:V,"")</f>
        <v/>
      </c>
    </row>
    <row r="1581" spans="1:18" hidden="1" x14ac:dyDescent="0.3">
      <c r="A1581" t="str">
        <f>_xlfn.XLOOKUP(GERAL[[#This Row],[Dia]],U:U,T:T,"")</f>
        <v/>
      </c>
      <c r="B1581" s="1">
        <v>46407</v>
      </c>
      <c r="C1581" t="s">
        <v>24</v>
      </c>
      <c r="D1581" s="1">
        <v>46407</v>
      </c>
      <c r="Q1581" t="s">
        <v>109</v>
      </c>
      <c r="R1581" t="str">
        <f>_xlfn.XLOOKUP(GERAL[[#This Row],[Dia]],U:U,V:V,"")</f>
        <v/>
      </c>
    </row>
    <row r="1582" spans="1:18" hidden="1" x14ac:dyDescent="0.3">
      <c r="A1582" t="str">
        <f>_xlfn.XLOOKUP(GERAL[[#This Row],[Dia]],U:U,T:T,"")</f>
        <v/>
      </c>
      <c r="B1582" s="1">
        <v>46408</v>
      </c>
      <c r="C1582" t="s">
        <v>25</v>
      </c>
      <c r="D1582" s="1">
        <v>46408</v>
      </c>
      <c r="Q1582" t="s">
        <v>109</v>
      </c>
      <c r="R1582" t="str">
        <f>_xlfn.XLOOKUP(GERAL[[#This Row],[Dia]],U:U,V:V,"")</f>
        <v/>
      </c>
    </row>
    <row r="1583" spans="1:18" hidden="1" x14ac:dyDescent="0.3">
      <c r="A1583" t="str">
        <f>_xlfn.XLOOKUP(GERAL[[#This Row],[Dia]],U:U,T:T,"")</f>
        <v/>
      </c>
      <c r="B1583" s="1">
        <v>46409</v>
      </c>
      <c r="C1583" t="s">
        <v>26</v>
      </c>
      <c r="D1583" s="1">
        <v>46409</v>
      </c>
      <c r="Q1583" t="s">
        <v>109</v>
      </c>
      <c r="R1583" t="str">
        <f>_xlfn.XLOOKUP(GERAL[[#This Row],[Dia]],U:U,V:V,"")</f>
        <v/>
      </c>
    </row>
    <row r="1584" spans="1:18" hidden="1" x14ac:dyDescent="0.3">
      <c r="A1584" t="str">
        <f>_xlfn.XLOOKUP(GERAL[[#This Row],[Dia]],U:U,T:T,"")</f>
        <v/>
      </c>
      <c r="B1584" s="1">
        <v>46410</v>
      </c>
      <c r="C1584" t="s">
        <v>16</v>
      </c>
      <c r="D1584" s="1">
        <v>46410</v>
      </c>
      <c r="E1584" t="s">
        <v>17</v>
      </c>
      <c r="Q1584" t="s">
        <v>109</v>
      </c>
      <c r="R1584" t="str">
        <f>_xlfn.XLOOKUP(GERAL[[#This Row],[Dia]],U:U,V:V,"")</f>
        <v/>
      </c>
    </row>
    <row r="1585" spans="1:18" hidden="1" x14ac:dyDescent="0.3">
      <c r="A1585" t="str">
        <f>_xlfn.XLOOKUP(GERAL[[#This Row],[Dia]],U:U,T:T,"")</f>
        <v/>
      </c>
      <c r="B1585" s="1">
        <v>46411</v>
      </c>
      <c r="C1585" t="s">
        <v>21</v>
      </c>
      <c r="D1585" s="1">
        <v>46411</v>
      </c>
      <c r="E1585" t="s">
        <v>17</v>
      </c>
      <c r="Q1585" t="s">
        <v>109</v>
      </c>
      <c r="R1585" t="str">
        <f>_xlfn.XLOOKUP(GERAL[[#This Row],[Dia]],U:U,V:V,"")</f>
        <v/>
      </c>
    </row>
    <row r="1586" spans="1:18" hidden="1" x14ac:dyDescent="0.3">
      <c r="A1586" t="str">
        <f>_xlfn.XLOOKUP(GERAL[[#This Row],[Dia]],U:U,T:T,"")</f>
        <v/>
      </c>
      <c r="B1586" s="1">
        <v>46412</v>
      </c>
      <c r="C1586" t="s">
        <v>22</v>
      </c>
      <c r="D1586" s="1">
        <v>46412</v>
      </c>
      <c r="Q1586" t="s">
        <v>109</v>
      </c>
      <c r="R1586" t="str">
        <f>_xlfn.XLOOKUP(GERAL[[#This Row],[Dia]],U:U,V:V,"")</f>
        <v/>
      </c>
    </row>
    <row r="1587" spans="1:18" hidden="1" x14ac:dyDescent="0.3">
      <c r="A1587" t="str">
        <f>_xlfn.XLOOKUP(GERAL[[#This Row],[Dia]],U:U,T:T,"")</f>
        <v/>
      </c>
      <c r="B1587" s="1">
        <v>46413</v>
      </c>
      <c r="C1587" t="s">
        <v>23</v>
      </c>
      <c r="D1587" s="1">
        <v>46413</v>
      </c>
      <c r="Q1587" t="s">
        <v>109</v>
      </c>
      <c r="R1587" t="str">
        <f>_xlfn.XLOOKUP(GERAL[[#This Row],[Dia]],U:U,V:V,"")</f>
        <v/>
      </c>
    </row>
    <row r="1588" spans="1:18" hidden="1" x14ac:dyDescent="0.3">
      <c r="A1588" t="str">
        <f>_xlfn.XLOOKUP(GERAL[[#This Row],[Dia]],U:U,T:T,"")</f>
        <v/>
      </c>
      <c r="B1588" s="1">
        <v>46414</v>
      </c>
      <c r="C1588" t="s">
        <v>24</v>
      </c>
      <c r="D1588" s="1">
        <v>46414</v>
      </c>
      <c r="Q1588" t="s">
        <v>109</v>
      </c>
      <c r="R1588" t="str">
        <f>_xlfn.XLOOKUP(GERAL[[#This Row],[Dia]],U:U,V:V,"")</f>
        <v/>
      </c>
    </row>
    <row r="1589" spans="1:18" hidden="1" x14ac:dyDescent="0.3">
      <c r="A1589" t="str">
        <f>_xlfn.XLOOKUP(GERAL[[#This Row],[Dia]],U:U,T:T,"")</f>
        <v/>
      </c>
      <c r="B1589" s="1">
        <v>46415</v>
      </c>
      <c r="C1589" t="s">
        <v>25</v>
      </c>
      <c r="D1589" s="1">
        <v>46415</v>
      </c>
      <c r="Q1589" t="s">
        <v>109</v>
      </c>
      <c r="R1589" t="str">
        <f>_xlfn.XLOOKUP(GERAL[[#This Row],[Dia]],U:U,V:V,"")</f>
        <v/>
      </c>
    </row>
    <row r="1590" spans="1:18" hidden="1" x14ac:dyDescent="0.3">
      <c r="A1590" t="str">
        <f>_xlfn.XLOOKUP(GERAL[[#This Row],[Dia]],U:U,T:T,"")</f>
        <v/>
      </c>
      <c r="B1590" s="1">
        <v>46416</v>
      </c>
      <c r="C1590" t="s">
        <v>26</v>
      </c>
      <c r="D1590" s="1">
        <v>46416</v>
      </c>
      <c r="Q1590" t="s">
        <v>109</v>
      </c>
      <c r="R1590" t="str">
        <f>_xlfn.XLOOKUP(GERAL[[#This Row],[Dia]],U:U,V:V,"")</f>
        <v/>
      </c>
    </row>
    <row r="1591" spans="1:18" hidden="1" x14ac:dyDescent="0.3">
      <c r="A1591" t="str">
        <f>_xlfn.XLOOKUP(GERAL[[#This Row],[Dia]],U:U,T:T,"")</f>
        <v/>
      </c>
      <c r="B1591" s="1">
        <v>46417</v>
      </c>
      <c r="C1591" t="s">
        <v>16</v>
      </c>
      <c r="D1591" s="1">
        <v>46417</v>
      </c>
      <c r="E1591" t="s">
        <v>17</v>
      </c>
      <c r="Q1591" t="s">
        <v>109</v>
      </c>
      <c r="R1591" t="str">
        <f>_xlfn.XLOOKUP(GERAL[[#This Row],[Dia]],U:U,V:V,"")</f>
        <v/>
      </c>
    </row>
    <row r="1592" spans="1:18" hidden="1" x14ac:dyDescent="0.3">
      <c r="A1592" t="str">
        <f>_xlfn.XLOOKUP(GERAL[[#This Row],[Dia]],U:U,T:T,"")</f>
        <v/>
      </c>
      <c r="B1592" s="1">
        <v>46418</v>
      </c>
      <c r="C1592" t="s">
        <v>21</v>
      </c>
      <c r="D1592" s="1">
        <v>46418</v>
      </c>
      <c r="E1592" t="s">
        <v>17</v>
      </c>
      <c r="Q1592" t="s">
        <v>109</v>
      </c>
      <c r="R1592" t="str">
        <f>_xlfn.XLOOKUP(GERAL[[#This Row],[Dia]],U:U,V:V,"")</f>
        <v/>
      </c>
    </row>
    <row r="1593" spans="1:18" hidden="1" x14ac:dyDescent="0.3">
      <c r="A1593" t="str">
        <f>_xlfn.XLOOKUP(GERAL[[#This Row],[Dia]],U:U,T:T,"")</f>
        <v/>
      </c>
      <c r="B1593" s="1">
        <v>46419</v>
      </c>
      <c r="C1593" t="s">
        <v>22</v>
      </c>
      <c r="D1593" s="1">
        <v>46419</v>
      </c>
      <c r="Q1593" t="s">
        <v>109</v>
      </c>
      <c r="R1593" t="str">
        <f>_xlfn.XLOOKUP(GERAL[[#This Row],[Dia]],U:U,V:V,"")</f>
        <v/>
      </c>
    </row>
    <row r="1594" spans="1:18" hidden="1" x14ac:dyDescent="0.3">
      <c r="A1594" t="str">
        <f>_xlfn.XLOOKUP(GERAL[[#This Row],[Dia]],U:U,T:T,"")</f>
        <v/>
      </c>
      <c r="B1594" s="1">
        <v>46420</v>
      </c>
      <c r="C1594" t="s">
        <v>23</v>
      </c>
      <c r="D1594" s="1">
        <v>46420</v>
      </c>
      <c r="Q1594" t="s">
        <v>109</v>
      </c>
      <c r="R1594" t="str">
        <f>_xlfn.XLOOKUP(GERAL[[#This Row],[Dia]],U:U,V:V,"")</f>
        <v/>
      </c>
    </row>
    <row r="1595" spans="1:18" hidden="1" x14ac:dyDescent="0.3">
      <c r="A1595" t="str">
        <f>_xlfn.XLOOKUP(GERAL[[#This Row],[Dia]],U:U,T:T,"")</f>
        <v/>
      </c>
      <c r="B1595" s="1">
        <v>46421</v>
      </c>
      <c r="C1595" t="s">
        <v>24</v>
      </c>
      <c r="D1595" s="1">
        <v>46421</v>
      </c>
      <c r="Q1595" t="s">
        <v>109</v>
      </c>
      <c r="R1595" t="str">
        <f>_xlfn.XLOOKUP(GERAL[[#This Row],[Dia]],U:U,V:V,"")</f>
        <v/>
      </c>
    </row>
    <row r="1596" spans="1:18" hidden="1" x14ac:dyDescent="0.3">
      <c r="A1596" t="str">
        <f>_xlfn.XLOOKUP(GERAL[[#This Row],[Dia]],U:U,T:T,"")</f>
        <v/>
      </c>
      <c r="B1596" s="1">
        <v>46422</v>
      </c>
      <c r="C1596" t="s">
        <v>25</v>
      </c>
      <c r="D1596" s="1">
        <v>46422</v>
      </c>
      <c r="Q1596" t="s">
        <v>109</v>
      </c>
      <c r="R1596" t="str">
        <f>_xlfn.XLOOKUP(GERAL[[#This Row],[Dia]],U:U,V:V,"")</f>
        <v/>
      </c>
    </row>
    <row r="1597" spans="1:18" hidden="1" x14ac:dyDescent="0.3">
      <c r="A1597" t="str">
        <f>_xlfn.XLOOKUP(GERAL[[#This Row],[Dia]],U:U,T:T,"")</f>
        <v/>
      </c>
      <c r="B1597" s="1">
        <v>46423</v>
      </c>
      <c r="C1597" t="s">
        <v>26</v>
      </c>
      <c r="D1597" s="1">
        <v>46423</v>
      </c>
      <c r="Q1597" t="s">
        <v>109</v>
      </c>
      <c r="R1597" t="str">
        <f>_xlfn.XLOOKUP(GERAL[[#This Row],[Dia]],U:U,V:V,"")</f>
        <v/>
      </c>
    </row>
    <row r="1598" spans="1:18" hidden="1" x14ac:dyDescent="0.3">
      <c r="A1598" t="str">
        <f>_xlfn.XLOOKUP(GERAL[[#This Row],[Dia]],U:U,T:T,"")</f>
        <v/>
      </c>
      <c r="B1598" s="1">
        <v>46424</v>
      </c>
      <c r="C1598" t="s">
        <v>16</v>
      </c>
      <c r="D1598" s="1">
        <v>46424</v>
      </c>
      <c r="E1598" t="s">
        <v>17</v>
      </c>
      <c r="Q1598" t="s">
        <v>109</v>
      </c>
      <c r="R1598" t="str">
        <f>_xlfn.XLOOKUP(GERAL[[#This Row],[Dia]],U:U,V:V,"")</f>
        <v/>
      </c>
    </row>
    <row r="1599" spans="1:18" hidden="1" x14ac:dyDescent="0.3">
      <c r="A1599" t="str">
        <f>_xlfn.XLOOKUP(GERAL[[#This Row],[Dia]],U:U,T:T,"")</f>
        <v/>
      </c>
      <c r="B1599" s="1">
        <v>46425</v>
      </c>
      <c r="C1599" t="s">
        <v>21</v>
      </c>
      <c r="D1599" s="1">
        <v>46425</v>
      </c>
      <c r="E1599" t="s">
        <v>17</v>
      </c>
      <c r="Q1599" t="s">
        <v>109</v>
      </c>
      <c r="R1599" t="str">
        <f>_xlfn.XLOOKUP(GERAL[[#This Row],[Dia]],U:U,V:V,"")</f>
        <v/>
      </c>
    </row>
    <row r="1600" spans="1:18" hidden="1" x14ac:dyDescent="0.3">
      <c r="A1600" t="str">
        <f>_xlfn.XLOOKUP(GERAL[[#This Row],[Dia]],U:U,T:T,"")</f>
        <v/>
      </c>
      <c r="B1600" s="1">
        <v>46426</v>
      </c>
      <c r="C1600" t="s">
        <v>22</v>
      </c>
      <c r="D1600" s="1">
        <v>46426</v>
      </c>
      <c r="Q1600" t="s">
        <v>109</v>
      </c>
      <c r="R1600" t="str">
        <f>_xlfn.XLOOKUP(GERAL[[#This Row],[Dia]],U:U,V:V,"")</f>
        <v/>
      </c>
    </row>
    <row r="1601" spans="1:18" hidden="1" x14ac:dyDescent="0.3">
      <c r="A1601" t="str">
        <f>_xlfn.XLOOKUP(GERAL[[#This Row],[Dia]],U:U,T:T,"")</f>
        <v/>
      </c>
      <c r="B1601" s="1">
        <v>46427</v>
      </c>
      <c r="C1601" t="s">
        <v>23</v>
      </c>
      <c r="D1601" s="1">
        <v>46427</v>
      </c>
      <c r="Q1601" t="s">
        <v>109</v>
      </c>
      <c r="R1601" t="str">
        <f>_xlfn.XLOOKUP(GERAL[[#This Row],[Dia]],U:U,V:V,"")</f>
        <v/>
      </c>
    </row>
    <row r="1602" spans="1:18" hidden="1" x14ac:dyDescent="0.3">
      <c r="A1602" t="str">
        <f>_xlfn.XLOOKUP(GERAL[[#This Row],[Dia]],U:U,T:T,"")</f>
        <v/>
      </c>
      <c r="B1602" s="1">
        <v>46428</v>
      </c>
      <c r="C1602" t="s">
        <v>24</v>
      </c>
      <c r="D1602" s="1">
        <v>46428</v>
      </c>
      <c r="Q1602" t="s">
        <v>109</v>
      </c>
      <c r="R1602" t="str">
        <f>_xlfn.XLOOKUP(GERAL[[#This Row],[Dia]],U:U,V:V,"")</f>
        <v/>
      </c>
    </row>
    <row r="1603" spans="1:18" hidden="1" x14ac:dyDescent="0.3">
      <c r="A1603" t="str">
        <f>_xlfn.XLOOKUP(GERAL[[#This Row],[Dia]],U:U,T:T,"")</f>
        <v/>
      </c>
      <c r="B1603" s="1">
        <v>46429</v>
      </c>
      <c r="C1603" t="s">
        <v>25</v>
      </c>
      <c r="D1603" s="1">
        <v>46429</v>
      </c>
      <c r="Q1603" t="s">
        <v>109</v>
      </c>
      <c r="R1603" t="str">
        <f>_xlfn.XLOOKUP(GERAL[[#This Row],[Dia]],U:U,V:V,"")</f>
        <v/>
      </c>
    </row>
    <row r="1604" spans="1:18" hidden="1" x14ac:dyDescent="0.3">
      <c r="A1604" t="str">
        <f>_xlfn.XLOOKUP(GERAL[[#This Row],[Dia]],U:U,T:T,"")</f>
        <v/>
      </c>
      <c r="B1604" s="1">
        <v>46430</v>
      </c>
      <c r="C1604" t="s">
        <v>26</v>
      </c>
      <c r="D1604" s="1">
        <v>46430</v>
      </c>
      <c r="Q1604" t="s">
        <v>109</v>
      </c>
      <c r="R1604" t="str">
        <f>_xlfn.XLOOKUP(GERAL[[#This Row],[Dia]],U:U,V:V,"")</f>
        <v/>
      </c>
    </row>
    <row r="1605" spans="1:18" hidden="1" x14ac:dyDescent="0.3">
      <c r="A1605" t="str">
        <f>_xlfn.XLOOKUP(GERAL[[#This Row],[Dia]],U:U,T:T,"")</f>
        <v/>
      </c>
      <c r="B1605" s="1">
        <v>46431</v>
      </c>
      <c r="C1605" t="s">
        <v>16</v>
      </c>
      <c r="D1605" s="1">
        <v>46431</v>
      </c>
      <c r="E1605" t="s">
        <v>17</v>
      </c>
      <c r="Q1605" t="s">
        <v>109</v>
      </c>
      <c r="R1605" t="str">
        <f>_xlfn.XLOOKUP(GERAL[[#This Row],[Dia]],U:U,V:V,"")</f>
        <v/>
      </c>
    </row>
    <row r="1606" spans="1:18" hidden="1" x14ac:dyDescent="0.3">
      <c r="A1606" t="str">
        <f>_xlfn.XLOOKUP(GERAL[[#This Row],[Dia]],U:U,T:T,"")</f>
        <v/>
      </c>
      <c r="B1606" s="1">
        <v>46432</v>
      </c>
      <c r="C1606" t="s">
        <v>21</v>
      </c>
      <c r="D1606" s="1">
        <v>46432</v>
      </c>
      <c r="E1606" t="s">
        <v>17</v>
      </c>
      <c r="Q1606" t="s">
        <v>109</v>
      </c>
      <c r="R1606" t="str">
        <f>_xlfn.XLOOKUP(GERAL[[#This Row],[Dia]],U:U,V:V,"")</f>
        <v/>
      </c>
    </row>
    <row r="1607" spans="1:18" hidden="1" x14ac:dyDescent="0.3">
      <c r="A1607" t="str">
        <f>_xlfn.XLOOKUP(GERAL[[#This Row],[Dia]],U:U,T:T,"")</f>
        <v/>
      </c>
      <c r="B1607" s="1">
        <v>46433</v>
      </c>
      <c r="C1607" t="s">
        <v>22</v>
      </c>
      <c r="D1607" s="1">
        <v>46433</v>
      </c>
      <c r="Q1607" t="s">
        <v>109</v>
      </c>
      <c r="R1607" t="str">
        <f>_xlfn.XLOOKUP(GERAL[[#This Row],[Dia]],U:U,V:V,"")</f>
        <v/>
      </c>
    </row>
    <row r="1608" spans="1:18" hidden="1" x14ac:dyDescent="0.3">
      <c r="A1608" t="str">
        <f>_xlfn.XLOOKUP(GERAL[[#This Row],[Dia]],U:U,T:T,"")</f>
        <v/>
      </c>
      <c r="B1608" s="1">
        <v>45962</v>
      </c>
      <c r="C1608" t="s">
        <v>16</v>
      </c>
      <c r="D1608" s="1">
        <v>45962</v>
      </c>
      <c r="E1608" t="s">
        <v>17</v>
      </c>
      <c r="Q1608" t="s">
        <v>121</v>
      </c>
      <c r="R1608" t="str">
        <f>_xlfn.XLOOKUP(GERAL[[#This Row],[Dia]],U:U,V:V,"")</f>
        <v/>
      </c>
    </row>
    <row r="1609" spans="1:18" hidden="1" x14ac:dyDescent="0.3">
      <c r="A1609" t="str">
        <f>_xlfn.XLOOKUP(GERAL[[#This Row],[Dia]],U:U,T:T,"")</f>
        <v/>
      </c>
      <c r="B1609" s="1">
        <v>45963</v>
      </c>
      <c r="C1609" t="s">
        <v>21</v>
      </c>
      <c r="D1609" s="1">
        <v>45963</v>
      </c>
      <c r="E1609" t="s">
        <v>17</v>
      </c>
      <c r="Q1609" t="s">
        <v>121</v>
      </c>
      <c r="R1609" t="str">
        <f>_xlfn.XLOOKUP(GERAL[[#This Row],[Dia]],U:U,V:V,"")</f>
        <v/>
      </c>
    </row>
    <row r="1610" spans="1:18" hidden="1" x14ac:dyDescent="0.3">
      <c r="A1610" t="str">
        <f>_xlfn.XLOOKUP(GERAL[[#This Row],[Dia]],U:U,T:T,"")</f>
        <v/>
      </c>
      <c r="B1610" s="1">
        <v>45964</v>
      </c>
      <c r="C1610" t="s">
        <v>22</v>
      </c>
      <c r="D1610" s="1">
        <v>45964</v>
      </c>
      <c r="Q1610" t="s">
        <v>121</v>
      </c>
      <c r="R1610" t="str">
        <f>_xlfn.XLOOKUP(GERAL[[#This Row],[Dia]],U:U,V:V,"")</f>
        <v/>
      </c>
    </row>
    <row r="1611" spans="1:18" hidden="1" x14ac:dyDescent="0.3">
      <c r="A1611" t="str">
        <f>_xlfn.XLOOKUP(GERAL[[#This Row],[Dia]],U:U,T:T,"")</f>
        <v/>
      </c>
      <c r="B1611" s="1">
        <v>45965</v>
      </c>
      <c r="C1611" t="s">
        <v>23</v>
      </c>
      <c r="D1611" s="1">
        <v>45965</v>
      </c>
      <c r="Q1611" t="s">
        <v>121</v>
      </c>
      <c r="R1611" t="str">
        <f>_xlfn.XLOOKUP(GERAL[[#This Row],[Dia]],U:U,V:V,"")</f>
        <v/>
      </c>
    </row>
    <row r="1612" spans="1:18" hidden="1" x14ac:dyDescent="0.3">
      <c r="A1612" t="str">
        <f>_xlfn.XLOOKUP(GERAL[[#This Row],[Dia]],U:U,T:T,"")</f>
        <v/>
      </c>
      <c r="B1612" s="1">
        <v>45966</v>
      </c>
      <c r="C1612" t="s">
        <v>24</v>
      </c>
      <c r="D1612" s="1">
        <v>45966</v>
      </c>
      <c r="Q1612" t="s">
        <v>121</v>
      </c>
      <c r="R1612" t="str">
        <f>_xlfn.XLOOKUP(GERAL[[#This Row],[Dia]],U:U,V:V,"")</f>
        <v/>
      </c>
    </row>
    <row r="1613" spans="1:18" hidden="1" x14ac:dyDescent="0.3">
      <c r="A1613" t="str">
        <f>_xlfn.XLOOKUP(GERAL[[#This Row],[Dia]],U:U,T:T,"")</f>
        <v/>
      </c>
      <c r="B1613" s="1">
        <v>45967</v>
      </c>
      <c r="C1613" t="s">
        <v>25</v>
      </c>
      <c r="D1613" s="1">
        <v>45967</v>
      </c>
      <c r="Q1613" t="s">
        <v>121</v>
      </c>
      <c r="R1613" t="str">
        <f>_xlfn.XLOOKUP(GERAL[[#This Row],[Dia]],U:U,V:V,"")</f>
        <v/>
      </c>
    </row>
    <row r="1614" spans="1:18" hidden="1" x14ac:dyDescent="0.3">
      <c r="A1614" t="str">
        <f>_xlfn.XLOOKUP(GERAL[[#This Row],[Dia]],U:U,T:T,"")</f>
        <v/>
      </c>
      <c r="B1614" s="1">
        <v>45968</v>
      </c>
      <c r="C1614" t="s">
        <v>26</v>
      </c>
      <c r="D1614" s="1">
        <v>45968</v>
      </c>
      <c r="Q1614" t="s">
        <v>121</v>
      </c>
      <c r="R1614" t="str">
        <f>_xlfn.XLOOKUP(GERAL[[#This Row],[Dia]],U:U,V:V,"")</f>
        <v/>
      </c>
    </row>
    <row r="1615" spans="1:18" hidden="1" x14ac:dyDescent="0.3">
      <c r="A1615" t="str">
        <f>_xlfn.XLOOKUP(GERAL[[#This Row],[Dia]],U:U,T:T,"")</f>
        <v/>
      </c>
      <c r="B1615" s="1">
        <v>45969</v>
      </c>
      <c r="C1615" t="s">
        <v>16</v>
      </c>
      <c r="D1615" s="1">
        <v>45969</v>
      </c>
      <c r="E1615" t="s">
        <v>17</v>
      </c>
      <c r="Q1615" t="s">
        <v>121</v>
      </c>
      <c r="R1615" t="str">
        <f>_xlfn.XLOOKUP(GERAL[[#This Row],[Dia]],U:U,V:V,"")</f>
        <v/>
      </c>
    </row>
    <row r="1616" spans="1:18" hidden="1" x14ac:dyDescent="0.3">
      <c r="A1616" t="str">
        <f>_xlfn.XLOOKUP(GERAL[[#This Row],[Dia]],U:U,T:T,"")</f>
        <v/>
      </c>
      <c r="B1616" s="1">
        <v>45970</v>
      </c>
      <c r="C1616" t="s">
        <v>21</v>
      </c>
      <c r="D1616" s="1">
        <v>45970</v>
      </c>
      <c r="E1616" t="s">
        <v>17</v>
      </c>
      <c r="Q1616" t="s">
        <v>121</v>
      </c>
      <c r="R1616" t="str">
        <f>_xlfn.XLOOKUP(GERAL[[#This Row],[Dia]],U:U,V:V,"")</f>
        <v/>
      </c>
    </row>
    <row r="1617" spans="1:18" hidden="1" x14ac:dyDescent="0.3">
      <c r="A1617" t="str">
        <f>_xlfn.XLOOKUP(GERAL[[#This Row],[Dia]],U:U,T:T,"")</f>
        <v/>
      </c>
      <c r="B1617" s="1">
        <v>45971</v>
      </c>
      <c r="C1617" t="s">
        <v>22</v>
      </c>
      <c r="D1617" s="1">
        <v>45971</v>
      </c>
      <c r="Q1617" t="s">
        <v>121</v>
      </c>
      <c r="R1617" t="str">
        <f>_xlfn.XLOOKUP(GERAL[[#This Row],[Dia]],U:U,V:V,"")</f>
        <v/>
      </c>
    </row>
    <row r="1618" spans="1:18" hidden="1" x14ac:dyDescent="0.3">
      <c r="A1618" t="str">
        <f>_xlfn.XLOOKUP(GERAL[[#This Row],[Dia]],U:U,T:T,"")</f>
        <v/>
      </c>
      <c r="B1618" s="1">
        <v>45972</v>
      </c>
      <c r="C1618" t="s">
        <v>23</v>
      </c>
      <c r="D1618" s="1">
        <v>45972</v>
      </c>
      <c r="Q1618" t="s">
        <v>121</v>
      </c>
      <c r="R1618" t="str">
        <f>_xlfn.XLOOKUP(GERAL[[#This Row],[Dia]],U:U,V:V,"")</f>
        <v/>
      </c>
    </row>
    <row r="1619" spans="1:18" hidden="1" x14ac:dyDescent="0.3">
      <c r="A1619" t="str">
        <f>_xlfn.XLOOKUP(GERAL[[#This Row],[Dia]],U:U,T:T,"")</f>
        <v/>
      </c>
      <c r="B1619" s="1">
        <v>45973</v>
      </c>
      <c r="C1619" t="s">
        <v>24</v>
      </c>
      <c r="D1619" s="1">
        <v>45973</v>
      </c>
      <c r="Q1619" t="s">
        <v>121</v>
      </c>
      <c r="R1619" t="str">
        <f>_xlfn.XLOOKUP(GERAL[[#This Row],[Dia]],U:U,V:V,"")</f>
        <v/>
      </c>
    </row>
    <row r="1620" spans="1:18" hidden="1" x14ac:dyDescent="0.3">
      <c r="A1620" t="str">
        <f>_xlfn.XLOOKUP(GERAL[[#This Row],[Dia]],U:U,T:T,"")</f>
        <v/>
      </c>
      <c r="B1620" s="1">
        <v>45974</v>
      </c>
      <c r="C1620" t="s">
        <v>25</v>
      </c>
      <c r="D1620" s="1">
        <v>45974</v>
      </c>
      <c r="Q1620" t="s">
        <v>121</v>
      </c>
      <c r="R1620" t="str">
        <f>_xlfn.XLOOKUP(GERAL[[#This Row],[Dia]],U:U,V:V,"")</f>
        <v/>
      </c>
    </row>
    <row r="1621" spans="1:18" hidden="1" x14ac:dyDescent="0.3">
      <c r="A1621" t="str">
        <f>_xlfn.XLOOKUP(GERAL[[#This Row],[Dia]],U:U,T:T,"")</f>
        <v/>
      </c>
      <c r="B1621" s="1">
        <v>45975</v>
      </c>
      <c r="C1621" t="s">
        <v>26</v>
      </c>
      <c r="D1621" s="1">
        <v>45975</v>
      </c>
      <c r="Q1621" t="s">
        <v>121</v>
      </c>
      <c r="R1621" t="str">
        <f>_xlfn.XLOOKUP(GERAL[[#This Row],[Dia]],U:U,V:V,"")</f>
        <v/>
      </c>
    </row>
    <row r="1622" spans="1:18" hidden="1" x14ac:dyDescent="0.3">
      <c r="A1622" t="str">
        <f>_xlfn.XLOOKUP(GERAL[[#This Row],[Dia]],U:U,T:T,"")</f>
        <v/>
      </c>
      <c r="B1622" s="1">
        <v>45976</v>
      </c>
      <c r="C1622" t="s">
        <v>16</v>
      </c>
      <c r="D1622" s="1">
        <v>45976</v>
      </c>
      <c r="E1622" t="s">
        <v>17</v>
      </c>
      <c r="Q1622" t="s">
        <v>121</v>
      </c>
      <c r="R1622" t="str">
        <f>_xlfn.XLOOKUP(GERAL[[#This Row],[Dia]],U:U,V:V,"")</f>
        <v/>
      </c>
    </row>
    <row r="1623" spans="1:18" hidden="1" x14ac:dyDescent="0.3">
      <c r="A1623" t="str">
        <f>_xlfn.XLOOKUP(GERAL[[#This Row],[Dia]],U:U,T:T,"")</f>
        <v/>
      </c>
      <c r="B1623" s="1">
        <v>45977</v>
      </c>
      <c r="C1623" t="s">
        <v>21</v>
      </c>
      <c r="D1623" s="1">
        <v>45977</v>
      </c>
      <c r="E1623" t="s">
        <v>17</v>
      </c>
      <c r="Q1623" t="s">
        <v>121</v>
      </c>
      <c r="R1623" t="str">
        <f>_xlfn.XLOOKUP(GERAL[[#This Row],[Dia]],U:U,V:V,"")</f>
        <v/>
      </c>
    </row>
    <row r="1624" spans="1:18" hidden="1" x14ac:dyDescent="0.3">
      <c r="A1624" t="str">
        <f>_xlfn.XLOOKUP(GERAL[[#This Row],[Dia]],U:U,T:T,"")</f>
        <v/>
      </c>
      <c r="B1624" s="1">
        <v>45978</v>
      </c>
      <c r="C1624" t="s">
        <v>22</v>
      </c>
      <c r="D1624" s="1">
        <v>45978</v>
      </c>
      <c r="Q1624" t="s">
        <v>121</v>
      </c>
      <c r="R1624" t="str">
        <f>_xlfn.XLOOKUP(GERAL[[#This Row],[Dia]],U:U,V:V,"")</f>
        <v/>
      </c>
    </row>
    <row r="1625" spans="1:18" hidden="1" x14ac:dyDescent="0.3">
      <c r="A1625" t="str">
        <f>_xlfn.XLOOKUP(GERAL[[#This Row],[Dia]],U:U,T:T,"")</f>
        <v/>
      </c>
      <c r="B1625" s="1">
        <v>45979</v>
      </c>
      <c r="C1625" t="s">
        <v>23</v>
      </c>
      <c r="D1625" s="1">
        <v>45979</v>
      </c>
      <c r="Q1625" t="s">
        <v>121</v>
      </c>
      <c r="R1625" t="str">
        <f>_xlfn.XLOOKUP(GERAL[[#This Row],[Dia]],U:U,V:V,"")</f>
        <v/>
      </c>
    </row>
    <row r="1626" spans="1:18" hidden="1" x14ac:dyDescent="0.3">
      <c r="A1626" t="str">
        <f>_xlfn.XLOOKUP(GERAL[[#This Row],[Dia]],U:U,T:T,"")</f>
        <v/>
      </c>
      <c r="B1626" s="1">
        <v>45980</v>
      </c>
      <c r="C1626" t="s">
        <v>24</v>
      </c>
      <c r="D1626" s="1">
        <v>45980</v>
      </c>
      <c r="Q1626" t="s">
        <v>121</v>
      </c>
      <c r="R1626" t="str">
        <f>_xlfn.XLOOKUP(GERAL[[#This Row],[Dia]],U:U,V:V,"")</f>
        <v/>
      </c>
    </row>
    <row r="1627" spans="1:18" hidden="1" x14ac:dyDescent="0.3">
      <c r="A1627" t="str">
        <f>_xlfn.XLOOKUP(GERAL[[#This Row],[Dia]],U:U,T:T,"")</f>
        <v/>
      </c>
      <c r="B1627" s="1">
        <v>45981</v>
      </c>
      <c r="C1627" t="s">
        <v>25</v>
      </c>
      <c r="D1627" s="1">
        <v>45981</v>
      </c>
      <c r="Q1627" t="s">
        <v>121</v>
      </c>
      <c r="R1627" t="str">
        <f>_xlfn.XLOOKUP(GERAL[[#This Row],[Dia]],U:U,V:V,"")</f>
        <v/>
      </c>
    </row>
    <row r="1628" spans="1:18" hidden="1" x14ac:dyDescent="0.3">
      <c r="A1628" t="str">
        <f>_xlfn.XLOOKUP(GERAL[[#This Row],[Dia]],U:U,T:T,"")</f>
        <v/>
      </c>
      <c r="B1628" s="1">
        <v>45982</v>
      </c>
      <c r="C1628" t="s">
        <v>26</v>
      </c>
      <c r="D1628" s="1">
        <v>45982</v>
      </c>
      <c r="Q1628" t="s">
        <v>121</v>
      </c>
      <c r="R1628" t="str">
        <f>_xlfn.XLOOKUP(GERAL[[#This Row],[Dia]],U:U,V:V,"")</f>
        <v/>
      </c>
    </row>
    <row r="1629" spans="1:18" hidden="1" x14ac:dyDescent="0.3">
      <c r="A1629" t="str">
        <f>_xlfn.XLOOKUP(GERAL[[#This Row],[Dia]],U:U,T:T,"")</f>
        <v/>
      </c>
      <c r="B1629" s="1">
        <v>45983</v>
      </c>
      <c r="C1629" t="s">
        <v>16</v>
      </c>
      <c r="D1629" s="1">
        <v>45983</v>
      </c>
      <c r="E1629" t="s">
        <v>17</v>
      </c>
      <c r="Q1629" t="s">
        <v>121</v>
      </c>
      <c r="R1629" t="str">
        <f>_xlfn.XLOOKUP(GERAL[[#This Row],[Dia]],U:U,V:V,"")</f>
        <v/>
      </c>
    </row>
    <row r="1630" spans="1:18" hidden="1" x14ac:dyDescent="0.3">
      <c r="A1630" t="str">
        <f>_xlfn.XLOOKUP(GERAL[[#This Row],[Dia]],U:U,T:T,"")</f>
        <v/>
      </c>
      <c r="B1630" s="1">
        <v>45984</v>
      </c>
      <c r="C1630" t="s">
        <v>21</v>
      </c>
      <c r="D1630" s="1">
        <v>45984</v>
      </c>
      <c r="E1630" t="s">
        <v>17</v>
      </c>
      <c r="Q1630" t="s">
        <v>121</v>
      </c>
      <c r="R1630" t="str">
        <f>_xlfn.XLOOKUP(GERAL[[#This Row],[Dia]],U:U,V:V,"")</f>
        <v/>
      </c>
    </row>
    <row r="1631" spans="1:18" hidden="1" x14ac:dyDescent="0.3">
      <c r="A1631" t="str">
        <f>_xlfn.XLOOKUP(GERAL[[#This Row],[Dia]],U:U,T:T,"")</f>
        <v/>
      </c>
      <c r="B1631" s="1">
        <v>45985</v>
      </c>
      <c r="C1631" t="s">
        <v>22</v>
      </c>
      <c r="D1631" s="1">
        <v>45985</v>
      </c>
      <c r="Q1631" t="s">
        <v>121</v>
      </c>
      <c r="R1631" t="str">
        <f>_xlfn.XLOOKUP(GERAL[[#This Row],[Dia]],U:U,V:V,"")</f>
        <v/>
      </c>
    </row>
    <row r="1632" spans="1:18" hidden="1" x14ac:dyDescent="0.3">
      <c r="A1632" t="str">
        <f>_xlfn.XLOOKUP(GERAL[[#This Row],[Dia]],U:U,T:T,"")</f>
        <v/>
      </c>
      <c r="B1632" s="1">
        <v>45986</v>
      </c>
      <c r="C1632" t="s">
        <v>23</v>
      </c>
      <c r="D1632" s="1">
        <v>45986</v>
      </c>
      <c r="Q1632" t="s">
        <v>121</v>
      </c>
      <c r="R1632" t="str">
        <f>_xlfn.XLOOKUP(GERAL[[#This Row],[Dia]],U:U,V:V,"")</f>
        <v/>
      </c>
    </row>
    <row r="1633" spans="1:18" hidden="1" x14ac:dyDescent="0.3">
      <c r="A1633" t="str">
        <f>_xlfn.XLOOKUP(GERAL[[#This Row],[Dia]],U:U,T:T,"")</f>
        <v/>
      </c>
      <c r="B1633" s="1">
        <v>45987</v>
      </c>
      <c r="C1633" t="s">
        <v>24</v>
      </c>
      <c r="D1633" s="1">
        <v>45987</v>
      </c>
      <c r="Q1633" t="s">
        <v>121</v>
      </c>
      <c r="R1633" t="str">
        <f>_xlfn.XLOOKUP(GERAL[[#This Row],[Dia]],U:U,V:V,"")</f>
        <v/>
      </c>
    </row>
    <row r="1634" spans="1:18" hidden="1" x14ac:dyDescent="0.3">
      <c r="A1634" t="str">
        <f>_xlfn.XLOOKUP(GERAL[[#This Row],[Dia]],U:U,T:T,"")</f>
        <v/>
      </c>
      <c r="B1634" s="1">
        <v>45988</v>
      </c>
      <c r="C1634" t="s">
        <v>25</v>
      </c>
      <c r="D1634" s="1">
        <v>45988</v>
      </c>
      <c r="Q1634" t="s">
        <v>121</v>
      </c>
      <c r="R1634" t="str">
        <f>_xlfn.XLOOKUP(GERAL[[#This Row],[Dia]],U:U,V:V,"")</f>
        <v/>
      </c>
    </row>
    <row r="1635" spans="1:18" hidden="1" x14ac:dyDescent="0.3">
      <c r="A1635" t="str">
        <f>_xlfn.XLOOKUP(GERAL[[#This Row],[Dia]],U:U,T:T,"")</f>
        <v/>
      </c>
      <c r="B1635" s="1">
        <v>45989</v>
      </c>
      <c r="C1635" t="s">
        <v>26</v>
      </c>
      <c r="D1635" s="1">
        <v>45989</v>
      </c>
      <c r="Q1635" t="s">
        <v>121</v>
      </c>
      <c r="R1635" t="str">
        <f>_xlfn.XLOOKUP(GERAL[[#This Row],[Dia]],U:U,V:V,"")</f>
        <v/>
      </c>
    </row>
    <row r="1636" spans="1:18" hidden="1" x14ac:dyDescent="0.3">
      <c r="A1636" t="str">
        <f>_xlfn.XLOOKUP(GERAL[[#This Row],[Dia]],U:U,T:T,"")</f>
        <v/>
      </c>
      <c r="B1636" s="1">
        <v>45990</v>
      </c>
      <c r="C1636" t="s">
        <v>16</v>
      </c>
      <c r="D1636" s="1">
        <v>45990</v>
      </c>
      <c r="E1636" t="s">
        <v>17</v>
      </c>
      <c r="Q1636" t="s">
        <v>121</v>
      </c>
      <c r="R1636" t="str">
        <f>_xlfn.XLOOKUP(GERAL[[#This Row],[Dia]],U:U,V:V,"")</f>
        <v/>
      </c>
    </row>
    <row r="1637" spans="1:18" hidden="1" x14ac:dyDescent="0.3">
      <c r="A1637" t="str">
        <f>_xlfn.XLOOKUP(GERAL[[#This Row],[Dia]],U:U,T:T,"")</f>
        <v/>
      </c>
      <c r="B1637" s="1">
        <v>45991</v>
      </c>
      <c r="C1637" t="s">
        <v>21</v>
      </c>
      <c r="D1637" s="1">
        <v>45991</v>
      </c>
      <c r="E1637" t="s">
        <v>17</v>
      </c>
      <c r="Q1637" t="s">
        <v>121</v>
      </c>
      <c r="R1637" t="str">
        <f>_xlfn.XLOOKUP(GERAL[[#This Row],[Dia]],U:U,V:V,"")</f>
        <v/>
      </c>
    </row>
    <row r="1638" spans="1:18" hidden="1" x14ac:dyDescent="0.3">
      <c r="A1638" t="str">
        <f>_xlfn.XLOOKUP(GERAL[[#This Row],[Dia]],U:U,T:T,"")</f>
        <v/>
      </c>
      <c r="B1638" s="1">
        <v>45992</v>
      </c>
      <c r="C1638" t="s">
        <v>22</v>
      </c>
      <c r="D1638" s="1">
        <v>45992</v>
      </c>
      <c r="Q1638" t="s">
        <v>121</v>
      </c>
      <c r="R1638" t="str">
        <f>_xlfn.XLOOKUP(GERAL[[#This Row],[Dia]],U:U,V:V,"")</f>
        <v/>
      </c>
    </row>
    <row r="1639" spans="1:18" hidden="1" x14ac:dyDescent="0.3">
      <c r="A1639" t="str">
        <f>_xlfn.XLOOKUP(GERAL[[#This Row],[Dia]],U:U,T:T,"")</f>
        <v/>
      </c>
      <c r="B1639" s="1">
        <v>45993</v>
      </c>
      <c r="C1639" t="s">
        <v>23</v>
      </c>
      <c r="D1639" s="1">
        <v>45993</v>
      </c>
      <c r="Q1639" t="s">
        <v>121</v>
      </c>
      <c r="R1639" t="str">
        <f>_xlfn.XLOOKUP(GERAL[[#This Row],[Dia]],U:U,V:V,"")</f>
        <v/>
      </c>
    </row>
    <row r="1640" spans="1:18" hidden="1" x14ac:dyDescent="0.3">
      <c r="A1640" t="str">
        <f>_xlfn.XLOOKUP(GERAL[[#This Row],[Dia]],U:U,T:T,"")</f>
        <v/>
      </c>
      <c r="B1640" s="1">
        <v>45994</v>
      </c>
      <c r="C1640" t="s">
        <v>24</v>
      </c>
      <c r="D1640" s="1">
        <v>45994</v>
      </c>
      <c r="Q1640" t="s">
        <v>121</v>
      </c>
      <c r="R1640" t="str">
        <f>_xlfn.XLOOKUP(GERAL[[#This Row],[Dia]],U:U,V:V,"")</f>
        <v/>
      </c>
    </row>
    <row r="1641" spans="1:18" hidden="1" x14ac:dyDescent="0.3">
      <c r="A1641" t="str">
        <f>_xlfn.XLOOKUP(GERAL[[#This Row],[Dia]],U:U,T:T,"")</f>
        <v/>
      </c>
      <c r="B1641" s="1">
        <v>45995</v>
      </c>
      <c r="C1641" t="s">
        <v>25</v>
      </c>
      <c r="D1641" s="1">
        <v>45995</v>
      </c>
      <c r="Q1641" t="s">
        <v>121</v>
      </c>
      <c r="R1641" t="str">
        <f>_xlfn.XLOOKUP(GERAL[[#This Row],[Dia]],U:U,V:V,"")</f>
        <v/>
      </c>
    </row>
    <row r="1642" spans="1:18" hidden="1" x14ac:dyDescent="0.3">
      <c r="A1642" t="str">
        <f>_xlfn.XLOOKUP(GERAL[[#This Row],[Dia]],U:U,T:T,"")</f>
        <v/>
      </c>
      <c r="B1642" s="1">
        <v>45996</v>
      </c>
      <c r="C1642" t="s">
        <v>26</v>
      </c>
      <c r="D1642" s="1">
        <v>45996</v>
      </c>
      <c r="Q1642" t="s">
        <v>121</v>
      </c>
      <c r="R1642" t="str">
        <f>_xlfn.XLOOKUP(GERAL[[#This Row],[Dia]],U:U,V:V,"")</f>
        <v/>
      </c>
    </row>
    <row r="1643" spans="1:18" hidden="1" x14ac:dyDescent="0.3">
      <c r="A1643" t="str">
        <f>_xlfn.XLOOKUP(GERAL[[#This Row],[Dia]],U:U,T:T,"")</f>
        <v/>
      </c>
      <c r="B1643" s="1">
        <v>45997</v>
      </c>
      <c r="C1643" t="s">
        <v>16</v>
      </c>
      <c r="D1643" s="1">
        <v>45997</v>
      </c>
      <c r="E1643" t="s">
        <v>17</v>
      </c>
      <c r="Q1643" t="s">
        <v>121</v>
      </c>
      <c r="R1643" t="str">
        <f>_xlfn.XLOOKUP(GERAL[[#This Row],[Dia]],U:U,V:V,"")</f>
        <v/>
      </c>
    </row>
    <row r="1644" spans="1:18" hidden="1" x14ac:dyDescent="0.3">
      <c r="A1644" t="str">
        <f>_xlfn.XLOOKUP(GERAL[[#This Row],[Dia]],U:U,T:T,"")</f>
        <v/>
      </c>
      <c r="B1644" s="1">
        <v>45998</v>
      </c>
      <c r="C1644" t="s">
        <v>21</v>
      </c>
      <c r="D1644" s="1">
        <v>45998</v>
      </c>
      <c r="E1644" t="s">
        <v>17</v>
      </c>
      <c r="Q1644" t="s">
        <v>121</v>
      </c>
      <c r="R1644" t="str">
        <f>_xlfn.XLOOKUP(GERAL[[#This Row],[Dia]],U:U,V:V,"")</f>
        <v/>
      </c>
    </row>
    <row r="1645" spans="1:18" hidden="1" x14ac:dyDescent="0.3">
      <c r="A1645" t="str">
        <f>_xlfn.XLOOKUP(GERAL[[#This Row],[Dia]],U:U,T:T,"")</f>
        <v/>
      </c>
      <c r="B1645" s="1">
        <v>45999</v>
      </c>
      <c r="C1645" t="s">
        <v>22</v>
      </c>
      <c r="D1645" s="1">
        <v>45999</v>
      </c>
      <c r="Q1645" t="s">
        <v>121</v>
      </c>
      <c r="R1645" t="str">
        <f>_xlfn.XLOOKUP(GERAL[[#This Row],[Dia]],U:U,V:V,"")</f>
        <v/>
      </c>
    </row>
    <row r="1646" spans="1:18" hidden="1" x14ac:dyDescent="0.3">
      <c r="A1646" t="str">
        <f>_xlfn.XLOOKUP(GERAL[[#This Row],[Dia]],U:U,T:T,"")</f>
        <v/>
      </c>
      <c r="B1646" s="1">
        <v>46000</v>
      </c>
      <c r="C1646" t="s">
        <v>23</v>
      </c>
      <c r="D1646" s="1">
        <v>46000</v>
      </c>
      <c r="Q1646" t="s">
        <v>121</v>
      </c>
      <c r="R1646" t="str">
        <f>_xlfn.XLOOKUP(GERAL[[#This Row],[Dia]],U:U,V:V,"")</f>
        <v/>
      </c>
    </row>
    <row r="1647" spans="1:18" hidden="1" x14ac:dyDescent="0.3">
      <c r="A1647" t="str">
        <f>_xlfn.XLOOKUP(GERAL[[#This Row],[Dia]],U:U,T:T,"")</f>
        <v/>
      </c>
      <c r="B1647" s="1">
        <v>46001</v>
      </c>
      <c r="C1647" t="s">
        <v>24</v>
      </c>
      <c r="D1647" s="1">
        <v>46001</v>
      </c>
      <c r="Q1647" t="s">
        <v>121</v>
      </c>
      <c r="R1647" t="str">
        <f>_xlfn.XLOOKUP(GERAL[[#This Row],[Dia]],U:U,V:V,"")</f>
        <v/>
      </c>
    </row>
    <row r="1648" spans="1:18" hidden="1" x14ac:dyDescent="0.3">
      <c r="A1648" t="str">
        <f>_xlfn.XLOOKUP(GERAL[[#This Row],[Dia]],U:U,T:T,"")</f>
        <v/>
      </c>
      <c r="B1648" s="1">
        <v>46002</v>
      </c>
      <c r="C1648" t="s">
        <v>25</v>
      </c>
      <c r="D1648" s="1">
        <v>46002</v>
      </c>
      <c r="Q1648" t="s">
        <v>121</v>
      </c>
      <c r="R1648" t="str">
        <f>_xlfn.XLOOKUP(GERAL[[#This Row],[Dia]],U:U,V:V,"")</f>
        <v/>
      </c>
    </row>
    <row r="1649" spans="1:18" hidden="1" x14ac:dyDescent="0.3">
      <c r="A1649" t="str">
        <f>_xlfn.XLOOKUP(GERAL[[#This Row],[Dia]],U:U,T:T,"")</f>
        <v/>
      </c>
      <c r="B1649" s="1">
        <v>46003</v>
      </c>
      <c r="C1649" t="s">
        <v>26</v>
      </c>
      <c r="D1649" s="1">
        <v>46003</v>
      </c>
      <c r="Q1649" t="s">
        <v>121</v>
      </c>
      <c r="R1649" t="str">
        <f>_xlfn.XLOOKUP(GERAL[[#This Row],[Dia]],U:U,V:V,"")</f>
        <v/>
      </c>
    </row>
    <row r="1650" spans="1:18" hidden="1" x14ac:dyDescent="0.3">
      <c r="A1650" t="str">
        <f>_xlfn.XLOOKUP(GERAL[[#This Row],[Dia]],U:U,T:T,"")</f>
        <v/>
      </c>
      <c r="B1650" s="1">
        <v>46004</v>
      </c>
      <c r="C1650" t="s">
        <v>16</v>
      </c>
      <c r="D1650" s="1">
        <v>46004</v>
      </c>
      <c r="E1650" t="s">
        <v>17</v>
      </c>
      <c r="Q1650" t="s">
        <v>121</v>
      </c>
      <c r="R1650" t="str">
        <f>_xlfn.XLOOKUP(GERAL[[#This Row],[Dia]],U:U,V:V,"")</f>
        <v/>
      </c>
    </row>
    <row r="1651" spans="1:18" hidden="1" x14ac:dyDescent="0.3">
      <c r="A1651" t="str">
        <f>_xlfn.XLOOKUP(GERAL[[#This Row],[Dia]],U:U,T:T,"")</f>
        <v/>
      </c>
      <c r="B1651" s="1">
        <v>46005</v>
      </c>
      <c r="C1651" t="s">
        <v>21</v>
      </c>
      <c r="D1651" s="1">
        <v>46005</v>
      </c>
      <c r="E1651" t="s">
        <v>17</v>
      </c>
      <c r="Q1651" t="s">
        <v>121</v>
      </c>
      <c r="R1651" t="str">
        <f>_xlfn.XLOOKUP(GERAL[[#This Row],[Dia]],U:U,V:V,"")</f>
        <v/>
      </c>
    </row>
    <row r="1652" spans="1:18" hidden="1" x14ac:dyDescent="0.3">
      <c r="A1652" t="str">
        <f>_xlfn.XLOOKUP(GERAL[[#This Row],[Dia]],U:U,T:T,"")</f>
        <v/>
      </c>
      <c r="B1652" s="1">
        <v>46006</v>
      </c>
      <c r="C1652" t="s">
        <v>22</v>
      </c>
      <c r="D1652" s="1">
        <v>46006</v>
      </c>
      <c r="Q1652" t="s">
        <v>121</v>
      </c>
      <c r="R1652" t="str">
        <f>_xlfn.XLOOKUP(GERAL[[#This Row],[Dia]],U:U,V:V,"")</f>
        <v/>
      </c>
    </row>
    <row r="1653" spans="1:18" hidden="1" x14ac:dyDescent="0.3">
      <c r="A1653" t="str">
        <f>_xlfn.XLOOKUP(GERAL[[#This Row],[Dia]],U:U,T:T,"")</f>
        <v/>
      </c>
      <c r="B1653" s="1">
        <v>46007</v>
      </c>
      <c r="C1653" t="s">
        <v>23</v>
      </c>
      <c r="D1653" s="1">
        <v>46007</v>
      </c>
      <c r="Q1653" t="s">
        <v>121</v>
      </c>
      <c r="R1653" t="str">
        <f>_xlfn.XLOOKUP(GERAL[[#This Row],[Dia]],U:U,V:V,"")</f>
        <v/>
      </c>
    </row>
    <row r="1654" spans="1:18" hidden="1" x14ac:dyDescent="0.3">
      <c r="A1654" t="str">
        <f>_xlfn.XLOOKUP(GERAL[[#This Row],[Dia]],U:U,T:T,"")</f>
        <v/>
      </c>
      <c r="B1654" s="1">
        <v>46008</v>
      </c>
      <c r="C1654" t="s">
        <v>24</v>
      </c>
      <c r="D1654" s="1">
        <v>46008</v>
      </c>
      <c r="Q1654" t="s">
        <v>121</v>
      </c>
      <c r="R1654" t="str">
        <f>_xlfn.XLOOKUP(GERAL[[#This Row],[Dia]],U:U,V:V,"")</f>
        <v/>
      </c>
    </row>
    <row r="1655" spans="1:18" hidden="1" x14ac:dyDescent="0.3">
      <c r="A1655" t="str">
        <f>_xlfn.XLOOKUP(GERAL[[#This Row],[Dia]],U:U,T:T,"")</f>
        <v/>
      </c>
      <c r="B1655" s="1">
        <v>46009</v>
      </c>
      <c r="C1655" t="s">
        <v>25</v>
      </c>
      <c r="D1655" s="1">
        <v>46009</v>
      </c>
      <c r="Q1655" t="s">
        <v>121</v>
      </c>
      <c r="R1655" t="str">
        <f>_xlfn.XLOOKUP(GERAL[[#This Row],[Dia]],U:U,V:V,"")</f>
        <v/>
      </c>
    </row>
    <row r="1656" spans="1:18" hidden="1" x14ac:dyDescent="0.3">
      <c r="A1656" t="str">
        <f>_xlfn.XLOOKUP(GERAL[[#This Row],[Dia]],U:U,T:T,"")</f>
        <v/>
      </c>
      <c r="B1656" s="1">
        <v>46010</v>
      </c>
      <c r="C1656" t="s">
        <v>26</v>
      </c>
      <c r="D1656" s="1">
        <v>46010</v>
      </c>
      <c r="Q1656" t="s">
        <v>121</v>
      </c>
      <c r="R1656" t="str">
        <f>_xlfn.XLOOKUP(GERAL[[#This Row],[Dia]],U:U,V:V,"")</f>
        <v/>
      </c>
    </row>
    <row r="1657" spans="1:18" hidden="1" x14ac:dyDescent="0.3">
      <c r="A1657" t="str">
        <f>_xlfn.XLOOKUP(GERAL[[#This Row],[Dia]],U:U,T:T,"")</f>
        <v/>
      </c>
      <c r="B1657" s="1">
        <v>46011</v>
      </c>
      <c r="C1657" t="s">
        <v>16</v>
      </c>
      <c r="D1657" s="1">
        <v>46011</v>
      </c>
      <c r="E1657" t="s">
        <v>17</v>
      </c>
      <c r="Q1657" t="s">
        <v>121</v>
      </c>
      <c r="R1657" t="str">
        <f>_xlfn.XLOOKUP(GERAL[[#This Row],[Dia]],U:U,V:V,"")</f>
        <v/>
      </c>
    </row>
    <row r="1658" spans="1:18" hidden="1" x14ac:dyDescent="0.3">
      <c r="A1658" t="str">
        <f>_xlfn.XLOOKUP(GERAL[[#This Row],[Dia]],U:U,T:T,"")</f>
        <v/>
      </c>
      <c r="B1658" s="1">
        <v>46012</v>
      </c>
      <c r="C1658" t="s">
        <v>21</v>
      </c>
      <c r="D1658" s="1">
        <v>46012</v>
      </c>
      <c r="E1658" t="s">
        <v>17</v>
      </c>
      <c r="Q1658" t="s">
        <v>121</v>
      </c>
      <c r="R1658" t="str">
        <f>_xlfn.XLOOKUP(GERAL[[#This Row],[Dia]],U:U,V:V,"")</f>
        <v/>
      </c>
    </row>
    <row r="1659" spans="1:18" hidden="1" x14ac:dyDescent="0.3">
      <c r="A1659" t="str">
        <f>_xlfn.XLOOKUP(GERAL[[#This Row],[Dia]],U:U,T:T,"")</f>
        <v/>
      </c>
      <c r="B1659" s="1">
        <v>46013</v>
      </c>
      <c r="C1659" t="s">
        <v>22</v>
      </c>
      <c r="D1659" s="1">
        <v>46013</v>
      </c>
      <c r="Q1659" t="s">
        <v>121</v>
      </c>
      <c r="R1659" t="str">
        <f>_xlfn.XLOOKUP(GERAL[[#This Row],[Dia]],U:U,V:V,"")</f>
        <v/>
      </c>
    </row>
    <row r="1660" spans="1:18" hidden="1" x14ac:dyDescent="0.3">
      <c r="A1660" t="str">
        <f>_xlfn.XLOOKUP(GERAL[[#This Row],[Dia]],U:U,T:T,"")</f>
        <v/>
      </c>
      <c r="B1660" s="1">
        <v>46014</v>
      </c>
      <c r="C1660" t="s">
        <v>23</v>
      </c>
      <c r="D1660" s="1">
        <v>46014</v>
      </c>
      <c r="Q1660" t="s">
        <v>121</v>
      </c>
      <c r="R1660" t="str">
        <f>_xlfn.XLOOKUP(GERAL[[#This Row],[Dia]],U:U,V:V,"")</f>
        <v/>
      </c>
    </row>
    <row r="1661" spans="1:18" hidden="1" x14ac:dyDescent="0.3">
      <c r="A1661" t="str">
        <f>_xlfn.XLOOKUP(GERAL[[#This Row],[Dia]],U:U,T:T,"")</f>
        <v/>
      </c>
      <c r="B1661" s="1">
        <v>46015</v>
      </c>
      <c r="C1661" t="s">
        <v>24</v>
      </c>
      <c r="D1661" s="1">
        <v>46015</v>
      </c>
      <c r="Q1661" t="s">
        <v>121</v>
      </c>
      <c r="R1661" t="str">
        <f>_xlfn.XLOOKUP(GERAL[[#This Row],[Dia]],U:U,V:V,"")</f>
        <v/>
      </c>
    </row>
    <row r="1662" spans="1:18" hidden="1" x14ac:dyDescent="0.3">
      <c r="A1662" t="str">
        <f>_xlfn.XLOOKUP(GERAL[[#This Row],[Dia]],U:U,T:T,"")</f>
        <v/>
      </c>
      <c r="B1662" s="1">
        <v>46016</v>
      </c>
      <c r="C1662" t="s">
        <v>25</v>
      </c>
      <c r="D1662" s="1">
        <v>46016</v>
      </c>
      <c r="Q1662" t="s">
        <v>121</v>
      </c>
      <c r="R1662" t="str">
        <f>_xlfn.XLOOKUP(GERAL[[#This Row],[Dia]],U:U,V:V,"")</f>
        <v/>
      </c>
    </row>
    <row r="1663" spans="1:18" hidden="1" x14ac:dyDescent="0.3">
      <c r="A1663" t="str">
        <f>_xlfn.XLOOKUP(GERAL[[#This Row],[Dia]],U:U,T:T,"")</f>
        <v/>
      </c>
      <c r="B1663" s="1">
        <v>46017</v>
      </c>
      <c r="C1663" t="s">
        <v>26</v>
      </c>
      <c r="D1663" s="1">
        <v>46017</v>
      </c>
      <c r="Q1663" t="s">
        <v>121</v>
      </c>
      <c r="R1663" t="str">
        <f>_xlfn.XLOOKUP(GERAL[[#This Row],[Dia]],U:U,V:V,"")</f>
        <v/>
      </c>
    </row>
    <row r="1664" spans="1:18" hidden="1" x14ac:dyDescent="0.3">
      <c r="A1664" t="str">
        <f>_xlfn.XLOOKUP(GERAL[[#This Row],[Dia]],U:U,T:T,"")</f>
        <v/>
      </c>
      <c r="B1664" s="1">
        <v>46018</v>
      </c>
      <c r="C1664" t="s">
        <v>16</v>
      </c>
      <c r="D1664" s="1">
        <v>46018</v>
      </c>
      <c r="E1664" t="s">
        <v>17</v>
      </c>
      <c r="Q1664" t="s">
        <v>121</v>
      </c>
      <c r="R1664" t="str">
        <f>_xlfn.XLOOKUP(GERAL[[#This Row],[Dia]],U:U,V:V,"")</f>
        <v/>
      </c>
    </row>
    <row r="1665" spans="1:18" hidden="1" x14ac:dyDescent="0.3">
      <c r="A1665" t="str">
        <f>_xlfn.XLOOKUP(GERAL[[#This Row],[Dia]],U:U,T:T,"")</f>
        <v/>
      </c>
      <c r="B1665" s="1">
        <v>46019</v>
      </c>
      <c r="C1665" t="s">
        <v>21</v>
      </c>
      <c r="D1665" s="1">
        <v>46019</v>
      </c>
      <c r="E1665" t="s">
        <v>17</v>
      </c>
      <c r="Q1665" t="s">
        <v>121</v>
      </c>
      <c r="R1665" t="str">
        <f>_xlfn.XLOOKUP(GERAL[[#This Row],[Dia]],U:U,V:V,"")</f>
        <v/>
      </c>
    </row>
    <row r="1666" spans="1:18" hidden="1" x14ac:dyDescent="0.3">
      <c r="A1666" t="str">
        <f>_xlfn.XLOOKUP(GERAL[[#This Row],[Dia]],U:U,T:T,"")</f>
        <v/>
      </c>
      <c r="B1666" s="1">
        <v>46020</v>
      </c>
      <c r="C1666" t="s">
        <v>22</v>
      </c>
      <c r="D1666" s="1">
        <v>46020</v>
      </c>
      <c r="Q1666" t="s">
        <v>121</v>
      </c>
      <c r="R1666" t="str">
        <f>_xlfn.XLOOKUP(GERAL[[#This Row],[Dia]],U:U,V:V,"")</f>
        <v/>
      </c>
    </row>
    <row r="1667" spans="1:18" hidden="1" x14ac:dyDescent="0.3">
      <c r="A1667" t="str">
        <f>_xlfn.XLOOKUP(GERAL[[#This Row],[Dia]],U:U,T:T,"")</f>
        <v/>
      </c>
      <c r="B1667" s="1">
        <v>46021</v>
      </c>
      <c r="C1667" t="s">
        <v>23</v>
      </c>
      <c r="D1667" s="1">
        <v>46021</v>
      </c>
      <c r="Q1667" t="s">
        <v>121</v>
      </c>
      <c r="R1667" t="str">
        <f>_xlfn.XLOOKUP(GERAL[[#This Row],[Dia]],U:U,V:V,"")</f>
        <v/>
      </c>
    </row>
    <row r="1668" spans="1:18" hidden="1" x14ac:dyDescent="0.3">
      <c r="A1668" t="str">
        <f>_xlfn.XLOOKUP(GERAL[[#This Row],[Dia]],U:U,T:T,"")</f>
        <v/>
      </c>
      <c r="B1668" s="1">
        <v>46022</v>
      </c>
      <c r="C1668" t="s">
        <v>24</v>
      </c>
      <c r="D1668" s="1">
        <v>46022</v>
      </c>
      <c r="Q1668" t="s">
        <v>121</v>
      </c>
      <c r="R1668" t="str">
        <f>_xlfn.XLOOKUP(GERAL[[#This Row],[Dia]],U:U,V:V,"")</f>
        <v/>
      </c>
    </row>
    <row r="1669" spans="1:18" hidden="1" x14ac:dyDescent="0.3">
      <c r="A1669" t="str">
        <f>_xlfn.XLOOKUP(GERAL[[#This Row],[Dia]],U:U,T:T,"")</f>
        <v/>
      </c>
      <c r="B1669" s="1">
        <v>46023</v>
      </c>
      <c r="C1669" t="s">
        <v>25</v>
      </c>
      <c r="D1669" s="1">
        <v>46023</v>
      </c>
      <c r="Q1669" t="s">
        <v>121</v>
      </c>
      <c r="R1669" t="str">
        <f>_xlfn.XLOOKUP(GERAL[[#This Row],[Dia]],U:U,V:V,"")</f>
        <v/>
      </c>
    </row>
    <row r="1670" spans="1:18" hidden="1" x14ac:dyDescent="0.3">
      <c r="A1670" t="str">
        <f>_xlfn.XLOOKUP(GERAL[[#This Row],[Dia]],U:U,T:T,"")</f>
        <v/>
      </c>
      <c r="B1670" s="1">
        <v>46024</v>
      </c>
      <c r="C1670" t="s">
        <v>26</v>
      </c>
      <c r="D1670" s="1">
        <v>46024</v>
      </c>
      <c r="Q1670" t="s">
        <v>121</v>
      </c>
      <c r="R1670" t="str">
        <f>_xlfn.XLOOKUP(GERAL[[#This Row],[Dia]],U:U,V:V,"")</f>
        <v/>
      </c>
    </row>
    <row r="1671" spans="1:18" hidden="1" x14ac:dyDescent="0.3">
      <c r="A1671" t="str">
        <f>_xlfn.XLOOKUP(GERAL[[#This Row],[Dia]],U:U,T:T,"")</f>
        <v/>
      </c>
      <c r="B1671" s="1">
        <v>46025</v>
      </c>
      <c r="C1671" t="s">
        <v>16</v>
      </c>
      <c r="D1671" s="1">
        <v>46025</v>
      </c>
      <c r="E1671" t="s">
        <v>17</v>
      </c>
      <c r="Q1671" t="s">
        <v>121</v>
      </c>
      <c r="R1671" t="str">
        <f>_xlfn.XLOOKUP(GERAL[[#This Row],[Dia]],U:U,V:V,"")</f>
        <v/>
      </c>
    </row>
    <row r="1672" spans="1:18" hidden="1" x14ac:dyDescent="0.3">
      <c r="A1672" t="str">
        <f>_xlfn.XLOOKUP(GERAL[[#This Row],[Dia]],U:U,T:T,"")</f>
        <v/>
      </c>
      <c r="B1672" s="1">
        <v>46026</v>
      </c>
      <c r="C1672" t="s">
        <v>21</v>
      </c>
      <c r="D1672" s="1">
        <v>46026</v>
      </c>
      <c r="E1672" t="s">
        <v>17</v>
      </c>
      <c r="Q1672" t="s">
        <v>121</v>
      </c>
      <c r="R1672" t="str">
        <f>_xlfn.XLOOKUP(GERAL[[#This Row],[Dia]],U:U,V:V,"")</f>
        <v/>
      </c>
    </row>
    <row r="1673" spans="1:18" hidden="1" x14ac:dyDescent="0.3">
      <c r="A1673" t="str">
        <f>_xlfn.XLOOKUP(GERAL[[#This Row],[Dia]],U:U,T:T,"")</f>
        <v/>
      </c>
      <c r="B1673" s="1">
        <v>46027</v>
      </c>
      <c r="C1673" t="s">
        <v>22</v>
      </c>
      <c r="D1673" s="1">
        <v>46027</v>
      </c>
      <c r="Q1673" t="s">
        <v>121</v>
      </c>
      <c r="R1673" t="str">
        <f>_xlfn.XLOOKUP(GERAL[[#This Row],[Dia]],U:U,V:V,"")</f>
        <v/>
      </c>
    </row>
    <row r="1674" spans="1:18" hidden="1" x14ac:dyDescent="0.3">
      <c r="A1674" t="str">
        <f>_xlfn.XLOOKUP(GERAL[[#This Row],[Dia]],U:U,T:T,"")</f>
        <v/>
      </c>
      <c r="B1674" s="1">
        <v>46028</v>
      </c>
      <c r="C1674" t="s">
        <v>23</v>
      </c>
      <c r="D1674" s="1">
        <v>46028</v>
      </c>
      <c r="Q1674" t="s">
        <v>121</v>
      </c>
      <c r="R1674" t="str">
        <f>_xlfn.XLOOKUP(GERAL[[#This Row],[Dia]],U:U,V:V,"")</f>
        <v/>
      </c>
    </row>
    <row r="1675" spans="1:18" hidden="1" x14ac:dyDescent="0.3">
      <c r="A1675" t="str">
        <f>_xlfn.XLOOKUP(GERAL[[#This Row],[Dia]],U:U,T:T,"")</f>
        <v/>
      </c>
      <c r="B1675" s="1">
        <v>46029</v>
      </c>
      <c r="C1675" t="s">
        <v>24</v>
      </c>
      <c r="D1675" s="1">
        <v>46029</v>
      </c>
      <c r="Q1675" t="s">
        <v>121</v>
      </c>
      <c r="R1675" t="str">
        <f>_xlfn.XLOOKUP(GERAL[[#This Row],[Dia]],U:U,V:V,"")</f>
        <v/>
      </c>
    </row>
    <row r="1676" spans="1:18" hidden="1" x14ac:dyDescent="0.3">
      <c r="A1676" t="str">
        <f>_xlfn.XLOOKUP(GERAL[[#This Row],[Dia]],U:U,T:T,"")</f>
        <v/>
      </c>
      <c r="B1676" s="1">
        <v>46030</v>
      </c>
      <c r="C1676" t="s">
        <v>25</v>
      </c>
      <c r="D1676" s="1">
        <v>46030</v>
      </c>
      <c r="E1676" t="s">
        <v>36</v>
      </c>
      <c r="F1676" t="s">
        <v>122</v>
      </c>
      <c r="G1676" t="s">
        <v>123</v>
      </c>
      <c r="H1676">
        <v>0</v>
      </c>
      <c r="I1676">
        <v>0</v>
      </c>
      <c r="J1676">
        <v>0.02</v>
      </c>
      <c r="K1676">
        <v>18.010000000000002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121</v>
      </c>
      <c r="R1676" t="str">
        <f>_xlfn.XLOOKUP(GERAL[[#This Row],[Dia]],U:U,V:V,"")</f>
        <v/>
      </c>
    </row>
    <row r="1677" spans="1:18" hidden="1" x14ac:dyDescent="0.3">
      <c r="A1677" t="str">
        <f>_xlfn.XLOOKUP(GERAL[[#This Row],[Dia]],U:U,T:T,"")</f>
        <v/>
      </c>
      <c r="B1677" s="1">
        <v>46031</v>
      </c>
      <c r="C1677" t="s">
        <v>26</v>
      </c>
      <c r="D1677" s="1">
        <v>46031</v>
      </c>
      <c r="E1677" t="s">
        <v>36</v>
      </c>
      <c r="F1677" t="s">
        <v>122</v>
      </c>
      <c r="G1677" t="s">
        <v>123</v>
      </c>
      <c r="H1677">
        <v>0</v>
      </c>
      <c r="I1677">
        <v>9</v>
      </c>
      <c r="J1677">
        <v>0.01</v>
      </c>
      <c r="K1677">
        <v>36.020000000000003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121</v>
      </c>
      <c r="R1677" t="str">
        <f>_xlfn.XLOOKUP(GERAL[[#This Row],[Dia]],U:U,V:V,"")</f>
        <v/>
      </c>
    </row>
    <row r="1678" spans="1:18" hidden="1" x14ac:dyDescent="0.3">
      <c r="A1678" t="str">
        <f>_xlfn.XLOOKUP(GERAL[[#This Row],[Dia]],U:U,T:T,"")</f>
        <v/>
      </c>
      <c r="B1678" s="1">
        <v>46032</v>
      </c>
      <c r="C1678" t="s">
        <v>16</v>
      </c>
      <c r="D1678" s="1">
        <v>46032</v>
      </c>
      <c r="E1678" t="s">
        <v>36</v>
      </c>
      <c r="F1678" t="s">
        <v>122</v>
      </c>
      <c r="G1678" t="s">
        <v>123</v>
      </c>
      <c r="I1678">
        <v>11</v>
      </c>
      <c r="K1678">
        <v>18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121</v>
      </c>
      <c r="R1678" t="str">
        <f>_xlfn.XLOOKUP(GERAL[[#This Row],[Dia]],U:U,V:V,"")</f>
        <v/>
      </c>
    </row>
    <row r="1679" spans="1:18" hidden="1" x14ac:dyDescent="0.3">
      <c r="A1679" t="str">
        <f>_xlfn.XLOOKUP(GERAL[[#This Row],[Dia]],U:U,T:T,"")</f>
        <v/>
      </c>
      <c r="B1679" s="1">
        <v>46033</v>
      </c>
      <c r="C1679" t="s">
        <v>21</v>
      </c>
      <c r="D1679" s="1">
        <v>46033</v>
      </c>
      <c r="E1679" t="s">
        <v>17</v>
      </c>
      <c r="Q1679" t="s">
        <v>121</v>
      </c>
      <c r="R1679" t="str">
        <f>_xlfn.XLOOKUP(GERAL[[#This Row],[Dia]],U:U,V:V,"")</f>
        <v/>
      </c>
    </row>
    <row r="1680" spans="1:18" hidden="1" x14ac:dyDescent="0.3">
      <c r="A1680" t="str">
        <f>_xlfn.XLOOKUP(GERAL[[#This Row],[Dia]],U:U,T:T,"")</f>
        <v/>
      </c>
      <c r="B1680" s="1">
        <v>46034</v>
      </c>
      <c r="C1680" t="s">
        <v>22</v>
      </c>
      <c r="D1680" s="1">
        <v>46034</v>
      </c>
      <c r="E1680" t="s">
        <v>36</v>
      </c>
      <c r="F1680" t="s">
        <v>122</v>
      </c>
      <c r="G1680" t="s">
        <v>123</v>
      </c>
      <c r="H1680">
        <v>0</v>
      </c>
      <c r="I1680">
        <v>11</v>
      </c>
      <c r="J1680">
        <v>0.03</v>
      </c>
      <c r="K1680">
        <v>12</v>
      </c>
      <c r="L1680">
        <v>0</v>
      </c>
      <c r="M1680">
        <v>0</v>
      </c>
      <c r="N1680">
        <v>0</v>
      </c>
      <c r="Q1680" t="s">
        <v>121</v>
      </c>
      <c r="R1680" t="str">
        <f>_xlfn.XLOOKUP(GERAL[[#This Row],[Dia]],U:U,V:V,"")</f>
        <v/>
      </c>
    </row>
    <row r="1681" spans="1:18" hidden="1" x14ac:dyDescent="0.3">
      <c r="A1681" t="str">
        <f>_xlfn.XLOOKUP(GERAL[[#This Row],[Dia]],U:U,T:T,"")</f>
        <v/>
      </c>
      <c r="B1681" s="1">
        <v>46035</v>
      </c>
      <c r="C1681" t="s">
        <v>23</v>
      </c>
      <c r="D1681" s="1">
        <v>46035</v>
      </c>
      <c r="E1681" t="s">
        <v>36</v>
      </c>
      <c r="F1681" t="s">
        <v>122</v>
      </c>
      <c r="G1681" t="s">
        <v>123</v>
      </c>
      <c r="J1681">
        <v>24</v>
      </c>
      <c r="K1681">
        <v>60</v>
      </c>
      <c r="N1681">
        <v>0</v>
      </c>
      <c r="Q1681" t="s">
        <v>121</v>
      </c>
      <c r="R1681" t="str">
        <f>_xlfn.XLOOKUP(GERAL[[#This Row],[Dia]],U:U,V:V,"")</f>
        <v/>
      </c>
    </row>
    <row r="1682" spans="1:18" hidden="1" x14ac:dyDescent="0.3">
      <c r="A1682" t="str">
        <f>_xlfn.XLOOKUP(GERAL[[#This Row],[Dia]],U:U,T:T,"")</f>
        <v/>
      </c>
      <c r="B1682" s="1">
        <v>46036</v>
      </c>
      <c r="C1682" t="s">
        <v>24</v>
      </c>
      <c r="D1682" s="1">
        <v>46036</v>
      </c>
      <c r="E1682" t="s">
        <v>36</v>
      </c>
      <c r="F1682" t="s">
        <v>122</v>
      </c>
      <c r="G1682" t="s">
        <v>123</v>
      </c>
      <c r="H1682">
        <v>0</v>
      </c>
      <c r="I1682">
        <v>0</v>
      </c>
      <c r="J1682">
        <v>0.01</v>
      </c>
      <c r="K1682">
        <v>30</v>
      </c>
      <c r="L1682">
        <v>0</v>
      </c>
      <c r="M1682">
        <v>0</v>
      </c>
      <c r="N1682">
        <v>12</v>
      </c>
      <c r="O1682">
        <v>0</v>
      </c>
      <c r="P1682">
        <v>0</v>
      </c>
      <c r="Q1682" t="s">
        <v>121</v>
      </c>
      <c r="R1682" t="str">
        <f>_xlfn.XLOOKUP(GERAL[[#This Row],[Dia]],U:U,V:V,"")</f>
        <v/>
      </c>
    </row>
    <row r="1683" spans="1:18" hidden="1" x14ac:dyDescent="0.3">
      <c r="A1683" t="str">
        <f>_xlfn.XLOOKUP(GERAL[[#This Row],[Dia]],U:U,T:T,"")</f>
        <v/>
      </c>
      <c r="B1683" s="1">
        <v>46037</v>
      </c>
      <c r="C1683" t="s">
        <v>25</v>
      </c>
      <c r="D1683" s="1">
        <v>46037</v>
      </c>
      <c r="E1683" t="s">
        <v>36</v>
      </c>
      <c r="F1683" t="s">
        <v>122</v>
      </c>
      <c r="G1683" t="s">
        <v>123</v>
      </c>
      <c r="H1683">
        <v>0</v>
      </c>
      <c r="I1683">
        <v>0</v>
      </c>
      <c r="J1683">
        <v>0.01</v>
      </c>
      <c r="K1683">
        <v>30</v>
      </c>
      <c r="L1683">
        <v>0</v>
      </c>
      <c r="M1683">
        <v>0</v>
      </c>
      <c r="N1683">
        <v>2</v>
      </c>
      <c r="O1683">
        <v>0</v>
      </c>
      <c r="Q1683" t="s">
        <v>121</v>
      </c>
      <c r="R1683" t="str">
        <f>_xlfn.XLOOKUP(GERAL[[#This Row],[Dia]],U:U,V:V,"")</f>
        <v/>
      </c>
    </row>
    <row r="1684" spans="1:18" hidden="1" x14ac:dyDescent="0.3">
      <c r="A1684" t="str">
        <f>_xlfn.XLOOKUP(GERAL[[#This Row],[Dia]],U:U,T:T,"")</f>
        <v/>
      </c>
      <c r="B1684" s="1">
        <v>46038</v>
      </c>
      <c r="C1684" t="s">
        <v>26</v>
      </c>
      <c r="D1684" s="1">
        <v>46038</v>
      </c>
      <c r="E1684" t="s">
        <v>36</v>
      </c>
      <c r="F1684" t="s">
        <v>122</v>
      </c>
      <c r="G1684" t="s">
        <v>123</v>
      </c>
      <c r="H1684">
        <v>0</v>
      </c>
      <c r="I1684">
        <v>6</v>
      </c>
      <c r="J1684">
        <v>0.01</v>
      </c>
      <c r="K1684">
        <v>30</v>
      </c>
      <c r="L1684">
        <v>0</v>
      </c>
      <c r="M1684">
        <v>0</v>
      </c>
      <c r="N1684">
        <v>2</v>
      </c>
      <c r="O1684">
        <v>0</v>
      </c>
      <c r="P1684">
        <v>0</v>
      </c>
      <c r="Q1684" t="s">
        <v>121</v>
      </c>
      <c r="R1684" t="str">
        <f>_xlfn.XLOOKUP(GERAL[[#This Row],[Dia]],U:U,V:V,"")</f>
        <v/>
      </c>
    </row>
    <row r="1685" spans="1:18" hidden="1" x14ac:dyDescent="0.3">
      <c r="A1685" t="str">
        <f>_xlfn.XLOOKUP(GERAL[[#This Row],[Dia]],U:U,T:T,"")</f>
        <v/>
      </c>
      <c r="B1685" s="1">
        <v>46039</v>
      </c>
      <c r="C1685" t="s">
        <v>16</v>
      </c>
      <c r="D1685" s="1">
        <v>46039</v>
      </c>
      <c r="E1685" t="s">
        <v>36</v>
      </c>
      <c r="F1685" t="s">
        <v>122</v>
      </c>
      <c r="G1685" t="s">
        <v>123</v>
      </c>
      <c r="H1685">
        <v>0</v>
      </c>
      <c r="I1685">
        <v>0</v>
      </c>
      <c r="J1685">
        <v>0</v>
      </c>
      <c r="K1685">
        <v>6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121</v>
      </c>
      <c r="R1685" t="str">
        <f>_xlfn.XLOOKUP(GERAL[[#This Row],[Dia]],U:U,V:V,"")</f>
        <v/>
      </c>
    </row>
    <row r="1686" spans="1:18" hidden="1" x14ac:dyDescent="0.3">
      <c r="A1686" t="str">
        <f>_xlfn.XLOOKUP(GERAL[[#This Row],[Dia]],U:U,T:T,"")</f>
        <v/>
      </c>
      <c r="B1686" s="1">
        <v>46040</v>
      </c>
      <c r="C1686" t="s">
        <v>21</v>
      </c>
      <c r="D1686" s="1">
        <v>46040</v>
      </c>
      <c r="E1686" t="s">
        <v>17</v>
      </c>
      <c r="Q1686" t="s">
        <v>121</v>
      </c>
      <c r="R1686" t="str">
        <f>_xlfn.XLOOKUP(GERAL[[#This Row],[Dia]],U:U,V:V,"")</f>
        <v/>
      </c>
    </row>
    <row r="1687" spans="1:18" hidden="1" x14ac:dyDescent="0.3">
      <c r="A1687" t="str">
        <f>_xlfn.XLOOKUP(GERAL[[#This Row],[Dia]],U:U,T:T,"")</f>
        <v/>
      </c>
      <c r="B1687" s="1">
        <v>46041</v>
      </c>
      <c r="C1687" t="s">
        <v>22</v>
      </c>
      <c r="D1687" s="1">
        <v>46041</v>
      </c>
      <c r="E1687" t="s">
        <v>36</v>
      </c>
      <c r="F1687" t="s">
        <v>122</v>
      </c>
      <c r="G1687" t="s">
        <v>123</v>
      </c>
      <c r="H1687">
        <v>0</v>
      </c>
      <c r="I1687">
        <v>0</v>
      </c>
      <c r="J1687">
        <v>0.01</v>
      </c>
      <c r="K1687">
        <v>60.01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121</v>
      </c>
      <c r="R1687" t="str">
        <f>_xlfn.XLOOKUP(GERAL[[#This Row],[Dia]],U:U,V:V,"")</f>
        <v/>
      </c>
    </row>
    <row r="1688" spans="1:18" hidden="1" x14ac:dyDescent="0.3">
      <c r="A1688" t="str">
        <f>_xlfn.XLOOKUP(GERAL[[#This Row],[Dia]],U:U,T:T,"")</f>
        <v/>
      </c>
      <c r="B1688" s="1">
        <v>46042</v>
      </c>
      <c r="C1688" t="s">
        <v>23</v>
      </c>
      <c r="D1688" s="1">
        <v>46042</v>
      </c>
      <c r="E1688" t="s">
        <v>36</v>
      </c>
      <c r="F1688" t="s">
        <v>122</v>
      </c>
      <c r="G1688" t="s">
        <v>123</v>
      </c>
      <c r="H1688">
        <v>3</v>
      </c>
      <c r="I1688">
        <v>2</v>
      </c>
      <c r="J1688">
        <v>58</v>
      </c>
      <c r="K1688">
        <v>6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121</v>
      </c>
      <c r="R1688" t="str">
        <f>_xlfn.XLOOKUP(GERAL[[#This Row],[Dia]],U:U,V:V,"")</f>
        <v/>
      </c>
    </row>
    <row r="1689" spans="1:18" hidden="1" x14ac:dyDescent="0.3">
      <c r="A1689" t="str">
        <f>_xlfn.XLOOKUP(GERAL[[#This Row],[Dia]],U:U,T:T,"")</f>
        <v/>
      </c>
      <c r="B1689" s="1">
        <v>46043</v>
      </c>
      <c r="C1689" t="s">
        <v>24</v>
      </c>
      <c r="D1689" s="1">
        <v>46043</v>
      </c>
      <c r="E1689" t="s">
        <v>36</v>
      </c>
      <c r="F1689" t="s">
        <v>122</v>
      </c>
      <c r="G1689" t="s">
        <v>123</v>
      </c>
      <c r="H1689">
        <v>2</v>
      </c>
      <c r="I1689">
        <v>3</v>
      </c>
      <c r="J1689">
        <v>70.02000000000001</v>
      </c>
      <c r="K1689">
        <v>64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121</v>
      </c>
      <c r="R1689" t="str">
        <f>_xlfn.XLOOKUP(GERAL[[#This Row],[Dia]],U:U,V:V,"")</f>
        <v/>
      </c>
    </row>
    <row r="1690" spans="1:18" hidden="1" x14ac:dyDescent="0.3">
      <c r="A1690" t="str">
        <f>_xlfn.XLOOKUP(GERAL[[#This Row],[Dia]],U:U,T:T,"")</f>
        <v/>
      </c>
      <c r="B1690" s="1">
        <v>46044</v>
      </c>
      <c r="C1690" t="s">
        <v>25</v>
      </c>
      <c r="D1690" s="1">
        <v>46044</v>
      </c>
      <c r="E1690" t="s">
        <v>36</v>
      </c>
      <c r="F1690" t="s">
        <v>122</v>
      </c>
      <c r="G1690" t="s">
        <v>123</v>
      </c>
      <c r="H1690">
        <v>0</v>
      </c>
      <c r="I1690">
        <v>0</v>
      </c>
      <c r="J1690">
        <v>20.020000000000003</v>
      </c>
      <c r="K1690">
        <v>6.0299999999999994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121</v>
      </c>
      <c r="R1690" t="str">
        <f>_xlfn.XLOOKUP(GERAL[[#This Row],[Dia]],U:U,V:V,"")</f>
        <v/>
      </c>
    </row>
    <row r="1691" spans="1:18" hidden="1" x14ac:dyDescent="0.3">
      <c r="A1691" t="str">
        <f>_xlfn.XLOOKUP(GERAL[[#This Row],[Dia]],U:U,T:T,"")</f>
        <v/>
      </c>
      <c r="B1691" s="1">
        <v>46045</v>
      </c>
      <c r="C1691" t="s">
        <v>26</v>
      </c>
      <c r="D1691" s="1">
        <v>46045</v>
      </c>
      <c r="E1691" t="s">
        <v>36</v>
      </c>
      <c r="F1691" t="s">
        <v>122</v>
      </c>
      <c r="G1691" t="s">
        <v>123</v>
      </c>
      <c r="H1691">
        <v>3</v>
      </c>
      <c r="I1691">
        <v>0</v>
      </c>
      <c r="J1691">
        <v>30.020000000000003</v>
      </c>
      <c r="K1691">
        <v>60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121</v>
      </c>
      <c r="R1691" t="str">
        <f>_xlfn.XLOOKUP(GERAL[[#This Row],[Dia]],U:U,V:V,"")</f>
        <v/>
      </c>
    </row>
    <row r="1692" spans="1:18" hidden="1" x14ac:dyDescent="0.3">
      <c r="A1692" t="str">
        <f>_xlfn.XLOOKUP(GERAL[[#This Row],[Dia]],U:U,T:T,"")</f>
        <v/>
      </c>
      <c r="B1692" s="1">
        <v>46046</v>
      </c>
      <c r="C1692" t="s">
        <v>16</v>
      </c>
      <c r="D1692" s="1">
        <v>46046</v>
      </c>
      <c r="E1692" t="s">
        <v>36</v>
      </c>
      <c r="F1692" t="s">
        <v>122</v>
      </c>
      <c r="G1692" t="s">
        <v>123</v>
      </c>
      <c r="H1692">
        <v>0</v>
      </c>
      <c r="I1692">
        <v>0</v>
      </c>
      <c r="J1692">
        <v>55</v>
      </c>
      <c r="K1692">
        <v>9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121</v>
      </c>
      <c r="R1692" t="str">
        <f>_xlfn.XLOOKUP(GERAL[[#This Row],[Dia]],U:U,V:V,"")</f>
        <v/>
      </c>
    </row>
    <row r="1693" spans="1:18" hidden="1" x14ac:dyDescent="0.3">
      <c r="A1693" t="str">
        <f>_xlfn.XLOOKUP(GERAL[[#This Row],[Dia]],U:U,T:T,"")</f>
        <v/>
      </c>
      <c r="B1693" s="1">
        <v>46047</v>
      </c>
      <c r="C1693" t="s">
        <v>21</v>
      </c>
      <c r="D1693" s="1">
        <v>46047</v>
      </c>
      <c r="E1693" t="s">
        <v>17</v>
      </c>
      <c r="Q1693" t="s">
        <v>121</v>
      </c>
      <c r="R1693" t="str">
        <f>_xlfn.XLOOKUP(GERAL[[#This Row],[Dia]],U:U,V:V,"")</f>
        <v/>
      </c>
    </row>
    <row r="1694" spans="1:18" hidden="1" x14ac:dyDescent="0.3">
      <c r="A1694" t="str">
        <f>_xlfn.XLOOKUP(GERAL[[#This Row],[Dia]],U:U,T:T,"")</f>
        <v/>
      </c>
      <c r="B1694" s="1">
        <v>46048</v>
      </c>
      <c r="C1694" t="s">
        <v>22</v>
      </c>
      <c r="D1694" s="1">
        <v>46048</v>
      </c>
      <c r="E1694" t="s">
        <v>17</v>
      </c>
      <c r="Q1694" t="s">
        <v>121</v>
      </c>
      <c r="R1694" t="str">
        <f>_xlfn.XLOOKUP(GERAL[[#This Row],[Dia]],U:U,V:V,"")</f>
        <v/>
      </c>
    </row>
    <row r="1695" spans="1:18" hidden="1" x14ac:dyDescent="0.3">
      <c r="A1695" t="str">
        <f>_xlfn.XLOOKUP(GERAL[[#This Row],[Dia]],U:U,T:T,"")</f>
        <v/>
      </c>
      <c r="B1695" s="1">
        <v>46049</v>
      </c>
      <c r="C1695" t="s">
        <v>23</v>
      </c>
      <c r="D1695" s="1">
        <v>46049</v>
      </c>
      <c r="E1695" t="s">
        <v>17</v>
      </c>
      <c r="Q1695" t="s">
        <v>121</v>
      </c>
      <c r="R1695" t="str">
        <f>_xlfn.XLOOKUP(GERAL[[#This Row],[Dia]],U:U,V:V,"")</f>
        <v/>
      </c>
    </row>
    <row r="1696" spans="1:18" hidden="1" x14ac:dyDescent="0.3">
      <c r="A1696" t="str">
        <f>_xlfn.XLOOKUP(GERAL[[#This Row],[Dia]],U:U,T:T,"")</f>
        <v/>
      </c>
      <c r="B1696" s="1">
        <v>46050</v>
      </c>
      <c r="C1696" t="s">
        <v>24</v>
      </c>
      <c r="D1696" s="1">
        <v>46050</v>
      </c>
      <c r="E1696" t="s">
        <v>36</v>
      </c>
      <c r="F1696" t="s">
        <v>122</v>
      </c>
      <c r="G1696" t="s">
        <v>123</v>
      </c>
      <c r="H1696">
        <v>2</v>
      </c>
      <c r="I1696">
        <v>2</v>
      </c>
      <c r="J1696">
        <v>113</v>
      </c>
      <c r="K1696">
        <v>48</v>
      </c>
      <c r="L1696">
        <v>0</v>
      </c>
      <c r="M1696">
        <v>6</v>
      </c>
      <c r="N1696">
        <v>2</v>
      </c>
      <c r="O1696">
        <v>0</v>
      </c>
      <c r="P1696">
        <v>0</v>
      </c>
      <c r="Q1696" t="s">
        <v>121</v>
      </c>
      <c r="R1696" t="str">
        <f>_xlfn.XLOOKUP(GERAL[[#This Row],[Dia]],U:U,V:V,"")</f>
        <v/>
      </c>
    </row>
    <row r="1697" spans="1:18" hidden="1" x14ac:dyDescent="0.3">
      <c r="A1697" t="str">
        <f>_xlfn.XLOOKUP(GERAL[[#This Row],[Dia]],U:U,T:T,"")</f>
        <v/>
      </c>
      <c r="B1697" s="1">
        <v>46051</v>
      </c>
      <c r="C1697" t="s">
        <v>25</v>
      </c>
      <c r="D1697" s="1">
        <v>46051</v>
      </c>
      <c r="E1697" t="s">
        <v>36</v>
      </c>
      <c r="F1697" t="s">
        <v>122</v>
      </c>
      <c r="G1697" t="s">
        <v>123</v>
      </c>
      <c r="H1697">
        <v>0</v>
      </c>
      <c r="I1697">
        <v>0</v>
      </c>
      <c r="J1697">
        <v>6</v>
      </c>
      <c r="K1697">
        <v>8</v>
      </c>
      <c r="L1697">
        <v>1</v>
      </c>
      <c r="M1697">
        <v>0</v>
      </c>
      <c r="N1697">
        <v>28</v>
      </c>
      <c r="O1697">
        <v>0</v>
      </c>
      <c r="P1697">
        <v>0</v>
      </c>
      <c r="Q1697" t="s">
        <v>121</v>
      </c>
      <c r="R1697" t="str">
        <f>_xlfn.XLOOKUP(GERAL[[#This Row],[Dia]],U:U,V:V,"")</f>
        <v/>
      </c>
    </row>
    <row r="1698" spans="1:18" hidden="1" x14ac:dyDescent="0.3">
      <c r="A1698" t="str">
        <f>_xlfn.XLOOKUP(GERAL[[#This Row],[Dia]],U:U,T:T,"")</f>
        <v>Semana 1</v>
      </c>
      <c r="B1698" s="1">
        <v>46052</v>
      </c>
      <c r="C1698" t="s">
        <v>26</v>
      </c>
      <c r="D1698" s="1">
        <v>46052</v>
      </c>
      <c r="E1698" t="s">
        <v>36</v>
      </c>
      <c r="F1698" t="s">
        <v>122</v>
      </c>
      <c r="G1698" t="s">
        <v>123</v>
      </c>
      <c r="H1698">
        <v>0</v>
      </c>
      <c r="I1698">
        <v>5</v>
      </c>
      <c r="J1698">
        <v>42</v>
      </c>
      <c r="K1698">
        <v>6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121</v>
      </c>
      <c r="R1698" t="str">
        <f>_xlfn.XLOOKUP(GERAL[[#This Row],[Dia]],U:U,V:V,"")</f>
        <v>Prazo_30</v>
      </c>
    </row>
    <row r="1699" spans="1:18" hidden="1" x14ac:dyDescent="0.3">
      <c r="A1699" t="str">
        <f>_xlfn.XLOOKUP(GERAL[[#This Row],[Dia]],U:U,T:T,"")</f>
        <v>Semana 1</v>
      </c>
      <c r="B1699" s="1">
        <v>46053</v>
      </c>
      <c r="C1699" t="s">
        <v>16</v>
      </c>
      <c r="D1699" s="1">
        <v>46053</v>
      </c>
      <c r="E1699" t="s">
        <v>36</v>
      </c>
      <c r="F1699" t="s">
        <v>122</v>
      </c>
      <c r="G1699" t="s">
        <v>123</v>
      </c>
      <c r="H1699">
        <v>0</v>
      </c>
      <c r="I1699">
        <v>0</v>
      </c>
      <c r="J1699">
        <v>30</v>
      </c>
      <c r="K1699">
        <v>6</v>
      </c>
      <c r="L1699">
        <v>0</v>
      </c>
      <c r="M1699">
        <v>0</v>
      </c>
      <c r="N1699">
        <v>7</v>
      </c>
      <c r="O1699">
        <v>0</v>
      </c>
      <c r="P1699">
        <v>0</v>
      </c>
      <c r="Q1699" t="s">
        <v>121</v>
      </c>
      <c r="R1699" t="str">
        <f>_xlfn.XLOOKUP(GERAL[[#This Row],[Dia]],U:U,V:V,"")</f>
        <v>Prazo_30</v>
      </c>
    </row>
    <row r="1700" spans="1:18" hidden="1" x14ac:dyDescent="0.3">
      <c r="A1700" t="str">
        <f>_xlfn.XLOOKUP(GERAL[[#This Row],[Dia]],U:U,T:T,"")</f>
        <v>Semana 1</v>
      </c>
      <c r="B1700" s="1">
        <v>46054</v>
      </c>
      <c r="C1700" t="s">
        <v>21</v>
      </c>
      <c r="D1700" s="1">
        <v>46054</v>
      </c>
      <c r="E1700" t="s">
        <v>17</v>
      </c>
      <c r="Q1700" t="s">
        <v>121</v>
      </c>
      <c r="R1700" t="str">
        <f>_xlfn.XLOOKUP(GERAL[[#This Row],[Dia]],U:U,V:V,"")</f>
        <v>Prazo_30</v>
      </c>
    </row>
    <row r="1701" spans="1:18" hidden="1" x14ac:dyDescent="0.3">
      <c r="A1701" t="str">
        <f>_xlfn.XLOOKUP(GERAL[[#This Row],[Dia]],U:U,T:T,"")</f>
        <v>Semana 1</v>
      </c>
      <c r="B1701" s="1">
        <v>46055</v>
      </c>
      <c r="C1701" t="s">
        <v>22</v>
      </c>
      <c r="D1701" s="1">
        <v>46055</v>
      </c>
      <c r="E1701" t="s">
        <v>36</v>
      </c>
      <c r="F1701" t="s">
        <v>122</v>
      </c>
      <c r="G1701" t="s">
        <v>123</v>
      </c>
      <c r="H1701">
        <v>4</v>
      </c>
      <c r="I1701">
        <v>6</v>
      </c>
      <c r="J1701">
        <v>0</v>
      </c>
      <c r="K1701">
        <v>12</v>
      </c>
      <c r="L1701">
        <v>2</v>
      </c>
      <c r="M1701">
        <v>0</v>
      </c>
      <c r="N1701">
        <v>19</v>
      </c>
      <c r="O1701">
        <v>0</v>
      </c>
      <c r="P1701">
        <v>0</v>
      </c>
      <c r="Q1701" t="s">
        <v>121</v>
      </c>
      <c r="R1701" t="str">
        <f>_xlfn.XLOOKUP(GERAL[[#This Row],[Dia]],U:U,V:V,"")</f>
        <v>Prazo_30</v>
      </c>
    </row>
    <row r="1702" spans="1:18" hidden="1" x14ac:dyDescent="0.3">
      <c r="A1702" t="str">
        <f>_xlfn.XLOOKUP(GERAL[[#This Row],[Dia]],U:U,T:T,"")</f>
        <v>Semana 1</v>
      </c>
      <c r="B1702" s="1">
        <v>46056</v>
      </c>
      <c r="C1702" t="s">
        <v>23</v>
      </c>
      <c r="D1702" s="1">
        <v>46056</v>
      </c>
      <c r="E1702" t="s">
        <v>36</v>
      </c>
      <c r="F1702" t="s">
        <v>122</v>
      </c>
      <c r="G1702" t="s">
        <v>123</v>
      </c>
      <c r="H1702">
        <v>1</v>
      </c>
      <c r="I1702">
        <v>7</v>
      </c>
      <c r="J1702">
        <v>30</v>
      </c>
      <c r="K1702">
        <v>6</v>
      </c>
      <c r="L1702">
        <v>0</v>
      </c>
      <c r="M1702">
        <v>0</v>
      </c>
      <c r="N1702">
        <v>13</v>
      </c>
      <c r="O1702">
        <v>0</v>
      </c>
      <c r="P1702">
        <v>0</v>
      </c>
      <c r="Q1702" t="s">
        <v>121</v>
      </c>
      <c r="R1702" t="str">
        <f>_xlfn.XLOOKUP(GERAL[[#This Row],[Dia]],U:U,V:V,"")</f>
        <v>Prazo_30</v>
      </c>
    </row>
    <row r="1703" spans="1:18" hidden="1" x14ac:dyDescent="0.3">
      <c r="A1703" t="str">
        <f>_xlfn.XLOOKUP(GERAL[[#This Row],[Dia]],U:U,T:T,"")</f>
        <v>Semana 1</v>
      </c>
      <c r="B1703" s="1">
        <v>46057</v>
      </c>
      <c r="C1703" t="s">
        <v>24</v>
      </c>
      <c r="D1703" s="1">
        <v>46057</v>
      </c>
      <c r="E1703" t="s">
        <v>36</v>
      </c>
      <c r="F1703" t="s">
        <v>122</v>
      </c>
      <c r="G1703" t="s">
        <v>123</v>
      </c>
      <c r="H1703">
        <v>0</v>
      </c>
      <c r="I1703">
        <v>3</v>
      </c>
      <c r="J1703">
        <v>85</v>
      </c>
      <c r="K1703">
        <v>20</v>
      </c>
      <c r="L1703">
        <v>0</v>
      </c>
      <c r="M1703">
        <v>0</v>
      </c>
      <c r="N1703">
        <v>4</v>
      </c>
      <c r="O1703">
        <v>0</v>
      </c>
      <c r="P1703">
        <v>0</v>
      </c>
      <c r="Q1703" t="s">
        <v>121</v>
      </c>
      <c r="R1703" t="str">
        <f>_xlfn.XLOOKUP(GERAL[[#This Row],[Dia]],U:U,V:V,"")</f>
        <v>Prazo_30</v>
      </c>
    </row>
    <row r="1704" spans="1:18" hidden="1" x14ac:dyDescent="0.3">
      <c r="A1704" t="str">
        <f>_xlfn.XLOOKUP(GERAL[[#This Row],[Dia]],U:U,T:T,"")</f>
        <v>Semana 1</v>
      </c>
      <c r="B1704" s="1">
        <v>46058</v>
      </c>
      <c r="C1704" t="s">
        <v>25</v>
      </c>
      <c r="D1704" s="1">
        <v>46058</v>
      </c>
      <c r="E1704" t="s">
        <v>36</v>
      </c>
      <c r="F1704" t="s">
        <v>122</v>
      </c>
      <c r="G1704" t="s">
        <v>123</v>
      </c>
      <c r="H1704">
        <v>0</v>
      </c>
      <c r="I1704">
        <v>0</v>
      </c>
      <c r="J1704">
        <v>53</v>
      </c>
      <c r="K1704">
        <v>0</v>
      </c>
      <c r="L1704">
        <v>0</v>
      </c>
      <c r="M1704">
        <v>2</v>
      </c>
      <c r="N1704">
        <v>4</v>
      </c>
      <c r="O1704">
        <v>0</v>
      </c>
      <c r="P1704">
        <v>0</v>
      </c>
      <c r="Q1704" t="s">
        <v>121</v>
      </c>
      <c r="R1704" t="str">
        <f>_xlfn.XLOOKUP(GERAL[[#This Row],[Dia]],U:U,V:V,"")</f>
        <v>Prazo_30</v>
      </c>
    </row>
    <row r="1705" spans="1:18" hidden="1" x14ac:dyDescent="0.3">
      <c r="A1705" t="str">
        <f>_xlfn.XLOOKUP(GERAL[[#This Row],[Dia]],U:U,T:T,"")</f>
        <v>Semana 1</v>
      </c>
      <c r="B1705" s="1">
        <v>46059</v>
      </c>
      <c r="C1705" t="s">
        <v>26</v>
      </c>
      <c r="D1705" s="1">
        <v>46059</v>
      </c>
      <c r="E1705" t="s">
        <v>36</v>
      </c>
      <c r="F1705" t="s">
        <v>122</v>
      </c>
      <c r="G1705" t="s">
        <v>123</v>
      </c>
      <c r="H1705">
        <v>0</v>
      </c>
      <c r="I1705">
        <v>3</v>
      </c>
      <c r="J1705">
        <v>96</v>
      </c>
      <c r="K1705">
        <v>6</v>
      </c>
      <c r="L1705">
        <v>0</v>
      </c>
      <c r="M1705">
        <v>12</v>
      </c>
      <c r="N1705">
        <v>0</v>
      </c>
      <c r="O1705">
        <v>0</v>
      </c>
      <c r="P1705">
        <v>0</v>
      </c>
      <c r="Q1705" t="s">
        <v>121</v>
      </c>
      <c r="R1705" t="str">
        <f>_xlfn.XLOOKUP(GERAL[[#This Row],[Dia]],U:U,V:V,"")</f>
        <v>Prazo_30</v>
      </c>
    </row>
    <row r="1706" spans="1:18" hidden="1" x14ac:dyDescent="0.3">
      <c r="A1706" t="str">
        <f>_xlfn.XLOOKUP(GERAL[[#This Row],[Dia]],U:U,T:T,"")</f>
        <v>Semana 1</v>
      </c>
      <c r="B1706" s="1">
        <v>46060</v>
      </c>
      <c r="C1706" t="s">
        <v>16</v>
      </c>
      <c r="D1706" s="1">
        <v>46060</v>
      </c>
      <c r="E1706" t="s">
        <v>17</v>
      </c>
      <c r="Q1706" t="s">
        <v>121</v>
      </c>
      <c r="R1706" t="str">
        <f>_xlfn.XLOOKUP(GERAL[[#This Row],[Dia]],U:U,V:V,"")</f>
        <v>Prazo_30</v>
      </c>
    </row>
    <row r="1707" spans="1:18" hidden="1" x14ac:dyDescent="0.3">
      <c r="A1707" t="str">
        <f>_xlfn.XLOOKUP(GERAL[[#This Row],[Dia]],U:U,T:T,"")</f>
        <v>Semana 2</v>
      </c>
      <c r="B1707" s="1">
        <v>46061</v>
      </c>
      <c r="C1707" t="s">
        <v>21</v>
      </c>
      <c r="D1707" s="1">
        <v>46061</v>
      </c>
      <c r="E1707" t="s">
        <v>17</v>
      </c>
      <c r="Q1707" t="s">
        <v>121</v>
      </c>
      <c r="R1707" t="str">
        <f>_xlfn.XLOOKUP(GERAL[[#This Row],[Dia]],U:U,V:V,"")</f>
        <v>Prazo_30</v>
      </c>
    </row>
    <row r="1708" spans="1:18" hidden="1" x14ac:dyDescent="0.3">
      <c r="A1708" t="str">
        <f>_xlfn.XLOOKUP(GERAL[[#This Row],[Dia]],U:U,T:T,"")</f>
        <v>Semana 2</v>
      </c>
      <c r="B1708" s="1">
        <v>46062</v>
      </c>
      <c r="C1708" t="s">
        <v>22</v>
      </c>
      <c r="D1708" s="1">
        <v>46062</v>
      </c>
      <c r="E1708" t="s">
        <v>36</v>
      </c>
      <c r="F1708" t="s">
        <v>122</v>
      </c>
      <c r="G1708" t="s">
        <v>123</v>
      </c>
      <c r="H1708">
        <v>3</v>
      </c>
      <c r="I1708">
        <v>4</v>
      </c>
      <c r="J1708">
        <v>55</v>
      </c>
      <c r="K1708">
        <v>42.5</v>
      </c>
      <c r="L1708">
        <v>2</v>
      </c>
      <c r="M1708">
        <v>0</v>
      </c>
      <c r="N1708">
        <v>0</v>
      </c>
      <c r="O1708">
        <v>0</v>
      </c>
      <c r="P1708">
        <v>0</v>
      </c>
      <c r="Q1708" t="s">
        <v>121</v>
      </c>
      <c r="R1708" t="str">
        <f>_xlfn.XLOOKUP(GERAL[[#This Row],[Dia]],U:U,V:V,"")</f>
        <v>Prazo_30</v>
      </c>
    </row>
    <row r="1709" spans="1:18" hidden="1" x14ac:dyDescent="0.3">
      <c r="A1709" t="str">
        <f>_xlfn.XLOOKUP(GERAL[[#This Row],[Dia]],U:U,T:T,"")</f>
        <v>Semana 2</v>
      </c>
      <c r="B1709" s="1">
        <v>46063</v>
      </c>
      <c r="C1709" t="s">
        <v>23</v>
      </c>
      <c r="D1709" s="1">
        <v>46063</v>
      </c>
      <c r="E1709" t="s">
        <v>36</v>
      </c>
      <c r="F1709" t="s">
        <v>122</v>
      </c>
      <c r="G1709" t="s">
        <v>123</v>
      </c>
      <c r="H1709">
        <v>10</v>
      </c>
      <c r="I1709">
        <v>4</v>
      </c>
      <c r="J1709">
        <v>8</v>
      </c>
      <c r="K1709">
        <v>72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121</v>
      </c>
      <c r="R1709" t="str">
        <f>_xlfn.XLOOKUP(GERAL[[#This Row],[Dia]],U:U,V:V,"")</f>
        <v>Prazo_30</v>
      </c>
    </row>
    <row r="1710" spans="1:18" hidden="1" x14ac:dyDescent="0.3">
      <c r="A1710" t="str">
        <f>_xlfn.XLOOKUP(GERAL[[#This Row],[Dia]],U:U,T:T,"")</f>
        <v>Semana 2</v>
      </c>
      <c r="B1710" s="1">
        <v>46064</v>
      </c>
      <c r="C1710" t="s">
        <v>24</v>
      </c>
      <c r="D1710" s="1">
        <v>46064</v>
      </c>
      <c r="E1710" t="s">
        <v>36</v>
      </c>
      <c r="F1710" t="s">
        <v>122</v>
      </c>
      <c r="G1710" t="s">
        <v>123</v>
      </c>
      <c r="H1710">
        <v>0</v>
      </c>
      <c r="I1710">
        <v>4</v>
      </c>
      <c r="J1710">
        <v>18</v>
      </c>
      <c r="K1710">
        <v>51.5</v>
      </c>
      <c r="L1710">
        <v>0</v>
      </c>
      <c r="M1710">
        <v>0</v>
      </c>
      <c r="N1710">
        <v>7</v>
      </c>
      <c r="O1710">
        <v>0</v>
      </c>
      <c r="P1710">
        <v>0</v>
      </c>
      <c r="Q1710" t="s">
        <v>121</v>
      </c>
      <c r="R1710" t="str">
        <f>_xlfn.XLOOKUP(GERAL[[#This Row],[Dia]],U:U,V:V,"")</f>
        <v>Prazo_30</v>
      </c>
    </row>
    <row r="1711" spans="1:18" hidden="1" x14ac:dyDescent="0.3">
      <c r="A1711" t="str">
        <f>_xlfn.XLOOKUP(GERAL[[#This Row],[Dia]],U:U,T:T,"")</f>
        <v>Semana 2</v>
      </c>
      <c r="B1711" s="1">
        <v>46065</v>
      </c>
      <c r="C1711" t="s">
        <v>25</v>
      </c>
      <c r="D1711" s="1">
        <v>46065</v>
      </c>
      <c r="E1711" t="s">
        <v>36</v>
      </c>
      <c r="F1711" t="s">
        <v>122</v>
      </c>
      <c r="G1711" t="s">
        <v>123</v>
      </c>
      <c r="H1711">
        <v>5</v>
      </c>
      <c r="I1711">
        <v>4</v>
      </c>
      <c r="J1711">
        <v>12</v>
      </c>
      <c r="K1711">
        <v>48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121</v>
      </c>
      <c r="R1711" t="str">
        <f>_xlfn.XLOOKUP(GERAL[[#This Row],[Dia]],U:U,V:V,"")</f>
        <v>Prazo_30</v>
      </c>
    </row>
    <row r="1712" spans="1:18" hidden="1" x14ac:dyDescent="0.3">
      <c r="A1712" t="str">
        <f>_xlfn.XLOOKUP(GERAL[[#This Row],[Dia]],U:U,T:T,"")</f>
        <v>Semana 2</v>
      </c>
      <c r="B1712" s="1">
        <v>46066</v>
      </c>
      <c r="C1712" t="s">
        <v>26</v>
      </c>
      <c r="D1712" s="1">
        <v>46066</v>
      </c>
      <c r="E1712" t="s">
        <v>36</v>
      </c>
      <c r="F1712" t="s">
        <v>122</v>
      </c>
      <c r="G1712" t="s">
        <v>123</v>
      </c>
      <c r="H1712">
        <v>0</v>
      </c>
      <c r="I1712">
        <v>0</v>
      </c>
      <c r="J1712">
        <v>25</v>
      </c>
      <c r="K1712">
        <v>12</v>
      </c>
      <c r="L1712">
        <v>1</v>
      </c>
      <c r="M1712">
        <v>0</v>
      </c>
      <c r="N1712">
        <v>0</v>
      </c>
      <c r="O1712">
        <v>0</v>
      </c>
      <c r="P1712">
        <v>0</v>
      </c>
      <c r="Q1712" t="s">
        <v>121</v>
      </c>
      <c r="R1712" t="str">
        <f>_xlfn.XLOOKUP(GERAL[[#This Row],[Dia]],U:U,V:V,"")</f>
        <v>Prazo_30</v>
      </c>
    </row>
    <row r="1713" spans="1:18" hidden="1" x14ac:dyDescent="0.3">
      <c r="A1713" t="str">
        <f>_xlfn.XLOOKUP(GERAL[[#This Row],[Dia]],U:U,T:T,"")</f>
        <v>Semana 2</v>
      </c>
      <c r="B1713" s="1">
        <v>46067</v>
      </c>
      <c r="C1713" t="s">
        <v>16</v>
      </c>
      <c r="D1713" s="1">
        <v>46067</v>
      </c>
      <c r="E1713" t="s">
        <v>17</v>
      </c>
      <c r="Q1713" t="s">
        <v>121</v>
      </c>
      <c r="R1713" t="str">
        <f>_xlfn.XLOOKUP(GERAL[[#This Row],[Dia]],U:U,V:V,"")</f>
        <v>Prazo_30</v>
      </c>
    </row>
    <row r="1714" spans="1:18" hidden="1" x14ac:dyDescent="0.3">
      <c r="A1714" t="str">
        <f>_xlfn.XLOOKUP(GERAL[[#This Row],[Dia]],U:U,T:T,"")</f>
        <v>Semana 3</v>
      </c>
      <c r="B1714" s="1">
        <v>46068</v>
      </c>
      <c r="C1714" t="s">
        <v>21</v>
      </c>
      <c r="D1714" s="1">
        <v>46068</v>
      </c>
      <c r="E1714" t="s">
        <v>17</v>
      </c>
      <c r="Q1714" t="s">
        <v>121</v>
      </c>
      <c r="R1714" t="str">
        <f>_xlfn.XLOOKUP(GERAL[[#This Row],[Dia]],U:U,V:V,"")</f>
        <v>Prazo_30</v>
      </c>
    </row>
    <row r="1715" spans="1:18" hidden="1" x14ac:dyDescent="0.3">
      <c r="A1715" t="str">
        <f>_xlfn.XLOOKUP(GERAL[[#This Row],[Dia]],U:U,T:T,"")</f>
        <v>Semana 3</v>
      </c>
      <c r="B1715" s="1">
        <v>46069</v>
      </c>
      <c r="C1715" t="s">
        <v>22</v>
      </c>
      <c r="D1715" s="1">
        <v>46069</v>
      </c>
      <c r="E1715" t="s">
        <v>17</v>
      </c>
      <c r="Q1715" t="s">
        <v>121</v>
      </c>
      <c r="R1715" t="str">
        <f>_xlfn.XLOOKUP(GERAL[[#This Row],[Dia]],U:U,V:V,"")</f>
        <v>Prazo_30</v>
      </c>
    </row>
    <row r="1716" spans="1:18" hidden="1" x14ac:dyDescent="0.3">
      <c r="A1716" t="str">
        <f>_xlfn.XLOOKUP(GERAL[[#This Row],[Dia]],U:U,T:T,"")</f>
        <v>Semana 3</v>
      </c>
      <c r="B1716" s="1">
        <v>46070</v>
      </c>
      <c r="C1716" t="s">
        <v>23</v>
      </c>
      <c r="D1716" s="1">
        <v>46070</v>
      </c>
      <c r="E1716" t="s">
        <v>17</v>
      </c>
      <c r="Q1716" t="s">
        <v>121</v>
      </c>
      <c r="R1716" t="str">
        <f>_xlfn.XLOOKUP(GERAL[[#This Row],[Dia]],U:U,V:V,"")</f>
        <v>Prazo_30</v>
      </c>
    </row>
    <row r="1717" spans="1:18" hidden="1" x14ac:dyDescent="0.3">
      <c r="A1717" t="str">
        <f>_xlfn.XLOOKUP(GERAL[[#This Row],[Dia]],U:U,T:T,"")</f>
        <v>Semana 3</v>
      </c>
      <c r="B1717" s="1">
        <v>46071</v>
      </c>
      <c r="C1717" t="s">
        <v>24</v>
      </c>
      <c r="D1717" s="1">
        <v>46071</v>
      </c>
      <c r="E1717" t="s">
        <v>36</v>
      </c>
      <c r="F1717" t="s">
        <v>122</v>
      </c>
      <c r="G1717" t="s">
        <v>123</v>
      </c>
      <c r="H1717">
        <v>5</v>
      </c>
      <c r="I1717">
        <v>0</v>
      </c>
      <c r="J1717">
        <v>37</v>
      </c>
      <c r="K1717">
        <v>18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121</v>
      </c>
      <c r="R1717" t="str">
        <f>_xlfn.XLOOKUP(GERAL[[#This Row],[Dia]],U:U,V:V,"")</f>
        <v>Prazo_30</v>
      </c>
    </row>
    <row r="1718" spans="1:18" hidden="1" x14ac:dyDescent="0.3">
      <c r="A1718" t="str">
        <f>_xlfn.XLOOKUP(GERAL[[#This Row],[Dia]],U:U,T:T,"")</f>
        <v>Semana 3</v>
      </c>
      <c r="B1718" s="1">
        <v>46072</v>
      </c>
      <c r="C1718" t="s">
        <v>25</v>
      </c>
      <c r="D1718" s="1">
        <v>46072</v>
      </c>
      <c r="E1718" t="s">
        <v>36</v>
      </c>
      <c r="F1718" t="s">
        <v>122</v>
      </c>
      <c r="G1718" t="s">
        <v>123</v>
      </c>
      <c r="H1718">
        <v>0</v>
      </c>
      <c r="I1718">
        <v>5</v>
      </c>
      <c r="J1718">
        <v>36</v>
      </c>
      <c r="K1718">
        <v>66</v>
      </c>
      <c r="L1718">
        <v>2</v>
      </c>
      <c r="M1718">
        <v>0</v>
      </c>
      <c r="N1718">
        <v>0</v>
      </c>
      <c r="O1718">
        <v>0</v>
      </c>
      <c r="P1718">
        <v>0</v>
      </c>
      <c r="Q1718" t="s">
        <v>121</v>
      </c>
      <c r="R1718" t="str">
        <f>_xlfn.XLOOKUP(GERAL[[#This Row],[Dia]],U:U,V:V,"")</f>
        <v>Prazo_30</v>
      </c>
    </row>
    <row r="1719" spans="1:18" hidden="1" x14ac:dyDescent="0.3">
      <c r="A1719" t="str">
        <f>_xlfn.XLOOKUP(GERAL[[#This Row],[Dia]],U:U,T:T,"")</f>
        <v>Semana 3</v>
      </c>
      <c r="B1719" s="1">
        <v>46073</v>
      </c>
      <c r="C1719" t="s">
        <v>26</v>
      </c>
      <c r="D1719" s="1">
        <v>46073</v>
      </c>
      <c r="E1719" t="s">
        <v>36</v>
      </c>
      <c r="F1719" t="s">
        <v>122</v>
      </c>
      <c r="G1719" t="s">
        <v>123</v>
      </c>
      <c r="H1719">
        <v>5</v>
      </c>
      <c r="I1719">
        <v>0</v>
      </c>
      <c r="J1719">
        <v>24</v>
      </c>
      <c r="K1719">
        <v>66</v>
      </c>
      <c r="L1719">
        <v>2</v>
      </c>
      <c r="M1719">
        <v>0</v>
      </c>
      <c r="N1719">
        <v>0</v>
      </c>
      <c r="O1719">
        <v>0</v>
      </c>
      <c r="P1719">
        <v>0</v>
      </c>
      <c r="Q1719" t="s">
        <v>121</v>
      </c>
      <c r="R1719" t="str">
        <f>_xlfn.XLOOKUP(GERAL[[#This Row],[Dia]],U:U,V:V,"")</f>
        <v>Prazo_30</v>
      </c>
    </row>
    <row r="1720" spans="1:18" hidden="1" x14ac:dyDescent="0.3">
      <c r="A1720" t="str">
        <f>_xlfn.XLOOKUP(GERAL[[#This Row],[Dia]],U:U,T:T,"")</f>
        <v>Semana 3</v>
      </c>
      <c r="B1720" s="1">
        <v>46074</v>
      </c>
      <c r="C1720" t="s">
        <v>16</v>
      </c>
      <c r="D1720" s="1">
        <v>46074</v>
      </c>
      <c r="E1720" t="s">
        <v>17</v>
      </c>
      <c r="Q1720" t="s">
        <v>121</v>
      </c>
      <c r="R1720" t="str">
        <f>_xlfn.XLOOKUP(GERAL[[#This Row],[Dia]],U:U,V:V,"")</f>
        <v>Prazo_30</v>
      </c>
    </row>
    <row r="1721" spans="1:18" hidden="1" x14ac:dyDescent="0.3">
      <c r="A1721" t="str">
        <f>_xlfn.XLOOKUP(GERAL[[#This Row],[Dia]],U:U,T:T,"")</f>
        <v>Semana 4</v>
      </c>
      <c r="B1721" s="1">
        <v>46075</v>
      </c>
      <c r="C1721" t="s">
        <v>21</v>
      </c>
      <c r="D1721" s="1">
        <v>46075</v>
      </c>
      <c r="E1721" t="s">
        <v>17</v>
      </c>
      <c r="Q1721" t="s">
        <v>121</v>
      </c>
      <c r="R1721" t="str">
        <f>_xlfn.XLOOKUP(GERAL[[#This Row],[Dia]],U:U,V:V,"")</f>
        <v>Prazo_30</v>
      </c>
    </row>
    <row r="1722" spans="1:18" hidden="1" x14ac:dyDescent="0.3">
      <c r="A1722" t="str">
        <f>_xlfn.XLOOKUP(GERAL[[#This Row],[Dia]],U:U,T:T,"")</f>
        <v>Semana 4</v>
      </c>
      <c r="B1722" s="1">
        <v>46076</v>
      </c>
      <c r="C1722" t="s">
        <v>22</v>
      </c>
      <c r="D1722" s="1">
        <v>46076</v>
      </c>
      <c r="E1722" t="s">
        <v>36</v>
      </c>
      <c r="F1722" t="s">
        <v>122</v>
      </c>
      <c r="G1722" t="s">
        <v>123</v>
      </c>
      <c r="H1722">
        <v>6</v>
      </c>
      <c r="I1722">
        <v>28</v>
      </c>
      <c r="J1722">
        <v>12</v>
      </c>
      <c r="K1722">
        <v>32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121</v>
      </c>
      <c r="R1722" t="str">
        <f>_xlfn.XLOOKUP(GERAL[[#This Row],[Dia]],U:U,V:V,"")</f>
        <v>Prazo_30</v>
      </c>
    </row>
    <row r="1723" spans="1:18" hidden="1" x14ac:dyDescent="0.3">
      <c r="A1723" t="str">
        <f>_xlfn.XLOOKUP(GERAL[[#This Row],[Dia]],U:U,T:T,"")</f>
        <v>Semana 4</v>
      </c>
      <c r="B1723" s="1">
        <v>46077</v>
      </c>
      <c r="C1723" t="s">
        <v>23</v>
      </c>
      <c r="D1723" s="1">
        <v>46077</v>
      </c>
      <c r="E1723" t="s">
        <v>36</v>
      </c>
      <c r="F1723" t="s">
        <v>122</v>
      </c>
      <c r="G1723" t="s">
        <v>123</v>
      </c>
      <c r="H1723">
        <v>6</v>
      </c>
      <c r="I1723">
        <v>6</v>
      </c>
      <c r="J1723">
        <v>88</v>
      </c>
      <c r="K1723">
        <v>22</v>
      </c>
      <c r="L1723">
        <v>2</v>
      </c>
      <c r="M1723">
        <v>7</v>
      </c>
      <c r="N1723">
        <v>0</v>
      </c>
      <c r="Q1723" t="s">
        <v>121</v>
      </c>
      <c r="R1723" t="str">
        <f>_xlfn.XLOOKUP(GERAL[[#This Row],[Dia]],U:U,V:V,"")</f>
        <v>Prazo_30</v>
      </c>
    </row>
    <row r="1724" spans="1:18" hidden="1" x14ac:dyDescent="0.3">
      <c r="A1724" t="str">
        <f>_xlfn.XLOOKUP(GERAL[[#This Row],[Dia]],U:U,T:T,"")</f>
        <v>Semana 4</v>
      </c>
      <c r="B1724" s="1">
        <v>46078</v>
      </c>
      <c r="C1724" t="s">
        <v>24</v>
      </c>
      <c r="D1724" s="1">
        <v>46078</v>
      </c>
      <c r="E1724" t="s">
        <v>36</v>
      </c>
      <c r="F1724" t="s">
        <v>122</v>
      </c>
      <c r="G1724" t="s">
        <v>123</v>
      </c>
      <c r="H1724">
        <v>0</v>
      </c>
      <c r="I1724">
        <v>13</v>
      </c>
      <c r="J1724">
        <v>42</v>
      </c>
      <c r="K1724">
        <v>26</v>
      </c>
      <c r="L1724">
        <v>1</v>
      </c>
      <c r="M1724">
        <v>0</v>
      </c>
      <c r="N1724">
        <v>0</v>
      </c>
      <c r="O1724">
        <v>0</v>
      </c>
      <c r="P1724">
        <v>0</v>
      </c>
      <c r="Q1724" t="s">
        <v>121</v>
      </c>
      <c r="R1724" t="str">
        <f>_xlfn.XLOOKUP(GERAL[[#This Row],[Dia]],U:U,V:V,"")</f>
        <v>Prazo_30</v>
      </c>
    </row>
    <row r="1725" spans="1:18" hidden="1" x14ac:dyDescent="0.3">
      <c r="A1725" t="str">
        <f>_xlfn.XLOOKUP(GERAL[[#This Row],[Dia]],U:U,T:T,"")</f>
        <v>Semana 4</v>
      </c>
      <c r="B1725" s="1">
        <v>46079</v>
      </c>
      <c r="C1725" t="s">
        <v>25</v>
      </c>
      <c r="D1725" s="1">
        <v>46079</v>
      </c>
      <c r="E1725" t="s">
        <v>17</v>
      </c>
      <c r="Q1725" t="s">
        <v>121</v>
      </c>
      <c r="R1725" t="str">
        <f>_xlfn.XLOOKUP(GERAL[[#This Row],[Dia]],U:U,V:V,"")</f>
        <v>Prazo_30</v>
      </c>
    </row>
    <row r="1726" spans="1:18" hidden="1" x14ac:dyDescent="0.3">
      <c r="A1726" t="str">
        <f>_xlfn.XLOOKUP(GERAL[[#This Row],[Dia]],U:U,T:T,"")</f>
        <v>Semana 4</v>
      </c>
      <c r="B1726" s="1">
        <v>46080</v>
      </c>
      <c r="C1726" t="s">
        <v>26</v>
      </c>
      <c r="D1726" s="1">
        <v>46080</v>
      </c>
      <c r="E1726" t="s">
        <v>36</v>
      </c>
      <c r="F1726" t="s">
        <v>122</v>
      </c>
      <c r="G1726" t="s">
        <v>123</v>
      </c>
      <c r="H1726">
        <v>2</v>
      </c>
      <c r="I1726">
        <v>25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121</v>
      </c>
      <c r="R1726" t="str">
        <f>_xlfn.XLOOKUP(GERAL[[#This Row],[Dia]],U:U,V:V,"")</f>
        <v>Prazo_30</v>
      </c>
    </row>
    <row r="1727" spans="1:18" hidden="1" x14ac:dyDescent="0.3">
      <c r="A1727" t="str">
        <f>_xlfn.XLOOKUP(GERAL[[#This Row],[Dia]],U:U,T:T,"")</f>
        <v>Semana 4</v>
      </c>
      <c r="B1727" s="1">
        <v>46081</v>
      </c>
      <c r="C1727" t="s">
        <v>16</v>
      </c>
      <c r="D1727" s="1">
        <v>46081</v>
      </c>
      <c r="E1727" t="s">
        <v>36</v>
      </c>
      <c r="F1727" t="s">
        <v>122</v>
      </c>
      <c r="G1727" t="s">
        <v>123</v>
      </c>
      <c r="H1727">
        <v>0</v>
      </c>
      <c r="I1727">
        <v>6</v>
      </c>
      <c r="J1727">
        <v>0</v>
      </c>
      <c r="K1727">
        <v>6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121</v>
      </c>
      <c r="R1727" t="str">
        <f>_xlfn.XLOOKUP(GERAL[[#This Row],[Dia]],U:U,V:V,"")</f>
        <v>Prazo_30</v>
      </c>
    </row>
    <row r="1728" spans="1:18" x14ac:dyDescent="0.3">
      <c r="A1728" t="str">
        <f>_xlfn.XLOOKUP(GERAL[[#This Row],[Dia]],U:U,T:T,"")</f>
        <v>Semana 5</v>
      </c>
      <c r="B1728" s="1">
        <v>46082</v>
      </c>
      <c r="C1728" t="s">
        <v>21</v>
      </c>
      <c r="D1728" s="1">
        <v>46082</v>
      </c>
      <c r="E1728" t="s">
        <v>17</v>
      </c>
      <c r="Q1728" t="s">
        <v>121</v>
      </c>
      <c r="R1728" t="str">
        <f>_xlfn.XLOOKUP(GERAL[[#This Row],[Dia]],U:U,V:V,"")</f>
        <v>Prazo_30</v>
      </c>
    </row>
    <row r="1729" spans="1:18" x14ac:dyDescent="0.3">
      <c r="A1729" t="str">
        <f>_xlfn.XLOOKUP(GERAL[[#This Row],[Dia]],U:U,T:T,"")</f>
        <v>Semana 5</v>
      </c>
      <c r="B1729" s="1">
        <v>46083</v>
      </c>
      <c r="C1729" t="s">
        <v>22</v>
      </c>
      <c r="D1729" s="1">
        <v>46083</v>
      </c>
      <c r="E1729" t="s">
        <v>36</v>
      </c>
      <c r="F1729" t="s">
        <v>124</v>
      </c>
      <c r="G1729" t="s">
        <v>125</v>
      </c>
      <c r="I1729">
        <v>9</v>
      </c>
      <c r="Q1729" t="s">
        <v>121</v>
      </c>
      <c r="R1729" t="str">
        <f>_xlfn.XLOOKUP(GERAL[[#This Row],[Dia]],U:U,V:V,"")</f>
        <v>Prazo_30</v>
      </c>
    </row>
    <row r="1730" spans="1:18" x14ac:dyDescent="0.3">
      <c r="A1730" t="str">
        <f>_xlfn.XLOOKUP(GERAL[[#This Row],[Dia]],U:U,T:T,"")</f>
        <v>Semana 5</v>
      </c>
      <c r="B1730" s="1">
        <v>46083</v>
      </c>
      <c r="C1730" t="s">
        <v>22</v>
      </c>
      <c r="D1730" s="1">
        <v>46083</v>
      </c>
      <c r="E1730" t="s">
        <v>36</v>
      </c>
      <c r="F1730" t="s">
        <v>126</v>
      </c>
      <c r="G1730" t="s">
        <v>127</v>
      </c>
      <c r="K1730">
        <v>6</v>
      </c>
      <c r="Q1730" t="s">
        <v>121</v>
      </c>
      <c r="R1730" t="str">
        <f>_xlfn.XLOOKUP(GERAL[[#This Row],[Dia]],U:U,V:V,"")</f>
        <v>Prazo_30</v>
      </c>
    </row>
    <row r="1731" spans="1:18" x14ac:dyDescent="0.3">
      <c r="A1731" t="str">
        <f>_xlfn.XLOOKUP(GERAL[[#This Row],[Dia]],U:U,T:T,"")</f>
        <v>Semana 5</v>
      </c>
      <c r="B1731" s="1">
        <v>46083</v>
      </c>
      <c r="C1731" t="s">
        <v>22</v>
      </c>
      <c r="D1731" s="1">
        <v>46083</v>
      </c>
      <c r="E1731" t="s">
        <v>36</v>
      </c>
      <c r="F1731" t="s">
        <v>128</v>
      </c>
      <c r="G1731" t="s">
        <v>129</v>
      </c>
      <c r="I1731">
        <v>4</v>
      </c>
      <c r="Q1731" t="s">
        <v>121</v>
      </c>
      <c r="R1731" t="str">
        <f>_xlfn.XLOOKUP(GERAL[[#This Row],[Dia]],U:U,V:V,"")</f>
        <v>Prazo_30</v>
      </c>
    </row>
    <row r="1732" spans="1:18" x14ac:dyDescent="0.3">
      <c r="A1732" t="str">
        <f>_xlfn.XLOOKUP(GERAL[[#This Row],[Dia]],U:U,T:T,"")</f>
        <v>Semana 5</v>
      </c>
      <c r="B1732" s="1">
        <v>46083</v>
      </c>
      <c r="C1732" t="s">
        <v>22</v>
      </c>
      <c r="D1732" s="1">
        <v>46083</v>
      </c>
      <c r="E1732" t="s">
        <v>36</v>
      </c>
      <c r="F1732" t="s">
        <v>130</v>
      </c>
      <c r="G1732" t="s">
        <v>131</v>
      </c>
      <c r="K1732">
        <v>6</v>
      </c>
      <c r="Q1732" t="s">
        <v>121</v>
      </c>
      <c r="R1732" t="str">
        <f>_xlfn.XLOOKUP(GERAL[[#This Row],[Dia]],U:U,V:V,"")</f>
        <v>Prazo_30</v>
      </c>
    </row>
    <row r="1733" spans="1:18" x14ac:dyDescent="0.3">
      <c r="A1733" t="str">
        <f>_xlfn.XLOOKUP(GERAL[[#This Row],[Dia]],U:U,T:T,"")</f>
        <v>Semana 5</v>
      </c>
      <c r="B1733" s="1">
        <v>46083</v>
      </c>
      <c r="C1733" t="s">
        <v>22</v>
      </c>
      <c r="D1733" s="1">
        <v>46083</v>
      </c>
      <c r="E1733" t="s">
        <v>36</v>
      </c>
      <c r="F1733" t="s">
        <v>132</v>
      </c>
      <c r="G1733" t="s">
        <v>133</v>
      </c>
      <c r="L1733">
        <v>2</v>
      </c>
      <c r="Q1733" t="s">
        <v>121</v>
      </c>
      <c r="R1733" t="str">
        <f>_xlfn.XLOOKUP(GERAL[[#This Row],[Dia]],U:U,V:V,"")</f>
        <v>Prazo_30</v>
      </c>
    </row>
    <row r="1734" spans="1:18" x14ac:dyDescent="0.3">
      <c r="A1734" t="str">
        <f>_xlfn.XLOOKUP(GERAL[[#This Row],[Dia]],U:U,T:T,"")</f>
        <v>Semana 5</v>
      </c>
      <c r="B1734" s="1">
        <v>46083</v>
      </c>
      <c r="C1734" t="s">
        <v>22</v>
      </c>
      <c r="D1734" s="1">
        <v>46083</v>
      </c>
      <c r="E1734" t="s">
        <v>36</v>
      </c>
      <c r="F1734" t="s">
        <v>134</v>
      </c>
      <c r="G1734" t="s">
        <v>135</v>
      </c>
      <c r="J1734">
        <v>40</v>
      </c>
      <c r="L1734">
        <v>1</v>
      </c>
      <c r="Q1734" t="s">
        <v>121</v>
      </c>
      <c r="R1734" t="str">
        <f>_xlfn.XLOOKUP(GERAL[[#This Row],[Dia]],U:U,V:V,"")</f>
        <v>Prazo_30</v>
      </c>
    </row>
    <row r="1735" spans="1:18" x14ac:dyDescent="0.3">
      <c r="A1735" t="str">
        <f>_xlfn.XLOOKUP(GERAL[[#This Row],[Dia]],U:U,T:T,"")</f>
        <v>Semana 5</v>
      </c>
      <c r="B1735" s="1">
        <v>46083</v>
      </c>
      <c r="C1735" t="s">
        <v>22</v>
      </c>
      <c r="D1735" s="1">
        <v>46083</v>
      </c>
      <c r="E1735" t="s">
        <v>36</v>
      </c>
      <c r="F1735" t="s">
        <v>136</v>
      </c>
      <c r="G1735" t="s">
        <v>137</v>
      </c>
      <c r="I1735">
        <v>2</v>
      </c>
      <c r="K1735">
        <v>6</v>
      </c>
      <c r="Q1735" t="s">
        <v>121</v>
      </c>
      <c r="R1735" t="str">
        <f>_xlfn.XLOOKUP(GERAL[[#This Row],[Dia]],U:U,V:V,"")</f>
        <v>Prazo_30</v>
      </c>
    </row>
    <row r="1736" spans="1:18" x14ac:dyDescent="0.3">
      <c r="A1736" t="str">
        <f>_xlfn.XLOOKUP(GERAL[[#This Row],[Dia]],U:U,T:T,"")</f>
        <v>Semana 6</v>
      </c>
      <c r="B1736" s="1">
        <v>46084</v>
      </c>
      <c r="C1736" t="s">
        <v>23</v>
      </c>
      <c r="D1736" s="1">
        <v>46084</v>
      </c>
      <c r="E1736" t="s">
        <v>36</v>
      </c>
      <c r="F1736" t="s">
        <v>138</v>
      </c>
      <c r="G1736" t="s">
        <v>125</v>
      </c>
      <c r="I1736">
        <v>7</v>
      </c>
      <c r="Q1736" t="s">
        <v>121</v>
      </c>
      <c r="R1736" t="str">
        <f>_xlfn.XLOOKUP(GERAL[[#This Row],[Dia]],U:U,V:V,"")</f>
        <v>Prazo_30</v>
      </c>
    </row>
    <row r="1737" spans="1:18" x14ac:dyDescent="0.3">
      <c r="A1737" t="str">
        <f>_xlfn.XLOOKUP(GERAL[[#This Row],[Dia]],U:U,T:T,"")</f>
        <v>Semana 6</v>
      </c>
      <c r="B1737" s="1">
        <v>46084</v>
      </c>
      <c r="C1737" t="s">
        <v>23</v>
      </c>
      <c r="D1737" s="1">
        <v>46084</v>
      </c>
      <c r="E1737" t="s">
        <v>36</v>
      </c>
      <c r="F1737" t="s">
        <v>139</v>
      </c>
      <c r="G1737" t="s">
        <v>140</v>
      </c>
      <c r="I1737">
        <v>1</v>
      </c>
      <c r="K1737">
        <v>3.7</v>
      </c>
      <c r="Q1737" t="s">
        <v>121</v>
      </c>
      <c r="R1737" t="str">
        <f>_xlfn.XLOOKUP(GERAL[[#This Row],[Dia]],U:U,V:V,"")</f>
        <v>Prazo_30</v>
      </c>
    </row>
    <row r="1738" spans="1:18" x14ac:dyDescent="0.3">
      <c r="A1738" t="str">
        <f>_xlfn.XLOOKUP(GERAL[[#This Row],[Dia]],U:U,T:T,"")</f>
        <v>Semana 6</v>
      </c>
      <c r="B1738" s="1">
        <v>46084</v>
      </c>
      <c r="C1738" t="s">
        <v>23</v>
      </c>
      <c r="D1738" s="1">
        <v>46084</v>
      </c>
      <c r="E1738" t="s">
        <v>36</v>
      </c>
      <c r="F1738" t="s">
        <v>139</v>
      </c>
      <c r="G1738" t="s">
        <v>140</v>
      </c>
      <c r="I1738">
        <v>3</v>
      </c>
      <c r="Q1738" t="s">
        <v>121</v>
      </c>
      <c r="R1738" t="str">
        <f>_xlfn.XLOOKUP(GERAL[[#This Row],[Dia]],U:U,V:V,"")</f>
        <v>Prazo_30</v>
      </c>
    </row>
    <row r="1739" spans="1:18" x14ac:dyDescent="0.3">
      <c r="A1739" t="str">
        <f>_xlfn.XLOOKUP(GERAL[[#This Row],[Dia]],U:U,T:T,"")</f>
        <v>Semana 6</v>
      </c>
      <c r="B1739" s="1">
        <v>46084</v>
      </c>
      <c r="C1739" t="s">
        <v>23</v>
      </c>
      <c r="D1739" s="1">
        <v>46084</v>
      </c>
      <c r="E1739" t="s">
        <v>36</v>
      </c>
      <c r="F1739" t="s">
        <v>130</v>
      </c>
      <c r="G1739" t="s">
        <v>140</v>
      </c>
      <c r="I1739">
        <v>2</v>
      </c>
      <c r="Q1739" t="s">
        <v>121</v>
      </c>
      <c r="R1739" t="str">
        <f>_xlfn.XLOOKUP(GERAL[[#This Row],[Dia]],U:U,V:V,"")</f>
        <v>Prazo_30</v>
      </c>
    </row>
    <row r="1740" spans="1:18" x14ac:dyDescent="0.3">
      <c r="A1740" t="str">
        <f>_xlfn.XLOOKUP(GERAL[[#This Row],[Dia]],U:U,T:T,"")</f>
        <v>Semana 6</v>
      </c>
      <c r="B1740" s="1">
        <v>46084</v>
      </c>
      <c r="C1740" t="s">
        <v>23</v>
      </c>
      <c r="D1740" s="1">
        <v>46084</v>
      </c>
      <c r="E1740" t="s">
        <v>36</v>
      </c>
      <c r="F1740" t="s">
        <v>132</v>
      </c>
      <c r="G1740" t="s">
        <v>127</v>
      </c>
      <c r="I1740">
        <v>4</v>
      </c>
      <c r="Q1740" t="s">
        <v>121</v>
      </c>
      <c r="R1740" t="str">
        <f>_xlfn.XLOOKUP(GERAL[[#This Row],[Dia]],U:U,V:V,"")</f>
        <v>Prazo_30</v>
      </c>
    </row>
    <row r="1741" spans="1:18" x14ac:dyDescent="0.3">
      <c r="A1741" t="str">
        <f>_xlfn.XLOOKUP(GERAL[[#This Row],[Dia]],U:U,T:T,"")</f>
        <v>Semana 6</v>
      </c>
      <c r="B1741" s="1">
        <v>46084</v>
      </c>
      <c r="C1741" t="s">
        <v>23</v>
      </c>
      <c r="D1741" s="1">
        <v>46084</v>
      </c>
      <c r="E1741" t="s">
        <v>36</v>
      </c>
      <c r="F1741" t="s">
        <v>134</v>
      </c>
      <c r="G1741" t="s">
        <v>141</v>
      </c>
      <c r="H1741">
        <v>2</v>
      </c>
      <c r="J1741">
        <v>40</v>
      </c>
      <c r="Q1741" t="s">
        <v>121</v>
      </c>
      <c r="R1741" t="str">
        <f>_xlfn.XLOOKUP(GERAL[[#This Row],[Dia]],U:U,V:V,"")</f>
        <v>Prazo_30</v>
      </c>
    </row>
    <row r="1742" spans="1:18" x14ac:dyDescent="0.3">
      <c r="A1742" t="str">
        <f>_xlfn.XLOOKUP(GERAL[[#This Row],[Dia]],U:U,T:T,"")</f>
        <v>Semana 6</v>
      </c>
      <c r="B1742" s="1">
        <v>46084</v>
      </c>
      <c r="C1742" t="s">
        <v>23</v>
      </c>
      <c r="D1742" s="1">
        <v>46084</v>
      </c>
      <c r="E1742" t="s">
        <v>36</v>
      </c>
      <c r="F1742" t="s">
        <v>136</v>
      </c>
      <c r="G1742" t="s">
        <v>142</v>
      </c>
      <c r="K1742">
        <v>9</v>
      </c>
      <c r="Q1742" t="s">
        <v>121</v>
      </c>
      <c r="R1742" t="str">
        <f>_xlfn.XLOOKUP(GERAL[[#This Row],[Dia]],U:U,V:V,"")</f>
        <v>Prazo_30</v>
      </c>
    </row>
    <row r="1743" spans="1:18" x14ac:dyDescent="0.3">
      <c r="A1743" t="str">
        <f>_xlfn.XLOOKUP(GERAL[[#This Row],[Dia]],U:U,T:T,"")</f>
        <v>Semana 6</v>
      </c>
      <c r="B1743" s="1">
        <v>46085</v>
      </c>
      <c r="C1743" t="s">
        <v>24</v>
      </c>
      <c r="D1743" s="1">
        <v>46085</v>
      </c>
      <c r="E1743" t="s">
        <v>36</v>
      </c>
      <c r="F1743" t="s">
        <v>124</v>
      </c>
      <c r="G1743" t="s">
        <v>127</v>
      </c>
      <c r="I1743">
        <v>6</v>
      </c>
      <c r="Q1743" t="s">
        <v>121</v>
      </c>
      <c r="R1743" t="str">
        <f>_xlfn.XLOOKUP(GERAL[[#This Row],[Dia]],U:U,V:V,"")</f>
        <v>Prazo_30</v>
      </c>
    </row>
    <row r="1744" spans="1:18" x14ac:dyDescent="0.3">
      <c r="A1744" t="str">
        <f>_xlfn.XLOOKUP(GERAL[[#This Row],[Dia]],U:U,T:T,"")</f>
        <v>Semana 6</v>
      </c>
      <c r="B1744" s="1">
        <v>46085</v>
      </c>
      <c r="C1744" t="s">
        <v>24</v>
      </c>
      <c r="D1744" s="1">
        <v>46085</v>
      </c>
      <c r="E1744" t="s">
        <v>36</v>
      </c>
      <c r="F1744" t="s">
        <v>136</v>
      </c>
      <c r="G1744" t="s">
        <v>142</v>
      </c>
      <c r="H1744">
        <v>4</v>
      </c>
      <c r="L1744">
        <v>1</v>
      </c>
      <c r="Q1744" t="s">
        <v>121</v>
      </c>
      <c r="R1744" t="str">
        <f>_xlfn.XLOOKUP(GERAL[[#This Row],[Dia]],U:U,V:V,"")</f>
        <v>Prazo_30</v>
      </c>
    </row>
    <row r="1745" spans="1:18" x14ac:dyDescent="0.3">
      <c r="A1745" t="str">
        <f>_xlfn.XLOOKUP(GERAL[[#This Row],[Dia]],U:U,T:T,"")</f>
        <v>Semana 6</v>
      </c>
      <c r="B1745" s="1">
        <v>46086</v>
      </c>
      <c r="C1745" t="s">
        <v>25</v>
      </c>
      <c r="D1745" s="1">
        <v>46086</v>
      </c>
      <c r="E1745" t="s">
        <v>36</v>
      </c>
      <c r="F1745" t="s">
        <v>124</v>
      </c>
      <c r="G1745" t="s">
        <v>125</v>
      </c>
      <c r="I1745">
        <v>3</v>
      </c>
      <c r="K1745">
        <v>6</v>
      </c>
      <c r="Q1745" t="s">
        <v>121</v>
      </c>
      <c r="R1745" t="str">
        <f>_xlfn.XLOOKUP(GERAL[[#This Row],[Dia]],U:U,V:V,"")</f>
        <v>Prazo_30</v>
      </c>
    </row>
    <row r="1746" spans="1:18" x14ac:dyDescent="0.3">
      <c r="A1746" t="str">
        <f>_xlfn.XLOOKUP(GERAL[[#This Row],[Dia]],U:U,T:T,"")</f>
        <v>Semana 6</v>
      </c>
      <c r="B1746" s="1">
        <v>46086</v>
      </c>
      <c r="C1746" t="s">
        <v>25</v>
      </c>
      <c r="D1746" s="1">
        <v>46086</v>
      </c>
      <c r="E1746" t="s">
        <v>36</v>
      </c>
      <c r="F1746" t="s">
        <v>143</v>
      </c>
      <c r="G1746" t="s">
        <v>144</v>
      </c>
      <c r="I1746">
        <v>2</v>
      </c>
      <c r="J1746">
        <v>6</v>
      </c>
      <c r="K1746">
        <v>6</v>
      </c>
      <c r="Q1746" t="s">
        <v>121</v>
      </c>
      <c r="R1746" t="str">
        <f>_xlfn.XLOOKUP(GERAL[[#This Row],[Dia]],U:U,V:V,"")</f>
        <v>Prazo_30</v>
      </c>
    </row>
    <row r="1747" spans="1:18" x14ac:dyDescent="0.3">
      <c r="A1747" t="str">
        <f>_xlfn.XLOOKUP(GERAL[[#This Row],[Dia]],U:U,T:T,"")</f>
        <v>Semana 6</v>
      </c>
      <c r="B1747" s="1">
        <v>46086</v>
      </c>
      <c r="C1747" t="s">
        <v>25</v>
      </c>
      <c r="D1747" s="1">
        <v>46086</v>
      </c>
      <c r="E1747" t="s">
        <v>36</v>
      </c>
      <c r="F1747" t="s">
        <v>134</v>
      </c>
      <c r="G1747" t="s">
        <v>145</v>
      </c>
      <c r="K1747">
        <v>6</v>
      </c>
      <c r="Q1747" t="s">
        <v>121</v>
      </c>
      <c r="R1747" t="str">
        <f>_xlfn.XLOOKUP(GERAL[[#This Row],[Dia]],U:U,V:V,"")</f>
        <v>Prazo_30</v>
      </c>
    </row>
    <row r="1748" spans="1:18" x14ac:dyDescent="0.3">
      <c r="A1748" t="str">
        <f>_xlfn.XLOOKUP(GERAL[[#This Row],[Dia]],U:U,T:T,"")</f>
        <v>Semana 6</v>
      </c>
      <c r="B1748" s="1">
        <v>46086</v>
      </c>
      <c r="C1748" t="s">
        <v>25</v>
      </c>
      <c r="D1748" s="1">
        <v>46086</v>
      </c>
      <c r="E1748" t="s">
        <v>36</v>
      </c>
      <c r="F1748" t="s">
        <v>136</v>
      </c>
      <c r="G1748" t="s">
        <v>146</v>
      </c>
      <c r="H1748">
        <v>34</v>
      </c>
      <c r="Q1748" t="s">
        <v>121</v>
      </c>
      <c r="R1748" t="str">
        <f>_xlfn.XLOOKUP(GERAL[[#This Row],[Dia]],U:U,V:V,"")</f>
        <v>Prazo_30</v>
      </c>
    </row>
    <row r="1749" spans="1:18" x14ac:dyDescent="0.3">
      <c r="A1749" t="str">
        <f>_xlfn.XLOOKUP(GERAL[[#This Row],[Dia]],U:U,T:T,"")</f>
        <v>Semana 6</v>
      </c>
      <c r="B1749" s="1">
        <v>46087</v>
      </c>
      <c r="C1749" t="s">
        <v>26</v>
      </c>
      <c r="D1749" s="1">
        <v>46087</v>
      </c>
      <c r="E1749" t="s">
        <v>36</v>
      </c>
      <c r="F1749" t="s">
        <v>124</v>
      </c>
      <c r="G1749" t="s">
        <v>125</v>
      </c>
      <c r="I1749">
        <v>2</v>
      </c>
      <c r="Q1749" t="s">
        <v>121</v>
      </c>
      <c r="R1749" t="str">
        <f>_xlfn.XLOOKUP(GERAL[[#This Row],[Dia]],U:U,V:V,"")</f>
        <v>Prazo_30</v>
      </c>
    </row>
    <row r="1750" spans="1:18" x14ac:dyDescent="0.3">
      <c r="A1750" t="str">
        <f>_xlfn.XLOOKUP(GERAL[[#This Row],[Dia]],U:U,T:T,"")</f>
        <v>Semana 6</v>
      </c>
      <c r="B1750" s="1">
        <v>46087</v>
      </c>
      <c r="C1750" t="s">
        <v>26</v>
      </c>
      <c r="D1750" s="1">
        <v>46087</v>
      </c>
      <c r="E1750" t="s">
        <v>36</v>
      </c>
      <c r="F1750" t="s">
        <v>128</v>
      </c>
      <c r="G1750" t="s">
        <v>127</v>
      </c>
      <c r="I1750">
        <v>2</v>
      </c>
      <c r="Q1750" t="s">
        <v>121</v>
      </c>
      <c r="R1750" t="str">
        <f>_xlfn.XLOOKUP(GERAL[[#This Row],[Dia]],U:U,V:V,"")</f>
        <v>Prazo_30</v>
      </c>
    </row>
    <row r="1751" spans="1:18" x14ac:dyDescent="0.3">
      <c r="A1751" t="str">
        <f>_xlfn.XLOOKUP(GERAL[[#This Row],[Dia]],U:U,T:T,"")</f>
        <v>Semana 6</v>
      </c>
      <c r="B1751" s="1">
        <v>46087</v>
      </c>
      <c r="C1751" t="s">
        <v>26</v>
      </c>
      <c r="D1751" s="1">
        <v>46087</v>
      </c>
      <c r="E1751" t="s">
        <v>36</v>
      </c>
      <c r="F1751" t="s">
        <v>132</v>
      </c>
      <c r="G1751" t="s">
        <v>127</v>
      </c>
      <c r="I1751">
        <v>2</v>
      </c>
      <c r="Q1751" t="s">
        <v>121</v>
      </c>
      <c r="R1751" t="str">
        <f>_xlfn.XLOOKUP(GERAL[[#This Row],[Dia]],U:U,V:V,"")</f>
        <v>Prazo_30</v>
      </c>
    </row>
    <row r="1752" spans="1:18" x14ac:dyDescent="0.3">
      <c r="A1752" t="str">
        <f>_xlfn.XLOOKUP(GERAL[[#This Row],[Dia]],U:U,T:T,"")</f>
        <v>Semana 6</v>
      </c>
      <c r="B1752" s="1">
        <v>46087</v>
      </c>
      <c r="C1752" t="s">
        <v>26</v>
      </c>
      <c r="D1752" s="1">
        <v>46087</v>
      </c>
      <c r="E1752" t="s">
        <v>36</v>
      </c>
      <c r="F1752" t="s">
        <v>139</v>
      </c>
      <c r="G1752" t="s">
        <v>147</v>
      </c>
      <c r="K1752">
        <v>6</v>
      </c>
      <c r="Q1752" t="s">
        <v>121</v>
      </c>
      <c r="R1752" t="str">
        <f>_xlfn.XLOOKUP(GERAL[[#This Row],[Dia]],U:U,V:V,"")</f>
        <v>Prazo_30</v>
      </c>
    </row>
    <row r="1753" spans="1:18" x14ac:dyDescent="0.3">
      <c r="A1753" t="str">
        <f>_xlfn.XLOOKUP(GERAL[[#This Row],[Dia]],U:U,T:T,"")</f>
        <v>Semana 6</v>
      </c>
      <c r="B1753" s="1">
        <v>46087</v>
      </c>
      <c r="C1753" t="s">
        <v>26</v>
      </c>
      <c r="D1753" s="1">
        <v>46087</v>
      </c>
      <c r="E1753" t="s">
        <v>36</v>
      </c>
      <c r="F1753" t="s">
        <v>126</v>
      </c>
      <c r="G1753" t="s">
        <v>148</v>
      </c>
      <c r="K1753">
        <v>6</v>
      </c>
      <c r="Q1753" t="s">
        <v>121</v>
      </c>
      <c r="R1753" t="str">
        <f>_xlfn.XLOOKUP(GERAL[[#This Row],[Dia]],U:U,V:V,"")</f>
        <v>Prazo_30</v>
      </c>
    </row>
    <row r="1754" spans="1:18" x14ac:dyDescent="0.3">
      <c r="A1754" t="str">
        <f>_xlfn.XLOOKUP(GERAL[[#This Row],[Dia]],U:U,T:T,"")</f>
        <v>Semana 6</v>
      </c>
      <c r="B1754" s="1">
        <v>46087</v>
      </c>
      <c r="C1754" t="s">
        <v>26</v>
      </c>
      <c r="D1754" s="1">
        <v>46087</v>
      </c>
      <c r="E1754" t="s">
        <v>36</v>
      </c>
      <c r="F1754" t="s">
        <v>134</v>
      </c>
      <c r="G1754" t="s">
        <v>145</v>
      </c>
      <c r="K1754">
        <v>6</v>
      </c>
      <c r="L1754">
        <v>1</v>
      </c>
      <c r="Q1754" t="s">
        <v>121</v>
      </c>
      <c r="R1754" t="str">
        <f>_xlfn.XLOOKUP(GERAL[[#This Row],[Dia]],U:U,V:V,"")</f>
        <v>Prazo_30</v>
      </c>
    </row>
    <row r="1755" spans="1:18" x14ac:dyDescent="0.3">
      <c r="A1755" t="str">
        <f>_xlfn.XLOOKUP(GERAL[[#This Row],[Dia]],U:U,T:T,"")</f>
        <v>Semana 6</v>
      </c>
      <c r="B1755" s="1">
        <v>46087</v>
      </c>
      <c r="C1755" t="s">
        <v>26</v>
      </c>
      <c r="D1755" s="1">
        <v>46087</v>
      </c>
      <c r="E1755" t="s">
        <v>36</v>
      </c>
      <c r="F1755" t="s">
        <v>149</v>
      </c>
      <c r="G1755" t="s">
        <v>142</v>
      </c>
      <c r="H1755">
        <v>7</v>
      </c>
      <c r="J1755">
        <v>45</v>
      </c>
      <c r="Q1755" t="s">
        <v>121</v>
      </c>
      <c r="R1755" t="str">
        <f>_xlfn.XLOOKUP(GERAL[[#This Row],[Dia]],U:U,V:V,"")</f>
        <v>Prazo_30</v>
      </c>
    </row>
    <row r="1756" spans="1:18" x14ac:dyDescent="0.3">
      <c r="A1756" t="str">
        <f>_xlfn.XLOOKUP(GERAL[[#This Row],[Dia]],U:U,T:T,"")</f>
        <v>Semana 6</v>
      </c>
      <c r="B1756" s="1">
        <v>46088</v>
      </c>
      <c r="C1756" t="s">
        <v>16</v>
      </c>
      <c r="D1756" s="1">
        <v>46088</v>
      </c>
      <c r="E1756" t="s">
        <v>17</v>
      </c>
      <c r="Q1756" t="s">
        <v>121</v>
      </c>
      <c r="R1756" t="str">
        <f>_xlfn.XLOOKUP(GERAL[[#This Row],[Dia]],U:U,V:V,"")</f>
        <v>Prazo_30</v>
      </c>
    </row>
    <row r="1757" spans="1:18" x14ac:dyDescent="0.3">
      <c r="A1757" t="str">
        <f>_xlfn.XLOOKUP(GERAL[[#This Row],[Dia]],U:U,T:T,"")</f>
        <v>Semana 6</v>
      </c>
      <c r="B1757" s="1">
        <v>46089</v>
      </c>
      <c r="C1757" t="s">
        <v>21</v>
      </c>
      <c r="D1757" s="1">
        <v>46089</v>
      </c>
      <c r="E1757" t="s">
        <v>17</v>
      </c>
      <c r="Q1757" t="s">
        <v>121</v>
      </c>
      <c r="R1757" t="str">
        <f>_xlfn.XLOOKUP(GERAL[[#This Row],[Dia]],U:U,V:V,"")</f>
        <v>Prazo_30</v>
      </c>
    </row>
    <row r="1758" spans="1:18" x14ac:dyDescent="0.3">
      <c r="A1758" t="str">
        <f>_xlfn.XLOOKUP(GERAL[[#This Row],[Dia]],U:U,T:T,"")</f>
        <v>Semana 7</v>
      </c>
      <c r="B1758" s="1">
        <v>46090</v>
      </c>
      <c r="C1758" t="s">
        <v>22</v>
      </c>
      <c r="D1758" s="1">
        <v>46090</v>
      </c>
      <c r="E1758" t="s">
        <v>36</v>
      </c>
      <c r="F1758" t="s">
        <v>134</v>
      </c>
      <c r="G1758" t="s">
        <v>145</v>
      </c>
      <c r="K1758">
        <v>6</v>
      </c>
      <c r="Q1758" t="s">
        <v>121</v>
      </c>
      <c r="R1758" t="str">
        <f>_xlfn.XLOOKUP(GERAL[[#This Row],[Dia]],U:U,V:V,"")</f>
        <v>Prazo_30</v>
      </c>
    </row>
    <row r="1759" spans="1:18" x14ac:dyDescent="0.3">
      <c r="A1759" t="str">
        <f>_xlfn.XLOOKUP(GERAL[[#This Row],[Dia]],U:U,T:T,"")</f>
        <v>Semana 7</v>
      </c>
      <c r="B1759" s="1">
        <v>46090</v>
      </c>
      <c r="C1759" t="s">
        <v>22</v>
      </c>
      <c r="D1759" s="1">
        <v>46090</v>
      </c>
      <c r="E1759" t="s">
        <v>36</v>
      </c>
      <c r="F1759" t="s">
        <v>149</v>
      </c>
      <c r="G1759" t="s">
        <v>150</v>
      </c>
      <c r="H1759">
        <v>1</v>
      </c>
      <c r="Q1759" t="s">
        <v>121</v>
      </c>
      <c r="R1759" t="str">
        <f>_xlfn.XLOOKUP(GERAL[[#This Row],[Dia]],U:U,V:V,"")</f>
        <v>Prazo_30</v>
      </c>
    </row>
    <row r="1760" spans="1:18" x14ac:dyDescent="0.3">
      <c r="A1760" t="str">
        <f>_xlfn.XLOOKUP(GERAL[[#This Row],[Dia]],U:U,T:T,"")</f>
        <v>Semana 7</v>
      </c>
      <c r="B1760" s="1">
        <v>46091</v>
      </c>
      <c r="C1760" t="s">
        <v>23</v>
      </c>
      <c r="D1760" s="1">
        <v>46091</v>
      </c>
      <c r="E1760" t="s">
        <v>17</v>
      </c>
      <c r="G1760" t="s">
        <v>88</v>
      </c>
      <c r="Q1760" t="s">
        <v>121</v>
      </c>
      <c r="R1760" t="str">
        <f>_xlfn.XLOOKUP(GERAL[[#This Row],[Dia]],U:U,V:V,"")</f>
        <v>Prazo_30</v>
      </c>
    </row>
    <row r="1761" spans="1:18" x14ac:dyDescent="0.3">
      <c r="A1761" t="str">
        <f>_xlfn.XLOOKUP(GERAL[[#This Row],[Dia]],U:U,T:T,"")</f>
        <v>Semana 7</v>
      </c>
      <c r="B1761" s="1">
        <v>46092</v>
      </c>
      <c r="C1761" t="s">
        <v>24</v>
      </c>
      <c r="D1761" s="1">
        <v>46092</v>
      </c>
      <c r="E1761" t="s">
        <v>36</v>
      </c>
      <c r="F1761" t="s">
        <v>149</v>
      </c>
      <c r="G1761" t="s">
        <v>151</v>
      </c>
      <c r="K1761">
        <v>6</v>
      </c>
      <c r="Q1761" t="s">
        <v>121</v>
      </c>
      <c r="R1761" t="str">
        <f>_xlfn.XLOOKUP(GERAL[[#This Row],[Dia]],U:U,V:V,"")</f>
        <v>Prazo_30</v>
      </c>
    </row>
    <row r="1762" spans="1:18" x14ac:dyDescent="0.3">
      <c r="A1762" t="str">
        <f>_xlfn.XLOOKUP(GERAL[[#This Row],[Dia]],U:U,T:T,"")</f>
        <v>Semana 7</v>
      </c>
      <c r="B1762" s="1">
        <v>46092</v>
      </c>
      <c r="C1762" t="s">
        <v>24</v>
      </c>
      <c r="D1762" s="1">
        <v>46092</v>
      </c>
      <c r="E1762" t="s">
        <v>36</v>
      </c>
      <c r="F1762" t="s">
        <v>149</v>
      </c>
      <c r="G1762" t="s">
        <v>152</v>
      </c>
      <c r="H1762">
        <v>1</v>
      </c>
      <c r="Q1762" t="s">
        <v>121</v>
      </c>
      <c r="R1762" t="str">
        <f>_xlfn.XLOOKUP(GERAL[[#This Row],[Dia]],U:U,V:V,"")</f>
        <v>Prazo_30</v>
      </c>
    </row>
    <row r="1763" spans="1:18" x14ac:dyDescent="0.3">
      <c r="A1763" t="str">
        <f>_xlfn.XLOOKUP(GERAL[[#This Row],[Dia]],U:U,T:T,"")</f>
        <v>Semana 7</v>
      </c>
      <c r="B1763" s="1">
        <v>46093</v>
      </c>
      <c r="C1763" t="s">
        <v>25</v>
      </c>
      <c r="D1763" s="1">
        <v>46093</v>
      </c>
      <c r="E1763" t="s">
        <v>17</v>
      </c>
      <c r="G1763" t="s">
        <v>88</v>
      </c>
      <c r="Q1763" t="s">
        <v>121</v>
      </c>
      <c r="R1763" t="str">
        <f>_xlfn.XLOOKUP(GERAL[[#This Row],[Dia]],U:U,V:V,"")</f>
        <v>Prazo_30</v>
      </c>
    </row>
    <row r="1764" spans="1:18" x14ac:dyDescent="0.3">
      <c r="A1764" t="str">
        <f>_xlfn.XLOOKUP(GERAL[[#This Row],[Dia]],U:U,T:T,"")</f>
        <v>Semana 7</v>
      </c>
      <c r="B1764" s="1">
        <v>46094</v>
      </c>
      <c r="C1764" t="s">
        <v>26</v>
      </c>
      <c r="D1764" s="1">
        <v>46094</v>
      </c>
      <c r="E1764" t="s">
        <v>36</v>
      </c>
      <c r="F1764" t="s">
        <v>149</v>
      </c>
      <c r="G1764" t="s">
        <v>153</v>
      </c>
      <c r="I1764">
        <v>2</v>
      </c>
      <c r="K1764">
        <v>6</v>
      </c>
      <c r="Q1764" t="s">
        <v>121</v>
      </c>
      <c r="R1764" t="str">
        <f>_xlfn.XLOOKUP(GERAL[[#This Row],[Dia]],U:U,V:V,"")</f>
        <v>Prazo_30</v>
      </c>
    </row>
    <row r="1765" spans="1:18" x14ac:dyDescent="0.3">
      <c r="A1765" t="str">
        <f>_xlfn.XLOOKUP(GERAL[[#This Row],[Dia]],U:U,T:T,"")</f>
        <v>Semana 7</v>
      </c>
      <c r="B1765" s="1">
        <v>46094</v>
      </c>
      <c r="C1765" t="s">
        <v>26</v>
      </c>
      <c r="D1765" s="1">
        <v>46094</v>
      </c>
      <c r="E1765" t="s">
        <v>36</v>
      </c>
      <c r="F1765" t="s">
        <v>134</v>
      </c>
      <c r="G1765" t="s">
        <v>154</v>
      </c>
      <c r="K1765">
        <v>27</v>
      </c>
      <c r="Q1765" t="s">
        <v>121</v>
      </c>
      <c r="R1765" t="str">
        <f>_xlfn.XLOOKUP(GERAL[[#This Row],[Dia]],U:U,V:V,"")</f>
        <v>Prazo_30</v>
      </c>
    </row>
    <row r="1766" spans="1:18" x14ac:dyDescent="0.3">
      <c r="A1766" t="str">
        <f>_xlfn.XLOOKUP(GERAL[[#This Row],[Dia]],U:U,T:T,"")</f>
        <v>Semana 7</v>
      </c>
      <c r="B1766" s="1">
        <v>46094</v>
      </c>
      <c r="C1766" t="s">
        <v>26</v>
      </c>
      <c r="D1766" s="1">
        <v>46094</v>
      </c>
      <c r="E1766" t="s">
        <v>36</v>
      </c>
      <c r="F1766" t="s">
        <v>134</v>
      </c>
      <c r="G1766" t="s">
        <v>155</v>
      </c>
      <c r="K1766">
        <v>15</v>
      </c>
      <c r="Q1766" t="s">
        <v>121</v>
      </c>
      <c r="R1766" t="str">
        <f>_xlfn.XLOOKUP(GERAL[[#This Row],[Dia]],U:U,V:V,"")</f>
        <v>Prazo_30</v>
      </c>
    </row>
    <row r="1767" spans="1:18" x14ac:dyDescent="0.3">
      <c r="A1767" t="str">
        <f>_xlfn.XLOOKUP(GERAL[[#This Row],[Dia]],U:U,T:T,"")</f>
        <v>Semana 7</v>
      </c>
      <c r="B1767" s="1">
        <v>46095</v>
      </c>
      <c r="C1767" t="s">
        <v>16</v>
      </c>
      <c r="D1767" s="1">
        <v>46095</v>
      </c>
      <c r="E1767" t="s">
        <v>36</v>
      </c>
      <c r="F1767" t="s">
        <v>149</v>
      </c>
      <c r="G1767" t="s">
        <v>156</v>
      </c>
      <c r="K1767">
        <v>6</v>
      </c>
      <c r="Q1767" t="s">
        <v>121</v>
      </c>
      <c r="R1767" t="str">
        <f>_xlfn.XLOOKUP(GERAL[[#This Row],[Dia]],U:U,V:V,"")</f>
        <v>Prazo_30</v>
      </c>
    </row>
    <row r="1768" spans="1:18" x14ac:dyDescent="0.3">
      <c r="A1768" t="str">
        <f>_xlfn.XLOOKUP(GERAL[[#This Row],[Dia]],U:U,T:T,"")</f>
        <v>Semana 7</v>
      </c>
      <c r="B1768" s="1">
        <v>46095</v>
      </c>
      <c r="C1768" t="s">
        <v>16</v>
      </c>
      <c r="D1768" s="1">
        <v>46095</v>
      </c>
      <c r="E1768" t="s">
        <v>36</v>
      </c>
      <c r="F1768" t="s">
        <v>134</v>
      </c>
      <c r="G1768" t="s">
        <v>127</v>
      </c>
      <c r="K1768">
        <v>3</v>
      </c>
      <c r="L1768">
        <v>1</v>
      </c>
      <c r="Q1768" t="s">
        <v>121</v>
      </c>
      <c r="R1768" t="str">
        <f>_xlfn.XLOOKUP(GERAL[[#This Row],[Dia]],U:U,V:V,"")</f>
        <v>Prazo_30</v>
      </c>
    </row>
    <row r="1769" spans="1:18" x14ac:dyDescent="0.3">
      <c r="A1769" t="str">
        <f>_xlfn.XLOOKUP(GERAL[[#This Row],[Dia]],U:U,T:T,"")</f>
        <v>Semana 7</v>
      </c>
      <c r="B1769" s="1">
        <v>46095</v>
      </c>
      <c r="C1769" t="s">
        <v>16</v>
      </c>
      <c r="D1769" s="1">
        <v>46095</v>
      </c>
      <c r="E1769" t="s">
        <v>36</v>
      </c>
      <c r="F1769" t="s">
        <v>134</v>
      </c>
      <c r="G1769" t="s">
        <v>157</v>
      </c>
      <c r="K1769">
        <v>3</v>
      </c>
      <c r="L1769">
        <v>1</v>
      </c>
      <c r="Q1769" t="s">
        <v>121</v>
      </c>
      <c r="R1769" t="str">
        <f>_xlfn.XLOOKUP(GERAL[[#This Row],[Dia]],U:U,V:V,"")</f>
        <v>Prazo_30</v>
      </c>
    </row>
    <row r="1770" spans="1:18" x14ac:dyDescent="0.3">
      <c r="A1770" t="str">
        <f>_xlfn.XLOOKUP(GERAL[[#This Row],[Dia]],U:U,T:T,"")</f>
        <v>Semana 7</v>
      </c>
      <c r="B1770" s="1">
        <v>46096</v>
      </c>
      <c r="C1770" t="s">
        <v>21</v>
      </c>
      <c r="D1770" s="1">
        <v>46096</v>
      </c>
      <c r="E1770" t="s">
        <v>36</v>
      </c>
      <c r="F1770" t="s">
        <v>134</v>
      </c>
      <c r="G1770" t="s">
        <v>158</v>
      </c>
      <c r="K1770">
        <v>3</v>
      </c>
      <c r="L1770">
        <v>1</v>
      </c>
      <c r="Q1770" t="s">
        <v>121</v>
      </c>
      <c r="R1770" t="str">
        <f>_xlfn.XLOOKUP(GERAL[[#This Row],[Dia]],U:U,V:V,"")</f>
        <v>Prazo_30</v>
      </c>
    </row>
    <row r="1771" spans="1:18" x14ac:dyDescent="0.3">
      <c r="A1771" t="str">
        <f>_xlfn.XLOOKUP(GERAL[[#This Row],[Dia]],U:U,T:T,"")</f>
        <v>Semana 7</v>
      </c>
      <c r="B1771" s="1">
        <v>46096</v>
      </c>
      <c r="C1771" t="s">
        <v>21</v>
      </c>
      <c r="D1771" s="1">
        <v>46096</v>
      </c>
      <c r="E1771" t="s">
        <v>36</v>
      </c>
      <c r="F1771" t="s">
        <v>134</v>
      </c>
      <c r="G1771" t="s">
        <v>156</v>
      </c>
      <c r="K1771">
        <v>6</v>
      </c>
      <c r="Q1771" t="s">
        <v>121</v>
      </c>
      <c r="R1771" t="str">
        <f>_xlfn.XLOOKUP(GERAL[[#This Row],[Dia]],U:U,V:V,"")</f>
        <v>Prazo_30</v>
      </c>
    </row>
    <row r="1772" spans="1:18" x14ac:dyDescent="0.3">
      <c r="A1772" t="str">
        <f>_xlfn.XLOOKUP(GERAL[[#This Row],[Dia]],U:U,T:T,"")</f>
        <v>Semana 8</v>
      </c>
      <c r="B1772" s="1">
        <v>46097</v>
      </c>
      <c r="C1772" t="s">
        <v>22</v>
      </c>
      <c r="D1772" s="1">
        <v>46097</v>
      </c>
      <c r="E1772" t="s">
        <v>36</v>
      </c>
      <c r="F1772" t="s">
        <v>128</v>
      </c>
      <c r="G1772" t="s">
        <v>159</v>
      </c>
      <c r="J1772">
        <v>6</v>
      </c>
      <c r="K1772">
        <v>6</v>
      </c>
      <c r="Q1772" t="s">
        <v>121</v>
      </c>
      <c r="R1772" t="str">
        <f>_xlfn.XLOOKUP(GERAL[[#This Row],[Dia]],U:U,V:V,"")</f>
        <v>Prazo_30</v>
      </c>
    </row>
    <row r="1773" spans="1:18" x14ac:dyDescent="0.3">
      <c r="A1773" t="str">
        <f>_xlfn.XLOOKUP(GERAL[[#This Row],[Dia]],U:U,T:T,"")</f>
        <v>Semana 8</v>
      </c>
      <c r="B1773" s="1">
        <v>46097</v>
      </c>
      <c r="C1773" t="s">
        <v>22</v>
      </c>
      <c r="D1773" s="1">
        <v>46097</v>
      </c>
      <c r="E1773" t="s">
        <v>36</v>
      </c>
      <c r="F1773" t="s">
        <v>126</v>
      </c>
      <c r="G1773" t="s">
        <v>160</v>
      </c>
      <c r="K1773">
        <v>6</v>
      </c>
      <c r="Q1773" t="s">
        <v>121</v>
      </c>
      <c r="R1773" t="str">
        <f>_xlfn.XLOOKUP(GERAL[[#This Row],[Dia]],U:U,V:V,"")</f>
        <v>Prazo_30</v>
      </c>
    </row>
    <row r="1774" spans="1:18" x14ac:dyDescent="0.3">
      <c r="A1774" t="str">
        <f>_xlfn.XLOOKUP(GERAL[[#This Row],[Dia]],U:U,T:T,"")</f>
        <v>Semana 8</v>
      </c>
      <c r="B1774" s="1">
        <v>46097</v>
      </c>
      <c r="C1774" t="s">
        <v>22</v>
      </c>
      <c r="D1774" s="1">
        <v>46097</v>
      </c>
      <c r="E1774" t="s">
        <v>36</v>
      </c>
      <c r="F1774" t="s">
        <v>134</v>
      </c>
      <c r="G1774" t="s">
        <v>161</v>
      </c>
      <c r="L1774">
        <v>1</v>
      </c>
      <c r="Q1774" t="s">
        <v>121</v>
      </c>
      <c r="R1774" t="str">
        <f>_xlfn.XLOOKUP(GERAL[[#This Row],[Dia]],U:U,V:V,"")</f>
        <v>Prazo_30</v>
      </c>
    </row>
    <row r="1775" spans="1:18" x14ac:dyDescent="0.3">
      <c r="A1775" t="str">
        <f>_xlfn.XLOOKUP(GERAL[[#This Row],[Dia]],U:U,T:T,"")</f>
        <v>Semana 8</v>
      </c>
      <c r="B1775" s="1">
        <v>46097</v>
      </c>
      <c r="C1775" t="s">
        <v>22</v>
      </c>
      <c r="D1775" s="1">
        <v>46097</v>
      </c>
      <c r="E1775" t="s">
        <v>36</v>
      </c>
      <c r="F1775" t="s">
        <v>134</v>
      </c>
      <c r="G1775" t="s">
        <v>162</v>
      </c>
      <c r="K1775">
        <v>6</v>
      </c>
      <c r="Q1775" t="s">
        <v>121</v>
      </c>
      <c r="R1775" t="str">
        <f>_xlfn.XLOOKUP(GERAL[[#This Row],[Dia]],U:U,V:V,"")</f>
        <v>Prazo_30</v>
      </c>
    </row>
    <row r="1776" spans="1:18" x14ac:dyDescent="0.3">
      <c r="A1776" t="str">
        <f>_xlfn.XLOOKUP(GERAL[[#This Row],[Dia]],U:U,T:T,"")</f>
        <v>Semana 8</v>
      </c>
      <c r="B1776" s="1">
        <v>46098</v>
      </c>
      <c r="C1776" t="s">
        <v>23</v>
      </c>
      <c r="D1776" s="1">
        <v>46098</v>
      </c>
      <c r="E1776" t="s">
        <v>36</v>
      </c>
      <c r="F1776" t="s">
        <v>128</v>
      </c>
      <c r="G1776" t="s">
        <v>163</v>
      </c>
      <c r="J1776">
        <v>10</v>
      </c>
      <c r="K1776">
        <v>10</v>
      </c>
      <c r="Q1776" t="s">
        <v>121</v>
      </c>
      <c r="R1776" t="str">
        <f>_xlfn.XLOOKUP(GERAL[[#This Row],[Dia]],U:U,V:V,"")</f>
        <v>Prazo_30</v>
      </c>
    </row>
    <row r="1777" spans="1:18" x14ac:dyDescent="0.3">
      <c r="A1777" t="str">
        <f>_xlfn.XLOOKUP(GERAL[[#This Row],[Dia]],U:U,T:T,"")</f>
        <v>Semana 8</v>
      </c>
      <c r="B1777" s="1">
        <v>46098</v>
      </c>
      <c r="C1777" t="s">
        <v>23</v>
      </c>
      <c r="D1777" s="1">
        <v>46098</v>
      </c>
      <c r="E1777" t="s">
        <v>36</v>
      </c>
      <c r="F1777" t="s">
        <v>126</v>
      </c>
      <c r="G1777" t="s">
        <v>164</v>
      </c>
      <c r="J1777">
        <v>6</v>
      </c>
      <c r="K1777">
        <v>6</v>
      </c>
      <c r="Q1777" t="s">
        <v>121</v>
      </c>
      <c r="R1777" t="str">
        <f>_xlfn.XLOOKUP(GERAL[[#This Row],[Dia]],U:U,V:V,"")</f>
        <v>Prazo_30</v>
      </c>
    </row>
    <row r="1778" spans="1:18" x14ac:dyDescent="0.3">
      <c r="A1778" t="str">
        <f>_xlfn.XLOOKUP(GERAL[[#This Row],[Dia]],U:U,T:T,"")</f>
        <v>Semana 8</v>
      </c>
      <c r="B1778" s="1">
        <v>46098</v>
      </c>
      <c r="C1778" t="s">
        <v>23</v>
      </c>
      <c r="D1778" s="1">
        <v>46098</v>
      </c>
      <c r="E1778" t="s">
        <v>36</v>
      </c>
      <c r="F1778" t="s">
        <v>143</v>
      </c>
      <c r="G1778" t="s">
        <v>165</v>
      </c>
      <c r="K1778">
        <v>6</v>
      </c>
      <c r="Q1778" t="s">
        <v>121</v>
      </c>
      <c r="R1778" t="str">
        <f>_xlfn.XLOOKUP(GERAL[[#This Row],[Dia]],U:U,V:V,"")</f>
        <v>Prazo_30</v>
      </c>
    </row>
    <row r="1779" spans="1:18" x14ac:dyDescent="0.3">
      <c r="A1779" t="str">
        <f>_xlfn.XLOOKUP(GERAL[[#This Row],[Dia]],U:U,T:T,"")</f>
        <v>Semana 8</v>
      </c>
      <c r="B1779" s="1">
        <v>46098</v>
      </c>
      <c r="C1779" t="s">
        <v>23</v>
      </c>
      <c r="D1779" s="1">
        <v>46098</v>
      </c>
      <c r="E1779" t="s">
        <v>36</v>
      </c>
      <c r="F1779" t="s">
        <v>134</v>
      </c>
      <c r="G1779" t="s">
        <v>153</v>
      </c>
      <c r="K1779">
        <v>6</v>
      </c>
      <c r="Q1779" t="s">
        <v>121</v>
      </c>
      <c r="R1779" t="str">
        <f>_xlfn.XLOOKUP(GERAL[[#This Row],[Dia]],U:U,V:V,"")</f>
        <v>Prazo_30</v>
      </c>
    </row>
    <row r="1780" spans="1:18" x14ac:dyDescent="0.3">
      <c r="A1780" t="str">
        <f>_xlfn.XLOOKUP(GERAL[[#This Row],[Dia]],U:U,T:T,"")</f>
        <v>Semana 8</v>
      </c>
      <c r="B1780" s="1">
        <v>46098</v>
      </c>
      <c r="C1780" t="s">
        <v>23</v>
      </c>
      <c r="D1780" s="1">
        <v>46098</v>
      </c>
      <c r="E1780" t="s">
        <v>36</v>
      </c>
      <c r="F1780" t="s">
        <v>134</v>
      </c>
      <c r="G1780" t="s">
        <v>162</v>
      </c>
      <c r="K1780">
        <v>6</v>
      </c>
      <c r="Q1780" t="s">
        <v>121</v>
      </c>
      <c r="R1780" t="str">
        <f>_xlfn.XLOOKUP(GERAL[[#This Row],[Dia]],U:U,V:V,"")</f>
        <v>Prazo_30</v>
      </c>
    </row>
    <row r="1781" spans="1:18" x14ac:dyDescent="0.3">
      <c r="A1781" t="str">
        <f>_xlfn.XLOOKUP(GERAL[[#This Row],[Dia]],U:U,T:T,"")</f>
        <v>Semana 8</v>
      </c>
      <c r="B1781" s="1">
        <v>46099</v>
      </c>
      <c r="C1781" t="s">
        <v>24</v>
      </c>
      <c r="D1781" s="1">
        <v>46099</v>
      </c>
      <c r="E1781" t="s">
        <v>36</v>
      </c>
      <c r="F1781" t="s">
        <v>128</v>
      </c>
      <c r="G1781" t="s">
        <v>163</v>
      </c>
      <c r="J1781">
        <v>6</v>
      </c>
      <c r="Q1781" t="s">
        <v>121</v>
      </c>
      <c r="R1781" t="str">
        <f>_xlfn.XLOOKUP(GERAL[[#This Row],[Dia]],U:U,V:V,"")</f>
        <v>Prazo_30</v>
      </c>
    </row>
    <row r="1782" spans="1:18" x14ac:dyDescent="0.3">
      <c r="A1782" t="str">
        <f>_xlfn.XLOOKUP(GERAL[[#This Row],[Dia]],U:U,T:T,"")</f>
        <v>Semana 8</v>
      </c>
      <c r="B1782" s="1">
        <v>46099</v>
      </c>
      <c r="C1782" t="s">
        <v>24</v>
      </c>
      <c r="D1782" s="1">
        <v>46099</v>
      </c>
      <c r="E1782" t="s">
        <v>36</v>
      </c>
      <c r="F1782" t="s">
        <v>166</v>
      </c>
      <c r="G1782" t="s">
        <v>148</v>
      </c>
      <c r="K1782">
        <v>6</v>
      </c>
      <c r="Q1782" t="s">
        <v>121</v>
      </c>
      <c r="R1782" t="str">
        <f>_xlfn.XLOOKUP(GERAL[[#This Row],[Dia]],U:U,V:V,"")</f>
        <v>Prazo_30</v>
      </c>
    </row>
    <row r="1783" spans="1:18" x14ac:dyDescent="0.3">
      <c r="A1783" t="str">
        <f>_xlfn.XLOOKUP(GERAL[[#This Row],[Dia]],U:U,T:T,"")</f>
        <v>Semana 8</v>
      </c>
      <c r="B1783" s="1">
        <v>46099</v>
      </c>
      <c r="C1783" t="s">
        <v>24</v>
      </c>
      <c r="D1783" s="1">
        <v>46099</v>
      </c>
      <c r="E1783" t="s">
        <v>36</v>
      </c>
      <c r="F1783" t="s">
        <v>167</v>
      </c>
      <c r="G1783" t="s">
        <v>165</v>
      </c>
      <c r="J1783">
        <v>8</v>
      </c>
      <c r="K1783">
        <v>8</v>
      </c>
      <c r="Q1783" t="s">
        <v>121</v>
      </c>
      <c r="R1783" t="str">
        <f>_xlfn.XLOOKUP(GERAL[[#This Row],[Dia]],U:U,V:V,"")</f>
        <v>Prazo_30</v>
      </c>
    </row>
    <row r="1784" spans="1:18" x14ac:dyDescent="0.3">
      <c r="A1784" t="str">
        <f>_xlfn.XLOOKUP(GERAL[[#This Row],[Dia]],U:U,T:T,"")</f>
        <v>Semana 8</v>
      </c>
      <c r="B1784" s="1">
        <v>46099</v>
      </c>
      <c r="C1784" t="s">
        <v>24</v>
      </c>
      <c r="D1784" s="1">
        <v>46099</v>
      </c>
      <c r="E1784" t="s">
        <v>36</v>
      </c>
      <c r="F1784" t="s">
        <v>149</v>
      </c>
      <c r="G1784" t="s">
        <v>145</v>
      </c>
      <c r="K1784">
        <v>4</v>
      </c>
      <c r="Q1784" t="s">
        <v>121</v>
      </c>
      <c r="R1784" t="str">
        <f>_xlfn.XLOOKUP(GERAL[[#This Row],[Dia]],U:U,V:V,"")</f>
        <v>Prazo_30</v>
      </c>
    </row>
    <row r="1785" spans="1:18" x14ac:dyDescent="0.3">
      <c r="A1785" t="str">
        <f>_xlfn.XLOOKUP(GERAL[[#This Row],[Dia]],U:U,T:T,"")</f>
        <v>Semana 8</v>
      </c>
      <c r="B1785" s="1">
        <v>46100</v>
      </c>
      <c r="C1785" t="s">
        <v>25</v>
      </c>
      <c r="D1785" s="1">
        <v>46100</v>
      </c>
      <c r="E1785" t="s">
        <v>36</v>
      </c>
      <c r="F1785" t="s">
        <v>128</v>
      </c>
      <c r="G1785" t="s">
        <v>163</v>
      </c>
      <c r="J1785">
        <v>6</v>
      </c>
      <c r="K1785">
        <v>6</v>
      </c>
      <c r="Q1785" t="s">
        <v>121</v>
      </c>
      <c r="R1785" t="str">
        <f>_xlfn.XLOOKUP(GERAL[[#This Row],[Dia]],U:U,V:V,"")</f>
        <v>Prazo_30</v>
      </c>
    </row>
    <row r="1786" spans="1:18" x14ac:dyDescent="0.3">
      <c r="A1786" t="str">
        <f>_xlfn.XLOOKUP(GERAL[[#This Row],[Dia]],U:U,T:T,"")</f>
        <v>Semana 8</v>
      </c>
      <c r="B1786" s="1">
        <v>46100</v>
      </c>
      <c r="C1786" t="s">
        <v>25</v>
      </c>
      <c r="D1786" s="1">
        <v>46100</v>
      </c>
      <c r="E1786" t="s">
        <v>36</v>
      </c>
      <c r="F1786" t="s">
        <v>126</v>
      </c>
      <c r="G1786" t="s">
        <v>148</v>
      </c>
      <c r="K1786">
        <v>6</v>
      </c>
      <c r="Q1786" t="s">
        <v>121</v>
      </c>
      <c r="R1786" t="str">
        <f>_xlfn.XLOOKUP(GERAL[[#This Row],[Dia]],U:U,V:V,"")</f>
        <v>Prazo_30</v>
      </c>
    </row>
    <row r="1787" spans="1:18" x14ac:dyDescent="0.3">
      <c r="A1787" t="str">
        <f>_xlfn.XLOOKUP(GERAL[[#This Row],[Dia]],U:U,T:T,"")</f>
        <v>Semana 8</v>
      </c>
      <c r="B1787" s="1">
        <v>46100</v>
      </c>
      <c r="C1787" t="s">
        <v>25</v>
      </c>
      <c r="D1787" s="1">
        <v>46100</v>
      </c>
      <c r="E1787" t="s">
        <v>36</v>
      </c>
      <c r="F1787" t="s">
        <v>167</v>
      </c>
      <c r="G1787" t="s">
        <v>165</v>
      </c>
      <c r="J1787">
        <v>6</v>
      </c>
      <c r="K1787">
        <v>8</v>
      </c>
      <c r="Q1787" t="s">
        <v>121</v>
      </c>
      <c r="R1787" t="str">
        <f>_xlfn.XLOOKUP(GERAL[[#This Row],[Dia]],U:U,V:V,"")</f>
        <v>Prazo_30</v>
      </c>
    </row>
    <row r="1788" spans="1:18" x14ac:dyDescent="0.3">
      <c r="A1788" t="str">
        <f>_xlfn.XLOOKUP(GERAL[[#This Row],[Dia]],U:U,T:T,"")</f>
        <v>Semana 8</v>
      </c>
      <c r="B1788" s="1">
        <v>46100</v>
      </c>
      <c r="C1788" t="s">
        <v>25</v>
      </c>
      <c r="D1788" s="1">
        <v>46100</v>
      </c>
      <c r="E1788" t="s">
        <v>36</v>
      </c>
      <c r="F1788" t="s">
        <v>149</v>
      </c>
      <c r="G1788" t="s">
        <v>162</v>
      </c>
      <c r="H1788">
        <v>5</v>
      </c>
      <c r="J1788">
        <v>36</v>
      </c>
      <c r="Q1788" t="s">
        <v>121</v>
      </c>
      <c r="R1788" t="str">
        <f>_xlfn.XLOOKUP(GERAL[[#This Row],[Dia]],U:U,V:V,"")</f>
        <v>Prazo_30</v>
      </c>
    </row>
    <row r="1789" spans="1:18" x14ac:dyDescent="0.3">
      <c r="A1789" t="str">
        <f>_xlfn.XLOOKUP(GERAL[[#This Row],[Dia]],U:U,T:T,"")</f>
        <v>Semana 8</v>
      </c>
      <c r="B1789" s="1">
        <v>46100</v>
      </c>
      <c r="C1789" t="s">
        <v>25</v>
      </c>
      <c r="D1789" s="1">
        <v>46100</v>
      </c>
      <c r="E1789" t="s">
        <v>36</v>
      </c>
      <c r="F1789" t="s">
        <v>134</v>
      </c>
      <c r="G1789" t="s">
        <v>145</v>
      </c>
      <c r="K1789">
        <v>6</v>
      </c>
      <c r="Q1789" t="s">
        <v>121</v>
      </c>
      <c r="R1789" t="str">
        <f>_xlfn.XLOOKUP(GERAL[[#This Row],[Dia]],U:U,V:V,"")</f>
        <v>Prazo_30</v>
      </c>
    </row>
    <row r="1790" spans="1:18" x14ac:dyDescent="0.3">
      <c r="A1790" t="str">
        <f>_xlfn.XLOOKUP(GERAL[[#This Row],[Dia]],U:U,T:T,"")</f>
        <v>Semana 8</v>
      </c>
      <c r="B1790" s="1">
        <v>46101</v>
      </c>
      <c r="C1790" t="s">
        <v>26</v>
      </c>
      <c r="D1790" s="1">
        <v>46101</v>
      </c>
      <c r="E1790" t="s">
        <v>36</v>
      </c>
      <c r="F1790" t="s">
        <v>128</v>
      </c>
      <c r="G1790" t="s">
        <v>163</v>
      </c>
      <c r="K1790">
        <v>15</v>
      </c>
      <c r="Q1790" t="s">
        <v>121</v>
      </c>
      <c r="R1790" t="str">
        <f>_xlfn.XLOOKUP(GERAL[[#This Row],[Dia]],U:U,V:V,"")</f>
        <v>Prazo_30</v>
      </c>
    </row>
    <row r="1791" spans="1:18" x14ac:dyDescent="0.3">
      <c r="A1791" t="str">
        <f>_xlfn.XLOOKUP(GERAL[[#This Row],[Dia]],U:U,T:T,"")</f>
        <v>Semana 8</v>
      </c>
      <c r="B1791" s="1">
        <v>46101</v>
      </c>
      <c r="C1791" t="s">
        <v>26</v>
      </c>
      <c r="D1791" s="1">
        <v>46101</v>
      </c>
      <c r="E1791" t="s">
        <v>36</v>
      </c>
      <c r="F1791" t="s">
        <v>143</v>
      </c>
      <c r="G1791" t="s">
        <v>168</v>
      </c>
      <c r="H1791">
        <v>3</v>
      </c>
      <c r="Q1791" t="s">
        <v>121</v>
      </c>
      <c r="R1791" t="str">
        <f>_xlfn.XLOOKUP(GERAL[[#This Row],[Dia]],U:U,V:V,"")</f>
        <v>Prazo_30</v>
      </c>
    </row>
    <row r="1792" spans="1:18" x14ac:dyDescent="0.3">
      <c r="A1792" t="str">
        <f>_xlfn.XLOOKUP(GERAL[[#This Row],[Dia]],U:U,T:T,"")</f>
        <v>Semana 8</v>
      </c>
      <c r="B1792" s="1">
        <v>46101</v>
      </c>
      <c r="C1792" t="s">
        <v>26</v>
      </c>
      <c r="D1792" s="1">
        <v>46101</v>
      </c>
      <c r="E1792" t="s">
        <v>36</v>
      </c>
      <c r="F1792" t="s">
        <v>167</v>
      </c>
      <c r="G1792" t="s">
        <v>165</v>
      </c>
      <c r="K1792">
        <v>18</v>
      </c>
      <c r="Q1792" t="s">
        <v>121</v>
      </c>
      <c r="R1792" t="str">
        <f>_xlfn.XLOOKUP(GERAL[[#This Row],[Dia]],U:U,V:V,"")</f>
        <v>Prazo_30</v>
      </c>
    </row>
    <row r="1793" spans="1:18" x14ac:dyDescent="0.3">
      <c r="A1793" t="str">
        <f>_xlfn.XLOOKUP(GERAL[[#This Row],[Dia]],U:U,T:T,"")</f>
        <v>Semana 8</v>
      </c>
      <c r="B1793" s="1">
        <v>46101</v>
      </c>
      <c r="C1793" t="s">
        <v>26</v>
      </c>
      <c r="D1793" s="1">
        <v>46101</v>
      </c>
      <c r="E1793" t="s">
        <v>36</v>
      </c>
      <c r="F1793" t="s">
        <v>126</v>
      </c>
      <c r="G1793" t="s">
        <v>169</v>
      </c>
      <c r="K1793">
        <v>6</v>
      </c>
      <c r="Q1793" t="s">
        <v>121</v>
      </c>
      <c r="R1793" t="str">
        <f>_xlfn.XLOOKUP(GERAL[[#This Row],[Dia]],U:U,V:V,"")</f>
        <v>Prazo_30</v>
      </c>
    </row>
    <row r="1794" spans="1:18" x14ac:dyDescent="0.3">
      <c r="A1794" t="str">
        <f>_xlfn.XLOOKUP(GERAL[[#This Row],[Dia]],U:U,T:T,"")</f>
        <v>Semana 8</v>
      </c>
      <c r="B1794" s="1">
        <v>46101</v>
      </c>
      <c r="C1794" t="s">
        <v>26</v>
      </c>
      <c r="D1794" s="1">
        <v>46101</v>
      </c>
      <c r="E1794" t="s">
        <v>36</v>
      </c>
      <c r="F1794" t="s">
        <v>149</v>
      </c>
      <c r="G1794" t="s">
        <v>162</v>
      </c>
      <c r="J1794">
        <v>36</v>
      </c>
      <c r="K1794">
        <v>6</v>
      </c>
      <c r="Q1794" t="s">
        <v>121</v>
      </c>
      <c r="R1794" t="str">
        <f>_xlfn.XLOOKUP(GERAL[[#This Row],[Dia]],U:U,V:V,"")</f>
        <v>Prazo_30</v>
      </c>
    </row>
    <row r="1795" spans="1:18" x14ac:dyDescent="0.3">
      <c r="A1795" t="str">
        <f>_xlfn.XLOOKUP(GERAL[[#This Row],[Dia]],U:U,T:T,"")</f>
        <v>Semana 8</v>
      </c>
      <c r="B1795" s="1">
        <v>46102</v>
      </c>
      <c r="C1795" t="s">
        <v>16</v>
      </c>
      <c r="D1795" s="1">
        <v>46102</v>
      </c>
      <c r="E1795" t="s">
        <v>17</v>
      </c>
      <c r="Q1795" t="s">
        <v>121</v>
      </c>
      <c r="R1795" t="str">
        <f>_xlfn.XLOOKUP(GERAL[[#This Row],[Dia]],U:U,V:V,"")</f>
        <v>Prazo_30</v>
      </c>
    </row>
    <row r="1796" spans="1:18" x14ac:dyDescent="0.3">
      <c r="A1796" t="str">
        <f>_xlfn.XLOOKUP(GERAL[[#This Row],[Dia]],U:U,T:T,"")</f>
        <v>Semana 8</v>
      </c>
      <c r="B1796" s="1">
        <v>46103</v>
      </c>
      <c r="C1796" t="s">
        <v>21</v>
      </c>
      <c r="D1796" s="1">
        <v>46103</v>
      </c>
      <c r="E1796" t="s">
        <v>17</v>
      </c>
      <c r="Q1796" t="s">
        <v>121</v>
      </c>
      <c r="R1796" t="str">
        <f>_xlfn.XLOOKUP(GERAL[[#This Row],[Dia]],U:U,V:V,"")</f>
        <v>Prazo_30</v>
      </c>
    </row>
    <row r="1797" spans="1:18" x14ac:dyDescent="0.3">
      <c r="A1797" t="str">
        <f>_xlfn.XLOOKUP(GERAL[[#This Row],[Dia]],U:U,T:T,"")</f>
        <v>Semana 9</v>
      </c>
      <c r="B1797" s="1">
        <v>46104</v>
      </c>
      <c r="C1797" t="s">
        <v>22</v>
      </c>
      <c r="D1797" s="1">
        <v>46104</v>
      </c>
      <c r="E1797" t="s">
        <v>36</v>
      </c>
      <c r="F1797" t="s">
        <v>167</v>
      </c>
      <c r="G1797" t="s">
        <v>170</v>
      </c>
      <c r="K1797">
        <v>6</v>
      </c>
      <c r="Q1797" t="s">
        <v>121</v>
      </c>
      <c r="R1797" t="str">
        <f>_xlfn.XLOOKUP(GERAL[[#This Row],[Dia]],U:U,V:V,"")</f>
        <v>Prazo_30</v>
      </c>
    </row>
    <row r="1798" spans="1:18" x14ac:dyDescent="0.3">
      <c r="A1798" t="str">
        <f>_xlfn.XLOOKUP(GERAL[[#This Row],[Dia]],U:U,T:T,"")</f>
        <v>Semana 9</v>
      </c>
      <c r="B1798" s="1">
        <v>46104</v>
      </c>
      <c r="C1798" t="s">
        <v>22</v>
      </c>
      <c r="D1798" s="1">
        <v>46104</v>
      </c>
      <c r="E1798" t="s">
        <v>36</v>
      </c>
      <c r="F1798" t="s">
        <v>126</v>
      </c>
      <c r="G1798" t="s">
        <v>171</v>
      </c>
      <c r="K1798">
        <v>6</v>
      </c>
      <c r="Q1798" t="s">
        <v>121</v>
      </c>
      <c r="R1798" t="str">
        <f>_xlfn.XLOOKUP(GERAL[[#This Row],[Dia]],U:U,V:V,"")</f>
        <v>Prazo_30</v>
      </c>
    </row>
    <row r="1799" spans="1:18" x14ac:dyDescent="0.3">
      <c r="A1799" t="str">
        <f>_xlfn.XLOOKUP(GERAL[[#This Row],[Dia]],U:U,T:T,"")</f>
        <v>Semana 9</v>
      </c>
      <c r="B1799" s="1">
        <v>46104</v>
      </c>
      <c r="C1799" t="s">
        <v>22</v>
      </c>
      <c r="D1799" s="1">
        <v>46104</v>
      </c>
      <c r="E1799" t="s">
        <v>36</v>
      </c>
      <c r="F1799" t="s">
        <v>149</v>
      </c>
      <c r="G1799" t="s">
        <v>145</v>
      </c>
      <c r="H1799">
        <v>4</v>
      </c>
      <c r="J1799">
        <v>57</v>
      </c>
      <c r="K1799">
        <v>4</v>
      </c>
      <c r="Q1799" t="s">
        <v>121</v>
      </c>
      <c r="R1799" t="str">
        <f>_xlfn.XLOOKUP(GERAL[[#This Row],[Dia]],U:U,V:V,"")</f>
        <v>Prazo_30</v>
      </c>
    </row>
    <row r="1800" spans="1:18" x14ac:dyDescent="0.3">
      <c r="A1800" t="str">
        <f>_xlfn.XLOOKUP(GERAL[[#This Row],[Dia]],U:U,T:T,"")</f>
        <v>Semana 9</v>
      </c>
      <c r="B1800" s="1">
        <v>46104</v>
      </c>
      <c r="C1800" t="s">
        <v>22</v>
      </c>
      <c r="D1800" s="1">
        <v>46104</v>
      </c>
      <c r="E1800" t="s">
        <v>36</v>
      </c>
      <c r="F1800" t="s">
        <v>149</v>
      </c>
      <c r="G1800" t="s">
        <v>162</v>
      </c>
      <c r="H1800">
        <v>7</v>
      </c>
      <c r="J1800">
        <v>36</v>
      </c>
      <c r="Q1800" t="s">
        <v>121</v>
      </c>
      <c r="R1800" t="str">
        <f>_xlfn.XLOOKUP(GERAL[[#This Row],[Dia]],U:U,V:V,"")</f>
        <v>Prazo_30</v>
      </c>
    </row>
    <row r="1801" spans="1:18" x14ac:dyDescent="0.3">
      <c r="A1801" t="str">
        <f>_xlfn.XLOOKUP(GERAL[[#This Row],[Dia]],U:U,T:T,"")</f>
        <v>Semana 9</v>
      </c>
      <c r="B1801" s="1">
        <v>46105</v>
      </c>
      <c r="C1801" t="s">
        <v>23</v>
      </c>
      <c r="D1801" s="1">
        <v>46105</v>
      </c>
      <c r="E1801" t="s">
        <v>36</v>
      </c>
      <c r="F1801" t="s">
        <v>167</v>
      </c>
      <c r="G1801" t="s">
        <v>170</v>
      </c>
      <c r="K1801">
        <v>6</v>
      </c>
      <c r="Q1801" t="s">
        <v>121</v>
      </c>
      <c r="R1801" t="str">
        <f>_xlfn.XLOOKUP(GERAL[[#This Row],[Dia]],U:U,V:V,"")</f>
        <v>Prazo_30</v>
      </c>
    </row>
    <row r="1802" spans="1:18" x14ac:dyDescent="0.3">
      <c r="A1802" t="str">
        <f>_xlfn.XLOOKUP(GERAL[[#This Row],[Dia]],U:U,T:T,"")</f>
        <v>Semana 9</v>
      </c>
      <c r="B1802" s="1">
        <v>46105</v>
      </c>
      <c r="C1802" t="s">
        <v>23</v>
      </c>
      <c r="D1802" s="1">
        <v>46105</v>
      </c>
      <c r="E1802" t="s">
        <v>36</v>
      </c>
      <c r="F1802" t="s">
        <v>166</v>
      </c>
      <c r="G1802" t="s">
        <v>172</v>
      </c>
      <c r="K1802">
        <v>6</v>
      </c>
      <c r="Q1802" t="s">
        <v>121</v>
      </c>
      <c r="R1802" t="str">
        <f>_xlfn.XLOOKUP(GERAL[[#This Row],[Dia]],U:U,V:V,"")</f>
        <v>Prazo_30</v>
      </c>
    </row>
    <row r="1803" spans="1:18" x14ac:dyDescent="0.3">
      <c r="A1803" t="str">
        <f>_xlfn.XLOOKUP(GERAL[[#This Row],[Dia]],U:U,T:T,"")</f>
        <v>Semana 9</v>
      </c>
      <c r="B1803" s="1">
        <v>46105</v>
      </c>
      <c r="C1803" t="s">
        <v>23</v>
      </c>
      <c r="D1803" s="1">
        <v>46105</v>
      </c>
      <c r="E1803" t="s">
        <v>36</v>
      </c>
      <c r="F1803" t="s">
        <v>126</v>
      </c>
      <c r="G1803" t="s">
        <v>164</v>
      </c>
      <c r="K1803">
        <v>6</v>
      </c>
      <c r="Q1803" t="s">
        <v>121</v>
      </c>
      <c r="R1803" t="str">
        <f>_xlfn.XLOOKUP(GERAL[[#This Row],[Dia]],U:U,V:V,"")</f>
        <v>Prazo_30</v>
      </c>
    </row>
    <row r="1804" spans="1:18" x14ac:dyDescent="0.3">
      <c r="A1804" t="str">
        <f>_xlfn.XLOOKUP(GERAL[[#This Row],[Dia]],U:U,T:T,"")</f>
        <v>Semana 9</v>
      </c>
      <c r="B1804" s="1">
        <v>46105</v>
      </c>
      <c r="C1804" t="s">
        <v>23</v>
      </c>
      <c r="D1804" s="1">
        <v>46105</v>
      </c>
      <c r="E1804" t="s">
        <v>36</v>
      </c>
      <c r="F1804" t="s">
        <v>149</v>
      </c>
      <c r="G1804" t="s">
        <v>145</v>
      </c>
      <c r="J1804">
        <v>57</v>
      </c>
      <c r="Q1804" t="s">
        <v>121</v>
      </c>
      <c r="R1804" t="str">
        <f>_xlfn.XLOOKUP(GERAL[[#This Row],[Dia]],U:U,V:V,"")</f>
        <v>Prazo_30</v>
      </c>
    </row>
    <row r="1805" spans="1:18" x14ac:dyDescent="0.3">
      <c r="A1805" t="str">
        <f>_xlfn.XLOOKUP(GERAL[[#This Row],[Dia]],U:U,T:T,"")</f>
        <v>Semana 9</v>
      </c>
      <c r="B1805" s="1">
        <v>46105</v>
      </c>
      <c r="C1805" t="s">
        <v>23</v>
      </c>
      <c r="D1805" s="1">
        <v>46105</v>
      </c>
      <c r="E1805" t="s">
        <v>36</v>
      </c>
      <c r="F1805" t="s">
        <v>149</v>
      </c>
      <c r="G1805" t="s">
        <v>162</v>
      </c>
      <c r="H1805">
        <v>7</v>
      </c>
      <c r="J1805">
        <v>36</v>
      </c>
      <c r="Q1805" t="s">
        <v>121</v>
      </c>
      <c r="R1805" t="str">
        <f>_xlfn.XLOOKUP(GERAL[[#This Row],[Dia]],U:U,V:V,"")</f>
        <v>Prazo_30</v>
      </c>
    </row>
    <row r="1806" spans="1:18" x14ac:dyDescent="0.3">
      <c r="A1806" t="str">
        <f>_xlfn.XLOOKUP(GERAL[[#This Row],[Dia]],U:U,T:T,"")</f>
        <v>Semana 9</v>
      </c>
      <c r="B1806" s="1">
        <v>46106</v>
      </c>
      <c r="C1806" t="s">
        <v>24</v>
      </c>
      <c r="D1806" s="1">
        <v>46106</v>
      </c>
      <c r="E1806" t="s">
        <v>36</v>
      </c>
      <c r="F1806" t="s">
        <v>167</v>
      </c>
      <c r="G1806" t="s">
        <v>173</v>
      </c>
      <c r="K1806">
        <v>6</v>
      </c>
      <c r="Q1806" t="s">
        <v>121</v>
      </c>
      <c r="R1806" t="str">
        <f>_xlfn.XLOOKUP(GERAL[[#This Row],[Dia]],U:U,V:V,"")</f>
        <v>Prazo_30</v>
      </c>
    </row>
    <row r="1807" spans="1:18" x14ac:dyDescent="0.3">
      <c r="A1807" t="str">
        <f>_xlfn.XLOOKUP(GERAL[[#This Row],[Dia]],U:U,T:T,"")</f>
        <v>Semana 9</v>
      </c>
      <c r="B1807" s="1">
        <v>46106</v>
      </c>
      <c r="C1807" t="s">
        <v>24</v>
      </c>
      <c r="D1807" s="1">
        <v>46106</v>
      </c>
      <c r="E1807" t="s">
        <v>36</v>
      </c>
      <c r="F1807" t="s">
        <v>126</v>
      </c>
      <c r="G1807" t="s">
        <v>174</v>
      </c>
      <c r="K1807">
        <v>18</v>
      </c>
      <c r="Q1807" t="s">
        <v>121</v>
      </c>
      <c r="R1807" t="str">
        <f>_xlfn.XLOOKUP(GERAL[[#This Row],[Dia]],U:U,V:V,"")</f>
        <v>Prazo_30</v>
      </c>
    </row>
    <row r="1808" spans="1:18" x14ac:dyDescent="0.3">
      <c r="A1808" t="str">
        <f>_xlfn.XLOOKUP(GERAL[[#This Row],[Dia]],U:U,T:T,"")</f>
        <v>Semana 9</v>
      </c>
      <c r="B1808" s="1">
        <v>46106</v>
      </c>
      <c r="C1808" t="s">
        <v>24</v>
      </c>
      <c r="D1808" s="1">
        <v>46106</v>
      </c>
      <c r="E1808" t="s">
        <v>36</v>
      </c>
      <c r="F1808" t="s">
        <v>149</v>
      </c>
      <c r="G1808" t="s">
        <v>162</v>
      </c>
      <c r="H1808">
        <v>8</v>
      </c>
      <c r="Q1808" t="s">
        <v>121</v>
      </c>
      <c r="R1808" t="str">
        <f>_xlfn.XLOOKUP(GERAL[[#This Row],[Dia]],U:U,V:V,"")</f>
        <v>Prazo_30</v>
      </c>
    </row>
    <row r="1809" spans="1:18" x14ac:dyDescent="0.3">
      <c r="A1809" t="str">
        <f>_xlfn.XLOOKUP(GERAL[[#This Row],[Dia]],U:U,T:T,"")</f>
        <v>Semana 9</v>
      </c>
      <c r="B1809" s="1">
        <v>46107</v>
      </c>
      <c r="C1809" t="s">
        <v>25</v>
      </c>
      <c r="D1809" s="1">
        <v>46107</v>
      </c>
      <c r="E1809" t="s">
        <v>36</v>
      </c>
      <c r="F1809" t="s">
        <v>167</v>
      </c>
      <c r="G1809" t="s">
        <v>148</v>
      </c>
      <c r="I1809">
        <v>5</v>
      </c>
      <c r="K1809">
        <v>6</v>
      </c>
      <c r="Q1809" t="s">
        <v>121</v>
      </c>
      <c r="R1809" t="str">
        <f>_xlfn.XLOOKUP(GERAL[[#This Row],[Dia]],U:U,V:V,"")</f>
        <v>Prazo_30</v>
      </c>
    </row>
    <row r="1810" spans="1:18" x14ac:dyDescent="0.3">
      <c r="A1810" t="str">
        <f>_xlfn.XLOOKUP(GERAL[[#This Row],[Dia]],U:U,T:T,"")</f>
        <v>Semana 9</v>
      </c>
      <c r="B1810" s="1">
        <v>46107</v>
      </c>
      <c r="C1810" t="s">
        <v>25</v>
      </c>
      <c r="D1810" s="1">
        <v>46107</v>
      </c>
      <c r="E1810" t="s">
        <v>36</v>
      </c>
      <c r="F1810" t="s">
        <v>126</v>
      </c>
      <c r="G1810" t="s">
        <v>174</v>
      </c>
      <c r="K1810">
        <v>12</v>
      </c>
      <c r="Q1810" t="s">
        <v>121</v>
      </c>
      <c r="R1810" t="str">
        <f>_xlfn.XLOOKUP(GERAL[[#This Row],[Dia]],U:U,V:V,"")</f>
        <v>Prazo_30</v>
      </c>
    </row>
    <row r="1811" spans="1:18" x14ac:dyDescent="0.3">
      <c r="A1811" t="str">
        <f>_xlfn.XLOOKUP(GERAL[[#This Row],[Dia]],U:U,T:T,"")</f>
        <v>Semana 9</v>
      </c>
      <c r="B1811" s="1">
        <v>46107</v>
      </c>
      <c r="C1811" t="s">
        <v>25</v>
      </c>
      <c r="D1811" s="1">
        <v>46107</v>
      </c>
      <c r="E1811" t="s">
        <v>36</v>
      </c>
      <c r="F1811" t="s">
        <v>143</v>
      </c>
      <c r="G1811" t="s">
        <v>175</v>
      </c>
      <c r="K1811">
        <v>12</v>
      </c>
      <c r="Q1811" t="s">
        <v>121</v>
      </c>
      <c r="R1811" t="str">
        <f>_xlfn.XLOOKUP(GERAL[[#This Row],[Dia]],U:U,V:V,"")</f>
        <v>Prazo_30</v>
      </c>
    </row>
    <row r="1812" spans="1:18" x14ac:dyDescent="0.3">
      <c r="A1812" t="str">
        <f>_xlfn.XLOOKUP(GERAL[[#This Row],[Dia]],U:U,T:T,"")</f>
        <v>Semana 9</v>
      </c>
      <c r="B1812" s="1">
        <v>46107</v>
      </c>
      <c r="C1812" t="s">
        <v>25</v>
      </c>
      <c r="D1812" s="1">
        <v>46107</v>
      </c>
      <c r="E1812" t="s">
        <v>36</v>
      </c>
      <c r="F1812" t="s">
        <v>149</v>
      </c>
      <c r="G1812" t="s">
        <v>170</v>
      </c>
      <c r="K1812">
        <v>6</v>
      </c>
      <c r="Q1812" t="s">
        <v>121</v>
      </c>
      <c r="R1812" t="str">
        <f>_xlfn.XLOOKUP(GERAL[[#This Row],[Dia]],U:U,V:V,"")</f>
        <v>Prazo_30</v>
      </c>
    </row>
    <row r="1813" spans="1:18" x14ac:dyDescent="0.3">
      <c r="A1813" t="str">
        <f>_xlfn.XLOOKUP(GERAL[[#This Row],[Dia]],U:U,T:T,"")</f>
        <v>Semana 9</v>
      </c>
      <c r="B1813" s="1">
        <v>46107</v>
      </c>
      <c r="C1813" t="s">
        <v>25</v>
      </c>
      <c r="D1813" s="1">
        <v>46107</v>
      </c>
      <c r="E1813" t="s">
        <v>36</v>
      </c>
      <c r="F1813" t="s">
        <v>149</v>
      </c>
      <c r="G1813" t="s">
        <v>162</v>
      </c>
      <c r="H1813">
        <v>3</v>
      </c>
      <c r="Q1813" t="s">
        <v>121</v>
      </c>
      <c r="R1813" t="str">
        <f>_xlfn.XLOOKUP(GERAL[[#This Row],[Dia]],U:U,V:V,"")</f>
        <v>Prazo_30</v>
      </c>
    </row>
    <row r="1814" spans="1:18" x14ac:dyDescent="0.3">
      <c r="A1814" t="str">
        <f>_xlfn.XLOOKUP(GERAL[[#This Row],[Dia]],U:U,T:T,"")</f>
        <v>Semana 9</v>
      </c>
      <c r="B1814" s="1">
        <v>46108</v>
      </c>
      <c r="C1814" t="s">
        <v>26</v>
      </c>
      <c r="D1814" s="1">
        <v>46108</v>
      </c>
      <c r="E1814" t="s">
        <v>17</v>
      </c>
      <c r="Q1814" t="s">
        <v>121</v>
      </c>
      <c r="R1814" t="str">
        <f>_xlfn.XLOOKUP(GERAL[[#This Row],[Dia]],U:U,V:V,"")</f>
        <v>Prazo_30</v>
      </c>
    </row>
    <row r="1815" spans="1:18" x14ac:dyDescent="0.3">
      <c r="A1815" t="str">
        <f>_xlfn.XLOOKUP(GERAL[[#This Row],[Dia]],U:U,T:T,"")</f>
        <v>Semana 9</v>
      </c>
      <c r="B1815" s="1">
        <v>46109</v>
      </c>
      <c r="C1815" t="s">
        <v>16</v>
      </c>
      <c r="D1815" s="1">
        <v>46109</v>
      </c>
      <c r="E1815" t="s">
        <v>17</v>
      </c>
      <c r="Q1815" t="s">
        <v>121</v>
      </c>
      <c r="R1815" t="str">
        <f>_xlfn.XLOOKUP(GERAL[[#This Row],[Dia]],U:U,V:V,"")</f>
        <v>Prazo_30</v>
      </c>
    </row>
    <row r="1816" spans="1:18" x14ac:dyDescent="0.3">
      <c r="A1816" t="str">
        <f>_xlfn.XLOOKUP(GERAL[[#This Row],[Dia]],U:U,T:T,"")</f>
        <v>Semana 9</v>
      </c>
      <c r="B1816" s="1">
        <v>46110</v>
      </c>
      <c r="C1816" t="s">
        <v>21</v>
      </c>
      <c r="D1816" s="1">
        <v>46110</v>
      </c>
      <c r="E1816" t="s">
        <v>17</v>
      </c>
      <c r="Q1816" t="s">
        <v>121</v>
      </c>
      <c r="R1816" t="str">
        <f>_xlfn.XLOOKUP(GERAL[[#This Row],[Dia]],U:U,V:V,"")</f>
        <v>Prazo_30</v>
      </c>
    </row>
    <row r="1817" spans="1:18" x14ac:dyDescent="0.3">
      <c r="A1817" t="str">
        <f>_xlfn.XLOOKUP(GERAL[[#This Row],[Dia]],U:U,T:T,"")</f>
        <v>Semana 10</v>
      </c>
      <c r="B1817" s="1">
        <v>46111</v>
      </c>
      <c r="C1817" t="s">
        <v>22</v>
      </c>
      <c r="D1817" s="1">
        <v>46111</v>
      </c>
      <c r="E1817" t="s">
        <v>36</v>
      </c>
      <c r="F1817" t="s">
        <v>167</v>
      </c>
      <c r="G1817" t="s">
        <v>176</v>
      </c>
      <c r="K1817">
        <v>6</v>
      </c>
      <c r="Q1817" t="s">
        <v>121</v>
      </c>
      <c r="R1817" t="str">
        <f>_xlfn.XLOOKUP(GERAL[[#This Row],[Dia]],U:U,V:V,"")</f>
        <v>Prazo_30</v>
      </c>
    </row>
    <row r="1818" spans="1:18" x14ac:dyDescent="0.3">
      <c r="A1818" t="str">
        <f>_xlfn.XLOOKUP(GERAL[[#This Row],[Dia]],U:U,T:T,"")</f>
        <v>Semana 10</v>
      </c>
      <c r="B1818" s="1">
        <v>46111</v>
      </c>
      <c r="C1818" t="s">
        <v>22</v>
      </c>
      <c r="D1818" s="1">
        <v>46111</v>
      </c>
      <c r="E1818" t="s">
        <v>36</v>
      </c>
      <c r="F1818" t="s">
        <v>126</v>
      </c>
      <c r="G1818" t="s">
        <v>177</v>
      </c>
      <c r="K1818">
        <v>12</v>
      </c>
      <c r="Q1818" t="s">
        <v>121</v>
      </c>
      <c r="R1818" t="str">
        <f>_xlfn.XLOOKUP(GERAL[[#This Row],[Dia]],U:U,V:V,"")</f>
        <v>Prazo_30</v>
      </c>
    </row>
    <row r="1819" spans="1:18" x14ac:dyDescent="0.3">
      <c r="A1819" t="str">
        <f>_xlfn.XLOOKUP(GERAL[[#This Row],[Dia]],U:U,T:T,"")</f>
        <v>Semana 10</v>
      </c>
      <c r="B1819" s="1">
        <v>46111</v>
      </c>
      <c r="C1819" t="s">
        <v>22</v>
      </c>
      <c r="D1819" s="1">
        <v>46111</v>
      </c>
      <c r="E1819" t="s">
        <v>36</v>
      </c>
      <c r="F1819" t="s">
        <v>128</v>
      </c>
      <c r="G1819" t="s">
        <v>159</v>
      </c>
      <c r="K1819">
        <v>6</v>
      </c>
      <c r="Q1819" t="s">
        <v>121</v>
      </c>
      <c r="R1819" t="str">
        <f>_xlfn.XLOOKUP(GERAL[[#This Row],[Dia]],U:U,V:V,"")</f>
        <v>Prazo_30</v>
      </c>
    </row>
    <row r="1820" spans="1:18" x14ac:dyDescent="0.3">
      <c r="A1820" t="str">
        <f>_xlfn.XLOOKUP(GERAL[[#This Row],[Dia]],U:U,T:T,"")</f>
        <v>Semana 10</v>
      </c>
      <c r="B1820" s="1">
        <v>46111</v>
      </c>
      <c r="C1820" t="s">
        <v>22</v>
      </c>
      <c r="D1820" s="1">
        <v>46111</v>
      </c>
      <c r="E1820" t="s">
        <v>36</v>
      </c>
      <c r="F1820" t="s">
        <v>149</v>
      </c>
      <c r="G1820" t="s">
        <v>173</v>
      </c>
      <c r="K1820">
        <v>6</v>
      </c>
      <c r="Q1820" t="s">
        <v>121</v>
      </c>
      <c r="R1820" t="str">
        <f>_xlfn.XLOOKUP(GERAL[[#This Row],[Dia]],U:U,V:V,"")</f>
        <v>Prazo_30</v>
      </c>
    </row>
    <row r="1821" spans="1:18" x14ac:dyDescent="0.3">
      <c r="A1821" t="str">
        <f>_xlfn.XLOOKUP(GERAL[[#This Row],[Dia]],U:U,T:T,"")</f>
        <v>Semana 10</v>
      </c>
      <c r="B1821" s="1">
        <v>46111</v>
      </c>
      <c r="C1821" t="s">
        <v>22</v>
      </c>
      <c r="D1821" s="1">
        <v>46111</v>
      </c>
      <c r="E1821" t="s">
        <v>36</v>
      </c>
      <c r="F1821" t="s">
        <v>149</v>
      </c>
      <c r="G1821" t="s">
        <v>145</v>
      </c>
      <c r="H1821">
        <v>5</v>
      </c>
      <c r="Q1821" t="s">
        <v>121</v>
      </c>
      <c r="R1821" t="str">
        <f>_xlfn.XLOOKUP(GERAL[[#This Row],[Dia]],U:U,V:V,"")</f>
        <v>Prazo_30</v>
      </c>
    </row>
    <row r="1822" spans="1:18" x14ac:dyDescent="0.3">
      <c r="A1822" t="str">
        <f>_xlfn.XLOOKUP(GERAL[[#This Row],[Dia]],U:U,T:T,"")</f>
        <v>Semana 10</v>
      </c>
      <c r="B1822" s="1">
        <v>46112</v>
      </c>
      <c r="C1822" t="s">
        <v>23</v>
      </c>
      <c r="D1822" s="1">
        <v>46112</v>
      </c>
      <c r="E1822" t="s">
        <v>36</v>
      </c>
      <c r="F1822" t="s">
        <v>167</v>
      </c>
      <c r="G1822" t="s">
        <v>178</v>
      </c>
      <c r="K1822">
        <v>6</v>
      </c>
      <c r="Q1822" t="s">
        <v>121</v>
      </c>
      <c r="R1822" t="str">
        <f>_xlfn.XLOOKUP(GERAL[[#This Row],[Dia]],U:U,V:V,"")</f>
        <v>Prazo_30</v>
      </c>
    </row>
    <row r="1823" spans="1:18" x14ac:dyDescent="0.3">
      <c r="A1823" t="str">
        <f>_xlfn.XLOOKUP(GERAL[[#This Row],[Dia]],U:U,T:T,"")</f>
        <v>Semana 10</v>
      </c>
      <c r="B1823" s="1">
        <v>46112</v>
      </c>
      <c r="C1823" t="s">
        <v>23</v>
      </c>
      <c r="D1823" s="1">
        <v>46112</v>
      </c>
      <c r="E1823" t="s">
        <v>36</v>
      </c>
      <c r="F1823" t="s">
        <v>126</v>
      </c>
      <c r="G1823" t="s">
        <v>177</v>
      </c>
      <c r="K1823">
        <v>6</v>
      </c>
      <c r="Q1823" t="s">
        <v>121</v>
      </c>
      <c r="R1823" t="str">
        <f>_xlfn.XLOOKUP(GERAL[[#This Row],[Dia]],U:U,V:V,"")</f>
        <v>Prazo_30</v>
      </c>
    </row>
    <row r="1824" spans="1:18" x14ac:dyDescent="0.3">
      <c r="A1824" t="str">
        <f>_xlfn.XLOOKUP(GERAL[[#This Row],[Dia]],U:U,T:T,"")</f>
        <v>Semana 10</v>
      </c>
      <c r="B1824" s="1">
        <v>46112</v>
      </c>
      <c r="C1824" t="s">
        <v>23</v>
      </c>
      <c r="D1824" s="1">
        <v>46112</v>
      </c>
      <c r="E1824" t="s">
        <v>36</v>
      </c>
      <c r="F1824" t="s">
        <v>128</v>
      </c>
      <c r="G1824" t="s">
        <v>164</v>
      </c>
      <c r="K1824">
        <v>6</v>
      </c>
      <c r="Q1824" t="s">
        <v>121</v>
      </c>
      <c r="R1824" t="str">
        <f>_xlfn.XLOOKUP(GERAL[[#This Row],[Dia]],U:U,V:V,"")</f>
        <v>Prazo_30</v>
      </c>
    </row>
    <row r="1825" spans="1:18" x14ac:dyDescent="0.3">
      <c r="A1825" t="str">
        <f>_xlfn.XLOOKUP(GERAL[[#This Row],[Dia]],U:U,T:T,"")</f>
        <v>Semana 10</v>
      </c>
      <c r="B1825" s="1">
        <v>46112</v>
      </c>
      <c r="C1825" t="s">
        <v>23</v>
      </c>
      <c r="D1825" s="1">
        <v>46112</v>
      </c>
      <c r="E1825" t="s">
        <v>36</v>
      </c>
      <c r="F1825" t="s">
        <v>134</v>
      </c>
      <c r="G1825" t="s">
        <v>162</v>
      </c>
      <c r="H1825">
        <v>1</v>
      </c>
      <c r="Q1825" t="s">
        <v>121</v>
      </c>
      <c r="R1825" t="str">
        <f>_xlfn.XLOOKUP(GERAL[[#This Row],[Dia]],U:U,V:V,"")</f>
        <v>Prazo_30</v>
      </c>
    </row>
    <row r="1826" spans="1:18" x14ac:dyDescent="0.3">
      <c r="A1826" t="str">
        <f>_xlfn.XLOOKUP(GERAL[[#This Row],[Dia]],U:U,T:T,"")</f>
        <v>Semana 10</v>
      </c>
      <c r="B1826" s="1">
        <v>46112</v>
      </c>
      <c r="C1826" t="s">
        <v>23</v>
      </c>
      <c r="D1826" s="1">
        <v>46112</v>
      </c>
      <c r="E1826" t="s">
        <v>36</v>
      </c>
      <c r="F1826" t="s">
        <v>149</v>
      </c>
      <c r="G1826" t="s">
        <v>145</v>
      </c>
      <c r="H1826">
        <v>5</v>
      </c>
      <c r="Q1826" t="s">
        <v>121</v>
      </c>
      <c r="R1826" t="str">
        <f>_xlfn.XLOOKUP(GERAL[[#This Row],[Dia]],U:U,V:V,"")</f>
        <v>Prazo_30</v>
      </c>
    </row>
    <row r="1827" spans="1:18" hidden="1" x14ac:dyDescent="0.3">
      <c r="A1827" t="str">
        <f>_xlfn.XLOOKUP(GERAL[[#This Row],[Dia]],U:U,T:T,"")</f>
        <v>Semana 10</v>
      </c>
      <c r="B1827" s="1">
        <v>46113</v>
      </c>
      <c r="C1827" t="s">
        <v>24</v>
      </c>
      <c r="D1827" s="1">
        <v>46113</v>
      </c>
      <c r="E1827" t="s">
        <v>17</v>
      </c>
      <c r="Q1827" t="s">
        <v>121</v>
      </c>
      <c r="R1827" t="str">
        <f>_xlfn.XLOOKUP(GERAL[[#This Row],[Dia]],U:U,V:V,"")</f>
        <v>Prazo_30</v>
      </c>
    </row>
    <row r="1828" spans="1:18" hidden="1" x14ac:dyDescent="0.3">
      <c r="A1828" t="str">
        <f>_xlfn.XLOOKUP(GERAL[[#This Row],[Dia]],U:U,T:T,"")</f>
        <v>Semana 10</v>
      </c>
      <c r="B1828" s="1">
        <v>46114</v>
      </c>
      <c r="C1828" t="s">
        <v>25</v>
      </c>
      <c r="D1828" s="1">
        <v>46114</v>
      </c>
      <c r="E1828" t="s">
        <v>17</v>
      </c>
      <c r="Q1828" t="s">
        <v>121</v>
      </c>
      <c r="R1828" t="str">
        <f>_xlfn.XLOOKUP(GERAL[[#This Row],[Dia]],U:U,V:V,"")</f>
        <v>Prazo_30</v>
      </c>
    </row>
    <row r="1829" spans="1:18" hidden="1" x14ac:dyDescent="0.3">
      <c r="A1829" t="str">
        <f>_xlfn.XLOOKUP(GERAL[[#This Row],[Dia]],U:U,T:T,"")</f>
        <v>Semana 10</v>
      </c>
      <c r="B1829" s="1">
        <v>46115</v>
      </c>
      <c r="C1829" t="s">
        <v>26</v>
      </c>
      <c r="D1829" s="1">
        <v>46115</v>
      </c>
      <c r="E1829" t="s">
        <v>17</v>
      </c>
      <c r="Q1829" t="s">
        <v>121</v>
      </c>
      <c r="R1829" t="str">
        <f>_xlfn.XLOOKUP(GERAL[[#This Row],[Dia]],U:U,V:V,"")</f>
        <v>Prazo_30</v>
      </c>
    </row>
    <row r="1830" spans="1:18" hidden="1" x14ac:dyDescent="0.3">
      <c r="A1830" t="str">
        <f>_xlfn.XLOOKUP(GERAL[[#This Row],[Dia]],U:U,T:T,"")</f>
        <v>Semana 10</v>
      </c>
      <c r="B1830" s="1">
        <v>46116</v>
      </c>
      <c r="C1830" t="s">
        <v>16</v>
      </c>
      <c r="D1830" s="1">
        <v>46116</v>
      </c>
      <c r="E1830" t="s">
        <v>17</v>
      </c>
      <c r="Q1830" t="s">
        <v>121</v>
      </c>
      <c r="R1830" t="str">
        <f>_xlfn.XLOOKUP(GERAL[[#This Row],[Dia]],U:U,V:V,"")</f>
        <v>Prazo_30</v>
      </c>
    </row>
    <row r="1831" spans="1:18" hidden="1" x14ac:dyDescent="0.3">
      <c r="A1831" t="str">
        <f>_xlfn.XLOOKUP(GERAL[[#This Row],[Dia]],U:U,T:T,"")</f>
        <v>Semana 10</v>
      </c>
      <c r="B1831" s="1">
        <v>46117</v>
      </c>
      <c r="C1831" t="s">
        <v>21</v>
      </c>
      <c r="D1831" s="1">
        <v>46117</v>
      </c>
      <c r="E1831" t="s">
        <v>17</v>
      </c>
      <c r="Q1831" t="s">
        <v>121</v>
      </c>
      <c r="R1831" t="str">
        <f>_xlfn.XLOOKUP(GERAL[[#This Row],[Dia]],U:U,V:V,"")</f>
        <v>Prazo_30</v>
      </c>
    </row>
    <row r="1832" spans="1:18" hidden="1" x14ac:dyDescent="0.3">
      <c r="A1832" t="str">
        <f>_xlfn.XLOOKUP(GERAL[[#This Row],[Dia]],U:U,T:T,"")</f>
        <v>Semana 11</v>
      </c>
      <c r="B1832" s="1">
        <v>46118</v>
      </c>
      <c r="C1832" t="s">
        <v>22</v>
      </c>
      <c r="D1832" s="1">
        <v>46118</v>
      </c>
      <c r="E1832" t="s">
        <v>17</v>
      </c>
      <c r="Q1832" t="s">
        <v>121</v>
      </c>
      <c r="R1832" t="str">
        <f>_xlfn.XLOOKUP(GERAL[[#This Row],[Dia]],U:U,V:V,"")</f>
        <v>Prazo_30</v>
      </c>
    </row>
    <row r="1833" spans="1:18" hidden="1" x14ac:dyDescent="0.3">
      <c r="A1833" t="str">
        <f>_xlfn.XLOOKUP(GERAL[[#This Row],[Dia]],U:U,T:T,"")</f>
        <v>Semana 11</v>
      </c>
      <c r="B1833" s="1">
        <v>46119</v>
      </c>
      <c r="C1833" t="s">
        <v>23</v>
      </c>
      <c r="D1833" s="1">
        <v>46119</v>
      </c>
      <c r="E1833" t="s">
        <v>17</v>
      </c>
      <c r="Q1833" t="s">
        <v>121</v>
      </c>
      <c r="R1833" t="str">
        <f>_xlfn.XLOOKUP(GERAL[[#This Row],[Dia]],U:U,V:V,"")</f>
        <v>Prazo_30</v>
      </c>
    </row>
    <row r="1834" spans="1:18" hidden="1" x14ac:dyDescent="0.3">
      <c r="A1834" t="str">
        <f>_xlfn.XLOOKUP(GERAL[[#This Row],[Dia]],U:U,T:T,"")</f>
        <v>Semana 11</v>
      </c>
      <c r="B1834" s="1">
        <v>46120</v>
      </c>
      <c r="C1834" t="s">
        <v>24</v>
      </c>
      <c r="D1834" s="1">
        <v>46120</v>
      </c>
      <c r="E1834" t="s">
        <v>17</v>
      </c>
      <c r="Q1834" t="s">
        <v>121</v>
      </c>
      <c r="R1834" t="str">
        <f>_xlfn.XLOOKUP(GERAL[[#This Row],[Dia]],U:U,V:V,"")</f>
        <v>Prazo_30</v>
      </c>
    </row>
    <row r="1835" spans="1:18" hidden="1" x14ac:dyDescent="0.3">
      <c r="A1835" t="str">
        <f>_xlfn.XLOOKUP(GERAL[[#This Row],[Dia]],U:U,T:T,"")</f>
        <v>Semana 11</v>
      </c>
      <c r="B1835" s="1">
        <v>46121</v>
      </c>
      <c r="C1835" t="s">
        <v>25</v>
      </c>
      <c r="D1835" s="1">
        <v>46121</v>
      </c>
      <c r="Q1835" t="s">
        <v>121</v>
      </c>
      <c r="R1835" t="str">
        <f>_xlfn.XLOOKUP(GERAL[[#This Row],[Dia]],U:U,V:V,"")</f>
        <v>Prazo_30</v>
      </c>
    </row>
    <row r="1836" spans="1:18" hidden="1" x14ac:dyDescent="0.3">
      <c r="A1836" t="str">
        <f>_xlfn.XLOOKUP(GERAL[[#This Row],[Dia]],U:U,T:T,"")</f>
        <v>Semana 11</v>
      </c>
      <c r="B1836" s="1">
        <v>46122</v>
      </c>
      <c r="C1836" t="s">
        <v>26</v>
      </c>
      <c r="D1836" s="1">
        <v>46122</v>
      </c>
      <c r="Q1836" t="s">
        <v>121</v>
      </c>
      <c r="R1836" t="str">
        <f>_xlfn.XLOOKUP(GERAL[[#This Row],[Dia]],U:U,V:V,"")</f>
        <v>Prazo_30</v>
      </c>
    </row>
    <row r="1837" spans="1:18" hidden="1" x14ac:dyDescent="0.3">
      <c r="A1837" t="str">
        <f>_xlfn.XLOOKUP(GERAL[[#This Row],[Dia]],U:U,T:T,"")</f>
        <v>Semana 11</v>
      </c>
      <c r="B1837" s="1">
        <v>46123</v>
      </c>
      <c r="C1837" t="s">
        <v>16</v>
      </c>
      <c r="D1837" s="1">
        <v>46123</v>
      </c>
      <c r="E1837" t="s">
        <v>17</v>
      </c>
      <c r="Q1837" t="s">
        <v>121</v>
      </c>
      <c r="R1837" t="str">
        <f>_xlfn.XLOOKUP(GERAL[[#This Row],[Dia]],U:U,V:V,"")</f>
        <v>Prazo_30</v>
      </c>
    </row>
    <row r="1838" spans="1:18" hidden="1" x14ac:dyDescent="0.3">
      <c r="A1838" t="str">
        <f>_xlfn.XLOOKUP(GERAL[[#This Row],[Dia]],U:U,T:T,"")</f>
        <v>Semana 11</v>
      </c>
      <c r="B1838" s="1">
        <v>46124</v>
      </c>
      <c r="C1838" t="s">
        <v>21</v>
      </c>
      <c r="D1838" s="1">
        <v>46124</v>
      </c>
      <c r="E1838" t="s">
        <v>17</v>
      </c>
      <c r="Q1838" t="s">
        <v>121</v>
      </c>
      <c r="R1838" t="str">
        <f>_xlfn.XLOOKUP(GERAL[[#This Row],[Dia]],U:U,V:V,"")</f>
        <v>Prazo_30</v>
      </c>
    </row>
    <row r="1839" spans="1:18" hidden="1" x14ac:dyDescent="0.3">
      <c r="A1839" t="str">
        <f>_xlfn.XLOOKUP(GERAL[[#This Row],[Dia]],U:U,T:T,"")</f>
        <v>Semana 12</v>
      </c>
      <c r="B1839" s="1">
        <v>46125</v>
      </c>
      <c r="C1839" t="s">
        <v>22</v>
      </c>
      <c r="D1839" s="1">
        <v>46125</v>
      </c>
      <c r="Q1839" t="s">
        <v>121</v>
      </c>
      <c r="R1839" t="str">
        <f>_xlfn.XLOOKUP(GERAL[[#This Row],[Dia]],U:U,V:V,"")</f>
        <v>Prazo_30</v>
      </c>
    </row>
    <row r="1840" spans="1:18" hidden="1" x14ac:dyDescent="0.3">
      <c r="A1840" t="str">
        <f>_xlfn.XLOOKUP(GERAL[[#This Row],[Dia]],U:U,T:T,"")</f>
        <v>Semana 12</v>
      </c>
      <c r="B1840" s="1">
        <v>46126</v>
      </c>
      <c r="C1840" t="s">
        <v>23</v>
      </c>
      <c r="D1840" s="1">
        <v>46126</v>
      </c>
      <c r="Q1840" t="s">
        <v>121</v>
      </c>
      <c r="R1840" t="str">
        <f>_xlfn.XLOOKUP(GERAL[[#This Row],[Dia]],U:U,V:V,"")</f>
        <v>Prazo_30</v>
      </c>
    </row>
    <row r="1841" spans="1:18" hidden="1" x14ac:dyDescent="0.3">
      <c r="A1841" t="str">
        <f>_xlfn.XLOOKUP(GERAL[[#This Row],[Dia]],U:U,T:T,"")</f>
        <v>Semana 12</v>
      </c>
      <c r="B1841" s="1">
        <v>46127</v>
      </c>
      <c r="C1841" t="s">
        <v>24</v>
      </c>
      <c r="D1841" s="1">
        <v>46127</v>
      </c>
      <c r="Q1841" t="s">
        <v>121</v>
      </c>
      <c r="R1841" t="str">
        <f>_xlfn.XLOOKUP(GERAL[[#This Row],[Dia]],U:U,V:V,"")</f>
        <v>Prazo_30</v>
      </c>
    </row>
    <row r="1842" spans="1:18" hidden="1" x14ac:dyDescent="0.3">
      <c r="A1842" t="str">
        <f>_xlfn.XLOOKUP(GERAL[[#This Row],[Dia]],U:U,T:T,"")</f>
        <v>Semana 12</v>
      </c>
      <c r="B1842" s="1">
        <v>46128</v>
      </c>
      <c r="C1842" t="s">
        <v>25</v>
      </c>
      <c r="D1842" s="1">
        <v>46128</v>
      </c>
      <c r="Q1842" t="s">
        <v>121</v>
      </c>
      <c r="R1842" t="str">
        <f>_xlfn.XLOOKUP(GERAL[[#This Row],[Dia]],U:U,V:V,"")</f>
        <v>Prazo_30</v>
      </c>
    </row>
    <row r="1843" spans="1:18" hidden="1" x14ac:dyDescent="0.3">
      <c r="A1843" t="str">
        <f>_xlfn.XLOOKUP(GERAL[[#This Row],[Dia]],U:U,T:T,"")</f>
        <v>Semana 12</v>
      </c>
      <c r="B1843" s="1">
        <v>46129</v>
      </c>
      <c r="C1843" t="s">
        <v>26</v>
      </c>
      <c r="D1843" s="1">
        <v>46129</v>
      </c>
      <c r="Q1843" t="s">
        <v>121</v>
      </c>
      <c r="R1843" t="str">
        <f>_xlfn.XLOOKUP(GERAL[[#This Row],[Dia]],U:U,V:V,"")</f>
        <v>Prazo_30</v>
      </c>
    </row>
    <row r="1844" spans="1:18" hidden="1" x14ac:dyDescent="0.3">
      <c r="A1844" t="str">
        <f>_xlfn.XLOOKUP(GERAL[[#This Row],[Dia]],U:U,T:T,"")</f>
        <v>Semana 12</v>
      </c>
      <c r="B1844" s="1">
        <v>46130</v>
      </c>
      <c r="C1844" t="s">
        <v>16</v>
      </c>
      <c r="D1844" s="1">
        <v>46130</v>
      </c>
      <c r="E1844" t="s">
        <v>17</v>
      </c>
      <c r="Q1844" t="s">
        <v>121</v>
      </c>
      <c r="R1844" t="str">
        <f>_xlfn.XLOOKUP(GERAL[[#This Row],[Dia]],U:U,V:V,"")</f>
        <v>Prazo_30</v>
      </c>
    </row>
    <row r="1845" spans="1:18" hidden="1" x14ac:dyDescent="0.3">
      <c r="A1845" t="str">
        <f>_xlfn.XLOOKUP(GERAL[[#This Row],[Dia]],U:U,T:T,"")</f>
        <v>Semana 12</v>
      </c>
      <c r="B1845" s="1">
        <v>46131</v>
      </c>
      <c r="C1845" t="s">
        <v>21</v>
      </c>
      <c r="D1845" s="1">
        <v>46131</v>
      </c>
      <c r="E1845" t="s">
        <v>17</v>
      </c>
      <c r="Q1845" t="s">
        <v>121</v>
      </c>
      <c r="R1845" t="str">
        <f>_xlfn.XLOOKUP(GERAL[[#This Row],[Dia]],U:U,V:V,"")</f>
        <v>Prazo_30</v>
      </c>
    </row>
    <row r="1846" spans="1:18" hidden="1" x14ac:dyDescent="0.3">
      <c r="A1846" t="str">
        <f>_xlfn.XLOOKUP(GERAL[[#This Row],[Dia]],U:U,T:T,"")</f>
        <v>Semana 13</v>
      </c>
      <c r="B1846" s="1">
        <v>46132</v>
      </c>
      <c r="C1846" t="s">
        <v>22</v>
      </c>
      <c r="D1846" s="1">
        <v>46132</v>
      </c>
      <c r="Q1846" t="s">
        <v>121</v>
      </c>
      <c r="R1846" t="str">
        <f>_xlfn.XLOOKUP(GERAL[[#This Row],[Dia]],U:U,V:V,"")</f>
        <v>Prazo_30</v>
      </c>
    </row>
    <row r="1847" spans="1:18" hidden="1" x14ac:dyDescent="0.3">
      <c r="A1847" t="str">
        <f>_xlfn.XLOOKUP(GERAL[[#This Row],[Dia]],U:U,T:T,"")</f>
        <v>Semana 13</v>
      </c>
      <c r="B1847" s="1">
        <v>46133</v>
      </c>
      <c r="C1847" t="s">
        <v>23</v>
      </c>
      <c r="D1847" s="1">
        <v>46133</v>
      </c>
      <c r="Q1847" t="s">
        <v>121</v>
      </c>
      <c r="R1847" t="str">
        <f>_xlfn.XLOOKUP(GERAL[[#This Row],[Dia]],U:U,V:V,"")</f>
        <v>Prazo_30</v>
      </c>
    </row>
    <row r="1848" spans="1:18" hidden="1" x14ac:dyDescent="0.3">
      <c r="A1848" t="str">
        <f>_xlfn.XLOOKUP(GERAL[[#This Row],[Dia]],U:U,T:T,"")</f>
        <v>Semana 13</v>
      </c>
      <c r="B1848" s="1">
        <v>46134</v>
      </c>
      <c r="C1848" t="s">
        <v>24</v>
      </c>
      <c r="D1848" s="1">
        <v>46134</v>
      </c>
      <c r="Q1848" t="s">
        <v>121</v>
      </c>
      <c r="R1848" t="str">
        <f>_xlfn.XLOOKUP(GERAL[[#This Row],[Dia]],U:U,V:V,"")</f>
        <v>Prazo_30</v>
      </c>
    </row>
    <row r="1849" spans="1:18" hidden="1" x14ac:dyDescent="0.3">
      <c r="A1849" t="str">
        <f>_xlfn.XLOOKUP(GERAL[[#This Row],[Dia]],U:U,T:T,"")</f>
        <v>Semana 13</v>
      </c>
      <c r="B1849" s="1">
        <v>46135</v>
      </c>
      <c r="C1849" t="s">
        <v>25</v>
      </c>
      <c r="D1849" s="1">
        <v>46135</v>
      </c>
      <c r="Q1849" t="s">
        <v>121</v>
      </c>
      <c r="R1849" t="str">
        <f>_xlfn.XLOOKUP(GERAL[[#This Row],[Dia]],U:U,V:V,"")</f>
        <v>Prazo_30</v>
      </c>
    </row>
    <row r="1850" spans="1:18" hidden="1" x14ac:dyDescent="0.3">
      <c r="A1850" t="str">
        <f>_xlfn.XLOOKUP(GERAL[[#This Row],[Dia]],U:U,T:T,"")</f>
        <v>Semana 13</v>
      </c>
      <c r="B1850" s="1">
        <v>46136</v>
      </c>
      <c r="C1850" t="s">
        <v>26</v>
      </c>
      <c r="D1850" s="1">
        <v>46136</v>
      </c>
      <c r="Q1850" t="s">
        <v>121</v>
      </c>
      <c r="R1850" t="str">
        <f>_xlfn.XLOOKUP(GERAL[[#This Row],[Dia]],U:U,V:V,"")</f>
        <v>Prazo_30</v>
      </c>
    </row>
    <row r="1851" spans="1:18" hidden="1" x14ac:dyDescent="0.3">
      <c r="A1851" t="str">
        <f>_xlfn.XLOOKUP(GERAL[[#This Row],[Dia]],U:U,T:T,"")</f>
        <v>Semana 13</v>
      </c>
      <c r="B1851" s="1">
        <v>46137</v>
      </c>
      <c r="C1851" t="s">
        <v>16</v>
      </c>
      <c r="D1851" s="1">
        <v>46137</v>
      </c>
      <c r="E1851" t="s">
        <v>17</v>
      </c>
      <c r="Q1851" t="s">
        <v>121</v>
      </c>
      <c r="R1851" t="str">
        <f>_xlfn.XLOOKUP(GERAL[[#This Row],[Dia]],U:U,V:V,"")</f>
        <v>Prazo_30</v>
      </c>
    </row>
    <row r="1852" spans="1:18" hidden="1" x14ac:dyDescent="0.3">
      <c r="A1852" t="str">
        <f>_xlfn.XLOOKUP(GERAL[[#This Row],[Dia]],U:U,T:T,"")</f>
        <v>Semana 13</v>
      </c>
      <c r="B1852" s="1">
        <v>46138</v>
      </c>
      <c r="C1852" t="s">
        <v>21</v>
      </c>
      <c r="D1852" s="1">
        <v>46138</v>
      </c>
      <c r="E1852" t="s">
        <v>17</v>
      </c>
      <c r="Q1852" t="s">
        <v>121</v>
      </c>
      <c r="R1852" t="str">
        <f>_xlfn.XLOOKUP(GERAL[[#This Row],[Dia]],U:U,V:V,"")</f>
        <v>Prazo_30</v>
      </c>
    </row>
    <row r="1853" spans="1:18" hidden="1" x14ac:dyDescent="0.3">
      <c r="A1853" t="str">
        <f>_xlfn.XLOOKUP(GERAL[[#This Row],[Dia]],U:U,T:T,"")</f>
        <v>Semana 14</v>
      </c>
      <c r="B1853" s="1">
        <v>46139</v>
      </c>
      <c r="C1853" t="s">
        <v>22</v>
      </c>
      <c r="D1853" s="1">
        <v>46139</v>
      </c>
      <c r="Q1853" t="s">
        <v>121</v>
      </c>
      <c r="R1853" t="str">
        <f>_xlfn.XLOOKUP(GERAL[[#This Row],[Dia]],U:U,V:V,"")</f>
        <v>Prazo_30</v>
      </c>
    </row>
    <row r="1854" spans="1:18" hidden="1" x14ac:dyDescent="0.3">
      <c r="A1854" t="str">
        <f>_xlfn.XLOOKUP(GERAL[[#This Row],[Dia]],U:U,T:T,"")</f>
        <v>Semana 14</v>
      </c>
      <c r="B1854" s="1">
        <v>46140</v>
      </c>
      <c r="C1854" t="s">
        <v>23</v>
      </c>
      <c r="D1854" s="1">
        <v>46140</v>
      </c>
      <c r="Q1854" t="s">
        <v>121</v>
      </c>
      <c r="R1854" t="str">
        <f>_xlfn.XLOOKUP(GERAL[[#This Row],[Dia]],U:U,V:V,"")</f>
        <v>Prazo_30</v>
      </c>
    </row>
    <row r="1855" spans="1:18" hidden="1" x14ac:dyDescent="0.3">
      <c r="A1855" t="str">
        <f>_xlfn.XLOOKUP(GERAL[[#This Row],[Dia]],U:U,T:T,"")</f>
        <v>Semana 14</v>
      </c>
      <c r="B1855" s="1">
        <v>46141</v>
      </c>
      <c r="C1855" t="s">
        <v>24</v>
      </c>
      <c r="D1855" s="1">
        <v>46141</v>
      </c>
      <c r="Q1855" t="s">
        <v>121</v>
      </c>
      <c r="R1855" t="str">
        <f>_xlfn.XLOOKUP(GERAL[[#This Row],[Dia]],U:U,V:V,"")</f>
        <v>Prazo_30</v>
      </c>
    </row>
    <row r="1856" spans="1:18" hidden="1" x14ac:dyDescent="0.3">
      <c r="A1856" t="str">
        <f>_xlfn.XLOOKUP(GERAL[[#This Row],[Dia]],U:U,T:T,"")</f>
        <v>Semana 14</v>
      </c>
      <c r="B1856" s="1">
        <v>46142</v>
      </c>
      <c r="C1856" t="s">
        <v>25</v>
      </c>
      <c r="D1856" s="1">
        <v>46142</v>
      </c>
      <c r="Q1856" t="s">
        <v>121</v>
      </c>
      <c r="R1856" t="str">
        <f>_xlfn.XLOOKUP(GERAL[[#This Row],[Dia]],U:U,V:V,"")</f>
        <v>Prazo_30</v>
      </c>
    </row>
    <row r="1857" spans="1:18" hidden="1" x14ac:dyDescent="0.3">
      <c r="A1857" t="str">
        <f>_xlfn.XLOOKUP(GERAL[[#This Row],[Dia]],U:U,T:T,"")</f>
        <v>Semana 14</v>
      </c>
      <c r="B1857" s="1">
        <v>46143</v>
      </c>
      <c r="C1857" t="s">
        <v>26</v>
      </c>
      <c r="D1857" s="1">
        <v>46143</v>
      </c>
      <c r="Q1857" t="s">
        <v>121</v>
      </c>
      <c r="R1857" t="str">
        <f>_xlfn.XLOOKUP(GERAL[[#This Row],[Dia]],U:U,V:V,"")</f>
        <v>Prazo_30</v>
      </c>
    </row>
    <row r="1858" spans="1:18" hidden="1" x14ac:dyDescent="0.3">
      <c r="A1858" t="str">
        <f>_xlfn.XLOOKUP(GERAL[[#This Row],[Dia]],U:U,T:T,"")</f>
        <v>Semana 14</v>
      </c>
      <c r="B1858" s="1">
        <v>46144</v>
      </c>
      <c r="C1858" t="s">
        <v>16</v>
      </c>
      <c r="D1858" s="1">
        <v>46144</v>
      </c>
      <c r="E1858" t="s">
        <v>17</v>
      </c>
      <c r="Q1858" t="s">
        <v>121</v>
      </c>
      <c r="R1858" t="str">
        <f>_xlfn.XLOOKUP(GERAL[[#This Row],[Dia]],U:U,V:V,"")</f>
        <v>Prazo_30</v>
      </c>
    </row>
    <row r="1859" spans="1:18" hidden="1" x14ac:dyDescent="0.3">
      <c r="A1859" t="str">
        <f>_xlfn.XLOOKUP(GERAL[[#This Row],[Dia]],U:U,T:T,"")</f>
        <v>Semana 14</v>
      </c>
      <c r="B1859" s="1">
        <v>46145</v>
      </c>
      <c r="C1859" t="s">
        <v>21</v>
      </c>
      <c r="D1859" s="1">
        <v>46145</v>
      </c>
      <c r="E1859" t="s">
        <v>17</v>
      </c>
      <c r="Q1859" t="s">
        <v>121</v>
      </c>
      <c r="R1859" t="str">
        <f>_xlfn.XLOOKUP(GERAL[[#This Row],[Dia]],U:U,V:V,"")</f>
        <v>Prazo_30</v>
      </c>
    </row>
    <row r="1860" spans="1:18" hidden="1" x14ac:dyDescent="0.3">
      <c r="A1860" t="str">
        <f>_xlfn.XLOOKUP(GERAL[[#This Row],[Dia]],U:U,T:T,"")</f>
        <v/>
      </c>
      <c r="B1860" s="1">
        <v>46146</v>
      </c>
      <c r="C1860" t="s">
        <v>22</v>
      </c>
      <c r="D1860" s="1">
        <v>46146</v>
      </c>
      <c r="Q1860" t="s">
        <v>121</v>
      </c>
      <c r="R1860" t="str">
        <f>_xlfn.XLOOKUP(GERAL[[#This Row],[Dia]],U:U,V:V,"")</f>
        <v/>
      </c>
    </row>
    <row r="1861" spans="1:18" hidden="1" x14ac:dyDescent="0.3">
      <c r="A1861" t="str">
        <f>_xlfn.XLOOKUP(GERAL[[#This Row],[Dia]],U:U,T:T,"")</f>
        <v/>
      </c>
      <c r="B1861" s="1">
        <v>46147</v>
      </c>
      <c r="C1861" t="s">
        <v>23</v>
      </c>
      <c r="D1861" s="1">
        <v>46147</v>
      </c>
      <c r="Q1861" t="s">
        <v>121</v>
      </c>
      <c r="R1861" t="str">
        <f>_xlfn.XLOOKUP(GERAL[[#This Row],[Dia]],U:U,V:V,"")</f>
        <v/>
      </c>
    </row>
    <row r="1862" spans="1:18" hidden="1" x14ac:dyDescent="0.3">
      <c r="A1862" t="str">
        <f>_xlfn.XLOOKUP(GERAL[[#This Row],[Dia]],U:U,T:T,"")</f>
        <v/>
      </c>
      <c r="B1862" s="1">
        <v>46148</v>
      </c>
      <c r="C1862" t="s">
        <v>24</v>
      </c>
      <c r="D1862" s="1">
        <v>46148</v>
      </c>
      <c r="Q1862" t="s">
        <v>121</v>
      </c>
      <c r="R1862" t="str">
        <f>_xlfn.XLOOKUP(GERAL[[#This Row],[Dia]],U:U,V:V,"")</f>
        <v/>
      </c>
    </row>
    <row r="1863" spans="1:18" hidden="1" x14ac:dyDescent="0.3">
      <c r="A1863" t="str">
        <f>_xlfn.XLOOKUP(GERAL[[#This Row],[Dia]],U:U,T:T,"")</f>
        <v/>
      </c>
      <c r="B1863" s="1">
        <v>46149</v>
      </c>
      <c r="C1863" t="s">
        <v>25</v>
      </c>
      <c r="D1863" s="1">
        <v>46149</v>
      </c>
      <c r="Q1863" t="s">
        <v>121</v>
      </c>
      <c r="R1863" t="str">
        <f>_xlfn.XLOOKUP(GERAL[[#This Row],[Dia]],U:U,V:V,"")</f>
        <v/>
      </c>
    </row>
    <row r="1864" spans="1:18" hidden="1" x14ac:dyDescent="0.3">
      <c r="A1864" t="str">
        <f>_xlfn.XLOOKUP(GERAL[[#This Row],[Dia]],U:U,T:T,"")</f>
        <v/>
      </c>
      <c r="B1864" s="1">
        <v>46150</v>
      </c>
      <c r="C1864" t="s">
        <v>26</v>
      </c>
      <c r="D1864" s="1">
        <v>46150</v>
      </c>
      <c r="Q1864" t="s">
        <v>121</v>
      </c>
      <c r="R1864" t="str">
        <f>_xlfn.XLOOKUP(GERAL[[#This Row],[Dia]],U:U,V:V,"")</f>
        <v/>
      </c>
    </row>
    <row r="1865" spans="1:18" hidden="1" x14ac:dyDescent="0.3">
      <c r="A1865" t="str">
        <f>_xlfn.XLOOKUP(GERAL[[#This Row],[Dia]],U:U,T:T,"")</f>
        <v/>
      </c>
      <c r="B1865" s="1">
        <v>46151</v>
      </c>
      <c r="C1865" t="s">
        <v>16</v>
      </c>
      <c r="D1865" s="1">
        <v>46151</v>
      </c>
      <c r="E1865" t="s">
        <v>17</v>
      </c>
      <c r="Q1865" t="s">
        <v>121</v>
      </c>
      <c r="R1865" t="str">
        <f>_xlfn.XLOOKUP(GERAL[[#This Row],[Dia]],U:U,V:V,"")</f>
        <v/>
      </c>
    </row>
    <row r="1866" spans="1:18" hidden="1" x14ac:dyDescent="0.3">
      <c r="A1866" t="str">
        <f>_xlfn.XLOOKUP(GERAL[[#This Row],[Dia]],U:U,T:T,"")</f>
        <v/>
      </c>
      <c r="B1866" s="1">
        <v>46152</v>
      </c>
      <c r="C1866" t="s">
        <v>21</v>
      </c>
      <c r="D1866" s="1">
        <v>46152</v>
      </c>
      <c r="E1866" t="s">
        <v>17</v>
      </c>
      <c r="Q1866" t="s">
        <v>121</v>
      </c>
      <c r="R1866" t="str">
        <f>_xlfn.XLOOKUP(GERAL[[#This Row],[Dia]],U:U,V:V,"")</f>
        <v/>
      </c>
    </row>
    <row r="1867" spans="1:18" hidden="1" x14ac:dyDescent="0.3">
      <c r="A1867" t="str">
        <f>_xlfn.XLOOKUP(GERAL[[#This Row],[Dia]],U:U,T:T,"")</f>
        <v/>
      </c>
      <c r="B1867" s="1">
        <v>46153</v>
      </c>
      <c r="C1867" t="s">
        <v>22</v>
      </c>
      <c r="D1867" s="1">
        <v>46153</v>
      </c>
      <c r="Q1867" t="s">
        <v>121</v>
      </c>
      <c r="R1867" t="str">
        <f>_xlfn.XLOOKUP(GERAL[[#This Row],[Dia]],U:U,V:V,"")</f>
        <v/>
      </c>
    </row>
    <row r="1868" spans="1:18" hidden="1" x14ac:dyDescent="0.3">
      <c r="A1868" t="str">
        <f>_xlfn.XLOOKUP(GERAL[[#This Row],[Dia]],U:U,T:T,"")</f>
        <v/>
      </c>
      <c r="B1868" s="1">
        <v>46154</v>
      </c>
      <c r="C1868" t="s">
        <v>23</v>
      </c>
      <c r="D1868" s="1">
        <v>46154</v>
      </c>
      <c r="Q1868" t="s">
        <v>121</v>
      </c>
      <c r="R1868" t="str">
        <f>_xlfn.XLOOKUP(GERAL[[#This Row],[Dia]],U:U,V:V,"")</f>
        <v/>
      </c>
    </row>
    <row r="1869" spans="1:18" hidden="1" x14ac:dyDescent="0.3">
      <c r="A1869" t="str">
        <f>_xlfn.XLOOKUP(GERAL[[#This Row],[Dia]],U:U,T:T,"")</f>
        <v/>
      </c>
      <c r="B1869" s="1">
        <v>46155</v>
      </c>
      <c r="C1869" t="s">
        <v>24</v>
      </c>
      <c r="D1869" s="1">
        <v>46155</v>
      </c>
      <c r="Q1869" t="s">
        <v>121</v>
      </c>
      <c r="R1869" t="str">
        <f>_xlfn.XLOOKUP(GERAL[[#This Row],[Dia]],U:U,V:V,"")</f>
        <v/>
      </c>
    </row>
    <row r="1870" spans="1:18" hidden="1" x14ac:dyDescent="0.3">
      <c r="A1870" t="str">
        <f>_xlfn.XLOOKUP(GERAL[[#This Row],[Dia]],U:U,T:T,"")</f>
        <v/>
      </c>
      <c r="B1870" s="1">
        <v>46156</v>
      </c>
      <c r="C1870" t="s">
        <v>25</v>
      </c>
      <c r="D1870" s="1">
        <v>46156</v>
      </c>
      <c r="Q1870" t="s">
        <v>121</v>
      </c>
      <c r="R1870" t="str">
        <f>_xlfn.XLOOKUP(GERAL[[#This Row],[Dia]],U:U,V:V,"")</f>
        <v/>
      </c>
    </row>
    <row r="1871" spans="1:18" hidden="1" x14ac:dyDescent="0.3">
      <c r="A1871" t="str">
        <f>_xlfn.XLOOKUP(GERAL[[#This Row],[Dia]],U:U,T:T,"")</f>
        <v/>
      </c>
      <c r="B1871" s="1">
        <v>46157</v>
      </c>
      <c r="C1871" t="s">
        <v>26</v>
      </c>
      <c r="D1871" s="1">
        <v>46157</v>
      </c>
      <c r="Q1871" t="s">
        <v>121</v>
      </c>
      <c r="R1871" t="str">
        <f>_xlfn.XLOOKUP(GERAL[[#This Row],[Dia]],U:U,V:V,"")</f>
        <v/>
      </c>
    </row>
    <row r="1872" spans="1:18" hidden="1" x14ac:dyDescent="0.3">
      <c r="A1872" t="str">
        <f>_xlfn.XLOOKUP(GERAL[[#This Row],[Dia]],U:U,T:T,"")</f>
        <v/>
      </c>
      <c r="B1872" s="1">
        <v>46158</v>
      </c>
      <c r="C1872" t="s">
        <v>16</v>
      </c>
      <c r="D1872" s="1">
        <v>46158</v>
      </c>
      <c r="E1872" t="s">
        <v>17</v>
      </c>
      <c r="Q1872" t="s">
        <v>121</v>
      </c>
      <c r="R1872" t="str">
        <f>_xlfn.XLOOKUP(GERAL[[#This Row],[Dia]],U:U,V:V,"")</f>
        <v/>
      </c>
    </row>
    <row r="1873" spans="1:18" hidden="1" x14ac:dyDescent="0.3">
      <c r="A1873" t="str">
        <f>_xlfn.XLOOKUP(GERAL[[#This Row],[Dia]],U:U,T:T,"")</f>
        <v/>
      </c>
      <c r="B1873" s="1">
        <v>46159</v>
      </c>
      <c r="C1873" t="s">
        <v>21</v>
      </c>
      <c r="D1873" s="1">
        <v>46159</v>
      </c>
      <c r="E1873" t="s">
        <v>17</v>
      </c>
      <c r="Q1873" t="s">
        <v>121</v>
      </c>
      <c r="R1873" t="str">
        <f>_xlfn.XLOOKUP(GERAL[[#This Row],[Dia]],U:U,V:V,"")</f>
        <v/>
      </c>
    </row>
    <row r="1874" spans="1:18" hidden="1" x14ac:dyDescent="0.3">
      <c r="A1874" t="str">
        <f>_xlfn.XLOOKUP(GERAL[[#This Row],[Dia]],U:U,T:T,"")</f>
        <v/>
      </c>
      <c r="B1874" s="1">
        <v>46160</v>
      </c>
      <c r="C1874" t="s">
        <v>22</v>
      </c>
      <c r="D1874" s="1">
        <v>46160</v>
      </c>
      <c r="Q1874" t="s">
        <v>121</v>
      </c>
      <c r="R1874" t="str">
        <f>_xlfn.XLOOKUP(GERAL[[#This Row],[Dia]],U:U,V:V,"")</f>
        <v/>
      </c>
    </row>
    <row r="1875" spans="1:18" hidden="1" x14ac:dyDescent="0.3">
      <c r="A1875" t="str">
        <f>_xlfn.XLOOKUP(GERAL[[#This Row],[Dia]],U:U,T:T,"")</f>
        <v/>
      </c>
      <c r="B1875" s="1">
        <v>46161</v>
      </c>
      <c r="C1875" t="s">
        <v>23</v>
      </c>
      <c r="D1875" s="1">
        <v>46161</v>
      </c>
      <c r="Q1875" t="s">
        <v>121</v>
      </c>
      <c r="R1875" t="str">
        <f>_xlfn.XLOOKUP(GERAL[[#This Row],[Dia]],U:U,V:V,"")</f>
        <v/>
      </c>
    </row>
    <row r="1876" spans="1:18" hidden="1" x14ac:dyDescent="0.3">
      <c r="A1876" t="str">
        <f>_xlfn.XLOOKUP(GERAL[[#This Row],[Dia]],U:U,T:T,"")</f>
        <v/>
      </c>
      <c r="B1876" s="1">
        <v>46162</v>
      </c>
      <c r="C1876" t="s">
        <v>24</v>
      </c>
      <c r="D1876" s="1">
        <v>46162</v>
      </c>
      <c r="Q1876" t="s">
        <v>121</v>
      </c>
      <c r="R1876" t="str">
        <f>_xlfn.XLOOKUP(GERAL[[#This Row],[Dia]],U:U,V:V,"")</f>
        <v/>
      </c>
    </row>
    <row r="1877" spans="1:18" hidden="1" x14ac:dyDescent="0.3">
      <c r="A1877" t="str">
        <f>_xlfn.XLOOKUP(GERAL[[#This Row],[Dia]],U:U,T:T,"")</f>
        <v/>
      </c>
      <c r="B1877" s="1">
        <v>46163</v>
      </c>
      <c r="C1877" t="s">
        <v>25</v>
      </c>
      <c r="D1877" s="1">
        <v>46163</v>
      </c>
      <c r="Q1877" t="s">
        <v>121</v>
      </c>
      <c r="R1877" t="str">
        <f>_xlfn.XLOOKUP(GERAL[[#This Row],[Dia]],U:U,V:V,"")</f>
        <v/>
      </c>
    </row>
    <row r="1878" spans="1:18" hidden="1" x14ac:dyDescent="0.3">
      <c r="A1878" t="str">
        <f>_xlfn.XLOOKUP(GERAL[[#This Row],[Dia]],U:U,T:T,"")</f>
        <v/>
      </c>
      <c r="B1878" s="1">
        <v>46164</v>
      </c>
      <c r="C1878" t="s">
        <v>26</v>
      </c>
      <c r="D1878" s="1">
        <v>46164</v>
      </c>
      <c r="Q1878" t="s">
        <v>121</v>
      </c>
      <c r="R1878" t="str">
        <f>_xlfn.XLOOKUP(GERAL[[#This Row],[Dia]],U:U,V:V,"")</f>
        <v/>
      </c>
    </row>
    <row r="1879" spans="1:18" hidden="1" x14ac:dyDescent="0.3">
      <c r="A1879" t="str">
        <f>_xlfn.XLOOKUP(GERAL[[#This Row],[Dia]],U:U,T:T,"")</f>
        <v/>
      </c>
      <c r="B1879" s="1">
        <v>46165</v>
      </c>
      <c r="C1879" t="s">
        <v>16</v>
      </c>
      <c r="D1879" s="1">
        <v>46165</v>
      </c>
      <c r="E1879" t="s">
        <v>17</v>
      </c>
      <c r="Q1879" t="s">
        <v>121</v>
      </c>
      <c r="R1879" t="str">
        <f>_xlfn.XLOOKUP(GERAL[[#This Row],[Dia]],U:U,V:V,"")</f>
        <v/>
      </c>
    </row>
    <row r="1880" spans="1:18" hidden="1" x14ac:dyDescent="0.3">
      <c r="A1880" t="str">
        <f>_xlfn.XLOOKUP(GERAL[[#This Row],[Dia]],U:U,T:T,"")</f>
        <v/>
      </c>
      <c r="B1880" s="1">
        <v>46166</v>
      </c>
      <c r="C1880" t="s">
        <v>21</v>
      </c>
      <c r="D1880" s="1">
        <v>46166</v>
      </c>
      <c r="E1880" t="s">
        <v>17</v>
      </c>
      <c r="Q1880" t="s">
        <v>121</v>
      </c>
      <c r="R1880" t="str">
        <f>_xlfn.XLOOKUP(GERAL[[#This Row],[Dia]],U:U,V:V,"")</f>
        <v/>
      </c>
    </row>
    <row r="1881" spans="1:18" hidden="1" x14ac:dyDescent="0.3">
      <c r="A1881" t="str">
        <f>_xlfn.XLOOKUP(GERAL[[#This Row],[Dia]],U:U,T:T,"")</f>
        <v/>
      </c>
      <c r="B1881" s="1">
        <v>46167</v>
      </c>
      <c r="C1881" t="s">
        <v>22</v>
      </c>
      <c r="D1881" s="1">
        <v>46167</v>
      </c>
      <c r="Q1881" t="s">
        <v>121</v>
      </c>
      <c r="R1881" t="str">
        <f>_xlfn.XLOOKUP(GERAL[[#This Row],[Dia]],U:U,V:V,"")</f>
        <v/>
      </c>
    </row>
    <row r="1882" spans="1:18" hidden="1" x14ac:dyDescent="0.3">
      <c r="A1882" t="str">
        <f>_xlfn.XLOOKUP(GERAL[[#This Row],[Dia]],U:U,T:T,"")</f>
        <v/>
      </c>
      <c r="B1882" s="1">
        <v>46168</v>
      </c>
      <c r="C1882" t="s">
        <v>23</v>
      </c>
      <c r="D1882" s="1">
        <v>46168</v>
      </c>
      <c r="Q1882" t="s">
        <v>121</v>
      </c>
      <c r="R1882" t="str">
        <f>_xlfn.XLOOKUP(GERAL[[#This Row],[Dia]],U:U,V:V,"")</f>
        <v/>
      </c>
    </row>
    <row r="1883" spans="1:18" hidden="1" x14ac:dyDescent="0.3">
      <c r="A1883" t="str">
        <f>_xlfn.XLOOKUP(GERAL[[#This Row],[Dia]],U:U,T:T,"")</f>
        <v/>
      </c>
      <c r="B1883" s="1">
        <v>46169</v>
      </c>
      <c r="C1883" t="s">
        <v>24</v>
      </c>
      <c r="D1883" s="1">
        <v>46169</v>
      </c>
      <c r="Q1883" t="s">
        <v>121</v>
      </c>
      <c r="R1883" t="str">
        <f>_xlfn.XLOOKUP(GERAL[[#This Row],[Dia]],U:U,V:V,"")</f>
        <v/>
      </c>
    </row>
    <row r="1884" spans="1:18" hidden="1" x14ac:dyDescent="0.3">
      <c r="A1884" t="str">
        <f>_xlfn.XLOOKUP(GERAL[[#This Row],[Dia]],U:U,T:T,"")</f>
        <v/>
      </c>
      <c r="B1884" s="1">
        <v>46170</v>
      </c>
      <c r="C1884" t="s">
        <v>25</v>
      </c>
      <c r="D1884" s="1">
        <v>46170</v>
      </c>
      <c r="Q1884" t="s">
        <v>121</v>
      </c>
      <c r="R1884" t="str">
        <f>_xlfn.XLOOKUP(GERAL[[#This Row],[Dia]],U:U,V:V,"")</f>
        <v/>
      </c>
    </row>
    <row r="1885" spans="1:18" hidden="1" x14ac:dyDescent="0.3">
      <c r="A1885" t="str">
        <f>_xlfn.XLOOKUP(GERAL[[#This Row],[Dia]],U:U,T:T,"")</f>
        <v/>
      </c>
      <c r="B1885" s="1">
        <v>46171</v>
      </c>
      <c r="C1885" t="s">
        <v>26</v>
      </c>
      <c r="D1885" s="1">
        <v>46171</v>
      </c>
      <c r="Q1885" t="s">
        <v>121</v>
      </c>
      <c r="R1885" t="str">
        <f>_xlfn.XLOOKUP(GERAL[[#This Row],[Dia]],U:U,V:V,"")</f>
        <v/>
      </c>
    </row>
    <row r="1886" spans="1:18" hidden="1" x14ac:dyDescent="0.3">
      <c r="A1886" t="str">
        <f>_xlfn.XLOOKUP(GERAL[[#This Row],[Dia]],U:U,T:T,"")</f>
        <v/>
      </c>
      <c r="B1886" s="1">
        <v>46172</v>
      </c>
      <c r="C1886" t="s">
        <v>16</v>
      </c>
      <c r="D1886" s="1">
        <v>46172</v>
      </c>
      <c r="E1886" t="s">
        <v>17</v>
      </c>
      <c r="Q1886" t="s">
        <v>121</v>
      </c>
      <c r="R1886" t="str">
        <f>_xlfn.XLOOKUP(GERAL[[#This Row],[Dia]],U:U,V:V,"")</f>
        <v/>
      </c>
    </row>
    <row r="1887" spans="1:18" hidden="1" x14ac:dyDescent="0.3">
      <c r="A1887" t="str">
        <f>_xlfn.XLOOKUP(GERAL[[#This Row],[Dia]],U:U,T:T,"")</f>
        <v/>
      </c>
      <c r="B1887" s="1">
        <v>46173</v>
      </c>
      <c r="C1887" t="s">
        <v>21</v>
      </c>
      <c r="D1887" s="1">
        <v>46173</v>
      </c>
      <c r="E1887" t="s">
        <v>17</v>
      </c>
      <c r="Q1887" t="s">
        <v>121</v>
      </c>
      <c r="R1887" t="str">
        <f>_xlfn.XLOOKUP(GERAL[[#This Row],[Dia]],U:U,V:V,"")</f>
        <v/>
      </c>
    </row>
    <row r="1888" spans="1:18" hidden="1" x14ac:dyDescent="0.3">
      <c r="A1888" t="str">
        <f>_xlfn.XLOOKUP(GERAL[[#This Row],[Dia]],U:U,T:T,"")</f>
        <v/>
      </c>
      <c r="B1888" s="1">
        <v>46174</v>
      </c>
      <c r="C1888" t="s">
        <v>22</v>
      </c>
      <c r="D1888" s="1">
        <v>46174</v>
      </c>
      <c r="Q1888" t="s">
        <v>121</v>
      </c>
      <c r="R1888" t="str">
        <f>_xlfn.XLOOKUP(GERAL[[#This Row],[Dia]],U:U,V:V,"")</f>
        <v/>
      </c>
    </row>
    <row r="1889" spans="1:18" hidden="1" x14ac:dyDescent="0.3">
      <c r="A1889" t="str">
        <f>_xlfn.XLOOKUP(GERAL[[#This Row],[Dia]],U:U,T:T,"")</f>
        <v/>
      </c>
      <c r="B1889" s="1">
        <v>46175</v>
      </c>
      <c r="C1889" t="s">
        <v>23</v>
      </c>
      <c r="D1889" s="1">
        <v>46175</v>
      </c>
      <c r="Q1889" t="s">
        <v>121</v>
      </c>
      <c r="R1889" t="str">
        <f>_xlfn.XLOOKUP(GERAL[[#This Row],[Dia]],U:U,V:V,"")</f>
        <v/>
      </c>
    </row>
    <row r="1890" spans="1:18" hidden="1" x14ac:dyDescent="0.3">
      <c r="A1890" t="str">
        <f>_xlfn.XLOOKUP(GERAL[[#This Row],[Dia]],U:U,T:T,"")</f>
        <v/>
      </c>
      <c r="B1890" s="1">
        <v>46176</v>
      </c>
      <c r="C1890" t="s">
        <v>24</v>
      </c>
      <c r="D1890" s="1">
        <v>46176</v>
      </c>
      <c r="Q1890" t="s">
        <v>121</v>
      </c>
      <c r="R1890" t="str">
        <f>_xlfn.XLOOKUP(GERAL[[#This Row],[Dia]],U:U,V:V,"")</f>
        <v/>
      </c>
    </row>
    <row r="1891" spans="1:18" hidden="1" x14ac:dyDescent="0.3">
      <c r="A1891" t="str">
        <f>_xlfn.XLOOKUP(GERAL[[#This Row],[Dia]],U:U,T:T,"")</f>
        <v/>
      </c>
      <c r="B1891" s="1">
        <v>46177</v>
      </c>
      <c r="C1891" t="s">
        <v>25</v>
      </c>
      <c r="D1891" s="1">
        <v>46177</v>
      </c>
      <c r="Q1891" t="s">
        <v>121</v>
      </c>
      <c r="R1891" t="str">
        <f>_xlfn.XLOOKUP(GERAL[[#This Row],[Dia]],U:U,V:V,"")</f>
        <v/>
      </c>
    </row>
    <row r="1892" spans="1:18" hidden="1" x14ac:dyDescent="0.3">
      <c r="A1892" t="str">
        <f>_xlfn.XLOOKUP(GERAL[[#This Row],[Dia]],U:U,T:T,"")</f>
        <v/>
      </c>
      <c r="B1892" s="1">
        <v>46178</v>
      </c>
      <c r="C1892" t="s">
        <v>26</v>
      </c>
      <c r="D1892" s="1">
        <v>46178</v>
      </c>
      <c r="Q1892" t="s">
        <v>121</v>
      </c>
      <c r="R1892" t="str">
        <f>_xlfn.XLOOKUP(GERAL[[#This Row],[Dia]],U:U,V:V,"")</f>
        <v/>
      </c>
    </row>
    <row r="1893" spans="1:18" hidden="1" x14ac:dyDescent="0.3">
      <c r="A1893" t="str">
        <f>_xlfn.XLOOKUP(GERAL[[#This Row],[Dia]],U:U,T:T,"")</f>
        <v/>
      </c>
      <c r="B1893" s="1">
        <v>46179</v>
      </c>
      <c r="C1893" t="s">
        <v>16</v>
      </c>
      <c r="D1893" s="1">
        <v>46179</v>
      </c>
      <c r="E1893" t="s">
        <v>17</v>
      </c>
      <c r="Q1893" t="s">
        <v>121</v>
      </c>
      <c r="R1893" t="str">
        <f>_xlfn.XLOOKUP(GERAL[[#This Row],[Dia]],U:U,V:V,"")</f>
        <v/>
      </c>
    </row>
    <row r="1894" spans="1:18" hidden="1" x14ac:dyDescent="0.3">
      <c r="A1894" t="str">
        <f>_xlfn.XLOOKUP(GERAL[[#This Row],[Dia]],U:U,T:T,"")</f>
        <v/>
      </c>
      <c r="B1894" s="1">
        <v>46180</v>
      </c>
      <c r="C1894" t="s">
        <v>21</v>
      </c>
      <c r="D1894" s="1">
        <v>46180</v>
      </c>
      <c r="E1894" t="s">
        <v>17</v>
      </c>
      <c r="Q1894" t="s">
        <v>121</v>
      </c>
      <c r="R1894" t="str">
        <f>_xlfn.XLOOKUP(GERAL[[#This Row],[Dia]],U:U,V:V,"")</f>
        <v/>
      </c>
    </row>
    <row r="1895" spans="1:18" hidden="1" x14ac:dyDescent="0.3">
      <c r="A1895" t="str">
        <f>_xlfn.XLOOKUP(GERAL[[#This Row],[Dia]],U:U,T:T,"")</f>
        <v/>
      </c>
      <c r="B1895" s="1">
        <v>46181</v>
      </c>
      <c r="C1895" t="s">
        <v>22</v>
      </c>
      <c r="D1895" s="1">
        <v>46181</v>
      </c>
      <c r="Q1895" t="s">
        <v>121</v>
      </c>
      <c r="R1895" t="str">
        <f>_xlfn.XLOOKUP(GERAL[[#This Row],[Dia]],U:U,V:V,"")</f>
        <v/>
      </c>
    </row>
    <row r="1896" spans="1:18" hidden="1" x14ac:dyDescent="0.3">
      <c r="A1896" t="str">
        <f>_xlfn.XLOOKUP(GERAL[[#This Row],[Dia]],U:U,T:T,"")</f>
        <v/>
      </c>
      <c r="B1896" s="1">
        <v>46182</v>
      </c>
      <c r="C1896" t="s">
        <v>23</v>
      </c>
      <c r="D1896" s="1">
        <v>46182</v>
      </c>
      <c r="Q1896" t="s">
        <v>121</v>
      </c>
      <c r="R1896" t="str">
        <f>_xlfn.XLOOKUP(GERAL[[#This Row],[Dia]],U:U,V:V,"")</f>
        <v/>
      </c>
    </row>
    <row r="1897" spans="1:18" hidden="1" x14ac:dyDescent="0.3">
      <c r="A1897" t="str">
        <f>_xlfn.XLOOKUP(GERAL[[#This Row],[Dia]],U:U,T:T,"")</f>
        <v/>
      </c>
      <c r="B1897" s="1">
        <v>46183</v>
      </c>
      <c r="C1897" t="s">
        <v>24</v>
      </c>
      <c r="D1897" s="1">
        <v>46183</v>
      </c>
      <c r="Q1897" t="s">
        <v>121</v>
      </c>
      <c r="R1897" t="str">
        <f>_xlfn.XLOOKUP(GERAL[[#This Row],[Dia]],U:U,V:V,"")</f>
        <v/>
      </c>
    </row>
    <row r="1898" spans="1:18" hidden="1" x14ac:dyDescent="0.3">
      <c r="A1898" t="str">
        <f>_xlfn.XLOOKUP(GERAL[[#This Row],[Dia]],U:U,T:T,"")</f>
        <v/>
      </c>
      <c r="B1898" s="1">
        <v>46184</v>
      </c>
      <c r="C1898" t="s">
        <v>25</v>
      </c>
      <c r="D1898" s="1">
        <v>46184</v>
      </c>
      <c r="Q1898" t="s">
        <v>121</v>
      </c>
      <c r="R1898" t="str">
        <f>_xlfn.XLOOKUP(GERAL[[#This Row],[Dia]],U:U,V:V,"")</f>
        <v/>
      </c>
    </row>
    <row r="1899" spans="1:18" hidden="1" x14ac:dyDescent="0.3">
      <c r="A1899" t="str">
        <f>_xlfn.XLOOKUP(GERAL[[#This Row],[Dia]],U:U,T:T,"")</f>
        <v/>
      </c>
      <c r="B1899" s="1">
        <v>46185</v>
      </c>
      <c r="C1899" t="s">
        <v>26</v>
      </c>
      <c r="D1899" s="1">
        <v>46185</v>
      </c>
      <c r="Q1899" t="s">
        <v>121</v>
      </c>
      <c r="R1899" t="str">
        <f>_xlfn.XLOOKUP(GERAL[[#This Row],[Dia]],U:U,V:V,"")</f>
        <v/>
      </c>
    </row>
    <row r="1900" spans="1:18" hidden="1" x14ac:dyDescent="0.3">
      <c r="A1900" t="str">
        <f>_xlfn.XLOOKUP(GERAL[[#This Row],[Dia]],U:U,T:T,"")</f>
        <v/>
      </c>
      <c r="B1900" s="1">
        <v>46186</v>
      </c>
      <c r="C1900" t="s">
        <v>16</v>
      </c>
      <c r="D1900" s="1">
        <v>46186</v>
      </c>
      <c r="E1900" t="s">
        <v>17</v>
      </c>
      <c r="Q1900" t="s">
        <v>121</v>
      </c>
      <c r="R1900" t="str">
        <f>_xlfn.XLOOKUP(GERAL[[#This Row],[Dia]],U:U,V:V,"")</f>
        <v/>
      </c>
    </row>
    <row r="1901" spans="1:18" hidden="1" x14ac:dyDescent="0.3">
      <c r="A1901" t="str">
        <f>_xlfn.XLOOKUP(GERAL[[#This Row],[Dia]],U:U,T:T,"")</f>
        <v/>
      </c>
      <c r="B1901" s="1">
        <v>46187</v>
      </c>
      <c r="C1901" t="s">
        <v>21</v>
      </c>
      <c r="D1901" s="1">
        <v>46187</v>
      </c>
      <c r="E1901" t="s">
        <v>17</v>
      </c>
      <c r="Q1901" t="s">
        <v>121</v>
      </c>
      <c r="R1901" t="str">
        <f>_xlfn.XLOOKUP(GERAL[[#This Row],[Dia]],U:U,V:V,"")</f>
        <v/>
      </c>
    </row>
    <row r="1902" spans="1:18" hidden="1" x14ac:dyDescent="0.3">
      <c r="A1902" t="str">
        <f>_xlfn.XLOOKUP(GERAL[[#This Row],[Dia]],U:U,T:T,"")</f>
        <v/>
      </c>
      <c r="B1902" s="1">
        <v>46188</v>
      </c>
      <c r="C1902" t="s">
        <v>22</v>
      </c>
      <c r="D1902" s="1">
        <v>46188</v>
      </c>
      <c r="Q1902" t="s">
        <v>121</v>
      </c>
      <c r="R1902" t="str">
        <f>_xlfn.XLOOKUP(GERAL[[#This Row],[Dia]],U:U,V:V,"")</f>
        <v/>
      </c>
    </row>
    <row r="1903" spans="1:18" hidden="1" x14ac:dyDescent="0.3">
      <c r="A1903" t="str">
        <f>_xlfn.XLOOKUP(GERAL[[#This Row],[Dia]],U:U,T:T,"")</f>
        <v/>
      </c>
      <c r="B1903" s="1">
        <v>46189</v>
      </c>
      <c r="C1903" t="s">
        <v>23</v>
      </c>
      <c r="D1903" s="1">
        <v>46189</v>
      </c>
      <c r="Q1903" t="s">
        <v>121</v>
      </c>
      <c r="R1903" t="str">
        <f>_xlfn.XLOOKUP(GERAL[[#This Row],[Dia]],U:U,V:V,"")</f>
        <v/>
      </c>
    </row>
    <row r="1904" spans="1:18" hidden="1" x14ac:dyDescent="0.3">
      <c r="A1904" t="str">
        <f>_xlfn.XLOOKUP(GERAL[[#This Row],[Dia]],U:U,T:T,"")</f>
        <v/>
      </c>
      <c r="B1904" s="1">
        <v>46190</v>
      </c>
      <c r="C1904" t="s">
        <v>24</v>
      </c>
      <c r="D1904" s="1">
        <v>46190</v>
      </c>
      <c r="Q1904" t="s">
        <v>121</v>
      </c>
      <c r="R1904" t="str">
        <f>_xlfn.XLOOKUP(GERAL[[#This Row],[Dia]],U:U,V:V,"")</f>
        <v/>
      </c>
    </row>
    <row r="1905" spans="1:18" hidden="1" x14ac:dyDescent="0.3">
      <c r="A1905" t="str">
        <f>_xlfn.XLOOKUP(GERAL[[#This Row],[Dia]],U:U,T:T,"")</f>
        <v/>
      </c>
      <c r="B1905" s="1">
        <v>46191</v>
      </c>
      <c r="C1905" t="s">
        <v>25</v>
      </c>
      <c r="D1905" s="1">
        <v>46191</v>
      </c>
      <c r="Q1905" t="s">
        <v>121</v>
      </c>
      <c r="R1905" t="str">
        <f>_xlfn.XLOOKUP(GERAL[[#This Row],[Dia]],U:U,V:V,"")</f>
        <v/>
      </c>
    </row>
    <row r="1906" spans="1:18" hidden="1" x14ac:dyDescent="0.3">
      <c r="A1906" t="str">
        <f>_xlfn.XLOOKUP(GERAL[[#This Row],[Dia]],U:U,T:T,"")</f>
        <v/>
      </c>
      <c r="B1906" s="1">
        <v>46192</v>
      </c>
      <c r="C1906" t="s">
        <v>26</v>
      </c>
      <c r="D1906" s="1">
        <v>46192</v>
      </c>
      <c r="Q1906" t="s">
        <v>121</v>
      </c>
      <c r="R1906" t="str">
        <f>_xlfn.XLOOKUP(GERAL[[#This Row],[Dia]],U:U,V:V,"")</f>
        <v/>
      </c>
    </row>
    <row r="1907" spans="1:18" hidden="1" x14ac:dyDescent="0.3">
      <c r="A1907" t="str">
        <f>_xlfn.XLOOKUP(GERAL[[#This Row],[Dia]],U:U,T:T,"")</f>
        <v/>
      </c>
      <c r="B1907" s="1">
        <v>46193</v>
      </c>
      <c r="C1907" t="s">
        <v>16</v>
      </c>
      <c r="D1907" s="1">
        <v>46193</v>
      </c>
      <c r="E1907" t="s">
        <v>17</v>
      </c>
      <c r="Q1907" t="s">
        <v>121</v>
      </c>
      <c r="R1907" t="str">
        <f>_xlfn.XLOOKUP(GERAL[[#This Row],[Dia]],U:U,V:V,"")</f>
        <v/>
      </c>
    </row>
    <row r="1908" spans="1:18" hidden="1" x14ac:dyDescent="0.3">
      <c r="A1908" t="str">
        <f>_xlfn.XLOOKUP(GERAL[[#This Row],[Dia]],U:U,T:T,"")</f>
        <v/>
      </c>
      <c r="B1908" s="1">
        <v>46194</v>
      </c>
      <c r="C1908" t="s">
        <v>21</v>
      </c>
      <c r="D1908" s="1">
        <v>46194</v>
      </c>
      <c r="E1908" t="s">
        <v>17</v>
      </c>
      <c r="Q1908" t="s">
        <v>121</v>
      </c>
      <c r="R1908" t="str">
        <f>_xlfn.XLOOKUP(GERAL[[#This Row],[Dia]],U:U,V:V,"")</f>
        <v/>
      </c>
    </row>
    <row r="1909" spans="1:18" hidden="1" x14ac:dyDescent="0.3">
      <c r="A1909" t="str">
        <f>_xlfn.XLOOKUP(GERAL[[#This Row],[Dia]],U:U,T:T,"")</f>
        <v/>
      </c>
      <c r="B1909" s="1">
        <v>46195</v>
      </c>
      <c r="C1909" t="s">
        <v>22</v>
      </c>
      <c r="D1909" s="1">
        <v>46195</v>
      </c>
      <c r="Q1909" t="s">
        <v>121</v>
      </c>
      <c r="R1909" t="str">
        <f>_xlfn.XLOOKUP(GERAL[[#This Row],[Dia]],U:U,V:V,"")</f>
        <v/>
      </c>
    </row>
    <row r="1910" spans="1:18" hidden="1" x14ac:dyDescent="0.3">
      <c r="A1910" t="str">
        <f>_xlfn.XLOOKUP(GERAL[[#This Row],[Dia]],U:U,T:T,"")</f>
        <v/>
      </c>
      <c r="B1910" s="1">
        <v>46196</v>
      </c>
      <c r="C1910" t="s">
        <v>23</v>
      </c>
      <c r="D1910" s="1">
        <v>46196</v>
      </c>
      <c r="Q1910" t="s">
        <v>121</v>
      </c>
      <c r="R1910" t="str">
        <f>_xlfn.XLOOKUP(GERAL[[#This Row],[Dia]],U:U,V:V,"")</f>
        <v/>
      </c>
    </row>
    <row r="1911" spans="1:18" hidden="1" x14ac:dyDescent="0.3">
      <c r="A1911" t="str">
        <f>_xlfn.XLOOKUP(GERAL[[#This Row],[Dia]],U:U,T:T,"")</f>
        <v/>
      </c>
      <c r="B1911" s="1">
        <v>46197</v>
      </c>
      <c r="C1911" t="s">
        <v>24</v>
      </c>
      <c r="D1911" s="1">
        <v>46197</v>
      </c>
      <c r="Q1911" t="s">
        <v>121</v>
      </c>
      <c r="R1911" t="str">
        <f>_xlfn.XLOOKUP(GERAL[[#This Row],[Dia]],U:U,V:V,"")</f>
        <v/>
      </c>
    </row>
    <row r="1912" spans="1:18" hidden="1" x14ac:dyDescent="0.3">
      <c r="A1912" t="str">
        <f>_xlfn.XLOOKUP(GERAL[[#This Row],[Dia]],U:U,T:T,"")</f>
        <v/>
      </c>
      <c r="B1912" s="1">
        <v>46198</v>
      </c>
      <c r="C1912" t="s">
        <v>25</v>
      </c>
      <c r="D1912" s="1">
        <v>46198</v>
      </c>
      <c r="Q1912" t="s">
        <v>121</v>
      </c>
      <c r="R1912" t="str">
        <f>_xlfn.XLOOKUP(GERAL[[#This Row],[Dia]],U:U,V:V,"")</f>
        <v/>
      </c>
    </row>
    <row r="1913" spans="1:18" hidden="1" x14ac:dyDescent="0.3">
      <c r="A1913" t="str">
        <f>_xlfn.XLOOKUP(GERAL[[#This Row],[Dia]],U:U,T:T,"")</f>
        <v/>
      </c>
      <c r="B1913" s="1">
        <v>46199</v>
      </c>
      <c r="C1913" t="s">
        <v>26</v>
      </c>
      <c r="D1913" s="1">
        <v>46199</v>
      </c>
      <c r="Q1913" t="s">
        <v>121</v>
      </c>
      <c r="R1913" t="str">
        <f>_xlfn.XLOOKUP(GERAL[[#This Row],[Dia]],U:U,V:V,"")</f>
        <v/>
      </c>
    </row>
    <row r="1914" spans="1:18" hidden="1" x14ac:dyDescent="0.3">
      <c r="A1914" t="str">
        <f>_xlfn.XLOOKUP(GERAL[[#This Row],[Dia]],U:U,T:T,"")</f>
        <v/>
      </c>
      <c r="B1914" s="1">
        <v>46200</v>
      </c>
      <c r="C1914" t="s">
        <v>16</v>
      </c>
      <c r="D1914" s="1">
        <v>46200</v>
      </c>
      <c r="E1914" t="s">
        <v>17</v>
      </c>
      <c r="Q1914" t="s">
        <v>121</v>
      </c>
      <c r="R1914" t="str">
        <f>_xlfn.XLOOKUP(GERAL[[#This Row],[Dia]],U:U,V:V,"")</f>
        <v/>
      </c>
    </row>
    <row r="1915" spans="1:18" hidden="1" x14ac:dyDescent="0.3">
      <c r="A1915" t="str">
        <f>_xlfn.XLOOKUP(GERAL[[#This Row],[Dia]],U:U,T:T,"")</f>
        <v/>
      </c>
      <c r="B1915" s="1">
        <v>46201</v>
      </c>
      <c r="C1915" t="s">
        <v>21</v>
      </c>
      <c r="D1915" s="1">
        <v>46201</v>
      </c>
      <c r="E1915" t="s">
        <v>17</v>
      </c>
      <c r="Q1915" t="s">
        <v>121</v>
      </c>
      <c r="R1915" t="str">
        <f>_xlfn.XLOOKUP(GERAL[[#This Row],[Dia]],U:U,V:V,"")</f>
        <v/>
      </c>
    </row>
    <row r="1916" spans="1:18" hidden="1" x14ac:dyDescent="0.3">
      <c r="A1916" t="str">
        <f>_xlfn.XLOOKUP(GERAL[[#This Row],[Dia]],U:U,T:T,"")</f>
        <v/>
      </c>
      <c r="B1916" s="1">
        <v>46202</v>
      </c>
      <c r="C1916" t="s">
        <v>22</v>
      </c>
      <c r="D1916" s="1">
        <v>46202</v>
      </c>
      <c r="Q1916" t="s">
        <v>121</v>
      </c>
      <c r="R1916" t="str">
        <f>_xlfn.XLOOKUP(GERAL[[#This Row],[Dia]],U:U,V:V,"")</f>
        <v/>
      </c>
    </row>
    <row r="1917" spans="1:18" hidden="1" x14ac:dyDescent="0.3">
      <c r="A1917" t="str">
        <f>_xlfn.XLOOKUP(GERAL[[#This Row],[Dia]],U:U,T:T,"")</f>
        <v/>
      </c>
      <c r="B1917" s="1">
        <v>46203</v>
      </c>
      <c r="C1917" t="s">
        <v>23</v>
      </c>
      <c r="D1917" s="1">
        <v>46203</v>
      </c>
      <c r="Q1917" t="s">
        <v>121</v>
      </c>
      <c r="R1917" t="str">
        <f>_xlfn.XLOOKUP(GERAL[[#This Row],[Dia]],U:U,V:V,"")</f>
        <v/>
      </c>
    </row>
    <row r="1918" spans="1:18" hidden="1" x14ac:dyDescent="0.3">
      <c r="A1918" t="str">
        <f>_xlfn.XLOOKUP(GERAL[[#This Row],[Dia]],U:U,T:T,"")</f>
        <v/>
      </c>
      <c r="B1918" s="1">
        <v>46204</v>
      </c>
      <c r="C1918" t="s">
        <v>24</v>
      </c>
      <c r="D1918" s="1">
        <v>46204</v>
      </c>
      <c r="Q1918" t="s">
        <v>121</v>
      </c>
      <c r="R1918" t="str">
        <f>_xlfn.XLOOKUP(GERAL[[#This Row],[Dia]],U:U,V:V,"")</f>
        <v/>
      </c>
    </row>
    <row r="1919" spans="1:18" hidden="1" x14ac:dyDescent="0.3">
      <c r="A1919" t="str">
        <f>_xlfn.XLOOKUP(GERAL[[#This Row],[Dia]],U:U,T:T,"")</f>
        <v/>
      </c>
      <c r="B1919" s="1">
        <v>46205</v>
      </c>
      <c r="C1919" t="s">
        <v>25</v>
      </c>
      <c r="D1919" s="1">
        <v>46205</v>
      </c>
      <c r="Q1919" t="s">
        <v>121</v>
      </c>
      <c r="R1919" t="str">
        <f>_xlfn.XLOOKUP(GERAL[[#This Row],[Dia]],U:U,V:V,"")</f>
        <v/>
      </c>
    </row>
    <row r="1920" spans="1:18" hidden="1" x14ac:dyDescent="0.3">
      <c r="A1920" t="str">
        <f>_xlfn.XLOOKUP(GERAL[[#This Row],[Dia]],U:U,T:T,"")</f>
        <v/>
      </c>
      <c r="B1920" s="1">
        <v>46206</v>
      </c>
      <c r="C1920" t="s">
        <v>26</v>
      </c>
      <c r="D1920" s="1">
        <v>46206</v>
      </c>
      <c r="Q1920" t="s">
        <v>121</v>
      </c>
      <c r="R1920" t="str">
        <f>_xlfn.XLOOKUP(GERAL[[#This Row],[Dia]],U:U,V:V,"")</f>
        <v/>
      </c>
    </row>
    <row r="1921" spans="1:18" hidden="1" x14ac:dyDescent="0.3">
      <c r="A1921" t="str">
        <f>_xlfn.XLOOKUP(GERAL[[#This Row],[Dia]],U:U,T:T,"")</f>
        <v/>
      </c>
      <c r="B1921" s="1">
        <v>46207</v>
      </c>
      <c r="C1921" t="s">
        <v>16</v>
      </c>
      <c r="D1921" s="1">
        <v>46207</v>
      </c>
      <c r="E1921" t="s">
        <v>17</v>
      </c>
      <c r="Q1921" t="s">
        <v>121</v>
      </c>
      <c r="R1921" t="str">
        <f>_xlfn.XLOOKUP(GERAL[[#This Row],[Dia]],U:U,V:V,"")</f>
        <v/>
      </c>
    </row>
    <row r="1922" spans="1:18" hidden="1" x14ac:dyDescent="0.3">
      <c r="A1922" t="str">
        <f>_xlfn.XLOOKUP(GERAL[[#This Row],[Dia]],U:U,T:T,"")</f>
        <v/>
      </c>
      <c r="B1922" s="1">
        <v>46208</v>
      </c>
      <c r="C1922" t="s">
        <v>21</v>
      </c>
      <c r="D1922" s="1">
        <v>46208</v>
      </c>
      <c r="E1922" t="s">
        <v>17</v>
      </c>
      <c r="Q1922" t="s">
        <v>121</v>
      </c>
      <c r="R1922" t="str">
        <f>_xlfn.XLOOKUP(GERAL[[#This Row],[Dia]],U:U,V:V,"")</f>
        <v/>
      </c>
    </row>
    <row r="1923" spans="1:18" hidden="1" x14ac:dyDescent="0.3">
      <c r="A1923" t="str">
        <f>_xlfn.XLOOKUP(GERAL[[#This Row],[Dia]],U:U,T:T,"")</f>
        <v/>
      </c>
      <c r="B1923" s="1">
        <v>46209</v>
      </c>
      <c r="C1923" t="s">
        <v>22</v>
      </c>
      <c r="D1923" s="1">
        <v>46209</v>
      </c>
      <c r="Q1923" t="s">
        <v>121</v>
      </c>
      <c r="R1923" t="str">
        <f>_xlfn.XLOOKUP(GERAL[[#This Row],[Dia]],U:U,V:V,"")</f>
        <v/>
      </c>
    </row>
    <row r="1924" spans="1:18" hidden="1" x14ac:dyDescent="0.3">
      <c r="A1924" t="str">
        <f>_xlfn.XLOOKUP(GERAL[[#This Row],[Dia]],U:U,T:T,"")</f>
        <v/>
      </c>
      <c r="B1924" s="1">
        <v>46210</v>
      </c>
      <c r="C1924" t="s">
        <v>23</v>
      </c>
      <c r="D1924" s="1">
        <v>46210</v>
      </c>
      <c r="Q1924" t="s">
        <v>121</v>
      </c>
      <c r="R1924" t="str">
        <f>_xlfn.XLOOKUP(GERAL[[#This Row],[Dia]],U:U,V:V,"")</f>
        <v/>
      </c>
    </row>
    <row r="1925" spans="1:18" hidden="1" x14ac:dyDescent="0.3">
      <c r="A1925" t="str">
        <f>_xlfn.XLOOKUP(GERAL[[#This Row],[Dia]],U:U,T:T,"")</f>
        <v/>
      </c>
      <c r="B1925" s="1">
        <v>46211</v>
      </c>
      <c r="C1925" t="s">
        <v>24</v>
      </c>
      <c r="D1925" s="1">
        <v>46211</v>
      </c>
      <c r="Q1925" t="s">
        <v>121</v>
      </c>
      <c r="R1925" t="str">
        <f>_xlfn.XLOOKUP(GERAL[[#This Row],[Dia]],U:U,V:V,"")</f>
        <v/>
      </c>
    </row>
    <row r="1926" spans="1:18" hidden="1" x14ac:dyDescent="0.3">
      <c r="A1926" t="str">
        <f>_xlfn.XLOOKUP(GERAL[[#This Row],[Dia]],U:U,T:T,"")</f>
        <v/>
      </c>
      <c r="B1926" s="1">
        <v>46212</v>
      </c>
      <c r="C1926" t="s">
        <v>25</v>
      </c>
      <c r="D1926" s="1">
        <v>46212</v>
      </c>
      <c r="Q1926" t="s">
        <v>121</v>
      </c>
      <c r="R1926" t="str">
        <f>_xlfn.XLOOKUP(GERAL[[#This Row],[Dia]],U:U,V:V,"")</f>
        <v/>
      </c>
    </row>
    <row r="1927" spans="1:18" hidden="1" x14ac:dyDescent="0.3">
      <c r="A1927" t="str">
        <f>_xlfn.XLOOKUP(GERAL[[#This Row],[Dia]],U:U,T:T,"")</f>
        <v/>
      </c>
      <c r="B1927" s="1">
        <v>46213</v>
      </c>
      <c r="C1927" t="s">
        <v>26</v>
      </c>
      <c r="D1927" s="1">
        <v>46213</v>
      </c>
      <c r="Q1927" t="s">
        <v>121</v>
      </c>
      <c r="R1927" t="str">
        <f>_xlfn.XLOOKUP(GERAL[[#This Row],[Dia]],U:U,V:V,"")</f>
        <v/>
      </c>
    </row>
    <row r="1928" spans="1:18" hidden="1" x14ac:dyDescent="0.3">
      <c r="A1928" t="str">
        <f>_xlfn.XLOOKUP(GERAL[[#This Row],[Dia]],U:U,T:T,"")</f>
        <v/>
      </c>
      <c r="B1928" s="1">
        <v>46214</v>
      </c>
      <c r="C1928" t="s">
        <v>16</v>
      </c>
      <c r="D1928" s="1">
        <v>46214</v>
      </c>
      <c r="E1928" t="s">
        <v>17</v>
      </c>
      <c r="Q1928" t="s">
        <v>121</v>
      </c>
      <c r="R1928" t="str">
        <f>_xlfn.XLOOKUP(GERAL[[#This Row],[Dia]],U:U,V:V,"")</f>
        <v/>
      </c>
    </row>
    <row r="1929" spans="1:18" hidden="1" x14ac:dyDescent="0.3">
      <c r="A1929" t="str">
        <f>_xlfn.XLOOKUP(GERAL[[#This Row],[Dia]],U:U,T:T,"")</f>
        <v/>
      </c>
      <c r="B1929" s="1">
        <v>46215</v>
      </c>
      <c r="C1929" t="s">
        <v>21</v>
      </c>
      <c r="D1929" s="1">
        <v>46215</v>
      </c>
      <c r="E1929" t="s">
        <v>17</v>
      </c>
      <c r="Q1929" t="s">
        <v>121</v>
      </c>
      <c r="R1929" t="str">
        <f>_xlfn.XLOOKUP(GERAL[[#This Row],[Dia]],U:U,V:V,"")</f>
        <v/>
      </c>
    </row>
    <row r="1930" spans="1:18" hidden="1" x14ac:dyDescent="0.3">
      <c r="A1930" t="str">
        <f>_xlfn.XLOOKUP(GERAL[[#This Row],[Dia]],U:U,T:T,"")</f>
        <v/>
      </c>
      <c r="B1930" s="1">
        <v>46216</v>
      </c>
      <c r="C1930" t="s">
        <v>22</v>
      </c>
      <c r="D1930" s="1">
        <v>46216</v>
      </c>
      <c r="Q1930" t="s">
        <v>121</v>
      </c>
      <c r="R1930" t="str">
        <f>_xlfn.XLOOKUP(GERAL[[#This Row],[Dia]],U:U,V:V,"")</f>
        <v/>
      </c>
    </row>
    <row r="1931" spans="1:18" hidden="1" x14ac:dyDescent="0.3">
      <c r="A1931" t="str">
        <f>_xlfn.XLOOKUP(GERAL[[#This Row],[Dia]],U:U,T:T,"")</f>
        <v/>
      </c>
      <c r="B1931" s="1">
        <v>46217</v>
      </c>
      <c r="C1931" t="s">
        <v>23</v>
      </c>
      <c r="D1931" s="1">
        <v>46217</v>
      </c>
      <c r="Q1931" t="s">
        <v>121</v>
      </c>
      <c r="R1931" t="str">
        <f>_xlfn.XLOOKUP(GERAL[[#This Row],[Dia]],U:U,V:V,"")</f>
        <v/>
      </c>
    </row>
    <row r="1932" spans="1:18" hidden="1" x14ac:dyDescent="0.3">
      <c r="A1932" t="str">
        <f>_xlfn.XLOOKUP(GERAL[[#This Row],[Dia]],U:U,T:T,"")</f>
        <v/>
      </c>
      <c r="B1932" s="1">
        <v>46218</v>
      </c>
      <c r="C1932" t="s">
        <v>24</v>
      </c>
      <c r="D1932" s="1">
        <v>46218</v>
      </c>
      <c r="Q1932" t="s">
        <v>121</v>
      </c>
      <c r="R1932" t="str">
        <f>_xlfn.XLOOKUP(GERAL[[#This Row],[Dia]],U:U,V:V,"")</f>
        <v/>
      </c>
    </row>
    <row r="1933" spans="1:18" hidden="1" x14ac:dyDescent="0.3">
      <c r="A1933" t="str">
        <f>_xlfn.XLOOKUP(GERAL[[#This Row],[Dia]],U:U,T:T,"")</f>
        <v/>
      </c>
      <c r="B1933" s="1">
        <v>46219</v>
      </c>
      <c r="C1933" t="s">
        <v>25</v>
      </c>
      <c r="D1933" s="1">
        <v>46219</v>
      </c>
      <c r="Q1933" t="s">
        <v>121</v>
      </c>
      <c r="R1933" t="str">
        <f>_xlfn.XLOOKUP(GERAL[[#This Row],[Dia]],U:U,V:V,"")</f>
        <v/>
      </c>
    </row>
    <row r="1934" spans="1:18" hidden="1" x14ac:dyDescent="0.3">
      <c r="A1934" t="str">
        <f>_xlfn.XLOOKUP(GERAL[[#This Row],[Dia]],U:U,T:T,"")</f>
        <v/>
      </c>
      <c r="B1934" s="1">
        <v>46220</v>
      </c>
      <c r="C1934" t="s">
        <v>26</v>
      </c>
      <c r="D1934" s="1">
        <v>46220</v>
      </c>
      <c r="Q1934" t="s">
        <v>121</v>
      </c>
      <c r="R1934" t="str">
        <f>_xlfn.XLOOKUP(GERAL[[#This Row],[Dia]],U:U,V:V,"")</f>
        <v/>
      </c>
    </row>
    <row r="1935" spans="1:18" hidden="1" x14ac:dyDescent="0.3">
      <c r="A1935" t="str">
        <f>_xlfn.XLOOKUP(GERAL[[#This Row],[Dia]],U:U,T:T,"")</f>
        <v/>
      </c>
      <c r="B1935" s="1">
        <v>46221</v>
      </c>
      <c r="C1935" t="s">
        <v>16</v>
      </c>
      <c r="D1935" s="1">
        <v>46221</v>
      </c>
      <c r="E1935" t="s">
        <v>17</v>
      </c>
      <c r="Q1935" t="s">
        <v>121</v>
      </c>
      <c r="R1935" t="str">
        <f>_xlfn.XLOOKUP(GERAL[[#This Row],[Dia]],U:U,V:V,"")</f>
        <v/>
      </c>
    </row>
    <row r="1936" spans="1:18" hidden="1" x14ac:dyDescent="0.3">
      <c r="A1936" t="str">
        <f>_xlfn.XLOOKUP(GERAL[[#This Row],[Dia]],U:U,T:T,"")</f>
        <v/>
      </c>
      <c r="B1936" s="1">
        <v>46222</v>
      </c>
      <c r="C1936" t="s">
        <v>21</v>
      </c>
      <c r="D1936" s="1">
        <v>46222</v>
      </c>
      <c r="E1936" t="s">
        <v>17</v>
      </c>
      <c r="Q1936" t="s">
        <v>121</v>
      </c>
      <c r="R1936" t="str">
        <f>_xlfn.XLOOKUP(GERAL[[#This Row],[Dia]],U:U,V:V,"")</f>
        <v/>
      </c>
    </row>
    <row r="1937" spans="1:18" hidden="1" x14ac:dyDescent="0.3">
      <c r="A1937" t="str">
        <f>_xlfn.XLOOKUP(GERAL[[#This Row],[Dia]],U:U,T:T,"")</f>
        <v/>
      </c>
      <c r="B1937" s="1">
        <v>46223</v>
      </c>
      <c r="C1937" t="s">
        <v>22</v>
      </c>
      <c r="D1937" s="1">
        <v>46223</v>
      </c>
      <c r="Q1937" t="s">
        <v>121</v>
      </c>
      <c r="R1937" t="str">
        <f>_xlfn.XLOOKUP(GERAL[[#This Row],[Dia]],U:U,V:V,"")</f>
        <v/>
      </c>
    </row>
    <row r="1938" spans="1:18" hidden="1" x14ac:dyDescent="0.3">
      <c r="A1938" t="str">
        <f>_xlfn.XLOOKUP(GERAL[[#This Row],[Dia]],U:U,T:T,"")</f>
        <v/>
      </c>
      <c r="B1938" s="1">
        <v>46224</v>
      </c>
      <c r="C1938" t="s">
        <v>23</v>
      </c>
      <c r="D1938" s="1">
        <v>46224</v>
      </c>
      <c r="Q1938" t="s">
        <v>121</v>
      </c>
      <c r="R1938" t="str">
        <f>_xlfn.XLOOKUP(GERAL[[#This Row],[Dia]],U:U,V:V,"")</f>
        <v/>
      </c>
    </row>
    <row r="1939" spans="1:18" hidden="1" x14ac:dyDescent="0.3">
      <c r="A1939" t="str">
        <f>_xlfn.XLOOKUP(GERAL[[#This Row],[Dia]],U:U,T:T,"")</f>
        <v/>
      </c>
      <c r="B1939" s="1">
        <v>46225</v>
      </c>
      <c r="C1939" t="s">
        <v>24</v>
      </c>
      <c r="D1939" s="1">
        <v>46225</v>
      </c>
      <c r="Q1939" t="s">
        <v>121</v>
      </c>
      <c r="R1939" t="str">
        <f>_xlfn.XLOOKUP(GERAL[[#This Row],[Dia]],U:U,V:V,"")</f>
        <v/>
      </c>
    </row>
    <row r="1940" spans="1:18" hidden="1" x14ac:dyDescent="0.3">
      <c r="A1940" t="str">
        <f>_xlfn.XLOOKUP(GERAL[[#This Row],[Dia]],U:U,T:T,"")</f>
        <v/>
      </c>
      <c r="B1940" s="1">
        <v>46226</v>
      </c>
      <c r="C1940" t="s">
        <v>25</v>
      </c>
      <c r="D1940" s="1">
        <v>46226</v>
      </c>
      <c r="Q1940" t="s">
        <v>121</v>
      </c>
      <c r="R1940" t="str">
        <f>_xlfn.XLOOKUP(GERAL[[#This Row],[Dia]],U:U,V:V,"")</f>
        <v/>
      </c>
    </row>
    <row r="1941" spans="1:18" hidden="1" x14ac:dyDescent="0.3">
      <c r="A1941" t="str">
        <f>_xlfn.XLOOKUP(GERAL[[#This Row],[Dia]],U:U,T:T,"")</f>
        <v/>
      </c>
      <c r="B1941" s="1">
        <v>46227</v>
      </c>
      <c r="C1941" t="s">
        <v>26</v>
      </c>
      <c r="D1941" s="1">
        <v>46227</v>
      </c>
      <c r="Q1941" t="s">
        <v>121</v>
      </c>
      <c r="R1941" t="str">
        <f>_xlfn.XLOOKUP(GERAL[[#This Row],[Dia]],U:U,V:V,"")</f>
        <v/>
      </c>
    </row>
    <row r="1942" spans="1:18" hidden="1" x14ac:dyDescent="0.3">
      <c r="A1942" t="str">
        <f>_xlfn.XLOOKUP(GERAL[[#This Row],[Dia]],U:U,T:T,"")</f>
        <v/>
      </c>
      <c r="B1942" s="1">
        <v>46228</v>
      </c>
      <c r="C1942" t="s">
        <v>16</v>
      </c>
      <c r="D1942" s="1">
        <v>46228</v>
      </c>
      <c r="E1942" t="s">
        <v>17</v>
      </c>
      <c r="Q1942" t="s">
        <v>121</v>
      </c>
      <c r="R1942" t="str">
        <f>_xlfn.XLOOKUP(GERAL[[#This Row],[Dia]],U:U,V:V,"")</f>
        <v/>
      </c>
    </row>
    <row r="1943" spans="1:18" hidden="1" x14ac:dyDescent="0.3">
      <c r="A1943" t="str">
        <f>_xlfn.XLOOKUP(GERAL[[#This Row],[Dia]],U:U,T:T,"")</f>
        <v/>
      </c>
      <c r="B1943" s="1">
        <v>46229</v>
      </c>
      <c r="C1943" t="s">
        <v>21</v>
      </c>
      <c r="D1943" s="1">
        <v>46229</v>
      </c>
      <c r="E1943" t="s">
        <v>17</v>
      </c>
      <c r="Q1943" t="s">
        <v>121</v>
      </c>
      <c r="R1943" t="str">
        <f>_xlfn.XLOOKUP(GERAL[[#This Row],[Dia]],U:U,V:V,"")</f>
        <v/>
      </c>
    </row>
    <row r="1944" spans="1:18" hidden="1" x14ac:dyDescent="0.3">
      <c r="A1944" t="str">
        <f>_xlfn.XLOOKUP(GERAL[[#This Row],[Dia]],U:U,T:T,"")</f>
        <v/>
      </c>
      <c r="B1944" s="1">
        <v>46230</v>
      </c>
      <c r="C1944" t="s">
        <v>22</v>
      </c>
      <c r="D1944" s="1">
        <v>46230</v>
      </c>
      <c r="Q1944" t="s">
        <v>121</v>
      </c>
      <c r="R1944" t="str">
        <f>_xlfn.XLOOKUP(GERAL[[#This Row],[Dia]],U:U,V:V,"")</f>
        <v/>
      </c>
    </row>
    <row r="1945" spans="1:18" hidden="1" x14ac:dyDescent="0.3">
      <c r="A1945" t="str">
        <f>_xlfn.XLOOKUP(GERAL[[#This Row],[Dia]],U:U,T:T,"")</f>
        <v/>
      </c>
      <c r="B1945" s="1">
        <v>46231</v>
      </c>
      <c r="C1945" t="s">
        <v>23</v>
      </c>
      <c r="D1945" s="1">
        <v>46231</v>
      </c>
      <c r="Q1945" t="s">
        <v>121</v>
      </c>
      <c r="R1945" t="str">
        <f>_xlfn.XLOOKUP(GERAL[[#This Row],[Dia]],U:U,V:V,"")</f>
        <v/>
      </c>
    </row>
    <row r="1946" spans="1:18" hidden="1" x14ac:dyDescent="0.3">
      <c r="A1946" t="str">
        <f>_xlfn.XLOOKUP(GERAL[[#This Row],[Dia]],U:U,T:T,"")</f>
        <v/>
      </c>
      <c r="B1946" s="1">
        <v>46232</v>
      </c>
      <c r="C1946" t="s">
        <v>24</v>
      </c>
      <c r="D1946" s="1">
        <v>46232</v>
      </c>
      <c r="Q1946" t="s">
        <v>121</v>
      </c>
      <c r="R1946" t="str">
        <f>_xlfn.XLOOKUP(GERAL[[#This Row],[Dia]],U:U,V:V,"")</f>
        <v/>
      </c>
    </row>
    <row r="1947" spans="1:18" hidden="1" x14ac:dyDescent="0.3">
      <c r="A1947" t="str">
        <f>_xlfn.XLOOKUP(GERAL[[#This Row],[Dia]],U:U,T:T,"")</f>
        <v/>
      </c>
      <c r="B1947" s="1">
        <v>46233</v>
      </c>
      <c r="C1947" t="s">
        <v>25</v>
      </c>
      <c r="D1947" s="1">
        <v>46233</v>
      </c>
      <c r="Q1947" t="s">
        <v>121</v>
      </c>
      <c r="R1947" t="str">
        <f>_xlfn.XLOOKUP(GERAL[[#This Row],[Dia]],U:U,V:V,"")</f>
        <v/>
      </c>
    </row>
    <row r="1948" spans="1:18" hidden="1" x14ac:dyDescent="0.3">
      <c r="A1948" t="str">
        <f>_xlfn.XLOOKUP(GERAL[[#This Row],[Dia]],U:U,T:T,"")</f>
        <v/>
      </c>
      <c r="B1948" s="1">
        <v>46234</v>
      </c>
      <c r="C1948" t="s">
        <v>26</v>
      </c>
      <c r="D1948" s="1">
        <v>46234</v>
      </c>
      <c r="Q1948" t="s">
        <v>121</v>
      </c>
      <c r="R1948" t="str">
        <f>_xlfn.XLOOKUP(GERAL[[#This Row],[Dia]],U:U,V:V,"")</f>
        <v/>
      </c>
    </row>
    <row r="1949" spans="1:18" hidden="1" x14ac:dyDescent="0.3">
      <c r="A1949" t="str">
        <f>_xlfn.XLOOKUP(GERAL[[#This Row],[Dia]],U:U,T:T,"")</f>
        <v/>
      </c>
      <c r="B1949" s="1">
        <v>46235</v>
      </c>
      <c r="C1949" t="s">
        <v>16</v>
      </c>
      <c r="D1949" s="1">
        <v>46235</v>
      </c>
      <c r="E1949" t="s">
        <v>17</v>
      </c>
      <c r="Q1949" t="s">
        <v>121</v>
      </c>
      <c r="R1949" t="str">
        <f>_xlfn.XLOOKUP(GERAL[[#This Row],[Dia]],U:U,V:V,"")</f>
        <v/>
      </c>
    </row>
    <row r="1950" spans="1:18" hidden="1" x14ac:dyDescent="0.3">
      <c r="A1950" t="str">
        <f>_xlfn.XLOOKUP(GERAL[[#This Row],[Dia]],U:U,T:T,"")</f>
        <v/>
      </c>
      <c r="B1950" s="1">
        <v>46236</v>
      </c>
      <c r="C1950" t="s">
        <v>21</v>
      </c>
      <c r="D1950" s="1">
        <v>46236</v>
      </c>
      <c r="E1950" t="s">
        <v>17</v>
      </c>
      <c r="Q1950" t="s">
        <v>121</v>
      </c>
      <c r="R1950" t="str">
        <f>_xlfn.XLOOKUP(GERAL[[#This Row],[Dia]],U:U,V:V,"")</f>
        <v/>
      </c>
    </row>
    <row r="1951" spans="1:18" hidden="1" x14ac:dyDescent="0.3">
      <c r="A1951" t="str">
        <f>_xlfn.XLOOKUP(GERAL[[#This Row],[Dia]],U:U,T:T,"")</f>
        <v/>
      </c>
      <c r="B1951" s="1">
        <v>46237</v>
      </c>
      <c r="C1951" t="s">
        <v>22</v>
      </c>
      <c r="D1951" s="1">
        <v>46237</v>
      </c>
      <c r="Q1951" t="s">
        <v>121</v>
      </c>
      <c r="R1951" t="str">
        <f>_xlfn.XLOOKUP(GERAL[[#This Row],[Dia]],U:U,V:V,"")</f>
        <v/>
      </c>
    </row>
    <row r="1952" spans="1:18" hidden="1" x14ac:dyDescent="0.3">
      <c r="A1952" t="str">
        <f>_xlfn.XLOOKUP(GERAL[[#This Row],[Dia]],U:U,T:T,"")</f>
        <v/>
      </c>
      <c r="B1952" s="1">
        <v>46238</v>
      </c>
      <c r="C1952" t="s">
        <v>23</v>
      </c>
      <c r="D1952" s="1">
        <v>46238</v>
      </c>
      <c r="Q1952" t="s">
        <v>121</v>
      </c>
      <c r="R1952" t="str">
        <f>_xlfn.XLOOKUP(GERAL[[#This Row],[Dia]],U:U,V:V,"")</f>
        <v/>
      </c>
    </row>
    <row r="1953" spans="1:18" hidden="1" x14ac:dyDescent="0.3">
      <c r="A1953" t="str">
        <f>_xlfn.XLOOKUP(GERAL[[#This Row],[Dia]],U:U,T:T,"")</f>
        <v/>
      </c>
      <c r="B1953" s="1">
        <v>46239</v>
      </c>
      <c r="C1953" t="s">
        <v>24</v>
      </c>
      <c r="D1953" s="1">
        <v>46239</v>
      </c>
      <c r="Q1953" t="s">
        <v>121</v>
      </c>
      <c r="R1953" t="str">
        <f>_xlfn.XLOOKUP(GERAL[[#This Row],[Dia]],U:U,V:V,"")</f>
        <v/>
      </c>
    </row>
    <row r="1954" spans="1:18" hidden="1" x14ac:dyDescent="0.3">
      <c r="A1954" t="str">
        <f>_xlfn.XLOOKUP(GERAL[[#This Row],[Dia]],U:U,T:T,"")</f>
        <v/>
      </c>
      <c r="B1954" s="1">
        <v>46240</v>
      </c>
      <c r="C1954" t="s">
        <v>25</v>
      </c>
      <c r="D1954" s="1">
        <v>46240</v>
      </c>
      <c r="Q1954" t="s">
        <v>121</v>
      </c>
      <c r="R1954" t="str">
        <f>_xlfn.XLOOKUP(GERAL[[#This Row],[Dia]],U:U,V:V,"")</f>
        <v/>
      </c>
    </row>
    <row r="1955" spans="1:18" hidden="1" x14ac:dyDescent="0.3">
      <c r="A1955" t="str">
        <f>_xlfn.XLOOKUP(GERAL[[#This Row],[Dia]],U:U,T:T,"")</f>
        <v/>
      </c>
      <c r="B1955" s="1">
        <v>46241</v>
      </c>
      <c r="C1955" t="s">
        <v>26</v>
      </c>
      <c r="D1955" s="1">
        <v>46241</v>
      </c>
      <c r="Q1955" t="s">
        <v>121</v>
      </c>
      <c r="R1955" t="str">
        <f>_xlfn.XLOOKUP(GERAL[[#This Row],[Dia]],U:U,V:V,"")</f>
        <v/>
      </c>
    </row>
    <row r="1956" spans="1:18" hidden="1" x14ac:dyDescent="0.3">
      <c r="A1956" t="str">
        <f>_xlfn.XLOOKUP(GERAL[[#This Row],[Dia]],U:U,T:T,"")</f>
        <v/>
      </c>
      <c r="B1956" s="1">
        <v>46242</v>
      </c>
      <c r="C1956" t="s">
        <v>16</v>
      </c>
      <c r="D1956" s="1">
        <v>46242</v>
      </c>
      <c r="E1956" t="s">
        <v>17</v>
      </c>
      <c r="Q1956" t="s">
        <v>121</v>
      </c>
      <c r="R1956" t="str">
        <f>_xlfn.XLOOKUP(GERAL[[#This Row],[Dia]],U:U,V:V,"")</f>
        <v/>
      </c>
    </row>
    <row r="1957" spans="1:18" hidden="1" x14ac:dyDescent="0.3">
      <c r="A1957" t="str">
        <f>_xlfn.XLOOKUP(GERAL[[#This Row],[Dia]],U:U,T:T,"")</f>
        <v/>
      </c>
      <c r="B1957" s="1">
        <v>46243</v>
      </c>
      <c r="C1957" t="s">
        <v>21</v>
      </c>
      <c r="D1957" s="1">
        <v>46243</v>
      </c>
      <c r="E1957" t="s">
        <v>17</v>
      </c>
      <c r="Q1957" t="s">
        <v>121</v>
      </c>
      <c r="R1957" t="str">
        <f>_xlfn.XLOOKUP(GERAL[[#This Row],[Dia]],U:U,V:V,"")</f>
        <v/>
      </c>
    </row>
    <row r="1958" spans="1:18" hidden="1" x14ac:dyDescent="0.3">
      <c r="A1958" t="str">
        <f>_xlfn.XLOOKUP(GERAL[[#This Row],[Dia]],U:U,T:T,"")</f>
        <v/>
      </c>
      <c r="B1958" s="1">
        <v>46244</v>
      </c>
      <c r="C1958" t="s">
        <v>22</v>
      </c>
      <c r="D1958" s="1">
        <v>46244</v>
      </c>
      <c r="Q1958" t="s">
        <v>121</v>
      </c>
      <c r="R1958" t="str">
        <f>_xlfn.XLOOKUP(GERAL[[#This Row],[Dia]],U:U,V:V,"")</f>
        <v/>
      </c>
    </row>
    <row r="1959" spans="1:18" hidden="1" x14ac:dyDescent="0.3">
      <c r="A1959" t="str">
        <f>_xlfn.XLOOKUP(GERAL[[#This Row],[Dia]],U:U,T:T,"")</f>
        <v/>
      </c>
      <c r="B1959" s="1">
        <v>46245</v>
      </c>
      <c r="C1959" t="s">
        <v>23</v>
      </c>
      <c r="D1959" s="1">
        <v>46245</v>
      </c>
      <c r="Q1959" t="s">
        <v>121</v>
      </c>
      <c r="R1959" t="str">
        <f>_xlfn.XLOOKUP(GERAL[[#This Row],[Dia]],U:U,V:V,"")</f>
        <v/>
      </c>
    </row>
    <row r="1960" spans="1:18" hidden="1" x14ac:dyDescent="0.3">
      <c r="A1960" t="str">
        <f>_xlfn.XLOOKUP(GERAL[[#This Row],[Dia]],U:U,T:T,"")</f>
        <v/>
      </c>
      <c r="B1960" s="1">
        <v>46246</v>
      </c>
      <c r="C1960" t="s">
        <v>24</v>
      </c>
      <c r="D1960" s="1">
        <v>46246</v>
      </c>
      <c r="Q1960" t="s">
        <v>121</v>
      </c>
      <c r="R1960" t="str">
        <f>_xlfn.XLOOKUP(GERAL[[#This Row],[Dia]],U:U,V:V,"")</f>
        <v/>
      </c>
    </row>
    <row r="1961" spans="1:18" hidden="1" x14ac:dyDescent="0.3">
      <c r="A1961" t="str">
        <f>_xlfn.XLOOKUP(GERAL[[#This Row],[Dia]],U:U,T:T,"")</f>
        <v/>
      </c>
      <c r="B1961" s="1">
        <v>46247</v>
      </c>
      <c r="C1961" t="s">
        <v>25</v>
      </c>
      <c r="D1961" s="1">
        <v>46247</v>
      </c>
      <c r="Q1961" t="s">
        <v>121</v>
      </c>
      <c r="R1961" t="str">
        <f>_xlfn.XLOOKUP(GERAL[[#This Row],[Dia]],U:U,V:V,"")</f>
        <v/>
      </c>
    </row>
    <row r="1962" spans="1:18" hidden="1" x14ac:dyDescent="0.3">
      <c r="A1962" t="str">
        <f>_xlfn.XLOOKUP(GERAL[[#This Row],[Dia]],U:U,T:T,"")</f>
        <v/>
      </c>
      <c r="B1962" s="1">
        <v>46248</v>
      </c>
      <c r="C1962" t="s">
        <v>26</v>
      </c>
      <c r="D1962" s="1">
        <v>46248</v>
      </c>
      <c r="Q1962" t="s">
        <v>121</v>
      </c>
      <c r="R1962" t="str">
        <f>_xlfn.XLOOKUP(GERAL[[#This Row],[Dia]],U:U,V:V,"")</f>
        <v/>
      </c>
    </row>
    <row r="1963" spans="1:18" hidden="1" x14ac:dyDescent="0.3">
      <c r="A1963" t="str">
        <f>_xlfn.XLOOKUP(GERAL[[#This Row],[Dia]],U:U,T:T,"")</f>
        <v/>
      </c>
      <c r="B1963" s="1">
        <v>46249</v>
      </c>
      <c r="C1963" t="s">
        <v>16</v>
      </c>
      <c r="D1963" s="1">
        <v>46249</v>
      </c>
      <c r="E1963" t="s">
        <v>17</v>
      </c>
      <c r="Q1963" t="s">
        <v>121</v>
      </c>
      <c r="R1963" t="str">
        <f>_xlfn.XLOOKUP(GERAL[[#This Row],[Dia]],U:U,V:V,"")</f>
        <v/>
      </c>
    </row>
    <row r="1964" spans="1:18" hidden="1" x14ac:dyDescent="0.3">
      <c r="A1964" t="str">
        <f>_xlfn.XLOOKUP(GERAL[[#This Row],[Dia]],U:U,T:T,"")</f>
        <v/>
      </c>
      <c r="B1964" s="1">
        <v>46250</v>
      </c>
      <c r="C1964" t="s">
        <v>21</v>
      </c>
      <c r="D1964" s="1">
        <v>46250</v>
      </c>
      <c r="E1964" t="s">
        <v>17</v>
      </c>
      <c r="Q1964" t="s">
        <v>121</v>
      </c>
      <c r="R1964" t="str">
        <f>_xlfn.XLOOKUP(GERAL[[#This Row],[Dia]],U:U,V:V,"")</f>
        <v/>
      </c>
    </row>
    <row r="1965" spans="1:18" hidden="1" x14ac:dyDescent="0.3">
      <c r="A1965" t="str">
        <f>_xlfn.XLOOKUP(GERAL[[#This Row],[Dia]],U:U,T:T,"")</f>
        <v/>
      </c>
      <c r="B1965" s="1">
        <v>46251</v>
      </c>
      <c r="C1965" t="s">
        <v>22</v>
      </c>
      <c r="D1965" s="1">
        <v>46251</v>
      </c>
      <c r="Q1965" t="s">
        <v>121</v>
      </c>
      <c r="R1965" t="str">
        <f>_xlfn.XLOOKUP(GERAL[[#This Row],[Dia]],U:U,V:V,"")</f>
        <v/>
      </c>
    </row>
    <row r="1966" spans="1:18" hidden="1" x14ac:dyDescent="0.3">
      <c r="A1966" t="str">
        <f>_xlfn.XLOOKUP(GERAL[[#This Row],[Dia]],U:U,T:T,"")</f>
        <v/>
      </c>
      <c r="B1966" s="1">
        <v>46252</v>
      </c>
      <c r="C1966" t="s">
        <v>23</v>
      </c>
      <c r="D1966" s="1">
        <v>46252</v>
      </c>
      <c r="Q1966" t="s">
        <v>121</v>
      </c>
      <c r="R1966" t="str">
        <f>_xlfn.XLOOKUP(GERAL[[#This Row],[Dia]],U:U,V:V,"")</f>
        <v/>
      </c>
    </row>
    <row r="1967" spans="1:18" hidden="1" x14ac:dyDescent="0.3">
      <c r="A1967" t="str">
        <f>_xlfn.XLOOKUP(GERAL[[#This Row],[Dia]],U:U,T:T,"")</f>
        <v/>
      </c>
      <c r="B1967" s="1">
        <v>46253</v>
      </c>
      <c r="C1967" t="s">
        <v>24</v>
      </c>
      <c r="D1967" s="1">
        <v>46253</v>
      </c>
      <c r="Q1967" t="s">
        <v>121</v>
      </c>
      <c r="R1967" t="str">
        <f>_xlfn.XLOOKUP(GERAL[[#This Row],[Dia]],U:U,V:V,"")</f>
        <v/>
      </c>
    </row>
    <row r="1968" spans="1:18" hidden="1" x14ac:dyDescent="0.3">
      <c r="A1968" t="str">
        <f>_xlfn.XLOOKUP(GERAL[[#This Row],[Dia]],U:U,T:T,"")</f>
        <v/>
      </c>
      <c r="B1968" s="1">
        <v>46254</v>
      </c>
      <c r="C1968" t="s">
        <v>25</v>
      </c>
      <c r="D1968" s="1">
        <v>46254</v>
      </c>
      <c r="Q1968" t="s">
        <v>121</v>
      </c>
      <c r="R1968" t="str">
        <f>_xlfn.XLOOKUP(GERAL[[#This Row],[Dia]],U:U,V:V,"")</f>
        <v/>
      </c>
    </row>
    <row r="1969" spans="1:18" hidden="1" x14ac:dyDescent="0.3">
      <c r="A1969" t="str">
        <f>_xlfn.XLOOKUP(GERAL[[#This Row],[Dia]],U:U,T:T,"")</f>
        <v/>
      </c>
      <c r="B1969" s="1">
        <v>46255</v>
      </c>
      <c r="C1969" t="s">
        <v>26</v>
      </c>
      <c r="D1969" s="1">
        <v>46255</v>
      </c>
      <c r="Q1969" t="s">
        <v>121</v>
      </c>
      <c r="R1969" t="str">
        <f>_xlfn.XLOOKUP(GERAL[[#This Row],[Dia]],U:U,V:V,"")</f>
        <v/>
      </c>
    </row>
    <row r="1970" spans="1:18" hidden="1" x14ac:dyDescent="0.3">
      <c r="A1970" t="str">
        <f>_xlfn.XLOOKUP(GERAL[[#This Row],[Dia]],U:U,T:T,"")</f>
        <v/>
      </c>
      <c r="B1970" s="1">
        <v>46256</v>
      </c>
      <c r="C1970" t="s">
        <v>16</v>
      </c>
      <c r="D1970" s="1">
        <v>46256</v>
      </c>
      <c r="E1970" t="s">
        <v>17</v>
      </c>
      <c r="Q1970" t="s">
        <v>121</v>
      </c>
      <c r="R1970" t="str">
        <f>_xlfn.XLOOKUP(GERAL[[#This Row],[Dia]],U:U,V:V,"")</f>
        <v/>
      </c>
    </row>
    <row r="1971" spans="1:18" hidden="1" x14ac:dyDescent="0.3">
      <c r="A1971" t="str">
        <f>_xlfn.XLOOKUP(GERAL[[#This Row],[Dia]],U:U,T:T,"")</f>
        <v/>
      </c>
      <c r="B1971" s="1">
        <v>46257</v>
      </c>
      <c r="C1971" t="s">
        <v>21</v>
      </c>
      <c r="D1971" s="1">
        <v>46257</v>
      </c>
      <c r="E1971" t="s">
        <v>17</v>
      </c>
      <c r="Q1971" t="s">
        <v>121</v>
      </c>
      <c r="R1971" t="str">
        <f>_xlfn.XLOOKUP(GERAL[[#This Row],[Dia]],U:U,V:V,"")</f>
        <v/>
      </c>
    </row>
    <row r="1972" spans="1:18" hidden="1" x14ac:dyDescent="0.3">
      <c r="A1972" t="str">
        <f>_xlfn.XLOOKUP(GERAL[[#This Row],[Dia]],U:U,T:T,"")</f>
        <v/>
      </c>
      <c r="B1972" s="1">
        <v>46258</v>
      </c>
      <c r="C1972" t="s">
        <v>22</v>
      </c>
      <c r="D1972" s="1">
        <v>46258</v>
      </c>
      <c r="Q1972" t="s">
        <v>121</v>
      </c>
      <c r="R1972" t="str">
        <f>_xlfn.XLOOKUP(GERAL[[#This Row],[Dia]],U:U,V:V,"")</f>
        <v/>
      </c>
    </row>
    <row r="1973" spans="1:18" hidden="1" x14ac:dyDescent="0.3">
      <c r="A1973" t="str">
        <f>_xlfn.XLOOKUP(GERAL[[#This Row],[Dia]],U:U,T:T,"")</f>
        <v/>
      </c>
      <c r="B1973" s="1">
        <v>46259</v>
      </c>
      <c r="C1973" t="s">
        <v>23</v>
      </c>
      <c r="D1973" s="1">
        <v>46259</v>
      </c>
      <c r="Q1973" t="s">
        <v>121</v>
      </c>
      <c r="R1973" t="str">
        <f>_xlfn.XLOOKUP(GERAL[[#This Row],[Dia]],U:U,V:V,"")</f>
        <v/>
      </c>
    </row>
    <row r="1974" spans="1:18" hidden="1" x14ac:dyDescent="0.3">
      <c r="A1974" t="str">
        <f>_xlfn.XLOOKUP(GERAL[[#This Row],[Dia]],U:U,T:T,"")</f>
        <v/>
      </c>
      <c r="B1974" s="1">
        <v>46260</v>
      </c>
      <c r="C1974" t="s">
        <v>24</v>
      </c>
      <c r="D1974" s="1">
        <v>46260</v>
      </c>
      <c r="Q1974" t="s">
        <v>121</v>
      </c>
      <c r="R1974" t="str">
        <f>_xlfn.XLOOKUP(GERAL[[#This Row],[Dia]],U:U,V:V,"")</f>
        <v/>
      </c>
    </row>
    <row r="1975" spans="1:18" hidden="1" x14ac:dyDescent="0.3">
      <c r="A1975" t="str">
        <f>_xlfn.XLOOKUP(GERAL[[#This Row],[Dia]],U:U,T:T,"")</f>
        <v/>
      </c>
      <c r="B1975" s="1">
        <v>46261</v>
      </c>
      <c r="C1975" t="s">
        <v>25</v>
      </c>
      <c r="D1975" s="1">
        <v>46261</v>
      </c>
      <c r="Q1975" t="s">
        <v>121</v>
      </c>
      <c r="R1975" t="str">
        <f>_xlfn.XLOOKUP(GERAL[[#This Row],[Dia]],U:U,V:V,"")</f>
        <v/>
      </c>
    </row>
    <row r="1976" spans="1:18" hidden="1" x14ac:dyDescent="0.3">
      <c r="A1976" t="str">
        <f>_xlfn.XLOOKUP(GERAL[[#This Row],[Dia]],U:U,T:T,"")</f>
        <v/>
      </c>
      <c r="B1976" s="1">
        <v>46262</v>
      </c>
      <c r="C1976" t="s">
        <v>26</v>
      </c>
      <c r="D1976" s="1">
        <v>46262</v>
      </c>
      <c r="Q1976" t="s">
        <v>121</v>
      </c>
      <c r="R1976" t="str">
        <f>_xlfn.XLOOKUP(GERAL[[#This Row],[Dia]],U:U,V:V,"")</f>
        <v/>
      </c>
    </row>
    <row r="1977" spans="1:18" hidden="1" x14ac:dyDescent="0.3">
      <c r="A1977" t="str">
        <f>_xlfn.XLOOKUP(GERAL[[#This Row],[Dia]],U:U,T:T,"")</f>
        <v/>
      </c>
      <c r="B1977" s="1">
        <v>46263</v>
      </c>
      <c r="C1977" t="s">
        <v>16</v>
      </c>
      <c r="D1977" s="1">
        <v>46263</v>
      </c>
      <c r="E1977" t="s">
        <v>17</v>
      </c>
      <c r="Q1977" t="s">
        <v>121</v>
      </c>
      <c r="R1977" t="str">
        <f>_xlfn.XLOOKUP(GERAL[[#This Row],[Dia]],U:U,V:V,"")</f>
        <v/>
      </c>
    </row>
    <row r="1978" spans="1:18" hidden="1" x14ac:dyDescent="0.3">
      <c r="A1978" t="str">
        <f>_xlfn.XLOOKUP(GERAL[[#This Row],[Dia]],U:U,T:T,"")</f>
        <v/>
      </c>
      <c r="B1978" s="1">
        <v>46264</v>
      </c>
      <c r="C1978" t="s">
        <v>21</v>
      </c>
      <c r="D1978" s="1">
        <v>46264</v>
      </c>
      <c r="E1978" t="s">
        <v>17</v>
      </c>
      <c r="Q1978" t="s">
        <v>121</v>
      </c>
      <c r="R1978" t="str">
        <f>_xlfn.XLOOKUP(GERAL[[#This Row],[Dia]],U:U,V:V,"")</f>
        <v/>
      </c>
    </row>
    <row r="1979" spans="1:18" hidden="1" x14ac:dyDescent="0.3">
      <c r="A1979" t="str">
        <f>_xlfn.XLOOKUP(GERAL[[#This Row],[Dia]],U:U,T:T,"")</f>
        <v/>
      </c>
      <c r="B1979" s="1">
        <v>46265</v>
      </c>
      <c r="C1979" t="s">
        <v>22</v>
      </c>
      <c r="D1979" s="1">
        <v>46265</v>
      </c>
      <c r="Q1979" t="s">
        <v>121</v>
      </c>
      <c r="R1979" t="str">
        <f>_xlfn.XLOOKUP(GERAL[[#This Row],[Dia]],U:U,V:V,"")</f>
        <v/>
      </c>
    </row>
    <row r="1980" spans="1:18" hidden="1" x14ac:dyDescent="0.3">
      <c r="A1980" t="str">
        <f>_xlfn.XLOOKUP(GERAL[[#This Row],[Dia]],U:U,T:T,"")</f>
        <v/>
      </c>
      <c r="B1980" s="1">
        <v>46266</v>
      </c>
      <c r="C1980" t="s">
        <v>23</v>
      </c>
      <c r="D1980" s="1">
        <v>46266</v>
      </c>
      <c r="Q1980" t="s">
        <v>121</v>
      </c>
      <c r="R1980" t="str">
        <f>_xlfn.XLOOKUP(GERAL[[#This Row],[Dia]],U:U,V:V,"")</f>
        <v/>
      </c>
    </row>
    <row r="1981" spans="1:18" hidden="1" x14ac:dyDescent="0.3">
      <c r="A1981" t="str">
        <f>_xlfn.XLOOKUP(GERAL[[#This Row],[Dia]],U:U,T:T,"")</f>
        <v/>
      </c>
      <c r="B1981" s="1">
        <v>46267</v>
      </c>
      <c r="C1981" t="s">
        <v>24</v>
      </c>
      <c r="D1981" s="1">
        <v>46267</v>
      </c>
      <c r="Q1981" t="s">
        <v>121</v>
      </c>
      <c r="R1981" t="str">
        <f>_xlfn.XLOOKUP(GERAL[[#This Row],[Dia]],U:U,V:V,"")</f>
        <v/>
      </c>
    </row>
    <row r="1982" spans="1:18" hidden="1" x14ac:dyDescent="0.3">
      <c r="A1982" t="str">
        <f>_xlfn.XLOOKUP(GERAL[[#This Row],[Dia]],U:U,T:T,"")</f>
        <v/>
      </c>
      <c r="B1982" s="1">
        <v>46268</v>
      </c>
      <c r="C1982" t="s">
        <v>25</v>
      </c>
      <c r="D1982" s="1">
        <v>46268</v>
      </c>
      <c r="Q1982" t="s">
        <v>121</v>
      </c>
      <c r="R1982" t="str">
        <f>_xlfn.XLOOKUP(GERAL[[#This Row],[Dia]],U:U,V:V,"")</f>
        <v/>
      </c>
    </row>
    <row r="1983" spans="1:18" hidden="1" x14ac:dyDescent="0.3">
      <c r="A1983" t="str">
        <f>_xlfn.XLOOKUP(GERAL[[#This Row],[Dia]],U:U,T:T,"")</f>
        <v/>
      </c>
      <c r="B1983" s="1">
        <v>46269</v>
      </c>
      <c r="C1983" t="s">
        <v>26</v>
      </c>
      <c r="D1983" s="1">
        <v>46269</v>
      </c>
      <c r="Q1983" t="s">
        <v>121</v>
      </c>
      <c r="R1983" t="str">
        <f>_xlfn.XLOOKUP(GERAL[[#This Row],[Dia]],U:U,V:V,"")</f>
        <v/>
      </c>
    </row>
    <row r="1984" spans="1:18" hidden="1" x14ac:dyDescent="0.3">
      <c r="A1984" t="str">
        <f>_xlfn.XLOOKUP(GERAL[[#This Row],[Dia]],U:U,T:T,"")</f>
        <v/>
      </c>
      <c r="B1984" s="1">
        <v>46270</v>
      </c>
      <c r="C1984" t="s">
        <v>16</v>
      </c>
      <c r="D1984" s="1">
        <v>46270</v>
      </c>
      <c r="E1984" t="s">
        <v>17</v>
      </c>
      <c r="Q1984" t="s">
        <v>121</v>
      </c>
      <c r="R1984" t="str">
        <f>_xlfn.XLOOKUP(GERAL[[#This Row],[Dia]],U:U,V:V,"")</f>
        <v/>
      </c>
    </row>
    <row r="1985" spans="1:18" hidden="1" x14ac:dyDescent="0.3">
      <c r="A1985" t="str">
        <f>_xlfn.XLOOKUP(GERAL[[#This Row],[Dia]],U:U,T:T,"")</f>
        <v/>
      </c>
      <c r="B1985" s="1">
        <v>46271</v>
      </c>
      <c r="C1985" t="s">
        <v>21</v>
      </c>
      <c r="D1985" s="1">
        <v>46271</v>
      </c>
      <c r="E1985" t="s">
        <v>17</v>
      </c>
      <c r="Q1985" t="s">
        <v>121</v>
      </c>
      <c r="R1985" t="str">
        <f>_xlfn.XLOOKUP(GERAL[[#This Row],[Dia]],U:U,V:V,"")</f>
        <v/>
      </c>
    </row>
    <row r="1986" spans="1:18" hidden="1" x14ac:dyDescent="0.3">
      <c r="A1986" t="str">
        <f>_xlfn.XLOOKUP(GERAL[[#This Row],[Dia]],U:U,T:T,"")</f>
        <v/>
      </c>
      <c r="B1986" s="1">
        <v>46272</v>
      </c>
      <c r="C1986" t="s">
        <v>22</v>
      </c>
      <c r="D1986" s="1">
        <v>46272</v>
      </c>
      <c r="Q1986" t="s">
        <v>121</v>
      </c>
      <c r="R1986" t="str">
        <f>_xlfn.XLOOKUP(GERAL[[#This Row],[Dia]],U:U,V:V,"")</f>
        <v/>
      </c>
    </row>
    <row r="1987" spans="1:18" hidden="1" x14ac:dyDescent="0.3">
      <c r="A1987" t="str">
        <f>_xlfn.XLOOKUP(GERAL[[#This Row],[Dia]],U:U,T:T,"")</f>
        <v/>
      </c>
      <c r="B1987" s="1">
        <v>46273</v>
      </c>
      <c r="C1987" t="s">
        <v>23</v>
      </c>
      <c r="D1987" s="1">
        <v>46273</v>
      </c>
      <c r="Q1987" t="s">
        <v>121</v>
      </c>
      <c r="R1987" t="str">
        <f>_xlfn.XLOOKUP(GERAL[[#This Row],[Dia]],U:U,V:V,"")</f>
        <v/>
      </c>
    </row>
    <row r="1988" spans="1:18" hidden="1" x14ac:dyDescent="0.3">
      <c r="A1988" t="str">
        <f>_xlfn.XLOOKUP(GERAL[[#This Row],[Dia]],U:U,T:T,"")</f>
        <v/>
      </c>
      <c r="B1988" s="1">
        <v>46274</v>
      </c>
      <c r="C1988" t="s">
        <v>24</v>
      </c>
      <c r="D1988" s="1">
        <v>46274</v>
      </c>
      <c r="Q1988" t="s">
        <v>121</v>
      </c>
      <c r="R1988" t="str">
        <f>_xlfn.XLOOKUP(GERAL[[#This Row],[Dia]],U:U,V:V,"")</f>
        <v/>
      </c>
    </row>
    <row r="1989" spans="1:18" hidden="1" x14ac:dyDescent="0.3">
      <c r="A1989" t="str">
        <f>_xlfn.XLOOKUP(GERAL[[#This Row],[Dia]],U:U,T:T,"")</f>
        <v/>
      </c>
      <c r="B1989" s="1">
        <v>46275</v>
      </c>
      <c r="C1989" t="s">
        <v>25</v>
      </c>
      <c r="D1989" s="1">
        <v>46275</v>
      </c>
      <c r="Q1989" t="s">
        <v>121</v>
      </c>
      <c r="R1989" t="str">
        <f>_xlfn.XLOOKUP(GERAL[[#This Row],[Dia]],U:U,V:V,"")</f>
        <v/>
      </c>
    </row>
    <row r="1990" spans="1:18" hidden="1" x14ac:dyDescent="0.3">
      <c r="A1990" t="str">
        <f>_xlfn.XLOOKUP(GERAL[[#This Row],[Dia]],U:U,T:T,"")</f>
        <v/>
      </c>
      <c r="B1990" s="1">
        <v>46276</v>
      </c>
      <c r="C1990" t="s">
        <v>26</v>
      </c>
      <c r="D1990" s="1">
        <v>46276</v>
      </c>
      <c r="Q1990" t="s">
        <v>121</v>
      </c>
      <c r="R1990" t="str">
        <f>_xlfn.XLOOKUP(GERAL[[#This Row],[Dia]],U:U,V:V,"")</f>
        <v/>
      </c>
    </row>
    <row r="1991" spans="1:18" hidden="1" x14ac:dyDescent="0.3">
      <c r="A1991" t="str">
        <f>_xlfn.XLOOKUP(GERAL[[#This Row],[Dia]],U:U,T:T,"")</f>
        <v/>
      </c>
      <c r="B1991" s="1">
        <v>46277</v>
      </c>
      <c r="C1991" t="s">
        <v>16</v>
      </c>
      <c r="D1991" s="1">
        <v>46277</v>
      </c>
      <c r="E1991" t="s">
        <v>17</v>
      </c>
      <c r="Q1991" t="s">
        <v>121</v>
      </c>
      <c r="R1991" t="str">
        <f>_xlfn.XLOOKUP(GERAL[[#This Row],[Dia]],U:U,V:V,"")</f>
        <v/>
      </c>
    </row>
    <row r="1992" spans="1:18" hidden="1" x14ac:dyDescent="0.3">
      <c r="A1992" t="str">
        <f>_xlfn.XLOOKUP(GERAL[[#This Row],[Dia]],U:U,T:T,"")</f>
        <v/>
      </c>
      <c r="B1992" s="1">
        <v>46278</v>
      </c>
      <c r="C1992" t="s">
        <v>21</v>
      </c>
      <c r="D1992" s="1">
        <v>46278</v>
      </c>
      <c r="E1992" t="s">
        <v>17</v>
      </c>
      <c r="Q1992" t="s">
        <v>121</v>
      </c>
      <c r="R1992" t="str">
        <f>_xlfn.XLOOKUP(GERAL[[#This Row],[Dia]],U:U,V:V,"")</f>
        <v/>
      </c>
    </row>
    <row r="1993" spans="1:18" hidden="1" x14ac:dyDescent="0.3">
      <c r="A1993" t="str">
        <f>_xlfn.XLOOKUP(GERAL[[#This Row],[Dia]],U:U,T:T,"")</f>
        <v/>
      </c>
      <c r="B1993" s="1">
        <v>46279</v>
      </c>
      <c r="C1993" t="s">
        <v>22</v>
      </c>
      <c r="D1993" s="1">
        <v>46279</v>
      </c>
      <c r="Q1993" t="s">
        <v>121</v>
      </c>
      <c r="R1993" t="str">
        <f>_xlfn.XLOOKUP(GERAL[[#This Row],[Dia]],U:U,V:V,"")</f>
        <v/>
      </c>
    </row>
    <row r="1994" spans="1:18" hidden="1" x14ac:dyDescent="0.3">
      <c r="A1994" t="str">
        <f>_xlfn.XLOOKUP(GERAL[[#This Row],[Dia]],U:U,T:T,"")</f>
        <v/>
      </c>
      <c r="B1994" s="1">
        <v>46280</v>
      </c>
      <c r="C1994" t="s">
        <v>23</v>
      </c>
      <c r="D1994" s="1">
        <v>46280</v>
      </c>
      <c r="Q1994" t="s">
        <v>121</v>
      </c>
      <c r="R1994" t="str">
        <f>_xlfn.XLOOKUP(GERAL[[#This Row],[Dia]],U:U,V:V,"")</f>
        <v/>
      </c>
    </row>
    <row r="1995" spans="1:18" hidden="1" x14ac:dyDescent="0.3">
      <c r="A1995" t="str">
        <f>_xlfn.XLOOKUP(GERAL[[#This Row],[Dia]],U:U,T:T,"")</f>
        <v/>
      </c>
      <c r="B1995" s="1">
        <v>46281</v>
      </c>
      <c r="C1995" t="s">
        <v>24</v>
      </c>
      <c r="D1995" s="1">
        <v>46281</v>
      </c>
      <c r="Q1995" t="s">
        <v>121</v>
      </c>
      <c r="R1995" t="str">
        <f>_xlfn.XLOOKUP(GERAL[[#This Row],[Dia]],U:U,V:V,"")</f>
        <v/>
      </c>
    </row>
    <row r="1996" spans="1:18" hidden="1" x14ac:dyDescent="0.3">
      <c r="A1996" t="str">
        <f>_xlfn.XLOOKUP(GERAL[[#This Row],[Dia]],U:U,T:T,"")</f>
        <v/>
      </c>
      <c r="B1996" s="1">
        <v>46282</v>
      </c>
      <c r="C1996" t="s">
        <v>25</v>
      </c>
      <c r="D1996" s="1">
        <v>46282</v>
      </c>
      <c r="Q1996" t="s">
        <v>121</v>
      </c>
      <c r="R1996" t="str">
        <f>_xlfn.XLOOKUP(GERAL[[#This Row],[Dia]],U:U,V:V,"")</f>
        <v/>
      </c>
    </row>
    <row r="1997" spans="1:18" hidden="1" x14ac:dyDescent="0.3">
      <c r="A1997" t="str">
        <f>_xlfn.XLOOKUP(GERAL[[#This Row],[Dia]],U:U,T:T,"")</f>
        <v/>
      </c>
      <c r="B1997" s="1">
        <v>46283</v>
      </c>
      <c r="C1997" t="s">
        <v>26</v>
      </c>
      <c r="D1997" s="1">
        <v>46283</v>
      </c>
      <c r="Q1997" t="s">
        <v>121</v>
      </c>
      <c r="R1997" t="str">
        <f>_xlfn.XLOOKUP(GERAL[[#This Row],[Dia]],U:U,V:V,"")</f>
        <v/>
      </c>
    </row>
    <row r="1998" spans="1:18" hidden="1" x14ac:dyDescent="0.3">
      <c r="A1998" t="str">
        <f>_xlfn.XLOOKUP(GERAL[[#This Row],[Dia]],U:U,T:T,"")</f>
        <v/>
      </c>
      <c r="B1998" s="1">
        <v>46284</v>
      </c>
      <c r="C1998" t="s">
        <v>16</v>
      </c>
      <c r="D1998" s="1">
        <v>46284</v>
      </c>
      <c r="E1998" t="s">
        <v>17</v>
      </c>
      <c r="Q1998" t="s">
        <v>121</v>
      </c>
      <c r="R1998" t="str">
        <f>_xlfn.XLOOKUP(GERAL[[#This Row],[Dia]],U:U,V:V,"")</f>
        <v/>
      </c>
    </row>
    <row r="1999" spans="1:18" hidden="1" x14ac:dyDescent="0.3">
      <c r="A1999" t="str">
        <f>_xlfn.XLOOKUP(GERAL[[#This Row],[Dia]],U:U,T:T,"")</f>
        <v/>
      </c>
      <c r="B1999" s="1">
        <v>46285</v>
      </c>
      <c r="C1999" t="s">
        <v>21</v>
      </c>
      <c r="D1999" s="1">
        <v>46285</v>
      </c>
      <c r="E1999" t="s">
        <v>17</v>
      </c>
      <c r="Q1999" t="s">
        <v>121</v>
      </c>
      <c r="R1999" t="str">
        <f>_xlfn.XLOOKUP(GERAL[[#This Row],[Dia]],U:U,V:V,"")</f>
        <v/>
      </c>
    </row>
    <row r="2000" spans="1:18" hidden="1" x14ac:dyDescent="0.3">
      <c r="A2000" t="str">
        <f>_xlfn.XLOOKUP(GERAL[[#This Row],[Dia]],U:U,T:T,"")</f>
        <v/>
      </c>
      <c r="B2000" s="1">
        <v>46286</v>
      </c>
      <c r="C2000" t="s">
        <v>22</v>
      </c>
      <c r="D2000" s="1">
        <v>46286</v>
      </c>
      <c r="Q2000" t="s">
        <v>121</v>
      </c>
      <c r="R2000" t="str">
        <f>_xlfn.XLOOKUP(GERAL[[#This Row],[Dia]],U:U,V:V,"")</f>
        <v/>
      </c>
    </row>
    <row r="2001" spans="1:18" hidden="1" x14ac:dyDescent="0.3">
      <c r="A2001" t="str">
        <f>_xlfn.XLOOKUP(GERAL[[#This Row],[Dia]],U:U,T:T,"")</f>
        <v/>
      </c>
      <c r="B2001" s="1">
        <v>46287</v>
      </c>
      <c r="C2001" t="s">
        <v>23</v>
      </c>
      <c r="D2001" s="1">
        <v>46287</v>
      </c>
      <c r="Q2001" t="s">
        <v>121</v>
      </c>
      <c r="R2001" t="str">
        <f>_xlfn.XLOOKUP(GERAL[[#This Row],[Dia]],U:U,V:V,"")</f>
        <v/>
      </c>
    </row>
    <row r="2002" spans="1:18" hidden="1" x14ac:dyDescent="0.3">
      <c r="A2002" t="str">
        <f>_xlfn.XLOOKUP(GERAL[[#This Row],[Dia]],U:U,T:T,"")</f>
        <v/>
      </c>
      <c r="B2002" s="1">
        <v>46288</v>
      </c>
      <c r="C2002" t="s">
        <v>24</v>
      </c>
      <c r="D2002" s="1">
        <v>46288</v>
      </c>
      <c r="Q2002" t="s">
        <v>121</v>
      </c>
      <c r="R2002" t="str">
        <f>_xlfn.XLOOKUP(GERAL[[#This Row],[Dia]],U:U,V:V,"")</f>
        <v/>
      </c>
    </row>
    <row r="2003" spans="1:18" hidden="1" x14ac:dyDescent="0.3">
      <c r="A2003" t="str">
        <f>_xlfn.XLOOKUP(GERAL[[#This Row],[Dia]],U:U,T:T,"")</f>
        <v/>
      </c>
      <c r="B2003" s="1">
        <v>46289</v>
      </c>
      <c r="C2003" t="s">
        <v>25</v>
      </c>
      <c r="D2003" s="1">
        <v>46289</v>
      </c>
      <c r="Q2003" t="s">
        <v>121</v>
      </c>
      <c r="R2003" t="str">
        <f>_xlfn.XLOOKUP(GERAL[[#This Row],[Dia]],U:U,V:V,"")</f>
        <v/>
      </c>
    </row>
    <row r="2004" spans="1:18" hidden="1" x14ac:dyDescent="0.3">
      <c r="A2004" t="str">
        <f>_xlfn.XLOOKUP(GERAL[[#This Row],[Dia]],U:U,T:T,"")</f>
        <v/>
      </c>
      <c r="B2004" s="1">
        <v>46290</v>
      </c>
      <c r="C2004" t="s">
        <v>26</v>
      </c>
      <c r="D2004" s="1">
        <v>46290</v>
      </c>
      <c r="Q2004" t="s">
        <v>121</v>
      </c>
      <c r="R2004" t="str">
        <f>_xlfn.XLOOKUP(GERAL[[#This Row],[Dia]],U:U,V:V,"")</f>
        <v/>
      </c>
    </row>
    <row r="2005" spans="1:18" hidden="1" x14ac:dyDescent="0.3">
      <c r="A2005" t="str">
        <f>_xlfn.XLOOKUP(GERAL[[#This Row],[Dia]],U:U,T:T,"")</f>
        <v/>
      </c>
      <c r="B2005" s="1">
        <v>46291</v>
      </c>
      <c r="C2005" t="s">
        <v>16</v>
      </c>
      <c r="D2005" s="1">
        <v>46291</v>
      </c>
      <c r="E2005" t="s">
        <v>17</v>
      </c>
      <c r="Q2005" t="s">
        <v>121</v>
      </c>
      <c r="R2005" t="str">
        <f>_xlfn.XLOOKUP(GERAL[[#This Row],[Dia]],U:U,V:V,"")</f>
        <v/>
      </c>
    </row>
    <row r="2006" spans="1:18" hidden="1" x14ac:dyDescent="0.3">
      <c r="A2006" t="str">
        <f>_xlfn.XLOOKUP(GERAL[[#This Row],[Dia]],U:U,T:T,"")</f>
        <v/>
      </c>
      <c r="B2006" s="1">
        <v>46292</v>
      </c>
      <c r="C2006" t="s">
        <v>21</v>
      </c>
      <c r="D2006" s="1">
        <v>46292</v>
      </c>
      <c r="E2006" t="s">
        <v>17</v>
      </c>
      <c r="Q2006" t="s">
        <v>121</v>
      </c>
      <c r="R2006" t="str">
        <f>_xlfn.XLOOKUP(GERAL[[#This Row],[Dia]],U:U,V:V,"")</f>
        <v/>
      </c>
    </row>
    <row r="2007" spans="1:18" hidden="1" x14ac:dyDescent="0.3">
      <c r="A2007" t="str">
        <f>_xlfn.XLOOKUP(GERAL[[#This Row],[Dia]],U:U,T:T,"")</f>
        <v/>
      </c>
      <c r="B2007" s="1">
        <v>46293</v>
      </c>
      <c r="C2007" t="s">
        <v>22</v>
      </c>
      <c r="D2007" s="1">
        <v>46293</v>
      </c>
      <c r="Q2007" t="s">
        <v>121</v>
      </c>
      <c r="R2007" t="str">
        <f>_xlfn.XLOOKUP(GERAL[[#This Row],[Dia]],U:U,V:V,"")</f>
        <v/>
      </c>
    </row>
    <row r="2008" spans="1:18" hidden="1" x14ac:dyDescent="0.3">
      <c r="A2008" t="str">
        <f>_xlfn.XLOOKUP(GERAL[[#This Row],[Dia]],U:U,T:T,"")</f>
        <v/>
      </c>
      <c r="B2008" s="1">
        <v>46294</v>
      </c>
      <c r="C2008" t="s">
        <v>23</v>
      </c>
      <c r="D2008" s="1">
        <v>46294</v>
      </c>
      <c r="Q2008" t="s">
        <v>121</v>
      </c>
      <c r="R2008" t="str">
        <f>_xlfn.XLOOKUP(GERAL[[#This Row],[Dia]],U:U,V:V,"")</f>
        <v/>
      </c>
    </row>
    <row r="2009" spans="1:18" hidden="1" x14ac:dyDescent="0.3">
      <c r="A2009" t="str">
        <f>_xlfn.XLOOKUP(GERAL[[#This Row],[Dia]],U:U,T:T,"")</f>
        <v/>
      </c>
      <c r="B2009" s="1">
        <v>46295</v>
      </c>
      <c r="C2009" t="s">
        <v>24</v>
      </c>
      <c r="D2009" s="1">
        <v>46295</v>
      </c>
      <c r="Q2009" t="s">
        <v>121</v>
      </c>
      <c r="R2009" t="str">
        <f>_xlfn.XLOOKUP(GERAL[[#This Row],[Dia]],U:U,V:V,"")</f>
        <v/>
      </c>
    </row>
    <row r="2010" spans="1:18" hidden="1" x14ac:dyDescent="0.3">
      <c r="A2010" t="str">
        <f>_xlfn.XLOOKUP(GERAL[[#This Row],[Dia]],U:U,T:T,"")</f>
        <v/>
      </c>
      <c r="B2010" s="1">
        <v>46296</v>
      </c>
      <c r="C2010" t="s">
        <v>25</v>
      </c>
      <c r="D2010" s="1">
        <v>46296</v>
      </c>
      <c r="Q2010" t="s">
        <v>121</v>
      </c>
      <c r="R2010" t="str">
        <f>_xlfn.XLOOKUP(GERAL[[#This Row],[Dia]],U:U,V:V,"")</f>
        <v/>
      </c>
    </row>
    <row r="2011" spans="1:18" hidden="1" x14ac:dyDescent="0.3">
      <c r="A2011" t="str">
        <f>_xlfn.XLOOKUP(GERAL[[#This Row],[Dia]],U:U,T:T,"")</f>
        <v/>
      </c>
      <c r="B2011" s="1">
        <v>46297</v>
      </c>
      <c r="C2011" t="s">
        <v>26</v>
      </c>
      <c r="D2011" s="1">
        <v>46297</v>
      </c>
      <c r="Q2011" t="s">
        <v>121</v>
      </c>
      <c r="R2011" t="str">
        <f>_xlfn.XLOOKUP(GERAL[[#This Row],[Dia]],U:U,V:V,"")</f>
        <v/>
      </c>
    </row>
    <row r="2012" spans="1:18" hidden="1" x14ac:dyDescent="0.3">
      <c r="A2012" t="str">
        <f>_xlfn.XLOOKUP(GERAL[[#This Row],[Dia]],U:U,T:T,"")</f>
        <v/>
      </c>
      <c r="B2012" s="1">
        <v>46298</v>
      </c>
      <c r="C2012" t="s">
        <v>16</v>
      </c>
      <c r="D2012" s="1">
        <v>46298</v>
      </c>
      <c r="E2012" t="s">
        <v>17</v>
      </c>
      <c r="Q2012" t="s">
        <v>121</v>
      </c>
      <c r="R2012" t="str">
        <f>_xlfn.XLOOKUP(GERAL[[#This Row],[Dia]],U:U,V:V,"")</f>
        <v/>
      </c>
    </row>
    <row r="2013" spans="1:18" hidden="1" x14ac:dyDescent="0.3">
      <c r="A2013" t="str">
        <f>_xlfn.XLOOKUP(GERAL[[#This Row],[Dia]],U:U,T:T,"")</f>
        <v/>
      </c>
      <c r="B2013" s="1">
        <v>46299</v>
      </c>
      <c r="C2013" t="s">
        <v>21</v>
      </c>
      <c r="D2013" s="1">
        <v>46299</v>
      </c>
      <c r="E2013" t="s">
        <v>17</v>
      </c>
      <c r="Q2013" t="s">
        <v>121</v>
      </c>
      <c r="R2013" t="str">
        <f>_xlfn.XLOOKUP(GERAL[[#This Row],[Dia]],U:U,V:V,"")</f>
        <v/>
      </c>
    </row>
    <row r="2014" spans="1:18" hidden="1" x14ac:dyDescent="0.3">
      <c r="A2014" t="str">
        <f>_xlfn.XLOOKUP(GERAL[[#This Row],[Dia]],U:U,T:T,"")</f>
        <v/>
      </c>
      <c r="B2014" s="1">
        <v>46300</v>
      </c>
      <c r="C2014" t="s">
        <v>22</v>
      </c>
      <c r="D2014" s="1">
        <v>46300</v>
      </c>
      <c r="Q2014" t="s">
        <v>121</v>
      </c>
      <c r="R2014" t="str">
        <f>_xlfn.XLOOKUP(GERAL[[#This Row],[Dia]],U:U,V:V,"")</f>
        <v/>
      </c>
    </row>
    <row r="2015" spans="1:18" hidden="1" x14ac:dyDescent="0.3">
      <c r="A2015" t="str">
        <f>_xlfn.XLOOKUP(GERAL[[#This Row],[Dia]],U:U,T:T,"")</f>
        <v/>
      </c>
      <c r="B2015" s="1">
        <v>46301</v>
      </c>
      <c r="C2015" t="s">
        <v>23</v>
      </c>
      <c r="D2015" s="1">
        <v>46301</v>
      </c>
      <c r="Q2015" t="s">
        <v>121</v>
      </c>
      <c r="R2015" t="str">
        <f>_xlfn.XLOOKUP(GERAL[[#This Row],[Dia]],U:U,V:V,"")</f>
        <v/>
      </c>
    </row>
    <row r="2016" spans="1:18" hidden="1" x14ac:dyDescent="0.3">
      <c r="A2016" t="str">
        <f>_xlfn.XLOOKUP(GERAL[[#This Row],[Dia]],U:U,T:T,"")</f>
        <v/>
      </c>
      <c r="B2016" s="1">
        <v>46302</v>
      </c>
      <c r="C2016" t="s">
        <v>24</v>
      </c>
      <c r="D2016" s="1">
        <v>46302</v>
      </c>
      <c r="Q2016" t="s">
        <v>121</v>
      </c>
      <c r="R2016" t="str">
        <f>_xlfn.XLOOKUP(GERAL[[#This Row],[Dia]],U:U,V:V,"")</f>
        <v/>
      </c>
    </row>
    <row r="2017" spans="1:18" hidden="1" x14ac:dyDescent="0.3">
      <c r="A2017" t="str">
        <f>_xlfn.XLOOKUP(GERAL[[#This Row],[Dia]],U:U,T:T,"")</f>
        <v/>
      </c>
      <c r="B2017" s="1">
        <v>46303</v>
      </c>
      <c r="C2017" t="s">
        <v>25</v>
      </c>
      <c r="D2017" s="1">
        <v>46303</v>
      </c>
      <c r="Q2017" t="s">
        <v>121</v>
      </c>
      <c r="R2017" t="str">
        <f>_xlfn.XLOOKUP(GERAL[[#This Row],[Dia]],U:U,V:V,"")</f>
        <v/>
      </c>
    </row>
    <row r="2018" spans="1:18" hidden="1" x14ac:dyDescent="0.3">
      <c r="A2018" t="str">
        <f>_xlfn.XLOOKUP(GERAL[[#This Row],[Dia]],U:U,T:T,"")</f>
        <v/>
      </c>
      <c r="B2018" s="1">
        <v>46304</v>
      </c>
      <c r="C2018" t="s">
        <v>26</v>
      </c>
      <c r="D2018" s="1">
        <v>46304</v>
      </c>
      <c r="Q2018" t="s">
        <v>121</v>
      </c>
      <c r="R2018" t="str">
        <f>_xlfn.XLOOKUP(GERAL[[#This Row],[Dia]],U:U,V:V,"")</f>
        <v/>
      </c>
    </row>
    <row r="2019" spans="1:18" hidden="1" x14ac:dyDescent="0.3">
      <c r="A2019" t="str">
        <f>_xlfn.XLOOKUP(GERAL[[#This Row],[Dia]],U:U,T:T,"")</f>
        <v/>
      </c>
      <c r="B2019" s="1">
        <v>46305</v>
      </c>
      <c r="C2019" t="s">
        <v>16</v>
      </c>
      <c r="D2019" s="1">
        <v>46305</v>
      </c>
      <c r="E2019" t="s">
        <v>17</v>
      </c>
      <c r="Q2019" t="s">
        <v>121</v>
      </c>
      <c r="R2019" t="str">
        <f>_xlfn.XLOOKUP(GERAL[[#This Row],[Dia]],U:U,V:V,"")</f>
        <v/>
      </c>
    </row>
    <row r="2020" spans="1:18" hidden="1" x14ac:dyDescent="0.3">
      <c r="A2020" t="str">
        <f>_xlfn.XLOOKUP(GERAL[[#This Row],[Dia]],U:U,T:T,"")</f>
        <v/>
      </c>
      <c r="B2020" s="1">
        <v>46306</v>
      </c>
      <c r="C2020" t="s">
        <v>21</v>
      </c>
      <c r="D2020" s="1">
        <v>46306</v>
      </c>
      <c r="E2020" t="s">
        <v>17</v>
      </c>
      <c r="Q2020" t="s">
        <v>121</v>
      </c>
      <c r="R2020" t="str">
        <f>_xlfn.XLOOKUP(GERAL[[#This Row],[Dia]],U:U,V:V,"")</f>
        <v/>
      </c>
    </row>
    <row r="2021" spans="1:18" hidden="1" x14ac:dyDescent="0.3">
      <c r="A2021" t="str">
        <f>_xlfn.XLOOKUP(GERAL[[#This Row],[Dia]],U:U,T:T,"")</f>
        <v/>
      </c>
      <c r="B2021" s="1">
        <v>46307</v>
      </c>
      <c r="C2021" t="s">
        <v>22</v>
      </c>
      <c r="D2021" s="1">
        <v>46307</v>
      </c>
      <c r="Q2021" t="s">
        <v>121</v>
      </c>
      <c r="R2021" t="str">
        <f>_xlfn.XLOOKUP(GERAL[[#This Row],[Dia]],U:U,V:V,"")</f>
        <v/>
      </c>
    </row>
    <row r="2022" spans="1:18" hidden="1" x14ac:dyDescent="0.3">
      <c r="A2022" t="str">
        <f>_xlfn.XLOOKUP(GERAL[[#This Row],[Dia]],U:U,T:T,"")</f>
        <v/>
      </c>
      <c r="B2022" s="1">
        <v>46308</v>
      </c>
      <c r="C2022" t="s">
        <v>23</v>
      </c>
      <c r="D2022" s="1">
        <v>46308</v>
      </c>
      <c r="Q2022" t="s">
        <v>121</v>
      </c>
      <c r="R2022" t="str">
        <f>_xlfn.XLOOKUP(GERAL[[#This Row],[Dia]],U:U,V:V,"")</f>
        <v/>
      </c>
    </row>
    <row r="2023" spans="1:18" hidden="1" x14ac:dyDescent="0.3">
      <c r="A2023" t="str">
        <f>_xlfn.XLOOKUP(GERAL[[#This Row],[Dia]],U:U,T:T,"")</f>
        <v/>
      </c>
      <c r="B2023" s="1">
        <v>46309</v>
      </c>
      <c r="C2023" t="s">
        <v>24</v>
      </c>
      <c r="D2023" s="1">
        <v>46309</v>
      </c>
      <c r="Q2023" t="s">
        <v>121</v>
      </c>
      <c r="R2023" t="str">
        <f>_xlfn.XLOOKUP(GERAL[[#This Row],[Dia]],U:U,V:V,"")</f>
        <v/>
      </c>
    </row>
    <row r="2024" spans="1:18" hidden="1" x14ac:dyDescent="0.3">
      <c r="A2024" t="str">
        <f>_xlfn.XLOOKUP(GERAL[[#This Row],[Dia]],U:U,T:T,"")</f>
        <v/>
      </c>
      <c r="B2024" s="1">
        <v>46310</v>
      </c>
      <c r="C2024" t="s">
        <v>25</v>
      </c>
      <c r="D2024" s="1">
        <v>46310</v>
      </c>
      <c r="Q2024" t="s">
        <v>121</v>
      </c>
      <c r="R2024" t="str">
        <f>_xlfn.XLOOKUP(GERAL[[#This Row],[Dia]],U:U,V:V,"")</f>
        <v/>
      </c>
    </row>
    <row r="2025" spans="1:18" hidden="1" x14ac:dyDescent="0.3">
      <c r="A2025" t="str">
        <f>_xlfn.XLOOKUP(GERAL[[#This Row],[Dia]],U:U,T:T,"")</f>
        <v/>
      </c>
      <c r="B2025" s="1">
        <v>46311</v>
      </c>
      <c r="C2025" t="s">
        <v>26</v>
      </c>
      <c r="D2025" s="1">
        <v>46311</v>
      </c>
      <c r="Q2025" t="s">
        <v>121</v>
      </c>
      <c r="R2025" t="str">
        <f>_xlfn.XLOOKUP(GERAL[[#This Row],[Dia]],U:U,V:V,"")</f>
        <v/>
      </c>
    </row>
    <row r="2026" spans="1:18" hidden="1" x14ac:dyDescent="0.3">
      <c r="A2026" t="str">
        <f>_xlfn.XLOOKUP(GERAL[[#This Row],[Dia]],U:U,T:T,"")</f>
        <v/>
      </c>
      <c r="B2026" s="1">
        <v>46312</v>
      </c>
      <c r="C2026" t="s">
        <v>16</v>
      </c>
      <c r="D2026" s="1">
        <v>46312</v>
      </c>
      <c r="E2026" t="s">
        <v>17</v>
      </c>
      <c r="Q2026" t="s">
        <v>121</v>
      </c>
      <c r="R2026" t="str">
        <f>_xlfn.XLOOKUP(GERAL[[#This Row],[Dia]],U:U,V:V,"")</f>
        <v/>
      </c>
    </row>
    <row r="2027" spans="1:18" hidden="1" x14ac:dyDescent="0.3">
      <c r="A2027" t="str">
        <f>_xlfn.XLOOKUP(GERAL[[#This Row],[Dia]],U:U,T:T,"")</f>
        <v/>
      </c>
      <c r="B2027" s="1">
        <v>46313</v>
      </c>
      <c r="C2027" t="s">
        <v>21</v>
      </c>
      <c r="D2027" s="1">
        <v>46313</v>
      </c>
      <c r="E2027" t="s">
        <v>17</v>
      </c>
      <c r="Q2027" t="s">
        <v>121</v>
      </c>
      <c r="R2027" t="str">
        <f>_xlfn.XLOOKUP(GERAL[[#This Row],[Dia]],U:U,V:V,"")</f>
        <v/>
      </c>
    </row>
    <row r="2028" spans="1:18" hidden="1" x14ac:dyDescent="0.3">
      <c r="A2028" t="str">
        <f>_xlfn.XLOOKUP(GERAL[[#This Row],[Dia]],U:U,T:T,"")</f>
        <v/>
      </c>
      <c r="B2028" s="1">
        <v>46314</v>
      </c>
      <c r="C2028" t="s">
        <v>22</v>
      </c>
      <c r="D2028" s="1">
        <v>46314</v>
      </c>
      <c r="Q2028" t="s">
        <v>121</v>
      </c>
      <c r="R2028" t="str">
        <f>_xlfn.XLOOKUP(GERAL[[#This Row],[Dia]],U:U,V:V,"")</f>
        <v/>
      </c>
    </row>
    <row r="2029" spans="1:18" hidden="1" x14ac:dyDescent="0.3">
      <c r="A2029" t="str">
        <f>_xlfn.XLOOKUP(GERAL[[#This Row],[Dia]],U:U,T:T,"")</f>
        <v/>
      </c>
      <c r="B2029" s="1">
        <v>46315</v>
      </c>
      <c r="C2029" t="s">
        <v>23</v>
      </c>
      <c r="D2029" s="1">
        <v>46315</v>
      </c>
      <c r="Q2029" t="s">
        <v>121</v>
      </c>
      <c r="R2029" t="str">
        <f>_xlfn.XLOOKUP(GERAL[[#This Row],[Dia]],U:U,V:V,"")</f>
        <v/>
      </c>
    </row>
    <row r="2030" spans="1:18" hidden="1" x14ac:dyDescent="0.3">
      <c r="A2030" t="str">
        <f>_xlfn.XLOOKUP(GERAL[[#This Row],[Dia]],U:U,T:T,"")</f>
        <v/>
      </c>
      <c r="B2030" s="1">
        <v>46316</v>
      </c>
      <c r="C2030" t="s">
        <v>24</v>
      </c>
      <c r="D2030" s="1">
        <v>46316</v>
      </c>
      <c r="Q2030" t="s">
        <v>121</v>
      </c>
      <c r="R2030" t="str">
        <f>_xlfn.XLOOKUP(GERAL[[#This Row],[Dia]],U:U,V:V,"")</f>
        <v/>
      </c>
    </row>
    <row r="2031" spans="1:18" hidden="1" x14ac:dyDescent="0.3">
      <c r="A2031" t="str">
        <f>_xlfn.XLOOKUP(GERAL[[#This Row],[Dia]],U:U,T:T,"")</f>
        <v/>
      </c>
      <c r="B2031" s="1">
        <v>46317</v>
      </c>
      <c r="C2031" t="s">
        <v>25</v>
      </c>
      <c r="D2031" s="1">
        <v>46317</v>
      </c>
      <c r="Q2031" t="s">
        <v>121</v>
      </c>
      <c r="R2031" t="str">
        <f>_xlfn.XLOOKUP(GERAL[[#This Row],[Dia]],U:U,V:V,"")</f>
        <v/>
      </c>
    </row>
    <row r="2032" spans="1:18" hidden="1" x14ac:dyDescent="0.3">
      <c r="A2032" t="str">
        <f>_xlfn.XLOOKUP(GERAL[[#This Row],[Dia]],U:U,T:T,"")</f>
        <v/>
      </c>
      <c r="B2032" s="1">
        <v>46318</v>
      </c>
      <c r="C2032" t="s">
        <v>26</v>
      </c>
      <c r="D2032" s="1">
        <v>46318</v>
      </c>
      <c r="Q2032" t="s">
        <v>121</v>
      </c>
      <c r="R2032" t="str">
        <f>_xlfn.XLOOKUP(GERAL[[#This Row],[Dia]],U:U,V:V,"")</f>
        <v/>
      </c>
    </row>
    <row r="2033" spans="1:18" hidden="1" x14ac:dyDescent="0.3">
      <c r="A2033" t="str">
        <f>_xlfn.XLOOKUP(GERAL[[#This Row],[Dia]],U:U,T:T,"")</f>
        <v/>
      </c>
      <c r="B2033" s="1">
        <v>46319</v>
      </c>
      <c r="C2033" t="s">
        <v>16</v>
      </c>
      <c r="D2033" s="1">
        <v>46319</v>
      </c>
      <c r="E2033" t="s">
        <v>17</v>
      </c>
      <c r="Q2033" t="s">
        <v>121</v>
      </c>
      <c r="R2033" t="str">
        <f>_xlfn.XLOOKUP(GERAL[[#This Row],[Dia]],U:U,V:V,"")</f>
        <v/>
      </c>
    </row>
    <row r="2034" spans="1:18" hidden="1" x14ac:dyDescent="0.3">
      <c r="A2034" t="str">
        <f>_xlfn.XLOOKUP(GERAL[[#This Row],[Dia]],U:U,T:T,"")</f>
        <v/>
      </c>
      <c r="B2034" s="1">
        <v>46320</v>
      </c>
      <c r="C2034" t="s">
        <v>21</v>
      </c>
      <c r="D2034" s="1">
        <v>46320</v>
      </c>
      <c r="E2034" t="s">
        <v>17</v>
      </c>
      <c r="Q2034" t="s">
        <v>121</v>
      </c>
      <c r="R2034" t="str">
        <f>_xlfn.XLOOKUP(GERAL[[#This Row],[Dia]],U:U,V:V,"")</f>
        <v/>
      </c>
    </row>
    <row r="2035" spans="1:18" hidden="1" x14ac:dyDescent="0.3">
      <c r="A2035" t="str">
        <f>_xlfn.XLOOKUP(GERAL[[#This Row],[Dia]],U:U,T:T,"")</f>
        <v/>
      </c>
      <c r="B2035" s="1">
        <v>46321</v>
      </c>
      <c r="C2035" t="s">
        <v>22</v>
      </c>
      <c r="D2035" s="1">
        <v>46321</v>
      </c>
      <c r="Q2035" t="s">
        <v>121</v>
      </c>
      <c r="R2035" t="str">
        <f>_xlfn.XLOOKUP(GERAL[[#This Row],[Dia]],U:U,V:V,"")</f>
        <v/>
      </c>
    </row>
    <row r="2036" spans="1:18" hidden="1" x14ac:dyDescent="0.3">
      <c r="A2036" t="str">
        <f>_xlfn.XLOOKUP(GERAL[[#This Row],[Dia]],U:U,T:T,"")</f>
        <v/>
      </c>
      <c r="B2036" s="1">
        <v>46322</v>
      </c>
      <c r="C2036" t="s">
        <v>23</v>
      </c>
      <c r="D2036" s="1">
        <v>46322</v>
      </c>
      <c r="Q2036" t="s">
        <v>121</v>
      </c>
      <c r="R2036" t="str">
        <f>_xlfn.XLOOKUP(GERAL[[#This Row],[Dia]],U:U,V:V,"")</f>
        <v/>
      </c>
    </row>
    <row r="2037" spans="1:18" hidden="1" x14ac:dyDescent="0.3">
      <c r="A2037" t="str">
        <f>_xlfn.XLOOKUP(GERAL[[#This Row],[Dia]],U:U,T:T,"")</f>
        <v/>
      </c>
      <c r="B2037" s="1">
        <v>46323</v>
      </c>
      <c r="C2037" t="s">
        <v>24</v>
      </c>
      <c r="D2037" s="1">
        <v>46323</v>
      </c>
      <c r="Q2037" t="s">
        <v>121</v>
      </c>
      <c r="R2037" t="str">
        <f>_xlfn.XLOOKUP(GERAL[[#This Row],[Dia]],U:U,V:V,"")</f>
        <v/>
      </c>
    </row>
    <row r="2038" spans="1:18" hidden="1" x14ac:dyDescent="0.3">
      <c r="A2038" t="str">
        <f>_xlfn.XLOOKUP(GERAL[[#This Row],[Dia]],U:U,T:T,"")</f>
        <v/>
      </c>
      <c r="B2038" s="1">
        <v>46324</v>
      </c>
      <c r="C2038" t="s">
        <v>25</v>
      </c>
      <c r="D2038" s="1">
        <v>46324</v>
      </c>
      <c r="Q2038" t="s">
        <v>121</v>
      </c>
      <c r="R2038" t="str">
        <f>_xlfn.XLOOKUP(GERAL[[#This Row],[Dia]],U:U,V:V,"")</f>
        <v/>
      </c>
    </row>
    <row r="2039" spans="1:18" hidden="1" x14ac:dyDescent="0.3">
      <c r="A2039" t="str">
        <f>_xlfn.XLOOKUP(GERAL[[#This Row],[Dia]],U:U,T:T,"")</f>
        <v/>
      </c>
      <c r="B2039" s="1">
        <v>46325</v>
      </c>
      <c r="C2039" t="s">
        <v>26</v>
      </c>
      <c r="D2039" s="1">
        <v>46325</v>
      </c>
      <c r="Q2039" t="s">
        <v>121</v>
      </c>
      <c r="R2039" t="str">
        <f>_xlfn.XLOOKUP(GERAL[[#This Row],[Dia]],U:U,V:V,"")</f>
        <v/>
      </c>
    </row>
    <row r="2040" spans="1:18" hidden="1" x14ac:dyDescent="0.3">
      <c r="A2040" t="str">
        <f>_xlfn.XLOOKUP(GERAL[[#This Row],[Dia]],U:U,T:T,"")</f>
        <v/>
      </c>
      <c r="B2040" s="1">
        <v>46326</v>
      </c>
      <c r="C2040" t="s">
        <v>16</v>
      </c>
      <c r="D2040" s="1">
        <v>46326</v>
      </c>
      <c r="E2040" t="s">
        <v>17</v>
      </c>
      <c r="Q2040" t="s">
        <v>121</v>
      </c>
      <c r="R2040" t="str">
        <f>_xlfn.XLOOKUP(GERAL[[#This Row],[Dia]],U:U,V:V,"")</f>
        <v/>
      </c>
    </row>
    <row r="2041" spans="1:18" hidden="1" x14ac:dyDescent="0.3">
      <c r="A2041" t="str">
        <f>_xlfn.XLOOKUP(GERAL[[#This Row],[Dia]],U:U,T:T,"")</f>
        <v/>
      </c>
      <c r="B2041" s="1">
        <v>46327</v>
      </c>
      <c r="C2041" t="s">
        <v>21</v>
      </c>
      <c r="D2041" s="1">
        <v>46327</v>
      </c>
      <c r="E2041" t="s">
        <v>17</v>
      </c>
      <c r="Q2041" t="s">
        <v>121</v>
      </c>
      <c r="R2041" t="str">
        <f>_xlfn.XLOOKUP(GERAL[[#This Row],[Dia]],U:U,V:V,"")</f>
        <v/>
      </c>
    </row>
    <row r="2042" spans="1:18" hidden="1" x14ac:dyDescent="0.3">
      <c r="A2042" t="str">
        <f>_xlfn.XLOOKUP(GERAL[[#This Row],[Dia]],U:U,T:T,"")</f>
        <v/>
      </c>
      <c r="B2042" s="1">
        <v>46328</v>
      </c>
      <c r="C2042" t="s">
        <v>22</v>
      </c>
      <c r="D2042" s="1">
        <v>46328</v>
      </c>
      <c r="Q2042" t="s">
        <v>121</v>
      </c>
      <c r="R2042" t="str">
        <f>_xlfn.XLOOKUP(GERAL[[#This Row],[Dia]],U:U,V:V,"")</f>
        <v/>
      </c>
    </row>
    <row r="2043" spans="1:18" hidden="1" x14ac:dyDescent="0.3">
      <c r="A2043" t="str">
        <f>_xlfn.XLOOKUP(GERAL[[#This Row],[Dia]],U:U,T:T,"")</f>
        <v/>
      </c>
      <c r="B2043" s="1">
        <v>46329</v>
      </c>
      <c r="C2043" t="s">
        <v>23</v>
      </c>
      <c r="D2043" s="1">
        <v>46329</v>
      </c>
      <c r="Q2043" t="s">
        <v>121</v>
      </c>
      <c r="R2043" t="str">
        <f>_xlfn.XLOOKUP(GERAL[[#This Row],[Dia]],U:U,V:V,"")</f>
        <v/>
      </c>
    </row>
    <row r="2044" spans="1:18" hidden="1" x14ac:dyDescent="0.3">
      <c r="A2044" t="str">
        <f>_xlfn.XLOOKUP(GERAL[[#This Row],[Dia]],U:U,T:T,"")</f>
        <v/>
      </c>
      <c r="B2044" s="1">
        <v>46330</v>
      </c>
      <c r="C2044" t="s">
        <v>24</v>
      </c>
      <c r="D2044" s="1">
        <v>46330</v>
      </c>
      <c r="Q2044" t="s">
        <v>121</v>
      </c>
      <c r="R2044" t="str">
        <f>_xlfn.XLOOKUP(GERAL[[#This Row],[Dia]],U:U,V:V,"")</f>
        <v/>
      </c>
    </row>
    <row r="2045" spans="1:18" hidden="1" x14ac:dyDescent="0.3">
      <c r="A2045" t="str">
        <f>_xlfn.XLOOKUP(GERAL[[#This Row],[Dia]],U:U,T:T,"")</f>
        <v/>
      </c>
      <c r="B2045" s="1">
        <v>46331</v>
      </c>
      <c r="C2045" t="s">
        <v>25</v>
      </c>
      <c r="D2045" s="1">
        <v>46331</v>
      </c>
      <c r="Q2045" t="s">
        <v>121</v>
      </c>
      <c r="R2045" t="str">
        <f>_xlfn.XLOOKUP(GERAL[[#This Row],[Dia]],U:U,V:V,"")</f>
        <v/>
      </c>
    </row>
    <row r="2046" spans="1:18" hidden="1" x14ac:dyDescent="0.3">
      <c r="A2046" t="str">
        <f>_xlfn.XLOOKUP(GERAL[[#This Row],[Dia]],U:U,T:T,"")</f>
        <v/>
      </c>
      <c r="B2046" s="1">
        <v>46332</v>
      </c>
      <c r="C2046" t="s">
        <v>26</v>
      </c>
      <c r="D2046" s="1">
        <v>46332</v>
      </c>
      <c r="Q2046" t="s">
        <v>121</v>
      </c>
      <c r="R2046" t="str">
        <f>_xlfn.XLOOKUP(GERAL[[#This Row],[Dia]],U:U,V:V,"")</f>
        <v/>
      </c>
    </row>
    <row r="2047" spans="1:18" hidden="1" x14ac:dyDescent="0.3">
      <c r="A2047" t="str">
        <f>_xlfn.XLOOKUP(GERAL[[#This Row],[Dia]],U:U,T:T,"")</f>
        <v/>
      </c>
      <c r="B2047" s="1">
        <v>46333</v>
      </c>
      <c r="C2047" t="s">
        <v>16</v>
      </c>
      <c r="D2047" s="1">
        <v>46333</v>
      </c>
      <c r="E2047" t="s">
        <v>17</v>
      </c>
      <c r="Q2047" t="s">
        <v>121</v>
      </c>
      <c r="R2047" t="str">
        <f>_xlfn.XLOOKUP(GERAL[[#This Row],[Dia]],U:U,V:V,"")</f>
        <v/>
      </c>
    </row>
    <row r="2048" spans="1:18" hidden="1" x14ac:dyDescent="0.3">
      <c r="A2048" t="str">
        <f>_xlfn.XLOOKUP(GERAL[[#This Row],[Dia]],U:U,T:T,"")</f>
        <v/>
      </c>
      <c r="B2048" s="1">
        <v>46334</v>
      </c>
      <c r="C2048" t="s">
        <v>21</v>
      </c>
      <c r="D2048" s="1">
        <v>46334</v>
      </c>
      <c r="E2048" t="s">
        <v>17</v>
      </c>
      <c r="Q2048" t="s">
        <v>121</v>
      </c>
      <c r="R2048" t="str">
        <f>_xlfn.XLOOKUP(GERAL[[#This Row],[Dia]],U:U,V:V,"")</f>
        <v/>
      </c>
    </row>
    <row r="2049" spans="1:18" hidden="1" x14ac:dyDescent="0.3">
      <c r="A2049" t="str">
        <f>_xlfn.XLOOKUP(GERAL[[#This Row],[Dia]],U:U,T:T,"")</f>
        <v/>
      </c>
      <c r="B2049" s="1">
        <v>46335</v>
      </c>
      <c r="C2049" t="s">
        <v>22</v>
      </c>
      <c r="D2049" s="1">
        <v>46335</v>
      </c>
      <c r="Q2049" t="s">
        <v>121</v>
      </c>
      <c r="R2049" t="str">
        <f>_xlfn.XLOOKUP(GERAL[[#This Row],[Dia]],U:U,V:V,"")</f>
        <v/>
      </c>
    </row>
    <row r="2050" spans="1:18" hidden="1" x14ac:dyDescent="0.3">
      <c r="A2050" t="str">
        <f>_xlfn.XLOOKUP(GERAL[[#This Row],[Dia]],U:U,T:T,"")</f>
        <v/>
      </c>
      <c r="B2050" s="1">
        <v>46336</v>
      </c>
      <c r="C2050" t="s">
        <v>23</v>
      </c>
      <c r="D2050" s="1">
        <v>46336</v>
      </c>
      <c r="Q2050" t="s">
        <v>121</v>
      </c>
      <c r="R2050" t="str">
        <f>_xlfn.XLOOKUP(GERAL[[#This Row],[Dia]],U:U,V:V,"")</f>
        <v/>
      </c>
    </row>
    <row r="2051" spans="1:18" hidden="1" x14ac:dyDescent="0.3">
      <c r="A2051" t="str">
        <f>_xlfn.XLOOKUP(GERAL[[#This Row],[Dia]],U:U,T:T,"")</f>
        <v/>
      </c>
      <c r="B2051" s="1">
        <v>46337</v>
      </c>
      <c r="C2051" t="s">
        <v>24</v>
      </c>
      <c r="D2051" s="1">
        <v>46337</v>
      </c>
      <c r="Q2051" t="s">
        <v>121</v>
      </c>
      <c r="R2051" t="str">
        <f>_xlfn.XLOOKUP(GERAL[[#This Row],[Dia]],U:U,V:V,"")</f>
        <v/>
      </c>
    </row>
    <row r="2052" spans="1:18" hidden="1" x14ac:dyDescent="0.3">
      <c r="A2052" t="str">
        <f>_xlfn.XLOOKUP(GERAL[[#This Row],[Dia]],U:U,T:T,"")</f>
        <v/>
      </c>
      <c r="B2052" s="1">
        <v>46338</v>
      </c>
      <c r="C2052" t="s">
        <v>25</v>
      </c>
      <c r="D2052" s="1">
        <v>46338</v>
      </c>
      <c r="Q2052" t="s">
        <v>121</v>
      </c>
      <c r="R2052" t="str">
        <f>_xlfn.XLOOKUP(GERAL[[#This Row],[Dia]],U:U,V:V,"")</f>
        <v/>
      </c>
    </row>
    <row r="2053" spans="1:18" hidden="1" x14ac:dyDescent="0.3">
      <c r="A2053" t="str">
        <f>_xlfn.XLOOKUP(GERAL[[#This Row],[Dia]],U:U,T:T,"")</f>
        <v/>
      </c>
      <c r="B2053" s="1">
        <v>46339</v>
      </c>
      <c r="C2053" t="s">
        <v>26</v>
      </c>
      <c r="D2053" s="1">
        <v>46339</v>
      </c>
      <c r="Q2053" t="s">
        <v>121</v>
      </c>
      <c r="R2053" t="str">
        <f>_xlfn.XLOOKUP(GERAL[[#This Row],[Dia]],U:U,V:V,"")</f>
        <v/>
      </c>
    </row>
    <row r="2054" spans="1:18" hidden="1" x14ac:dyDescent="0.3">
      <c r="A2054" t="str">
        <f>_xlfn.XLOOKUP(GERAL[[#This Row],[Dia]],U:U,T:T,"")</f>
        <v/>
      </c>
      <c r="B2054" s="1">
        <v>46340</v>
      </c>
      <c r="C2054" t="s">
        <v>16</v>
      </c>
      <c r="D2054" s="1">
        <v>46340</v>
      </c>
      <c r="E2054" t="s">
        <v>17</v>
      </c>
      <c r="Q2054" t="s">
        <v>121</v>
      </c>
      <c r="R2054" t="str">
        <f>_xlfn.XLOOKUP(GERAL[[#This Row],[Dia]],U:U,V:V,"")</f>
        <v/>
      </c>
    </row>
    <row r="2055" spans="1:18" hidden="1" x14ac:dyDescent="0.3">
      <c r="A2055" t="str">
        <f>_xlfn.XLOOKUP(GERAL[[#This Row],[Dia]],U:U,T:T,"")</f>
        <v/>
      </c>
      <c r="B2055" s="1">
        <v>46341</v>
      </c>
      <c r="C2055" t="s">
        <v>21</v>
      </c>
      <c r="D2055" s="1">
        <v>46341</v>
      </c>
      <c r="E2055" t="s">
        <v>17</v>
      </c>
      <c r="Q2055" t="s">
        <v>121</v>
      </c>
      <c r="R2055" t="str">
        <f>_xlfn.XLOOKUP(GERAL[[#This Row],[Dia]],U:U,V:V,"")</f>
        <v/>
      </c>
    </row>
    <row r="2056" spans="1:18" hidden="1" x14ac:dyDescent="0.3">
      <c r="A2056" t="str">
        <f>_xlfn.XLOOKUP(GERAL[[#This Row],[Dia]],U:U,T:T,"")</f>
        <v/>
      </c>
      <c r="B2056" s="1">
        <v>46342</v>
      </c>
      <c r="C2056" t="s">
        <v>22</v>
      </c>
      <c r="D2056" s="1">
        <v>46342</v>
      </c>
      <c r="Q2056" t="s">
        <v>121</v>
      </c>
      <c r="R2056" t="str">
        <f>_xlfn.XLOOKUP(GERAL[[#This Row],[Dia]],U:U,V:V,"")</f>
        <v/>
      </c>
    </row>
    <row r="2057" spans="1:18" hidden="1" x14ac:dyDescent="0.3">
      <c r="A2057" t="str">
        <f>_xlfn.XLOOKUP(GERAL[[#This Row],[Dia]],U:U,T:T,"")</f>
        <v/>
      </c>
      <c r="B2057" s="1">
        <v>46343</v>
      </c>
      <c r="C2057" t="s">
        <v>23</v>
      </c>
      <c r="D2057" s="1">
        <v>46343</v>
      </c>
      <c r="Q2057" t="s">
        <v>121</v>
      </c>
      <c r="R2057" t="str">
        <f>_xlfn.XLOOKUP(GERAL[[#This Row],[Dia]],U:U,V:V,"")</f>
        <v/>
      </c>
    </row>
    <row r="2058" spans="1:18" hidden="1" x14ac:dyDescent="0.3">
      <c r="A2058" t="str">
        <f>_xlfn.XLOOKUP(GERAL[[#This Row],[Dia]],U:U,T:T,"")</f>
        <v/>
      </c>
      <c r="B2058" s="1">
        <v>46344</v>
      </c>
      <c r="C2058" t="s">
        <v>24</v>
      </c>
      <c r="D2058" s="1">
        <v>46344</v>
      </c>
      <c r="Q2058" t="s">
        <v>121</v>
      </c>
      <c r="R2058" t="str">
        <f>_xlfn.XLOOKUP(GERAL[[#This Row],[Dia]],U:U,V:V,"")</f>
        <v/>
      </c>
    </row>
    <row r="2059" spans="1:18" hidden="1" x14ac:dyDescent="0.3">
      <c r="A2059" t="str">
        <f>_xlfn.XLOOKUP(GERAL[[#This Row],[Dia]],U:U,T:T,"")</f>
        <v/>
      </c>
      <c r="B2059" s="1">
        <v>46345</v>
      </c>
      <c r="C2059" t="s">
        <v>25</v>
      </c>
      <c r="D2059" s="1">
        <v>46345</v>
      </c>
      <c r="Q2059" t="s">
        <v>121</v>
      </c>
      <c r="R2059" t="str">
        <f>_xlfn.XLOOKUP(GERAL[[#This Row],[Dia]],U:U,V:V,"")</f>
        <v/>
      </c>
    </row>
    <row r="2060" spans="1:18" hidden="1" x14ac:dyDescent="0.3">
      <c r="A2060" t="str">
        <f>_xlfn.XLOOKUP(GERAL[[#This Row],[Dia]],U:U,T:T,"")</f>
        <v/>
      </c>
      <c r="B2060" s="1">
        <v>46346</v>
      </c>
      <c r="C2060" t="s">
        <v>26</v>
      </c>
      <c r="D2060" s="1">
        <v>46346</v>
      </c>
      <c r="Q2060" t="s">
        <v>121</v>
      </c>
      <c r="R2060" t="str">
        <f>_xlfn.XLOOKUP(GERAL[[#This Row],[Dia]],U:U,V:V,"")</f>
        <v/>
      </c>
    </row>
    <row r="2061" spans="1:18" hidden="1" x14ac:dyDescent="0.3">
      <c r="A2061" t="str">
        <f>_xlfn.XLOOKUP(GERAL[[#This Row],[Dia]],U:U,T:T,"")</f>
        <v/>
      </c>
      <c r="B2061" s="1">
        <v>46347</v>
      </c>
      <c r="C2061" t="s">
        <v>16</v>
      </c>
      <c r="D2061" s="1">
        <v>46347</v>
      </c>
      <c r="E2061" t="s">
        <v>17</v>
      </c>
      <c r="Q2061" t="s">
        <v>121</v>
      </c>
      <c r="R2061" t="str">
        <f>_xlfn.XLOOKUP(GERAL[[#This Row],[Dia]],U:U,V:V,"")</f>
        <v/>
      </c>
    </row>
    <row r="2062" spans="1:18" hidden="1" x14ac:dyDescent="0.3">
      <c r="A2062" t="str">
        <f>_xlfn.XLOOKUP(GERAL[[#This Row],[Dia]],U:U,T:T,"")</f>
        <v/>
      </c>
      <c r="B2062" s="1">
        <v>46348</v>
      </c>
      <c r="C2062" t="s">
        <v>21</v>
      </c>
      <c r="D2062" s="1">
        <v>46348</v>
      </c>
      <c r="E2062" t="s">
        <v>17</v>
      </c>
      <c r="Q2062" t="s">
        <v>121</v>
      </c>
      <c r="R2062" t="str">
        <f>_xlfn.XLOOKUP(GERAL[[#This Row],[Dia]],U:U,V:V,"")</f>
        <v/>
      </c>
    </row>
    <row r="2063" spans="1:18" hidden="1" x14ac:dyDescent="0.3">
      <c r="A2063" t="str">
        <f>_xlfn.XLOOKUP(GERAL[[#This Row],[Dia]],U:U,T:T,"")</f>
        <v/>
      </c>
      <c r="B2063" s="1">
        <v>46349</v>
      </c>
      <c r="C2063" t="s">
        <v>22</v>
      </c>
      <c r="D2063" s="1">
        <v>46349</v>
      </c>
      <c r="Q2063" t="s">
        <v>121</v>
      </c>
      <c r="R2063" t="str">
        <f>_xlfn.XLOOKUP(GERAL[[#This Row],[Dia]],U:U,V:V,"")</f>
        <v/>
      </c>
    </row>
    <row r="2064" spans="1:18" hidden="1" x14ac:dyDescent="0.3">
      <c r="A2064" t="str">
        <f>_xlfn.XLOOKUP(GERAL[[#This Row],[Dia]],U:U,T:T,"")</f>
        <v/>
      </c>
      <c r="B2064" s="1">
        <v>46350</v>
      </c>
      <c r="C2064" t="s">
        <v>23</v>
      </c>
      <c r="D2064" s="1">
        <v>46350</v>
      </c>
      <c r="Q2064" t="s">
        <v>121</v>
      </c>
      <c r="R2064" t="str">
        <f>_xlfn.XLOOKUP(GERAL[[#This Row],[Dia]],U:U,V:V,"")</f>
        <v/>
      </c>
    </row>
    <row r="2065" spans="1:18" hidden="1" x14ac:dyDescent="0.3">
      <c r="A2065" t="str">
        <f>_xlfn.XLOOKUP(GERAL[[#This Row],[Dia]],U:U,T:T,"")</f>
        <v/>
      </c>
      <c r="B2065" s="1">
        <v>46351</v>
      </c>
      <c r="C2065" t="s">
        <v>24</v>
      </c>
      <c r="D2065" s="1">
        <v>46351</v>
      </c>
      <c r="Q2065" t="s">
        <v>121</v>
      </c>
      <c r="R2065" t="str">
        <f>_xlfn.XLOOKUP(GERAL[[#This Row],[Dia]],U:U,V:V,"")</f>
        <v/>
      </c>
    </row>
    <row r="2066" spans="1:18" hidden="1" x14ac:dyDescent="0.3">
      <c r="A2066" t="str">
        <f>_xlfn.XLOOKUP(GERAL[[#This Row],[Dia]],U:U,T:T,"")</f>
        <v/>
      </c>
      <c r="B2066" s="1">
        <v>46352</v>
      </c>
      <c r="C2066" t="s">
        <v>25</v>
      </c>
      <c r="D2066" s="1">
        <v>46352</v>
      </c>
      <c r="Q2066" t="s">
        <v>121</v>
      </c>
      <c r="R2066" t="str">
        <f>_xlfn.XLOOKUP(GERAL[[#This Row],[Dia]],U:U,V:V,"")</f>
        <v/>
      </c>
    </row>
    <row r="2067" spans="1:18" hidden="1" x14ac:dyDescent="0.3">
      <c r="A2067" t="str">
        <f>_xlfn.XLOOKUP(GERAL[[#This Row],[Dia]],U:U,T:T,"")</f>
        <v/>
      </c>
      <c r="B2067" s="1">
        <v>46353</v>
      </c>
      <c r="C2067" t="s">
        <v>26</v>
      </c>
      <c r="D2067" s="1">
        <v>46353</v>
      </c>
      <c r="Q2067" t="s">
        <v>121</v>
      </c>
      <c r="R2067" t="str">
        <f>_xlfn.XLOOKUP(GERAL[[#This Row],[Dia]],U:U,V:V,"")</f>
        <v/>
      </c>
    </row>
    <row r="2068" spans="1:18" hidden="1" x14ac:dyDescent="0.3">
      <c r="A2068" t="str">
        <f>_xlfn.XLOOKUP(GERAL[[#This Row],[Dia]],U:U,T:T,"")</f>
        <v/>
      </c>
      <c r="B2068" s="1">
        <v>46354</v>
      </c>
      <c r="C2068" t="s">
        <v>16</v>
      </c>
      <c r="D2068" s="1">
        <v>46354</v>
      </c>
      <c r="E2068" t="s">
        <v>17</v>
      </c>
      <c r="Q2068" t="s">
        <v>121</v>
      </c>
      <c r="R2068" t="str">
        <f>_xlfn.XLOOKUP(GERAL[[#This Row],[Dia]],U:U,V:V,"")</f>
        <v/>
      </c>
    </row>
    <row r="2069" spans="1:18" hidden="1" x14ac:dyDescent="0.3">
      <c r="A2069" t="str">
        <f>_xlfn.XLOOKUP(GERAL[[#This Row],[Dia]],U:U,T:T,"")</f>
        <v/>
      </c>
      <c r="B2069" s="1">
        <v>46355</v>
      </c>
      <c r="C2069" t="s">
        <v>21</v>
      </c>
      <c r="D2069" s="1">
        <v>46355</v>
      </c>
      <c r="E2069" t="s">
        <v>17</v>
      </c>
      <c r="Q2069" t="s">
        <v>121</v>
      </c>
      <c r="R2069" t="str">
        <f>_xlfn.XLOOKUP(GERAL[[#This Row],[Dia]],U:U,V:V,"")</f>
        <v/>
      </c>
    </row>
    <row r="2070" spans="1:18" hidden="1" x14ac:dyDescent="0.3">
      <c r="A2070" t="str">
        <f>_xlfn.XLOOKUP(GERAL[[#This Row],[Dia]],U:U,T:T,"")</f>
        <v/>
      </c>
      <c r="B2070" s="1">
        <v>46356</v>
      </c>
      <c r="C2070" t="s">
        <v>22</v>
      </c>
      <c r="D2070" s="1">
        <v>46356</v>
      </c>
      <c r="Q2070" t="s">
        <v>121</v>
      </c>
      <c r="R2070" t="str">
        <f>_xlfn.XLOOKUP(GERAL[[#This Row],[Dia]],U:U,V:V,"")</f>
        <v/>
      </c>
    </row>
    <row r="2071" spans="1:18" hidden="1" x14ac:dyDescent="0.3">
      <c r="A2071" t="str">
        <f>_xlfn.XLOOKUP(GERAL[[#This Row],[Dia]],U:U,T:T,"")</f>
        <v/>
      </c>
      <c r="B2071" s="1">
        <v>46357</v>
      </c>
      <c r="C2071" t="s">
        <v>23</v>
      </c>
      <c r="D2071" s="1">
        <v>46357</v>
      </c>
      <c r="Q2071" t="s">
        <v>121</v>
      </c>
      <c r="R2071" t="str">
        <f>_xlfn.XLOOKUP(GERAL[[#This Row],[Dia]],U:U,V:V,"")</f>
        <v/>
      </c>
    </row>
    <row r="2072" spans="1:18" hidden="1" x14ac:dyDescent="0.3">
      <c r="A2072" t="str">
        <f>_xlfn.XLOOKUP(GERAL[[#This Row],[Dia]],U:U,T:T,"")</f>
        <v/>
      </c>
      <c r="B2072" s="1">
        <v>46358</v>
      </c>
      <c r="C2072" t="s">
        <v>24</v>
      </c>
      <c r="D2072" s="1">
        <v>46358</v>
      </c>
      <c r="Q2072" t="s">
        <v>121</v>
      </c>
      <c r="R2072" t="str">
        <f>_xlfn.XLOOKUP(GERAL[[#This Row],[Dia]],U:U,V:V,"")</f>
        <v/>
      </c>
    </row>
    <row r="2073" spans="1:18" hidden="1" x14ac:dyDescent="0.3">
      <c r="A2073" t="str">
        <f>_xlfn.XLOOKUP(GERAL[[#This Row],[Dia]],U:U,T:T,"")</f>
        <v/>
      </c>
      <c r="B2073" s="1">
        <v>46359</v>
      </c>
      <c r="C2073" t="s">
        <v>25</v>
      </c>
      <c r="D2073" s="1">
        <v>46359</v>
      </c>
      <c r="Q2073" t="s">
        <v>121</v>
      </c>
      <c r="R2073" t="str">
        <f>_xlfn.XLOOKUP(GERAL[[#This Row],[Dia]],U:U,V:V,"")</f>
        <v/>
      </c>
    </row>
    <row r="2074" spans="1:18" hidden="1" x14ac:dyDescent="0.3">
      <c r="A2074" t="str">
        <f>_xlfn.XLOOKUP(GERAL[[#This Row],[Dia]],U:U,T:T,"")</f>
        <v/>
      </c>
      <c r="B2074" s="1">
        <v>46360</v>
      </c>
      <c r="C2074" t="s">
        <v>26</v>
      </c>
      <c r="D2074" s="1">
        <v>46360</v>
      </c>
      <c r="Q2074" t="s">
        <v>121</v>
      </c>
      <c r="R2074" t="str">
        <f>_xlfn.XLOOKUP(GERAL[[#This Row],[Dia]],U:U,V:V,"")</f>
        <v/>
      </c>
    </row>
    <row r="2075" spans="1:18" hidden="1" x14ac:dyDescent="0.3">
      <c r="A2075" t="str">
        <f>_xlfn.XLOOKUP(GERAL[[#This Row],[Dia]],U:U,T:T,"")</f>
        <v/>
      </c>
      <c r="B2075" s="1">
        <v>46361</v>
      </c>
      <c r="C2075" t="s">
        <v>16</v>
      </c>
      <c r="D2075" s="1">
        <v>46361</v>
      </c>
      <c r="E2075" t="s">
        <v>17</v>
      </c>
      <c r="Q2075" t="s">
        <v>121</v>
      </c>
      <c r="R2075" t="str">
        <f>_xlfn.XLOOKUP(GERAL[[#This Row],[Dia]],U:U,V:V,"")</f>
        <v/>
      </c>
    </row>
    <row r="2076" spans="1:18" hidden="1" x14ac:dyDescent="0.3">
      <c r="A2076" t="str">
        <f>_xlfn.XLOOKUP(GERAL[[#This Row],[Dia]],U:U,T:T,"")</f>
        <v/>
      </c>
      <c r="B2076" s="1">
        <v>46362</v>
      </c>
      <c r="C2076" t="s">
        <v>21</v>
      </c>
      <c r="D2076" s="1">
        <v>46362</v>
      </c>
      <c r="E2076" t="s">
        <v>17</v>
      </c>
      <c r="Q2076" t="s">
        <v>121</v>
      </c>
      <c r="R2076" t="str">
        <f>_xlfn.XLOOKUP(GERAL[[#This Row],[Dia]],U:U,V:V,"")</f>
        <v/>
      </c>
    </row>
    <row r="2077" spans="1:18" hidden="1" x14ac:dyDescent="0.3">
      <c r="A2077" t="str">
        <f>_xlfn.XLOOKUP(GERAL[[#This Row],[Dia]],U:U,T:T,"")</f>
        <v/>
      </c>
      <c r="B2077" s="1">
        <v>46363</v>
      </c>
      <c r="C2077" t="s">
        <v>22</v>
      </c>
      <c r="D2077" s="1">
        <v>46363</v>
      </c>
      <c r="Q2077" t="s">
        <v>121</v>
      </c>
      <c r="R2077" t="str">
        <f>_xlfn.XLOOKUP(GERAL[[#This Row],[Dia]],U:U,V:V,"")</f>
        <v/>
      </c>
    </row>
    <row r="2078" spans="1:18" hidden="1" x14ac:dyDescent="0.3">
      <c r="A2078" t="str">
        <f>_xlfn.XLOOKUP(GERAL[[#This Row],[Dia]],U:U,T:T,"")</f>
        <v/>
      </c>
      <c r="B2078" s="1">
        <v>46364</v>
      </c>
      <c r="C2078" t="s">
        <v>23</v>
      </c>
      <c r="D2078" s="1">
        <v>46364</v>
      </c>
      <c r="Q2078" t="s">
        <v>121</v>
      </c>
      <c r="R2078" t="str">
        <f>_xlfn.XLOOKUP(GERAL[[#This Row],[Dia]],U:U,V:V,"")</f>
        <v/>
      </c>
    </row>
    <row r="2079" spans="1:18" hidden="1" x14ac:dyDescent="0.3">
      <c r="A2079" t="str">
        <f>_xlfn.XLOOKUP(GERAL[[#This Row],[Dia]],U:U,T:T,"")</f>
        <v/>
      </c>
      <c r="B2079" s="1">
        <v>46365</v>
      </c>
      <c r="C2079" t="s">
        <v>24</v>
      </c>
      <c r="D2079" s="1">
        <v>46365</v>
      </c>
      <c r="Q2079" t="s">
        <v>121</v>
      </c>
      <c r="R2079" t="str">
        <f>_xlfn.XLOOKUP(GERAL[[#This Row],[Dia]],U:U,V:V,"")</f>
        <v/>
      </c>
    </row>
    <row r="2080" spans="1:18" hidden="1" x14ac:dyDescent="0.3">
      <c r="A2080" t="str">
        <f>_xlfn.XLOOKUP(GERAL[[#This Row],[Dia]],U:U,T:T,"")</f>
        <v/>
      </c>
      <c r="B2080" s="1">
        <v>46366</v>
      </c>
      <c r="C2080" t="s">
        <v>25</v>
      </c>
      <c r="D2080" s="1">
        <v>46366</v>
      </c>
      <c r="Q2080" t="s">
        <v>121</v>
      </c>
      <c r="R2080" t="str">
        <f>_xlfn.XLOOKUP(GERAL[[#This Row],[Dia]],U:U,V:V,"")</f>
        <v/>
      </c>
    </row>
    <row r="2081" spans="1:18" hidden="1" x14ac:dyDescent="0.3">
      <c r="A2081" t="str">
        <f>_xlfn.XLOOKUP(GERAL[[#This Row],[Dia]],U:U,T:T,"")</f>
        <v/>
      </c>
      <c r="B2081" s="1">
        <v>46367</v>
      </c>
      <c r="C2081" t="s">
        <v>26</v>
      </c>
      <c r="D2081" s="1">
        <v>46367</v>
      </c>
      <c r="Q2081" t="s">
        <v>121</v>
      </c>
      <c r="R2081" t="str">
        <f>_xlfn.XLOOKUP(GERAL[[#This Row],[Dia]],U:U,V:V,"")</f>
        <v/>
      </c>
    </row>
    <row r="2082" spans="1:18" hidden="1" x14ac:dyDescent="0.3">
      <c r="A2082" t="str">
        <f>_xlfn.XLOOKUP(GERAL[[#This Row],[Dia]],U:U,T:T,"")</f>
        <v/>
      </c>
      <c r="B2082" s="1">
        <v>46368</v>
      </c>
      <c r="C2082" t="s">
        <v>16</v>
      </c>
      <c r="D2082" s="1">
        <v>46368</v>
      </c>
      <c r="E2082" t="s">
        <v>17</v>
      </c>
      <c r="Q2082" t="s">
        <v>121</v>
      </c>
      <c r="R2082" t="str">
        <f>_xlfn.XLOOKUP(GERAL[[#This Row],[Dia]],U:U,V:V,"")</f>
        <v/>
      </c>
    </row>
    <row r="2083" spans="1:18" hidden="1" x14ac:dyDescent="0.3">
      <c r="A2083" t="str">
        <f>_xlfn.XLOOKUP(GERAL[[#This Row],[Dia]],U:U,T:T,"")</f>
        <v/>
      </c>
      <c r="B2083" s="1">
        <v>46369</v>
      </c>
      <c r="C2083" t="s">
        <v>21</v>
      </c>
      <c r="D2083" s="1">
        <v>46369</v>
      </c>
      <c r="E2083" t="s">
        <v>17</v>
      </c>
      <c r="Q2083" t="s">
        <v>121</v>
      </c>
      <c r="R2083" t="str">
        <f>_xlfn.XLOOKUP(GERAL[[#This Row],[Dia]],U:U,V:V,"")</f>
        <v/>
      </c>
    </row>
    <row r="2084" spans="1:18" hidden="1" x14ac:dyDescent="0.3">
      <c r="A2084" t="str">
        <f>_xlfn.XLOOKUP(GERAL[[#This Row],[Dia]],U:U,T:T,"")</f>
        <v/>
      </c>
      <c r="B2084" s="1">
        <v>46370</v>
      </c>
      <c r="C2084" t="s">
        <v>22</v>
      </c>
      <c r="D2084" s="1">
        <v>46370</v>
      </c>
      <c r="Q2084" t="s">
        <v>121</v>
      </c>
      <c r="R2084" t="str">
        <f>_xlfn.XLOOKUP(GERAL[[#This Row],[Dia]],U:U,V:V,"")</f>
        <v/>
      </c>
    </row>
    <row r="2085" spans="1:18" hidden="1" x14ac:dyDescent="0.3">
      <c r="A2085" t="str">
        <f>_xlfn.XLOOKUP(GERAL[[#This Row],[Dia]],U:U,T:T,"")</f>
        <v/>
      </c>
      <c r="B2085" s="1">
        <v>46371</v>
      </c>
      <c r="C2085" t="s">
        <v>23</v>
      </c>
      <c r="D2085" s="1">
        <v>46371</v>
      </c>
      <c r="Q2085" t="s">
        <v>121</v>
      </c>
      <c r="R2085" t="str">
        <f>_xlfn.XLOOKUP(GERAL[[#This Row],[Dia]],U:U,V:V,"")</f>
        <v/>
      </c>
    </row>
    <row r="2086" spans="1:18" hidden="1" x14ac:dyDescent="0.3">
      <c r="A2086" t="str">
        <f>_xlfn.XLOOKUP(GERAL[[#This Row],[Dia]],U:U,T:T,"")</f>
        <v/>
      </c>
      <c r="B2086" s="1">
        <v>46372</v>
      </c>
      <c r="C2086" t="s">
        <v>24</v>
      </c>
      <c r="D2086" s="1">
        <v>46372</v>
      </c>
      <c r="Q2086" t="s">
        <v>121</v>
      </c>
      <c r="R2086" t="str">
        <f>_xlfn.XLOOKUP(GERAL[[#This Row],[Dia]],U:U,V:V,"")</f>
        <v/>
      </c>
    </row>
    <row r="2087" spans="1:18" hidden="1" x14ac:dyDescent="0.3">
      <c r="A2087" t="str">
        <f>_xlfn.XLOOKUP(GERAL[[#This Row],[Dia]],U:U,T:T,"")</f>
        <v/>
      </c>
      <c r="B2087" s="1">
        <v>46373</v>
      </c>
      <c r="C2087" t="s">
        <v>25</v>
      </c>
      <c r="D2087" s="1">
        <v>46373</v>
      </c>
      <c r="Q2087" t="s">
        <v>121</v>
      </c>
      <c r="R2087" t="str">
        <f>_xlfn.XLOOKUP(GERAL[[#This Row],[Dia]],U:U,V:V,"")</f>
        <v/>
      </c>
    </row>
    <row r="2088" spans="1:18" hidden="1" x14ac:dyDescent="0.3">
      <c r="A2088" t="str">
        <f>_xlfn.XLOOKUP(GERAL[[#This Row],[Dia]],U:U,T:T,"")</f>
        <v/>
      </c>
      <c r="B2088" s="1">
        <v>46374</v>
      </c>
      <c r="C2088" t="s">
        <v>26</v>
      </c>
      <c r="D2088" s="1">
        <v>46374</v>
      </c>
      <c r="Q2088" t="s">
        <v>121</v>
      </c>
      <c r="R2088" t="str">
        <f>_xlfn.XLOOKUP(GERAL[[#This Row],[Dia]],U:U,V:V,"")</f>
        <v/>
      </c>
    </row>
    <row r="2089" spans="1:18" hidden="1" x14ac:dyDescent="0.3">
      <c r="A2089" t="str">
        <f>_xlfn.XLOOKUP(GERAL[[#This Row],[Dia]],U:U,T:T,"")</f>
        <v/>
      </c>
      <c r="B2089" s="1">
        <v>46375</v>
      </c>
      <c r="C2089" t="s">
        <v>16</v>
      </c>
      <c r="D2089" s="1">
        <v>46375</v>
      </c>
      <c r="E2089" t="s">
        <v>17</v>
      </c>
      <c r="Q2089" t="s">
        <v>121</v>
      </c>
      <c r="R2089" t="str">
        <f>_xlfn.XLOOKUP(GERAL[[#This Row],[Dia]],U:U,V:V,"")</f>
        <v/>
      </c>
    </row>
    <row r="2090" spans="1:18" hidden="1" x14ac:dyDescent="0.3">
      <c r="A2090" t="str">
        <f>_xlfn.XLOOKUP(GERAL[[#This Row],[Dia]],U:U,T:T,"")</f>
        <v/>
      </c>
      <c r="B2090" s="1">
        <v>46376</v>
      </c>
      <c r="C2090" t="s">
        <v>21</v>
      </c>
      <c r="D2090" s="1">
        <v>46376</v>
      </c>
      <c r="E2090" t="s">
        <v>17</v>
      </c>
      <c r="Q2090" t="s">
        <v>121</v>
      </c>
      <c r="R2090" t="str">
        <f>_xlfn.XLOOKUP(GERAL[[#This Row],[Dia]],U:U,V:V,"")</f>
        <v/>
      </c>
    </row>
    <row r="2091" spans="1:18" hidden="1" x14ac:dyDescent="0.3">
      <c r="A2091" t="str">
        <f>_xlfn.XLOOKUP(GERAL[[#This Row],[Dia]],U:U,T:T,"")</f>
        <v/>
      </c>
      <c r="B2091" s="1">
        <v>46377</v>
      </c>
      <c r="C2091" t="s">
        <v>22</v>
      </c>
      <c r="D2091" s="1">
        <v>46377</v>
      </c>
      <c r="Q2091" t="s">
        <v>121</v>
      </c>
      <c r="R2091" t="str">
        <f>_xlfn.XLOOKUP(GERAL[[#This Row],[Dia]],U:U,V:V,"")</f>
        <v/>
      </c>
    </row>
    <row r="2092" spans="1:18" hidden="1" x14ac:dyDescent="0.3">
      <c r="A2092" t="str">
        <f>_xlfn.XLOOKUP(GERAL[[#This Row],[Dia]],U:U,T:T,"")</f>
        <v/>
      </c>
      <c r="B2092" s="1">
        <v>46378</v>
      </c>
      <c r="C2092" t="s">
        <v>23</v>
      </c>
      <c r="D2092" s="1">
        <v>46378</v>
      </c>
      <c r="Q2092" t="s">
        <v>121</v>
      </c>
      <c r="R2092" t="str">
        <f>_xlfn.XLOOKUP(GERAL[[#This Row],[Dia]],U:U,V:V,"")</f>
        <v/>
      </c>
    </row>
    <row r="2093" spans="1:18" hidden="1" x14ac:dyDescent="0.3">
      <c r="A2093" t="str">
        <f>_xlfn.XLOOKUP(GERAL[[#This Row],[Dia]],U:U,T:T,"")</f>
        <v/>
      </c>
      <c r="B2093" s="1">
        <v>46379</v>
      </c>
      <c r="C2093" t="s">
        <v>24</v>
      </c>
      <c r="D2093" s="1">
        <v>46379</v>
      </c>
      <c r="Q2093" t="s">
        <v>121</v>
      </c>
      <c r="R2093" t="str">
        <f>_xlfn.XLOOKUP(GERAL[[#This Row],[Dia]],U:U,V:V,"")</f>
        <v/>
      </c>
    </row>
    <row r="2094" spans="1:18" hidden="1" x14ac:dyDescent="0.3">
      <c r="A2094" t="str">
        <f>_xlfn.XLOOKUP(GERAL[[#This Row],[Dia]],U:U,T:T,"")</f>
        <v/>
      </c>
      <c r="B2094" s="1">
        <v>46380</v>
      </c>
      <c r="C2094" t="s">
        <v>25</v>
      </c>
      <c r="D2094" s="1">
        <v>46380</v>
      </c>
      <c r="Q2094" t="s">
        <v>121</v>
      </c>
      <c r="R2094" t="str">
        <f>_xlfn.XLOOKUP(GERAL[[#This Row],[Dia]],U:U,V:V,"")</f>
        <v/>
      </c>
    </row>
    <row r="2095" spans="1:18" hidden="1" x14ac:dyDescent="0.3">
      <c r="A2095" t="str">
        <f>_xlfn.XLOOKUP(GERAL[[#This Row],[Dia]],U:U,T:T,"")</f>
        <v/>
      </c>
      <c r="B2095" s="1">
        <v>46381</v>
      </c>
      <c r="C2095" t="s">
        <v>26</v>
      </c>
      <c r="D2095" s="1">
        <v>46381</v>
      </c>
      <c r="Q2095" t="s">
        <v>121</v>
      </c>
      <c r="R2095" t="str">
        <f>_xlfn.XLOOKUP(GERAL[[#This Row],[Dia]],U:U,V:V,"")</f>
        <v/>
      </c>
    </row>
    <row r="2096" spans="1:18" hidden="1" x14ac:dyDescent="0.3">
      <c r="A2096" t="str">
        <f>_xlfn.XLOOKUP(GERAL[[#This Row],[Dia]],U:U,T:T,"")</f>
        <v/>
      </c>
      <c r="B2096" s="1">
        <v>46382</v>
      </c>
      <c r="C2096" t="s">
        <v>16</v>
      </c>
      <c r="D2096" s="1">
        <v>46382</v>
      </c>
      <c r="E2096" t="s">
        <v>17</v>
      </c>
      <c r="Q2096" t="s">
        <v>121</v>
      </c>
      <c r="R2096" t="str">
        <f>_xlfn.XLOOKUP(GERAL[[#This Row],[Dia]],U:U,V:V,"")</f>
        <v/>
      </c>
    </row>
    <row r="2097" spans="1:18" hidden="1" x14ac:dyDescent="0.3">
      <c r="A2097" t="str">
        <f>_xlfn.XLOOKUP(GERAL[[#This Row],[Dia]],U:U,T:T,"")</f>
        <v/>
      </c>
      <c r="B2097" s="1">
        <v>46383</v>
      </c>
      <c r="C2097" t="s">
        <v>21</v>
      </c>
      <c r="D2097" s="1">
        <v>46383</v>
      </c>
      <c r="E2097" t="s">
        <v>17</v>
      </c>
      <c r="Q2097" t="s">
        <v>121</v>
      </c>
      <c r="R2097" t="str">
        <f>_xlfn.XLOOKUP(GERAL[[#This Row],[Dia]],U:U,V:V,"")</f>
        <v/>
      </c>
    </row>
    <row r="2098" spans="1:18" hidden="1" x14ac:dyDescent="0.3">
      <c r="A2098" t="str">
        <f>_xlfn.XLOOKUP(GERAL[[#This Row],[Dia]],U:U,T:T,"")</f>
        <v/>
      </c>
      <c r="B2098" s="1">
        <v>46384</v>
      </c>
      <c r="C2098" t="s">
        <v>22</v>
      </c>
      <c r="D2098" s="1">
        <v>46384</v>
      </c>
      <c r="Q2098" t="s">
        <v>121</v>
      </c>
      <c r="R2098" t="str">
        <f>_xlfn.XLOOKUP(GERAL[[#This Row],[Dia]],U:U,V:V,"")</f>
        <v/>
      </c>
    </row>
    <row r="2099" spans="1:18" hidden="1" x14ac:dyDescent="0.3">
      <c r="A2099" t="str">
        <f>_xlfn.XLOOKUP(GERAL[[#This Row],[Dia]],U:U,T:T,"")</f>
        <v/>
      </c>
      <c r="B2099" s="1">
        <v>46385</v>
      </c>
      <c r="C2099" t="s">
        <v>23</v>
      </c>
      <c r="D2099" s="1">
        <v>46385</v>
      </c>
      <c r="Q2099" t="s">
        <v>121</v>
      </c>
      <c r="R2099" t="str">
        <f>_xlfn.XLOOKUP(GERAL[[#This Row],[Dia]],U:U,V:V,"")</f>
        <v/>
      </c>
    </row>
    <row r="2100" spans="1:18" hidden="1" x14ac:dyDescent="0.3">
      <c r="A2100" t="str">
        <f>_xlfn.XLOOKUP(GERAL[[#This Row],[Dia]],U:U,T:T,"")</f>
        <v/>
      </c>
      <c r="B2100" s="1">
        <v>46386</v>
      </c>
      <c r="C2100" t="s">
        <v>24</v>
      </c>
      <c r="D2100" s="1">
        <v>46386</v>
      </c>
      <c r="Q2100" t="s">
        <v>121</v>
      </c>
      <c r="R2100" t="str">
        <f>_xlfn.XLOOKUP(GERAL[[#This Row],[Dia]],U:U,V:V,"")</f>
        <v/>
      </c>
    </row>
    <row r="2101" spans="1:18" hidden="1" x14ac:dyDescent="0.3">
      <c r="A2101" t="str">
        <f>_xlfn.XLOOKUP(GERAL[[#This Row],[Dia]],U:U,T:T,"")</f>
        <v/>
      </c>
      <c r="B2101" s="1">
        <v>46387</v>
      </c>
      <c r="C2101" t="s">
        <v>25</v>
      </c>
      <c r="D2101" s="1">
        <v>46387</v>
      </c>
      <c r="Q2101" t="s">
        <v>121</v>
      </c>
      <c r="R2101" t="str">
        <f>_xlfn.XLOOKUP(GERAL[[#This Row],[Dia]],U:U,V:V,"")</f>
        <v/>
      </c>
    </row>
    <row r="2102" spans="1:18" hidden="1" x14ac:dyDescent="0.3">
      <c r="A2102" t="str">
        <f>_xlfn.XLOOKUP(GERAL[[#This Row],[Dia]],U:U,T:T,"")</f>
        <v/>
      </c>
      <c r="B2102" s="1">
        <v>46388</v>
      </c>
      <c r="C2102" t="s">
        <v>26</v>
      </c>
      <c r="D2102" s="1">
        <v>46388</v>
      </c>
      <c r="Q2102" t="s">
        <v>121</v>
      </c>
      <c r="R2102" t="str">
        <f>_xlfn.XLOOKUP(GERAL[[#This Row],[Dia]],U:U,V:V,"")</f>
        <v/>
      </c>
    </row>
    <row r="2103" spans="1:18" hidden="1" x14ac:dyDescent="0.3">
      <c r="A2103" t="str">
        <f>_xlfn.XLOOKUP(GERAL[[#This Row],[Dia]],U:U,T:T,"")</f>
        <v/>
      </c>
      <c r="B2103" s="1">
        <v>46389</v>
      </c>
      <c r="C2103" t="s">
        <v>16</v>
      </c>
      <c r="D2103" s="1">
        <v>46389</v>
      </c>
      <c r="E2103" t="s">
        <v>17</v>
      </c>
      <c r="Q2103" t="s">
        <v>121</v>
      </c>
      <c r="R2103" t="str">
        <f>_xlfn.XLOOKUP(GERAL[[#This Row],[Dia]],U:U,V:V,"")</f>
        <v/>
      </c>
    </row>
    <row r="2104" spans="1:18" hidden="1" x14ac:dyDescent="0.3">
      <c r="A2104" t="str">
        <f>_xlfn.XLOOKUP(GERAL[[#This Row],[Dia]],U:U,T:T,"")</f>
        <v/>
      </c>
      <c r="B2104" s="1">
        <v>46390</v>
      </c>
      <c r="C2104" t="s">
        <v>21</v>
      </c>
      <c r="D2104" s="1">
        <v>46390</v>
      </c>
      <c r="E2104" t="s">
        <v>17</v>
      </c>
      <c r="Q2104" t="s">
        <v>121</v>
      </c>
      <c r="R2104" t="str">
        <f>_xlfn.XLOOKUP(GERAL[[#This Row],[Dia]],U:U,V:V,"")</f>
        <v/>
      </c>
    </row>
    <row r="2105" spans="1:18" hidden="1" x14ac:dyDescent="0.3">
      <c r="A2105" t="str">
        <f>_xlfn.XLOOKUP(GERAL[[#This Row],[Dia]],U:U,T:T,"")</f>
        <v/>
      </c>
      <c r="B2105" s="1">
        <v>46391</v>
      </c>
      <c r="C2105" t="s">
        <v>22</v>
      </c>
      <c r="D2105" s="1">
        <v>46391</v>
      </c>
      <c r="Q2105" t="s">
        <v>121</v>
      </c>
      <c r="R2105" t="str">
        <f>_xlfn.XLOOKUP(GERAL[[#This Row],[Dia]],U:U,V:V,"")</f>
        <v/>
      </c>
    </row>
    <row r="2106" spans="1:18" hidden="1" x14ac:dyDescent="0.3">
      <c r="A2106" t="str">
        <f>_xlfn.XLOOKUP(GERAL[[#This Row],[Dia]],U:U,T:T,"")</f>
        <v/>
      </c>
      <c r="B2106" s="1">
        <v>46392</v>
      </c>
      <c r="C2106" t="s">
        <v>23</v>
      </c>
      <c r="D2106" s="1">
        <v>46392</v>
      </c>
      <c r="Q2106" t="s">
        <v>121</v>
      </c>
      <c r="R2106" t="str">
        <f>_xlfn.XLOOKUP(GERAL[[#This Row],[Dia]],U:U,V:V,"")</f>
        <v/>
      </c>
    </row>
    <row r="2107" spans="1:18" hidden="1" x14ac:dyDescent="0.3">
      <c r="A2107" t="str">
        <f>_xlfn.XLOOKUP(GERAL[[#This Row],[Dia]],U:U,T:T,"")</f>
        <v/>
      </c>
      <c r="B2107" s="1">
        <v>46393</v>
      </c>
      <c r="C2107" t="s">
        <v>24</v>
      </c>
      <c r="D2107" s="1">
        <v>46393</v>
      </c>
      <c r="Q2107" t="s">
        <v>121</v>
      </c>
      <c r="R2107" t="str">
        <f>_xlfn.XLOOKUP(GERAL[[#This Row],[Dia]],U:U,V:V,"")</f>
        <v/>
      </c>
    </row>
    <row r="2108" spans="1:18" hidden="1" x14ac:dyDescent="0.3">
      <c r="A2108" t="str">
        <f>_xlfn.XLOOKUP(GERAL[[#This Row],[Dia]],U:U,T:T,"")</f>
        <v/>
      </c>
      <c r="B2108" s="1">
        <v>46394</v>
      </c>
      <c r="C2108" t="s">
        <v>25</v>
      </c>
      <c r="D2108" s="1">
        <v>46394</v>
      </c>
      <c r="Q2108" t="s">
        <v>121</v>
      </c>
      <c r="R2108" t="str">
        <f>_xlfn.XLOOKUP(GERAL[[#This Row],[Dia]],U:U,V:V,"")</f>
        <v/>
      </c>
    </row>
    <row r="2109" spans="1:18" hidden="1" x14ac:dyDescent="0.3">
      <c r="A2109" t="str">
        <f>_xlfn.XLOOKUP(GERAL[[#This Row],[Dia]],U:U,T:T,"")</f>
        <v/>
      </c>
      <c r="B2109" s="1">
        <v>46395</v>
      </c>
      <c r="C2109" t="s">
        <v>26</v>
      </c>
      <c r="D2109" s="1">
        <v>46395</v>
      </c>
      <c r="Q2109" t="s">
        <v>121</v>
      </c>
      <c r="R2109" t="str">
        <f>_xlfn.XLOOKUP(GERAL[[#This Row],[Dia]],U:U,V:V,"")</f>
        <v/>
      </c>
    </row>
    <row r="2110" spans="1:18" hidden="1" x14ac:dyDescent="0.3">
      <c r="A2110" t="str">
        <f>_xlfn.XLOOKUP(GERAL[[#This Row],[Dia]],U:U,T:T,"")</f>
        <v/>
      </c>
      <c r="B2110" s="1">
        <v>46396</v>
      </c>
      <c r="C2110" t="s">
        <v>16</v>
      </c>
      <c r="D2110" s="1">
        <v>46396</v>
      </c>
      <c r="E2110" t="s">
        <v>17</v>
      </c>
      <c r="Q2110" t="s">
        <v>121</v>
      </c>
      <c r="R2110" t="str">
        <f>_xlfn.XLOOKUP(GERAL[[#This Row],[Dia]],U:U,V:V,"")</f>
        <v/>
      </c>
    </row>
    <row r="2111" spans="1:18" hidden="1" x14ac:dyDescent="0.3">
      <c r="A2111" t="str">
        <f>_xlfn.XLOOKUP(GERAL[[#This Row],[Dia]],U:U,T:T,"")</f>
        <v/>
      </c>
      <c r="B2111" s="1">
        <v>46397</v>
      </c>
      <c r="C2111" t="s">
        <v>21</v>
      </c>
      <c r="D2111" s="1">
        <v>46397</v>
      </c>
      <c r="E2111" t="s">
        <v>17</v>
      </c>
      <c r="Q2111" t="s">
        <v>121</v>
      </c>
      <c r="R2111" t="str">
        <f>_xlfn.XLOOKUP(GERAL[[#This Row],[Dia]],U:U,V:V,"")</f>
        <v/>
      </c>
    </row>
    <row r="2112" spans="1:18" hidden="1" x14ac:dyDescent="0.3">
      <c r="A2112" t="str">
        <f>_xlfn.XLOOKUP(GERAL[[#This Row],[Dia]],U:U,T:T,"")</f>
        <v/>
      </c>
      <c r="B2112" s="1">
        <v>46398</v>
      </c>
      <c r="C2112" t="s">
        <v>22</v>
      </c>
      <c r="D2112" s="1">
        <v>46398</v>
      </c>
      <c r="Q2112" t="s">
        <v>121</v>
      </c>
      <c r="R2112" t="str">
        <f>_xlfn.XLOOKUP(GERAL[[#This Row],[Dia]],U:U,V:V,"")</f>
        <v/>
      </c>
    </row>
    <row r="2113" spans="1:18" hidden="1" x14ac:dyDescent="0.3">
      <c r="A2113" t="str">
        <f>_xlfn.XLOOKUP(GERAL[[#This Row],[Dia]],U:U,T:T,"")</f>
        <v/>
      </c>
      <c r="B2113" s="1">
        <v>46399</v>
      </c>
      <c r="C2113" t="s">
        <v>23</v>
      </c>
      <c r="D2113" s="1">
        <v>46399</v>
      </c>
      <c r="Q2113" t="s">
        <v>121</v>
      </c>
      <c r="R2113" t="str">
        <f>_xlfn.XLOOKUP(GERAL[[#This Row],[Dia]],U:U,V:V,"")</f>
        <v/>
      </c>
    </row>
    <row r="2114" spans="1:18" hidden="1" x14ac:dyDescent="0.3">
      <c r="A2114" t="str">
        <f>_xlfn.XLOOKUP(GERAL[[#This Row],[Dia]],U:U,T:T,"")</f>
        <v/>
      </c>
      <c r="B2114" s="1">
        <v>46400</v>
      </c>
      <c r="C2114" t="s">
        <v>24</v>
      </c>
      <c r="D2114" s="1">
        <v>46400</v>
      </c>
      <c r="Q2114" t="s">
        <v>121</v>
      </c>
      <c r="R2114" t="str">
        <f>_xlfn.XLOOKUP(GERAL[[#This Row],[Dia]],U:U,V:V,"")</f>
        <v/>
      </c>
    </row>
    <row r="2115" spans="1:18" hidden="1" x14ac:dyDescent="0.3">
      <c r="A2115" t="str">
        <f>_xlfn.XLOOKUP(GERAL[[#This Row],[Dia]],U:U,T:T,"")</f>
        <v/>
      </c>
      <c r="B2115" s="1">
        <v>46401</v>
      </c>
      <c r="C2115" t="s">
        <v>25</v>
      </c>
      <c r="D2115" s="1">
        <v>46401</v>
      </c>
      <c r="Q2115" t="s">
        <v>121</v>
      </c>
      <c r="R2115" t="str">
        <f>_xlfn.XLOOKUP(GERAL[[#This Row],[Dia]],U:U,V:V,"")</f>
        <v/>
      </c>
    </row>
    <row r="2116" spans="1:18" hidden="1" x14ac:dyDescent="0.3">
      <c r="A2116" t="str">
        <f>_xlfn.XLOOKUP(GERAL[[#This Row],[Dia]],U:U,T:T,"")</f>
        <v/>
      </c>
      <c r="B2116" s="1">
        <v>46402</v>
      </c>
      <c r="C2116" t="s">
        <v>26</v>
      </c>
      <c r="D2116" s="1">
        <v>46402</v>
      </c>
      <c r="Q2116" t="s">
        <v>121</v>
      </c>
      <c r="R2116" t="str">
        <f>_xlfn.XLOOKUP(GERAL[[#This Row],[Dia]],U:U,V:V,"")</f>
        <v/>
      </c>
    </row>
    <row r="2117" spans="1:18" hidden="1" x14ac:dyDescent="0.3">
      <c r="A2117" t="str">
        <f>_xlfn.XLOOKUP(GERAL[[#This Row],[Dia]],U:U,T:T,"")</f>
        <v/>
      </c>
      <c r="B2117" s="1">
        <v>46403</v>
      </c>
      <c r="C2117" t="s">
        <v>16</v>
      </c>
      <c r="D2117" s="1">
        <v>46403</v>
      </c>
      <c r="E2117" t="s">
        <v>17</v>
      </c>
      <c r="Q2117" t="s">
        <v>121</v>
      </c>
      <c r="R2117" t="str">
        <f>_xlfn.XLOOKUP(GERAL[[#This Row],[Dia]],U:U,V:V,"")</f>
        <v/>
      </c>
    </row>
    <row r="2118" spans="1:18" hidden="1" x14ac:dyDescent="0.3">
      <c r="A2118" t="str">
        <f>_xlfn.XLOOKUP(GERAL[[#This Row],[Dia]],U:U,T:T,"")</f>
        <v/>
      </c>
      <c r="B2118" s="1">
        <v>46404</v>
      </c>
      <c r="C2118" t="s">
        <v>21</v>
      </c>
      <c r="D2118" s="1">
        <v>46404</v>
      </c>
      <c r="E2118" t="s">
        <v>17</v>
      </c>
      <c r="Q2118" t="s">
        <v>121</v>
      </c>
      <c r="R2118" t="str">
        <f>_xlfn.XLOOKUP(GERAL[[#This Row],[Dia]],U:U,V:V,"")</f>
        <v/>
      </c>
    </row>
    <row r="2119" spans="1:18" hidden="1" x14ac:dyDescent="0.3">
      <c r="A2119" t="str">
        <f>_xlfn.XLOOKUP(GERAL[[#This Row],[Dia]],U:U,T:T,"")</f>
        <v/>
      </c>
      <c r="B2119" s="1">
        <v>46405</v>
      </c>
      <c r="C2119" t="s">
        <v>22</v>
      </c>
      <c r="D2119" s="1">
        <v>46405</v>
      </c>
      <c r="Q2119" t="s">
        <v>121</v>
      </c>
      <c r="R2119" t="str">
        <f>_xlfn.XLOOKUP(GERAL[[#This Row],[Dia]],U:U,V:V,"")</f>
        <v/>
      </c>
    </row>
    <row r="2120" spans="1:18" hidden="1" x14ac:dyDescent="0.3">
      <c r="A2120" t="str">
        <f>_xlfn.XLOOKUP(GERAL[[#This Row],[Dia]],U:U,T:T,"")</f>
        <v/>
      </c>
      <c r="B2120" s="1">
        <v>46406</v>
      </c>
      <c r="C2120" t="s">
        <v>23</v>
      </c>
      <c r="D2120" s="1">
        <v>46406</v>
      </c>
      <c r="Q2120" t="s">
        <v>121</v>
      </c>
      <c r="R2120" t="str">
        <f>_xlfn.XLOOKUP(GERAL[[#This Row],[Dia]],U:U,V:V,"")</f>
        <v/>
      </c>
    </row>
    <row r="2121" spans="1:18" hidden="1" x14ac:dyDescent="0.3">
      <c r="A2121" t="str">
        <f>_xlfn.XLOOKUP(GERAL[[#This Row],[Dia]],U:U,T:T,"")</f>
        <v/>
      </c>
      <c r="B2121" s="1">
        <v>46407</v>
      </c>
      <c r="C2121" t="s">
        <v>24</v>
      </c>
      <c r="D2121" s="1">
        <v>46407</v>
      </c>
      <c r="Q2121" t="s">
        <v>121</v>
      </c>
      <c r="R2121" t="str">
        <f>_xlfn.XLOOKUP(GERAL[[#This Row],[Dia]],U:U,V:V,"")</f>
        <v/>
      </c>
    </row>
    <row r="2122" spans="1:18" hidden="1" x14ac:dyDescent="0.3">
      <c r="A2122" t="str">
        <f>_xlfn.XLOOKUP(GERAL[[#This Row],[Dia]],U:U,T:T,"")</f>
        <v/>
      </c>
      <c r="B2122" s="1">
        <v>46408</v>
      </c>
      <c r="C2122" t="s">
        <v>25</v>
      </c>
      <c r="D2122" s="1">
        <v>46408</v>
      </c>
      <c r="Q2122" t="s">
        <v>121</v>
      </c>
      <c r="R2122" t="str">
        <f>_xlfn.XLOOKUP(GERAL[[#This Row],[Dia]],U:U,V:V,"")</f>
        <v/>
      </c>
    </row>
    <row r="2123" spans="1:18" hidden="1" x14ac:dyDescent="0.3">
      <c r="A2123" t="str">
        <f>_xlfn.XLOOKUP(GERAL[[#This Row],[Dia]],U:U,T:T,"")</f>
        <v/>
      </c>
      <c r="B2123" s="1">
        <v>46409</v>
      </c>
      <c r="C2123" t="s">
        <v>26</v>
      </c>
      <c r="D2123" s="1">
        <v>46409</v>
      </c>
      <c r="Q2123" t="s">
        <v>121</v>
      </c>
      <c r="R2123" t="str">
        <f>_xlfn.XLOOKUP(GERAL[[#This Row],[Dia]],U:U,V:V,"")</f>
        <v/>
      </c>
    </row>
    <row r="2124" spans="1:18" hidden="1" x14ac:dyDescent="0.3">
      <c r="A2124" t="str">
        <f>_xlfn.XLOOKUP(GERAL[[#This Row],[Dia]],U:U,T:T,"")</f>
        <v/>
      </c>
      <c r="B2124" s="1">
        <v>46410</v>
      </c>
      <c r="C2124" t="s">
        <v>16</v>
      </c>
      <c r="D2124" s="1">
        <v>46410</v>
      </c>
      <c r="E2124" t="s">
        <v>17</v>
      </c>
      <c r="Q2124" t="s">
        <v>121</v>
      </c>
      <c r="R2124" t="str">
        <f>_xlfn.XLOOKUP(GERAL[[#This Row],[Dia]],U:U,V:V,"")</f>
        <v/>
      </c>
    </row>
    <row r="2125" spans="1:18" hidden="1" x14ac:dyDescent="0.3">
      <c r="A2125" t="str">
        <f>_xlfn.XLOOKUP(GERAL[[#This Row],[Dia]],U:U,T:T,"")</f>
        <v/>
      </c>
      <c r="B2125" s="1">
        <v>46411</v>
      </c>
      <c r="C2125" t="s">
        <v>21</v>
      </c>
      <c r="D2125" s="1">
        <v>46411</v>
      </c>
      <c r="E2125" t="s">
        <v>17</v>
      </c>
      <c r="Q2125" t="s">
        <v>121</v>
      </c>
      <c r="R2125" t="str">
        <f>_xlfn.XLOOKUP(GERAL[[#This Row],[Dia]],U:U,V:V,"")</f>
        <v/>
      </c>
    </row>
    <row r="2126" spans="1:18" hidden="1" x14ac:dyDescent="0.3">
      <c r="A2126" t="str">
        <f>_xlfn.XLOOKUP(GERAL[[#This Row],[Dia]],U:U,T:T,"")</f>
        <v/>
      </c>
      <c r="B2126" s="1">
        <v>46412</v>
      </c>
      <c r="C2126" t="s">
        <v>22</v>
      </c>
      <c r="D2126" s="1">
        <v>46412</v>
      </c>
      <c r="Q2126" t="s">
        <v>121</v>
      </c>
      <c r="R2126" t="str">
        <f>_xlfn.XLOOKUP(GERAL[[#This Row],[Dia]],U:U,V:V,"")</f>
        <v/>
      </c>
    </row>
    <row r="2127" spans="1:18" hidden="1" x14ac:dyDescent="0.3">
      <c r="A2127" t="str">
        <f>_xlfn.XLOOKUP(GERAL[[#This Row],[Dia]],U:U,T:T,"")</f>
        <v/>
      </c>
      <c r="B2127" s="1">
        <v>46413</v>
      </c>
      <c r="C2127" t="s">
        <v>23</v>
      </c>
      <c r="D2127" s="1">
        <v>46413</v>
      </c>
      <c r="Q2127" t="s">
        <v>121</v>
      </c>
      <c r="R2127" t="str">
        <f>_xlfn.XLOOKUP(GERAL[[#This Row],[Dia]],U:U,V:V,"")</f>
        <v/>
      </c>
    </row>
    <row r="2128" spans="1:18" hidden="1" x14ac:dyDescent="0.3">
      <c r="A2128" t="str">
        <f>_xlfn.XLOOKUP(GERAL[[#This Row],[Dia]],U:U,T:T,"")</f>
        <v/>
      </c>
      <c r="B2128" s="1">
        <v>46414</v>
      </c>
      <c r="C2128" t="s">
        <v>24</v>
      </c>
      <c r="D2128" s="1">
        <v>46414</v>
      </c>
      <c r="Q2128" t="s">
        <v>121</v>
      </c>
      <c r="R2128" t="str">
        <f>_xlfn.XLOOKUP(GERAL[[#This Row],[Dia]],U:U,V:V,"")</f>
        <v/>
      </c>
    </row>
    <row r="2129" spans="1:18" hidden="1" x14ac:dyDescent="0.3">
      <c r="A2129" t="str">
        <f>_xlfn.XLOOKUP(GERAL[[#This Row],[Dia]],U:U,T:T,"")</f>
        <v/>
      </c>
      <c r="B2129" s="1">
        <v>46415</v>
      </c>
      <c r="C2129" t="s">
        <v>25</v>
      </c>
      <c r="D2129" s="1">
        <v>46415</v>
      </c>
      <c r="Q2129" t="s">
        <v>121</v>
      </c>
      <c r="R2129" t="str">
        <f>_xlfn.XLOOKUP(GERAL[[#This Row],[Dia]],U:U,V:V,"")</f>
        <v/>
      </c>
    </row>
    <row r="2130" spans="1:18" hidden="1" x14ac:dyDescent="0.3">
      <c r="A2130" t="str">
        <f>_xlfn.XLOOKUP(GERAL[[#This Row],[Dia]],U:U,T:T,"")</f>
        <v/>
      </c>
      <c r="B2130" s="1">
        <v>46416</v>
      </c>
      <c r="C2130" t="s">
        <v>26</v>
      </c>
      <c r="D2130" s="1">
        <v>46416</v>
      </c>
      <c r="Q2130" t="s">
        <v>121</v>
      </c>
      <c r="R2130" t="str">
        <f>_xlfn.XLOOKUP(GERAL[[#This Row],[Dia]],U:U,V:V,"")</f>
        <v/>
      </c>
    </row>
    <row r="2131" spans="1:18" hidden="1" x14ac:dyDescent="0.3">
      <c r="A2131" t="str">
        <f>_xlfn.XLOOKUP(GERAL[[#This Row],[Dia]],U:U,T:T,"")</f>
        <v/>
      </c>
      <c r="B2131" s="1">
        <v>46417</v>
      </c>
      <c r="C2131" t="s">
        <v>16</v>
      </c>
      <c r="D2131" s="1">
        <v>46417</v>
      </c>
      <c r="E2131" t="s">
        <v>17</v>
      </c>
      <c r="Q2131" t="s">
        <v>121</v>
      </c>
      <c r="R2131" t="str">
        <f>_xlfn.XLOOKUP(GERAL[[#This Row],[Dia]],U:U,V:V,"")</f>
        <v/>
      </c>
    </row>
    <row r="2132" spans="1:18" hidden="1" x14ac:dyDescent="0.3">
      <c r="A2132" t="str">
        <f>_xlfn.XLOOKUP(GERAL[[#This Row],[Dia]],U:U,T:T,"")</f>
        <v/>
      </c>
      <c r="B2132" s="1">
        <v>46418</v>
      </c>
      <c r="C2132" t="s">
        <v>21</v>
      </c>
      <c r="D2132" s="1">
        <v>46418</v>
      </c>
      <c r="E2132" t="s">
        <v>17</v>
      </c>
      <c r="Q2132" t="s">
        <v>121</v>
      </c>
      <c r="R2132" t="str">
        <f>_xlfn.XLOOKUP(GERAL[[#This Row],[Dia]],U:U,V:V,"")</f>
        <v/>
      </c>
    </row>
    <row r="2133" spans="1:18" hidden="1" x14ac:dyDescent="0.3">
      <c r="A2133" t="str">
        <f>_xlfn.XLOOKUP(GERAL[[#This Row],[Dia]],U:U,T:T,"")</f>
        <v/>
      </c>
      <c r="B2133" s="1">
        <v>46419</v>
      </c>
      <c r="C2133" t="s">
        <v>22</v>
      </c>
      <c r="D2133" s="1">
        <v>46419</v>
      </c>
      <c r="Q2133" t="s">
        <v>121</v>
      </c>
      <c r="R2133" t="str">
        <f>_xlfn.XLOOKUP(GERAL[[#This Row],[Dia]],U:U,V:V,"")</f>
        <v/>
      </c>
    </row>
    <row r="2134" spans="1:18" hidden="1" x14ac:dyDescent="0.3">
      <c r="A2134" t="str">
        <f>_xlfn.XLOOKUP(GERAL[[#This Row],[Dia]],U:U,T:T,"")</f>
        <v/>
      </c>
      <c r="B2134" s="1">
        <v>46420</v>
      </c>
      <c r="C2134" t="s">
        <v>23</v>
      </c>
      <c r="D2134" s="1">
        <v>46420</v>
      </c>
      <c r="Q2134" t="s">
        <v>121</v>
      </c>
      <c r="R2134" t="str">
        <f>_xlfn.XLOOKUP(GERAL[[#This Row],[Dia]],U:U,V:V,"")</f>
        <v/>
      </c>
    </row>
    <row r="2135" spans="1:18" hidden="1" x14ac:dyDescent="0.3">
      <c r="A2135" t="str">
        <f>_xlfn.XLOOKUP(GERAL[[#This Row],[Dia]],U:U,T:T,"")</f>
        <v/>
      </c>
      <c r="B2135" s="1">
        <v>46421</v>
      </c>
      <c r="C2135" t="s">
        <v>24</v>
      </c>
      <c r="D2135" s="1">
        <v>46421</v>
      </c>
      <c r="Q2135" t="s">
        <v>121</v>
      </c>
      <c r="R2135" t="str">
        <f>_xlfn.XLOOKUP(GERAL[[#This Row],[Dia]],U:U,V:V,"")</f>
        <v/>
      </c>
    </row>
    <row r="2136" spans="1:18" hidden="1" x14ac:dyDescent="0.3">
      <c r="A2136" t="str">
        <f>_xlfn.XLOOKUP(GERAL[[#This Row],[Dia]],U:U,T:T,"")</f>
        <v/>
      </c>
      <c r="B2136" s="1">
        <v>46422</v>
      </c>
      <c r="C2136" t="s">
        <v>25</v>
      </c>
      <c r="D2136" s="1">
        <v>46422</v>
      </c>
      <c r="Q2136" t="s">
        <v>121</v>
      </c>
      <c r="R2136" t="str">
        <f>_xlfn.XLOOKUP(GERAL[[#This Row],[Dia]],U:U,V:V,"")</f>
        <v/>
      </c>
    </row>
    <row r="2137" spans="1:18" hidden="1" x14ac:dyDescent="0.3">
      <c r="A2137" t="str">
        <f>_xlfn.XLOOKUP(GERAL[[#This Row],[Dia]],U:U,T:T,"")</f>
        <v/>
      </c>
      <c r="B2137" s="1">
        <v>46423</v>
      </c>
      <c r="C2137" t="s">
        <v>26</v>
      </c>
      <c r="D2137" s="1">
        <v>46423</v>
      </c>
      <c r="Q2137" t="s">
        <v>121</v>
      </c>
      <c r="R2137" t="str">
        <f>_xlfn.XLOOKUP(GERAL[[#This Row],[Dia]],U:U,V:V,"")</f>
        <v/>
      </c>
    </row>
    <row r="2138" spans="1:18" hidden="1" x14ac:dyDescent="0.3">
      <c r="A2138" t="str">
        <f>_xlfn.XLOOKUP(GERAL[[#This Row],[Dia]],U:U,T:T,"")</f>
        <v/>
      </c>
      <c r="B2138" s="1">
        <v>46424</v>
      </c>
      <c r="C2138" t="s">
        <v>16</v>
      </c>
      <c r="D2138" s="1">
        <v>46424</v>
      </c>
      <c r="E2138" t="s">
        <v>17</v>
      </c>
      <c r="Q2138" t="s">
        <v>121</v>
      </c>
      <c r="R2138" t="str">
        <f>_xlfn.XLOOKUP(GERAL[[#This Row],[Dia]],U:U,V:V,"")</f>
        <v/>
      </c>
    </row>
    <row r="2139" spans="1:18" hidden="1" x14ac:dyDescent="0.3">
      <c r="A2139" t="str">
        <f>_xlfn.XLOOKUP(GERAL[[#This Row],[Dia]],U:U,T:T,"")</f>
        <v/>
      </c>
      <c r="B2139" s="1">
        <v>46425</v>
      </c>
      <c r="C2139" t="s">
        <v>21</v>
      </c>
      <c r="D2139" s="1">
        <v>46425</v>
      </c>
      <c r="E2139" t="s">
        <v>17</v>
      </c>
      <c r="Q2139" t="s">
        <v>121</v>
      </c>
      <c r="R2139" t="str">
        <f>_xlfn.XLOOKUP(GERAL[[#This Row],[Dia]],U:U,V:V,"")</f>
        <v/>
      </c>
    </row>
    <row r="2140" spans="1:18" hidden="1" x14ac:dyDescent="0.3">
      <c r="A2140" t="str">
        <f>_xlfn.XLOOKUP(GERAL[[#This Row],[Dia]],U:U,T:T,"")</f>
        <v/>
      </c>
      <c r="B2140" s="1">
        <v>46426</v>
      </c>
      <c r="C2140" t="s">
        <v>22</v>
      </c>
      <c r="D2140" s="1">
        <v>46426</v>
      </c>
      <c r="Q2140" t="s">
        <v>121</v>
      </c>
      <c r="R2140" t="str">
        <f>_xlfn.XLOOKUP(GERAL[[#This Row],[Dia]],U:U,V:V,"")</f>
        <v/>
      </c>
    </row>
    <row r="2141" spans="1:18" hidden="1" x14ac:dyDescent="0.3">
      <c r="A2141" t="str">
        <f>_xlfn.XLOOKUP(GERAL[[#This Row],[Dia]],U:U,T:T,"")</f>
        <v/>
      </c>
      <c r="B2141" s="1">
        <v>46427</v>
      </c>
      <c r="C2141" t="s">
        <v>23</v>
      </c>
      <c r="D2141" s="1">
        <v>46427</v>
      </c>
      <c r="Q2141" t="s">
        <v>121</v>
      </c>
      <c r="R2141" t="str">
        <f>_xlfn.XLOOKUP(GERAL[[#This Row],[Dia]],U:U,V:V,"")</f>
        <v/>
      </c>
    </row>
    <row r="2142" spans="1:18" hidden="1" x14ac:dyDescent="0.3">
      <c r="A2142" t="str">
        <f>_xlfn.XLOOKUP(GERAL[[#This Row],[Dia]],U:U,T:T,"")</f>
        <v/>
      </c>
      <c r="B2142" s="1">
        <v>46428</v>
      </c>
      <c r="C2142" t="s">
        <v>24</v>
      </c>
      <c r="D2142" s="1">
        <v>46428</v>
      </c>
      <c r="Q2142" t="s">
        <v>121</v>
      </c>
      <c r="R2142" t="str">
        <f>_xlfn.XLOOKUP(GERAL[[#This Row],[Dia]],U:U,V:V,"")</f>
        <v/>
      </c>
    </row>
    <row r="2143" spans="1:18" hidden="1" x14ac:dyDescent="0.3">
      <c r="A2143" t="str">
        <f>_xlfn.XLOOKUP(GERAL[[#This Row],[Dia]],U:U,T:T,"")</f>
        <v/>
      </c>
      <c r="B2143" s="1">
        <v>46429</v>
      </c>
      <c r="C2143" t="s">
        <v>25</v>
      </c>
      <c r="D2143" s="1">
        <v>46429</v>
      </c>
      <c r="Q2143" t="s">
        <v>121</v>
      </c>
      <c r="R2143" t="str">
        <f>_xlfn.XLOOKUP(GERAL[[#This Row],[Dia]],U:U,V:V,"")</f>
        <v/>
      </c>
    </row>
    <row r="2144" spans="1:18" hidden="1" x14ac:dyDescent="0.3">
      <c r="A2144" t="str">
        <f>_xlfn.XLOOKUP(GERAL[[#This Row],[Dia]],U:U,T:T,"")</f>
        <v/>
      </c>
      <c r="B2144" s="1">
        <v>46430</v>
      </c>
      <c r="C2144" t="s">
        <v>26</v>
      </c>
      <c r="D2144" s="1">
        <v>46430</v>
      </c>
      <c r="Q2144" t="s">
        <v>121</v>
      </c>
      <c r="R2144" t="str">
        <f>_xlfn.XLOOKUP(GERAL[[#This Row],[Dia]],U:U,V:V,"")</f>
        <v/>
      </c>
    </row>
    <row r="2145" spans="1:18" hidden="1" x14ac:dyDescent="0.3">
      <c r="A2145" t="str">
        <f>_xlfn.XLOOKUP(GERAL[[#This Row],[Dia]],U:U,T:T,"")</f>
        <v/>
      </c>
      <c r="B2145" s="1">
        <v>46431</v>
      </c>
      <c r="C2145" t="s">
        <v>16</v>
      </c>
      <c r="D2145" s="1">
        <v>46431</v>
      </c>
      <c r="E2145" t="s">
        <v>17</v>
      </c>
      <c r="Q2145" t="s">
        <v>121</v>
      </c>
      <c r="R2145" t="str">
        <f>_xlfn.XLOOKUP(GERAL[[#This Row],[Dia]],U:U,V:V,"")</f>
        <v/>
      </c>
    </row>
    <row r="2146" spans="1:18" hidden="1" x14ac:dyDescent="0.3">
      <c r="A2146" t="str">
        <f>_xlfn.XLOOKUP(GERAL[[#This Row],[Dia]],U:U,T:T,"")</f>
        <v/>
      </c>
      <c r="B2146" s="1">
        <v>46432</v>
      </c>
      <c r="C2146" t="s">
        <v>21</v>
      </c>
      <c r="D2146" s="1">
        <v>46432</v>
      </c>
      <c r="E2146" t="s">
        <v>17</v>
      </c>
      <c r="Q2146" t="s">
        <v>121</v>
      </c>
      <c r="R2146" t="str">
        <f>_xlfn.XLOOKUP(GERAL[[#This Row],[Dia]],U:U,V:V,"")</f>
        <v/>
      </c>
    </row>
    <row r="2147" spans="1:18" hidden="1" x14ac:dyDescent="0.3">
      <c r="A2147" t="str">
        <f>_xlfn.XLOOKUP(GERAL[[#This Row],[Dia]],U:U,T:T,"")</f>
        <v/>
      </c>
      <c r="B2147" s="1">
        <v>46433</v>
      </c>
      <c r="C2147" t="s">
        <v>22</v>
      </c>
      <c r="D2147" s="1">
        <v>46433</v>
      </c>
      <c r="Q2147" t="s">
        <v>121</v>
      </c>
      <c r="R2147" t="str">
        <f>_xlfn.XLOOKUP(GERAL[[#This Row],[Dia]],U:U,V:V,"")</f>
        <v/>
      </c>
    </row>
    <row r="2148" spans="1:18" hidden="1" x14ac:dyDescent="0.3">
      <c r="A2148" t="str">
        <f>_xlfn.XLOOKUP(GERAL[[#This Row],[Dia]],U:U,T:T,"")</f>
        <v/>
      </c>
      <c r="B2148" s="1">
        <v>45962</v>
      </c>
      <c r="C2148" t="s">
        <v>16</v>
      </c>
      <c r="D2148" s="1">
        <v>45962</v>
      </c>
      <c r="E2148" t="s">
        <v>17</v>
      </c>
      <c r="Q2148" t="s">
        <v>179</v>
      </c>
      <c r="R2148" t="str">
        <f>_xlfn.XLOOKUP(GERAL[[#This Row],[Dia]],U:U,V:V,"")</f>
        <v/>
      </c>
    </row>
    <row r="2149" spans="1:18" hidden="1" x14ac:dyDescent="0.3">
      <c r="A2149" t="str">
        <f>_xlfn.XLOOKUP(GERAL[[#This Row],[Dia]],U:U,T:T,"")</f>
        <v/>
      </c>
      <c r="B2149" s="1">
        <v>45963</v>
      </c>
      <c r="C2149" t="s">
        <v>21</v>
      </c>
      <c r="D2149" s="1">
        <v>45963</v>
      </c>
      <c r="E2149" t="s">
        <v>17</v>
      </c>
      <c r="Q2149" t="s">
        <v>179</v>
      </c>
      <c r="R2149" t="str">
        <f>_xlfn.XLOOKUP(GERAL[[#This Row],[Dia]],U:U,V:V,"")</f>
        <v/>
      </c>
    </row>
    <row r="2150" spans="1:18" hidden="1" x14ac:dyDescent="0.3">
      <c r="A2150" t="str">
        <f>_xlfn.XLOOKUP(GERAL[[#This Row],[Dia]],U:U,T:T,"")</f>
        <v/>
      </c>
      <c r="B2150" s="1">
        <v>45964</v>
      </c>
      <c r="C2150" t="s">
        <v>22</v>
      </c>
      <c r="D2150" s="1">
        <v>45964</v>
      </c>
      <c r="Q2150" t="s">
        <v>179</v>
      </c>
      <c r="R2150" t="str">
        <f>_xlfn.XLOOKUP(GERAL[[#This Row],[Dia]],U:U,V:V,"")</f>
        <v/>
      </c>
    </row>
    <row r="2151" spans="1:18" hidden="1" x14ac:dyDescent="0.3">
      <c r="A2151" t="str">
        <f>_xlfn.XLOOKUP(GERAL[[#This Row],[Dia]],U:U,T:T,"")</f>
        <v/>
      </c>
      <c r="B2151" s="1">
        <v>45965</v>
      </c>
      <c r="C2151" t="s">
        <v>23</v>
      </c>
      <c r="D2151" s="1">
        <v>45965</v>
      </c>
      <c r="Q2151" t="s">
        <v>179</v>
      </c>
      <c r="R2151" t="str">
        <f>_xlfn.XLOOKUP(GERAL[[#This Row],[Dia]],U:U,V:V,"")</f>
        <v/>
      </c>
    </row>
    <row r="2152" spans="1:18" hidden="1" x14ac:dyDescent="0.3">
      <c r="A2152" t="str">
        <f>_xlfn.XLOOKUP(GERAL[[#This Row],[Dia]],U:U,T:T,"")</f>
        <v/>
      </c>
      <c r="B2152" s="1">
        <v>45966</v>
      </c>
      <c r="C2152" t="s">
        <v>24</v>
      </c>
      <c r="D2152" s="1">
        <v>45966</v>
      </c>
      <c r="Q2152" t="s">
        <v>179</v>
      </c>
      <c r="R2152" t="str">
        <f>_xlfn.XLOOKUP(GERAL[[#This Row],[Dia]],U:U,V:V,"")</f>
        <v/>
      </c>
    </row>
    <row r="2153" spans="1:18" hidden="1" x14ac:dyDescent="0.3">
      <c r="A2153" t="str">
        <f>_xlfn.XLOOKUP(GERAL[[#This Row],[Dia]],U:U,T:T,"")</f>
        <v/>
      </c>
      <c r="B2153" s="1">
        <v>45967</v>
      </c>
      <c r="C2153" t="s">
        <v>25</v>
      </c>
      <c r="D2153" s="1">
        <v>45967</v>
      </c>
      <c r="Q2153" t="s">
        <v>179</v>
      </c>
      <c r="R2153" t="str">
        <f>_xlfn.XLOOKUP(GERAL[[#This Row],[Dia]],U:U,V:V,"")</f>
        <v/>
      </c>
    </row>
    <row r="2154" spans="1:18" hidden="1" x14ac:dyDescent="0.3">
      <c r="A2154" t="str">
        <f>_xlfn.XLOOKUP(GERAL[[#This Row],[Dia]],U:U,T:T,"")</f>
        <v/>
      </c>
      <c r="B2154" s="1">
        <v>45968</v>
      </c>
      <c r="C2154" t="s">
        <v>26</v>
      </c>
      <c r="D2154" s="1">
        <v>45968</v>
      </c>
      <c r="Q2154" t="s">
        <v>179</v>
      </c>
      <c r="R2154" t="str">
        <f>_xlfn.XLOOKUP(GERAL[[#This Row],[Dia]],U:U,V:V,"")</f>
        <v/>
      </c>
    </row>
    <row r="2155" spans="1:18" hidden="1" x14ac:dyDescent="0.3">
      <c r="A2155" t="str">
        <f>_xlfn.XLOOKUP(GERAL[[#This Row],[Dia]],U:U,T:T,"")</f>
        <v/>
      </c>
      <c r="B2155" s="1">
        <v>45969</v>
      </c>
      <c r="C2155" t="s">
        <v>16</v>
      </c>
      <c r="D2155" s="1">
        <v>45969</v>
      </c>
      <c r="E2155" t="s">
        <v>17</v>
      </c>
      <c r="Q2155" t="s">
        <v>179</v>
      </c>
      <c r="R2155" t="str">
        <f>_xlfn.XLOOKUP(GERAL[[#This Row],[Dia]],U:U,V:V,"")</f>
        <v/>
      </c>
    </row>
    <row r="2156" spans="1:18" hidden="1" x14ac:dyDescent="0.3">
      <c r="A2156" t="str">
        <f>_xlfn.XLOOKUP(GERAL[[#This Row],[Dia]],U:U,T:T,"")</f>
        <v/>
      </c>
      <c r="B2156" s="1">
        <v>45970</v>
      </c>
      <c r="C2156" t="s">
        <v>21</v>
      </c>
      <c r="D2156" s="1">
        <v>45970</v>
      </c>
      <c r="E2156" t="s">
        <v>17</v>
      </c>
      <c r="Q2156" t="s">
        <v>179</v>
      </c>
      <c r="R2156" t="str">
        <f>_xlfn.XLOOKUP(GERAL[[#This Row],[Dia]],U:U,V:V,"")</f>
        <v/>
      </c>
    </row>
    <row r="2157" spans="1:18" hidden="1" x14ac:dyDescent="0.3">
      <c r="A2157" t="str">
        <f>_xlfn.XLOOKUP(GERAL[[#This Row],[Dia]],U:U,T:T,"")</f>
        <v/>
      </c>
      <c r="B2157" s="1">
        <v>45971</v>
      </c>
      <c r="C2157" t="s">
        <v>22</v>
      </c>
      <c r="D2157" s="1">
        <v>45971</v>
      </c>
      <c r="Q2157" t="s">
        <v>179</v>
      </c>
      <c r="R2157" t="str">
        <f>_xlfn.XLOOKUP(GERAL[[#This Row],[Dia]],U:U,V:V,"")</f>
        <v/>
      </c>
    </row>
    <row r="2158" spans="1:18" hidden="1" x14ac:dyDescent="0.3">
      <c r="A2158" t="str">
        <f>_xlfn.XLOOKUP(GERAL[[#This Row],[Dia]],U:U,T:T,"")</f>
        <v/>
      </c>
      <c r="B2158" s="1">
        <v>45972</v>
      </c>
      <c r="C2158" t="s">
        <v>23</v>
      </c>
      <c r="D2158" s="1">
        <v>45972</v>
      </c>
      <c r="Q2158" t="s">
        <v>179</v>
      </c>
      <c r="R2158" t="str">
        <f>_xlfn.XLOOKUP(GERAL[[#This Row],[Dia]],U:U,V:V,"")</f>
        <v/>
      </c>
    </row>
    <row r="2159" spans="1:18" hidden="1" x14ac:dyDescent="0.3">
      <c r="A2159" t="str">
        <f>_xlfn.XLOOKUP(GERAL[[#This Row],[Dia]],U:U,T:T,"")</f>
        <v/>
      </c>
      <c r="B2159" s="1">
        <v>45973</v>
      </c>
      <c r="C2159" t="s">
        <v>24</v>
      </c>
      <c r="D2159" s="1">
        <v>45973</v>
      </c>
      <c r="Q2159" t="s">
        <v>179</v>
      </c>
      <c r="R2159" t="str">
        <f>_xlfn.XLOOKUP(GERAL[[#This Row],[Dia]],U:U,V:V,"")</f>
        <v/>
      </c>
    </row>
    <row r="2160" spans="1:18" hidden="1" x14ac:dyDescent="0.3">
      <c r="A2160" t="str">
        <f>_xlfn.XLOOKUP(GERAL[[#This Row],[Dia]],U:U,T:T,"")</f>
        <v/>
      </c>
      <c r="B2160" s="1">
        <v>45974</v>
      </c>
      <c r="C2160" t="s">
        <v>25</v>
      </c>
      <c r="D2160" s="1">
        <v>45974</v>
      </c>
      <c r="Q2160" t="s">
        <v>179</v>
      </c>
      <c r="R2160" t="str">
        <f>_xlfn.XLOOKUP(GERAL[[#This Row],[Dia]],U:U,V:V,"")</f>
        <v/>
      </c>
    </row>
    <row r="2161" spans="1:18" hidden="1" x14ac:dyDescent="0.3">
      <c r="A2161" t="str">
        <f>_xlfn.XLOOKUP(GERAL[[#This Row],[Dia]],U:U,T:T,"")</f>
        <v/>
      </c>
      <c r="B2161" s="1">
        <v>45975</v>
      </c>
      <c r="C2161" t="s">
        <v>26</v>
      </c>
      <c r="D2161" s="1">
        <v>45975</v>
      </c>
      <c r="Q2161" t="s">
        <v>179</v>
      </c>
      <c r="R2161" t="str">
        <f>_xlfn.XLOOKUP(GERAL[[#This Row],[Dia]],U:U,V:V,"")</f>
        <v/>
      </c>
    </row>
    <row r="2162" spans="1:18" hidden="1" x14ac:dyDescent="0.3">
      <c r="A2162" t="str">
        <f>_xlfn.XLOOKUP(GERAL[[#This Row],[Dia]],U:U,T:T,"")</f>
        <v/>
      </c>
      <c r="B2162" s="1">
        <v>45976</v>
      </c>
      <c r="C2162" t="s">
        <v>16</v>
      </c>
      <c r="D2162" s="1">
        <v>45976</v>
      </c>
      <c r="E2162" t="s">
        <v>17</v>
      </c>
      <c r="Q2162" t="s">
        <v>179</v>
      </c>
      <c r="R2162" t="str">
        <f>_xlfn.XLOOKUP(GERAL[[#This Row],[Dia]],U:U,V:V,"")</f>
        <v/>
      </c>
    </row>
    <row r="2163" spans="1:18" hidden="1" x14ac:dyDescent="0.3">
      <c r="A2163" t="str">
        <f>_xlfn.XLOOKUP(GERAL[[#This Row],[Dia]],U:U,T:T,"")</f>
        <v/>
      </c>
      <c r="B2163" s="1">
        <v>45977</v>
      </c>
      <c r="C2163" t="s">
        <v>21</v>
      </c>
      <c r="D2163" s="1">
        <v>45977</v>
      </c>
      <c r="E2163" t="s">
        <v>17</v>
      </c>
      <c r="Q2163" t="s">
        <v>179</v>
      </c>
      <c r="R2163" t="str">
        <f>_xlfn.XLOOKUP(GERAL[[#This Row],[Dia]],U:U,V:V,"")</f>
        <v/>
      </c>
    </row>
    <row r="2164" spans="1:18" hidden="1" x14ac:dyDescent="0.3">
      <c r="A2164" t="str">
        <f>_xlfn.XLOOKUP(GERAL[[#This Row],[Dia]],U:U,T:T,"")</f>
        <v/>
      </c>
      <c r="B2164" s="1">
        <v>45978</v>
      </c>
      <c r="C2164" t="s">
        <v>22</v>
      </c>
      <c r="D2164" s="1">
        <v>45978</v>
      </c>
      <c r="Q2164" t="s">
        <v>179</v>
      </c>
      <c r="R2164" t="str">
        <f>_xlfn.XLOOKUP(GERAL[[#This Row],[Dia]],U:U,V:V,"")</f>
        <v/>
      </c>
    </row>
    <row r="2165" spans="1:18" hidden="1" x14ac:dyDescent="0.3">
      <c r="A2165" t="str">
        <f>_xlfn.XLOOKUP(GERAL[[#This Row],[Dia]],U:U,T:T,"")</f>
        <v/>
      </c>
      <c r="B2165" s="1">
        <v>45979</v>
      </c>
      <c r="C2165" t="s">
        <v>23</v>
      </c>
      <c r="D2165" s="1">
        <v>45979</v>
      </c>
      <c r="Q2165" t="s">
        <v>179</v>
      </c>
      <c r="R2165" t="str">
        <f>_xlfn.XLOOKUP(GERAL[[#This Row],[Dia]],U:U,V:V,"")</f>
        <v/>
      </c>
    </row>
    <row r="2166" spans="1:18" hidden="1" x14ac:dyDescent="0.3">
      <c r="A2166" t="str">
        <f>_xlfn.XLOOKUP(GERAL[[#This Row],[Dia]],U:U,T:T,"")</f>
        <v/>
      </c>
      <c r="B2166" s="1">
        <v>45980</v>
      </c>
      <c r="C2166" t="s">
        <v>24</v>
      </c>
      <c r="D2166" s="1">
        <v>45980</v>
      </c>
      <c r="Q2166" t="s">
        <v>179</v>
      </c>
      <c r="R2166" t="str">
        <f>_xlfn.XLOOKUP(GERAL[[#This Row],[Dia]],U:U,V:V,"")</f>
        <v/>
      </c>
    </row>
    <row r="2167" spans="1:18" hidden="1" x14ac:dyDescent="0.3">
      <c r="A2167" t="str">
        <f>_xlfn.XLOOKUP(GERAL[[#This Row],[Dia]],U:U,T:T,"")</f>
        <v/>
      </c>
      <c r="B2167" s="1">
        <v>45981</v>
      </c>
      <c r="C2167" t="s">
        <v>25</v>
      </c>
      <c r="D2167" s="1">
        <v>45981</v>
      </c>
      <c r="Q2167" t="s">
        <v>179</v>
      </c>
      <c r="R2167" t="str">
        <f>_xlfn.XLOOKUP(GERAL[[#This Row],[Dia]],U:U,V:V,"")</f>
        <v/>
      </c>
    </row>
    <row r="2168" spans="1:18" hidden="1" x14ac:dyDescent="0.3">
      <c r="A2168" t="str">
        <f>_xlfn.XLOOKUP(GERAL[[#This Row],[Dia]],U:U,T:T,"")</f>
        <v/>
      </c>
      <c r="B2168" s="1">
        <v>45982</v>
      </c>
      <c r="C2168" t="s">
        <v>26</v>
      </c>
      <c r="D2168" s="1">
        <v>45982</v>
      </c>
      <c r="Q2168" t="s">
        <v>179</v>
      </c>
      <c r="R2168" t="str">
        <f>_xlfn.XLOOKUP(GERAL[[#This Row],[Dia]],U:U,V:V,"")</f>
        <v/>
      </c>
    </row>
    <row r="2169" spans="1:18" hidden="1" x14ac:dyDescent="0.3">
      <c r="A2169" t="str">
        <f>_xlfn.XLOOKUP(GERAL[[#This Row],[Dia]],U:U,T:T,"")</f>
        <v/>
      </c>
      <c r="B2169" s="1">
        <v>45983</v>
      </c>
      <c r="C2169" t="s">
        <v>16</v>
      </c>
      <c r="D2169" s="1">
        <v>45983</v>
      </c>
      <c r="E2169" t="s">
        <v>17</v>
      </c>
      <c r="Q2169" t="s">
        <v>179</v>
      </c>
      <c r="R2169" t="str">
        <f>_xlfn.XLOOKUP(GERAL[[#This Row],[Dia]],U:U,V:V,"")</f>
        <v/>
      </c>
    </row>
    <row r="2170" spans="1:18" hidden="1" x14ac:dyDescent="0.3">
      <c r="A2170" t="str">
        <f>_xlfn.XLOOKUP(GERAL[[#This Row],[Dia]],U:U,T:T,"")</f>
        <v/>
      </c>
      <c r="B2170" s="1">
        <v>45984</v>
      </c>
      <c r="C2170" t="s">
        <v>21</v>
      </c>
      <c r="D2170" s="1">
        <v>45984</v>
      </c>
      <c r="E2170" t="s">
        <v>17</v>
      </c>
      <c r="Q2170" t="s">
        <v>179</v>
      </c>
      <c r="R2170" t="str">
        <f>_xlfn.XLOOKUP(GERAL[[#This Row],[Dia]],U:U,V:V,"")</f>
        <v/>
      </c>
    </row>
    <row r="2171" spans="1:18" hidden="1" x14ac:dyDescent="0.3">
      <c r="A2171" t="str">
        <f>_xlfn.XLOOKUP(GERAL[[#This Row],[Dia]],U:U,T:T,"")</f>
        <v/>
      </c>
      <c r="B2171" s="1">
        <v>45985</v>
      </c>
      <c r="C2171" t="s">
        <v>22</v>
      </c>
      <c r="D2171" s="1">
        <v>45985</v>
      </c>
      <c r="Q2171" t="s">
        <v>179</v>
      </c>
      <c r="R2171" t="str">
        <f>_xlfn.XLOOKUP(GERAL[[#This Row],[Dia]],U:U,V:V,"")</f>
        <v/>
      </c>
    </row>
    <row r="2172" spans="1:18" hidden="1" x14ac:dyDescent="0.3">
      <c r="A2172" t="str">
        <f>_xlfn.XLOOKUP(GERAL[[#This Row],[Dia]],U:U,T:T,"")</f>
        <v/>
      </c>
      <c r="B2172" s="1">
        <v>45986</v>
      </c>
      <c r="C2172" t="s">
        <v>23</v>
      </c>
      <c r="D2172" s="1">
        <v>45986</v>
      </c>
      <c r="Q2172" t="s">
        <v>179</v>
      </c>
      <c r="R2172" t="str">
        <f>_xlfn.XLOOKUP(GERAL[[#This Row],[Dia]],U:U,V:V,"")</f>
        <v/>
      </c>
    </row>
    <row r="2173" spans="1:18" hidden="1" x14ac:dyDescent="0.3">
      <c r="A2173" t="str">
        <f>_xlfn.XLOOKUP(GERAL[[#This Row],[Dia]],U:U,T:T,"")</f>
        <v/>
      </c>
      <c r="B2173" s="1">
        <v>45987</v>
      </c>
      <c r="C2173" t="s">
        <v>24</v>
      </c>
      <c r="D2173" s="1">
        <v>45987</v>
      </c>
      <c r="Q2173" t="s">
        <v>179</v>
      </c>
      <c r="R2173" t="str">
        <f>_xlfn.XLOOKUP(GERAL[[#This Row],[Dia]],U:U,V:V,"")</f>
        <v/>
      </c>
    </row>
    <row r="2174" spans="1:18" hidden="1" x14ac:dyDescent="0.3">
      <c r="A2174" t="str">
        <f>_xlfn.XLOOKUP(GERAL[[#This Row],[Dia]],U:U,T:T,"")</f>
        <v/>
      </c>
      <c r="B2174" s="1">
        <v>45988</v>
      </c>
      <c r="C2174" t="s">
        <v>25</v>
      </c>
      <c r="D2174" s="1">
        <v>45988</v>
      </c>
      <c r="Q2174" t="s">
        <v>179</v>
      </c>
      <c r="R2174" t="str">
        <f>_xlfn.XLOOKUP(GERAL[[#This Row],[Dia]],U:U,V:V,"")</f>
        <v/>
      </c>
    </row>
    <row r="2175" spans="1:18" hidden="1" x14ac:dyDescent="0.3">
      <c r="A2175" t="str">
        <f>_xlfn.XLOOKUP(GERAL[[#This Row],[Dia]],U:U,T:T,"")</f>
        <v/>
      </c>
      <c r="B2175" s="1">
        <v>45989</v>
      </c>
      <c r="C2175" t="s">
        <v>26</v>
      </c>
      <c r="D2175" s="1">
        <v>45989</v>
      </c>
      <c r="Q2175" t="s">
        <v>179</v>
      </c>
      <c r="R2175" t="str">
        <f>_xlfn.XLOOKUP(GERAL[[#This Row],[Dia]],U:U,V:V,"")</f>
        <v/>
      </c>
    </row>
    <row r="2176" spans="1:18" hidden="1" x14ac:dyDescent="0.3">
      <c r="A2176" t="str">
        <f>_xlfn.XLOOKUP(GERAL[[#This Row],[Dia]],U:U,T:T,"")</f>
        <v/>
      </c>
      <c r="B2176" s="1">
        <v>45990</v>
      </c>
      <c r="C2176" t="s">
        <v>16</v>
      </c>
      <c r="D2176" s="1">
        <v>45990</v>
      </c>
      <c r="E2176" t="s">
        <v>17</v>
      </c>
      <c r="Q2176" t="s">
        <v>179</v>
      </c>
      <c r="R2176" t="str">
        <f>_xlfn.XLOOKUP(GERAL[[#This Row],[Dia]],U:U,V:V,"")</f>
        <v/>
      </c>
    </row>
    <row r="2177" spans="1:18" hidden="1" x14ac:dyDescent="0.3">
      <c r="A2177" t="str">
        <f>_xlfn.XLOOKUP(GERAL[[#This Row],[Dia]],U:U,T:T,"")</f>
        <v/>
      </c>
      <c r="B2177" s="1">
        <v>45991</v>
      </c>
      <c r="C2177" t="s">
        <v>21</v>
      </c>
      <c r="D2177" s="1">
        <v>45991</v>
      </c>
      <c r="E2177" t="s">
        <v>17</v>
      </c>
      <c r="Q2177" t="s">
        <v>179</v>
      </c>
      <c r="R2177" t="str">
        <f>_xlfn.XLOOKUP(GERAL[[#This Row],[Dia]],U:U,V:V,"")</f>
        <v/>
      </c>
    </row>
    <row r="2178" spans="1:18" hidden="1" x14ac:dyDescent="0.3">
      <c r="A2178" t="str">
        <f>_xlfn.XLOOKUP(GERAL[[#This Row],[Dia]],U:U,T:T,"")</f>
        <v/>
      </c>
      <c r="B2178" s="1">
        <v>45992</v>
      </c>
      <c r="C2178" t="s">
        <v>22</v>
      </c>
      <c r="D2178" s="1">
        <v>45992</v>
      </c>
      <c r="Q2178" t="s">
        <v>179</v>
      </c>
      <c r="R2178" t="str">
        <f>_xlfn.XLOOKUP(GERAL[[#This Row],[Dia]],U:U,V:V,"")</f>
        <v/>
      </c>
    </row>
    <row r="2179" spans="1:18" hidden="1" x14ac:dyDescent="0.3">
      <c r="A2179" t="str">
        <f>_xlfn.XLOOKUP(GERAL[[#This Row],[Dia]],U:U,T:T,"")</f>
        <v/>
      </c>
      <c r="B2179" s="1">
        <v>45993</v>
      </c>
      <c r="C2179" t="s">
        <v>23</v>
      </c>
      <c r="D2179" s="1">
        <v>45993</v>
      </c>
      <c r="Q2179" t="s">
        <v>179</v>
      </c>
      <c r="R2179" t="str">
        <f>_xlfn.XLOOKUP(GERAL[[#This Row],[Dia]],U:U,V:V,"")</f>
        <v/>
      </c>
    </row>
    <row r="2180" spans="1:18" hidden="1" x14ac:dyDescent="0.3">
      <c r="A2180" t="str">
        <f>_xlfn.XLOOKUP(GERAL[[#This Row],[Dia]],U:U,T:T,"")</f>
        <v/>
      </c>
      <c r="B2180" s="1">
        <v>45994</v>
      </c>
      <c r="C2180" t="s">
        <v>24</v>
      </c>
      <c r="D2180" s="1">
        <v>45994</v>
      </c>
      <c r="Q2180" t="s">
        <v>179</v>
      </c>
      <c r="R2180" t="str">
        <f>_xlfn.XLOOKUP(GERAL[[#This Row],[Dia]],U:U,V:V,"")</f>
        <v/>
      </c>
    </row>
    <row r="2181" spans="1:18" hidden="1" x14ac:dyDescent="0.3">
      <c r="A2181" t="str">
        <f>_xlfn.XLOOKUP(GERAL[[#This Row],[Dia]],U:U,T:T,"")</f>
        <v/>
      </c>
      <c r="B2181" s="1">
        <v>45995</v>
      </c>
      <c r="C2181" t="s">
        <v>25</v>
      </c>
      <c r="D2181" s="1">
        <v>45995</v>
      </c>
      <c r="Q2181" t="s">
        <v>179</v>
      </c>
      <c r="R2181" t="str">
        <f>_xlfn.XLOOKUP(GERAL[[#This Row],[Dia]],U:U,V:V,"")</f>
        <v/>
      </c>
    </row>
    <row r="2182" spans="1:18" hidden="1" x14ac:dyDescent="0.3">
      <c r="A2182" t="str">
        <f>_xlfn.XLOOKUP(GERAL[[#This Row],[Dia]],U:U,T:T,"")</f>
        <v/>
      </c>
      <c r="B2182" s="1">
        <v>45996</v>
      </c>
      <c r="C2182" t="s">
        <v>26</v>
      </c>
      <c r="D2182" s="1">
        <v>45996</v>
      </c>
      <c r="Q2182" t="s">
        <v>179</v>
      </c>
      <c r="R2182" t="str">
        <f>_xlfn.XLOOKUP(GERAL[[#This Row],[Dia]],U:U,V:V,"")</f>
        <v/>
      </c>
    </row>
    <row r="2183" spans="1:18" hidden="1" x14ac:dyDescent="0.3">
      <c r="A2183" t="str">
        <f>_xlfn.XLOOKUP(GERAL[[#This Row],[Dia]],U:U,T:T,"")</f>
        <v/>
      </c>
      <c r="B2183" s="1">
        <v>45997</v>
      </c>
      <c r="C2183" t="s">
        <v>16</v>
      </c>
      <c r="D2183" s="1">
        <v>45997</v>
      </c>
      <c r="E2183" t="s">
        <v>17</v>
      </c>
      <c r="Q2183" t="s">
        <v>179</v>
      </c>
      <c r="R2183" t="str">
        <f>_xlfn.XLOOKUP(GERAL[[#This Row],[Dia]],U:U,V:V,"")</f>
        <v/>
      </c>
    </row>
    <row r="2184" spans="1:18" hidden="1" x14ac:dyDescent="0.3">
      <c r="A2184" t="str">
        <f>_xlfn.XLOOKUP(GERAL[[#This Row],[Dia]],U:U,T:T,"")</f>
        <v/>
      </c>
      <c r="B2184" s="1">
        <v>45998</v>
      </c>
      <c r="C2184" t="s">
        <v>21</v>
      </c>
      <c r="D2184" s="1">
        <v>45998</v>
      </c>
      <c r="E2184" t="s">
        <v>17</v>
      </c>
      <c r="Q2184" t="s">
        <v>179</v>
      </c>
      <c r="R2184" t="str">
        <f>_xlfn.XLOOKUP(GERAL[[#This Row],[Dia]],U:U,V:V,"")</f>
        <v/>
      </c>
    </row>
    <row r="2185" spans="1:18" hidden="1" x14ac:dyDescent="0.3">
      <c r="A2185" t="str">
        <f>_xlfn.XLOOKUP(GERAL[[#This Row],[Dia]],U:U,T:T,"")</f>
        <v/>
      </c>
      <c r="B2185" s="1">
        <v>45999</v>
      </c>
      <c r="C2185" t="s">
        <v>22</v>
      </c>
      <c r="D2185" s="1">
        <v>45999</v>
      </c>
      <c r="Q2185" t="s">
        <v>179</v>
      </c>
      <c r="R2185" t="str">
        <f>_xlfn.XLOOKUP(GERAL[[#This Row],[Dia]],U:U,V:V,"")</f>
        <v/>
      </c>
    </row>
    <row r="2186" spans="1:18" hidden="1" x14ac:dyDescent="0.3">
      <c r="A2186" t="str">
        <f>_xlfn.XLOOKUP(GERAL[[#This Row],[Dia]],U:U,T:T,"")</f>
        <v/>
      </c>
      <c r="B2186" s="1">
        <v>46000</v>
      </c>
      <c r="C2186" t="s">
        <v>23</v>
      </c>
      <c r="D2186" s="1">
        <v>46000</v>
      </c>
      <c r="Q2186" t="s">
        <v>179</v>
      </c>
      <c r="R2186" t="str">
        <f>_xlfn.XLOOKUP(GERAL[[#This Row],[Dia]],U:U,V:V,"")</f>
        <v/>
      </c>
    </row>
    <row r="2187" spans="1:18" hidden="1" x14ac:dyDescent="0.3">
      <c r="A2187" t="str">
        <f>_xlfn.XLOOKUP(GERAL[[#This Row],[Dia]],U:U,T:T,"")</f>
        <v/>
      </c>
      <c r="B2187" s="1">
        <v>46001</v>
      </c>
      <c r="C2187" t="s">
        <v>24</v>
      </c>
      <c r="D2187" s="1">
        <v>46001</v>
      </c>
      <c r="Q2187" t="s">
        <v>179</v>
      </c>
      <c r="R2187" t="str">
        <f>_xlfn.XLOOKUP(GERAL[[#This Row],[Dia]],U:U,V:V,"")</f>
        <v/>
      </c>
    </row>
    <row r="2188" spans="1:18" hidden="1" x14ac:dyDescent="0.3">
      <c r="A2188" t="str">
        <f>_xlfn.XLOOKUP(GERAL[[#This Row],[Dia]],U:U,T:T,"")</f>
        <v/>
      </c>
      <c r="B2188" s="1">
        <v>46002</v>
      </c>
      <c r="C2188" t="s">
        <v>25</v>
      </c>
      <c r="D2188" s="1">
        <v>46002</v>
      </c>
      <c r="Q2188" t="s">
        <v>179</v>
      </c>
      <c r="R2188" t="str">
        <f>_xlfn.XLOOKUP(GERAL[[#This Row],[Dia]],U:U,V:V,"")</f>
        <v/>
      </c>
    </row>
    <row r="2189" spans="1:18" hidden="1" x14ac:dyDescent="0.3">
      <c r="A2189" t="str">
        <f>_xlfn.XLOOKUP(GERAL[[#This Row],[Dia]],U:U,T:T,"")</f>
        <v/>
      </c>
      <c r="B2189" s="1">
        <v>46003</v>
      </c>
      <c r="C2189" t="s">
        <v>26</v>
      </c>
      <c r="D2189" s="1">
        <v>46003</v>
      </c>
      <c r="Q2189" t="s">
        <v>179</v>
      </c>
      <c r="R2189" t="str">
        <f>_xlfn.XLOOKUP(GERAL[[#This Row],[Dia]],U:U,V:V,"")</f>
        <v/>
      </c>
    </row>
    <row r="2190" spans="1:18" hidden="1" x14ac:dyDescent="0.3">
      <c r="A2190" t="str">
        <f>_xlfn.XLOOKUP(GERAL[[#This Row],[Dia]],U:U,T:T,"")</f>
        <v/>
      </c>
      <c r="B2190" s="1">
        <v>46004</v>
      </c>
      <c r="C2190" t="s">
        <v>16</v>
      </c>
      <c r="D2190" s="1">
        <v>46004</v>
      </c>
      <c r="E2190" t="s">
        <v>17</v>
      </c>
      <c r="Q2190" t="s">
        <v>179</v>
      </c>
      <c r="R2190" t="str">
        <f>_xlfn.XLOOKUP(GERAL[[#This Row],[Dia]],U:U,V:V,"")</f>
        <v/>
      </c>
    </row>
    <row r="2191" spans="1:18" hidden="1" x14ac:dyDescent="0.3">
      <c r="A2191" t="str">
        <f>_xlfn.XLOOKUP(GERAL[[#This Row],[Dia]],U:U,T:T,"")</f>
        <v/>
      </c>
      <c r="B2191" s="1">
        <v>46005</v>
      </c>
      <c r="C2191" t="s">
        <v>21</v>
      </c>
      <c r="D2191" s="1">
        <v>46005</v>
      </c>
      <c r="E2191" t="s">
        <v>17</v>
      </c>
      <c r="Q2191" t="s">
        <v>179</v>
      </c>
      <c r="R2191" t="str">
        <f>_xlfn.XLOOKUP(GERAL[[#This Row],[Dia]],U:U,V:V,"")</f>
        <v/>
      </c>
    </row>
    <row r="2192" spans="1:18" hidden="1" x14ac:dyDescent="0.3">
      <c r="A2192" t="str">
        <f>_xlfn.XLOOKUP(GERAL[[#This Row],[Dia]],U:U,T:T,"")</f>
        <v/>
      </c>
      <c r="B2192" s="1">
        <v>46006</v>
      </c>
      <c r="C2192" t="s">
        <v>22</v>
      </c>
      <c r="D2192" s="1">
        <v>46006</v>
      </c>
      <c r="Q2192" t="s">
        <v>179</v>
      </c>
      <c r="R2192" t="str">
        <f>_xlfn.XLOOKUP(GERAL[[#This Row],[Dia]],U:U,V:V,"")</f>
        <v/>
      </c>
    </row>
    <row r="2193" spans="1:18" hidden="1" x14ac:dyDescent="0.3">
      <c r="A2193" t="str">
        <f>_xlfn.XLOOKUP(GERAL[[#This Row],[Dia]],U:U,T:T,"")</f>
        <v/>
      </c>
      <c r="B2193" s="1">
        <v>46007</v>
      </c>
      <c r="C2193" t="s">
        <v>23</v>
      </c>
      <c r="D2193" s="1">
        <v>46007</v>
      </c>
      <c r="Q2193" t="s">
        <v>179</v>
      </c>
      <c r="R2193" t="str">
        <f>_xlfn.XLOOKUP(GERAL[[#This Row],[Dia]],U:U,V:V,"")</f>
        <v/>
      </c>
    </row>
    <row r="2194" spans="1:18" hidden="1" x14ac:dyDescent="0.3">
      <c r="A2194" t="str">
        <f>_xlfn.XLOOKUP(GERAL[[#This Row],[Dia]],U:U,T:T,"")</f>
        <v/>
      </c>
      <c r="B2194" s="1">
        <v>46008</v>
      </c>
      <c r="C2194" t="s">
        <v>24</v>
      </c>
      <c r="D2194" s="1">
        <v>46008</v>
      </c>
      <c r="Q2194" t="s">
        <v>179</v>
      </c>
      <c r="R2194" t="str">
        <f>_xlfn.XLOOKUP(GERAL[[#This Row],[Dia]],U:U,V:V,"")</f>
        <v/>
      </c>
    </row>
    <row r="2195" spans="1:18" hidden="1" x14ac:dyDescent="0.3">
      <c r="A2195" t="str">
        <f>_xlfn.XLOOKUP(GERAL[[#This Row],[Dia]],U:U,T:T,"")</f>
        <v/>
      </c>
      <c r="B2195" s="1">
        <v>46009</v>
      </c>
      <c r="C2195" t="s">
        <v>25</v>
      </c>
      <c r="D2195" s="1">
        <v>46009</v>
      </c>
      <c r="Q2195" t="s">
        <v>179</v>
      </c>
      <c r="R2195" t="str">
        <f>_xlfn.XLOOKUP(GERAL[[#This Row],[Dia]],U:U,V:V,"")</f>
        <v/>
      </c>
    </row>
    <row r="2196" spans="1:18" hidden="1" x14ac:dyDescent="0.3">
      <c r="A2196" t="str">
        <f>_xlfn.XLOOKUP(GERAL[[#This Row],[Dia]],U:U,T:T,"")</f>
        <v/>
      </c>
      <c r="B2196" s="1">
        <v>46010</v>
      </c>
      <c r="C2196" t="s">
        <v>26</v>
      </c>
      <c r="D2196" s="1">
        <v>46010</v>
      </c>
      <c r="Q2196" t="s">
        <v>179</v>
      </c>
      <c r="R2196" t="str">
        <f>_xlfn.XLOOKUP(GERAL[[#This Row],[Dia]],U:U,V:V,"")</f>
        <v/>
      </c>
    </row>
    <row r="2197" spans="1:18" hidden="1" x14ac:dyDescent="0.3">
      <c r="A2197" t="str">
        <f>_xlfn.XLOOKUP(GERAL[[#This Row],[Dia]],U:U,T:T,"")</f>
        <v/>
      </c>
      <c r="B2197" s="1">
        <v>46011</v>
      </c>
      <c r="C2197" t="s">
        <v>16</v>
      </c>
      <c r="D2197" s="1">
        <v>46011</v>
      </c>
      <c r="E2197" t="s">
        <v>17</v>
      </c>
      <c r="Q2197" t="s">
        <v>179</v>
      </c>
      <c r="R2197" t="str">
        <f>_xlfn.XLOOKUP(GERAL[[#This Row],[Dia]],U:U,V:V,"")</f>
        <v/>
      </c>
    </row>
    <row r="2198" spans="1:18" hidden="1" x14ac:dyDescent="0.3">
      <c r="A2198" t="str">
        <f>_xlfn.XLOOKUP(GERAL[[#This Row],[Dia]],U:U,T:T,"")</f>
        <v/>
      </c>
      <c r="B2198" s="1">
        <v>46012</v>
      </c>
      <c r="C2198" t="s">
        <v>21</v>
      </c>
      <c r="D2198" s="1">
        <v>46012</v>
      </c>
      <c r="E2198" t="s">
        <v>17</v>
      </c>
      <c r="Q2198" t="s">
        <v>179</v>
      </c>
      <c r="R2198" t="str">
        <f>_xlfn.XLOOKUP(GERAL[[#This Row],[Dia]],U:U,V:V,"")</f>
        <v/>
      </c>
    </row>
    <row r="2199" spans="1:18" hidden="1" x14ac:dyDescent="0.3">
      <c r="A2199" t="str">
        <f>_xlfn.XLOOKUP(GERAL[[#This Row],[Dia]],U:U,T:T,"")</f>
        <v/>
      </c>
      <c r="B2199" s="1">
        <v>46013</v>
      </c>
      <c r="C2199" t="s">
        <v>22</v>
      </c>
      <c r="D2199" s="1">
        <v>46013</v>
      </c>
      <c r="Q2199" t="s">
        <v>179</v>
      </c>
      <c r="R2199" t="str">
        <f>_xlfn.XLOOKUP(GERAL[[#This Row],[Dia]],U:U,V:V,"")</f>
        <v/>
      </c>
    </row>
    <row r="2200" spans="1:18" hidden="1" x14ac:dyDescent="0.3">
      <c r="A2200" t="str">
        <f>_xlfn.XLOOKUP(GERAL[[#This Row],[Dia]],U:U,T:T,"")</f>
        <v/>
      </c>
      <c r="B2200" s="1">
        <v>46014</v>
      </c>
      <c r="C2200" t="s">
        <v>23</v>
      </c>
      <c r="D2200" s="1">
        <v>46014</v>
      </c>
      <c r="Q2200" t="s">
        <v>179</v>
      </c>
      <c r="R2200" t="str">
        <f>_xlfn.XLOOKUP(GERAL[[#This Row],[Dia]],U:U,V:V,"")</f>
        <v/>
      </c>
    </row>
    <row r="2201" spans="1:18" hidden="1" x14ac:dyDescent="0.3">
      <c r="A2201" t="str">
        <f>_xlfn.XLOOKUP(GERAL[[#This Row],[Dia]],U:U,T:T,"")</f>
        <v/>
      </c>
      <c r="B2201" s="1">
        <v>46015</v>
      </c>
      <c r="C2201" t="s">
        <v>24</v>
      </c>
      <c r="D2201" s="1">
        <v>46015</v>
      </c>
      <c r="Q2201" t="s">
        <v>179</v>
      </c>
      <c r="R2201" t="str">
        <f>_xlfn.XLOOKUP(GERAL[[#This Row],[Dia]],U:U,V:V,"")</f>
        <v/>
      </c>
    </row>
    <row r="2202" spans="1:18" hidden="1" x14ac:dyDescent="0.3">
      <c r="A2202" t="str">
        <f>_xlfn.XLOOKUP(GERAL[[#This Row],[Dia]],U:U,T:T,"")</f>
        <v/>
      </c>
      <c r="B2202" s="1">
        <v>46016</v>
      </c>
      <c r="C2202" t="s">
        <v>25</v>
      </c>
      <c r="D2202" s="1">
        <v>46016</v>
      </c>
      <c r="Q2202" t="s">
        <v>179</v>
      </c>
      <c r="R2202" t="str">
        <f>_xlfn.XLOOKUP(GERAL[[#This Row],[Dia]],U:U,V:V,"")</f>
        <v/>
      </c>
    </row>
    <row r="2203" spans="1:18" hidden="1" x14ac:dyDescent="0.3">
      <c r="A2203" t="str">
        <f>_xlfn.XLOOKUP(GERAL[[#This Row],[Dia]],U:U,T:T,"")</f>
        <v/>
      </c>
      <c r="B2203" s="1">
        <v>46017</v>
      </c>
      <c r="C2203" t="s">
        <v>26</v>
      </c>
      <c r="D2203" s="1">
        <v>46017</v>
      </c>
      <c r="Q2203" t="s">
        <v>179</v>
      </c>
      <c r="R2203" t="str">
        <f>_xlfn.XLOOKUP(GERAL[[#This Row],[Dia]],U:U,V:V,"")</f>
        <v/>
      </c>
    </row>
    <row r="2204" spans="1:18" hidden="1" x14ac:dyDescent="0.3">
      <c r="A2204" t="str">
        <f>_xlfn.XLOOKUP(GERAL[[#This Row],[Dia]],U:U,T:T,"")</f>
        <v/>
      </c>
      <c r="B2204" s="1">
        <v>46018</v>
      </c>
      <c r="C2204" t="s">
        <v>16</v>
      </c>
      <c r="D2204" s="1">
        <v>46018</v>
      </c>
      <c r="E2204" t="s">
        <v>17</v>
      </c>
      <c r="Q2204" t="s">
        <v>179</v>
      </c>
      <c r="R2204" t="str">
        <f>_xlfn.XLOOKUP(GERAL[[#This Row],[Dia]],U:U,V:V,"")</f>
        <v/>
      </c>
    </row>
    <row r="2205" spans="1:18" hidden="1" x14ac:dyDescent="0.3">
      <c r="A2205" t="str">
        <f>_xlfn.XLOOKUP(GERAL[[#This Row],[Dia]],U:U,T:T,"")</f>
        <v/>
      </c>
      <c r="B2205" s="1">
        <v>46019</v>
      </c>
      <c r="C2205" t="s">
        <v>21</v>
      </c>
      <c r="D2205" s="1">
        <v>46019</v>
      </c>
      <c r="E2205" t="s">
        <v>17</v>
      </c>
      <c r="Q2205" t="s">
        <v>179</v>
      </c>
      <c r="R2205" t="str">
        <f>_xlfn.XLOOKUP(GERAL[[#This Row],[Dia]],U:U,V:V,"")</f>
        <v/>
      </c>
    </row>
    <row r="2206" spans="1:18" hidden="1" x14ac:dyDescent="0.3">
      <c r="A2206" t="str">
        <f>_xlfn.XLOOKUP(GERAL[[#This Row],[Dia]],U:U,T:T,"")</f>
        <v/>
      </c>
      <c r="B2206" s="1">
        <v>46020</v>
      </c>
      <c r="C2206" t="s">
        <v>22</v>
      </c>
      <c r="D2206" s="1">
        <v>46020</v>
      </c>
      <c r="Q2206" t="s">
        <v>179</v>
      </c>
      <c r="R2206" t="str">
        <f>_xlfn.XLOOKUP(GERAL[[#This Row],[Dia]],U:U,V:V,"")</f>
        <v/>
      </c>
    </row>
    <row r="2207" spans="1:18" hidden="1" x14ac:dyDescent="0.3">
      <c r="A2207" t="str">
        <f>_xlfn.XLOOKUP(GERAL[[#This Row],[Dia]],U:U,T:T,"")</f>
        <v/>
      </c>
      <c r="B2207" s="1">
        <v>46021</v>
      </c>
      <c r="C2207" t="s">
        <v>23</v>
      </c>
      <c r="D2207" s="1">
        <v>46021</v>
      </c>
      <c r="Q2207" t="s">
        <v>179</v>
      </c>
      <c r="R2207" t="str">
        <f>_xlfn.XLOOKUP(GERAL[[#This Row],[Dia]],U:U,V:V,"")</f>
        <v/>
      </c>
    </row>
    <row r="2208" spans="1:18" hidden="1" x14ac:dyDescent="0.3">
      <c r="A2208" t="str">
        <f>_xlfn.XLOOKUP(GERAL[[#This Row],[Dia]],U:U,T:T,"")</f>
        <v/>
      </c>
      <c r="B2208" s="1">
        <v>46022</v>
      </c>
      <c r="C2208" t="s">
        <v>24</v>
      </c>
      <c r="D2208" s="1">
        <v>46022</v>
      </c>
      <c r="Q2208" t="s">
        <v>179</v>
      </c>
      <c r="R2208" t="str">
        <f>_xlfn.XLOOKUP(GERAL[[#This Row],[Dia]],U:U,V:V,"")</f>
        <v/>
      </c>
    </row>
    <row r="2209" spans="1:18" hidden="1" x14ac:dyDescent="0.3">
      <c r="A2209" t="str">
        <f>_xlfn.XLOOKUP(GERAL[[#This Row],[Dia]],U:U,T:T,"")</f>
        <v/>
      </c>
      <c r="B2209" s="1">
        <v>46023</v>
      </c>
      <c r="C2209" t="s">
        <v>25</v>
      </c>
      <c r="D2209" s="1">
        <v>46023</v>
      </c>
      <c r="Q2209" t="s">
        <v>179</v>
      </c>
      <c r="R2209" t="str">
        <f>_xlfn.XLOOKUP(GERAL[[#This Row],[Dia]],U:U,V:V,"")</f>
        <v/>
      </c>
    </row>
    <row r="2210" spans="1:18" hidden="1" x14ac:dyDescent="0.3">
      <c r="A2210" t="str">
        <f>_xlfn.XLOOKUP(GERAL[[#This Row],[Dia]],U:U,T:T,"")</f>
        <v/>
      </c>
      <c r="B2210" s="1">
        <v>46024</v>
      </c>
      <c r="C2210" t="s">
        <v>26</v>
      </c>
      <c r="D2210" s="1">
        <v>46024</v>
      </c>
      <c r="Q2210" t="s">
        <v>179</v>
      </c>
      <c r="R2210" t="str">
        <f>_xlfn.XLOOKUP(GERAL[[#This Row],[Dia]],U:U,V:V,"")</f>
        <v/>
      </c>
    </row>
    <row r="2211" spans="1:18" hidden="1" x14ac:dyDescent="0.3">
      <c r="A2211" t="str">
        <f>_xlfn.XLOOKUP(GERAL[[#This Row],[Dia]],U:U,T:T,"")</f>
        <v/>
      </c>
      <c r="B2211" s="1">
        <v>46025</v>
      </c>
      <c r="C2211" t="s">
        <v>16</v>
      </c>
      <c r="D2211" s="1">
        <v>46025</v>
      </c>
      <c r="E2211" t="s">
        <v>17</v>
      </c>
      <c r="Q2211" t="s">
        <v>179</v>
      </c>
      <c r="R2211" t="str">
        <f>_xlfn.XLOOKUP(GERAL[[#This Row],[Dia]],U:U,V:V,"")</f>
        <v/>
      </c>
    </row>
    <row r="2212" spans="1:18" hidden="1" x14ac:dyDescent="0.3">
      <c r="A2212" t="str">
        <f>_xlfn.XLOOKUP(GERAL[[#This Row],[Dia]],U:U,T:T,"")</f>
        <v/>
      </c>
      <c r="B2212" s="1">
        <v>46026</v>
      </c>
      <c r="C2212" t="s">
        <v>21</v>
      </c>
      <c r="D2212" s="1">
        <v>46026</v>
      </c>
      <c r="E2212" t="s">
        <v>17</v>
      </c>
      <c r="Q2212" t="s">
        <v>179</v>
      </c>
      <c r="R2212" t="str">
        <f>_xlfn.XLOOKUP(GERAL[[#This Row],[Dia]],U:U,V:V,"")</f>
        <v/>
      </c>
    </row>
    <row r="2213" spans="1:18" hidden="1" x14ac:dyDescent="0.3">
      <c r="A2213" t="str">
        <f>_xlfn.XLOOKUP(GERAL[[#This Row],[Dia]],U:U,T:T,"")</f>
        <v/>
      </c>
      <c r="B2213" s="1">
        <v>46027</v>
      </c>
      <c r="C2213" t="s">
        <v>22</v>
      </c>
      <c r="D2213" s="1">
        <v>46027</v>
      </c>
      <c r="E2213" t="s">
        <v>17</v>
      </c>
      <c r="Q2213" t="s">
        <v>179</v>
      </c>
      <c r="R2213" t="str">
        <f>_xlfn.XLOOKUP(GERAL[[#This Row],[Dia]],U:U,V:V,"")</f>
        <v/>
      </c>
    </row>
    <row r="2214" spans="1:18" hidden="1" x14ac:dyDescent="0.3">
      <c r="A2214" t="str">
        <f>_xlfn.XLOOKUP(GERAL[[#This Row],[Dia]],U:U,T:T,"")</f>
        <v/>
      </c>
      <c r="B2214" s="1">
        <v>46028</v>
      </c>
      <c r="C2214" t="s">
        <v>23</v>
      </c>
      <c r="D2214" s="1">
        <v>46028</v>
      </c>
      <c r="E2214" t="s">
        <v>36</v>
      </c>
      <c r="F2214" t="s">
        <v>180</v>
      </c>
      <c r="G2214" t="s">
        <v>181</v>
      </c>
      <c r="H2214">
        <v>0</v>
      </c>
      <c r="I2214">
        <v>0</v>
      </c>
      <c r="J2214">
        <v>0</v>
      </c>
      <c r="K2214">
        <v>36</v>
      </c>
      <c r="L2214">
        <v>1</v>
      </c>
      <c r="M2214">
        <v>0</v>
      </c>
      <c r="N2214">
        <v>0</v>
      </c>
      <c r="O2214">
        <v>0</v>
      </c>
      <c r="P2214">
        <v>0</v>
      </c>
      <c r="Q2214" t="s">
        <v>179</v>
      </c>
      <c r="R2214" t="str">
        <f>_xlfn.XLOOKUP(GERAL[[#This Row],[Dia]],U:U,V:V,"")</f>
        <v/>
      </c>
    </row>
    <row r="2215" spans="1:18" hidden="1" x14ac:dyDescent="0.3">
      <c r="A2215" t="str">
        <f>_xlfn.XLOOKUP(GERAL[[#This Row],[Dia]],U:U,T:T,"")</f>
        <v/>
      </c>
      <c r="B2215" s="1">
        <v>46029</v>
      </c>
      <c r="C2215" t="s">
        <v>24</v>
      </c>
      <c r="D2215" s="1">
        <v>46029</v>
      </c>
      <c r="E2215" t="s">
        <v>17</v>
      </c>
      <c r="Q2215" t="s">
        <v>179</v>
      </c>
      <c r="R2215" t="str">
        <f>_xlfn.XLOOKUP(GERAL[[#This Row],[Dia]],U:U,V:V,"")</f>
        <v/>
      </c>
    </row>
    <row r="2216" spans="1:18" hidden="1" x14ac:dyDescent="0.3">
      <c r="A2216" t="str">
        <f>_xlfn.XLOOKUP(GERAL[[#This Row],[Dia]],U:U,T:T,"")</f>
        <v/>
      </c>
      <c r="B2216" s="1">
        <v>46030</v>
      </c>
      <c r="C2216" t="s">
        <v>25</v>
      </c>
      <c r="D2216" s="1">
        <v>46030</v>
      </c>
      <c r="E2216" t="s">
        <v>36</v>
      </c>
      <c r="F2216" t="s">
        <v>180</v>
      </c>
      <c r="G2216" t="s">
        <v>181</v>
      </c>
      <c r="H2216">
        <v>0</v>
      </c>
      <c r="I2216">
        <v>0</v>
      </c>
      <c r="J2216">
        <v>0</v>
      </c>
      <c r="K2216">
        <v>44</v>
      </c>
      <c r="L2216">
        <v>4</v>
      </c>
      <c r="M2216">
        <v>0</v>
      </c>
      <c r="N2216">
        <v>0</v>
      </c>
      <c r="O2216">
        <v>0</v>
      </c>
      <c r="P2216">
        <v>0</v>
      </c>
      <c r="Q2216" t="s">
        <v>179</v>
      </c>
      <c r="R2216" t="str">
        <f>_xlfn.XLOOKUP(GERAL[[#This Row],[Dia]],U:U,V:V,"")</f>
        <v/>
      </c>
    </row>
    <row r="2217" spans="1:18" hidden="1" x14ac:dyDescent="0.3">
      <c r="A2217" t="str">
        <f>_xlfn.XLOOKUP(GERAL[[#This Row],[Dia]],U:U,T:T,"")</f>
        <v/>
      </c>
      <c r="B2217" s="1">
        <v>46031</v>
      </c>
      <c r="C2217" t="s">
        <v>26</v>
      </c>
      <c r="D2217" s="1">
        <v>46031</v>
      </c>
      <c r="E2217" t="s">
        <v>36</v>
      </c>
      <c r="F2217" t="s">
        <v>180</v>
      </c>
      <c r="G2217" t="s">
        <v>181</v>
      </c>
      <c r="H2217">
        <v>0</v>
      </c>
      <c r="I2217">
        <v>0</v>
      </c>
      <c r="J2217">
        <v>0</v>
      </c>
      <c r="K2217">
        <v>48</v>
      </c>
      <c r="L2217">
        <v>4</v>
      </c>
      <c r="M2217">
        <v>0</v>
      </c>
      <c r="N2217">
        <v>0</v>
      </c>
      <c r="O2217">
        <v>0</v>
      </c>
      <c r="P2217">
        <v>0</v>
      </c>
      <c r="Q2217" t="s">
        <v>179</v>
      </c>
      <c r="R2217" t="str">
        <f>_xlfn.XLOOKUP(GERAL[[#This Row],[Dia]],U:U,V:V,"")</f>
        <v/>
      </c>
    </row>
    <row r="2218" spans="1:18" hidden="1" x14ac:dyDescent="0.3">
      <c r="A2218" t="str">
        <f>_xlfn.XLOOKUP(GERAL[[#This Row],[Dia]],U:U,T:T,"")</f>
        <v/>
      </c>
      <c r="B2218" s="1">
        <v>46032</v>
      </c>
      <c r="C2218" t="s">
        <v>16</v>
      </c>
      <c r="D2218" s="1">
        <v>46032</v>
      </c>
      <c r="E2218" t="s">
        <v>17</v>
      </c>
      <c r="Q2218" t="s">
        <v>179</v>
      </c>
      <c r="R2218" t="str">
        <f>_xlfn.XLOOKUP(GERAL[[#This Row],[Dia]],U:U,V:V,"")</f>
        <v/>
      </c>
    </row>
    <row r="2219" spans="1:18" hidden="1" x14ac:dyDescent="0.3">
      <c r="A2219" t="str">
        <f>_xlfn.XLOOKUP(GERAL[[#This Row],[Dia]],U:U,T:T,"")</f>
        <v/>
      </c>
      <c r="B2219" s="1">
        <v>46033</v>
      </c>
      <c r="C2219" t="s">
        <v>21</v>
      </c>
      <c r="D2219" s="1">
        <v>46033</v>
      </c>
      <c r="E2219" t="s">
        <v>17</v>
      </c>
      <c r="Q2219" t="s">
        <v>179</v>
      </c>
      <c r="R2219" t="str">
        <f>_xlfn.XLOOKUP(GERAL[[#This Row],[Dia]],U:U,V:V,"")</f>
        <v/>
      </c>
    </row>
    <row r="2220" spans="1:18" hidden="1" x14ac:dyDescent="0.3">
      <c r="A2220" t="str">
        <f>_xlfn.XLOOKUP(GERAL[[#This Row],[Dia]],U:U,T:T,"")</f>
        <v/>
      </c>
      <c r="B2220" s="1">
        <v>46034</v>
      </c>
      <c r="C2220" t="s">
        <v>22</v>
      </c>
      <c r="D2220" s="1">
        <v>46034</v>
      </c>
      <c r="E2220" t="s">
        <v>36</v>
      </c>
      <c r="F2220" t="s">
        <v>180</v>
      </c>
      <c r="G2220" t="s">
        <v>181</v>
      </c>
      <c r="H2220">
        <v>0</v>
      </c>
      <c r="I2220">
        <v>0</v>
      </c>
      <c r="J2220">
        <v>0</v>
      </c>
      <c r="K2220">
        <v>44</v>
      </c>
      <c r="L2220">
        <v>4</v>
      </c>
      <c r="M2220">
        <v>0</v>
      </c>
      <c r="N2220">
        <v>0</v>
      </c>
      <c r="O2220">
        <v>0</v>
      </c>
      <c r="P2220">
        <v>0</v>
      </c>
      <c r="Q2220" t="s">
        <v>179</v>
      </c>
      <c r="R2220" t="str">
        <f>_xlfn.XLOOKUP(GERAL[[#This Row],[Dia]],U:U,V:V,"")</f>
        <v/>
      </c>
    </row>
    <row r="2221" spans="1:18" hidden="1" x14ac:dyDescent="0.3">
      <c r="A2221" t="str">
        <f>_xlfn.XLOOKUP(GERAL[[#This Row],[Dia]],U:U,T:T,"")</f>
        <v/>
      </c>
      <c r="B2221" s="1">
        <v>46035</v>
      </c>
      <c r="C2221" t="s">
        <v>23</v>
      </c>
      <c r="D2221" s="1">
        <v>46035</v>
      </c>
      <c r="E2221" t="s">
        <v>36</v>
      </c>
      <c r="F2221" t="s">
        <v>180</v>
      </c>
      <c r="G2221" t="s">
        <v>181</v>
      </c>
      <c r="H2221">
        <v>0</v>
      </c>
      <c r="I2221">
        <v>4</v>
      </c>
      <c r="J2221">
        <v>36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 t="s">
        <v>179</v>
      </c>
      <c r="R2221" t="str">
        <f>_xlfn.XLOOKUP(GERAL[[#This Row],[Dia]],U:U,V:V,"")</f>
        <v/>
      </c>
    </row>
    <row r="2222" spans="1:18" hidden="1" x14ac:dyDescent="0.3">
      <c r="A2222" t="str">
        <f>_xlfn.XLOOKUP(GERAL[[#This Row],[Dia]],U:U,T:T,"")</f>
        <v/>
      </c>
      <c r="B2222" s="1">
        <v>46036</v>
      </c>
      <c r="C2222" t="s">
        <v>24</v>
      </c>
      <c r="D2222" s="1">
        <v>46036</v>
      </c>
      <c r="E2222" t="s">
        <v>36</v>
      </c>
      <c r="F2222" t="s">
        <v>180</v>
      </c>
      <c r="G2222" t="s">
        <v>181</v>
      </c>
      <c r="H2222">
        <v>0</v>
      </c>
      <c r="I2222">
        <v>0</v>
      </c>
      <c r="J2222">
        <v>0</v>
      </c>
      <c r="K2222">
        <v>18</v>
      </c>
      <c r="L2222">
        <v>1</v>
      </c>
      <c r="M2222">
        <v>0</v>
      </c>
      <c r="N2222">
        <v>0</v>
      </c>
      <c r="O2222">
        <v>0</v>
      </c>
      <c r="P2222">
        <v>0</v>
      </c>
      <c r="Q2222" t="s">
        <v>179</v>
      </c>
      <c r="R2222" t="str">
        <f>_xlfn.XLOOKUP(GERAL[[#This Row],[Dia]],U:U,V:V,"")</f>
        <v/>
      </c>
    </row>
    <row r="2223" spans="1:18" hidden="1" x14ac:dyDescent="0.3">
      <c r="A2223" t="str">
        <f>_xlfn.XLOOKUP(GERAL[[#This Row],[Dia]],U:U,T:T,"")</f>
        <v/>
      </c>
      <c r="B2223" s="1">
        <v>46037</v>
      </c>
      <c r="C2223" t="s">
        <v>25</v>
      </c>
      <c r="D2223" s="1">
        <v>46037</v>
      </c>
      <c r="E2223" t="s">
        <v>36</v>
      </c>
      <c r="F2223" t="s">
        <v>180</v>
      </c>
      <c r="G2223" t="s">
        <v>181</v>
      </c>
      <c r="H2223">
        <v>0</v>
      </c>
      <c r="I2223">
        <v>0</v>
      </c>
      <c r="J2223">
        <v>0</v>
      </c>
      <c r="K2223">
        <v>12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179</v>
      </c>
      <c r="R2223" t="str">
        <f>_xlfn.XLOOKUP(GERAL[[#This Row],[Dia]],U:U,V:V,"")</f>
        <v/>
      </c>
    </row>
    <row r="2224" spans="1:18" hidden="1" x14ac:dyDescent="0.3">
      <c r="A2224" t="str">
        <f>_xlfn.XLOOKUP(GERAL[[#This Row],[Dia]],U:U,T:T,"")</f>
        <v/>
      </c>
      <c r="B2224" s="1">
        <v>46038</v>
      </c>
      <c r="C2224" t="s">
        <v>26</v>
      </c>
      <c r="D2224" s="1">
        <v>46038</v>
      </c>
      <c r="E2224" t="s">
        <v>17</v>
      </c>
      <c r="Q2224" t="s">
        <v>179</v>
      </c>
      <c r="R2224" t="str">
        <f>_xlfn.XLOOKUP(GERAL[[#This Row],[Dia]],U:U,V:V,"")</f>
        <v/>
      </c>
    </row>
    <row r="2225" spans="1:18" hidden="1" x14ac:dyDescent="0.3">
      <c r="A2225" t="str">
        <f>_xlfn.XLOOKUP(GERAL[[#This Row],[Dia]],U:U,T:T,"")</f>
        <v/>
      </c>
      <c r="B2225" s="1">
        <v>46039</v>
      </c>
      <c r="C2225" t="s">
        <v>16</v>
      </c>
      <c r="D2225" s="1">
        <v>46039</v>
      </c>
      <c r="E2225" t="s">
        <v>17</v>
      </c>
      <c r="Q2225" t="s">
        <v>179</v>
      </c>
      <c r="R2225" t="str">
        <f>_xlfn.XLOOKUP(GERAL[[#This Row],[Dia]],U:U,V:V,"")</f>
        <v/>
      </c>
    </row>
    <row r="2226" spans="1:18" hidden="1" x14ac:dyDescent="0.3">
      <c r="A2226" t="str">
        <f>_xlfn.XLOOKUP(GERAL[[#This Row],[Dia]],U:U,T:T,"")</f>
        <v/>
      </c>
      <c r="B2226" s="1">
        <v>46040</v>
      </c>
      <c r="C2226" t="s">
        <v>21</v>
      </c>
      <c r="D2226" s="1">
        <v>46040</v>
      </c>
      <c r="E2226" t="s">
        <v>17</v>
      </c>
      <c r="Q2226" t="s">
        <v>179</v>
      </c>
      <c r="R2226" t="str">
        <f>_xlfn.XLOOKUP(GERAL[[#This Row],[Dia]],U:U,V:V,"")</f>
        <v/>
      </c>
    </row>
    <row r="2227" spans="1:18" hidden="1" x14ac:dyDescent="0.3">
      <c r="A2227" t="str">
        <f>_xlfn.XLOOKUP(GERAL[[#This Row],[Dia]],U:U,T:T,"")</f>
        <v/>
      </c>
      <c r="B2227" s="1">
        <v>46041</v>
      </c>
      <c r="C2227" t="s">
        <v>22</v>
      </c>
      <c r="D2227" s="1">
        <v>46041</v>
      </c>
      <c r="E2227" t="s">
        <v>17</v>
      </c>
      <c r="Q2227" t="s">
        <v>179</v>
      </c>
      <c r="R2227" t="str">
        <f>_xlfn.XLOOKUP(GERAL[[#This Row],[Dia]],U:U,V:V,"")</f>
        <v/>
      </c>
    </row>
    <row r="2228" spans="1:18" hidden="1" x14ac:dyDescent="0.3">
      <c r="A2228" t="str">
        <f>_xlfn.XLOOKUP(GERAL[[#This Row],[Dia]],U:U,T:T,"")</f>
        <v/>
      </c>
      <c r="B2228" s="1">
        <v>46042</v>
      </c>
      <c r="C2228" t="s">
        <v>23</v>
      </c>
      <c r="D2228" s="1">
        <v>46042</v>
      </c>
      <c r="E2228" t="s">
        <v>17</v>
      </c>
      <c r="Q2228" t="s">
        <v>179</v>
      </c>
      <c r="R2228" t="str">
        <f>_xlfn.XLOOKUP(GERAL[[#This Row],[Dia]],U:U,V:V,"")</f>
        <v/>
      </c>
    </row>
    <row r="2229" spans="1:18" hidden="1" x14ac:dyDescent="0.3">
      <c r="A2229" t="str">
        <f>_xlfn.XLOOKUP(GERAL[[#This Row],[Dia]],U:U,T:T,"")</f>
        <v/>
      </c>
      <c r="B2229" s="1">
        <v>46043</v>
      </c>
      <c r="C2229" t="s">
        <v>24</v>
      </c>
      <c r="D2229" s="1">
        <v>46043</v>
      </c>
      <c r="E2229" t="s">
        <v>36</v>
      </c>
      <c r="F2229" t="s">
        <v>180</v>
      </c>
      <c r="G2229" t="s">
        <v>181</v>
      </c>
      <c r="H2229">
        <v>10</v>
      </c>
      <c r="I2229">
        <v>0</v>
      </c>
      <c r="J2229">
        <v>11</v>
      </c>
      <c r="K2229">
        <v>18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179</v>
      </c>
      <c r="R2229" t="str">
        <f>_xlfn.XLOOKUP(GERAL[[#This Row],[Dia]],U:U,V:V,"")</f>
        <v/>
      </c>
    </row>
    <row r="2230" spans="1:18" hidden="1" x14ac:dyDescent="0.3">
      <c r="A2230" t="str">
        <f>_xlfn.XLOOKUP(GERAL[[#This Row],[Dia]],U:U,T:T,"")</f>
        <v/>
      </c>
      <c r="B2230" s="1">
        <v>46044</v>
      </c>
      <c r="C2230" t="s">
        <v>25</v>
      </c>
      <c r="D2230" s="1">
        <v>46044</v>
      </c>
      <c r="E2230" t="s">
        <v>17</v>
      </c>
      <c r="Q2230" t="s">
        <v>179</v>
      </c>
      <c r="R2230" t="str">
        <f>_xlfn.XLOOKUP(GERAL[[#This Row],[Dia]],U:U,V:V,"")</f>
        <v/>
      </c>
    </row>
    <row r="2231" spans="1:18" hidden="1" x14ac:dyDescent="0.3">
      <c r="A2231" t="str">
        <f>_xlfn.XLOOKUP(GERAL[[#This Row],[Dia]],U:U,T:T,"")</f>
        <v/>
      </c>
      <c r="B2231" s="1">
        <v>46045</v>
      </c>
      <c r="C2231" t="s">
        <v>26</v>
      </c>
      <c r="D2231" s="1">
        <v>46045</v>
      </c>
      <c r="E2231" t="s">
        <v>36</v>
      </c>
      <c r="F2231" t="s">
        <v>180</v>
      </c>
      <c r="G2231" t="s">
        <v>181</v>
      </c>
      <c r="H2231">
        <v>0</v>
      </c>
      <c r="I2231">
        <v>0</v>
      </c>
      <c r="J2231">
        <v>0</v>
      </c>
      <c r="K2231">
        <v>10</v>
      </c>
      <c r="L2231">
        <v>3</v>
      </c>
      <c r="M2231">
        <v>0</v>
      </c>
      <c r="N2231">
        <v>0</v>
      </c>
      <c r="O2231">
        <v>0</v>
      </c>
      <c r="P2231">
        <v>0</v>
      </c>
      <c r="Q2231" t="s">
        <v>179</v>
      </c>
      <c r="R2231" t="str">
        <f>_xlfn.XLOOKUP(GERAL[[#This Row],[Dia]],U:U,V:V,"")</f>
        <v/>
      </c>
    </row>
    <row r="2232" spans="1:18" hidden="1" x14ac:dyDescent="0.3">
      <c r="A2232" t="str">
        <f>_xlfn.XLOOKUP(GERAL[[#This Row],[Dia]],U:U,T:T,"")</f>
        <v/>
      </c>
      <c r="B2232" s="1">
        <v>46046</v>
      </c>
      <c r="C2232" t="s">
        <v>16</v>
      </c>
      <c r="D2232" s="1">
        <v>46046</v>
      </c>
      <c r="E2232" t="s">
        <v>17</v>
      </c>
      <c r="Q2232" t="s">
        <v>179</v>
      </c>
      <c r="R2232" t="str">
        <f>_xlfn.XLOOKUP(GERAL[[#This Row],[Dia]],U:U,V:V,"")</f>
        <v/>
      </c>
    </row>
    <row r="2233" spans="1:18" hidden="1" x14ac:dyDescent="0.3">
      <c r="A2233" t="str">
        <f>_xlfn.XLOOKUP(GERAL[[#This Row],[Dia]],U:U,T:T,"")</f>
        <v/>
      </c>
      <c r="B2233" s="1">
        <v>46047</v>
      </c>
      <c r="C2233" t="s">
        <v>21</v>
      </c>
      <c r="D2233" s="1">
        <v>46047</v>
      </c>
      <c r="E2233" t="s">
        <v>17</v>
      </c>
      <c r="Q2233" t="s">
        <v>179</v>
      </c>
      <c r="R2233" t="str">
        <f>_xlfn.XLOOKUP(GERAL[[#This Row],[Dia]],U:U,V:V,"")</f>
        <v/>
      </c>
    </row>
    <row r="2234" spans="1:18" hidden="1" x14ac:dyDescent="0.3">
      <c r="A2234" t="str">
        <f>_xlfn.XLOOKUP(GERAL[[#This Row],[Dia]],U:U,T:T,"")</f>
        <v/>
      </c>
      <c r="B2234" s="1">
        <v>46048</v>
      </c>
      <c r="C2234" t="s">
        <v>22</v>
      </c>
      <c r="D2234" s="1">
        <v>46048</v>
      </c>
      <c r="E2234" t="s">
        <v>36</v>
      </c>
      <c r="F2234" t="s">
        <v>180</v>
      </c>
      <c r="G2234" t="s">
        <v>181</v>
      </c>
      <c r="H2234">
        <v>0</v>
      </c>
      <c r="I2234">
        <v>0</v>
      </c>
      <c r="J2234">
        <v>0</v>
      </c>
      <c r="K2234">
        <v>12</v>
      </c>
      <c r="L2234">
        <v>1</v>
      </c>
      <c r="M2234">
        <v>0</v>
      </c>
      <c r="N2234">
        <v>0</v>
      </c>
      <c r="O2234">
        <v>0</v>
      </c>
      <c r="P2234">
        <v>0</v>
      </c>
      <c r="Q2234" t="s">
        <v>179</v>
      </c>
      <c r="R2234" t="str">
        <f>_xlfn.XLOOKUP(GERAL[[#This Row],[Dia]],U:U,V:V,"")</f>
        <v/>
      </c>
    </row>
    <row r="2235" spans="1:18" hidden="1" x14ac:dyDescent="0.3">
      <c r="A2235" t="str">
        <f>_xlfn.XLOOKUP(GERAL[[#This Row],[Dia]],U:U,T:T,"")</f>
        <v/>
      </c>
      <c r="B2235" s="1">
        <v>46049</v>
      </c>
      <c r="C2235" t="s">
        <v>23</v>
      </c>
      <c r="D2235" s="1">
        <v>46049</v>
      </c>
      <c r="E2235" t="s">
        <v>36</v>
      </c>
      <c r="F2235" t="s">
        <v>180</v>
      </c>
      <c r="G2235" t="s">
        <v>181</v>
      </c>
      <c r="H2235">
        <v>0</v>
      </c>
      <c r="I2235">
        <v>1</v>
      </c>
      <c r="J2235">
        <v>20</v>
      </c>
      <c r="K2235">
        <v>18</v>
      </c>
      <c r="L2235">
        <v>1</v>
      </c>
      <c r="M2235">
        <v>0</v>
      </c>
      <c r="N2235">
        <v>0</v>
      </c>
      <c r="O2235">
        <v>0</v>
      </c>
      <c r="P2235">
        <v>0</v>
      </c>
      <c r="Q2235" t="s">
        <v>179</v>
      </c>
      <c r="R2235" t="str">
        <f>_xlfn.XLOOKUP(GERAL[[#This Row],[Dia]],U:U,V:V,"")</f>
        <v/>
      </c>
    </row>
    <row r="2236" spans="1:18" hidden="1" x14ac:dyDescent="0.3">
      <c r="A2236" t="str">
        <f>_xlfn.XLOOKUP(GERAL[[#This Row],[Dia]],U:U,T:T,"")</f>
        <v/>
      </c>
      <c r="B2236" s="1">
        <v>46050</v>
      </c>
      <c r="C2236" t="s">
        <v>24</v>
      </c>
      <c r="D2236" s="1">
        <v>46050</v>
      </c>
      <c r="E2236" t="s">
        <v>36</v>
      </c>
      <c r="F2236" t="s">
        <v>180</v>
      </c>
      <c r="G2236" t="s">
        <v>181</v>
      </c>
      <c r="H2236">
        <v>0</v>
      </c>
      <c r="I2236">
        <v>13</v>
      </c>
      <c r="J2236">
        <v>0</v>
      </c>
      <c r="K2236">
        <v>24</v>
      </c>
      <c r="L2236">
        <v>4</v>
      </c>
      <c r="M2236">
        <v>0</v>
      </c>
      <c r="N2236">
        <v>0</v>
      </c>
      <c r="O2236">
        <v>0</v>
      </c>
      <c r="P2236">
        <v>0</v>
      </c>
      <c r="Q2236" t="s">
        <v>179</v>
      </c>
      <c r="R2236" t="str">
        <f>_xlfn.XLOOKUP(GERAL[[#This Row],[Dia]],U:U,V:V,"")</f>
        <v/>
      </c>
    </row>
    <row r="2237" spans="1:18" hidden="1" x14ac:dyDescent="0.3">
      <c r="A2237" t="str">
        <f>_xlfn.XLOOKUP(GERAL[[#This Row],[Dia]],U:U,T:T,"")</f>
        <v/>
      </c>
      <c r="B2237" s="1">
        <v>46051</v>
      </c>
      <c r="C2237" t="s">
        <v>25</v>
      </c>
      <c r="D2237" s="1">
        <v>46051</v>
      </c>
      <c r="E2237" t="s">
        <v>36</v>
      </c>
      <c r="F2237" t="s">
        <v>180</v>
      </c>
      <c r="G2237" t="s">
        <v>181</v>
      </c>
      <c r="H2237">
        <v>8</v>
      </c>
      <c r="I2237">
        <v>2</v>
      </c>
      <c r="J2237">
        <v>50</v>
      </c>
      <c r="K2237">
        <v>25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179</v>
      </c>
      <c r="R2237" t="str">
        <f>_xlfn.XLOOKUP(GERAL[[#This Row],[Dia]],U:U,V:V,"")</f>
        <v/>
      </c>
    </row>
    <row r="2238" spans="1:18" hidden="1" x14ac:dyDescent="0.3">
      <c r="A2238" t="str">
        <f>_xlfn.XLOOKUP(GERAL[[#This Row],[Dia]],U:U,T:T,"")</f>
        <v>Semana 1</v>
      </c>
      <c r="B2238" s="1">
        <v>46052</v>
      </c>
      <c r="C2238" t="s">
        <v>26</v>
      </c>
      <c r="D2238" s="1">
        <v>46052</v>
      </c>
      <c r="E2238" t="s">
        <v>36</v>
      </c>
      <c r="F2238" t="s">
        <v>180</v>
      </c>
      <c r="G2238" t="s">
        <v>181</v>
      </c>
      <c r="H2238">
        <v>0</v>
      </c>
      <c r="I2238">
        <v>0</v>
      </c>
      <c r="J2238">
        <v>0</v>
      </c>
      <c r="K2238">
        <v>0</v>
      </c>
      <c r="L2238">
        <v>2</v>
      </c>
      <c r="M2238">
        <v>0</v>
      </c>
      <c r="N2238">
        <v>0</v>
      </c>
      <c r="O2238">
        <v>0</v>
      </c>
      <c r="P2238">
        <v>0</v>
      </c>
      <c r="Q2238" t="s">
        <v>179</v>
      </c>
      <c r="R2238" t="str">
        <f>_xlfn.XLOOKUP(GERAL[[#This Row],[Dia]],U:U,V:V,"")</f>
        <v>Prazo_30</v>
      </c>
    </row>
    <row r="2239" spans="1:18" hidden="1" x14ac:dyDescent="0.3">
      <c r="A2239" t="str">
        <f>_xlfn.XLOOKUP(GERAL[[#This Row],[Dia]],U:U,T:T,"")</f>
        <v>Semana 1</v>
      </c>
      <c r="B2239" s="1">
        <v>46053</v>
      </c>
      <c r="C2239" t="s">
        <v>16</v>
      </c>
      <c r="D2239" s="1">
        <v>46053</v>
      </c>
      <c r="E2239" t="s">
        <v>17</v>
      </c>
      <c r="Q2239" t="s">
        <v>179</v>
      </c>
      <c r="R2239" t="str">
        <f>_xlfn.XLOOKUP(GERAL[[#This Row],[Dia]],U:U,V:V,"")</f>
        <v>Prazo_30</v>
      </c>
    </row>
    <row r="2240" spans="1:18" hidden="1" x14ac:dyDescent="0.3">
      <c r="A2240" t="str">
        <f>_xlfn.XLOOKUP(GERAL[[#This Row],[Dia]],U:U,T:T,"")</f>
        <v>Semana 1</v>
      </c>
      <c r="B2240" s="1">
        <v>46054</v>
      </c>
      <c r="C2240" t="s">
        <v>21</v>
      </c>
      <c r="D2240" s="1">
        <v>46054</v>
      </c>
      <c r="E2240" t="s">
        <v>17</v>
      </c>
      <c r="Q2240" t="s">
        <v>179</v>
      </c>
      <c r="R2240" t="str">
        <f>_xlfn.XLOOKUP(GERAL[[#This Row],[Dia]],U:U,V:V,"")</f>
        <v>Prazo_30</v>
      </c>
    </row>
    <row r="2241" spans="1:18" hidden="1" x14ac:dyDescent="0.3">
      <c r="A2241" t="str">
        <f>_xlfn.XLOOKUP(GERAL[[#This Row],[Dia]],U:U,T:T,"")</f>
        <v>Semana 1</v>
      </c>
      <c r="B2241" s="1">
        <v>46055</v>
      </c>
      <c r="C2241" t="s">
        <v>22</v>
      </c>
      <c r="D2241" s="1">
        <v>46055</v>
      </c>
      <c r="E2241" t="s">
        <v>36</v>
      </c>
      <c r="F2241" t="s">
        <v>180</v>
      </c>
      <c r="G2241" t="s">
        <v>181</v>
      </c>
      <c r="H2241">
        <v>2</v>
      </c>
      <c r="I2241">
        <v>0</v>
      </c>
      <c r="J2241">
        <v>35</v>
      </c>
      <c r="K2241">
        <v>0</v>
      </c>
      <c r="L2241">
        <v>2</v>
      </c>
      <c r="M2241">
        <v>0</v>
      </c>
      <c r="N2241">
        <v>0</v>
      </c>
      <c r="O2241">
        <v>0</v>
      </c>
      <c r="P2241">
        <v>0</v>
      </c>
      <c r="Q2241" t="s">
        <v>179</v>
      </c>
      <c r="R2241" t="str">
        <f>_xlfn.XLOOKUP(GERAL[[#This Row],[Dia]],U:U,V:V,"")</f>
        <v>Prazo_30</v>
      </c>
    </row>
    <row r="2242" spans="1:18" hidden="1" x14ac:dyDescent="0.3">
      <c r="A2242" t="str">
        <f>_xlfn.XLOOKUP(GERAL[[#This Row],[Dia]],U:U,T:T,"")</f>
        <v>Semana 1</v>
      </c>
      <c r="B2242" s="1">
        <v>46056</v>
      </c>
      <c r="C2242" t="s">
        <v>23</v>
      </c>
      <c r="D2242" s="1">
        <v>46056</v>
      </c>
      <c r="E2242" t="s">
        <v>36</v>
      </c>
      <c r="F2242" t="s">
        <v>180</v>
      </c>
      <c r="G2242" t="s">
        <v>181</v>
      </c>
      <c r="H2242">
        <v>5</v>
      </c>
      <c r="I2242">
        <v>6</v>
      </c>
      <c r="J2242">
        <v>62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0</v>
      </c>
      <c r="Q2242" t="s">
        <v>179</v>
      </c>
      <c r="R2242" t="str">
        <f>_xlfn.XLOOKUP(GERAL[[#This Row],[Dia]],U:U,V:V,"")</f>
        <v>Prazo_30</v>
      </c>
    </row>
    <row r="2243" spans="1:18" hidden="1" x14ac:dyDescent="0.3">
      <c r="A2243" t="str">
        <f>_xlfn.XLOOKUP(GERAL[[#This Row],[Dia]],U:U,T:T,"")</f>
        <v>Semana 1</v>
      </c>
      <c r="B2243" s="1">
        <v>46057</v>
      </c>
      <c r="C2243" t="s">
        <v>24</v>
      </c>
      <c r="D2243" s="1">
        <v>46057</v>
      </c>
      <c r="E2243" t="s">
        <v>36</v>
      </c>
      <c r="F2243" t="s">
        <v>180</v>
      </c>
      <c r="G2243" t="s">
        <v>181</v>
      </c>
      <c r="H2243">
        <v>0</v>
      </c>
      <c r="I2243">
        <v>0</v>
      </c>
      <c r="J2243">
        <v>16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179</v>
      </c>
      <c r="R2243" t="str">
        <f>_xlfn.XLOOKUP(GERAL[[#This Row],[Dia]],U:U,V:V,"")</f>
        <v>Prazo_30</v>
      </c>
    </row>
    <row r="2244" spans="1:18" hidden="1" x14ac:dyDescent="0.3">
      <c r="A2244" t="str">
        <f>_xlfn.XLOOKUP(GERAL[[#This Row],[Dia]],U:U,T:T,"")</f>
        <v>Semana 1</v>
      </c>
      <c r="B2244" s="1">
        <v>46058</v>
      </c>
      <c r="C2244" t="s">
        <v>25</v>
      </c>
      <c r="D2244" s="1">
        <v>46058</v>
      </c>
      <c r="E2244" t="s">
        <v>17</v>
      </c>
      <c r="Q2244" t="s">
        <v>179</v>
      </c>
      <c r="R2244" t="str">
        <f>_xlfn.XLOOKUP(GERAL[[#This Row],[Dia]],U:U,V:V,"")</f>
        <v>Prazo_30</v>
      </c>
    </row>
    <row r="2245" spans="1:18" hidden="1" x14ac:dyDescent="0.3">
      <c r="A2245" t="str">
        <f>_xlfn.XLOOKUP(GERAL[[#This Row],[Dia]],U:U,T:T,"")</f>
        <v>Semana 1</v>
      </c>
      <c r="B2245" s="1">
        <v>46059</v>
      </c>
      <c r="C2245" t="s">
        <v>26</v>
      </c>
      <c r="D2245" s="1">
        <v>46059</v>
      </c>
      <c r="E2245" t="s">
        <v>36</v>
      </c>
      <c r="F2245" t="s">
        <v>180</v>
      </c>
      <c r="G2245" t="s">
        <v>181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0</v>
      </c>
      <c r="Q2245" t="s">
        <v>179</v>
      </c>
      <c r="R2245" t="str">
        <f>_xlfn.XLOOKUP(GERAL[[#This Row],[Dia]],U:U,V:V,"")</f>
        <v>Prazo_30</v>
      </c>
    </row>
    <row r="2246" spans="1:18" hidden="1" x14ac:dyDescent="0.3">
      <c r="A2246" t="str">
        <f>_xlfn.XLOOKUP(GERAL[[#This Row],[Dia]],U:U,T:T,"")</f>
        <v>Semana 1</v>
      </c>
      <c r="B2246" s="1">
        <v>46060</v>
      </c>
      <c r="C2246" t="s">
        <v>16</v>
      </c>
      <c r="D2246" s="1">
        <v>46060</v>
      </c>
      <c r="E2246" t="s">
        <v>17</v>
      </c>
      <c r="Q2246" t="s">
        <v>179</v>
      </c>
      <c r="R2246" t="str">
        <f>_xlfn.XLOOKUP(GERAL[[#This Row],[Dia]],U:U,V:V,"")</f>
        <v>Prazo_30</v>
      </c>
    </row>
    <row r="2247" spans="1:18" hidden="1" x14ac:dyDescent="0.3">
      <c r="A2247" t="str">
        <f>_xlfn.XLOOKUP(GERAL[[#This Row],[Dia]],U:U,T:T,"")</f>
        <v>Semana 2</v>
      </c>
      <c r="B2247" s="1">
        <v>46061</v>
      </c>
      <c r="C2247" t="s">
        <v>21</v>
      </c>
      <c r="D2247" s="1">
        <v>46061</v>
      </c>
      <c r="E2247" t="s">
        <v>17</v>
      </c>
      <c r="Q2247" t="s">
        <v>179</v>
      </c>
      <c r="R2247" t="str">
        <f>_xlfn.XLOOKUP(GERAL[[#This Row],[Dia]],U:U,V:V,"")</f>
        <v>Prazo_30</v>
      </c>
    </row>
    <row r="2248" spans="1:18" hidden="1" x14ac:dyDescent="0.3">
      <c r="A2248" t="str">
        <f>_xlfn.XLOOKUP(GERAL[[#This Row],[Dia]],U:U,T:T,"")</f>
        <v>Semana 2</v>
      </c>
      <c r="B2248" s="1">
        <v>46062</v>
      </c>
      <c r="C2248" t="s">
        <v>22</v>
      </c>
      <c r="D2248" s="1">
        <v>46062</v>
      </c>
      <c r="E2248" t="s">
        <v>36</v>
      </c>
      <c r="F2248" t="s">
        <v>180</v>
      </c>
      <c r="G2248" t="s">
        <v>181</v>
      </c>
      <c r="H2248">
        <v>0</v>
      </c>
      <c r="I2248">
        <v>0</v>
      </c>
      <c r="J2248">
        <v>64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 t="s">
        <v>179</v>
      </c>
      <c r="R2248" t="str">
        <f>_xlfn.XLOOKUP(GERAL[[#This Row],[Dia]],U:U,V:V,"")</f>
        <v>Prazo_30</v>
      </c>
    </row>
    <row r="2249" spans="1:18" hidden="1" x14ac:dyDescent="0.3">
      <c r="A2249" t="str">
        <f>_xlfn.XLOOKUP(GERAL[[#This Row],[Dia]],U:U,T:T,"")</f>
        <v>Semana 2</v>
      </c>
      <c r="B2249" s="1">
        <v>46063</v>
      </c>
      <c r="C2249" t="s">
        <v>23</v>
      </c>
      <c r="D2249" s="1">
        <v>46063</v>
      </c>
      <c r="E2249" t="s">
        <v>17</v>
      </c>
      <c r="Q2249" t="s">
        <v>179</v>
      </c>
      <c r="R2249" t="str">
        <f>_xlfn.XLOOKUP(GERAL[[#This Row],[Dia]],U:U,V:V,"")</f>
        <v>Prazo_30</v>
      </c>
    </row>
    <row r="2250" spans="1:18" hidden="1" x14ac:dyDescent="0.3">
      <c r="A2250" t="str">
        <f>_xlfn.XLOOKUP(GERAL[[#This Row],[Dia]],U:U,T:T,"")</f>
        <v>Semana 2</v>
      </c>
      <c r="B2250" s="1">
        <v>46064</v>
      </c>
      <c r="C2250" t="s">
        <v>24</v>
      </c>
      <c r="D2250" s="1">
        <v>46064</v>
      </c>
      <c r="E2250" t="s">
        <v>36</v>
      </c>
      <c r="F2250" t="s">
        <v>180</v>
      </c>
      <c r="G2250" t="s">
        <v>181</v>
      </c>
      <c r="H2250">
        <v>0</v>
      </c>
      <c r="I2250">
        <v>0</v>
      </c>
      <c r="J2250">
        <v>0</v>
      </c>
      <c r="K2250">
        <v>12</v>
      </c>
      <c r="L2250">
        <v>2</v>
      </c>
      <c r="M2250">
        <v>0</v>
      </c>
      <c r="N2250">
        <v>0</v>
      </c>
      <c r="O2250">
        <v>0</v>
      </c>
      <c r="P2250">
        <v>0</v>
      </c>
      <c r="Q2250" t="s">
        <v>179</v>
      </c>
      <c r="R2250" t="str">
        <f>_xlfn.XLOOKUP(GERAL[[#This Row],[Dia]],U:U,V:V,"")</f>
        <v>Prazo_30</v>
      </c>
    </row>
    <row r="2251" spans="1:18" hidden="1" x14ac:dyDescent="0.3">
      <c r="A2251" t="str">
        <f>_xlfn.XLOOKUP(GERAL[[#This Row],[Dia]],U:U,T:T,"")</f>
        <v>Semana 2</v>
      </c>
      <c r="B2251" s="1">
        <v>46065</v>
      </c>
      <c r="C2251" t="s">
        <v>25</v>
      </c>
      <c r="D2251" s="1">
        <v>46065</v>
      </c>
      <c r="E2251" t="s">
        <v>36</v>
      </c>
      <c r="F2251" t="s">
        <v>180</v>
      </c>
      <c r="G2251" t="s">
        <v>181</v>
      </c>
      <c r="H2251">
        <v>1</v>
      </c>
      <c r="I2251">
        <v>0</v>
      </c>
      <c r="J2251">
        <v>0</v>
      </c>
      <c r="K2251">
        <v>18</v>
      </c>
      <c r="L2251">
        <v>2</v>
      </c>
      <c r="M2251">
        <v>0</v>
      </c>
      <c r="N2251">
        <v>0</v>
      </c>
      <c r="O2251">
        <v>0</v>
      </c>
      <c r="P2251">
        <v>0</v>
      </c>
      <c r="Q2251" t="s">
        <v>179</v>
      </c>
      <c r="R2251" t="str">
        <f>_xlfn.XLOOKUP(GERAL[[#This Row],[Dia]],U:U,V:V,"")</f>
        <v>Prazo_30</v>
      </c>
    </row>
    <row r="2252" spans="1:18" hidden="1" x14ac:dyDescent="0.3">
      <c r="A2252" t="str">
        <f>_xlfn.XLOOKUP(GERAL[[#This Row],[Dia]],U:U,T:T,"")</f>
        <v>Semana 2</v>
      </c>
      <c r="B2252" s="1">
        <v>46066</v>
      </c>
      <c r="C2252" t="s">
        <v>26</v>
      </c>
      <c r="D2252" s="1">
        <v>46066</v>
      </c>
      <c r="E2252" t="s">
        <v>36</v>
      </c>
      <c r="F2252" t="s">
        <v>180</v>
      </c>
      <c r="G2252" t="s">
        <v>181</v>
      </c>
      <c r="H2252">
        <v>0</v>
      </c>
      <c r="I2252">
        <v>0</v>
      </c>
      <c r="J2252">
        <v>26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179</v>
      </c>
      <c r="R2252" t="str">
        <f>_xlfn.XLOOKUP(GERAL[[#This Row],[Dia]],U:U,V:V,"")</f>
        <v>Prazo_30</v>
      </c>
    </row>
    <row r="2253" spans="1:18" hidden="1" x14ac:dyDescent="0.3">
      <c r="A2253" t="str">
        <f>_xlfn.XLOOKUP(GERAL[[#This Row],[Dia]],U:U,T:T,"")</f>
        <v>Semana 2</v>
      </c>
      <c r="B2253" s="1">
        <v>46067</v>
      </c>
      <c r="C2253" t="s">
        <v>16</v>
      </c>
      <c r="D2253" s="1">
        <v>46067</v>
      </c>
      <c r="E2253" t="s">
        <v>17</v>
      </c>
      <c r="Q2253" t="s">
        <v>179</v>
      </c>
      <c r="R2253" t="str">
        <f>_xlfn.XLOOKUP(GERAL[[#This Row],[Dia]],U:U,V:V,"")</f>
        <v>Prazo_30</v>
      </c>
    </row>
    <row r="2254" spans="1:18" hidden="1" x14ac:dyDescent="0.3">
      <c r="A2254" t="str">
        <f>_xlfn.XLOOKUP(GERAL[[#This Row],[Dia]],U:U,T:T,"")</f>
        <v>Semana 3</v>
      </c>
      <c r="B2254" s="1">
        <v>46068</v>
      </c>
      <c r="C2254" t="s">
        <v>21</v>
      </c>
      <c r="D2254" s="1">
        <v>46068</v>
      </c>
      <c r="E2254" t="s">
        <v>17</v>
      </c>
      <c r="Q2254" t="s">
        <v>179</v>
      </c>
      <c r="R2254" t="str">
        <f>_xlfn.XLOOKUP(GERAL[[#This Row],[Dia]],U:U,V:V,"")</f>
        <v>Prazo_30</v>
      </c>
    </row>
    <row r="2255" spans="1:18" hidden="1" x14ac:dyDescent="0.3">
      <c r="A2255" t="str">
        <f>_xlfn.XLOOKUP(GERAL[[#This Row],[Dia]],U:U,T:T,"")</f>
        <v>Semana 3</v>
      </c>
      <c r="B2255" s="1">
        <v>46069</v>
      </c>
      <c r="C2255" t="s">
        <v>22</v>
      </c>
      <c r="D2255" s="1">
        <v>46069</v>
      </c>
      <c r="E2255" t="s">
        <v>36</v>
      </c>
      <c r="F2255" t="s">
        <v>180</v>
      </c>
      <c r="G2255" t="s">
        <v>181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3</v>
      </c>
      <c r="O2255">
        <v>0</v>
      </c>
      <c r="P2255">
        <v>0</v>
      </c>
      <c r="Q2255" t="s">
        <v>179</v>
      </c>
      <c r="R2255" t="str">
        <f>_xlfn.XLOOKUP(GERAL[[#This Row],[Dia]],U:U,V:V,"")</f>
        <v>Prazo_30</v>
      </c>
    </row>
    <row r="2256" spans="1:18" hidden="1" x14ac:dyDescent="0.3">
      <c r="A2256" t="str">
        <f>_xlfn.XLOOKUP(GERAL[[#This Row],[Dia]],U:U,T:T,"")</f>
        <v>Semana 3</v>
      </c>
      <c r="B2256" s="1">
        <v>46070</v>
      </c>
      <c r="C2256" t="s">
        <v>23</v>
      </c>
      <c r="D2256" s="1">
        <v>46070</v>
      </c>
      <c r="E2256" t="s">
        <v>17</v>
      </c>
      <c r="Q2256" t="s">
        <v>179</v>
      </c>
      <c r="R2256" t="str">
        <f>_xlfn.XLOOKUP(GERAL[[#This Row],[Dia]],U:U,V:V,"")</f>
        <v>Prazo_30</v>
      </c>
    </row>
    <row r="2257" spans="1:18" hidden="1" x14ac:dyDescent="0.3">
      <c r="A2257" t="str">
        <f>_xlfn.XLOOKUP(GERAL[[#This Row],[Dia]],U:U,T:T,"")</f>
        <v>Semana 3</v>
      </c>
      <c r="B2257" s="1">
        <v>46071</v>
      </c>
      <c r="C2257" t="s">
        <v>24</v>
      </c>
      <c r="D2257" s="1">
        <v>46071</v>
      </c>
      <c r="E2257" t="s">
        <v>36</v>
      </c>
      <c r="F2257" t="s">
        <v>180</v>
      </c>
      <c r="G2257" t="s">
        <v>181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20</v>
      </c>
      <c r="O2257">
        <v>0</v>
      </c>
      <c r="P2257">
        <v>0</v>
      </c>
      <c r="Q2257" t="s">
        <v>179</v>
      </c>
      <c r="R2257" t="str">
        <f>_xlfn.XLOOKUP(GERAL[[#This Row],[Dia]],U:U,V:V,"")</f>
        <v>Prazo_30</v>
      </c>
    </row>
    <row r="2258" spans="1:18" hidden="1" x14ac:dyDescent="0.3">
      <c r="A2258" t="str">
        <f>_xlfn.XLOOKUP(GERAL[[#This Row],[Dia]],U:U,T:T,"")</f>
        <v>Semana 3</v>
      </c>
      <c r="B2258" s="1">
        <v>46072</v>
      </c>
      <c r="C2258" t="s">
        <v>25</v>
      </c>
      <c r="D2258" s="1">
        <v>46072</v>
      </c>
      <c r="E2258" t="s">
        <v>36</v>
      </c>
      <c r="F2258" t="s">
        <v>180</v>
      </c>
      <c r="G2258" t="s">
        <v>181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10</v>
      </c>
      <c r="O2258">
        <v>0</v>
      </c>
      <c r="P2258">
        <v>0</v>
      </c>
      <c r="Q2258" t="s">
        <v>179</v>
      </c>
      <c r="R2258" t="str">
        <f>_xlfn.XLOOKUP(GERAL[[#This Row],[Dia]],U:U,V:V,"")</f>
        <v>Prazo_30</v>
      </c>
    </row>
    <row r="2259" spans="1:18" hidden="1" x14ac:dyDescent="0.3">
      <c r="A2259" t="str">
        <f>_xlfn.XLOOKUP(GERAL[[#This Row],[Dia]],U:U,T:T,"")</f>
        <v>Semana 3</v>
      </c>
      <c r="B2259" s="1">
        <v>46073</v>
      </c>
      <c r="C2259" t="s">
        <v>26</v>
      </c>
      <c r="D2259" s="1">
        <v>46073</v>
      </c>
      <c r="E2259" t="s">
        <v>17</v>
      </c>
      <c r="Q2259" t="s">
        <v>179</v>
      </c>
      <c r="R2259" t="str">
        <f>_xlfn.XLOOKUP(GERAL[[#This Row],[Dia]],U:U,V:V,"")</f>
        <v>Prazo_30</v>
      </c>
    </row>
    <row r="2260" spans="1:18" hidden="1" x14ac:dyDescent="0.3">
      <c r="A2260" t="str">
        <f>_xlfn.XLOOKUP(GERAL[[#This Row],[Dia]],U:U,T:T,"")</f>
        <v>Semana 3</v>
      </c>
      <c r="B2260" s="1">
        <v>46074</v>
      </c>
      <c r="C2260" t="s">
        <v>16</v>
      </c>
      <c r="D2260" s="1">
        <v>46074</v>
      </c>
      <c r="E2260" t="s">
        <v>17</v>
      </c>
      <c r="Q2260" t="s">
        <v>179</v>
      </c>
      <c r="R2260" t="str">
        <f>_xlfn.XLOOKUP(GERAL[[#This Row],[Dia]],U:U,V:V,"")</f>
        <v>Prazo_30</v>
      </c>
    </row>
    <row r="2261" spans="1:18" hidden="1" x14ac:dyDescent="0.3">
      <c r="A2261" t="str">
        <f>_xlfn.XLOOKUP(GERAL[[#This Row],[Dia]],U:U,T:T,"")</f>
        <v>Semana 4</v>
      </c>
      <c r="B2261" s="1">
        <v>46075</v>
      </c>
      <c r="C2261" t="s">
        <v>21</v>
      </c>
      <c r="D2261" s="1">
        <v>46075</v>
      </c>
      <c r="E2261" t="s">
        <v>17</v>
      </c>
      <c r="Q2261" t="s">
        <v>179</v>
      </c>
      <c r="R2261" t="str">
        <f>_xlfn.XLOOKUP(GERAL[[#This Row],[Dia]],U:U,V:V,"")</f>
        <v>Prazo_30</v>
      </c>
    </row>
    <row r="2262" spans="1:18" hidden="1" x14ac:dyDescent="0.3">
      <c r="A2262" t="str">
        <f>_xlfn.XLOOKUP(GERAL[[#This Row],[Dia]],U:U,T:T,"")</f>
        <v>Semana 4</v>
      </c>
      <c r="B2262" s="1">
        <v>46076</v>
      </c>
      <c r="C2262" t="s">
        <v>22</v>
      </c>
      <c r="D2262" s="1">
        <v>46076</v>
      </c>
      <c r="E2262" t="s">
        <v>36</v>
      </c>
      <c r="F2262" t="s">
        <v>180</v>
      </c>
      <c r="G2262" t="s">
        <v>181</v>
      </c>
      <c r="H2262">
        <v>0</v>
      </c>
      <c r="I2262">
        <v>0</v>
      </c>
      <c r="J2262">
        <v>0</v>
      </c>
      <c r="K2262">
        <v>6</v>
      </c>
      <c r="L2262">
        <v>0</v>
      </c>
      <c r="M2262">
        <v>0</v>
      </c>
      <c r="N2262">
        <v>4</v>
      </c>
      <c r="O2262">
        <v>0</v>
      </c>
      <c r="P2262">
        <v>0</v>
      </c>
      <c r="Q2262" t="s">
        <v>179</v>
      </c>
      <c r="R2262" t="str">
        <f>_xlfn.XLOOKUP(GERAL[[#This Row],[Dia]],U:U,V:V,"")</f>
        <v>Prazo_30</v>
      </c>
    </row>
    <row r="2263" spans="1:18" hidden="1" x14ac:dyDescent="0.3">
      <c r="A2263" t="str">
        <f>_xlfn.XLOOKUP(GERAL[[#This Row],[Dia]],U:U,T:T,"")</f>
        <v>Semana 4</v>
      </c>
      <c r="B2263" s="1">
        <v>46077</v>
      </c>
      <c r="C2263" t="s">
        <v>23</v>
      </c>
      <c r="D2263" s="1">
        <v>46077</v>
      </c>
      <c r="E2263" t="s">
        <v>36</v>
      </c>
      <c r="F2263" t="s">
        <v>180</v>
      </c>
      <c r="G2263" t="s">
        <v>181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8</v>
      </c>
      <c r="O2263">
        <v>0</v>
      </c>
      <c r="P2263">
        <v>0</v>
      </c>
      <c r="Q2263" t="s">
        <v>179</v>
      </c>
      <c r="R2263" t="str">
        <f>_xlfn.XLOOKUP(GERAL[[#This Row],[Dia]],U:U,V:V,"")</f>
        <v>Prazo_30</v>
      </c>
    </row>
    <row r="2264" spans="1:18" hidden="1" x14ac:dyDescent="0.3">
      <c r="A2264" t="str">
        <f>_xlfn.XLOOKUP(GERAL[[#This Row],[Dia]],U:U,T:T,"")</f>
        <v>Semana 4</v>
      </c>
      <c r="B2264" s="1">
        <v>46078</v>
      </c>
      <c r="C2264" t="s">
        <v>24</v>
      </c>
      <c r="D2264" s="1">
        <v>46078</v>
      </c>
      <c r="E2264" t="s">
        <v>36</v>
      </c>
      <c r="F2264" t="s">
        <v>180</v>
      </c>
      <c r="G2264" t="s">
        <v>181</v>
      </c>
      <c r="H2264">
        <v>0</v>
      </c>
      <c r="I2264">
        <v>0</v>
      </c>
      <c r="J2264">
        <v>0</v>
      </c>
      <c r="K2264">
        <v>12</v>
      </c>
      <c r="L2264">
        <v>2</v>
      </c>
      <c r="M2264">
        <v>4</v>
      </c>
      <c r="N2264">
        <v>0</v>
      </c>
      <c r="O2264">
        <v>0</v>
      </c>
      <c r="P2264">
        <v>0</v>
      </c>
      <c r="Q2264" t="s">
        <v>179</v>
      </c>
      <c r="R2264" t="str">
        <f>_xlfn.XLOOKUP(GERAL[[#This Row],[Dia]],U:U,V:V,"")</f>
        <v>Prazo_30</v>
      </c>
    </row>
    <row r="2265" spans="1:18" hidden="1" x14ac:dyDescent="0.3">
      <c r="A2265" t="str">
        <f>_xlfn.XLOOKUP(GERAL[[#This Row],[Dia]],U:U,T:T,"")</f>
        <v>Semana 4</v>
      </c>
      <c r="B2265" s="1">
        <v>46079</v>
      </c>
      <c r="C2265" t="s">
        <v>25</v>
      </c>
      <c r="D2265" s="1">
        <v>46079</v>
      </c>
      <c r="E2265" t="s">
        <v>17</v>
      </c>
      <c r="Q2265" t="s">
        <v>179</v>
      </c>
      <c r="R2265" t="str">
        <f>_xlfn.XLOOKUP(GERAL[[#This Row],[Dia]],U:U,V:V,"")</f>
        <v>Prazo_30</v>
      </c>
    </row>
    <row r="2266" spans="1:18" hidden="1" x14ac:dyDescent="0.3">
      <c r="A2266" t="str">
        <f>_xlfn.XLOOKUP(GERAL[[#This Row],[Dia]],U:U,T:T,"")</f>
        <v>Semana 4</v>
      </c>
      <c r="B2266" s="1">
        <v>46080</v>
      </c>
      <c r="C2266" t="s">
        <v>26</v>
      </c>
      <c r="D2266" s="1">
        <v>46080</v>
      </c>
      <c r="E2266" t="s">
        <v>36</v>
      </c>
      <c r="F2266" t="s">
        <v>180</v>
      </c>
      <c r="G2266" t="s">
        <v>181</v>
      </c>
      <c r="H2266">
        <v>6</v>
      </c>
      <c r="I2266">
        <v>1</v>
      </c>
      <c r="J2266">
        <v>0</v>
      </c>
      <c r="K2266">
        <v>12</v>
      </c>
      <c r="L2266">
        <v>0</v>
      </c>
      <c r="M2266">
        <v>9</v>
      </c>
      <c r="N2266">
        <v>1</v>
      </c>
      <c r="O2266">
        <v>0</v>
      </c>
      <c r="P2266">
        <v>0</v>
      </c>
      <c r="Q2266" t="s">
        <v>179</v>
      </c>
      <c r="R2266" t="str">
        <f>_xlfn.XLOOKUP(GERAL[[#This Row],[Dia]],U:U,V:V,"")</f>
        <v>Prazo_30</v>
      </c>
    </row>
    <row r="2267" spans="1:18" hidden="1" x14ac:dyDescent="0.3">
      <c r="A2267" t="str">
        <f>_xlfn.XLOOKUP(GERAL[[#This Row],[Dia]],U:U,T:T,"")</f>
        <v>Semana 4</v>
      </c>
      <c r="B2267" s="1">
        <v>46081</v>
      </c>
      <c r="C2267" t="s">
        <v>16</v>
      </c>
      <c r="D2267" s="1">
        <v>46081</v>
      </c>
      <c r="E2267" t="s">
        <v>17</v>
      </c>
      <c r="Q2267" t="s">
        <v>179</v>
      </c>
      <c r="R2267" t="str">
        <f>_xlfn.XLOOKUP(GERAL[[#This Row],[Dia]],U:U,V:V,"")</f>
        <v>Prazo_30</v>
      </c>
    </row>
    <row r="2268" spans="1:18" x14ac:dyDescent="0.3">
      <c r="A2268" t="str">
        <f>_xlfn.XLOOKUP(GERAL[[#This Row],[Dia]],U:U,T:T,"")</f>
        <v>Semana 5</v>
      </c>
      <c r="B2268" s="1">
        <v>46082</v>
      </c>
      <c r="C2268" t="s">
        <v>21</v>
      </c>
      <c r="D2268" s="1">
        <v>46082</v>
      </c>
      <c r="E2268" t="s">
        <v>17</v>
      </c>
      <c r="Q2268" t="s">
        <v>179</v>
      </c>
      <c r="R2268" t="str">
        <f>_xlfn.XLOOKUP(GERAL[[#This Row],[Dia]],U:U,V:V,"")</f>
        <v>Prazo_30</v>
      </c>
    </row>
    <row r="2269" spans="1:18" x14ac:dyDescent="0.3">
      <c r="A2269" t="str">
        <f>_xlfn.XLOOKUP(GERAL[[#This Row],[Dia]],U:U,T:T,"")</f>
        <v>Semana 5</v>
      </c>
      <c r="B2269" s="1">
        <v>46083</v>
      </c>
      <c r="C2269" t="s">
        <v>22</v>
      </c>
      <c r="D2269" s="1">
        <v>46083</v>
      </c>
      <c r="E2269" t="s">
        <v>36</v>
      </c>
      <c r="F2269" t="s">
        <v>182</v>
      </c>
      <c r="G2269" t="s">
        <v>183</v>
      </c>
      <c r="K2269">
        <v>12</v>
      </c>
      <c r="M2269">
        <v>1</v>
      </c>
      <c r="N2269">
        <v>1</v>
      </c>
      <c r="Q2269" t="s">
        <v>179</v>
      </c>
      <c r="R2269" t="str">
        <f>_xlfn.XLOOKUP(GERAL[[#This Row],[Dia]],U:U,V:V,"")</f>
        <v>Prazo_30</v>
      </c>
    </row>
    <row r="2270" spans="1:18" x14ac:dyDescent="0.3">
      <c r="A2270" t="str">
        <f>_xlfn.XLOOKUP(GERAL[[#This Row],[Dia]],U:U,T:T,"")</f>
        <v>Semana 5</v>
      </c>
      <c r="B2270" s="1">
        <v>46083</v>
      </c>
      <c r="C2270" t="s">
        <v>22</v>
      </c>
      <c r="D2270" s="1">
        <v>46083</v>
      </c>
      <c r="E2270" t="s">
        <v>36</v>
      </c>
      <c r="F2270" t="s">
        <v>184</v>
      </c>
      <c r="G2270" t="s">
        <v>185</v>
      </c>
      <c r="H2270">
        <v>8</v>
      </c>
      <c r="K2270">
        <v>12</v>
      </c>
      <c r="L2270">
        <v>1</v>
      </c>
      <c r="Q2270" t="s">
        <v>179</v>
      </c>
      <c r="R2270" t="str">
        <f>_xlfn.XLOOKUP(GERAL[[#This Row],[Dia]],U:U,V:V,"")</f>
        <v>Prazo_30</v>
      </c>
    </row>
    <row r="2271" spans="1:18" x14ac:dyDescent="0.3">
      <c r="A2271" t="str">
        <f>_xlfn.XLOOKUP(GERAL[[#This Row],[Dia]],U:U,T:T,"")</f>
        <v>Semana 5</v>
      </c>
      <c r="B2271" s="1">
        <v>46083</v>
      </c>
      <c r="C2271" t="s">
        <v>22</v>
      </c>
      <c r="D2271" s="1">
        <v>46083</v>
      </c>
      <c r="E2271" t="s">
        <v>36</v>
      </c>
      <c r="F2271" t="s">
        <v>186</v>
      </c>
      <c r="G2271" t="s">
        <v>185</v>
      </c>
      <c r="M2271">
        <v>3</v>
      </c>
      <c r="Q2271" t="s">
        <v>179</v>
      </c>
      <c r="R2271" t="str">
        <f>_xlfn.XLOOKUP(GERAL[[#This Row],[Dia]],U:U,V:V,"")</f>
        <v>Prazo_30</v>
      </c>
    </row>
    <row r="2272" spans="1:18" x14ac:dyDescent="0.3">
      <c r="A2272" t="str">
        <f>_xlfn.XLOOKUP(GERAL[[#This Row],[Dia]],U:U,T:T,"")</f>
        <v>Semana 5</v>
      </c>
      <c r="B2272" s="1">
        <v>46083</v>
      </c>
      <c r="C2272" t="s">
        <v>22</v>
      </c>
      <c r="D2272" s="1">
        <v>46083</v>
      </c>
      <c r="E2272" t="s">
        <v>36</v>
      </c>
      <c r="F2272" t="s">
        <v>187</v>
      </c>
      <c r="G2272" t="s">
        <v>188</v>
      </c>
      <c r="N2272">
        <v>7</v>
      </c>
      <c r="Q2272" t="s">
        <v>179</v>
      </c>
      <c r="R2272" t="str">
        <f>_xlfn.XLOOKUP(GERAL[[#This Row],[Dia]],U:U,V:V,"")</f>
        <v>Prazo_30</v>
      </c>
    </row>
    <row r="2273" spans="1:18" x14ac:dyDescent="0.3">
      <c r="A2273" t="str">
        <f>_xlfn.XLOOKUP(GERAL[[#This Row],[Dia]],U:U,T:T,"")</f>
        <v>Semana 6</v>
      </c>
      <c r="B2273" s="1">
        <v>46084</v>
      </c>
      <c r="C2273" t="s">
        <v>23</v>
      </c>
      <c r="D2273" s="1">
        <v>46084</v>
      </c>
      <c r="E2273" t="s">
        <v>17</v>
      </c>
      <c r="F2273" t="s">
        <v>189</v>
      </c>
      <c r="Q2273" t="s">
        <v>179</v>
      </c>
      <c r="R2273" t="str">
        <f>_xlfn.XLOOKUP(GERAL[[#This Row],[Dia]],U:U,V:V,"")</f>
        <v>Prazo_30</v>
      </c>
    </row>
    <row r="2274" spans="1:18" x14ac:dyDescent="0.3">
      <c r="A2274" t="str">
        <f>_xlfn.XLOOKUP(GERAL[[#This Row],[Dia]],U:U,T:T,"")</f>
        <v>Semana 6</v>
      </c>
      <c r="B2274" s="1">
        <v>46085</v>
      </c>
      <c r="C2274" t="s">
        <v>24</v>
      </c>
      <c r="D2274" s="1">
        <v>46085</v>
      </c>
      <c r="E2274" t="s">
        <v>36</v>
      </c>
      <c r="F2274" t="s">
        <v>182</v>
      </c>
      <c r="G2274" t="s">
        <v>183</v>
      </c>
      <c r="I2274">
        <v>2</v>
      </c>
      <c r="K2274">
        <v>6</v>
      </c>
      <c r="M2274">
        <v>1</v>
      </c>
      <c r="Q2274" t="s">
        <v>179</v>
      </c>
      <c r="R2274" t="str">
        <f>_xlfn.XLOOKUP(GERAL[[#This Row],[Dia]],U:U,V:V,"")</f>
        <v>Prazo_30</v>
      </c>
    </row>
    <row r="2275" spans="1:18" x14ac:dyDescent="0.3">
      <c r="A2275" t="str">
        <f>_xlfn.XLOOKUP(GERAL[[#This Row],[Dia]],U:U,T:T,"")</f>
        <v>Semana 6</v>
      </c>
      <c r="B2275" s="1">
        <v>46085</v>
      </c>
      <c r="C2275" t="s">
        <v>24</v>
      </c>
      <c r="D2275" s="1">
        <v>46085</v>
      </c>
      <c r="E2275" t="s">
        <v>36</v>
      </c>
      <c r="F2275" t="s">
        <v>184</v>
      </c>
      <c r="G2275" t="s">
        <v>185</v>
      </c>
      <c r="H2275">
        <v>2</v>
      </c>
      <c r="Q2275" t="s">
        <v>179</v>
      </c>
      <c r="R2275" t="str">
        <f>_xlfn.XLOOKUP(GERAL[[#This Row],[Dia]],U:U,V:V,"")</f>
        <v>Prazo_30</v>
      </c>
    </row>
    <row r="2276" spans="1:18" x14ac:dyDescent="0.3">
      <c r="A2276" t="str">
        <f>_xlfn.XLOOKUP(GERAL[[#This Row],[Dia]],U:U,T:T,"")</f>
        <v>Semana 6</v>
      </c>
      <c r="B2276" s="1">
        <v>46085</v>
      </c>
      <c r="C2276" t="s">
        <v>24</v>
      </c>
      <c r="D2276" s="1">
        <v>46085</v>
      </c>
      <c r="E2276" t="s">
        <v>36</v>
      </c>
      <c r="F2276" t="s">
        <v>186</v>
      </c>
      <c r="G2276" t="s">
        <v>185</v>
      </c>
      <c r="I2276">
        <v>1</v>
      </c>
      <c r="K2276">
        <v>6</v>
      </c>
      <c r="M2276">
        <v>6</v>
      </c>
      <c r="Q2276" t="s">
        <v>179</v>
      </c>
      <c r="R2276" t="str">
        <f>_xlfn.XLOOKUP(GERAL[[#This Row],[Dia]],U:U,V:V,"")</f>
        <v>Prazo_30</v>
      </c>
    </row>
    <row r="2277" spans="1:18" x14ac:dyDescent="0.3">
      <c r="A2277" t="str">
        <f>_xlfn.XLOOKUP(GERAL[[#This Row],[Dia]],U:U,T:T,"")</f>
        <v>Semana 6</v>
      </c>
      <c r="B2277" s="1">
        <v>46086</v>
      </c>
      <c r="C2277" t="s">
        <v>25</v>
      </c>
      <c r="D2277" s="1">
        <v>46086</v>
      </c>
      <c r="E2277" t="s">
        <v>36</v>
      </c>
      <c r="F2277" t="s">
        <v>182</v>
      </c>
      <c r="G2277" t="s">
        <v>183</v>
      </c>
      <c r="I2277">
        <v>1</v>
      </c>
      <c r="K2277">
        <v>6</v>
      </c>
      <c r="M2277">
        <v>1</v>
      </c>
      <c r="Q2277" t="s">
        <v>179</v>
      </c>
      <c r="R2277" t="str">
        <f>_xlfn.XLOOKUP(GERAL[[#This Row],[Dia]],U:U,V:V,"")</f>
        <v>Prazo_30</v>
      </c>
    </row>
    <row r="2278" spans="1:18" x14ac:dyDescent="0.3">
      <c r="A2278" t="str">
        <f>_xlfn.XLOOKUP(GERAL[[#This Row],[Dia]],U:U,T:T,"")</f>
        <v>Semana 6</v>
      </c>
      <c r="B2278" s="1">
        <v>46086</v>
      </c>
      <c r="C2278" t="s">
        <v>25</v>
      </c>
      <c r="D2278" s="1">
        <v>46086</v>
      </c>
      <c r="E2278" t="s">
        <v>36</v>
      </c>
      <c r="F2278" t="s">
        <v>184</v>
      </c>
      <c r="G2278" t="s">
        <v>185</v>
      </c>
      <c r="H2278">
        <v>3</v>
      </c>
      <c r="Q2278" t="s">
        <v>179</v>
      </c>
      <c r="R2278" t="str">
        <f>_xlfn.XLOOKUP(GERAL[[#This Row],[Dia]],U:U,V:V,"")</f>
        <v>Prazo_30</v>
      </c>
    </row>
    <row r="2279" spans="1:18" x14ac:dyDescent="0.3">
      <c r="A2279" t="str">
        <f>_xlfn.XLOOKUP(GERAL[[#This Row],[Dia]],U:U,T:T,"")</f>
        <v>Semana 6</v>
      </c>
      <c r="B2279" s="1">
        <v>46086</v>
      </c>
      <c r="C2279" t="s">
        <v>25</v>
      </c>
      <c r="D2279" s="1">
        <v>46086</v>
      </c>
      <c r="E2279" t="s">
        <v>36</v>
      </c>
      <c r="F2279" t="s">
        <v>186</v>
      </c>
      <c r="G2279" t="s">
        <v>185</v>
      </c>
      <c r="K2279">
        <v>6</v>
      </c>
      <c r="M2279">
        <v>4</v>
      </c>
      <c r="N2279">
        <v>3</v>
      </c>
      <c r="Q2279" t="s">
        <v>179</v>
      </c>
      <c r="R2279" t="str">
        <f>_xlfn.XLOOKUP(GERAL[[#This Row],[Dia]],U:U,V:V,"")</f>
        <v>Prazo_30</v>
      </c>
    </row>
    <row r="2280" spans="1:18" x14ac:dyDescent="0.3">
      <c r="A2280" t="str">
        <f>_xlfn.XLOOKUP(GERAL[[#This Row],[Dia]],U:U,T:T,"")</f>
        <v>Semana 6</v>
      </c>
      <c r="B2280" s="1">
        <v>46087</v>
      </c>
      <c r="C2280" t="s">
        <v>26</v>
      </c>
      <c r="D2280" s="1">
        <v>46087</v>
      </c>
      <c r="E2280" t="s">
        <v>36</v>
      </c>
      <c r="F2280" t="s">
        <v>182</v>
      </c>
      <c r="G2280" t="s">
        <v>183</v>
      </c>
      <c r="I2280">
        <v>2</v>
      </c>
      <c r="K2280">
        <v>6</v>
      </c>
      <c r="Q2280" t="s">
        <v>179</v>
      </c>
      <c r="R2280" t="str">
        <f>_xlfn.XLOOKUP(GERAL[[#This Row],[Dia]],U:U,V:V,"")</f>
        <v>Prazo_30</v>
      </c>
    </row>
    <row r="2281" spans="1:18" x14ac:dyDescent="0.3">
      <c r="A2281" t="str">
        <f>_xlfn.XLOOKUP(GERAL[[#This Row],[Dia]],U:U,T:T,"")</f>
        <v>Semana 6</v>
      </c>
      <c r="B2281" s="1">
        <v>46087</v>
      </c>
      <c r="C2281" t="s">
        <v>26</v>
      </c>
      <c r="D2281" s="1">
        <v>46087</v>
      </c>
      <c r="E2281" t="s">
        <v>36</v>
      </c>
      <c r="F2281" t="s">
        <v>184</v>
      </c>
      <c r="G2281" t="s">
        <v>190</v>
      </c>
      <c r="H2281">
        <v>1</v>
      </c>
      <c r="J2281">
        <v>15</v>
      </c>
      <c r="Q2281" t="s">
        <v>179</v>
      </c>
      <c r="R2281" t="str">
        <f>_xlfn.XLOOKUP(GERAL[[#This Row],[Dia]],U:U,V:V,"")</f>
        <v>Prazo_30</v>
      </c>
    </row>
    <row r="2282" spans="1:18" x14ac:dyDescent="0.3">
      <c r="A2282" t="str">
        <f>_xlfn.XLOOKUP(GERAL[[#This Row],[Dia]],U:U,T:T,"")</f>
        <v>Semana 6</v>
      </c>
      <c r="B2282" s="1">
        <v>46088</v>
      </c>
      <c r="C2282" t="s">
        <v>16</v>
      </c>
      <c r="D2282" s="1">
        <v>46088</v>
      </c>
      <c r="E2282" t="s">
        <v>17</v>
      </c>
      <c r="Q2282" t="s">
        <v>179</v>
      </c>
      <c r="R2282" t="str">
        <f>_xlfn.XLOOKUP(GERAL[[#This Row],[Dia]],U:U,V:V,"")</f>
        <v>Prazo_30</v>
      </c>
    </row>
    <row r="2283" spans="1:18" x14ac:dyDescent="0.3">
      <c r="A2283" t="str">
        <f>_xlfn.XLOOKUP(GERAL[[#This Row],[Dia]],U:U,T:T,"")</f>
        <v>Semana 6</v>
      </c>
      <c r="B2283" s="1">
        <v>46089</v>
      </c>
      <c r="C2283" t="s">
        <v>21</v>
      </c>
      <c r="D2283" s="1">
        <v>46089</v>
      </c>
      <c r="E2283" t="s">
        <v>17</v>
      </c>
      <c r="Q2283" t="s">
        <v>179</v>
      </c>
      <c r="R2283" t="str">
        <f>_xlfn.XLOOKUP(GERAL[[#This Row],[Dia]],U:U,V:V,"")</f>
        <v>Prazo_30</v>
      </c>
    </row>
    <row r="2284" spans="1:18" x14ac:dyDescent="0.3">
      <c r="A2284" t="str">
        <f>_xlfn.XLOOKUP(GERAL[[#This Row],[Dia]],U:U,T:T,"")</f>
        <v>Semana 7</v>
      </c>
      <c r="B2284" s="1">
        <v>46090</v>
      </c>
      <c r="C2284" t="s">
        <v>22</v>
      </c>
      <c r="D2284" s="1">
        <v>46090</v>
      </c>
      <c r="E2284" t="s">
        <v>17</v>
      </c>
      <c r="G2284" t="s">
        <v>88</v>
      </c>
      <c r="Q2284" t="s">
        <v>179</v>
      </c>
      <c r="R2284" t="str">
        <f>_xlfn.XLOOKUP(GERAL[[#This Row],[Dia]],U:U,V:V,"")</f>
        <v>Prazo_30</v>
      </c>
    </row>
    <row r="2285" spans="1:18" x14ac:dyDescent="0.3">
      <c r="A2285" t="str">
        <f>_xlfn.XLOOKUP(GERAL[[#This Row],[Dia]],U:U,T:T,"")</f>
        <v>Semana 7</v>
      </c>
      <c r="B2285" s="1">
        <v>46091</v>
      </c>
      <c r="C2285" t="s">
        <v>23</v>
      </c>
      <c r="D2285" s="1">
        <v>46091</v>
      </c>
      <c r="E2285" t="s">
        <v>17</v>
      </c>
      <c r="G2285" t="s">
        <v>88</v>
      </c>
      <c r="Q2285" t="s">
        <v>179</v>
      </c>
      <c r="R2285" t="str">
        <f>_xlfn.XLOOKUP(GERAL[[#This Row],[Dia]],U:U,V:V,"")</f>
        <v>Prazo_30</v>
      </c>
    </row>
    <row r="2286" spans="1:18" x14ac:dyDescent="0.3">
      <c r="A2286" t="str">
        <f>_xlfn.XLOOKUP(GERAL[[#This Row],[Dia]],U:U,T:T,"")</f>
        <v>Semana 7</v>
      </c>
      <c r="B2286" s="1">
        <v>46092</v>
      </c>
      <c r="C2286" t="s">
        <v>24</v>
      </c>
      <c r="D2286" s="1">
        <v>46092</v>
      </c>
      <c r="E2286" t="s">
        <v>17</v>
      </c>
      <c r="G2286" t="s">
        <v>88</v>
      </c>
      <c r="Q2286" t="s">
        <v>179</v>
      </c>
      <c r="R2286" t="str">
        <f>_xlfn.XLOOKUP(GERAL[[#This Row],[Dia]],U:U,V:V,"")</f>
        <v>Prazo_30</v>
      </c>
    </row>
    <row r="2287" spans="1:18" x14ac:dyDescent="0.3">
      <c r="A2287" t="str">
        <f>_xlfn.XLOOKUP(GERAL[[#This Row],[Dia]],U:U,T:T,"")</f>
        <v>Semana 7</v>
      </c>
      <c r="B2287" s="1">
        <v>46093</v>
      </c>
      <c r="C2287" t="s">
        <v>25</v>
      </c>
      <c r="D2287" s="1">
        <v>46093</v>
      </c>
      <c r="E2287" t="s">
        <v>17</v>
      </c>
      <c r="G2287" t="s">
        <v>88</v>
      </c>
      <c r="Q2287" t="s">
        <v>179</v>
      </c>
      <c r="R2287" t="str">
        <f>_xlfn.XLOOKUP(GERAL[[#This Row],[Dia]],U:U,V:V,"")</f>
        <v>Prazo_30</v>
      </c>
    </row>
    <row r="2288" spans="1:18" x14ac:dyDescent="0.3">
      <c r="A2288" t="str">
        <f>_xlfn.XLOOKUP(GERAL[[#This Row],[Dia]],U:U,T:T,"")</f>
        <v>Semana 7</v>
      </c>
      <c r="B2288" s="1">
        <v>46094</v>
      </c>
      <c r="C2288" t="s">
        <v>26</v>
      </c>
      <c r="D2288" s="1">
        <v>46094</v>
      </c>
      <c r="E2288" t="s">
        <v>36</v>
      </c>
      <c r="F2288" t="s">
        <v>184</v>
      </c>
      <c r="G2288" t="s">
        <v>190</v>
      </c>
      <c r="I2288">
        <v>2</v>
      </c>
      <c r="Q2288" t="s">
        <v>179</v>
      </c>
      <c r="R2288" t="str">
        <f>_xlfn.XLOOKUP(GERAL[[#This Row],[Dia]],U:U,V:V,"")</f>
        <v>Prazo_30</v>
      </c>
    </row>
    <row r="2289" spans="1:18" x14ac:dyDescent="0.3">
      <c r="A2289" t="str">
        <f>_xlfn.XLOOKUP(GERAL[[#This Row],[Dia]],U:U,T:T,"")</f>
        <v>Semana 7</v>
      </c>
      <c r="B2289" s="1">
        <v>46095</v>
      </c>
      <c r="C2289" t="s">
        <v>16</v>
      </c>
      <c r="D2289" s="1">
        <v>46095</v>
      </c>
      <c r="E2289" t="s">
        <v>17</v>
      </c>
      <c r="Q2289" t="s">
        <v>179</v>
      </c>
      <c r="R2289" t="str">
        <f>_xlfn.XLOOKUP(GERAL[[#This Row],[Dia]],U:U,V:V,"")</f>
        <v>Prazo_30</v>
      </c>
    </row>
    <row r="2290" spans="1:18" x14ac:dyDescent="0.3">
      <c r="A2290" t="str">
        <f>_xlfn.XLOOKUP(GERAL[[#This Row],[Dia]],U:U,T:T,"")</f>
        <v>Semana 7</v>
      </c>
      <c r="B2290" s="1">
        <v>46096</v>
      </c>
      <c r="C2290" t="s">
        <v>21</v>
      </c>
      <c r="D2290" s="1">
        <v>46096</v>
      </c>
      <c r="E2290" t="s">
        <v>17</v>
      </c>
      <c r="Q2290" t="s">
        <v>179</v>
      </c>
      <c r="R2290" t="str">
        <f>_xlfn.XLOOKUP(GERAL[[#This Row],[Dia]],U:U,V:V,"")</f>
        <v>Prazo_30</v>
      </c>
    </row>
    <row r="2291" spans="1:18" x14ac:dyDescent="0.3">
      <c r="A2291" t="str">
        <f>_xlfn.XLOOKUP(GERAL[[#This Row],[Dia]],U:U,T:T,"")</f>
        <v>Semana 8</v>
      </c>
      <c r="B2291" s="1">
        <v>46097</v>
      </c>
      <c r="C2291" t="s">
        <v>22</v>
      </c>
      <c r="D2291" s="1">
        <v>46097</v>
      </c>
      <c r="E2291" t="s">
        <v>36</v>
      </c>
      <c r="F2291" t="s">
        <v>184</v>
      </c>
      <c r="G2291" t="s">
        <v>190</v>
      </c>
      <c r="H2291">
        <v>7</v>
      </c>
      <c r="Q2291" t="s">
        <v>179</v>
      </c>
      <c r="R2291" t="str">
        <f>_xlfn.XLOOKUP(GERAL[[#This Row],[Dia]],U:U,V:V,"")</f>
        <v>Prazo_30</v>
      </c>
    </row>
    <row r="2292" spans="1:18" x14ac:dyDescent="0.3">
      <c r="A2292" t="str">
        <f>_xlfn.XLOOKUP(GERAL[[#This Row],[Dia]],U:U,T:T,"")</f>
        <v>Semana 8</v>
      </c>
      <c r="B2292" s="1">
        <v>46097</v>
      </c>
      <c r="C2292" t="s">
        <v>22</v>
      </c>
      <c r="D2292" s="1">
        <v>46097</v>
      </c>
      <c r="E2292" t="s">
        <v>36</v>
      </c>
      <c r="F2292" t="s">
        <v>182</v>
      </c>
      <c r="G2292" t="s">
        <v>183</v>
      </c>
      <c r="L2292">
        <v>1</v>
      </c>
      <c r="Q2292" t="s">
        <v>179</v>
      </c>
      <c r="R2292" t="str">
        <f>_xlfn.XLOOKUP(GERAL[[#This Row],[Dia]],U:U,V:V,"")</f>
        <v>Prazo_30</v>
      </c>
    </row>
    <row r="2293" spans="1:18" x14ac:dyDescent="0.3">
      <c r="A2293" t="str">
        <f>_xlfn.XLOOKUP(GERAL[[#This Row],[Dia]],U:U,T:T,"")</f>
        <v>Semana 8</v>
      </c>
      <c r="B2293" s="1">
        <v>46098</v>
      </c>
      <c r="C2293" t="s">
        <v>23</v>
      </c>
      <c r="D2293" s="1">
        <v>46098</v>
      </c>
      <c r="E2293" t="s">
        <v>36</v>
      </c>
      <c r="F2293" t="s">
        <v>182</v>
      </c>
      <c r="G2293" t="s">
        <v>183</v>
      </c>
      <c r="L2293">
        <v>1</v>
      </c>
      <c r="Q2293" t="s">
        <v>179</v>
      </c>
      <c r="R2293" t="str">
        <f>_xlfn.XLOOKUP(GERAL[[#This Row],[Dia]],U:U,V:V,"")</f>
        <v>Prazo_30</v>
      </c>
    </row>
    <row r="2294" spans="1:18" x14ac:dyDescent="0.3">
      <c r="A2294" t="str">
        <f>_xlfn.XLOOKUP(GERAL[[#This Row],[Dia]],U:U,T:T,"")</f>
        <v>Semana 8</v>
      </c>
      <c r="B2294" s="1">
        <v>46098</v>
      </c>
      <c r="C2294" t="s">
        <v>23</v>
      </c>
      <c r="D2294" s="1">
        <v>46098</v>
      </c>
      <c r="E2294" t="s">
        <v>36</v>
      </c>
      <c r="F2294" t="s">
        <v>184</v>
      </c>
      <c r="G2294" t="s">
        <v>190</v>
      </c>
      <c r="I2294">
        <v>4</v>
      </c>
      <c r="J2294">
        <v>24</v>
      </c>
      <c r="L2294">
        <v>1</v>
      </c>
      <c r="Q2294" t="s">
        <v>179</v>
      </c>
      <c r="R2294" t="str">
        <f>_xlfn.XLOOKUP(GERAL[[#This Row],[Dia]],U:U,V:V,"")</f>
        <v>Prazo_30</v>
      </c>
    </row>
    <row r="2295" spans="1:18" x14ac:dyDescent="0.3">
      <c r="A2295" t="str">
        <f>_xlfn.XLOOKUP(GERAL[[#This Row],[Dia]],U:U,T:T,"")</f>
        <v>Semana 8</v>
      </c>
      <c r="B2295" s="1">
        <v>46098</v>
      </c>
      <c r="C2295" t="s">
        <v>23</v>
      </c>
      <c r="D2295" s="1">
        <v>46098</v>
      </c>
      <c r="E2295" t="s">
        <v>36</v>
      </c>
      <c r="F2295" t="s">
        <v>191</v>
      </c>
      <c r="G2295" t="s">
        <v>190</v>
      </c>
      <c r="I2295">
        <v>1</v>
      </c>
      <c r="M2295">
        <v>3</v>
      </c>
      <c r="Q2295" t="s">
        <v>179</v>
      </c>
      <c r="R2295" t="str">
        <f>_xlfn.XLOOKUP(GERAL[[#This Row],[Dia]],U:U,V:V,"")</f>
        <v>Prazo_30</v>
      </c>
    </row>
    <row r="2296" spans="1:18" x14ac:dyDescent="0.3">
      <c r="A2296" t="str">
        <f>_xlfn.XLOOKUP(GERAL[[#This Row],[Dia]],U:U,T:T,"")</f>
        <v>Semana 8</v>
      </c>
      <c r="B2296" s="1">
        <v>46098</v>
      </c>
      <c r="C2296" t="s">
        <v>23</v>
      </c>
      <c r="D2296" s="1">
        <v>46098</v>
      </c>
      <c r="E2296" t="s">
        <v>36</v>
      </c>
      <c r="F2296" t="s">
        <v>124</v>
      </c>
      <c r="G2296" t="s">
        <v>192</v>
      </c>
      <c r="I2296">
        <v>4</v>
      </c>
      <c r="K2296">
        <v>12</v>
      </c>
      <c r="L2296">
        <v>1</v>
      </c>
      <c r="M2296">
        <v>1</v>
      </c>
      <c r="Q2296" t="s">
        <v>179</v>
      </c>
      <c r="R2296" t="str">
        <f>_xlfn.XLOOKUP(GERAL[[#This Row],[Dia]],U:U,V:V,"")</f>
        <v>Prazo_30</v>
      </c>
    </row>
    <row r="2297" spans="1:18" x14ac:dyDescent="0.3">
      <c r="A2297" t="str">
        <f>_xlfn.XLOOKUP(GERAL[[#This Row],[Dia]],U:U,T:T,"")</f>
        <v>Semana 8</v>
      </c>
      <c r="B2297" s="1">
        <v>46099</v>
      </c>
      <c r="C2297" t="s">
        <v>24</v>
      </c>
      <c r="D2297" s="1">
        <v>46099</v>
      </c>
      <c r="E2297" t="s">
        <v>36</v>
      </c>
      <c r="F2297" t="s">
        <v>182</v>
      </c>
      <c r="G2297" t="s">
        <v>183</v>
      </c>
      <c r="L2297">
        <v>1</v>
      </c>
      <c r="M2297">
        <v>1</v>
      </c>
      <c r="Q2297" t="s">
        <v>179</v>
      </c>
      <c r="R2297" t="str">
        <f>_xlfn.XLOOKUP(GERAL[[#This Row],[Dia]],U:U,V:V,"")</f>
        <v>Prazo_30</v>
      </c>
    </row>
    <row r="2298" spans="1:18" x14ac:dyDescent="0.3">
      <c r="A2298" t="str">
        <f>_xlfn.XLOOKUP(GERAL[[#This Row],[Dia]],U:U,T:T,"")</f>
        <v>Semana 8</v>
      </c>
      <c r="B2298" s="1">
        <v>46099</v>
      </c>
      <c r="C2298" t="s">
        <v>24</v>
      </c>
      <c r="D2298" s="1">
        <v>46099</v>
      </c>
      <c r="E2298" t="s">
        <v>36</v>
      </c>
      <c r="F2298" t="s">
        <v>184</v>
      </c>
      <c r="G2298" t="s">
        <v>190</v>
      </c>
      <c r="I2298">
        <v>4</v>
      </c>
      <c r="J2298">
        <v>32</v>
      </c>
      <c r="M2298">
        <v>1</v>
      </c>
      <c r="Q2298" t="s">
        <v>179</v>
      </c>
      <c r="R2298" t="str">
        <f>_xlfn.XLOOKUP(GERAL[[#This Row],[Dia]],U:U,V:V,"")</f>
        <v>Prazo_30</v>
      </c>
    </row>
    <row r="2299" spans="1:18" x14ac:dyDescent="0.3">
      <c r="A2299" t="str">
        <f>_xlfn.XLOOKUP(GERAL[[#This Row],[Dia]],U:U,T:T,"")</f>
        <v>Semana 8</v>
      </c>
      <c r="B2299" s="1">
        <v>46099</v>
      </c>
      <c r="C2299" t="s">
        <v>24</v>
      </c>
      <c r="D2299" s="1">
        <v>46099</v>
      </c>
      <c r="E2299" t="s">
        <v>36</v>
      </c>
      <c r="F2299" t="s">
        <v>191</v>
      </c>
      <c r="G2299" t="s">
        <v>190</v>
      </c>
      <c r="M2299">
        <v>1</v>
      </c>
      <c r="Q2299" t="s">
        <v>179</v>
      </c>
      <c r="R2299" t="str">
        <f>_xlfn.XLOOKUP(GERAL[[#This Row],[Dia]],U:U,V:V,"")</f>
        <v>Prazo_30</v>
      </c>
    </row>
    <row r="2300" spans="1:18" x14ac:dyDescent="0.3">
      <c r="A2300" t="str">
        <f>_xlfn.XLOOKUP(GERAL[[#This Row],[Dia]],U:U,T:T,"")</f>
        <v>Semana 8</v>
      </c>
      <c r="B2300" s="1">
        <v>46099</v>
      </c>
      <c r="C2300" t="s">
        <v>24</v>
      </c>
      <c r="D2300" s="1">
        <v>46099</v>
      </c>
      <c r="E2300" t="s">
        <v>36</v>
      </c>
      <c r="F2300" t="s">
        <v>186</v>
      </c>
      <c r="G2300" t="s">
        <v>192</v>
      </c>
      <c r="M2300">
        <v>3</v>
      </c>
      <c r="Q2300" t="s">
        <v>179</v>
      </c>
      <c r="R2300" t="str">
        <f>_xlfn.XLOOKUP(GERAL[[#This Row],[Dia]],U:U,V:V,"")</f>
        <v>Prazo_30</v>
      </c>
    </row>
    <row r="2301" spans="1:18" x14ac:dyDescent="0.3">
      <c r="A2301" t="str">
        <f>_xlfn.XLOOKUP(GERAL[[#This Row],[Dia]],U:U,T:T,"")</f>
        <v>Semana 8</v>
      </c>
      <c r="B2301" s="1">
        <v>46100</v>
      </c>
      <c r="C2301" t="s">
        <v>25</v>
      </c>
      <c r="D2301" s="1">
        <v>46100</v>
      </c>
      <c r="E2301" t="s">
        <v>36</v>
      </c>
      <c r="F2301" t="s">
        <v>182</v>
      </c>
      <c r="G2301" t="s">
        <v>183</v>
      </c>
      <c r="M2301">
        <v>4</v>
      </c>
      <c r="Q2301" t="s">
        <v>179</v>
      </c>
      <c r="R2301" t="str">
        <f>_xlfn.XLOOKUP(GERAL[[#This Row],[Dia]],U:U,V:V,"")</f>
        <v>Prazo_30</v>
      </c>
    </row>
    <row r="2302" spans="1:18" x14ac:dyDescent="0.3">
      <c r="A2302" t="str">
        <f>_xlfn.XLOOKUP(GERAL[[#This Row],[Dia]],U:U,T:T,"")</f>
        <v>Semana 8</v>
      </c>
      <c r="B2302" s="1">
        <v>46100</v>
      </c>
      <c r="C2302" t="s">
        <v>25</v>
      </c>
      <c r="D2302" s="1">
        <v>46100</v>
      </c>
      <c r="E2302" t="s">
        <v>36</v>
      </c>
      <c r="F2302" t="s">
        <v>187</v>
      </c>
      <c r="G2302" t="s">
        <v>183</v>
      </c>
      <c r="J2302">
        <v>25</v>
      </c>
      <c r="Q2302" t="s">
        <v>179</v>
      </c>
      <c r="R2302" t="str">
        <f>_xlfn.XLOOKUP(GERAL[[#This Row],[Dia]],U:U,V:V,"")</f>
        <v>Prazo_30</v>
      </c>
    </row>
    <row r="2303" spans="1:18" x14ac:dyDescent="0.3">
      <c r="A2303" t="str">
        <f>_xlfn.XLOOKUP(GERAL[[#This Row],[Dia]],U:U,T:T,"")</f>
        <v>Semana 8</v>
      </c>
      <c r="B2303" s="1">
        <v>46100</v>
      </c>
      <c r="C2303" t="s">
        <v>25</v>
      </c>
      <c r="D2303" s="1">
        <v>46100</v>
      </c>
      <c r="E2303" t="s">
        <v>36</v>
      </c>
      <c r="F2303" t="s">
        <v>186</v>
      </c>
      <c r="G2303" t="s">
        <v>185</v>
      </c>
      <c r="M2303">
        <v>2</v>
      </c>
      <c r="Q2303" t="s">
        <v>179</v>
      </c>
      <c r="R2303" t="str">
        <f>_xlfn.XLOOKUP(GERAL[[#This Row],[Dia]],U:U,V:V,"")</f>
        <v>Prazo_30</v>
      </c>
    </row>
    <row r="2304" spans="1:18" x14ac:dyDescent="0.3">
      <c r="A2304" t="str">
        <f>_xlfn.XLOOKUP(GERAL[[#This Row],[Dia]],U:U,T:T,"")</f>
        <v>Semana 8</v>
      </c>
      <c r="B2304" s="1">
        <v>46100</v>
      </c>
      <c r="C2304" t="s">
        <v>25</v>
      </c>
      <c r="D2304" s="1">
        <v>46100</v>
      </c>
      <c r="E2304" t="s">
        <v>36</v>
      </c>
      <c r="F2304" t="s">
        <v>191</v>
      </c>
      <c r="G2304" t="s">
        <v>190</v>
      </c>
      <c r="M2304">
        <v>2</v>
      </c>
      <c r="N2304">
        <v>1</v>
      </c>
      <c r="Q2304" t="s">
        <v>179</v>
      </c>
      <c r="R2304" t="str">
        <f>_xlfn.XLOOKUP(GERAL[[#This Row],[Dia]],U:U,V:V,"")</f>
        <v>Prazo_30</v>
      </c>
    </row>
    <row r="2305" spans="1:18" x14ac:dyDescent="0.3">
      <c r="A2305" t="str">
        <f>_xlfn.XLOOKUP(GERAL[[#This Row],[Dia]],U:U,T:T,"")</f>
        <v>Semana 8</v>
      </c>
      <c r="B2305" s="1">
        <v>46101</v>
      </c>
      <c r="C2305" t="s">
        <v>26</v>
      </c>
      <c r="D2305" s="1">
        <v>46101</v>
      </c>
      <c r="E2305" t="s">
        <v>36</v>
      </c>
      <c r="F2305" t="s">
        <v>187</v>
      </c>
      <c r="G2305" t="s">
        <v>183</v>
      </c>
      <c r="J2305">
        <v>20</v>
      </c>
      <c r="Q2305" t="s">
        <v>179</v>
      </c>
      <c r="R2305" t="str">
        <f>_xlfn.XLOOKUP(GERAL[[#This Row],[Dia]],U:U,V:V,"")</f>
        <v>Prazo_30</v>
      </c>
    </row>
    <row r="2306" spans="1:18" x14ac:dyDescent="0.3">
      <c r="A2306" t="str">
        <f>_xlfn.XLOOKUP(GERAL[[#This Row],[Dia]],U:U,T:T,"")</f>
        <v>Semana 8</v>
      </c>
      <c r="B2306" s="1">
        <v>46101</v>
      </c>
      <c r="C2306" t="s">
        <v>26</v>
      </c>
      <c r="D2306" s="1">
        <v>46101</v>
      </c>
      <c r="E2306" t="s">
        <v>36</v>
      </c>
      <c r="F2306" t="s">
        <v>187</v>
      </c>
      <c r="G2306" t="s">
        <v>183</v>
      </c>
      <c r="J2306">
        <v>63</v>
      </c>
      <c r="M2306">
        <v>6</v>
      </c>
      <c r="Q2306" t="s">
        <v>179</v>
      </c>
      <c r="R2306" t="str">
        <f>_xlfn.XLOOKUP(GERAL[[#This Row],[Dia]],U:U,V:V,"")</f>
        <v>Prazo_30</v>
      </c>
    </row>
    <row r="2307" spans="1:18" x14ac:dyDescent="0.3">
      <c r="A2307" t="str">
        <f>_xlfn.XLOOKUP(GERAL[[#This Row],[Dia]],U:U,T:T,"")</f>
        <v>Semana 8</v>
      </c>
      <c r="B2307" s="1">
        <v>46101</v>
      </c>
      <c r="C2307" t="s">
        <v>26</v>
      </c>
      <c r="D2307" s="1">
        <v>46101</v>
      </c>
      <c r="E2307" t="s">
        <v>36</v>
      </c>
      <c r="F2307" t="s">
        <v>193</v>
      </c>
      <c r="G2307" t="s">
        <v>190</v>
      </c>
      <c r="M2307">
        <v>2</v>
      </c>
      <c r="N2307">
        <v>2</v>
      </c>
      <c r="Q2307" t="s">
        <v>179</v>
      </c>
      <c r="R2307" t="str">
        <f>_xlfn.XLOOKUP(GERAL[[#This Row],[Dia]],U:U,V:V,"")</f>
        <v>Prazo_30</v>
      </c>
    </row>
    <row r="2308" spans="1:18" x14ac:dyDescent="0.3">
      <c r="A2308" t="str">
        <f>_xlfn.XLOOKUP(GERAL[[#This Row],[Dia]],U:U,T:T,"")</f>
        <v>Semana 8</v>
      </c>
      <c r="B2308" s="1">
        <v>46102</v>
      </c>
      <c r="C2308" t="s">
        <v>16</v>
      </c>
      <c r="D2308" s="1">
        <v>46102</v>
      </c>
      <c r="E2308" t="s">
        <v>17</v>
      </c>
      <c r="Q2308" t="s">
        <v>179</v>
      </c>
      <c r="R2308" t="str">
        <f>_xlfn.XLOOKUP(GERAL[[#This Row],[Dia]],U:U,V:V,"")</f>
        <v>Prazo_30</v>
      </c>
    </row>
    <row r="2309" spans="1:18" x14ac:dyDescent="0.3">
      <c r="A2309" t="str">
        <f>_xlfn.XLOOKUP(GERAL[[#This Row],[Dia]],U:U,T:T,"")</f>
        <v>Semana 8</v>
      </c>
      <c r="B2309" s="1">
        <v>46103</v>
      </c>
      <c r="C2309" t="s">
        <v>21</v>
      </c>
      <c r="D2309" s="1">
        <v>46103</v>
      </c>
      <c r="E2309" t="s">
        <v>17</v>
      </c>
      <c r="Q2309" t="s">
        <v>179</v>
      </c>
      <c r="R2309" t="str">
        <f>_xlfn.XLOOKUP(GERAL[[#This Row],[Dia]],U:U,V:V,"")</f>
        <v>Prazo_30</v>
      </c>
    </row>
    <row r="2310" spans="1:18" x14ac:dyDescent="0.3">
      <c r="A2310" t="str">
        <f>_xlfn.XLOOKUP(GERAL[[#This Row],[Dia]],U:U,T:T,"")</f>
        <v>Semana 9</v>
      </c>
      <c r="B2310" s="1">
        <v>46104</v>
      </c>
      <c r="C2310" t="s">
        <v>22</v>
      </c>
      <c r="D2310" s="1">
        <v>46104</v>
      </c>
      <c r="E2310" t="s">
        <v>36</v>
      </c>
      <c r="F2310" t="s">
        <v>182</v>
      </c>
      <c r="G2310" t="s">
        <v>194</v>
      </c>
      <c r="I2310">
        <v>3</v>
      </c>
      <c r="K2310">
        <v>12</v>
      </c>
      <c r="Q2310" t="s">
        <v>179</v>
      </c>
      <c r="R2310" t="str">
        <f>_xlfn.XLOOKUP(GERAL[[#This Row],[Dia]],U:U,V:V,"")</f>
        <v>Prazo_30</v>
      </c>
    </row>
    <row r="2311" spans="1:18" x14ac:dyDescent="0.3">
      <c r="A2311" t="str">
        <f>_xlfn.XLOOKUP(GERAL[[#This Row],[Dia]],U:U,T:T,"")</f>
        <v>Semana 9</v>
      </c>
      <c r="B2311" s="1">
        <v>46104</v>
      </c>
      <c r="C2311" t="s">
        <v>22</v>
      </c>
      <c r="D2311" s="1">
        <v>46104</v>
      </c>
      <c r="E2311" t="s">
        <v>36</v>
      </c>
      <c r="F2311" t="s">
        <v>187</v>
      </c>
      <c r="G2311" t="s">
        <v>183</v>
      </c>
      <c r="J2311">
        <v>10</v>
      </c>
      <c r="Q2311" t="s">
        <v>179</v>
      </c>
      <c r="R2311" t="str">
        <f>_xlfn.XLOOKUP(GERAL[[#This Row],[Dia]],U:U,V:V,"")</f>
        <v>Prazo_30</v>
      </c>
    </row>
    <row r="2312" spans="1:18" x14ac:dyDescent="0.3">
      <c r="A2312" t="str">
        <f>_xlfn.XLOOKUP(GERAL[[#This Row],[Dia]],U:U,T:T,"")</f>
        <v>Semana 9</v>
      </c>
      <c r="B2312" s="1">
        <v>46105</v>
      </c>
      <c r="C2312" t="s">
        <v>23</v>
      </c>
      <c r="D2312" s="1">
        <v>46105</v>
      </c>
      <c r="E2312" t="s">
        <v>36</v>
      </c>
      <c r="F2312" t="s">
        <v>182</v>
      </c>
      <c r="G2312" t="s">
        <v>183</v>
      </c>
      <c r="I2312">
        <v>2</v>
      </c>
      <c r="K2312">
        <v>8</v>
      </c>
      <c r="Q2312" t="s">
        <v>179</v>
      </c>
      <c r="R2312" t="str">
        <f>_xlfn.XLOOKUP(GERAL[[#This Row],[Dia]],U:U,V:V,"")</f>
        <v>Prazo_30</v>
      </c>
    </row>
    <row r="2313" spans="1:18" x14ac:dyDescent="0.3">
      <c r="A2313" t="str">
        <f>_xlfn.XLOOKUP(GERAL[[#This Row],[Dia]],U:U,T:T,"")</f>
        <v>Semana 9</v>
      </c>
      <c r="B2313" s="1">
        <v>46106</v>
      </c>
      <c r="C2313" t="s">
        <v>24</v>
      </c>
      <c r="D2313" s="1">
        <v>46106</v>
      </c>
      <c r="E2313" t="s">
        <v>36</v>
      </c>
      <c r="F2313" t="s">
        <v>182</v>
      </c>
      <c r="G2313" t="s">
        <v>183</v>
      </c>
      <c r="I2313">
        <v>2</v>
      </c>
      <c r="K2313">
        <v>6</v>
      </c>
      <c r="L2313">
        <v>1</v>
      </c>
      <c r="Q2313" t="s">
        <v>179</v>
      </c>
      <c r="R2313" t="str">
        <f>_xlfn.XLOOKUP(GERAL[[#This Row],[Dia]],U:U,V:V,"")</f>
        <v>Prazo_30</v>
      </c>
    </row>
    <row r="2314" spans="1:18" x14ac:dyDescent="0.3">
      <c r="A2314" t="str">
        <f>_xlfn.XLOOKUP(GERAL[[#This Row],[Dia]],U:U,T:T,"")</f>
        <v>Semana 9</v>
      </c>
      <c r="B2314" s="1">
        <v>46106</v>
      </c>
      <c r="C2314" t="s">
        <v>24</v>
      </c>
      <c r="D2314" s="1">
        <v>46106</v>
      </c>
      <c r="E2314" t="s">
        <v>36</v>
      </c>
      <c r="F2314" t="s">
        <v>187</v>
      </c>
      <c r="G2314" t="s">
        <v>183</v>
      </c>
      <c r="I2314">
        <v>2</v>
      </c>
      <c r="J2314">
        <v>32</v>
      </c>
      <c r="Q2314" t="s">
        <v>179</v>
      </c>
      <c r="R2314" t="str">
        <f>_xlfn.XLOOKUP(GERAL[[#This Row],[Dia]],U:U,V:V,"")</f>
        <v>Prazo_30</v>
      </c>
    </row>
    <row r="2315" spans="1:18" x14ac:dyDescent="0.3">
      <c r="A2315" t="str">
        <f>_xlfn.XLOOKUP(GERAL[[#This Row],[Dia]],U:U,T:T,"")</f>
        <v>Semana 9</v>
      </c>
      <c r="B2315" s="1">
        <v>46106</v>
      </c>
      <c r="C2315" t="s">
        <v>24</v>
      </c>
      <c r="D2315" s="1">
        <v>46106</v>
      </c>
      <c r="E2315" t="s">
        <v>36</v>
      </c>
      <c r="F2315" t="s">
        <v>187</v>
      </c>
      <c r="G2315" t="s">
        <v>195</v>
      </c>
      <c r="M2315">
        <v>5</v>
      </c>
      <c r="Q2315" t="s">
        <v>179</v>
      </c>
      <c r="R2315" t="str">
        <f>_xlfn.XLOOKUP(GERAL[[#This Row],[Dia]],U:U,V:V,"")</f>
        <v>Prazo_30</v>
      </c>
    </row>
    <row r="2316" spans="1:18" x14ac:dyDescent="0.3">
      <c r="A2316" t="str">
        <f>_xlfn.XLOOKUP(GERAL[[#This Row],[Dia]],U:U,T:T,"")</f>
        <v>Semana 9</v>
      </c>
      <c r="B2316" s="1">
        <v>46107</v>
      </c>
      <c r="C2316" t="s">
        <v>25</v>
      </c>
      <c r="D2316" s="1">
        <v>46107</v>
      </c>
      <c r="E2316" t="s">
        <v>36</v>
      </c>
      <c r="F2316" t="s">
        <v>182</v>
      </c>
      <c r="G2316" t="s">
        <v>183</v>
      </c>
      <c r="I2316">
        <v>2</v>
      </c>
      <c r="K2316">
        <v>6</v>
      </c>
      <c r="Q2316" t="s">
        <v>179</v>
      </c>
      <c r="R2316" t="str">
        <f>_xlfn.XLOOKUP(GERAL[[#This Row],[Dia]],U:U,V:V,"")</f>
        <v>Prazo_30</v>
      </c>
    </row>
    <row r="2317" spans="1:18" x14ac:dyDescent="0.3">
      <c r="A2317" t="str">
        <f>_xlfn.XLOOKUP(GERAL[[#This Row],[Dia]],U:U,T:T,"")</f>
        <v>Semana 9</v>
      </c>
      <c r="B2317" s="1">
        <v>46107</v>
      </c>
      <c r="C2317" t="s">
        <v>25</v>
      </c>
      <c r="D2317" s="1">
        <v>46107</v>
      </c>
      <c r="E2317" t="s">
        <v>36</v>
      </c>
      <c r="F2317" t="s">
        <v>187</v>
      </c>
      <c r="G2317" t="s">
        <v>183</v>
      </c>
      <c r="J2317">
        <v>12</v>
      </c>
      <c r="Q2317" t="s">
        <v>179</v>
      </c>
      <c r="R2317" t="str">
        <f>_xlfn.XLOOKUP(GERAL[[#This Row],[Dia]],U:U,V:V,"")</f>
        <v>Prazo_30</v>
      </c>
    </row>
    <row r="2318" spans="1:18" x14ac:dyDescent="0.3">
      <c r="A2318" t="str">
        <f>_xlfn.XLOOKUP(GERAL[[#This Row],[Dia]],U:U,T:T,"")</f>
        <v>Semana 9</v>
      </c>
      <c r="B2318" s="1">
        <v>46107</v>
      </c>
      <c r="C2318" t="s">
        <v>25</v>
      </c>
      <c r="D2318" s="1">
        <v>46107</v>
      </c>
      <c r="E2318" t="s">
        <v>36</v>
      </c>
      <c r="F2318" t="s">
        <v>184</v>
      </c>
      <c r="G2318" t="s">
        <v>195</v>
      </c>
      <c r="M2318">
        <v>3</v>
      </c>
      <c r="Q2318" t="s">
        <v>179</v>
      </c>
      <c r="R2318" t="str">
        <f>_xlfn.XLOOKUP(GERAL[[#This Row],[Dia]],U:U,V:V,"")</f>
        <v>Prazo_30</v>
      </c>
    </row>
    <row r="2319" spans="1:18" x14ac:dyDescent="0.3">
      <c r="A2319" t="str">
        <f>_xlfn.XLOOKUP(GERAL[[#This Row],[Dia]],U:U,T:T,"")</f>
        <v>Semana 9</v>
      </c>
      <c r="B2319" s="1">
        <v>46108</v>
      </c>
      <c r="C2319" t="s">
        <v>26</v>
      </c>
      <c r="D2319" s="1">
        <v>46108</v>
      </c>
      <c r="E2319" t="s">
        <v>36</v>
      </c>
      <c r="F2319" t="s">
        <v>196</v>
      </c>
      <c r="G2319" t="s">
        <v>190</v>
      </c>
      <c r="M2319">
        <v>10</v>
      </c>
      <c r="Q2319" t="s">
        <v>179</v>
      </c>
      <c r="R2319" t="str">
        <f>_xlfn.XLOOKUP(GERAL[[#This Row],[Dia]],U:U,V:V,"")</f>
        <v>Prazo_30</v>
      </c>
    </row>
    <row r="2320" spans="1:18" x14ac:dyDescent="0.3">
      <c r="A2320" t="str">
        <f>_xlfn.XLOOKUP(GERAL[[#This Row],[Dia]],U:U,T:T,"")</f>
        <v>Semana 9</v>
      </c>
      <c r="B2320" s="1">
        <v>46109</v>
      </c>
      <c r="C2320" t="s">
        <v>16</v>
      </c>
      <c r="D2320" s="1">
        <v>46109</v>
      </c>
      <c r="E2320" t="s">
        <v>17</v>
      </c>
      <c r="Q2320" t="s">
        <v>179</v>
      </c>
      <c r="R2320" t="str">
        <f>_xlfn.XLOOKUP(GERAL[[#This Row],[Dia]],U:U,V:V,"")</f>
        <v>Prazo_30</v>
      </c>
    </row>
    <row r="2321" spans="1:18" x14ac:dyDescent="0.3">
      <c r="A2321" t="str">
        <f>_xlfn.XLOOKUP(GERAL[[#This Row],[Dia]],U:U,T:T,"")</f>
        <v>Semana 9</v>
      </c>
      <c r="B2321" s="1">
        <v>46110</v>
      </c>
      <c r="C2321" t="s">
        <v>21</v>
      </c>
      <c r="D2321" s="1">
        <v>46110</v>
      </c>
      <c r="E2321" t="s">
        <v>17</v>
      </c>
      <c r="Q2321" t="s">
        <v>179</v>
      </c>
      <c r="R2321" t="str">
        <f>_xlfn.XLOOKUP(GERAL[[#This Row],[Dia]],U:U,V:V,"")</f>
        <v>Prazo_30</v>
      </c>
    </row>
    <row r="2322" spans="1:18" x14ac:dyDescent="0.3">
      <c r="A2322" t="str">
        <f>_xlfn.XLOOKUP(GERAL[[#This Row],[Dia]],U:U,T:T,"")</f>
        <v>Semana 10</v>
      </c>
      <c r="B2322" s="1">
        <v>46111</v>
      </c>
      <c r="C2322" t="s">
        <v>22</v>
      </c>
      <c r="D2322" s="1">
        <v>46111</v>
      </c>
      <c r="E2322" t="s">
        <v>36</v>
      </c>
      <c r="F2322" t="s">
        <v>182</v>
      </c>
      <c r="G2322" t="s">
        <v>183</v>
      </c>
      <c r="H2322">
        <v>9</v>
      </c>
      <c r="I2322">
        <v>3</v>
      </c>
      <c r="K2322">
        <v>8</v>
      </c>
      <c r="L2322">
        <v>1</v>
      </c>
      <c r="M2322">
        <v>10</v>
      </c>
      <c r="Q2322" t="s">
        <v>179</v>
      </c>
      <c r="R2322" t="str">
        <f>_xlfn.XLOOKUP(GERAL[[#This Row],[Dia]],U:U,V:V,"")</f>
        <v>Prazo_30</v>
      </c>
    </row>
    <row r="2323" spans="1:18" x14ac:dyDescent="0.3">
      <c r="A2323" t="str">
        <f>_xlfn.XLOOKUP(GERAL[[#This Row],[Dia]],U:U,T:T,"")</f>
        <v>Semana 10</v>
      </c>
      <c r="B2323" s="1">
        <v>46111</v>
      </c>
      <c r="C2323" t="s">
        <v>22</v>
      </c>
      <c r="D2323" s="1">
        <v>46111</v>
      </c>
      <c r="E2323" t="s">
        <v>36</v>
      </c>
      <c r="F2323" t="s">
        <v>187</v>
      </c>
      <c r="G2323" t="s">
        <v>197</v>
      </c>
      <c r="I2323">
        <v>5</v>
      </c>
      <c r="K2323">
        <v>12</v>
      </c>
      <c r="Q2323" t="s">
        <v>179</v>
      </c>
      <c r="R2323" t="str">
        <f>_xlfn.XLOOKUP(GERAL[[#This Row],[Dia]],U:U,V:V,"")</f>
        <v>Prazo_30</v>
      </c>
    </row>
    <row r="2324" spans="1:18" x14ac:dyDescent="0.3">
      <c r="A2324" t="str">
        <f>_xlfn.XLOOKUP(GERAL[[#This Row],[Dia]],U:U,T:T,"")</f>
        <v>Semana 10</v>
      </c>
      <c r="B2324" s="1">
        <v>46112</v>
      </c>
      <c r="C2324" t="s">
        <v>23</v>
      </c>
      <c r="D2324" s="1">
        <v>46112</v>
      </c>
      <c r="E2324" t="s">
        <v>36</v>
      </c>
      <c r="F2324" t="s">
        <v>187</v>
      </c>
      <c r="G2324" t="s">
        <v>194</v>
      </c>
      <c r="J2324">
        <v>20</v>
      </c>
      <c r="Q2324" t="s">
        <v>179</v>
      </c>
      <c r="R2324" t="str">
        <f>_xlfn.XLOOKUP(GERAL[[#This Row],[Dia]],U:U,V:V,"")</f>
        <v>Prazo_30</v>
      </c>
    </row>
    <row r="2325" spans="1:18" x14ac:dyDescent="0.3">
      <c r="A2325" t="str">
        <f>_xlfn.XLOOKUP(GERAL[[#This Row],[Dia]],U:U,T:T,"")</f>
        <v>Semana 10</v>
      </c>
      <c r="B2325" s="1">
        <v>46112</v>
      </c>
      <c r="C2325" t="s">
        <v>23</v>
      </c>
      <c r="D2325" s="1">
        <v>46112</v>
      </c>
      <c r="E2325" t="s">
        <v>36</v>
      </c>
      <c r="F2325" t="s">
        <v>184</v>
      </c>
      <c r="G2325" t="s">
        <v>198</v>
      </c>
      <c r="M2325">
        <v>6</v>
      </c>
      <c r="Q2325" t="s">
        <v>179</v>
      </c>
      <c r="R2325" t="str">
        <f>_xlfn.XLOOKUP(GERAL[[#This Row],[Dia]],U:U,V:V,"")</f>
        <v>Prazo_30</v>
      </c>
    </row>
    <row r="2326" spans="1:18" hidden="1" x14ac:dyDescent="0.3">
      <c r="A2326" t="str">
        <f>_xlfn.XLOOKUP(GERAL[[#This Row],[Dia]],U:U,T:T,"")</f>
        <v>Semana 10</v>
      </c>
      <c r="B2326" s="1">
        <v>46113</v>
      </c>
      <c r="C2326" t="s">
        <v>24</v>
      </c>
      <c r="D2326" s="1">
        <v>46113</v>
      </c>
      <c r="E2326" t="s">
        <v>36</v>
      </c>
      <c r="F2326" t="s">
        <v>187</v>
      </c>
      <c r="G2326" t="s">
        <v>183</v>
      </c>
      <c r="H2326">
        <v>5</v>
      </c>
      <c r="Q2326" t="s">
        <v>179</v>
      </c>
      <c r="R2326" t="str">
        <f>_xlfn.XLOOKUP(GERAL[[#This Row],[Dia]],U:U,V:V,"")</f>
        <v>Prazo_30</v>
      </c>
    </row>
    <row r="2327" spans="1:18" hidden="1" x14ac:dyDescent="0.3">
      <c r="A2327" t="str">
        <f>_xlfn.XLOOKUP(GERAL[[#This Row],[Dia]],U:U,T:T,"")</f>
        <v>Semana 10</v>
      </c>
      <c r="B2327" s="1">
        <v>46113</v>
      </c>
      <c r="C2327" t="s">
        <v>24</v>
      </c>
      <c r="D2327" s="1">
        <v>46113</v>
      </c>
      <c r="E2327" t="s">
        <v>36</v>
      </c>
      <c r="F2327" t="s">
        <v>182</v>
      </c>
      <c r="G2327" t="s">
        <v>183</v>
      </c>
      <c r="L2327">
        <v>1</v>
      </c>
      <c r="Q2327" t="s">
        <v>179</v>
      </c>
      <c r="R2327" t="str">
        <f>_xlfn.XLOOKUP(GERAL[[#This Row],[Dia]],U:U,V:V,"")</f>
        <v>Prazo_30</v>
      </c>
    </row>
    <row r="2328" spans="1:18" hidden="1" x14ac:dyDescent="0.3">
      <c r="A2328" t="str">
        <f>_xlfn.XLOOKUP(GERAL[[#This Row],[Dia]],U:U,T:T,"")</f>
        <v>Semana 10</v>
      </c>
      <c r="B2328" s="1">
        <v>46114</v>
      </c>
      <c r="C2328" t="s">
        <v>25</v>
      </c>
      <c r="D2328" s="1">
        <v>46114</v>
      </c>
      <c r="E2328" t="s">
        <v>17</v>
      </c>
      <c r="Q2328" t="s">
        <v>179</v>
      </c>
      <c r="R2328" t="str">
        <f>_xlfn.XLOOKUP(GERAL[[#This Row],[Dia]],U:U,V:V,"")</f>
        <v>Prazo_30</v>
      </c>
    </row>
    <row r="2329" spans="1:18" hidden="1" x14ac:dyDescent="0.3">
      <c r="A2329" t="str">
        <f>_xlfn.XLOOKUP(GERAL[[#This Row],[Dia]],U:U,T:T,"")</f>
        <v>Semana 10</v>
      </c>
      <c r="B2329" s="1">
        <v>46115</v>
      </c>
      <c r="C2329" t="s">
        <v>26</v>
      </c>
      <c r="D2329" s="1">
        <v>46115</v>
      </c>
      <c r="E2329" t="s">
        <v>17</v>
      </c>
      <c r="Q2329" t="s">
        <v>179</v>
      </c>
      <c r="R2329" t="str">
        <f>_xlfn.XLOOKUP(GERAL[[#This Row],[Dia]],U:U,V:V,"")</f>
        <v>Prazo_30</v>
      </c>
    </row>
    <row r="2330" spans="1:18" hidden="1" x14ac:dyDescent="0.3">
      <c r="A2330" t="str">
        <f>_xlfn.XLOOKUP(GERAL[[#This Row],[Dia]],U:U,T:T,"")</f>
        <v>Semana 10</v>
      </c>
      <c r="B2330" s="1">
        <v>46116</v>
      </c>
      <c r="C2330" t="s">
        <v>16</v>
      </c>
      <c r="D2330" s="1">
        <v>46116</v>
      </c>
      <c r="E2330" t="s">
        <v>17</v>
      </c>
      <c r="Q2330" t="s">
        <v>179</v>
      </c>
      <c r="R2330" t="str">
        <f>_xlfn.XLOOKUP(GERAL[[#This Row],[Dia]],U:U,V:V,"")</f>
        <v>Prazo_30</v>
      </c>
    </row>
    <row r="2331" spans="1:18" hidden="1" x14ac:dyDescent="0.3">
      <c r="A2331" t="str">
        <f>_xlfn.XLOOKUP(GERAL[[#This Row],[Dia]],U:U,T:T,"")</f>
        <v>Semana 10</v>
      </c>
      <c r="B2331" s="1">
        <v>46117</v>
      </c>
      <c r="C2331" t="s">
        <v>21</v>
      </c>
      <c r="D2331" s="1">
        <v>46117</v>
      </c>
      <c r="E2331" t="s">
        <v>17</v>
      </c>
      <c r="Q2331" t="s">
        <v>179</v>
      </c>
      <c r="R2331" t="str">
        <f>_xlfn.XLOOKUP(GERAL[[#This Row],[Dia]],U:U,V:V,"")</f>
        <v>Prazo_30</v>
      </c>
    </row>
    <row r="2332" spans="1:18" hidden="1" x14ac:dyDescent="0.3">
      <c r="A2332" t="str">
        <f>_xlfn.XLOOKUP(GERAL[[#This Row],[Dia]],U:U,T:T,"")</f>
        <v>Semana 11</v>
      </c>
      <c r="B2332" s="1">
        <v>46118</v>
      </c>
      <c r="C2332" t="s">
        <v>22</v>
      </c>
      <c r="D2332" s="1">
        <v>46118</v>
      </c>
      <c r="E2332" t="s">
        <v>17</v>
      </c>
      <c r="Q2332" t="s">
        <v>179</v>
      </c>
      <c r="R2332" t="str">
        <f>_xlfn.XLOOKUP(GERAL[[#This Row],[Dia]],U:U,V:V,"")</f>
        <v>Prazo_30</v>
      </c>
    </row>
    <row r="2333" spans="1:18" hidden="1" x14ac:dyDescent="0.3">
      <c r="A2333" t="str">
        <f>_xlfn.XLOOKUP(GERAL[[#This Row],[Dia]],U:U,T:T,"")</f>
        <v>Semana 11</v>
      </c>
      <c r="B2333" s="1">
        <v>46119</v>
      </c>
      <c r="C2333" t="s">
        <v>23</v>
      </c>
      <c r="D2333" s="1">
        <v>46119</v>
      </c>
      <c r="E2333" t="s">
        <v>17</v>
      </c>
      <c r="Q2333" t="s">
        <v>179</v>
      </c>
      <c r="R2333" t="str">
        <f>_xlfn.XLOOKUP(GERAL[[#This Row],[Dia]],U:U,V:V,"")</f>
        <v>Prazo_30</v>
      </c>
    </row>
    <row r="2334" spans="1:18" hidden="1" x14ac:dyDescent="0.3">
      <c r="A2334" t="str">
        <f>_xlfn.XLOOKUP(GERAL[[#This Row],[Dia]],U:U,T:T,"")</f>
        <v>Semana 11</v>
      </c>
      <c r="B2334" s="1">
        <v>46120</v>
      </c>
      <c r="C2334" t="s">
        <v>24</v>
      </c>
      <c r="D2334" s="1">
        <v>46120</v>
      </c>
      <c r="E2334" t="s">
        <v>17</v>
      </c>
      <c r="Q2334" t="s">
        <v>179</v>
      </c>
      <c r="R2334" t="str">
        <f>_xlfn.XLOOKUP(GERAL[[#This Row],[Dia]],U:U,V:V,"")</f>
        <v>Prazo_30</v>
      </c>
    </row>
    <row r="2335" spans="1:18" hidden="1" x14ac:dyDescent="0.3">
      <c r="A2335" t="str">
        <f>_xlfn.XLOOKUP(GERAL[[#This Row],[Dia]],U:U,T:T,"")</f>
        <v>Semana 11</v>
      </c>
      <c r="B2335" s="1">
        <v>46121</v>
      </c>
      <c r="C2335" t="s">
        <v>25</v>
      </c>
      <c r="D2335" s="1">
        <v>46121</v>
      </c>
      <c r="Q2335" t="s">
        <v>179</v>
      </c>
      <c r="R2335" t="str">
        <f>_xlfn.XLOOKUP(GERAL[[#This Row],[Dia]],U:U,V:V,"")</f>
        <v>Prazo_30</v>
      </c>
    </row>
    <row r="2336" spans="1:18" hidden="1" x14ac:dyDescent="0.3">
      <c r="A2336" t="str">
        <f>_xlfn.XLOOKUP(GERAL[[#This Row],[Dia]],U:U,T:T,"")</f>
        <v>Semana 11</v>
      </c>
      <c r="B2336" s="1">
        <v>46122</v>
      </c>
      <c r="C2336" t="s">
        <v>26</v>
      </c>
      <c r="D2336" s="1">
        <v>46122</v>
      </c>
      <c r="Q2336" t="s">
        <v>179</v>
      </c>
      <c r="R2336" t="str">
        <f>_xlfn.XLOOKUP(GERAL[[#This Row],[Dia]],U:U,V:V,"")</f>
        <v>Prazo_30</v>
      </c>
    </row>
    <row r="2337" spans="1:18" hidden="1" x14ac:dyDescent="0.3">
      <c r="A2337" t="str">
        <f>_xlfn.XLOOKUP(GERAL[[#This Row],[Dia]],U:U,T:T,"")</f>
        <v>Semana 11</v>
      </c>
      <c r="B2337" s="1">
        <v>46123</v>
      </c>
      <c r="C2337" t="s">
        <v>16</v>
      </c>
      <c r="D2337" s="1">
        <v>46123</v>
      </c>
      <c r="E2337" t="s">
        <v>17</v>
      </c>
      <c r="Q2337" t="s">
        <v>179</v>
      </c>
      <c r="R2337" t="str">
        <f>_xlfn.XLOOKUP(GERAL[[#This Row],[Dia]],U:U,V:V,"")</f>
        <v>Prazo_30</v>
      </c>
    </row>
    <row r="2338" spans="1:18" hidden="1" x14ac:dyDescent="0.3">
      <c r="A2338" t="str">
        <f>_xlfn.XLOOKUP(GERAL[[#This Row],[Dia]],U:U,T:T,"")</f>
        <v>Semana 11</v>
      </c>
      <c r="B2338" s="1">
        <v>46124</v>
      </c>
      <c r="C2338" t="s">
        <v>21</v>
      </c>
      <c r="D2338" s="1">
        <v>46124</v>
      </c>
      <c r="E2338" t="s">
        <v>17</v>
      </c>
      <c r="Q2338" t="s">
        <v>179</v>
      </c>
      <c r="R2338" t="str">
        <f>_xlfn.XLOOKUP(GERAL[[#This Row],[Dia]],U:U,V:V,"")</f>
        <v>Prazo_30</v>
      </c>
    </row>
    <row r="2339" spans="1:18" hidden="1" x14ac:dyDescent="0.3">
      <c r="A2339" t="str">
        <f>_xlfn.XLOOKUP(GERAL[[#This Row],[Dia]],U:U,T:T,"")</f>
        <v>Semana 12</v>
      </c>
      <c r="B2339" s="1">
        <v>46125</v>
      </c>
      <c r="C2339" t="s">
        <v>22</v>
      </c>
      <c r="D2339" s="1">
        <v>46125</v>
      </c>
      <c r="Q2339" t="s">
        <v>179</v>
      </c>
      <c r="R2339" t="str">
        <f>_xlfn.XLOOKUP(GERAL[[#This Row],[Dia]],U:U,V:V,"")</f>
        <v>Prazo_30</v>
      </c>
    </row>
    <row r="2340" spans="1:18" hidden="1" x14ac:dyDescent="0.3">
      <c r="A2340" t="str">
        <f>_xlfn.XLOOKUP(GERAL[[#This Row],[Dia]],U:U,T:T,"")</f>
        <v>Semana 12</v>
      </c>
      <c r="B2340" s="1">
        <v>46126</v>
      </c>
      <c r="C2340" t="s">
        <v>23</v>
      </c>
      <c r="D2340" s="1">
        <v>46126</v>
      </c>
      <c r="Q2340" t="s">
        <v>179</v>
      </c>
      <c r="R2340" t="str">
        <f>_xlfn.XLOOKUP(GERAL[[#This Row],[Dia]],U:U,V:V,"")</f>
        <v>Prazo_30</v>
      </c>
    </row>
    <row r="2341" spans="1:18" hidden="1" x14ac:dyDescent="0.3">
      <c r="A2341" t="str">
        <f>_xlfn.XLOOKUP(GERAL[[#This Row],[Dia]],U:U,T:T,"")</f>
        <v>Semana 12</v>
      </c>
      <c r="B2341" s="1">
        <v>46127</v>
      </c>
      <c r="C2341" t="s">
        <v>24</v>
      </c>
      <c r="D2341" s="1">
        <v>46127</v>
      </c>
      <c r="Q2341" t="s">
        <v>179</v>
      </c>
      <c r="R2341" t="str">
        <f>_xlfn.XLOOKUP(GERAL[[#This Row],[Dia]],U:U,V:V,"")</f>
        <v>Prazo_30</v>
      </c>
    </row>
    <row r="2342" spans="1:18" hidden="1" x14ac:dyDescent="0.3">
      <c r="A2342" t="str">
        <f>_xlfn.XLOOKUP(GERAL[[#This Row],[Dia]],U:U,T:T,"")</f>
        <v>Semana 12</v>
      </c>
      <c r="B2342" s="1">
        <v>46128</v>
      </c>
      <c r="C2342" t="s">
        <v>25</v>
      </c>
      <c r="D2342" s="1">
        <v>46128</v>
      </c>
      <c r="Q2342" t="s">
        <v>179</v>
      </c>
      <c r="R2342" t="str">
        <f>_xlfn.XLOOKUP(GERAL[[#This Row],[Dia]],U:U,V:V,"")</f>
        <v>Prazo_30</v>
      </c>
    </row>
    <row r="2343" spans="1:18" hidden="1" x14ac:dyDescent="0.3">
      <c r="A2343" t="str">
        <f>_xlfn.XLOOKUP(GERAL[[#This Row],[Dia]],U:U,T:T,"")</f>
        <v>Semana 12</v>
      </c>
      <c r="B2343" s="1">
        <v>46129</v>
      </c>
      <c r="C2343" t="s">
        <v>26</v>
      </c>
      <c r="D2343" s="1">
        <v>46129</v>
      </c>
      <c r="Q2343" t="s">
        <v>179</v>
      </c>
      <c r="R2343" t="str">
        <f>_xlfn.XLOOKUP(GERAL[[#This Row],[Dia]],U:U,V:V,"")</f>
        <v>Prazo_30</v>
      </c>
    </row>
    <row r="2344" spans="1:18" hidden="1" x14ac:dyDescent="0.3">
      <c r="A2344" t="str">
        <f>_xlfn.XLOOKUP(GERAL[[#This Row],[Dia]],U:U,T:T,"")</f>
        <v>Semana 12</v>
      </c>
      <c r="B2344" s="1">
        <v>46130</v>
      </c>
      <c r="C2344" t="s">
        <v>16</v>
      </c>
      <c r="D2344" s="1">
        <v>46130</v>
      </c>
      <c r="E2344" t="s">
        <v>17</v>
      </c>
      <c r="Q2344" t="s">
        <v>179</v>
      </c>
      <c r="R2344" t="str">
        <f>_xlfn.XLOOKUP(GERAL[[#This Row],[Dia]],U:U,V:V,"")</f>
        <v>Prazo_30</v>
      </c>
    </row>
    <row r="2345" spans="1:18" hidden="1" x14ac:dyDescent="0.3">
      <c r="A2345" t="str">
        <f>_xlfn.XLOOKUP(GERAL[[#This Row],[Dia]],U:U,T:T,"")</f>
        <v>Semana 12</v>
      </c>
      <c r="B2345" s="1">
        <v>46131</v>
      </c>
      <c r="C2345" t="s">
        <v>21</v>
      </c>
      <c r="D2345" s="1">
        <v>46131</v>
      </c>
      <c r="E2345" t="s">
        <v>17</v>
      </c>
      <c r="Q2345" t="s">
        <v>179</v>
      </c>
      <c r="R2345" t="str">
        <f>_xlfn.XLOOKUP(GERAL[[#This Row],[Dia]],U:U,V:V,"")</f>
        <v>Prazo_30</v>
      </c>
    </row>
    <row r="2346" spans="1:18" hidden="1" x14ac:dyDescent="0.3">
      <c r="A2346" t="str">
        <f>_xlfn.XLOOKUP(GERAL[[#This Row],[Dia]],U:U,T:T,"")</f>
        <v>Semana 13</v>
      </c>
      <c r="B2346" s="1">
        <v>46132</v>
      </c>
      <c r="C2346" t="s">
        <v>22</v>
      </c>
      <c r="D2346" s="1">
        <v>46132</v>
      </c>
      <c r="Q2346" t="s">
        <v>179</v>
      </c>
      <c r="R2346" t="str">
        <f>_xlfn.XLOOKUP(GERAL[[#This Row],[Dia]],U:U,V:V,"")</f>
        <v>Prazo_30</v>
      </c>
    </row>
    <row r="2347" spans="1:18" hidden="1" x14ac:dyDescent="0.3">
      <c r="A2347" t="str">
        <f>_xlfn.XLOOKUP(GERAL[[#This Row],[Dia]],U:U,T:T,"")</f>
        <v>Semana 13</v>
      </c>
      <c r="B2347" s="1">
        <v>46133</v>
      </c>
      <c r="C2347" t="s">
        <v>23</v>
      </c>
      <c r="D2347" s="1">
        <v>46133</v>
      </c>
      <c r="Q2347" t="s">
        <v>179</v>
      </c>
      <c r="R2347" t="str">
        <f>_xlfn.XLOOKUP(GERAL[[#This Row],[Dia]],U:U,V:V,"")</f>
        <v>Prazo_30</v>
      </c>
    </row>
    <row r="2348" spans="1:18" hidden="1" x14ac:dyDescent="0.3">
      <c r="A2348" t="str">
        <f>_xlfn.XLOOKUP(GERAL[[#This Row],[Dia]],U:U,T:T,"")</f>
        <v>Semana 13</v>
      </c>
      <c r="B2348" s="1">
        <v>46134</v>
      </c>
      <c r="C2348" t="s">
        <v>24</v>
      </c>
      <c r="D2348" s="1">
        <v>46134</v>
      </c>
      <c r="Q2348" t="s">
        <v>179</v>
      </c>
      <c r="R2348" t="str">
        <f>_xlfn.XLOOKUP(GERAL[[#This Row],[Dia]],U:U,V:V,"")</f>
        <v>Prazo_30</v>
      </c>
    </row>
    <row r="2349" spans="1:18" hidden="1" x14ac:dyDescent="0.3">
      <c r="A2349" t="str">
        <f>_xlfn.XLOOKUP(GERAL[[#This Row],[Dia]],U:U,T:T,"")</f>
        <v>Semana 13</v>
      </c>
      <c r="B2349" s="1">
        <v>46135</v>
      </c>
      <c r="C2349" t="s">
        <v>25</v>
      </c>
      <c r="D2349" s="1">
        <v>46135</v>
      </c>
      <c r="Q2349" t="s">
        <v>179</v>
      </c>
      <c r="R2349" t="str">
        <f>_xlfn.XLOOKUP(GERAL[[#This Row],[Dia]],U:U,V:V,"")</f>
        <v>Prazo_30</v>
      </c>
    </row>
    <row r="2350" spans="1:18" hidden="1" x14ac:dyDescent="0.3">
      <c r="A2350" t="str">
        <f>_xlfn.XLOOKUP(GERAL[[#This Row],[Dia]],U:U,T:T,"")</f>
        <v>Semana 13</v>
      </c>
      <c r="B2350" s="1">
        <v>46136</v>
      </c>
      <c r="C2350" t="s">
        <v>26</v>
      </c>
      <c r="D2350" s="1">
        <v>46136</v>
      </c>
      <c r="Q2350" t="s">
        <v>179</v>
      </c>
      <c r="R2350" t="str">
        <f>_xlfn.XLOOKUP(GERAL[[#This Row],[Dia]],U:U,V:V,"")</f>
        <v>Prazo_30</v>
      </c>
    </row>
    <row r="2351" spans="1:18" hidden="1" x14ac:dyDescent="0.3">
      <c r="A2351" t="str">
        <f>_xlfn.XLOOKUP(GERAL[[#This Row],[Dia]],U:U,T:T,"")</f>
        <v>Semana 13</v>
      </c>
      <c r="B2351" s="1">
        <v>46137</v>
      </c>
      <c r="C2351" t="s">
        <v>16</v>
      </c>
      <c r="D2351" s="1">
        <v>46137</v>
      </c>
      <c r="E2351" t="s">
        <v>17</v>
      </c>
      <c r="Q2351" t="s">
        <v>179</v>
      </c>
      <c r="R2351" t="str">
        <f>_xlfn.XLOOKUP(GERAL[[#This Row],[Dia]],U:U,V:V,"")</f>
        <v>Prazo_30</v>
      </c>
    </row>
    <row r="2352" spans="1:18" hidden="1" x14ac:dyDescent="0.3">
      <c r="A2352" t="str">
        <f>_xlfn.XLOOKUP(GERAL[[#This Row],[Dia]],U:U,T:T,"")</f>
        <v>Semana 13</v>
      </c>
      <c r="B2352" s="1">
        <v>46138</v>
      </c>
      <c r="C2352" t="s">
        <v>21</v>
      </c>
      <c r="D2352" s="1">
        <v>46138</v>
      </c>
      <c r="E2352" t="s">
        <v>17</v>
      </c>
      <c r="Q2352" t="s">
        <v>179</v>
      </c>
      <c r="R2352" t="str">
        <f>_xlfn.XLOOKUP(GERAL[[#This Row],[Dia]],U:U,V:V,"")</f>
        <v>Prazo_30</v>
      </c>
    </row>
    <row r="2353" spans="1:18" hidden="1" x14ac:dyDescent="0.3">
      <c r="A2353" t="str">
        <f>_xlfn.XLOOKUP(GERAL[[#This Row],[Dia]],U:U,T:T,"")</f>
        <v>Semana 14</v>
      </c>
      <c r="B2353" s="1">
        <v>46139</v>
      </c>
      <c r="C2353" t="s">
        <v>22</v>
      </c>
      <c r="D2353" s="1">
        <v>46139</v>
      </c>
      <c r="Q2353" t="s">
        <v>179</v>
      </c>
      <c r="R2353" t="str">
        <f>_xlfn.XLOOKUP(GERAL[[#This Row],[Dia]],U:U,V:V,"")</f>
        <v>Prazo_30</v>
      </c>
    </row>
    <row r="2354" spans="1:18" hidden="1" x14ac:dyDescent="0.3">
      <c r="A2354" t="str">
        <f>_xlfn.XLOOKUP(GERAL[[#This Row],[Dia]],U:U,T:T,"")</f>
        <v>Semana 14</v>
      </c>
      <c r="B2354" s="1">
        <v>46140</v>
      </c>
      <c r="C2354" t="s">
        <v>23</v>
      </c>
      <c r="D2354" s="1">
        <v>46140</v>
      </c>
      <c r="Q2354" t="s">
        <v>179</v>
      </c>
      <c r="R2354" t="str">
        <f>_xlfn.XLOOKUP(GERAL[[#This Row],[Dia]],U:U,V:V,"")</f>
        <v>Prazo_30</v>
      </c>
    </row>
    <row r="2355" spans="1:18" hidden="1" x14ac:dyDescent="0.3">
      <c r="A2355" t="str">
        <f>_xlfn.XLOOKUP(GERAL[[#This Row],[Dia]],U:U,T:T,"")</f>
        <v>Semana 14</v>
      </c>
      <c r="B2355" s="1">
        <v>46141</v>
      </c>
      <c r="C2355" t="s">
        <v>24</v>
      </c>
      <c r="D2355" s="1">
        <v>46141</v>
      </c>
      <c r="Q2355" t="s">
        <v>179</v>
      </c>
      <c r="R2355" t="str">
        <f>_xlfn.XLOOKUP(GERAL[[#This Row],[Dia]],U:U,V:V,"")</f>
        <v>Prazo_30</v>
      </c>
    </row>
    <row r="2356" spans="1:18" hidden="1" x14ac:dyDescent="0.3">
      <c r="A2356" t="str">
        <f>_xlfn.XLOOKUP(GERAL[[#This Row],[Dia]],U:U,T:T,"")</f>
        <v>Semana 14</v>
      </c>
      <c r="B2356" s="1">
        <v>46142</v>
      </c>
      <c r="C2356" t="s">
        <v>25</v>
      </c>
      <c r="D2356" s="1">
        <v>46142</v>
      </c>
      <c r="Q2356" t="s">
        <v>179</v>
      </c>
      <c r="R2356" t="str">
        <f>_xlfn.XLOOKUP(GERAL[[#This Row],[Dia]],U:U,V:V,"")</f>
        <v>Prazo_30</v>
      </c>
    </row>
    <row r="2357" spans="1:18" hidden="1" x14ac:dyDescent="0.3">
      <c r="A2357" t="str">
        <f>_xlfn.XLOOKUP(GERAL[[#This Row],[Dia]],U:U,T:T,"")</f>
        <v>Semana 14</v>
      </c>
      <c r="B2357" s="1">
        <v>46143</v>
      </c>
      <c r="C2357" t="s">
        <v>26</v>
      </c>
      <c r="D2357" s="1">
        <v>46143</v>
      </c>
      <c r="Q2357" t="s">
        <v>179</v>
      </c>
      <c r="R2357" t="str">
        <f>_xlfn.XLOOKUP(GERAL[[#This Row],[Dia]],U:U,V:V,"")</f>
        <v>Prazo_30</v>
      </c>
    </row>
    <row r="2358" spans="1:18" hidden="1" x14ac:dyDescent="0.3">
      <c r="A2358" t="str">
        <f>_xlfn.XLOOKUP(GERAL[[#This Row],[Dia]],U:U,T:T,"")</f>
        <v>Semana 14</v>
      </c>
      <c r="B2358" s="1">
        <v>46144</v>
      </c>
      <c r="C2358" t="s">
        <v>16</v>
      </c>
      <c r="D2358" s="1">
        <v>46144</v>
      </c>
      <c r="E2358" t="s">
        <v>17</v>
      </c>
      <c r="Q2358" t="s">
        <v>179</v>
      </c>
      <c r="R2358" t="str">
        <f>_xlfn.XLOOKUP(GERAL[[#This Row],[Dia]],U:U,V:V,"")</f>
        <v>Prazo_30</v>
      </c>
    </row>
    <row r="2359" spans="1:18" hidden="1" x14ac:dyDescent="0.3">
      <c r="A2359" t="str">
        <f>_xlfn.XLOOKUP(GERAL[[#This Row],[Dia]],U:U,T:T,"")</f>
        <v>Semana 14</v>
      </c>
      <c r="B2359" s="1">
        <v>46145</v>
      </c>
      <c r="C2359" t="s">
        <v>21</v>
      </c>
      <c r="D2359" s="1">
        <v>46145</v>
      </c>
      <c r="E2359" t="s">
        <v>17</v>
      </c>
      <c r="Q2359" t="s">
        <v>179</v>
      </c>
      <c r="R2359" t="str">
        <f>_xlfn.XLOOKUP(GERAL[[#This Row],[Dia]],U:U,V:V,"")</f>
        <v>Prazo_30</v>
      </c>
    </row>
    <row r="2360" spans="1:18" hidden="1" x14ac:dyDescent="0.3">
      <c r="A2360" t="str">
        <f>_xlfn.XLOOKUP(GERAL[[#This Row],[Dia]],U:U,T:T,"")</f>
        <v/>
      </c>
      <c r="B2360" s="1">
        <v>46146</v>
      </c>
      <c r="C2360" t="s">
        <v>22</v>
      </c>
      <c r="D2360" s="1">
        <v>46146</v>
      </c>
      <c r="Q2360" t="s">
        <v>179</v>
      </c>
      <c r="R2360" t="str">
        <f>_xlfn.XLOOKUP(GERAL[[#This Row],[Dia]],U:U,V:V,"")</f>
        <v/>
      </c>
    </row>
    <row r="2361" spans="1:18" hidden="1" x14ac:dyDescent="0.3">
      <c r="A2361" t="str">
        <f>_xlfn.XLOOKUP(GERAL[[#This Row],[Dia]],U:U,T:T,"")</f>
        <v/>
      </c>
      <c r="B2361" s="1">
        <v>46147</v>
      </c>
      <c r="C2361" t="s">
        <v>23</v>
      </c>
      <c r="D2361" s="1">
        <v>46147</v>
      </c>
      <c r="Q2361" t="s">
        <v>179</v>
      </c>
      <c r="R2361" t="str">
        <f>_xlfn.XLOOKUP(GERAL[[#This Row],[Dia]],U:U,V:V,"")</f>
        <v/>
      </c>
    </row>
    <row r="2362" spans="1:18" hidden="1" x14ac:dyDescent="0.3">
      <c r="A2362" t="str">
        <f>_xlfn.XLOOKUP(GERAL[[#This Row],[Dia]],U:U,T:T,"")</f>
        <v/>
      </c>
      <c r="B2362" s="1">
        <v>46148</v>
      </c>
      <c r="C2362" t="s">
        <v>24</v>
      </c>
      <c r="D2362" s="1">
        <v>46148</v>
      </c>
      <c r="Q2362" t="s">
        <v>179</v>
      </c>
      <c r="R2362" t="str">
        <f>_xlfn.XLOOKUP(GERAL[[#This Row],[Dia]],U:U,V:V,"")</f>
        <v/>
      </c>
    </row>
    <row r="2363" spans="1:18" hidden="1" x14ac:dyDescent="0.3">
      <c r="A2363" t="str">
        <f>_xlfn.XLOOKUP(GERAL[[#This Row],[Dia]],U:U,T:T,"")</f>
        <v/>
      </c>
      <c r="B2363" s="1">
        <v>46149</v>
      </c>
      <c r="C2363" t="s">
        <v>25</v>
      </c>
      <c r="D2363" s="1">
        <v>46149</v>
      </c>
      <c r="Q2363" t="s">
        <v>179</v>
      </c>
      <c r="R2363" t="str">
        <f>_xlfn.XLOOKUP(GERAL[[#This Row],[Dia]],U:U,V:V,"")</f>
        <v/>
      </c>
    </row>
    <row r="2364" spans="1:18" hidden="1" x14ac:dyDescent="0.3">
      <c r="A2364" t="str">
        <f>_xlfn.XLOOKUP(GERAL[[#This Row],[Dia]],U:U,T:T,"")</f>
        <v/>
      </c>
      <c r="B2364" s="1">
        <v>46150</v>
      </c>
      <c r="C2364" t="s">
        <v>26</v>
      </c>
      <c r="D2364" s="1">
        <v>46150</v>
      </c>
      <c r="Q2364" t="s">
        <v>179</v>
      </c>
      <c r="R2364" t="str">
        <f>_xlfn.XLOOKUP(GERAL[[#This Row],[Dia]],U:U,V:V,"")</f>
        <v/>
      </c>
    </row>
    <row r="2365" spans="1:18" hidden="1" x14ac:dyDescent="0.3">
      <c r="A2365" t="str">
        <f>_xlfn.XLOOKUP(GERAL[[#This Row],[Dia]],U:U,T:T,"")</f>
        <v/>
      </c>
      <c r="B2365" s="1">
        <v>46151</v>
      </c>
      <c r="C2365" t="s">
        <v>16</v>
      </c>
      <c r="D2365" s="1">
        <v>46151</v>
      </c>
      <c r="E2365" t="s">
        <v>17</v>
      </c>
      <c r="Q2365" t="s">
        <v>179</v>
      </c>
      <c r="R2365" t="str">
        <f>_xlfn.XLOOKUP(GERAL[[#This Row],[Dia]],U:U,V:V,"")</f>
        <v/>
      </c>
    </row>
    <row r="2366" spans="1:18" hidden="1" x14ac:dyDescent="0.3">
      <c r="A2366" t="str">
        <f>_xlfn.XLOOKUP(GERAL[[#This Row],[Dia]],U:U,T:T,"")</f>
        <v/>
      </c>
      <c r="B2366" s="1">
        <v>46152</v>
      </c>
      <c r="C2366" t="s">
        <v>21</v>
      </c>
      <c r="D2366" s="1">
        <v>46152</v>
      </c>
      <c r="E2366" t="s">
        <v>17</v>
      </c>
      <c r="Q2366" t="s">
        <v>179</v>
      </c>
      <c r="R2366" t="str">
        <f>_xlfn.XLOOKUP(GERAL[[#This Row],[Dia]],U:U,V:V,"")</f>
        <v/>
      </c>
    </row>
    <row r="2367" spans="1:18" hidden="1" x14ac:dyDescent="0.3">
      <c r="A2367" t="str">
        <f>_xlfn.XLOOKUP(GERAL[[#This Row],[Dia]],U:U,T:T,"")</f>
        <v/>
      </c>
      <c r="B2367" s="1">
        <v>46153</v>
      </c>
      <c r="C2367" t="s">
        <v>22</v>
      </c>
      <c r="D2367" s="1">
        <v>46153</v>
      </c>
      <c r="Q2367" t="s">
        <v>179</v>
      </c>
      <c r="R2367" t="str">
        <f>_xlfn.XLOOKUP(GERAL[[#This Row],[Dia]],U:U,V:V,"")</f>
        <v/>
      </c>
    </row>
    <row r="2368" spans="1:18" hidden="1" x14ac:dyDescent="0.3">
      <c r="A2368" t="str">
        <f>_xlfn.XLOOKUP(GERAL[[#This Row],[Dia]],U:U,T:T,"")</f>
        <v/>
      </c>
      <c r="B2368" s="1">
        <v>46154</v>
      </c>
      <c r="C2368" t="s">
        <v>23</v>
      </c>
      <c r="D2368" s="1">
        <v>46154</v>
      </c>
      <c r="Q2368" t="s">
        <v>179</v>
      </c>
      <c r="R2368" t="str">
        <f>_xlfn.XLOOKUP(GERAL[[#This Row],[Dia]],U:U,V:V,"")</f>
        <v/>
      </c>
    </row>
    <row r="2369" spans="1:18" hidden="1" x14ac:dyDescent="0.3">
      <c r="A2369" t="str">
        <f>_xlfn.XLOOKUP(GERAL[[#This Row],[Dia]],U:U,T:T,"")</f>
        <v/>
      </c>
      <c r="B2369" s="1">
        <v>46155</v>
      </c>
      <c r="C2369" t="s">
        <v>24</v>
      </c>
      <c r="D2369" s="1">
        <v>46155</v>
      </c>
      <c r="Q2369" t="s">
        <v>179</v>
      </c>
      <c r="R2369" t="str">
        <f>_xlfn.XLOOKUP(GERAL[[#This Row],[Dia]],U:U,V:V,"")</f>
        <v/>
      </c>
    </row>
    <row r="2370" spans="1:18" hidden="1" x14ac:dyDescent="0.3">
      <c r="A2370" t="str">
        <f>_xlfn.XLOOKUP(GERAL[[#This Row],[Dia]],U:U,T:T,"")</f>
        <v/>
      </c>
      <c r="B2370" s="1">
        <v>46156</v>
      </c>
      <c r="C2370" t="s">
        <v>25</v>
      </c>
      <c r="D2370" s="1">
        <v>46156</v>
      </c>
      <c r="Q2370" t="s">
        <v>179</v>
      </c>
      <c r="R2370" t="str">
        <f>_xlfn.XLOOKUP(GERAL[[#This Row],[Dia]],U:U,V:V,"")</f>
        <v/>
      </c>
    </row>
    <row r="2371" spans="1:18" hidden="1" x14ac:dyDescent="0.3">
      <c r="A2371" t="str">
        <f>_xlfn.XLOOKUP(GERAL[[#This Row],[Dia]],U:U,T:T,"")</f>
        <v/>
      </c>
      <c r="B2371" s="1">
        <v>46157</v>
      </c>
      <c r="C2371" t="s">
        <v>26</v>
      </c>
      <c r="D2371" s="1">
        <v>46157</v>
      </c>
      <c r="Q2371" t="s">
        <v>179</v>
      </c>
      <c r="R2371" t="str">
        <f>_xlfn.XLOOKUP(GERAL[[#This Row],[Dia]],U:U,V:V,"")</f>
        <v/>
      </c>
    </row>
    <row r="2372" spans="1:18" hidden="1" x14ac:dyDescent="0.3">
      <c r="A2372" t="str">
        <f>_xlfn.XLOOKUP(GERAL[[#This Row],[Dia]],U:U,T:T,"")</f>
        <v/>
      </c>
      <c r="B2372" s="1">
        <v>46158</v>
      </c>
      <c r="C2372" t="s">
        <v>16</v>
      </c>
      <c r="D2372" s="1">
        <v>46158</v>
      </c>
      <c r="E2372" t="s">
        <v>17</v>
      </c>
      <c r="Q2372" t="s">
        <v>179</v>
      </c>
      <c r="R2372" t="str">
        <f>_xlfn.XLOOKUP(GERAL[[#This Row],[Dia]],U:U,V:V,"")</f>
        <v/>
      </c>
    </row>
    <row r="2373" spans="1:18" hidden="1" x14ac:dyDescent="0.3">
      <c r="A2373" t="str">
        <f>_xlfn.XLOOKUP(GERAL[[#This Row],[Dia]],U:U,T:T,"")</f>
        <v/>
      </c>
      <c r="B2373" s="1">
        <v>46159</v>
      </c>
      <c r="C2373" t="s">
        <v>21</v>
      </c>
      <c r="D2373" s="1">
        <v>46159</v>
      </c>
      <c r="E2373" t="s">
        <v>17</v>
      </c>
      <c r="Q2373" t="s">
        <v>179</v>
      </c>
      <c r="R2373" t="str">
        <f>_xlfn.XLOOKUP(GERAL[[#This Row],[Dia]],U:U,V:V,"")</f>
        <v/>
      </c>
    </row>
    <row r="2374" spans="1:18" hidden="1" x14ac:dyDescent="0.3">
      <c r="A2374" t="str">
        <f>_xlfn.XLOOKUP(GERAL[[#This Row],[Dia]],U:U,T:T,"")</f>
        <v/>
      </c>
      <c r="B2374" s="1">
        <v>46160</v>
      </c>
      <c r="C2374" t="s">
        <v>22</v>
      </c>
      <c r="D2374" s="1">
        <v>46160</v>
      </c>
      <c r="Q2374" t="s">
        <v>179</v>
      </c>
      <c r="R2374" t="str">
        <f>_xlfn.XLOOKUP(GERAL[[#This Row],[Dia]],U:U,V:V,"")</f>
        <v/>
      </c>
    </row>
    <row r="2375" spans="1:18" hidden="1" x14ac:dyDescent="0.3">
      <c r="A2375" t="str">
        <f>_xlfn.XLOOKUP(GERAL[[#This Row],[Dia]],U:U,T:T,"")</f>
        <v/>
      </c>
      <c r="B2375" s="1">
        <v>46161</v>
      </c>
      <c r="C2375" t="s">
        <v>23</v>
      </c>
      <c r="D2375" s="1">
        <v>46161</v>
      </c>
      <c r="Q2375" t="s">
        <v>179</v>
      </c>
      <c r="R2375" t="str">
        <f>_xlfn.XLOOKUP(GERAL[[#This Row],[Dia]],U:U,V:V,"")</f>
        <v/>
      </c>
    </row>
    <row r="2376" spans="1:18" hidden="1" x14ac:dyDescent="0.3">
      <c r="A2376" t="str">
        <f>_xlfn.XLOOKUP(GERAL[[#This Row],[Dia]],U:U,T:T,"")</f>
        <v/>
      </c>
      <c r="B2376" s="1">
        <v>46162</v>
      </c>
      <c r="C2376" t="s">
        <v>24</v>
      </c>
      <c r="D2376" s="1">
        <v>46162</v>
      </c>
      <c r="Q2376" t="s">
        <v>179</v>
      </c>
      <c r="R2376" t="str">
        <f>_xlfn.XLOOKUP(GERAL[[#This Row],[Dia]],U:U,V:V,"")</f>
        <v/>
      </c>
    </row>
    <row r="2377" spans="1:18" hidden="1" x14ac:dyDescent="0.3">
      <c r="A2377" t="str">
        <f>_xlfn.XLOOKUP(GERAL[[#This Row],[Dia]],U:U,T:T,"")</f>
        <v/>
      </c>
      <c r="B2377" s="1">
        <v>46163</v>
      </c>
      <c r="C2377" t="s">
        <v>25</v>
      </c>
      <c r="D2377" s="1">
        <v>46163</v>
      </c>
      <c r="Q2377" t="s">
        <v>179</v>
      </c>
      <c r="R2377" t="str">
        <f>_xlfn.XLOOKUP(GERAL[[#This Row],[Dia]],U:U,V:V,"")</f>
        <v/>
      </c>
    </row>
    <row r="2378" spans="1:18" hidden="1" x14ac:dyDescent="0.3">
      <c r="A2378" t="str">
        <f>_xlfn.XLOOKUP(GERAL[[#This Row],[Dia]],U:U,T:T,"")</f>
        <v/>
      </c>
      <c r="B2378" s="1">
        <v>46164</v>
      </c>
      <c r="C2378" t="s">
        <v>26</v>
      </c>
      <c r="D2378" s="1">
        <v>46164</v>
      </c>
      <c r="Q2378" t="s">
        <v>179</v>
      </c>
      <c r="R2378" t="str">
        <f>_xlfn.XLOOKUP(GERAL[[#This Row],[Dia]],U:U,V:V,"")</f>
        <v/>
      </c>
    </row>
    <row r="2379" spans="1:18" hidden="1" x14ac:dyDescent="0.3">
      <c r="A2379" t="str">
        <f>_xlfn.XLOOKUP(GERAL[[#This Row],[Dia]],U:U,T:T,"")</f>
        <v/>
      </c>
      <c r="B2379" s="1">
        <v>46165</v>
      </c>
      <c r="C2379" t="s">
        <v>16</v>
      </c>
      <c r="D2379" s="1">
        <v>46165</v>
      </c>
      <c r="E2379" t="s">
        <v>17</v>
      </c>
      <c r="Q2379" t="s">
        <v>179</v>
      </c>
      <c r="R2379" t="str">
        <f>_xlfn.XLOOKUP(GERAL[[#This Row],[Dia]],U:U,V:V,"")</f>
        <v/>
      </c>
    </row>
    <row r="2380" spans="1:18" hidden="1" x14ac:dyDescent="0.3">
      <c r="A2380" t="str">
        <f>_xlfn.XLOOKUP(GERAL[[#This Row],[Dia]],U:U,T:T,"")</f>
        <v/>
      </c>
      <c r="B2380" s="1">
        <v>46166</v>
      </c>
      <c r="C2380" t="s">
        <v>21</v>
      </c>
      <c r="D2380" s="1">
        <v>46166</v>
      </c>
      <c r="E2380" t="s">
        <v>17</v>
      </c>
      <c r="Q2380" t="s">
        <v>179</v>
      </c>
      <c r="R2380" t="str">
        <f>_xlfn.XLOOKUP(GERAL[[#This Row],[Dia]],U:U,V:V,"")</f>
        <v/>
      </c>
    </row>
    <row r="2381" spans="1:18" hidden="1" x14ac:dyDescent="0.3">
      <c r="A2381" t="str">
        <f>_xlfn.XLOOKUP(GERAL[[#This Row],[Dia]],U:U,T:T,"")</f>
        <v/>
      </c>
      <c r="B2381" s="1">
        <v>46167</v>
      </c>
      <c r="C2381" t="s">
        <v>22</v>
      </c>
      <c r="D2381" s="1">
        <v>46167</v>
      </c>
      <c r="Q2381" t="s">
        <v>179</v>
      </c>
      <c r="R2381" t="str">
        <f>_xlfn.XLOOKUP(GERAL[[#This Row],[Dia]],U:U,V:V,"")</f>
        <v/>
      </c>
    </row>
    <row r="2382" spans="1:18" hidden="1" x14ac:dyDescent="0.3">
      <c r="A2382" t="str">
        <f>_xlfn.XLOOKUP(GERAL[[#This Row],[Dia]],U:U,T:T,"")</f>
        <v/>
      </c>
      <c r="B2382" s="1">
        <v>46168</v>
      </c>
      <c r="C2382" t="s">
        <v>23</v>
      </c>
      <c r="D2382" s="1">
        <v>46168</v>
      </c>
      <c r="Q2382" t="s">
        <v>179</v>
      </c>
      <c r="R2382" t="str">
        <f>_xlfn.XLOOKUP(GERAL[[#This Row],[Dia]],U:U,V:V,"")</f>
        <v/>
      </c>
    </row>
    <row r="2383" spans="1:18" hidden="1" x14ac:dyDescent="0.3">
      <c r="A2383" t="str">
        <f>_xlfn.XLOOKUP(GERAL[[#This Row],[Dia]],U:U,T:T,"")</f>
        <v/>
      </c>
      <c r="B2383" s="1">
        <v>46169</v>
      </c>
      <c r="C2383" t="s">
        <v>24</v>
      </c>
      <c r="D2383" s="1">
        <v>46169</v>
      </c>
      <c r="Q2383" t="s">
        <v>179</v>
      </c>
      <c r="R2383" t="str">
        <f>_xlfn.XLOOKUP(GERAL[[#This Row],[Dia]],U:U,V:V,"")</f>
        <v/>
      </c>
    </row>
    <row r="2384" spans="1:18" hidden="1" x14ac:dyDescent="0.3">
      <c r="A2384" t="str">
        <f>_xlfn.XLOOKUP(GERAL[[#This Row],[Dia]],U:U,T:T,"")</f>
        <v/>
      </c>
      <c r="B2384" s="1">
        <v>46170</v>
      </c>
      <c r="C2384" t="s">
        <v>25</v>
      </c>
      <c r="D2384" s="1">
        <v>46170</v>
      </c>
      <c r="Q2384" t="s">
        <v>179</v>
      </c>
      <c r="R2384" t="str">
        <f>_xlfn.XLOOKUP(GERAL[[#This Row],[Dia]],U:U,V:V,"")</f>
        <v/>
      </c>
    </row>
    <row r="2385" spans="1:18" hidden="1" x14ac:dyDescent="0.3">
      <c r="A2385" t="str">
        <f>_xlfn.XLOOKUP(GERAL[[#This Row],[Dia]],U:U,T:T,"")</f>
        <v/>
      </c>
      <c r="B2385" s="1">
        <v>46171</v>
      </c>
      <c r="C2385" t="s">
        <v>26</v>
      </c>
      <c r="D2385" s="1">
        <v>46171</v>
      </c>
      <c r="Q2385" t="s">
        <v>179</v>
      </c>
      <c r="R2385" t="str">
        <f>_xlfn.XLOOKUP(GERAL[[#This Row],[Dia]],U:U,V:V,"")</f>
        <v/>
      </c>
    </row>
    <row r="2386" spans="1:18" hidden="1" x14ac:dyDescent="0.3">
      <c r="A2386" t="str">
        <f>_xlfn.XLOOKUP(GERAL[[#This Row],[Dia]],U:U,T:T,"")</f>
        <v/>
      </c>
      <c r="B2386" s="1">
        <v>46172</v>
      </c>
      <c r="C2386" t="s">
        <v>16</v>
      </c>
      <c r="D2386" s="1">
        <v>46172</v>
      </c>
      <c r="E2386" t="s">
        <v>17</v>
      </c>
      <c r="Q2386" t="s">
        <v>179</v>
      </c>
      <c r="R2386" t="str">
        <f>_xlfn.XLOOKUP(GERAL[[#This Row],[Dia]],U:U,V:V,"")</f>
        <v/>
      </c>
    </row>
    <row r="2387" spans="1:18" hidden="1" x14ac:dyDescent="0.3">
      <c r="A2387" t="str">
        <f>_xlfn.XLOOKUP(GERAL[[#This Row],[Dia]],U:U,T:T,"")</f>
        <v/>
      </c>
      <c r="B2387" s="1">
        <v>46173</v>
      </c>
      <c r="C2387" t="s">
        <v>21</v>
      </c>
      <c r="D2387" s="1">
        <v>46173</v>
      </c>
      <c r="E2387" t="s">
        <v>17</v>
      </c>
      <c r="Q2387" t="s">
        <v>179</v>
      </c>
      <c r="R2387" t="str">
        <f>_xlfn.XLOOKUP(GERAL[[#This Row],[Dia]],U:U,V:V,"")</f>
        <v/>
      </c>
    </row>
    <row r="2388" spans="1:18" hidden="1" x14ac:dyDescent="0.3">
      <c r="A2388" t="str">
        <f>_xlfn.XLOOKUP(GERAL[[#This Row],[Dia]],U:U,T:T,"")</f>
        <v/>
      </c>
      <c r="B2388" s="1">
        <v>46174</v>
      </c>
      <c r="C2388" t="s">
        <v>22</v>
      </c>
      <c r="D2388" s="1">
        <v>46174</v>
      </c>
      <c r="Q2388" t="s">
        <v>179</v>
      </c>
      <c r="R2388" t="str">
        <f>_xlfn.XLOOKUP(GERAL[[#This Row],[Dia]],U:U,V:V,"")</f>
        <v/>
      </c>
    </row>
    <row r="2389" spans="1:18" hidden="1" x14ac:dyDescent="0.3">
      <c r="A2389" t="str">
        <f>_xlfn.XLOOKUP(GERAL[[#This Row],[Dia]],U:U,T:T,"")</f>
        <v/>
      </c>
      <c r="B2389" s="1">
        <v>46175</v>
      </c>
      <c r="C2389" t="s">
        <v>23</v>
      </c>
      <c r="D2389" s="1">
        <v>46175</v>
      </c>
      <c r="Q2389" t="s">
        <v>179</v>
      </c>
      <c r="R2389" t="str">
        <f>_xlfn.XLOOKUP(GERAL[[#This Row],[Dia]],U:U,V:V,"")</f>
        <v/>
      </c>
    </row>
    <row r="2390" spans="1:18" hidden="1" x14ac:dyDescent="0.3">
      <c r="A2390" t="str">
        <f>_xlfn.XLOOKUP(GERAL[[#This Row],[Dia]],U:U,T:T,"")</f>
        <v/>
      </c>
      <c r="B2390" s="1">
        <v>46176</v>
      </c>
      <c r="C2390" t="s">
        <v>24</v>
      </c>
      <c r="D2390" s="1">
        <v>46176</v>
      </c>
      <c r="Q2390" t="s">
        <v>179</v>
      </c>
      <c r="R2390" t="str">
        <f>_xlfn.XLOOKUP(GERAL[[#This Row],[Dia]],U:U,V:V,"")</f>
        <v/>
      </c>
    </row>
    <row r="2391" spans="1:18" hidden="1" x14ac:dyDescent="0.3">
      <c r="A2391" t="str">
        <f>_xlfn.XLOOKUP(GERAL[[#This Row],[Dia]],U:U,T:T,"")</f>
        <v/>
      </c>
      <c r="B2391" s="1">
        <v>46177</v>
      </c>
      <c r="C2391" t="s">
        <v>25</v>
      </c>
      <c r="D2391" s="1">
        <v>46177</v>
      </c>
      <c r="Q2391" t="s">
        <v>179</v>
      </c>
      <c r="R2391" t="str">
        <f>_xlfn.XLOOKUP(GERAL[[#This Row],[Dia]],U:U,V:V,"")</f>
        <v/>
      </c>
    </row>
    <row r="2392" spans="1:18" hidden="1" x14ac:dyDescent="0.3">
      <c r="A2392" t="str">
        <f>_xlfn.XLOOKUP(GERAL[[#This Row],[Dia]],U:U,T:T,"")</f>
        <v/>
      </c>
      <c r="B2392" s="1">
        <v>46178</v>
      </c>
      <c r="C2392" t="s">
        <v>26</v>
      </c>
      <c r="D2392" s="1">
        <v>46178</v>
      </c>
      <c r="Q2392" t="s">
        <v>179</v>
      </c>
      <c r="R2392" t="str">
        <f>_xlfn.XLOOKUP(GERAL[[#This Row],[Dia]],U:U,V:V,"")</f>
        <v/>
      </c>
    </row>
    <row r="2393" spans="1:18" hidden="1" x14ac:dyDescent="0.3">
      <c r="A2393" t="str">
        <f>_xlfn.XLOOKUP(GERAL[[#This Row],[Dia]],U:U,T:T,"")</f>
        <v/>
      </c>
      <c r="B2393" s="1">
        <v>46179</v>
      </c>
      <c r="C2393" t="s">
        <v>16</v>
      </c>
      <c r="D2393" s="1">
        <v>46179</v>
      </c>
      <c r="E2393" t="s">
        <v>17</v>
      </c>
      <c r="Q2393" t="s">
        <v>179</v>
      </c>
      <c r="R2393" t="str">
        <f>_xlfn.XLOOKUP(GERAL[[#This Row],[Dia]],U:U,V:V,"")</f>
        <v/>
      </c>
    </row>
    <row r="2394" spans="1:18" hidden="1" x14ac:dyDescent="0.3">
      <c r="A2394" t="str">
        <f>_xlfn.XLOOKUP(GERAL[[#This Row],[Dia]],U:U,T:T,"")</f>
        <v/>
      </c>
      <c r="B2394" s="1">
        <v>46180</v>
      </c>
      <c r="C2394" t="s">
        <v>21</v>
      </c>
      <c r="D2394" s="1">
        <v>46180</v>
      </c>
      <c r="E2394" t="s">
        <v>17</v>
      </c>
      <c r="Q2394" t="s">
        <v>179</v>
      </c>
      <c r="R2394" t="str">
        <f>_xlfn.XLOOKUP(GERAL[[#This Row],[Dia]],U:U,V:V,"")</f>
        <v/>
      </c>
    </row>
    <row r="2395" spans="1:18" hidden="1" x14ac:dyDescent="0.3">
      <c r="A2395" t="str">
        <f>_xlfn.XLOOKUP(GERAL[[#This Row],[Dia]],U:U,T:T,"")</f>
        <v/>
      </c>
      <c r="B2395" s="1">
        <v>46181</v>
      </c>
      <c r="C2395" t="s">
        <v>22</v>
      </c>
      <c r="D2395" s="1">
        <v>46181</v>
      </c>
      <c r="Q2395" t="s">
        <v>179</v>
      </c>
      <c r="R2395" t="str">
        <f>_xlfn.XLOOKUP(GERAL[[#This Row],[Dia]],U:U,V:V,"")</f>
        <v/>
      </c>
    </row>
    <row r="2396" spans="1:18" hidden="1" x14ac:dyDescent="0.3">
      <c r="A2396" t="str">
        <f>_xlfn.XLOOKUP(GERAL[[#This Row],[Dia]],U:U,T:T,"")</f>
        <v/>
      </c>
      <c r="B2396" s="1">
        <v>46182</v>
      </c>
      <c r="C2396" t="s">
        <v>23</v>
      </c>
      <c r="D2396" s="1">
        <v>46182</v>
      </c>
      <c r="Q2396" t="s">
        <v>179</v>
      </c>
      <c r="R2396" t="str">
        <f>_xlfn.XLOOKUP(GERAL[[#This Row],[Dia]],U:U,V:V,"")</f>
        <v/>
      </c>
    </row>
    <row r="2397" spans="1:18" hidden="1" x14ac:dyDescent="0.3">
      <c r="A2397" t="str">
        <f>_xlfn.XLOOKUP(GERAL[[#This Row],[Dia]],U:U,T:T,"")</f>
        <v/>
      </c>
      <c r="B2397" s="1">
        <v>46183</v>
      </c>
      <c r="C2397" t="s">
        <v>24</v>
      </c>
      <c r="D2397" s="1">
        <v>46183</v>
      </c>
      <c r="Q2397" t="s">
        <v>179</v>
      </c>
      <c r="R2397" t="str">
        <f>_xlfn.XLOOKUP(GERAL[[#This Row],[Dia]],U:U,V:V,"")</f>
        <v/>
      </c>
    </row>
    <row r="2398" spans="1:18" hidden="1" x14ac:dyDescent="0.3">
      <c r="A2398" t="str">
        <f>_xlfn.XLOOKUP(GERAL[[#This Row],[Dia]],U:U,T:T,"")</f>
        <v/>
      </c>
      <c r="B2398" s="1">
        <v>46184</v>
      </c>
      <c r="C2398" t="s">
        <v>25</v>
      </c>
      <c r="D2398" s="1">
        <v>46184</v>
      </c>
      <c r="Q2398" t="s">
        <v>179</v>
      </c>
      <c r="R2398" t="str">
        <f>_xlfn.XLOOKUP(GERAL[[#This Row],[Dia]],U:U,V:V,"")</f>
        <v/>
      </c>
    </row>
    <row r="2399" spans="1:18" hidden="1" x14ac:dyDescent="0.3">
      <c r="A2399" t="str">
        <f>_xlfn.XLOOKUP(GERAL[[#This Row],[Dia]],U:U,T:T,"")</f>
        <v/>
      </c>
      <c r="B2399" s="1">
        <v>46185</v>
      </c>
      <c r="C2399" t="s">
        <v>26</v>
      </c>
      <c r="D2399" s="1">
        <v>46185</v>
      </c>
      <c r="Q2399" t="s">
        <v>179</v>
      </c>
      <c r="R2399" t="str">
        <f>_xlfn.XLOOKUP(GERAL[[#This Row],[Dia]],U:U,V:V,"")</f>
        <v/>
      </c>
    </row>
    <row r="2400" spans="1:18" hidden="1" x14ac:dyDescent="0.3">
      <c r="A2400" t="str">
        <f>_xlfn.XLOOKUP(GERAL[[#This Row],[Dia]],U:U,T:T,"")</f>
        <v/>
      </c>
      <c r="B2400" s="1">
        <v>46186</v>
      </c>
      <c r="C2400" t="s">
        <v>16</v>
      </c>
      <c r="D2400" s="1">
        <v>46186</v>
      </c>
      <c r="E2400" t="s">
        <v>17</v>
      </c>
      <c r="Q2400" t="s">
        <v>179</v>
      </c>
      <c r="R2400" t="str">
        <f>_xlfn.XLOOKUP(GERAL[[#This Row],[Dia]],U:U,V:V,"")</f>
        <v/>
      </c>
    </row>
    <row r="2401" spans="1:18" hidden="1" x14ac:dyDescent="0.3">
      <c r="A2401" t="str">
        <f>_xlfn.XLOOKUP(GERAL[[#This Row],[Dia]],U:U,T:T,"")</f>
        <v/>
      </c>
      <c r="B2401" s="1">
        <v>46187</v>
      </c>
      <c r="C2401" t="s">
        <v>21</v>
      </c>
      <c r="D2401" s="1">
        <v>46187</v>
      </c>
      <c r="E2401" t="s">
        <v>17</v>
      </c>
      <c r="Q2401" t="s">
        <v>179</v>
      </c>
      <c r="R2401" t="str">
        <f>_xlfn.XLOOKUP(GERAL[[#This Row],[Dia]],U:U,V:V,"")</f>
        <v/>
      </c>
    </row>
    <row r="2402" spans="1:18" hidden="1" x14ac:dyDescent="0.3">
      <c r="A2402" t="str">
        <f>_xlfn.XLOOKUP(GERAL[[#This Row],[Dia]],U:U,T:T,"")</f>
        <v/>
      </c>
      <c r="B2402" s="1">
        <v>46188</v>
      </c>
      <c r="C2402" t="s">
        <v>22</v>
      </c>
      <c r="D2402" s="1">
        <v>46188</v>
      </c>
      <c r="Q2402" t="s">
        <v>179</v>
      </c>
      <c r="R2402" t="str">
        <f>_xlfn.XLOOKUP(GERAL[[#This Row],[Dia]],U:U,V:V,"")</f>
        <v/>
      </c>
    </row>
    <row r="2403" spans="1:18" hidden="1" x14ac:dyDescent="0.3">
      <c r="A2403" t="str">
        <f>_xlfn.XLOOKUP(GERAL[[#This Row],[Dia]],U:U,T:T,"")</f>
        <v/>
      </c>
      <c r="B2403" s="1">
        <v>46189</v>
      </c>
      <c r="C2403" t="s">
        <v>23</v>
      </c>
      <c r="D2403" s="1">
        <v>46189</v>
      </c>
      <c r="Q2403" t="s">
        <v>179</v>
      </c>
      <c r="R2403" t="str">
        <f>_xlfn.XLOOKUP(GERAL[[#This Row],[Dia]],U:U,V:V,"")</f>
        <v/>
      </c>
    </row>
    <row r="2404" spans="1:18" hidden="1" x14ac:dyDescent="0.3">
      <c r="A2404" t="str">
        <f>_xlfn.XLOOKUP(GERAL[[#This Row],[Dia]],U:U,T:T,"")</f>
        <v/>
      </c>
      <c r="B2404" s="1">
        <v>46190</v>
      </c>
      <c r="C2404" t="s">
        <v>24</v>
      </c>
      <c r="D2404" s="1">
        <v>46190</v>
      </c>
      <c r="Q2404" t="s">
        <v>179</v>
      </c>
      <c r="R2404" t="str">
        <f>_xlfn.XLOOKUP(GERAL[[#This Row],[Dia]],U:U,V:V,"")</f>
        <v/>
      </c>
    </row>
    <row r="2405" spans="1:18" hidden="1" x14ac:dyDescent="0.3">
      <c r="A2405" t="str">
        <f>_xlfn.XLOOKUP(GERAL[[#This Row],[Dia]],U:U,T:T,"")</f>
        <v/>
      </c>
      <c r="B2405" s="1">
        <v>46191</v>
      </c>
      <c r="C2405" t="s">
        <v>25</v>
      </c>
      <c r="D2405" s="1">
        <v>46191</v>
      </c>
      <c r="Q2405" t="s">
        <v>179</v>
      </c>
      <c r="R2405" t="str">
        <f>_xlfn.XLOOKUP(GERAL[[#This Row],[Dia]],U:U,V:V,"")</f>
        <v/>
      </c>
    </row>
    <row r="2406" spans="1:18" hidden="1" x14ac:dyDescent="0.3">
      <c r="A2406" t="str">
        <f>_xlfn.XLOOKUP(GERAL[[#This Row],[Dia]],U:U,T:T,"")</f>
        <v/>
      </c>
      <c r="B2406" s="1">
        <v>46192</v>
      </c>
      <c r="C2406" t="s">
        <v>26</v>
      </c>
      <c r="D2406" s="1">
        <v>46192</v>
      </c>
      <c r="Q2406" t="s">
        <v>179</v>
      </c>
      <c r="R2406" t="str">
        <f>_xlfn.XLOOKUP(GERAL[[#This Row],[Dia]],U:U,V:V,"")</f>
        <v/>
      </c>
    </row>
    <row r="2407" spans="1:18" hidden="1" x14ac:dyDescent="0.3">
      <c r="A2407" t="str">
        <f>_xlfn.XLOOKUP(GERAL[[#This Row],[Dia]],U:U,T:T,"")</f>
        <v/>
      </c>
      <c r="B2407" s="1">
        <v>46193</v>
      </c>
      <c r="C2407" t="s">
        <v>16</v>
      </c>
      <c r="D2407" s="1">
        <v>46193</v>
      </c>
      <c r="E2407" t="s">
        <v>17</v>
      </c>
      <c r="Q2407" t="s">
        <v>179</v>
      </c>
      <c r="R2407" t="str">
        <f>_xlfn.XLOOKUP(GERAL[[#This Row],[Dia]],U:U,V:V,"")</f>
        <v/>
      </c>
    </row>
    <row r="2408" spans="1:18" hidden="1" x14ac:dyDescent="0.3">
      <c r="A2408" t="str">
        <f>_xlfn.XLOOKUP(GERAL[[#This Row],[Dia]],U:U,T:T,"")</f>
        <v/>
      </c>
      <c r="B2408" s="1">
        <v>46194</v>
      </c>
      <c r="C2408" t="s">
        <v>21</v>
      </c>
      <c r="D2408" s="1">
        <v>46194</v>
      </c>
      <c r="E2408" t="s">
        <v>17</v>
      </c>
      <c r="Q2408" t="s">
        <v>179</v>
      </c>
      <c r="R2408" t="str">
        <f>_xlfn.XLOOKUP(GERAL[[#This Row],[Dia]],U:U,V:V,"")</f>
        <v/>
      </c>
    </row>
    <row r="2409" spans="1:18" hidden="1" x14ac:dyDescent="0.3">
      <c r="A2409" t="str">
        <f>_xlfn.XLOOKUP(GERAL[[#This Row],[Dia]],U:U,T:T,"")</f>
        <v/>
      </c>
      <c r="B2409" s="1">
        <v>46195</v>
      </c>
      <c r="C2409" t="s">
        <v>22</v>
      </c>
      <c r="D2409" s="1">
        <v>46195</v>
      </c>
      <c r="Q2409" t="s">
        <v>179</v>
      </c>
      <c r="R2409" t="str">
        <f>_xlfn.XLOOKUP(GERAL[[#This Row],[Dia]],U:U,V:V,"")</f>
        <v/>
      </c>
    </row>
    <row r="2410" spans="1:18" hidden="1" x14ac:dyDescent="0.3">
      <c r="A2410" t="str">
        <f>_xlfn.XLOOKUP(GERAL[[#This Row],[Dia]],U:U,T:T,"")</f>
        <v/>
      </c>
      <c r="B2410" s="1">
        <v>46196</v>
      </c>
      <c r="C2410" t="s">
        <v>23</v>
      </c>
      <c r="D2410" s="1">
        <v>46196</v>
      </c>
      <c r="Q2410" t="s">
        <v>179</v>
      </c>
      <c r="R2410" t="str">
        <f>_xlfn.XLOOKUP(GERAL[[#This Row],[Dia]],U:U,V:V,"")</f>
        <v/>
      </c>
    </row>
    <row r="2411" spans="1:18" hidden="1" x14ac:dyDescent="0.3">
      <c r="A2411" t="str">
        <f>_xlfn.XLOOKUP(GERAL[[#This Row],[Dia]],U:U,T:T,"")</f>
        <v/>
      </c>
      <c r="B2411" s="1">
        <v>46197</v>
      </c>
      <c r="C2411" t="s">
        <v>24</v>
      </c>
      <c r="D2411" s="1">
        <v>46197</v>
      </c>
      <c r="Q2411" t="s">
        <v>179</v>
      </c>
      <c r="R2411" t="str">
        <f>_xlfn.XLOOKUP(GERAL[[#This Row],[Dia]],U:U,V:V,"")</f>
        <v/>
      </c>
    </row>
    <row r="2412" spans="1:18" hidden="1" x14ac:dyDescent="0.3">
      <c r="A2412" t="str">
        <f>_xlfn.XLOOKUP(GERAL[[#This Row],[Dia]],U:U,T:T,"")</f>
        <v/>
      </c>
      <c r="B2412" s="1">
        <v>46198</v>
      </c>
      <c r="C2412" t="s">
        <v>25</v>
      </c>
      <c r="D2412" s="1">
        <v>46198</v>
      </c>
      <c r="Q2412" t="s">
        <v>179</v>
      </c>
      <c r="R2412" t="str">
        <f>_xlfn.XLOOKUP(GERAL[[#This Row],[Dia]],U:U,V:V,"")</f>
        <v/>
      </c>
    </row>
    <row r="2413" spans="1:18" hidden="1" x14ac:dyDescent="0.3">
      <c r="A2413" t="str">
        <f>_xlfn.XLOOKUP(GERAL[[#This Row],[Dia]],U:U,T:T,"")</f>
        <v/>
      </c>
      <c r="B2413" s="1">
        <v>46199</v>
      </c>
      <c r="C2413" t="s">
        <v>26</v>
      </c>
      <c r="D2413" s="1">
        <v>46199</v>
      </c>
      <c r="Q2413" t="s">
        <v>179</v>
      </c>
      <c r="R2413" t="str">
        <f>_xlfn.XLOOKUP(GERAL[[#This Row],[Dia]],U:U,V:V,"")</f>
        <v/>
      </c>
    </row>
    <row r="2414" spans="1:18" hidden="1" x14ac:dyDescent="0.3">
      <c r="A2414" t="str">
        <f>_xlfn.XLOOKUP(GERAL[[#This Row],[Dia]],U:U,T:T,"")</f>
        <v/>
      </c>
      <c r="B2414" s="1">
        <v>46200</v>
      </c>
      <c r="C2414" t="s">
        <v>16</v>
      </c>
      <c r="D2414" s="1">
        <v>46200</v>
      </c>
      <c r="E2414" t="s">
        <v>17</v>
      </c>
      <c r="Q2414" t="s">
        <v>179</v>
      </c>
      <c r="R2414" t="str">
        <f>_xlfn.XLOOKUP(GERAL[[#This Row],[Dia]],U:U,V:V,"")</f>
        <v/>
      </c>
    </row>
    <row r="2415" spans="1:18" hidden="1" x14ac:dyDescent="0.3">
      <c r="A2415" t="str">
        <f>_xlfn.XLOOKUP(GERAL[[#This Row],[Dia]],U:U,T:T,"")</f>
        <v/>
      </c>
      <c r="B2415" s="1">
        <v>46201</v>
      </c>
      <c r="C2415" t="s">
        <v>21</v>
      </c>
      <c r="D2415" s="1">
        <v>46201</v>
      </c>
      <c r="E2415" t="s">
        <v>17</v>
      </c>
      <c r="Q2415" t="s">
        <v>179</v>
      </c>
      <c r="R2415" t="str">
        <f>_xlfn.XLOOKUP(GERAL[[#This Row],[Dia]],U:U,V:V,"")</f>
        <v/>
      </c>
    </row>
    <row r="2416" spans="1:18" hidden="1" x14ac:dyDescent="0.3">
      <c r="A2416" t="str">
        <f>_xlfn.XLOOKUP(GERAL[[#This Row],[Dia]],U:U,T:T,"")</f>
        <v/>
      </c>
      <c r="B2416" s="1">
        <v>46202</v>
      </c>
      <c r="C2416" t="s">
        <v>22</v>
      </c>
      <c r="D2416" s="1">
        <v>46202</v>
      </c>
      <c r="Q2416" t="s">
        <v>179</v>
      </c>
      <c r="R2416" t="str">
        <f>_xlfn.XLOOKUP(GERAL[[#This Row],[Dia]],U:U,V:V,"")</f>
        <v/>
      </c>
    </row>
    <row r="2417" spans="1:18" hidden="1" x14ac:dyDescent="0.3">
      <c r="A2417" t="str">
        <f>_xlfn.XLOOKUP(GERAL[[#This Row],[Dia]],U:U,T:T,"")</f>
        <v/>
      </c>
      <c r="B2417" s="1">
        <v>46203</v>
      </c>
      <c r="C2417" t="s">
        <v>23</v>
      </c>
      <c r="D2417" s="1">
        <v>46203</v>
      </c>
      <c r="Q2417" t="s">
        <v>179</v>
      </c>
      <c r="R2417" t="str">
        <f>_xlfn.XLOOKUP(GERAL[[#This Row],[Dia]],U:U,V:V,"")</f>
        <v/>
      </c>
    </row>
    <row r="2418" spans="1:18" hidden="1" x14ac:dyDescent="0.3">
      <c r="A2418" t="str">
        <f>_xlfn.XLOOKUP(GERAL[[#This Row],[Dia]],U:U,T:T,"")</f>
        <v/>
      </c>
      <c r="B2418" s="1">
        <v>46204</v>
      </c>
      <c r="C2418" t="s">
        <v>24</v>
      </c>
      <c r="D2418" s="1">
        <v>46204</v>
      </c>
      <c r="Q2418" t="s">
        <v>179</v>
      </c>
      <c r="R2418" t="str">
        <f>_xlfn.XLOOKUP(GERAL[[#This Row],[Dia]],U:U,V:V,"")</f>
        <v/>
      </c>
    </row>
    <row r="2419" spans="1:18" hidden="1" x14ac:dyDescent="0.3">
      <c r="A2419" t="str">
        <f>_xlfn.XLOOKUP(GERAL[[#This Row],[Dia]],U:U,T:T,"")</f>
        <v/>
      </c>
      <c r="B2419" s="1">
        <v>46205</v>
      </c>
      <c r="C2419" t="s">
        <v>25</v>
      </c>
      <c r="D2419" s="1">
        <v>46205</v>
      </c>
      <c r="Q2419" t="s">
        <v>179</v>
      </c>
      <c r="R2419" t="str">
        <f>_xlfn.XLOOKUP(GERAL[[#This Row],[Dia]],U:U,V:V,"")</f>
        <v/>
      </c>
    </row>
    <row r="2420" spans="1:18" hidden="1" x14ac:dyDescent="0.3">
      <c r="A2420" t="str">
        <f>_xlfn.XLOOKUP(GERAL[[#This Row],[Dia]],U:U,T:T,"")</f>
        <v/>
      </c>
      <c r="B2420" s="1">
        <v>46206</v>
      </c>
      <c r="C2420" t="s">
        <v>26</v>
      </c>
      <c r="D2420" s="1">
        <v>46206</v>
      </c>
      <c r="Q2420" t="s">
        <v>179</v>
      </c>
      <c r="R2420" t="str">
        <f>_xlfn.XLOOKUP(GERAL[[#This Row],[Dia]],U:U,V:V,"")</f>
        <v/>
      </c>
    </row>
    <row r="2421" spans="1:18" hidden="1" x14ac:dyDescent="0.3">
      <c r="A2421" t="str">
        <f>_xlfn.XLOOKUP(GERAL[[#This Row],[Dia]],U:U,T:T,"")</f>
        <v/>
      </c>
      <c r="B2421" s="1">
        <v>46207</v>
      </c>
      <c r="C2421" t="s">
        <v>16</v>
      </c>
      <c r="D2421" s="1">
        <v>46207</v>
      </c>
      <c r="E2421" t="s">
        <v>17</v>
      </c>
      <c r="Q2421" t="s">
        <v>179</v>
      </c>
      <c r="R2421" t="str">
        <f>_xlfn.XLOOKUP(GERAL[[#This Row],[Dia]],U:U,V:V,"")</f>
        <v/>
      </c>
    </row>
    <row r="2422" spans="1:18" hidden="1" x14ac:dyDescent="0.3">
      <c r="A2422" t="str">
        <f>_xlfn.XLOOKUP(GERAL[[#This Row],[Dia]],U:U,T:T,"")</f>
        <v/>
      </c>
      <c r="B2422" s="1">
        <v>46208</v>
      </c>
      <c r="C2422" t="s">
        <v>21</v>
      </c>
      <c r="D2422" s="1">
        <v>46208</v>
      </c>
      <c r="E2422" t="s">
        <v>17</v>
      </c>
      <c r="Q2422" t="s">
        <v>179</v>
      </c>
      <c r="R2422" t="str">
        <f>_xlfn.XLOOKUP(GERAL[[#This Row],[Dia]],U:U,V:V,"")</f>
        <v/>
      </c>
    </row>
    <row r="2423" spans="1:18" hidden="1" x14ac:dyDescent="0.3">
      <c r="A2423" t="str">
        <f>_xlfn.XLOOKUP(GERAL[[#This Row],[Dia]],U:U,T:T,"")</f>
        <v/>
      </c>
      <c r="B2423" s="1">
        <v>46209</v>
      </c>
      <c r="C2423" t="s">
        <v>22</v>
      </c>
      <c r="D2423" s="1">
        <v>46209</v>
      </c>
      <c r="Q2423" t="s">
        <v>179</v>
      </c>
      <c r="R2423" t="str">
        <f>_xlfn.XLOOKUP(GERAL[[#This Row],[Dia]],U:U,V:V,"")</f>
        <v/>
      </c>
    </row>
    <row r="2424" spans="1:18" hidden="1" x14ac:dyDescent="0.3">
      <c r="A2424" t="str">
        <f>_xlfn.XLOOKUP(GERAL[[#This Row],[Dia]],U:U,T:T,"")</f>
        <v/>
      </c>
      <c r="B2424" s="1">
        <v>46210</v>
      </c>
      <c r="C2424" t="s">
        <v>23</v>
      </c>
      <c r="D2424" s="1">
        <v>46210</v>
      </c>
      <c r="Q2424" t="s">
        <v>179</v>
      </c>
      <c r="R2424" t="str">
        <f>_xlfn.XLOOKUP(GERAL[[#This Row],[Dia]],U:U,V:V,"")</f>
        <v/>
      </c>
    </row>
    <row r="2425" spans="1:18" hidden="1" x14ac:dyDescent="0.3">
      <c r="A2425" t="str">
        <f>_xlfn.XLOOKUP(GERAL[[#This Row],[Dia]],U:U,T:T,"")</f>
        <v/>
      </c>
      <c r="B2425" s="1">
        <v>46211</v>
      </c>
      <c r="C2425" t="s">
        <v>24</v>
      </c>
      <c r="D2425" s="1">
        <v>46211</v>
      </c>
      <c r="Q2425" t="s">
        <v>179</v>
      </c>
      <c r="R2425" t="str">
        <f>_xlfn.XLOOKUP(GERAL[[#This Row],[Dia]],U:U,V:V,"")</f>
        <v/>
      </c>
    </row>
    <row r="2426" spans="1:18" hidden="1" x14ac:dyDescent="0.3">
      <c r="A2426" t="str">
        <f>_xlfn.XLOOKUP(GERAL[[#This Row],[Dia]],U:U,T:T,"")</f>
        <v/>
      </c>
      <c r="B2426" s="1">
        <v>46212</v>
      </c>
      <c r="C2426" t="s">
        <v>25</v>
      </c>
      <c r="D2426" s="1">
        <v>46212</v>
      </c>
      <c r="Q2426" t="s">
        <v>179</v>
      </c>
      <c r="R2426" t="str">
        <f>_xlfn.XLOOKUP(GERAL[[#This Row],[Dia]],U:U,V:V,"")</f>
        <v/>
      </c>
    </row>
    <row r="2427" spans="1:18" hidden="1" x14ac:dyDescent="0.3">
      <c r="A2427" t="str">
        <f>_xlfn.XLOOKUP(GERAL[[#This Row],[Dia]],U:U,T:T,"")</f>
        <v/>
      </c>
      <c r="B2427" s="1">
        <v>46213</v>
      </c>
      <c r="C2427" t="s">
        <v>26</v>
      </c>
      <c r="D2427" s="1">
        <v>46213</v>
      </c>
      <c r="Q2427" t="s">
        <v>179</v>
      </c>
      <c r="R2427" t="str">
        <f>_xlfn.XLOOKUP(GERAL[[#This Row],[Dia]],U:U,V:V,"")</f>
        <v/>
      </c>
    </row>
    <row r="2428" spans="1:18" hidden="1" x14ac:dyDescent="0.3">
      <c r="A2428" t="str">
        <f>_xlfn.XLOOKUP(GERAL[[#This Row],[Dia]],U:U,T:T,"")</f>
        <v/>
      </c>
      <c r="B2428" s="1">
        <v>46214</v>
      </c>
      <c r="C2428" t="s">
        <v>16</v>
      </c>
      <c r="D2428" s="1">
        <v>46214</v>
      </c>
      <c r="E2428" t="s">
        <v>17</v>
      </c>
      <c r="Q2428" t="s">
        <v>179</v>
      </c>
      <c r="R2428" t="str">
        <f>_xlfn.XLOOKUP(GERAL[[#This Row],[Dia]],U:U,V:V,"")</f>
        <v/>
      </c>
    </row>
    <row r="2429" spans="1:18" hidden="1" x14ac:dyDescent="0.3">
      <c r="A2429" t="str">
        <f>_xlfn.XLOOKUP(GERAL[[#This Row],[Dia]],U:U,T:T,"")</f>
        <v/>
      </c>
      <c r="B2429" s="1">
        <v>46215</v>
      </c>
      <c r="C2429" t="s">
        <v>21</v>
      </c>
      <c r="D2429" s="1">
        <v>46215</v>
      </c>
      <c r="E2429" t="s">
        <v>17</v>
      </c>
      <c r="Q2429" t="s">
        <v>179</v>
      </c>
      <c r="R2429" t="str">
        <f>_xlfn.XLOOKUP(GERAL[[#This Row],[Dia]],U:U,V:V,"")</f>
        <v/>
      </c>
    </row>
    <row r="2430" spans="1:18" hidden="1" x14ac:dyDescent="0.3">
      <c r="A2430" t="str">
        <f>_xlfn.XLOOKUP(GERAL[[#This Row],[Dia]],U:U,T:T,"")</f>
        <v/>
      </c>
      <c r="B2430" s="1">
        <v>46216</v>
      </c>
      <c r="C2430" t="s">
        <v>22</v>
      </c>
      <c r="D2430" s="1">
        <v>46216</v>
      </c>
      <c r="Q2430" t="s">
        <v>179</v>
      </c>
      <c r="R2430" t="str">
        <f>_xlfn.XLOOKUP(GERAL[[#This Row],[Dia]],U:U,V:V,"")</f>
        <v/>
      </c>
    </row>
    <row r="2431" spans="1:18" hidden="1" x14ac:dyDescent="0.3">
      <c r="A2431" t="str">
        <f>_xlfn.XLOOKUP(GERAL[[#This Row],[Dia]],U:U,T:T,"")</f>
        <v/>
      </c>
      <c r="B2431" s="1">
        <v>46217</v>
      </c>
      <c r="C2431" t="s">
        <v>23</v>
      </c>
      <c r="D2431" s="1">
        <v>46217</v>
      </c>
      <c r="Q2431" t="s">
        <v>179</v>
      </c>
      <c r="R2431" t="str">
        <f>_xlfn.XLOOKUP(GERAL[[#This Row],[Dia]],U:U,V:V,"")</f>
        <v/>
      </c>
    </row>
    <row r="2432" spans="1:18" hidden="1" x14ac:dyDescent="0.3">
      <c r="A2432" t="str">
        <f>_xlfn.XLOOKUP(GERAL[[#This Row],[Dia]],U:U,T:T,"")</f>
        <v/>
      </c>
      <c r="B2432" s="1">
        <v>46218</v>
      </c>
      <c r="C2432" t="s">
        <v>24</v>
      </c>
      <c r="D2432" s="1">
        <v>46218</v>
      </c>
      <c r="Q2432" t="s">
        <v>179</v>
      </c>
      <c r="R2432" t="str">
        <f>_xlfn.XLOOKUP(GERAL[[#This Row],[Dia]],U:U,V:V,"")</f>
        <v/>
      </c>
    </row>
    <row r="2433" spans="1:18" hidden="1" x14ac:dyDescent="0.3">
      <c r="A2433" t="str">
        <f>_xlfn.XLOOKUP(GERAL[[#This Row],[Dia]],U:U,T:T,"")</f>
        <v/>
      </c>
      <c r="B2433" s="1">
        <v>46219</v>
      </c>
      <c r="C2433" t="s">
        <v>25</v>
      </c>
      <c r="D2433" s="1">
        <v>46219</v>
      </c>
      <c r="Q2433" t="s">
        <v>179</v>
      </c>
      <c r="R2433" t="str">
        <f>_xlfn.XLOOKUP(GERAL[[#This Row],[Dia]],U:U,V:V,"")</f>
        <v/>
      </c>
    </row>
    <row r="2434" spans="1:18" hidden="1" x14ac:dyDescent="0.3">
      <c r="A2434" t="str">
        <f>_xlfn.XLOOKUP(GERAL[[#This Row],[Dia]],U:U,T:T,"")</f>
        <v/>
      </c>
      <c r="B2434" s="1">
        <v>46220</v>
      </c>
      <c r="C2434" t="s">
        <v>26</v>
      </c>
      <c r="D2434" s="1">
        <v>46220</v>
      </c>
      <c r="Q2434" t="s">
        <v>179</v>
      </c>
      <c r="R2434" t="str">
        <f>_xlfn.XLOOKUP(GERAL[[#This Row],[Dia]],U:U,V:V,"")</f>
        <v/>
      </c>
    </row>
    <row r="2435" spans="1:18" hidden="1" x14ac:dyDescent="0.3">
      <c r="A2435" t="str">
        <f>_xlfn.XLOOKUP(GERAL[[#This Row],[Dia]],U:U,T:T,"")</f>
        <v/>
      </c>
      <c r="B2435" s="1">
        <v>46221</v>
      </c>
      <c r="C2435" t="s">
        <v>16</v>
      </c>
      <c r="D2435" s="1">
        <v>46221</v>
      </c>
      <c r="E2435" t="s">
        <v>17</v>
      </c>
      <c r="Q2435" t="s">
        <v>179</v>
      </c>
      <c r="R2435" t="str">
        <f>_xlfn.XLOOKUP(GERAL[[#This Row],[Dia]],U:U,V:V,"")</f>
        <v/>
      </c>
    </row>
    <row r="2436" spans="1:18" hidden="1" x14ac:dyDescent="0.3">
      <c r="A2436" t="str">
        <f>_xlfn.XLOOKUP(GERAL[[#This Row],[Dia]],U:U,T:T,"")</f>
        <v/>
      </c>
      <c r="B2436" s="1">
        <v>46222</v>
      </c>
      <c r="C2436" t="s">
        <v>21</v>
      </c>
      <c r="D2436" s="1">
        <v>46222</v>
      </c>
      <c r="E2436" t="s">
        <v>17</v>
      </c>
      <c r="Q2436" t="s">
        <v>179</v>
      </c>
      <c r="R2436" t="str">
        <f>_xlfn.XLOOKUP(GERAL[[#This Row],[Dia]],U:U,V:V,"")</f>
        <v/>
      </c>
    </row>
    <row r="2437" spans="1:18" hidden="1" x14ac:dyDescent="0.3">
      <c r="A2437" t="str">
        <f>_xlfn.XLOOKUP(GERAL[[#This Row],[Dia]],U:U,T:T,"")</f>
        <v/>
      </c>
      <c r="B2437" s="1">
        <v>46223</v>
      </c>
      <c r="C2437" t="s">
        <v>22</v>
      </c>
      <c r="D2437" s="1">
        <v>46223</v>
      </c>
      <c r="Q2437" t="s">
        <v>179</v>
      </c>
      <c r="R2437" t="str">
        <f>_xlfn.XLOOKUP(GERAL[[#This Row],[Dia]],U:U,V:V,"")</f>
        <v/>
      </c>
    </row>
    <row r="2438" spans="1:18" hidden="1" x14ac:dyDescent="0.3">
      <c r="A2438" t="str">
        <f>_xlfn.XLOOKUP(GERAL[[#This Row],[Dia]],U:U,T:T,"")</f>
        <v/>
      </c>
      <c r="B2438" s="1">
        <v>46224</v>
      </c>
      <c r="C2438" t="s">
        <v>23</v>
      </c>
      <c r="D2438" s="1">
        <v>46224</v>
      </c>
      <c r="Q2438" t="s">
        <v>179</v>
      </c>
      <c r="R2438" t="str">
        <f>_xlfn.XLOOKUP(GERAL[[#This Row],[Dia]],U:U,V:V,"")</f>
        <v/>
      </c>
    </row>
    <row r="2439" spans="1:18" hidden="1" x14ac:dyDescent="0.3">
      <c r="A2439" t="str">
        <f>_xlfn.XLOOKUP(GERAL[[#This Row],[Dia]],U:U,T:T,"")</f>
        <v/>
      </c>
      <c r="B2439" s="1">
        <v>46225</v>
      </c>
      <c r="C2439" t="s">
        <v>24</v>
      </c>
      <c r="D2439" s="1">
        <v>46225</v>
      </c>
      <c r="Q2439" t="s">
        <v>179</v>
      </c>
      <c r="R2439" t="str">
        <f>_xlfn.XLOOKUP(GERAL[[#This Row],[Dia]],U:U,V:V,"")</f>
        <v/>
      </c>
    </row>
    <row r="2440" spans="1:18" hidden="1" x14ac:dyDescent="0.3">
      <c r="A2440" t="str">
        <f>_xlfn.XLOOKUP(GERAL[[#This Row],[Dia]],U:U,T:T,"")</f>
        <v/>
      </c>
      <c r="B2440" s="1">
        <v>46226</v>
      </c>
      <c r="C2440" t="s">
        <v>25</v>
      </c>
      <c r="D2440" s="1">
        <v>46226</v>
      </c>
      <c r="Q2440" t="s">
        <v>179</v>
      </c>
      <c r="R2440" t="str">
        <f>_xlfn.XLOOKUP(GERAL[[#This Row],[Dia]],U:U,V:V,"")</f>
        <v/>
      </c>
    </row>
    <row r="2441" spans="1:18" hidden="1" x14ac:dyDescent="0.3">
      <c r="A2441" t="str">
        <f>_xlfn.XLOOKUP(GERAL[[#This Row],[Dia]],U:U,T:T,"")</f>
        <v/>
      </c>
      <c r="B2441" s="1">
        <v>46227</v>
      </c>
      <c r="C2441" t="s">
        <v>26</v>
      </c>
      <c r="D2441" s="1">
        <v>46227</v>
      </c>
      <c r="Q2441" t="s">
        <v>179</v>
      </c>
      <c r="R2441" t="str">
        <f>_xlfn.XLOOKUP(GERAL[[#This Row],[Dia]],U:U,V:V,"")</f>
        <v/>
      </c>
    </row>
    <row r="2442" spans="1:18" hidden="1" x14ac:dyDescent="0.3">
      <c r="A2442" t="str">
        <f>_xlfn.XLOOKUP(GERAL[[#This Row],[Dia]],U:U,T:T,"")</f>
        <v/>
      </c>
      <c r="B2442" s="1">
        <v>46228</v>
      </c>
      <c r="C2442" t="s">
        <v>16</v>
      </c>
      <c r="D2442" s="1">
        <v>46228</v>
      </c>
      <c r="E2442" t="s">
        <v>17</v>
      </c>
      <c r="Q2442" t="s">
        <v>179</v>
      </c>
      <c r="R2442" t="str">
        <f>_xlfn.XLOOKUP(GERAL[[#This Row],[Dia]],U:U,V:V,"")</f>
        <v/>
      </c>
    </row>
    <row r="2443" spans="1:18" hidden="1" x14ac:dyDescent="0.3">
      <c r="A2443" t="str">
        <f>_xlfn.XLOOKUP(GERAL[[#This Row],[Dia]],U:U,T:T,"")</f>
        <v/>
      </c>
      <c r="B2443" s="1">
        <v>46229</v>
      </c>
      <c r="C2443" t="s">
        <v>21</v>
      </c>
      <c r="D2443" s="1">
        <v>46229</v>
      </c>
      <c r="E2443" t="s">
        <v>17</v>
      </c>
      <c r="Q2443" t="s">
        <v>179</v>
      </c>
      <c r="R2443" t="str">
        <f>_xlfn.XLOOKUP(GERAL[[#This Row],[Dia]],U:U,V:V,"")</f>
        <v/>
      </c>
    </row>
    <row r="2444" spans="1:18" hidden="1" x14ac:dyDescent="0.3">
      <c r="A2444" t="str">
        <f>_xlfn.XLOOKUP(GERAL[[#This Row],[Dia]],U:U,T:T,"")</f>
        <v/>
      </c>
      <c r="B2444" s="1">
        <v>46230</v>
      </c>
      <c r="C2444" t="s">
        <v>22</v>
      </c>
      <c r="D2444" s="1">
        <v>46230</v>
      </c>
      <c r="Q2444" t="s">
        <v>179</v>
      </c>
      <c r="R2444" t="str">
        <f>_xlfn.XLOOKUP(GERAL[[#This Row],[Dia]],U:U,V:V,"")</f>
        <v/>
      </c>
    </row>
    <row r="2445" spans="1:18" hidden="1" x14ac:dyDescent="0.3">
      <c r="A2445" t="str">
        <f>_xlfn.XLOOKUP(GERAL[[#This Row],[Dia]],U:U,T:T,"")</f>
        <v/>
      </c>
      <c r="B2445" s="1">
        <v>46231</v>
      </c>
      <c r="C2445" t="s">
        <v>23</v>
      </c>
      <c r="D2445" s="1">
        <v>46231</v>
      </c>
      <c r="Q2445" t="s">
        <v>179</v>
      </c>
      <c r="R2445" t="str">
        <f>_xlfn.XLOOKUP(GERAL[[#This Row],[Dia]],U:U,V:V,"")</f>
        <v/>
      </c>
    </row>
    <row r="2446" spans="1:18" hidden="1" x14ac:dyDescent="0.3">
      <c r="A2446" t="str">
        <f>_xlfn.XLOOKUP(GERAL[[#This Row],[Dia]],U:U,T:T,"")</f>
        <v/>
      </c>
      <c r="B2446" s="1">
        <v>46232</v>
      </c>
      <c r="C2446" t="s">
        <v>24</v>
      </c>
      <c r="D2446" s="1">
        <v>46232</v>
      </c>
      <c r="Q2446" t="s">
        <v>179</v>
      </c>
      <c r="R2446" t="str">
        <f>_xlfn.XLOOKUP(GERAL[[#This Row],[Dia]],U:U,V:V,"")</f>
        <v/>
      </c>
    </row>
    <row r="2447" spans="1:18" hidden="1" x14ac:dyDescent="0.3">
      <c r="A2447" t="str">
        <f>_xlfn.XLOOKUP(GERAL[[#This Row],[Dia]],U:U,T:T,"")</f>
        <v/>
      </c>
      <c r="B2447" s="1">
        <v>46233</v>
      </c>
      <c r="C2447" t="s">
        <v>25</v>
      </c>
      <c r="D2447" s="1">
        <v>46233</v>
      </c>
      <c r="Q2447" t="s">
        <v>179</v>
      </c>
      <c r="R2447" t="str">
        <f>_xlfn.XLOOKUP(GERAL[[#This Row],[Dia]],U:U,V:V,"")</f>
        <v/>
      </c>
    </row>
    <row r="2448" spans="1:18" hidden="1" x14ac:dyDescent="0.3">
      <c r="A2448" t="str">
        <f>_xlfn.XLOOKUP(GERAL[[#This Row],[Dia]],U:U,T:T,"")</f>
        <v/>
      </c>
      <c r="B2448" s="1">
        <v>46234</v>
      </c>
      <c r="C2448" t="s">
        <v>26</v>
      </c>
      <c r="D2448" s="1">
        <v>46234</v>
      </c>
      <c r="Q2448" t="s">
        <v>179</v>
      </c>
      <c r="R2448" t="str">
        <f>_xlfn.XLOOKUP(GERAL[[#This Row],[Dia]],U:U,V:V,"")</f>
        <v/>
      </c>
    </row>
    <row r="2449" spans="1:18" hidden="1" x14ac:dyDescent="0.3">
      <c r="A2449" t="str">
        <f>_xlfn.XLOOKUP(GERAL[[#This Row],[Dia]],U:U,T:T,"")</f>
        <v/>
      </c>
      <c r="B2449" s="1">
        <v>46235</v>
      </c>
      <c r="C2449" t="s">
        <v>16</v>
      </c>
      <c r="D2449" s="1">
        <v>46235</v>
      </c>
      <c r="E2449" t="s">
        <v>17</v>
      </c>
      <c r="Q2449" t="s">
        <v>179</v>
      </c>
      <c r="R2449" t="str">
        <f>_xlfn.XLOOKUP(GERAL[[#This Row],[Dia]],U:U,V:V,"")</f>
        <v/>
      </c>
    </row>
    <row r="2450" spans="1:18" hidden="1" x14ac:dyDescent="0.3">
      <c r="A2450" t="str">
        <f>_xlfn.XLOOKUP(GERAL[[#This Row],[Dia]],U:U,T:T,"")</f>
        <v/>
      </c>
      <c r="B2450" s="1">
        <v>46236</v>
      </c>
      <c r="C2450" t="s">
        <v>21</v>
      </c>
      <c r="D2450" s="1">
        <v>46236</v>
      </c>
      <c r="E2450" t="s">
        <v>17</v>
      </c>
      <c r="Q2450" t="s">
        <v>179</v>
      </c>
      <c r="R2450" t="str">
        <f>_xlfn.XLOOKUP(GERAL[[#This Row],[Dia]],U:U,V:V,"")</f>
        <v/>
      </c>
    </row>
    <row r="2451" spans="1:18" hidden="1" x14ac:dyDescent="0.3">
      <c r="A2451" t="str">
        <f>_xlfn.XLOOKUP(GERAL[[#This Row],[Dia]],U:U,T:T,"")</f>
        <v/>
      </c>
      <c r="B2451" s="1">
        <v>46237</v>
      </c>
      <c r="C2451" t="s">
        <v>22</v>
      </c>
      <c r="D2451" s="1">
        <v>46237</v>
      </c>
      <c r="Q2451" t="s">
        <v>179</v>
      </c>
      <c r="R2451" t="str">
        <f>_xlfn.XLOOKUP(GERAL[[#This Row],[Dia]],U:U,V:V,"")</f>
        <v/>
      </c>
    </row>
    <row r="2452" spans="1:18" hidden="1" x14ac:dyDescent="0.3">
      <c r="A2452" t="str">
        <f>_xlfn.XLOOKUP(GERAL[[#This Row],[Dia]],U:U,T:T,"")</f>
        <v/>
      </c>
      <c r="B2452" s="1">
        <v>46238</v>
      </c>
      <c r="C2452" t="s">
        <v>23</v>
      </c>
      <c r="D2452" s="1">
        <v>46238</v>
      </c>
      <c r="Q2452" t="s">
        <v>179</v>
      </c>
      <c r="R2452" t="str">
        <f>_xlfn.XLOOKUP(GERAL[[#This Row],[Dia]],U:U,V:V,"")</f>
        <v/>
      </c>
    </row>
    <row r="2453" spans="1:18" hidden="1" x14ac:dyDescent="0.3">
      <c r="A2453" t="str">
        <f>_xlfn.XLOOKUP(GERAL[[#This Row],[Dia]],U:U,T:T,"")</f>
        <v/>
      </c>
      <c r="B2453" s="1">
        <v>46239</v>
      </c>
      <c r="C2453" t="s">
        <v>24</v>
      </c>
      <c r="D2453" s="1">
        <v>46239</v>
      </c>
      <c r="Q2453" t="s">
        <v>179</v>
      </c>
      <c r="R2453" t="str">
        <f>_xlfn.XLOOKUP(GERAL[[#This Row],[Dia]],U:U,V:V,"")</f>
        <v/>
      </c>
    </row>
    <row r="2454" spans="1:18" hidden="1" x14ac:dyDescent="0.3">
      <c r="A2454" t="str">
        <f>_xlfn.XLOOKUP(GERAL[[#This Row],[Dia]],U:U,T:T,"")</f>
        <v/>
      </c>
      <c r="B2454" s="1">
        <v>46240</v>
      </c>
      <c r="C2454" t="s">
        <v>25</v>
      </c>
      <c r="D2454" s="1">
        <v>46240</v>
      </c>
      <c r="Q2454" t="s">
        <v>179</v>
      </c>
      <c r="R2454" t="str">
        <f>_xlfn.XLOOKUP(GERAL[[#This Row],[Dia]],U:U,V:V,"")</f>
        <v/>
      </c>
    </row>
    <row r="2455" spans="1:18" hidden="1" x14ac:dyDescent="0.3">
      <c r="A2455" t="str">
        <f>_xlfn.XLOOKUP(GERAL[[#This Row],[Dia]],U:U,T:T,"")</f>
        <v/>
      </c>
      <c r="B2455" s="1">
        <v>46241</v>
      </c>
      <c r="C2455" t="s">
        <v>26</v>
      </c>
      <c r="D2455" s="1">
        <v>46241</v>
      </c>
      <c r="Q2455" t="s">
        <v>179</v>
      </c>
      <c r="R2455" t="str">
        <f>_xlfn.XLOOKUP(GERAL[[#This Row],[Dia]],U:U,V:V,"")</f>
        <v/>
      </c>
    </row>
    <row r="2456" spans="1:18" hidden="1" x14ac:dyDescent="0.3">
      <c r="A2456" t="str">
        <f>_xlfn.XLOOKUP(GERAL[[#This Row],[Dia]],U:U,T:T,"")</f>
        <v/>
      </c>
      <c r="B2456" s="1">
        <v>46242</v>
      </c>
      <c r="C2456" t="s">
        <v>16</v>
      </c>
      <c r="D2456" s="1">
        <v>46242</v>
      </c>
      <c r="E2456" t="s">
        <v>17</v>
      </c>
      <c r="Q2456" t="s">
        <v>179</v>
      </c>
      <c r="R2456" t="str">
        <f>_xlfn.XLOOKUP(GERAL[[#This Row],[Dia]],U:U,V:V,"")</f>
        <v/>
      </c>
    </row>
    <row r="2457" spans="1:18" hidden="1" x14ac:dyDescent="0.3">
      <c r="A2457" t="str">
        <f>_xlfn.XLOOKUP(GERAL[[#This Row],[Dia]],U:U,T:T,"")</f>
        <v/>
      </c>
      <c r="B2457" s="1">
        <v>46243</v>
      </c>
      <c r="C2457" t="s">
        <v>21</v>
      </c>
      <c r="D2457" s="1">
        <v>46243</v>
      </c>
      <c r="E2457" t="s">
        <v>17</v>
      </c>
      <c r="Q2457" t="s">
        <v>179</v>
      </c>
      <c r="R2457" t="str">
        <f>_xlfn.XLOOKUP(GERAL[[#This Row],[Dia]],U:U,V:V,"")</f>
        <v/>
      </c>
    </row>
    <row r="2458" spans="1:18" hidden="1" x14ac:dyDescent="0.3">
      <c r="A2458" t="str">
        <f>_xlfn.XLOOKUP(GERAL[[#This Row],[Dia]],U:U,T:T,"")</f>
        <v/>
      </c>
      <c r="B2458" s="1">
        <v>46244</v>
      </c>
      <c r="C2458" t="s">
        <v>22</v>
      </c>
      <c r="D2458" s="1">
        <v>46244</v>
      </c>
      <c r="Q2458" t="s">
        <v>179</v>
      </c>
      <c r="R2458" t="str">
        <f>_xlfn.XLOOKUP(GERAL[[#This Row],[Dia]],U:U,V:V,"")</f>
        <v/>
      </c>
    </row>
    <row r="2459" spans="1:18" hidden="1" x14ac:dyDescent="0.3">
      <c r="A2459" t="str">
        <f>_xlfn.XLOOKUP(GERAL[[#This Row],[Dia]],U:U,T:T,"")</f>
        <v/>
      </c>
      <c r="B2459" s="1">
        <v>46245</v>
      </c>
      <c r="C2459" t="s">
        <v>23</v>
      </c>
      <c r="D2459" s="1">
        <v>46245</v>
      </c>
      <c r="Q2459" t="s">
        <v>179</v>
      </c>
      <c r="R2459" t="str">
        <f>_xlfn.XLOOKUP(GERAL[[#This Row],[Dia]],U:U,V:V,"")</f>
        <v/>
      </c>
    </row>
    <row r="2460" spans="1:18" hidden="1" x14ac:dyDescent="0.3">
      <c r="A2460" t="str">
        <f>_xlfn.XLOOKUP(GERAL[[#This Row],[Dia]],U:U,T:T,"")</f>
        <v/>
      </c>
      <c r="B2460" s="1">
        <v>46246</v>
      </c>
      <c r="C2460" t="s">
        <v>24</v>
      </c>
      <c r="D2460" s="1">
        <v>46246</v>
      </c>
      <c r="Q2460" t="s">
        <v>179</v>
      </c>
      <c r="R2460" t="str">
        <f>_xlfn.XLOOKUP(GERAL[[#This Row],[Dia]],U:U,V:V,"")</f>
        <v/>
      </c>
    </row>
    <row r="2461" spans="1:18" hidden="1" x14ac:dyDescent="0.3">
      <c r="A2461" t="str">
        <f>_xlfn.XLOOKUP(GERAL[[#This Row],[Dia]],U:U,T:T,"")</f>
        <v/>
      </c>
      <c r="B2461" s="1">
        <v>46247</v>
      </c>
      <c r="C2461" t="s">
        <v>25</v>
      </c>
      <c r="D2461" s="1">
        <v>46247</v>
      </c>
      <c r="Q2461" t="s">
        <v>179</v>
      </c>
      <c r="R2461" t="str">
        <f>_xlfn.XLOOKUP(GERAL[[#This Row],[Dia]],U:U,V:V,"")</f>
        <v/>
      </c>
    </row>
    <row r="2462" spans="1:18" hidden="1" x14ac:dyDescent="0.3">
      <c r="A2462" t="str">
        <f>_xlfn.XLOOKUP(GERAL[[#This Row],[Dia]],U:U,T:T,"")</f>
        <v/>
      </c>
      <c r="B2462" s="1">
        <v>46248</v>
      </c>
      <c r="C2462" t="s">
        <v>26</v>
      </c>
      <c r="D2462" s="1">
        <v>46248</v>
      </c>
      <c r="Q2462" t="s">
        <v>179</v>
      </c>
      <c r="R2462" t="str">
        <f>_xlfn.XLOOKUP(GERAL[[#This Row],[Dia]],U:U,V:V,"")</f>
        <v/>
      </c>
    </row>
    <row r="2463" spans="1:18" hidden="1" x14ac:dyDescent="0.3">
      <c r="A2463" t="str">
        <f>_xlfn.XLOOKUP(GERAL[[#This Row],[Dia]],U:U,T:T,"")</f>
        <v/>
      </c>
      <c r="B2463" s="1">
        <v>46249</v>
      </c>
      <c r="C2463" t="s">
        <v>16</v>
      </c>
      <c r="D2463" s="1">
        <v>46249</v>
      </c>
      <c r="E2463" t="s">
        <v>17</v>
      </c>
      <c r="Q2463" t="s">
        <v>179</v>
      </c>
      <c r="R2463" t="str">
        <f>_xlfn.XLOOKUP(GERAL[[#This Row],[Dia]],U:U,V:V,"")</f>
        <v/>
      </c>
    </row>
    <row r="2464" spans="1:18" hidden="1" x14ac:dyDescent="0.3">
      <c r="A2464" t="str">
        <f>_xlfn.XLOOKUP(GERAL[[#This Row],[Dia]],U:U,T:T,"")</f>
        <v/>
      </c>
      <c r="B2464" s="1">
        <v>46250</v>
      </c>
      <c r="C2464" t="s">
        <v>21</v>
      </c>
      <c r="D2464" s="1">
        <v>46250</v>
      </c>
      <c r="E2464" t="s">
        <v>17</v>
      </c>
      <c r="Q2464" t="s">
        <v>179</v>
      </c>
      <c r="R2464" t="str">
        <f>_xlfn.XLOOKUP(GERAL[[#This Row],[Dia]],U:U,V:V,"")</f>
        <v/>
      </c>
    </row>
    <row r="2465" spans="1:18" hidden="1" x14ac:dyDescent="0.3">
      <c r="A2465" t="str">
        <f>_xlfn.XLOOKUP(GERAL[[#This Row],[Dia]],U:U,T:T,"")</f>
        <v/>
      </c>
      <c r="B2465" s="1">
        <v>46251</v>
      </c>
      <c r="C2465" t="s">
        <v>22</v>
      </c>
      <c r="D2465" s="1">
        <v>46251</v>
      </c>
      <c r="Q2465" t="s">
        <v>179</v>
      </c>
      <c r="R2465" t="str">
        <f>_xlfn.XLOOKUP(GERAL[[#This Row],[Dia]],U:U,V:V,"")</f>
        <v/>
      </c>
    </row>
    <row r="2466" spans="1:18" hidden="1" x14ac:dyDescent="0.3">
      <c r="A2466" t="str">
        <f>_xlfn.XLOOKUP(GERAL[[#This Row],[Dia]],U:U,T:T,"")</f>
        <v/>
      </c>
      <c r="B2466" s="1">
        <v>46252</v>
      </c>
      <c r="C2466" t="s">
        <v>23</v>
      </c>
      <c r="D2466" s="1">
        <v>46252</v>
      </c>
      <c r="Q2466" t="s">
        <v>179</v>
      </c>
      <c r="R2466" t="str">
        <f>_xlfn.XLOOKUP(GERAL[[#This Row],[Dia]],U:U,V:V,"")</f>
        <v/>
      </c>
    </row>
    <row r="2467" spans="1:18" hidden="1" x14ac:dyDescent="0.3">
      <c r="A2467" t="str">
        <f>_xlfn.XLOOKUP(GERAL[[#This Row],[Dia]],U:U,T:T,"")</f>
        <v/>
      </c>
      <c r="B2467" s="1">
        <v>46253</v>
      </c>
      <c r="C2467" t="s">
        <v>24</v>
      </c>
      <c r="D2467" s="1">
        <v>46253</v>
      </c>
      <c r="Q2467" t="s">
        <v>179</v>
      </c>
      <c r="R2467" t="str">
        <f>_xlfn.XLOOKUP(GERAL[[#This Row],[Dia]],U:U,V:V,"")</f>
        <v/>
      </c>
    </row>
    <row r="2468" spans="1:18" hidden="1" x14ac:dyDescent="0.3">
      <c r="A2468" t="str">
        <f>_xlfn.XLOOKUP(GERAL[[#This Row],[Dia]],U:U,T:T,"")</f>
        <v/>
      </c>
      <c r="B2468" s="1">
        <v>46254</v>
      </c>
      <c r="C2468" t="s">
        <v>25</v>
      </c>
      <c r="D2468" s="1">
        <v>46254</v>
      </c>
      <c r="Q2468" t="s">
        <v>179</v>
      </c>
      <c r="R2468" t="str">
        <f>_xlfn.XLOOKUP(GERAL[[#This Row],[Dia]],U:U,V:V,"")</f>
        <v/>
      </c>
    </row>
    <row r="2469" spans="1:18" hidden="1" x14ac:dyDescent="0.3">
      <c r="A2469" t="str">
        <f>_xlfn.XLOOKUP(GERAL[[#This Row],[Dia]],U:U,T:T,"")</f>
        <v/>
      </c>
      <c r="B2469" s="1">
        <v>46255</v>
      </c>
      <c r="C2469" t="s">
        <v>26</v>
      </c>
      <c r="D2469" s="1">
        <v>46255</v>
      </c>
      <c r="Q2469" t="s">
        <v>179</v>
      </c>
      <c r="R2469" t="str">
        <f>_xlfn.XLOOKUP(GERAL[[#This Row],[Dia]],U:U,V:V,"")</f>
        <v/>
      </c>
    </row>
    <row r="2470" spans="1:18" hidden="1" x14ac:dyDescent="0.3">
      <c r="A2470" t="str">
        <f>_xlfn.XLOOKUP(GERAL[[#This Row],[Dia]],U:U,T:T,"")</f>
        <v/>
      </c>
      <c r="B2470" s="1">
        <v>46256</v>
      </c>
      <c r="C2470" t="s">
        <v>16</v>
      </c>
      <c r="D2470" s="1">
        <v>46256</v>
      </c>
      <c r="E2470" t="s">
        <v>17</v>
      </c>
      <c r="Q2470" t="s">
        <v>179</v>
      </c>
      <c r="R2470" t="str">
        <f>_xlfn.XLOOKUP(GERAL[[#This Row],[Dia]],U:U,V:V,"")</f>
        <v/>
      </c>
    </row>
    <row r="2471" spans="1:18" hidden="1" x14ac:dyDescent="0.3">
      <c r="A2471" t="str">
        <f>_xlfn.XLOOKUP(GERAL[[#This Row],[Dia]],U:U,T:T,"")</f>
        <v/>
      </c>
      <c r="B2471" s="1">
        <v>46257</v>
      </c>
      <c r="C2471" t="s">
        <v>21</v>
      </c>
      <c r="D2471" s="1">
        <v>46257</v>
      </c>
      <c r="E2471" t="s">
        <v>17</v>
      </c>
      <c r="Q2471" t="s">
        <v>179</v>
      </c>
      <c r="R2471" t="str">
        <f>_xlfn.XLOOKUP(GERAL[[#This Row],[Dia]],U:U,V:V,"")</f>
        <v/>
      </c>
    </row>
    <row r="2472" spans="1:18" hidden="1" x14ac:dyDescent="0.3">
      <c r="A2472" t="str">
        <f>_xlfn.XLOOKUP(GERAL[[#This Row],[Dia]],U:U,T:T,"")</f>
        <v/>
      </c>
      <c r="B2472" s="1">
        <v>46258</v>
      </c>
      <c r="C2472" t="s">
        <v>22</v>
      </c>
      <c r="D2472" s="1">
        <v>46258</v>
      </c>
      <c r="Q2472" t="s">
        <v>179</v>
      </c>
      <c r="R2472" t="str">
        <f>_xlfn.XLOOKUP(GERAL[[#This Row],[Dia]],U:U,V:V,"")</f>
        <v/>
      </c>
    </row>
    <row r="2473" spans="1:18" hidden="1" x14ac:dyDescent="0.3">
      <c r="A2473" t="str">
        <f>_xlfn.XLOOKUP(GERAL[[#This Row],[Dia]],U:U,T:T,"")</f>
        <v/>
      </c>
      <c r="B2473" s="1">
        <v>46259</v>
      </c>
      <c r="C2473" t="s">
        <v>23</v>
      </c>
      <c r="D2473" s="1">
        <v>46259</v>
      </c>
      <c r="Q2473" t="s">
        <v>179</v>
      </c>
      <c r="R2473" t="str">
        <f>_xlfn.XLOOKUP(GERAL[[#This Row],[Dia]],U:U,V:V,"")</f>
        <v/>
      </c>
    </row>
    <row r="2474" spans="1:18" hidden="1" x14ac:dyDescent="0.3">
      <c r="A2474" t="str">
        <f>_xlfn.XLOOKUP(GERAL[[#This Row],[Dia]],U:U,T:T,"")</f>
        <v/>
      </c>
      <c r="B2474" s="1">
        <v>46260</v>
      </c>
      <c r="C2474" t="s">
        <v>24</v>
      </c>
      <c r="D2474" s="1">
        <v>46260</v>
      </c>
      <c r="Q2474" t="s">
        <v>179</v>
      </c>
      <c r="R2474" t="str">
        <f>_xlfn.XLOOKUP(GERAL[[#This Row],[Dia]],U:U,V:V,"")</f>
        <v/>
      </c>
    </row>
    <row r="2475" spans="1:18" hidden="1" x14ac:dyDescent="0.3">
      <c r="A2475" t="str">
        <f>_xlfn.XLOOKUP(GERAL[[#This Row],[Dia]],U:U,T:T,"")</f>
        <v/>
      </c>
      <c r="B2475" s="1">
        <v>46261</v>
      </c>
      <c r="C2475" t="s">
        <v>25</v>
      </c>
      <c r="D2475" s="1">
        <v>46261</v>
      </c>
      <c r="Q2475" t="s">
        <v>179</v>
      </c>
      <c r="R2475" t="str">
        <f>_xlfn.XLOOKUP(GERAL[[#This Row],[Dia]],U:U,V:V,"")</f>
        <v/>
      </c>
    </row>
    <row r="2476" spans="1:18" hidden="1" x14ac:dyDescent="0.3">
      <c r="A2476" t="str">
        <f>_xlfn.XLOOKUP(GERAL[[#This Row],[Dia]],U:U,T:T,"")</f>
        <v/>
      </c>
      <c r="B2476" s="1">
        <v>46262</v>
      </c>
      <c r="C2476" t="s">
        <v>26</v>
      </c>
      <c r="D2476" s="1">
        <v>46262</v>
      </c>
      <c r="Q2476" t="s">
        <v>179</v>
      </c>
      <c r="R2476" t="str">
        <f>_xlfn.XLOOKUP(GERAL[[#This Row],[Dia]],U:U,V:V,"")</f>
        <v/>
      </c>
    </row>
    <row r="2477" spans="1:18" hidden="1" x14ac:dyDescent="0.3">
      <c r="A2477" t="str">
        <f>_xlfn.XLOOKUP(GERAL[[#This Row],[Dia]],U:U,T:T,"")</f>
        <v/>
      </c>
      <c r="B2477" s="1">
        <v>46263</v>
      </c>
      <c r="C2477" t="s">
        <v>16</v>
      </c>
      <c r="D2477" s="1">
        <v>46263</v>
      </c>
      <c r="E2477" t="s">
        <v>17</v>
      </c>
      <c r="Q2477" t="s">
        <v>179</v>
      </c>
      <c r="R2477" t="str">
        <f>_xlfn.XLOOKUP(GERAL[[#This Row],[Dia]],U:U,V:V,"")</f>
        <v/>
      </c>
    </row>
    <row r="2478" spans="1:18" hidden="1" x14ac:dyDescent="0.3">
      <c r="A2478" t="str">
        <f>_xlfn.XLOOKUP(GERAL[[#This Row],[Dia]],U:U,T:T,"")</f>
        <v/>
      </c>
      <c r="B2478" s="1">
        <v>46264</v>
      </c>
      <c r="C2478" t="s">
        <v>21</v>
      </c>
      <c r="D2478" s="1">
        <v>46264</v>
      </c>
      <c r="E2478" t="s">
        <v>17</v>
      </c>
      <c r="Q2478" t="s">
        <v>179</v>
      </c>
      <c r="R2478" t="str">
        <f>_xlfn.XLOOKUP(GERAL[[#This Row],[Dia]],U:U,V:V,"")</f>
        <v/>
      </c>
    </row>
    <row r="2479" spans="1:18" hidden="1" x14ac:dyDescent="0.3">
      <c r="A2479" t="str">
        <f>_xlfn.XLOOKUP(GERAL[[#This Row],[Dia]],U:U,T:T,"")</f>
        <v/>
      </c>
      <c r="B2479" s="1">
        <v>46265</v>
      </c>
      <c r="C2479" t="s">
        <v>22</v>
      </c>
      <c r="D2479" s="1">
        <v>46265</v>
      </c>
      <c r="Q2479" t="s">
        <v>179</v>
      </c>
      <c r="R2479" t="str">
        <f>_xlfn.XLOOKUP(GERAL[[#This Row],[Dia]],U:U,V:V,"")</f>
        <v/>
      </c>
    </row>
    <row r="2480" spans="1:18" hidden="1" x14ac:dyDescent="0.3">
      <c r="A2480" t="str">
        <f>_xlfn.XLOOKUP(GERAL[[#This Row],[Dia]],U:U,T:T,"")</f>
        <v/>
      </c>
      <c r="B2480" s="1">
        <v>46266</v>
      </c>
      <c r="C2480" t="s">
        <v>23</v>
      </c>
      <c r="D2480" s="1">
        <v>46266</v>
      </c>
      <c r="Q2480" t="s">
        <v>179</v>
      </c>
      <c r="R2480" t="str">
        <f>_xlfn.XLOOKUP(GERAL[[#This Row],[Dia]],U:U,V:V,"")</f>
        <v/>
      </c>
    </row>
    <row r="2481" spans="1:18" hidden="1" x14ac:dyDescent="0.3">
      <c r="A2481" t="str">
        <f>_xlfn.XLOOKUP(GERAL[[#This Row],[Dia]],U:U,T:T,"")</f>
        <v/>
      </c>
      <c r="B2481" s="1">
        <v>46267</v>
      </c>
      <c r="C2481" t="s">
        <v>24</v>
      </c>
      <c r="D2481" s="1">
        <v>46267</v>
      </c>
      <c r="Q2481" t="s">
        <v>179</v>
      </c>
      <c r="R2481" t="str">
        <f>_xlfn.XLOOKUP(GERAL[[#This Row],[Dia]],U:U,V:V,"")</f>
        <v/>
      </c>
    </row>
    <row r="2482" spans="1:18" hidden="1" x14ac:dyDescent="0.3">
      <c r="A2482" t="str">
        <f>_xlfn.XLOOKUP(GERAL[[#This Row],[Dia]],U:U,T:T,"")</f>
        <v/>
      </c>
      <c r="B2482" s="1">
        <v>46268</v>
      </c>
      <c r="C2482" t="s">
        <v>25</v>
      </c>
      <c r="D2482" s="1">
        <v>46268</v>
      </c>
      <c r="Q2482" t="s">
        <v>179</v>
      </c>
      <c r="R2482" t="str">
        <f>_xlfn.XLOOKUP(GERAL[[#This Row],[Dia]],U:U,V:V,"")</f>
        <v/>
      </c>
    </row>
    <row r="2483" spans="1:18" hidden="1" x14ac:dyDescent="0.3">
      <c r="A2483" t="str">
        <f>_xlfn.XLOOKUP(GERAL[[#This Row],[Dia]],U:U,T:T,"")</f>
        <v/>
      </c>
      <c r="B2483" s="1">
        <v>46269</v>
      </c>
      <c r="C2483" t="s">
        <v>26</v>
      </c>
      <c r="D2483" s="1">
        <v>46269</v>
      </c>
      <c r="Q2483" t="s">
        <v>179</v>
      </c>
      <c r="R2483" t="str">
        <f>_xlfn.XLOOKUP(GERAL[[#This Row],[Dia]],U:U,V:V,"")</f>
        <v/>
      </c>
    </row>
    <row r="2484" spans="1:18" hidden="1" x14ac:dyDescent="0.3">
      <c r="A2484" t="str">
        <f>_xlfn.XLOOKUP(GERAL[[#This Row],[Dia]],U:U,T:T,"")</f>
        <v/>
      </c>
      <c r="B2484" s="1">
        <v>46270</v>
      </c>
      <c r="C2484" t="s">
        <v>16</v>
      </c>
      <c r="D2484" s="1">
        <v>46270</v>
      </c>
      <c r="E2484" t="s">
        <v>17</v>
      </c>
      <c r="Q2484" t="s">
        <v>179</v>
      </c>
      <c r="R2484" t="str">
        <f>_xlfn.XLOOKUP(GERAL[[#This Row],[Dia]],U:U,V:V,"")</f>
        <v/>
      </c>
    </row>
    <row r="2485" spans="1:18" hidden="1" x14ac:dyDescent="0.3">
      <c r="A2485" t="str">
        <f>_xlfn.XLOOKUP(GERAL[[#This Row],[Dia]],U:U,T:T,"")</f>
        <v/>
      </c>
      <c r="B2485" s="1">
        <v>46271</v>
      </c>
      <c r="C2485" t="s">
        <v>21</v>
      </c>
      <c r="D2485" s="1">
        <v>46271</v>
      </c>
      <c r="E2485" t="s">
        <v>17</v>
      </c>
      <c r="Q2485" t="s">
        <v>179</v>
      </c>
      <c r="R2485" t="str">
        <f>_xlfn.XLOOKUP(GERAL[[#This Row],[Dia]],U:U,V:V,"")</f>
        <v/>
      </c>
    </row>
    <row r="2486" spans="1:18" hidden="1" x14ac:dyDescent="0.3">
      <c r="A2486" t="str">
        <f>_xlfn.XLOOKUP(GERAL[[#This Row],[Dia]],U:U,T:T,"")</f>
        <v/>
      </c>
      <c r="B2486" s="1">
        <v>46272</v>
      </c>
      <c r="C2486" t="s">
        <v>22</v>
      </c>
      <c r="D2486" s="1">
        <v>46272</v>
      </c>
      <c r="Q2486" t="s">
        <v>179</v>
      </c>
      <c r="R2486" t="str">
        <f>_xlfn.XLOOKUP(GERAL[[#This Row],[Dia]],U:U,V:V,"")</f>
        <v/>
      </c>
    </row>
    <row r="2487" spans="1:18" hidden="1" x14ac:dyDescent="0.3">
      <c r="A2487" t="str">
        <f>_xlfn.XLOOKUP(GERAL[[#This Row],[Dia]],U:U,T:T,"")</f>
        <v/>
      </c>
      <c r="B2487" s="1">
        <v>46273</v>
      </c>
      <c r="C2487" t="s">
        <v>23</v>
      </c>
      <c r="D2487" s="1">
        <v>46273</v>
      </c>
      <c r="Q2487" t="s">
        <v>179</v>
      </c>
      <c r="R2487" t="str">
        <f>_xlfn.XLOOKUP(GERAL[[#This Row],[Dia]],U:U,V:V,"")</f>
        <v/>
      </c>
    </row>
    <row r="2488" spans="1:18" hidden="1" x14ac:dyDescent="0.3">
      <c r="A2488" t="str">
        <f>_xlfn.XLOOKUP(GERAL[[#This Row],[Dia]],U:U,T:T,"")</f>
        <v/>
      </c>
      <c r="B2488" s="1">
        <v>46274</v>
      </c>
      <c r="C2488" t="s">
        <v>24</v>
      </c>
      <c r="D2488" s="1">
        <v>46274</v>
      </c>
      <c r="Q2488" t="s">
        <v>179</v>
      </c>
      <c r="R2488" t="str">
        <f>_xlfn.XLOOKUP(GERAL[[#This Row],[Dia]],U:U,V:V,"")</f>
        <v/>
      </c>
    </row>
    <row r="2489" spans="1:18" hidden="1" x14ac:dyDescent="0.3">
      <c r="A2489" t="str">
        <f>_xlfn.XLOOKUP(GERAL[[#This Row],[Dia]],U:U,T:T,"")</f>
        <v/>
      </c>
      <c r="B2489" s="1">
        <v>46275</v>
      </c>
      <c r="C2489" t="s">
        <v>25</v>
      </c>
      <c r="D2489" s="1">
        <v>46275</v>
      </c>
      <c r="Q2489" t="s">
        <v>179</v>
      </c>
      <c r="R2489" t="str">
        <f>_xlfn.XLOOKUP(GERAL[[#This Row],[Dia]],U:U,V:V,"")</f>
        <v/>
      </c>
    </row>
    <row r="2490" spans="1:18" hidden="1" x14ac:dyDescent="0.3">
      <c r="A2490" t="str">
        <f>_xlfn.XLOOKUP(GERAL[[#This Row],[Dia]],U:U,T:T,"")</f>
        <v/>
      </c>
      <c r="B2490" s="1">
        <v>46276</v>
      </c>
      <c r="C2490" t="s">
        <v>26</v>
      </c>
      <c r="D2490" s="1">
        <v>46276</v>
      </c>
      <c r="Q2490" t="s">
        <v>179</v>
      </c>
      <c r="R2490" t="str">
        <f>_xlfn.XLOOKUP(GERAL[[#This Row],[Dia]],U:U,V:V,"")</f>
        <v/>
      </c>
    </row>
    <row r="2491" spans="1:18" hidden="1" x14ac:dyDescent="0.3">
      <c r="A2491" t="str">
        <f>_xlfn.XLOOKUP(GERAL[[#This Row],[Dia]],U:U,T:T,"")</f>
        <v/>
      </c>
      <c r="B2491" s="1">
        <v>46277</v>
      </c>
      <c r="C2491" t="s">
        <v>16</v>
      </c>
      <c r="D2491" s="1">
        <v>46277</v>
      </c>
      <c r="E2491" t="s">
        <v>17</v>
      </c>
      <c r="Q2491" t="s">
        <v>179</v>
      </c>
      <c r="R2491" t="str">
        <f>_xlfn.XLOOKUP(GERAL[[#This Row],[Dia]],U:U,V:V,"")</f>
        <v/>
      </c>
    </row>
    <row r="2492" spans="1:18" hidden="1" x14ac:dyDescent="0.3">
      <c r="A2492" t="str">
        <f>_xlfn.XLOOKUP(GERAL[[#This Row],[Dia]],U:U,T:T,"")</f>
        <v/>
      </c>
      <c r="B2492" s="1">
        <v>46278</v>
      </c>
      <c r="C2492" t="s">
        <v>21</v>
      </c>
      <c r="D2492" s="1">
        <v>46278</v>
      </c>
      <c r="E2492" t="s">
        <v>17</v>
      </c>
      <c r="Q2492" t="s">
        <v>179</v>
      </c>
      <c r="R2492" t="str">
        <f>_xlfn.XLOOKUP(GERAL[[#This Row],[Dia]],U:U,V:V,"")</f>
        <v/>
      </c>
    </row>
    <row r="2493" spans="1:18" hidden="1" x14ac:dyDescent="0.3">
      <c r="A2493" t="str">
        <f>_xlfn.XLOOKUP(GERAL[[#This Row],[Dia]],U:U,T:T,"")</f>
        <v/>
      </c>
      <c r="B2493" s="1">
        <v>46279</v>
      </c>
      <c r="C2493" t="s">
        <v>22</v>
      </c>
      <c r="D2493" s="1">
        <v>46279</v>
      </c>
      <c r="Q2493" t="s">
        <v>179</v>
      </c>
      <c r="R2493" t="str">
        <f>_xlfn.XLOOKUP(GERAL[[#This Row],[Dia]],U:U,V:V,"")</f>
        <v/>
      </c>
    </row>
    <row r="2494" spans="1:18" hidden="1" x14ac:dyDescent="0.3">
      <c r="A2494" t="str">
        <f>_xlfn.XLOOKUP(GERAL[[#This Row],[Dia]],U:U,T:T,"")</f>
        <v/>
      </c>
      <c r="B2494" s="1">
        <v>46280</v>
      </c>
      <c r="C2494" t="s">
        <v>23</v>
      </c>
      <c r="D2494" s="1">
        <v>46280</v>
      </c>
      <c r="Q2494" t="s">
        <v>179</v>
      </c>
      <c r="R2494" t="str">
        <f>_xlfn.XLOOKUP(GERAL[[#This Row],[Dia]],U:U,V:V,"")</f>
        <v/>
      </c>
    </row>
    <row r="2495" spans="1:18" hidden="1" x14ac:dyDescent="0.3">
      <c r="A2495" t="str">
        <f>_xlfn.XLOOKUP(GERAL[[#This Row],[Dia]],U:U,T:T,"")</f>
        <v/>
      </c>
      <c r="B2495" s="1">
        <v>46281</v>
      </c>
      <c r="C2495" t="s">
        <v>24</v>
      </c>
      <c r="D2495" s="1">
        <v>46281</v>
      </c>
      <c r="Q2495" t="s">
        <v>179</v>
      </c>
      <c r="R2495" t="str">
        <f>_xlfn.XLOOKUP(GERAL[[#This Row],[Dia]],U:U,V:V,"")</f>
        <v/>
      </c>
    </row>
    <row r="2496" spans="1:18" hidden="1" x14ac:dyDescent="0.3">
      <c r="A2496" t="str">
        <f>_xlfn.XLOOKUP(GERAL[[#This Row],[Dia]],U:U,T:T,"")</f>
        <v/>
      </c>
      <c r="B2496" s="1">
        <v>46282</v>
      </c>
      <c r="C2496" t="s">
        <v>25</v>
      </c>
      <c r="D2496" s="1">
        <v>46282</v>
      </c>
      <c r="Q2496" t="s">
        <v>179</v>
      </c>
      <c r="R2496" t="str">
        <f>_xlfn.XLOOKUP(GERAL[[#This Row],[Dia]],U:U,V:V,"")</f>
        <v/>
      </c>
    </row>
    <row r="2497" spans="1:18" hidden="1" x14ac:dyDescent="0.3">
      <c r="A2497" t="str">
        <f>_xlfn.XLOOKUP(GERAL[[#This Row],[Dia]],U:U,T:T,"")</f>
        <v/>
      </c>
      <c r="B2497" s="1">
        <v>46283</v>
      </c>
      <c r="C2497" t="s">
        <v>26</v>
      </c>
      <c r="D2497" s="1">
        <v>46283</v>
      </c>
      <c r="Q2497" t="s">
        <v>179</v>
      </c>
      <c r="R2497" t="str">
        <f>_xlfn.XLOOKUP(GERAL[[#This Row],[Dia]],U:U,V:V,"")</f>
        <v/>
      </c>
    </row>
    <row r="2498" spans="1:18" hidden="1" x14ac:dyDescent="0.3">
      <c r="A2498" t="str">
        <f>_xlfn.XLOOKUP(GERAL[[#This Row],[Dia]],U:U,T:T,"")</f>
        <v/>
      </c>
      <c r="B2498" s="1">
        <v>46284</v>
      </c>
      <c r="C2498" t="s">
        <v>16</v>
      </c>
      <c r="D2498" s="1">
        <v>46284</v>
      </c>
      <c r="E2498" t="s">
        <v>17</v>
      </c>
      <c r="Q2498" t="s">
        <v>179</v>
      </c>
      <c r="R2498" t="str">
        <f>_xlfn.XLOOKUP(GERAL[[#This Row],[Dia]],U:U,V:V,"")</f>
        <v/>
      </c>
    </row>
    <row r="2499" spans="1:18" hidden="1" x14ac:dyDescent="0.3">
      <c r="A2499" t="str">
        <f>_xlfn.XLOOKUP(GERAL[[#This Row],[Dia]],U:U,T:T,"")</f>
        <v/>
      </c>
      <c r="B2499" s="1">
        <v>46285</v>
      </c>
      <c r="C2499" t="s">
        <v>21</v>
      </c>
      <c r="D2499" s="1">
        <v>46285</v>
      </c>
      <c r="E2499" t="s">
        <v>17</v>
      </c>
      <c r="Q2499" t="s">
        <v>179</v>
      </c>
      <c r="R2499" t="str">
        <f>_xlfn.XLOOKUP(GERAL[[#This Row],[Dia]],U:U,V:V,"")</f>
        <v/>
      </c>
    </row>
    <row r="2500" spans="1:18" hidden="1" x14ac:dyDescent="0.3">
      <c r="A2500" t="str">
        <f>_xlfn.XLOOKUP(GERAL[[#This Row],[Dia]],U:U,T:T,"")</f>
        <v/>
      </c>
      <c r="B2500" s="1">
        <v>46286</v>
      </c>
      <c r="C2500" t="s">
        <v>22</v>
      </c>
      <c r="D2500" s="1">
        <v>46286</v>
      </c>
      <c r="Q2500" t="s">
        <v>179</v>
      </c>
      <c r="R2500" t="str">
        <f>_xlfn.XLOOKUP(GERAL[[#This Row],[Dia]],U:U,V:V,"")</f>
        <v/>
      </c>
    </row>
    <row r="2501" spans="1:18" hidden="1" x14ac:dyDescent="0.3">
      <c r="A2501" t="str">
        <f>_xlfn.XLOOKUP(GERAL[[#This Row],[Dia]],U:U,T:T,"")</f>
        <v/>
      </c>
      <c r="B2501" s="1">
        <v>46287</v>
      </c>
      <c r="C2501" t="s">
        <v>23</v>
      </c>
      <c r="D2501" s="1">
        <v>46287</v>
      </c>
      <c r="Q2501" t="s">
        <v>179</v>
      </c>
      <c r="R2501" t="str">
        <f>_xlfn.XLOOKUP(GERAL[[#This Row],[Dia]],U:U,V:V,"")</f>
        <v/>
      </c>
    </row>
    <row r="2502" spans="1:18" hidden="1" x14ac:dyDescent="0.3">
      <c r="A2502" t="str">
        <f>_xlfn.XLOOKUP(GERAL[[#This Row],[Dia]],U:U,T:T,"")</f>
        <v/>
      </c>
      <c r="B2502" s="1">
        <v>46288</v>
      </c>
      <c r="C2502" t="s">
        <v>24</v>
      </c>
      <c r="D2502" s="1">
        <v>46288</v>
      </c>
      <c r="Q2502" t="s">
        <v>179</v>
      </c>
      <c r="R2502" t="str">
        <f>_xlfn.XLOOKUP(GERAL[[#This Row],[Dia]],U:U,V:V,"")</f>
        <v/>
      </c>
    </row>
    <row r="2503" spans="1:18" hidden="1" x14ac:dyDescent="0.3">
      <c r="A2503" t="str">
        <f>_xlfn.XLOOKUP(GERAL[[#This Row],[Dia]],U:U,T:T,"")</f>
        <v/>
      </c>
      <c r="B2503" s="1">
        <v>46289</v>
      </c>
      <c r="C2503" t="s">
        <v>25</v>
      </c>
      <c r="D2503" s="1">
        <v>46289</v>
      </c>
      <c r="Q2503" t="s">
        <v>179</v>
      </c>
      <c r="R2503" t="str">
        <f>_xlfn.XLOOKUP(GERAL[[#This Row],[Dia]],U:U,V:V,"")</f>
        <v/>
      </c>
    </row>
    <row r="2504" spans="1:18" hidden="1" x14ac:dyDescent="0.3">
      <c r="A2504" t="str">
        <f>_xlfn.XLOOKUP(GERAL[[#This Row],[Dia]],U:U,T:T,"")</f>
        <v/>
      </c>
      <c r="B2504" s="1">
        <v>46290</v>
      </c>
      <c r="C2504" t="s">
        <v>26</v>
      </c>
      <c r="D2504" s="1">
        <v>46290</v>
      </c>
      <c r="Q2504" t="s">
        <v>179</v>
      </c>
      <c r="R2504" t="str">
        <f>_xlfn.XLOOKUP(GERAL[[#This Row],[Dia]],U:U,V:V,"")</f>
        <v/>
      </c>
    </row>
    <row r="2505" spans="1:18" hidden="1" x14ac:dyDescent="0.3">
      <c r="A2505" t="str">
        <f>_xlfn.XLOOKUP(GERAL[[#This Row],[Dia]],U:U,T:T,"")</f>
        <v/>
      </c>
      <c r="B2505" s="1">
        <v>46291</v>
      </c>
      <c r="C2505" t="s">
        <v>16</v>
      </c>
      <c r="D2505" s="1">
        <v>46291</v>
      </c>
      <c r="E2505" t="s">
        <v>17</v>
      </c>
      <c r="Q2505" t="s">
        <v>179</v>
      </c>
      <c r="R2505" t="str">
        <f>_xlfn.XLOOKUP(GERAL[[#This Row],[Dia]],U:U,V:V,"")</f>
        <v/>
      </c>
    </row>
    <row r="2506" spans="1:18" hidden="1" x14ac:dyDescent="0.3">
      <c r="A2506" t="str">
        <f>_xlfn.XLOOKUP(GERAL[[#This Row],[Dia]],U:U,T:T,"")</f>
        <v/>
      </c>
      <c r="B2506" s="1">
        <v>46292</v>
      </c>
      <c r="C2506" t="s">
        <v>21</v>
      </c>
      <c r="D2506" s="1">
        <v>46292</v>
      </c>
      <c r="E2506" t="s">
        <v>17</v>
      </c>
      <c r="Q2506" t="s">
        <v>179</v>
      </c>
      <c r="R2506" t="str">
        <f>_xlfn.XLOOKUP(GERAL[[#This Row],[Dia]],U:U,V:V,"")</f>
        <v/>
      </c>
    </row>
    <row r="2507" spans="1:18" hidden="1" x14ac:dyDescent="0.3">
      <c r="A2507" t="str">
        <f>_xlfn.XLOOKUP(GERAL[[#This Row],[Dia]],U:U,T:T,"")</f>
        <v/>
      </c>
      <c r="B2507" s="1">
        <v>46293</v>
      </c>
      <c r="C2507" t="s">
        <v>22</v>
      </c>
      <c r="D2507" s="1">
        <v>46293</v>
      </c>
      <c r="Q2507" t="s">
        <v>179</v>
      </c>
      <c r="R2507" t="str">
        <f>_xlfn.XLOOKUP(GERAL[[#This Row],[Dia]],U:U,V:V,"")</f>
        <v/>
      </c>
    </row>
    <row r="2508" spans="1:18" hidden="1" x14ac:dyDescent="0.3">
      <c r="A2508" t="str">
        <f>_xlfn.XLOOKUP(GERAL[[#This Row],[Dia]],U:U,T:T,"")</f>
        <v/>
      </c>
      <c r="B2508" s="1">
        <v>46294</v>
      </c>
      <c r="C2508" t="s">
        <v>23</v>
      </c>
      <c r="D2508" s="1">
        <v>46294</v>
      </c>
      <c r="Q2508" t="s">
        <v>179</v>
      </c>
      <c r="R2508" t="str">
        <f>_xlfn.XLOOKUP(GERAL[[#This Row],[Dia]],U:U,V:V,"")</f>
        <v/>
      </c>
    </row>
    <row r="2509" spans="1:18" hidden="1" x14ac:dyDescent="0.3">
      <c r="A2509" t="str">
        <f>_xlfn.XLOOKUP(GERAL[[#This Row],[Dia]],U:U,T:T,"")</f>
        <v/>
      </c>
      <c r="B2509" s="1">
        <v>46295</v>
      </c>
      <c r="C2509" t="s">
        <v>24</v>
      </c>
      <c r="D2509" s="1">
        <v>46295</v>
      </c>
      <c r="Q2509" t="s">
        <v>179</v>
      </c>
      <c r="R2509" t="str">
        <f>_xlfn.XLOOKUP(GERAL[[#This Row],[Dia]],U:U,V:V,"")</f>
        <v/>
      </c>
    </row>
    <row r="2510" spans="1:18" hidden="1" x14ac:dyDescent="0.3">
      <c r="A2510" t="str">
        <f>_xlfn.XLOOKUP(GERAL[[#This Row],[Dia]],U:U,T:T,"")</f>
        <v/>
      </c>
      <c r="B2510" s="1">
        <v>46296</v>
      </c>
      <c r="C2510" t="s">
        <v>25</v>
      </c>
      <c r="D2510" s="1">
        <v>46296</v>
      </c>
      <c r="Q2510" t="s">
        <v>179</v>
      </c>
      <c r="R2510" t="str">
        <f>_xlfn.XLOOKUP(GERAL[[#This Row],[Dia]],U:U,V:V,"")</f>
        <v/>
      </c>
    </row>
    <row r="2511" spans="1:18" hidden="1" x14ac:dyDescent="0.3">
      <c r="A2511" t="str">
        <f>_xlfn.XLOOKUP(GERAL[[#This Row],[Dia]],U:U,T:T,"")</f>
        <v/>
      </c>
      <c r="B2511" s="1">
        <v>46297</v>
      </c>
      <c r="C2511" t="s">
        <v>26</v>
      </c>
      <c r="D2511" s="1">
        <v>46297</v>
      </c>
      <c r="Q2511" t="s">
        <v>179</v>
      </c>
      <c r="R2511" t="str">
        <f>_xlfn.XLOOKUP(GERAL[[#This Row],[Dia]],U:U,V:V,"")</f>
        <v/>
      </c>
    </row>
    <row r="2512" spans="1:18" hidden="1" x14ac:dyDescent="0.3">
      <c r="A2512" t="str">
        <f>_xlfn.XLOOKUP(GERAL[[#This Row],[Dia]],U:U,T:T,"")</f>
        <v/>
      </c>
      <c r="B2512" s="1">
        <v>46298</v>
      </c>
      <c r="C2512" t="s">
        <v>16</v>
      </c>
      <c r="D2512" s="1">
        <v>46298</v>
      </c>
      <c r="E2512" t="s">
        <v>17</v>
      </c>
      <c r="Q2512" t="s">
        <v>179</v>
      </c>
      <c r="R2512" t="str">
        <f>_xlfn.XLOOKUP(GERAL[[#This Row],[Dia]],U:U,V:V,"")</f>
        <v/>
      </c>
    </row>
    <row r="2513" spans="1:18" hidden="1" x14ac:dyDescent="0.3">
      <c r="A2513" t="str">
        <f>_xlfn.XLOOKUP(GERAL[[#This Row],[Dia]],U:U,T:T,"")</f>
        <v/>
      </c>
      <c r="B2513" s="1">
        <v>46299</v>
      </c>
      <c r="C2513" t="s">
        <v>21</v>
      </c>
      <c r="D2513" s="1">
        <v>46299</v>
      </c>
      <c r="E2513" t="s">
        <v>17</v>
      </c>
      <c r="Q2513" t="s">
        <v>179</v>
      </c>
      <c r="R2513" t="str">
        <f>_xlfn.XLOOKUP(GERAL[[#This Row],[Dia]],U:U,V:V,"")</f>
        <v/>
      </c>
    </row>
    <row r="2514" spans="1:18" hidden="1" x14ac:dyDescent="0.3">
      <c r="A2514" t="str">
        <f>_xlfn.XLOOKUP(GERAL[[#This Row],[Dia]],U:U,T:T,"")</f>
        <v/>
      </c>
      <c r="B2514" s="1">
        <v>46300</v>
      </c>
      <c r="C2514" t="s">
        <v>22</v>
      </c>
      <c r="D2514" s="1">
        <v>46300</v>
      </c>
      <c r="Q2514" t="s">
        <v>179</v>
      </c>
      <c r="R2514" t="str">
        <f>_xlfn.XLOOKUP(GERAL[[#This Row],[Dia]],U:U,V:V,"")</f>
        <v/>
      </c>
    </row>
    <row r="2515" spans="1:18" hidden="1" x14ac:dyDescent="0.3">
      <c r="A2515" t="str">
        <f>_xlfn.XLOOKUP(GERAL[[#This Row],[Dia]],U:U,T:T,"")</f>
        <v/>
      </c>
      <c r="B2515" s="1">
        <v>46301</v>
      </c>
      <c r="C2515" t="s">
        <v>23</v>
      </c>
      <c r="D2515" s="1">
        <v>46301</v>
      </c>
      <c r="Q2515" t="s">
        <v>179</v>
      </c>
      <c r="R2515" t="str">
        <f>_xlfn.XLOOKUP(GERAL[[#This Row],[Dia]],U:U,V:V,"")</f>
        <v/>
      </c>
    </row>
    <row r="2516" spans="1:18" hidden="1" x14ac:dyDescent="0.3">
      <c r="A2516" t="str">
        <f>_xlfn.XLOOKUP(GERAL[[#This Row],[Dia]],U:U,T:T,"")</f>
        <v/>
      </c>
      <c r="B2516" s="1">
        <v>46302</v>
      </c>
      <c r="C2516" t="s">
        <v>24</v>
      </c>
      <c r="D2516" s="1">
        <v>46302</v>
      </c>
      <c r="Q2516" t="s">
        <v>179</v>
      </c>
      <c r="R2516" t="str">
        <f>_xlfn.XLOOKUP(GERAL[[#This Row],[Dia]],U:U,V:V,"")</f>
        <v/>
      </c>
    </row>
    <row r="2517" spans="1:18" hidden="1" x14ac:dyDescent="0.3">
      <c r="A2517" t="str">
        <f>_xlfn.XLOOKUP(GERAL[[#This Row],[Dia]],U:U,T:T,"")</f>
        <v/>
      </c>
      <c r="B2517" s="1">
        <v>46303</v>
      </c>
      <c r="C2517" t="s">
        <v>25</v>
      </c>
      <c r="D2517" s="1">
        <v>46303</v>
      </c>
      <c r="Q2517" t="s">
        <v>179</v>
      </c>
      <c r="R2517" t="str">
        <f>_xlfn.XLOOKUP(GERAL[[#This Row],[Dia]],U:U,V:V,"")</f>
        <v/>
      </c>
    </row>
    <row r="2518" spans="1:18" hidden="1" x14ac:dyDescent="0.3">
      <c r="A2518" t="str">
        <f>_xlfn.XLOOKUP(GERAL[[#This Row],[Dia]],U:U,T:T,"")</f>
        <v/>
      </c>
      <c r="B2518" s="1">
        <v>46304</v>
      </c>
      <c r="C2518" t="s">
        <v>26</v>
      </c>
      <c r="D2518" s="1">
        <v>46304</v>
      </c>
      <c r="Q2518" t="s">
        <v>179</v>
      </c>
      <c r="R2518" t="str">
        <f>_xlfn.XLOOKUP(GERAL[[#This Row],[Dia]],U:U,V:V,"")</f>
        <v/>
      </c>
    </row>
    <row r="2519" spans="1:18" hidden="1" x14ac:dyDescent="0.3">
      <c r="A2519" t="str">
        <f>_xlfn.XLOOKUP(GERAL[[#This Row],[Dia]],U:U,T:T,"")</f>
        <v/>
      </c>
      <c r="B2519" s="1">
        <v>46305</v>
      </c>
      <c r="C2519" t="s">
        <v>16</v>
      </c>
      <c r="D2519" s="1">
        <v>46305</v>
      </c>
      <c r="E2519" t="s">
        <v>17</v>
      </c>
      <c r="Q2519" t="s">
        <v>179</v>
      </c>
      <c r="R2519" t="str">
        <f>_xlfn.XLOOKUP(GERAL[[#This Row],[Dia]],U:U,V:V,"")</f>
        <v/>
      </c>
    </row>
    <row r="2520" spans="1:18" hidden="1" x14ac:dyDescent="0.3">
      <c r="A2520" t="str">
        <f>_xlfn.XLOOKUP(GERAL[[#This Row],[Dia]],U:U,T:T,"")</f>
        <v/>
      </c>
      <c r="B2520" s="1">
        <v>46306</v>
      </c>
      <c r="C2520" t="s">
        <v>21</v>
      </c>
      <c r="D2520" s="1">
        <v>46306</v>
      </c>
      <c r="E2520" t="s">
        <v>17</v>
      </c>
      <c r="Q2520" t="s">
        <v>179</v>
      </c>
      <c r="R2520" t="str">
        <f>_xlfn.XLOOKUP(GERAL[[#This Row],[Dia]],U:U,V:V,"")</f>
        <v/>
      </c>
    </row>
    <row r="2521" spans="1:18" hidden="1" x14ac:dyDescent="0.3">
      <c r="A2521" t="str">
        <f>_xlfn.XLOOKUP(GERAL[[#This Row],[Dia]],U:U,T:T,"")</f>
        <v/>
      </c>
      <c r="B2521" s="1">
        <v>46307</v>
      </c>
      <c r="C2521" t="s">
        <v>22</v>
      </c>
      <c r="D2521" s="1">
        <v>46307</v>
      </c>
      <c r="Q2521" t="s">
        <v>179</v>
      </c>
      <c r="R2521" t="str">
        <f>_xlfn.XLOOKUP(GERAL[[#This Row],[Dia]],U:U,V:V,"")</f>
        <v/>
      </c>
    </row>
    <row r="2522" spans="1:18" hidden="1" x14ac:dyDescent="0.3">
      <c r="A2522" t="str">
        <f>_xlfn.XLOOKUP(GERAL[[#This Row],[Dia]],U:U,T:T,"")</f>
        <v/>
      </c>
      <c r="B2522" s="1">
        <v>46308</v>
      </c>
      <c r="C2522" t="s">
        <v>23</v>
      </c>
      <c r="D2522" s="1">
        <v>46308</v>
      </c>
      <c r="Q2522" t="s">
        <v>179</v>
      </c>
      <c r="R2522" t="str">
        <f>_xlfn.XLOOKUP(GERAL[[#This Row],[Dia]],U:U,V:V,"")</f>
        <v/>
      </c>
    </row>
    <row r="2523" spans="1:18" hidden="1" x14ac:dyDescent="0.3">
      <c r="A2523" t="str">
        <f>_xlfn.XLOOKUP(GERAL[[#This Row],[Dia]],U:U,T:T,"")</f>
        <v/>
      </c>
      <c r="B2523" s="1">
        <v>46309</v>
      </c>
      <c r="C2523" t="s">
        <v>24</v>
      </c>
      <c r="D2523" s="1">
        <v>46309</v>
      </c>
      <c r="Q2523" t="s">
        <v>179</v>
      </c>
      <c r="R2523" t="str">
        <f>_xlfn.XLOOKUP(GERAL[[#This Row],[Dia]],U:U,V:V,"")</f>
        <v/>
      </c>
    </row>
    <row r="2524" spans="1:18" hidden="1" x14ac:dyDescent="0.3">
      <c r="A2524" t="str">
        <f>_xlfn.XLOOKUP(GERAL[[#This Row],[Dia]],U:U,T:T,"")</f>
        <v/>
      </c>
      <c r="B2524" s="1">
        <v>46310</v>
      </c>
      <c r="C2524" t="s">
        <v>25</v>
      </c>
      <c r="D2524" s="1">
        <v>46310</v>
      </c>
      <c r="Q2524" t="s">
        <v>179</v>
      </c>
      <c r="R2524" t="str">
        <f>_xlfn.XLOOKUP(GERAL[[#This Row],[Dia]],U:U,V:V,"")</f>
        <v/>
      </c>
    </row>
    <row r="2525" spans="1:18" hidden="1" x14ac:dyDescent="0.3">
      <c r="A2525" t="str">
        <f>_xlfn.XLOOKUP(GERAL[[#This Row],[Dia]],U:U,T:T,"")</f>
        <v/>
      </c>
      <c r="B2525" s="1">
        <v>46311</v>
      </c>
      <c r="C2525" t="s">
        <v>26</v>
      </c>
      <c r="D2525" s="1">
        <v>46311</v>
      </c>
      <c r="Q2525" t="s">
        <v>179</v>
      </c>
      <c r="R2525" t="str">
        <f>_xlfn.XLOOKUP(GERAL[[#This Row],[Dia]],U:U,V:V,"")</f>
        <v/>
      </c>
    </row>
    <row r="2526" spans="1:18" hidden="1" x14ac:dyDescent="0.3">
      <c r="A2526" t="str">
        <f>_xlfn.XLOOKUP(GERAL[[#This Row],[Dia]],U:U,T:T,"")</f>
        <v/>
      </c>
      <c r="B2526" s="1">
        <v>46312</v>
      </c>
      <c r="C2526" t="s">
        <v>16</v>
      </c>
      <c r="D2526" s="1">
        <v>46312</v>
      </c>
      <c r="E2526" t="s">
        <v>17</v>
      </c>
      <c r="Q2526" t="s">
        <v>179</v>
      </c>
      <c r="R2526" t="str">
        <f>_xlfn.XLOOKUP(GERAL[[#This Row],[Dia]],U:U,V:V,"")</f>
        <v/>
      </c>
    </row>
    <row r="2527" spans="1:18" hidden="1" x14ac:dyDescent="0.3">
      <c r="A2527" t="str">
        <f>_xlfn.XLOOKUP(GERAL[[#This Row],[Dia]],U:U,T:T,"")</f>
        <v/>
      </c>
      <c r="B2527" s="1">
        <v>46313</v>
      </c>
      <c r="C2527" t="s">
        <v>21</v>
      </c>
      <c r="D2527" s="1">
        <v>46313</v>
      </c>
      <c r="E2527" t="s">
        <v>17</v>
      </c>
      <c r="Q2527" t="s">
        <v>179</v>
      </c>
      <c r="R2527" t="str">
        <f>_xlfn.XLOOKUP(GERAL[[#This Row],[Dia]],U:U,V:V,"")</f>
        <v/>
      </c>
    </row>
    <row r="2528" spans="1:18" hidden="1" x14ac:dyDescent="0.3">
      <c r="A2528" t="str">
        <f>_xlfn.XLOOKUP(GERAL[[#This Row],[Dia]],U:U,T:T,"")</f>
        <v/>
      </c>
      <c r="B2528" s="1">
        <v>46314</v>
      </c>
      <c r="C2528" t="s">
        <v>22</v>
      </c>
      <c r="D2528" s="1">
        <v>46314</v>
      </c>
      <c r="Q2528" t="s">
        <v>179</v>
      </c>
      <c r="R2528" t="str">
        <f>_xlfn.XLOOKUP(GERAL[[#This Row],[Dia]],U:U,V:V,"")</f>
        <v/>
      </c>
    </row>
    <row r="2529" spans="1:18" hidden="1" x14ac:dyDescent="0.3">
      <c r="A2529" t="str">
        <f>_xlfn.XLOOKUP(GERAL[[#This Row],[Dia]],U:U,T:T,"")</f>
        <v/>
      </c>
      <c r="B2529" s="1">
        <v>46315</v>
      </c>
      <c r="C2529" t="s">
        <v>23</v>
      </c>
      <c r="D2529" s="1">
        <v>46315</v>
      </c>
      <c r="Q2529" t="s">
        <v>179</v>
      </c>
      <c r="R2529" t="str">
        <f>_xlfn.XLOOKUP(GERAL[[#This Row],[Dia]],U:U,V:V,"")</f>
        <v/>
      </c>
    </row>
    <row r="2530" spans="1:18" hidden="1" x14ac:dyDescent="0.3">
      <c r="A2530" t="str">
        <f>_xlfn.XLOOKUP(GERAL[[#This Row],[Dia]],U:U,T:T,"")</f>
        <v/>
      </c>
      <c r="B2530" s="1">
        <v>46316</v>
      </c>
      <c r="C2530" t="s">
        <v>24</v>
      </c>
      <c r="D2530" s="1">
        <v>46316</v>
      </c>
      <c r="Q2530" t="s">
        <v>179</v>
      </c>
      <c r="R2530" t="str">
        <f>_xlfn.XLOOKUP(GERAL[[#This Row],[Dia]],U:U,V:V,"")</f>
        <v/>
      </c>
    </row>
    <row r="2531" spans="1:18" hidden="1" x14ac:dyDescent="0.3">
      <c r="A2531" t="str">
        <f>_xlfn.XLOOKUP(GERAL[[#This Row],[Dia]],U:U,T:T,"")</f>
        <v/>
      </c>
      <c r="B2531" s="1">
        <v>46317</v>
      </c>
      <c r="C2531" t="s">
        <v>25</v>
      </c>
      <c r="D2531" s="1">
        <v>46317</v>
      </c>
      <c r="Q2531" t="s">
        <v>179</v>
      </c>
      <c r="R2531" t="str">
        <f>_xlfn.XLOOKUP(GERAL[[#This Row],[Dia]],U:U,V:V,"")</f>
        <v/>
      </c>
    </row>
    <row r="2532" spans="1:18" hidden="1" x14ac:dyDescent="0.3">
      <c r="A2532" t="str">
        <f>_xlfn.XLOOKUP(GERAL[[#This Row],[Dia]],U:U,T:T,"")</f>
        <v/>
      </c>
      <c r="B2532" s="1">
        <v>46318</v>
      </c>
      <c r="C2532" t="s">
        <v>26</v>
      </c>
      <c r="D2532" s="1">
        <v>46318</v>
      </c>
      <c r="Q2532" t="s">
        <v>179</v>
      </c>
      <c r="R2532" t="str">
        <f>_xlfn.XLOOKUP(GERAL[[#This Row],[Dia]],U:U,V:V,"")</f>
        <v/>
      </c>
    </row>
    <row r="2533" spans="1:18" hidden="1" x14ac:dyDescent="0.3">
      <c r="A2533" t="str">
        <f>_xlfn.XLOOKUP(GERAL[[#This Row],[Dia]],U:U,T:T,"")</f>
        <v/>
      </c>
      <c r="B2533" s="1">
        <v>46319</v>
      </c>
      <c r="C2533" t="s">
        <v>16</v>
      </c>
      <c r="D2533" s="1">
        <v>46319</v>
      </c>
      <c r="E2533" t="s">
        <v>17</v>
      </c>
      <c r="Q2533" t="s">
        <v>179</v>
      </c>
      <c r="R2533" t="str">
        <f>_xlfn.XLOOKUP(GERAL[[#This Row],[Dia]],U:U,V:V,"")</f>
        <v/>
      </c>
    </row>
    <row r="2534" spans="1:18" hidden="1" x14ac:dyDescent="0.3">
      <c r="A2534" t="str">
        <f>_xlfn.XLOOKUP(GERAL[[#This Row],[Dia]],U:U,T:T,"")</f>
        <v/>
      </c>
      <c r="B2534" s="1">
        <v>46320</v>
      </c>
      <c r="C2534" t="s">
        <v>21</v>
      </c>
      <c r="D2534" s="1">
        <v>46320</v>
      </c>
      <c r="E2534" t="s">
        <v>17</v>
      </c>
      <c r="Q2534" t="s">
        <v>179</v>
      </c>
      <c r="R2534" t="str">
        <f>_xlfn.XLOOKUP(GERAL[[#This Row],[Dia]],U:U,V:V,"")</f>
        <v/>
      </c>
    </row>
    <row r="2535" spans="1:18" hidden="1" x14ac:dyDescent="0.3">
      <c r="A2535" t="str">
        <f>_xlfn.XLOOKUP(GERAL[[#This Row],[Dia]],U:U,T:T,"")</f>
        <v/>
      </c>
      <c r="B2535" s="1">
        <v>46321</v>
      </c>
      <c r="C2535" t="s">
        <v>22</v>
      </c>
      <c r="D2535" s="1">
        <v>46321</v>
      </c>
      <c r="Q2535" t="s">
        <v>179</v>
      </c>
      <c r="R2535" t="str">
        <f>_xlfn.XLOOKUP(GERAL[[#This Row],[Dia]],U:U,V:V,"")</f>
        <v/>
      </c>
    </row>
    <row r="2536" spans="1:18" hidden="1" x14ac:dyDescent="0.3">
      <c r="A2536" t="str">
        <f>_xlfn.XLOOKUP(GERAL[[#This Row],[Dia]],U:U,T:T,"")</f>
        <v/>
      </c>
      <c r="B2536" s="1">
        <v>46322</v>
      </c>
      <c r="C2536" t="s">
        <v>23</v>
      </c>
      <c r="D2536" s="1">
        <v>46322</v>
      </c>
      <c r="Q2536" t="s">
        <v>179</v>
      </c>
      <c r="R2536" t="str">
        <f>_xlfn.XLOOKUP(GERAL[[#This Row],[Dia]],U:U,V:V,"")</f>
        <v/>
      </c>
    </row>
    <row r="2537" spans="1:18" hidden="1" x14ac:dyDescent="0.3">
      <c r="A2537" t="str">
        <f>_xlfn.XLOOKUP(GERAL[[#This Row],[Dia]],U:U,T:T,"")</f>
        <v/>
      </c>
      <c r="B2537" s="1">
        <v>46323</v>
      </c>
      <c r="C2537" t="s">
        <v>24</v>
      </c>
      <c r="D2537" s="1">
        <v>46323</v>
      </c>
      <c r="Q2537" t="s">
        <v>179</v>
      </c>
      <c r="R2537" t="str">
        <f>_xlfn.XLOOKUP(GERAL[[#This Row],[Dia]],U:U,V:V,"")</f>
        <v/>
      </c>
    </row>
    <row r="2538" spans="1:18" hidden="1" x14ac:dyDescent="0.3">
      <c r="A2538" t="str">
        <f>_xlfn.XLOOKUP(GERAL[[#This Row],[Dia]],U:U,T:T,"")</f>
        <v/>
      </c>
      <c r="B2538" s="1">
        <v>46324</v>
      </c>
      <c r="C2538" t="s">
        <v>25</v>
      </c>
      <c r="D2538" s="1">
        <v>46324</v>
      </c>
      <c r="Q2538" t="s">
        <v>179</v>
      </c>
      <c r="R2538" t="str">
        <f>_xlfn.XLOOKUP(GERAL[[#This Row],[Dia]],U:U,V:V,"")</f>
        <v/>
      </c>
    </row>
    <row r="2539" spans="1:18" hidden="1" x14ac:dyDescent="0.3">
      <c r="A2539" t="str">
        <f>_xlfn.XLOOKUP(GERAL[[#This Row],[Dia]],U:U,T:T,"")</f>
        <v/>
      </c>
      <c r="B2539" s="1">
        <v>46325</v>
      </c>
      <c r="C2539" t="s">
        <v>26</v>
      </c>
      <c r="D2539" s="1">
        <v>46325</v>
      </c>
      <c r="Q2539" t="s">
        <v>179</v>
      </c>
      <c r="R2539" t="str">
        <f>_xlfn.XLOOKUP(GERAL[[#This Row],[Dia]],U:U,V:V,"")</f>
        <v/>
      </c>
    </row>
    <row r="2540" spans="1:18" hidden="1" x14ac:dyDescent="0.3">
      <c r="A2540" t="str">
        <f>_xlfn.XLOOKUP(GERAL[[#This Row],[Dia]],U:U,T:T,"")</f>
        <v/>
      </c>
      <c r="B2540" s="1">
        <v>46326</v>
      </c>
      <c r="C2540" t="s">
        <v>16</v>
      </c>
      <c r="D2540" s="1">
        <v>46326</v>
      </c>
      <c r="E2540" t="s">
        <v>17</v>
      </c>
      <c r="Q2540" t="s">
        <v>179</v>
      </c>
      <c r="R2540" t="str">
        <f>_xlfn.XLOOKUP(GERAL[[#This Row],[Dia]],U:U,V:V,"")</f>
        <v/>
      </c>
    </row>
    <row r="2541" spans="1:18" hidden="1" x14ac:dyDescent="0.3">
      <c r="A2541" t="str">
        <f>_xlfn.XLOOKUP(GERAL[[#This Row],[Dia]],U:U,T:T,"")</f>
        <v/>
      </c>
      <c r="B2541" s="1">
        <v>46327</v>
      </c>
      <c r="C2541" t="s">
        <v>21</v>
      </c>
      <c r="D2541" s="1">
        <v>46327</v>
      </c>
      <c r="E2541" t="s">
        <v>17</v>
      </c>
      <c r="Q2541" t="s">
        <v>179</v>
      </c>
      <c r="R2541" t="str">
        <f>_xlfn.XLOOKUP(GERAL[[#This Row],[Dia]],U:U,V:V,"")</f>
        <v/>
      </c>
    </row>
    <row r="2542" spans="1:18" hidden="1" x14ac:dyDescent="0.3">
      <c r="A2542" t="str">
        <f>_xlfn.XLOOKUP(GERAL[[#This Row],[Dia]],U:U,T:T,"")</f>
        <v/>
      </c>
      <c r="B2542" s="1">
        <v>46328</v>
      </c>
      <c r="C2542" t="s">
        <v>22</v>
      </c>
      <c r="D2542" s="1">
        <v>46328</v>
      </c>
      <c r="Q2542" t="s">
        <v>179</v>
      </c>
      <c r="R2542" t="str">
        <f>_xlfn.XLOOKUP(GERAL[[#This Row],[Dia]],U:U,V:V,"")</f>
        <v/>
      </c>
    </row>
    <row r="2543" spans="1:18" hidden="1" x14ac:dyDescent="0.3">
      <c r="A2543" t="str">
        <f>_xlfn.XLOOKUP(GERAL[[#This Row],[Dia]],U:U,T:T,"")</f>
        <v/>
      </c>
      <c r="B2543" s="1">
        <v>46329</v>
      </c>
      <c r="C2543" t="s">
        <v>23</v>
      </c>
      <c r="D2543" s="1">
        <v>46329</v>
      </c>
      <c r="Q2543" t="s">
        <v>179</v>
      </c>
      <c r="R2543" t="str">
        <f>_xlfn.XLOOKUP(GERAL[[#This Row],[Dia]],U:U,V:V,"")</f>
        <v/>
      </c>
    </row>
    <row r="2544" spans="1:18" hidden="1" x14ac:dyDescent="0.3">
      <c r="A2544" t="str">
        <f>_xlfn.XLOOKUP(GERAL[[#This Row],[Dia]],U:U,T:T,"")</f>
        <v/>
      </c>
      <c r="B2544" s="1">
        <v>46330</v>
      </c>
      <c r="C2544" t="s">
        <v>24</v>
      </c>
      <c r="D2544" s="1">
        <v>46330</v>
      </c>
      <c r="Q2544" t="s">
        <v>179</v>
      </c>
      <c r="R2544" t="str">
        <f>_xlfn.XLOOKUP(GERAL[[#This Row],[Dia]],U:U,V:V,"")</f>
        <v/>
      </c>
    </row>
    <row r="2545" spans="1:18" hidden="1" x14ac:dyDescent="0.3">
      <c r="A2545" t="str">
        <f>_xlfn.XLOOKUP(GERAL[[#This Row],[Dia]],U:U,T:T,"")</f>
        <v/>
      </c>
      <c r="B2545" s="1">
        <v>46331</v>
      </c>
      <c r="C2545" t="s">
        <v>25</v>
      </c>
      <c r="D2545" s="1">
        <v>46331</v>
      </c>
      <c r="Q2545" t="s">
        <v>179</v>
      </c>
      <c r="R2545" t="str">
        <f>_xlfn.XLOOKUP(GERAL[[#This Row],[Dia]],U:U,V:V,"")</f>
        <v/>
      </c>
    </row>
    <row r="2546" spans="1:18" hidden="1" x14ac:dyDescent="0.3">
      <c r="A2546" t="str">
        <f>_xlfn.XLOOKUP(GERAL[[#This Row],[Dia]],U:U,T:T,"")</f>
        <v/>
      </c>
      <c r="B2546" s="1">
        <v>46332</v>
      </c>
      <c r="C2546" t="s">
        <v>26</v>
      </c>
      <c r="D2546" s="1">
        <v>46332</v>
      </c>
      <c r="Q2546" t="s">
        <v>179</v>
      </c>
      <c r="R2546" t="str">
        <f>_xlfn.XLOOKUP(GERAL[[#This Row],[Dia]],U:U,V:V,"")</f>
        <v/>
      </c>
    </row>
    <row r="2547" spans="1:18" hidden="1" x14ac:dyDescent="0.3">
      <c r="A2547" t="str">
        <f>_xlfn.XLOOKUP(GERAL[[#This Row],[Dia]],U:U,T:T,"")</f>
        <v/>
      </c>
      <c r="B2547" s="1">
        <v>46333</v>
      </c>
      <c r="C2547" t="s">
        <v>16</v>
      </c>
      <c r="D2547" s="1">
        <v>46333</v>
      </c>
      <c r="E2547" t="s">
        <v>17</v>
      </c>
      <c r="Q2547" t="s">
        <v>179</v>
      </c>
      <c r="R2547" t="str">
        <f>_xlfn.XLOOKUP(GERAL[[#This Row],[Dia]],U:U,V:V,"")</f>
        <v/>
      </c>
    </row>
    <row r="2548" spans="1:18" hidden="1" x14ac:dyDescent="0.3">
      <c r="A2548" t="str">
        <f>_xlfn.XLOOKUP(GERAL[[#This Row],[Dia]],U:U,T:T,"")</f>
        <v/>
      </c>
      <c r="B2548" s="1">
        <v>46334</v>
      </c>
      <c r="C2548" t="s">
        <v>21</v>
      </c>
      <c r="D2548" s="1">
        <v>46334</v>
      </c>
      <c r="E2548" t="s">
        <v>17</v>
      </c>
      <c r="Q2548" t="s">
        <v>179</v>
      </c>
      <c r="R2548" t="str">
        <f>_xlfn.XLOOKUP(GERAL[[#This Row],[Dia]],U:U,V:V,"")</f>
        <v/>
      </c>
    </row>
    <row r="2549" spans="1:18" hidden="1" x14ac:dyDescent="0.3">
      <c r="A2549" t="str">
        <f>_xlfn.XLOOKUP(GERAL[[#This Row],[Dia]],U:U,T:T,"")</f>
        <v/>
      </c>
      <c r="B2549" s="1">
        <v>46335</v>
      </c>
      <c r="C2549" t="s">
        <v>22</v>
      </c>
      <c r="D2549" s="1">
        <v>46335</v>
      </c>
      <c r="Q2549" t="s">
        <v>179</v>
      </c>
      <c r="R2549" t="str">
        <f>_xlfn.XLOOKUP(GERAL[[#This Row],[Dia]],U:U,V:V,"")</f>
        <v/>
      </c>
    </row>
    <row r="2550" spans="1:18" hidden="1" x14ac:dyDescent="0.3">
      <c r="A2550" t="str">
        <f>_xlfn.XLOOKUP(GERAL[[#This Row],[Dia]],U:U,T:T,"")</f>
        <v/>
      </c>
      <c r="B2550" s="1">
        <v>46336</v>
      </c>
      <c r="C2550" t="s">
        <v>23</v>
      </c>
      <c r="D2550" s="1">
        <v>46336</v>
      </c>
      <c r="Q2550" t="s">
        <v>179</v>
      </c>
      <c r="R2550" t="str">
        <f>_xlfn.XLOOKUP(GERAL[[#This Row],[Dia]],U:U,V:V,"")</f>
        <v/>
      </c>
    </row>
    <row r="2551" spans="1:18" hidden="1" x14ac:dyDescent="0.3">
      <c r="A2551" t="str">
        <f>_xlfn.XLOOKUP(GERAL[[#This Row],[Dia]],U:U,T:T,"")</f>
        <v/>
      </c>
      <c r="B2551" s="1">
        <v>46337</v>
      </c>
      <c r="C2551" t="s">
        <v>24</v>
      </c>
      <c r="D2551" s="1">
        <v>46337</v>
      </c>
      <c r="Q2551" t="s">
        <v>179</v>
      </c>
      <c r="R2551" t="str">
        <f>_xlfn.XLOOKUP(GERAL[[#This Row],[Dia]],U:U,V:V,"")</f>
        <v/>
      </c>
    </row>
    <row r="2552" spans="1:18" hidden="1" x14ac:dyDescent="0.3">
      <c r="A2552" t="str">
        <f>_xlfn.XLOOKUP(GERAL[[#This Row],[Dia]],U:U,T:T,"")</f>
        <v/>
      </c>
      <c r="B2552" s="1">
        <v>46338</v>
      </c>
      <c r="C2552" t="s">
        <v>25</v>
      </c>
      <c r="D2552" s="1">
        <v>46338</v>
      </c>
      <c r="Q2552" t="s">
        <v>179</v>
      </c>
      <c r="R2552" t="str">
        <f>_xlfn.XLOOKUP(GERAL[[#This Row],[Dia]],U:U,V:V,"")</f>
        <v/>
      </c>
    </row>
    <row r="2553" spans="1:18" hidden="1" x14ac:dyDescent="0.3">
      <c r="A2553" t="str">
        <f>_xlfn.XLOOKUP(GERAL[[#This Row],[Dia]],U:U,T:T,"")</f>
        <v/>
      </c>
      <c r="B2553" s="1">
        <v>46339</v>
      </c>
      <c r="C2553" t="s">
        <v>26</v>
      </c>
      <c r="D2553" s="1">
        <v>46339</v>
      </c>
      <c r="Q2553" t="s">
        <v>179</v>
      </c>
      <c r="R2553" t="str">
        <f>_xlfn.XLOOKUP(GERAL[[#This Row],[Dia]],U:U,V:V,"")</f>
        <v/>
      </c>
    </row>
    <row r="2554" spans="1:18" hidden="1" x14ac:dyDescent="0.3">
      <c r="A2554" t="str">
        <f>_xlfn.XLOOKUP(GERAL[[#This Row],[Dia]],U:U,T:T,"")</f>
        <v/>
      </c>
      <c r="B2554" s="1">
        <v>46340</v>
      </c>
      <c r="C2554" t="s">
        <v>16</v>
      </c>
      <c r="D2554" s="1">
        <v>46340</v>
      </c>
      <c r="E2554" t="s">
        <v>17</v>
      </c>
      <c r="Q2554" t="s">
        <v>179</v>
      </c>
      <c r="R2554" t="str">
        <f>_xlfn.XLOOKUP(GERAL[[#This Row],[Dia]],U:U,V:V,"")</f>
        <v/>
      </c>
    </row>
    <row r="2555" spans="1:18" hidden="1" x14ac:dyDescent="0.3">
      <c r="A2555" t="str">
        <f>_xlfn.XLOOKUP(GERAL[[#This Row],[Dia]],U:U,T:T,"")</f>
        <v/>
      </c>
      <c r="B2555" s="1">
        <v>46341</v>
      </c>
      <c r="C2555" t="s">
        <v>21</v>
      </c>
      <c r="D2555" s="1">
        <v>46341</v>
      </c>
      <c r="E2555" t="s">
        <v>17</v>
      </c>
      <c r="Q2555" t="s">
        <v>179</v>
      </c>
      <c r="R2555" t="str">
        <f>_xlfn.XLOOKUP(GERAL[[#This Row],[Dia]],U:U,V:V,"")</f>
        <v/>
      </c>
    </row>
    <row r="2556" spans="1:18" hidden="1" x14ac:dyDescent="0.3">
      <c r="A2556" t="str">
        <f>_xlfn.XLOOKUP(GERAL[[#This Row],[Dia]],U:U,T:T,"")</f>
        <v/>
      </c>
      <c r="B2556" s="1">
        <v>46342</v>
      </c>
      <c r="C2556" t="s">
        <v>22</v>
      </c>
      <c r="D2556" s="1">
        <v>46342</v>
      </c>
      <c r="Q2556" t="s">
        <v>179</v>
      </c>
      <c r="R2556" t="str">
        <f>_xlfn.XLOOKUP(GERAL[[#This Row],[Dia]],U:U,V:V,"")</f>
        <v/>
      </c>
    </row>
    <row r="2557" spans="1:18" hidden="1" x14ac:dyDescent="0.3">
      <c r="A2557" t="str">
        <f>_xlfn.XLOOKUP(GERAL[[#This Row],[Dia]],U:U,T:T,"")</f>
        <v/>
      </c>
      <c r="B2557" s="1">
        <v>46343</v>
      </c>
      <c r="C2557" t="s">
        <v>23</v>
      </c>
      <c r="D2557" s="1">
        <v>46343</v>
      </c>
      <c r="Q2557" t="s">
        <v>179</v>
      </c>
      <c r="R2557" t="str">
        <f>_xlfn.XLOOKUP(GERAL[[#This Row],[Dia]],U:U,V:V,"")</f>
        <v/>
      </c>
    </row>
    <row r="2558" spans="1:18" hidden="1" x14ac:dyDescent="0.3">
      <c r="A2558" t="str">
        <f>_xlfn.XLOOKUP(GERAL[[#This Row],[Dia]],U:U,T:T,"")</f>
        <v/>
      </c>
      <c r="B2558" s="1">
        <v>46344</v>
      </c>
      <c r="C2558" t="s">
        <v>24</v>
      </c>
      <c r="D2558" s="1">
        <v>46344</v>
      </c>
      <c r="Q2558" t="s">
        <v>179</v>
      </c>
      <c r="R2558" t="str">
        <f>_xlfn.XLOOKUP(GERAL[[#This Row],[Dia]],U:U,V:V,"")</f>
        <v/>
      </c>
    </row>
    <row r="2559" spans="1:18" hidden="1" x14ac:dyDescent="0.3">
      <c r="A2559" t="str">
        <f>_xlfn.XLOOKUP(GERAL[[#This Row],[Dia]],U:U,T:T,"")</f>
        <v/>
      </c>
      <c r="B2559" s="1">
        <v>46345</v>
      </c>
      <c r="C2559" t="s">
        <v>25</v>
      </c>
      <c r="D2559" s="1">
        <v>46345</v>
      </c>
      <c r="Q2559" t="s">
        <v>179</v>
      </c>
      <c r="R2559" t="str">
        <f>_xlfn.XLOOKUP(GERAL[[#This Row],[Dia]],U:U,V:V,"")</f>
        <v/>
      </c>
    </row>
    <row r="2560" spans="1:18" hidden="1" x14ac:dyDescent="0.3">
      <c r="A2560" t="str">
        <f>_xlfn.XLOOKUP(GERAL[[#This Row],[Dia]],U:U,T:T,"")</f>
        <v/>
      </c>
      <c r="B2560" s="1">
        <v>46346</v>
      </c>
      <c r="C2560" t="s">
        <v>26</v>
      </c>
      <c r="D2560" s="1">
        <v>46346</v>
      </c>
      <c r="Q2560" t="s">
        <v>179</v>
      </c>
      <c r="R2560" t="str">
        <f>_xlfn.XLOOKUP(GERAL[[#This Row],[Dia]],U:U,V:V,"")</f>
        <v/>
      </c>
    </row>
    <row r="2561" spans="1:18" hidden="1" x14ac:dyDescent="0.3">
      <c r="A2561" t="str">
        <f>_xlfn.XLOOKUP(GERAL[[#This Row],[Dia]],U:U,T:T,"")</f>
        <v/>
      </c>
      <c r="B2561" s="1">
        <v>46347</v>
      </c>
      <c r="C2561" t="s">
        <v>16</v>
      </c>
      <c r="D2561" s="1">
        <v>46347</v>
      </c>
      <c r="E2561" t="s">
        <v>17</v>
      </c>
      <c r="Q2561" t="s">
        <v>179</v>
      </c>
      <c r="R2561" t="str">
        <f>_xlfn.XLOOKUP(GERAL[[#This Row],[Dia]],U:U,V:V,"")</f>
        <v/>
      </c>
    </row>
    <row r="2562" spans="1:18" hidden="1" x14ac:dyDescent="0.3">
      <c r="A2562" t="str">
        <f>_xlfn.XLOOKUP(GERAL[[#This Row],[Dia]],U:U,T:T,"")</f>
        <v/>
      </c>
      <c r="B2562" s="1">
        <v>46348</v>
      </c>
      <c r="C2562" t="s">
        <v>21</v>
      </c>
      <c r="D2562" s="1">
        <v>46348</v>
      </c>
      <c r="E2562" t="s">
        <v>17</v>
      </c>
      <c r="Q2562" t="s">
        <v>179</v>
      </c>
      <c r="R2562" t="str">
        <f>_xlfn.XLOOKUP(GERAL[[#This Row],[Dia]],U:U,V:V,"")</f>
        <v/>
      </c>
    </row>
    <row r="2563" spans="1:18" hidden="1" x14ac:dyDescent="0.3">
      <c r="A2563" t="str">
        <f>_xlfn.XLOOKUP(GERAL[[#This Row],[Dia]],U:U,T:T,"")</f>
        <v/>
      </c>
      <c r="B2563" s="1">
        <v>46349</v>
      </c>
      <c r="C2563" t="s">
        <v>22</v>
      </c>
      <c r="D2563" s="1">
        <v>46349</v>
      </c>
      <c r="Q2563" t="s">
        <v>179</v>
      </c>
      <c r="R2563" t="str">
        <f>_xlfn.XLOOKUP(GERAL[[#This Row],[Dia]],U:U,V:V,"")</f>
        <v/>
      </c>
    </row>
    <row r="2564" spans="1:18" hidden="1" x14ac:dyDescent="0.3">
      <c r="A2564" t="str">
        <f>_xlfn.XLOOKUP(GERAL[[#This Row],[Dia]],U:U,T:T,"")</f>
        <v/>
      </c>
      <c r="B2564" s="1">
        <v>46350</v>
      </c>
      <c r="C2564" t="s">
        <v>23</v>
      </c>
      <c r="D2564" s="1">
        <v>46350</v>
      </c>
      <c r="Q2564" t="s">
        <v>179</v>
      </c>
      <c r="R2564" t="str">
        <f>_xlfn.XLOOKUP(GERAL[[#This Row],[Dia]],U:U,V:V,"")</f>
        <v/>
      </c>
    </row>
    <row r="2565" spans="1:18" hidden="1" x14ac:dyDescent="0.3">
      <c r="A2565" t="str">
        <f>_xlfn.XLOOKUP(GERAL[[#This Row],[Dia]],U:U,T:T,"")</f>
        <v/>
      </c>
      <c r="B2565" s="1">
        <v>46351</v>
      </c>
      <c r="C2565" t="s">
        <v>24</v>
      </c>
      <c r="D2565" s="1">
        <v>46351</v>
      </c>
      <c r="Q2565" t="s">
        <v>179</v>
      </c>
      <c r="R2565" t="str">
        <f>_xlfn.XLOOKUP(GERAL[[#This Row],[Dia]],U:U,V:V,"")</f>
        <v/>
      </c>
    </row>
    <row r="2566" spans="1:18" hidden="1" x14ac:dyDescent="0.3">
      <c r="A2566" t="str">
        <f>_xlfn.XLOOKUP(GERAL[[#This Row],[Dia]],U:U,T:T,"")</f>
        <v/>
      </c>
      <c r="B2566" s="1">
        <v>46352</v>
      </c>
      <c r="C2566" t="s">
        <v>25</v>
      </c>
      <c r="D2566" s="1">
        <v>46352</v>
      </c>
      <c r="Q2566" t="s">
        <v>179</v>
      </c>
      <c r="R2566" t="str">
        <f>_xlfn.XLOOKUP(GERAL[[#This Row],[Dia]],U:U,V:V,"")</f>
        <v/>
      </c>
    </row>
    <row r="2567" spans="1:18" hidden="1" x14ac:dyDescent="0.3">
      <c r="A2567" t="str">
        <f>_xlfn.XLOOKUP(GERAL[[#This Row],[Dia]],U:U,T:T,"")</f>
        <v/>
      </c>
      <c r="B2567" s="1">
        <v>46353</v>
      </c>
      <c r="C2567" t="s">
        <v>26</v>
      </c>
      <c r="D2567" s="1">
        <v>46353</v>
      </c>
      <c r="Q2567" t="s">
        <v>179</v>
      </c>
      <c r="R2567" t="str">
        <f>_xlfn.XLOOKUP(GERAL[[#This Row],[Dia]],U:U,V:V,"")</f>
        <v/>
      </c>
    </row>
    <row r="2568" spans="1:18" hidden="1" x14ac:dyDescent="0.3">
      <c r="A2568" t="str">
        <f>_xlfn.XLOOKUP(GERAL[[#This Row],[Dia]],U:U,T:T,"")</f>
        <v/>
      </c>
      <c r="B2568" s="1">
        <v>46354</v>
      </c>
      <c r="C2568" t="s">
        <v>16</v>
      </c>
      <c r="D2568" s="1">
        <v>46354</v>
      </c>
      <c r="E2568" t="s">
        <v>17</v>
      </c>
      <c r="Q2568" t="s">
        <v>179</v>
      </c>
      <c r="R2568" t="str">
        <f>_xlfn.XLOOKUP(GERAL[[#This Row],[Dia]],U:U,V:V,"")</f>
        <v/>
      </c>
    </row>
    <row r="2569" spans="1:18" hidden="1" x14ac:dyDescent="0.3">
      <c r="A2569" t="str">
        <f>_xlfn.XLOOKUP(GERAL[[#This Row],[Dia]],U:U,T:T,"")</f>
        <v/>
      </c>
      <c r="B2569" s="1">
        <v>46355</v>
      </c>
      <c r="C2569" t="s">
        <v>21</v>
      </c>
      <c r="D2569" s="1">
        <v>46355</v>
      </c>
      <c r="E2569" t="s">
        <v>17</v>
      </c>
      <c r="Q2569" t="s">
        <v>179</v>
      </c>
      <c r="R2569" t="str">
        <f>_xlfn.XLOOKUP(GERAL[[#This Row],[Dia]],U:U,V:V,"")</f>
        <v/>
      </c>
    </row>
    <row r="2570" spans="1:18" hidden="1" x14ac:dyDescent="0.3">
      <c r="A2570" t="str">
        <f>_xlfn.XLOOKUP(GERAL[[#This Row],[Dia]],U:U,T:T,"")</f>
        <v/>
      </c>
      <c r="B2570" s="1">
        <v>46356</v>
      </c>
      <c r="C2570" t="s">
        <v>22</v>
      </c>
      <c r="D2570" s="1">
        <v>46356</v>
      </c>
      <c r="Q2570" t="s">
        <v>179</v>
      </c>
      <c r="R2570" t="str">
        <f>_xlfn.XLOOKUP(GERAL[[#This Row],[Dia]],U:U,V:V,"")</f>
        <v/>
      </c>
    </row>
    <row r="2571" spans="1:18" hidden="1" x14ac:dyDescent="0.3">
      <c r="A2571" t="str">
        <f>_xlfn.XLOOKUP(GERAL[[#This Row],[Dia]],U:U,T:T,"")</f>
        <v/>
      </c>
      <c r="B2571" s="1">
        <v>46357</v>
      </c>
      <c r="C2571" t="s">
        <v>23</v>
      </c>
      <c r="D2571" s="1">
        <v>46357</v>
      </c>
      <c r="Q2571" t="s">
        <v>179</v>
      </c>
      <c r="R2571" t="str">
        <f>_xlfn.XLOOKUP(GERAL[[#This Row],[Dia]],U:U,V:V,"")</f>
        <v/>
      </c>
    </row>
    <row r="2572" spans="1:18" hidden="1" x14ac:dyDescent="0.3">
      <c r="A2572" t="str">
        <f>_xlfn.XLOOKUP(GERAL[[#This Row],[Dia]],U:U,T:T,"")</f>
        <v/>
      </c>
      <c r="B2572" s="1">
        <v>46358</v>
      </c>
      <c r="C2572" t="s">
        <v>24</v>
      </c>
      <c r="D2572" s="1">
        <v>46358</v>
      </c>
      <c r="Q2572" t="s">
        <v>179</v>
      </c>
      <c r="R2572" t="str">
        <f>_xlfn.XLOOKUP(GERAL[[#This Row],[Dia]],U:U,V:V,"")</f>
        <v/>
      </c>
    </row>
    <row r="2573" spans="1:18" hidden="1" x14ac:dyDescent="0.3">
      <c r="A2573" t="str">
        <f>_xlfn.XLOOKUP(GERAL[[#This Row],[Dia]],U:U,T:T,"")</f>
        <v/>
      </c>
      <c r="B2573" s="1">
        <v>46359</v>
      </c>
      <c r="C2573" t="s">
        <v>25</v>
      </c>
      <c r="D2573" s="1">
        <v>46359</v>
      </c>
      <c r="Q2573" t="s">
        <v>179</v>
      </c>
      <c r="R2573" t="str">
        <f>_xlfn.XLOOKUP(GERAL[[#This Row],[Dia]],U:U,V:V,"")</f>
        <v/>
      </c>
    </row>
    <row r="2574" spans="1:18" hidden="1" x14ac:dyDescent="0.3">
      <c r="A2574" t="str">
        <f>_xlfn.XLOOKUP(GERAL[[#This Row],[Dia]],U:U,T:T,"")</f>
        <v/>
      </c>
      <c r="B2574" s="1">
        <v>46360</v>
      </c>
      <c r="C2574" t="s">
        <v>26</v>
      </c>
      <c r="D2574" s="1">
        <v>46360</v>
      </c>
      <c r="Q2574" t="s">
        <v>179</v>
      </c>
      <c r="R2574" t="str">
        <f>_xlfn.XLOOKUP(GERAL[[#This Row],[Dia]],U:U,V:V,"")</f>
        <v/>
      </c>
    </row>
    <row r="2575" spans="1:18" hidden="1" x14ac:dyDescent="0.3">
      <c r="A2575" t="str">
        <f>_xlfn.XLOOKUP(GERAL[[#This Row],[Dia]],U:U,T:T,"")</f>
        <v/>
      </c>
      <c r="B2575" s="1">
        <v>46361</v>
      </c>
      <c r="C2575" t="s">
        <v>16</v>
      </c>
      <c r="D2575" s="1">
        <v>46361</v>
      </c>
      <c r="E2575" t="s">
        <v>17</v>
      </c>
      <c r="Q2575" t="s">
        <v>179</v>
      </c>
      <c r="R2575" t="str">
        <f>_xlfn.XLOOKUP(GERAL[[#This Row],[Dia]],U:U,V:V,"")</f>
        <v/>
      </c>
    </row>
    <row r="2576" spans="1:18" hidden="1" x14ac:dyDescent="0.3">
      <c r="A2576" t="str">
        <f>_xlfn.XLOOKUP(GERAL[[#This Row],[Dia]],U:U,T:T,"")</f>
        <v/>
      </c>
      <c r="B2576" s="1">
        <v>46362</v>
      </c>
      <c r="C2576" t="s">
        <v>21</v>
      </c>
      <c r="D2576" s="1">
        <v>46362</v>
      </c>
      <c r="E2576" t="s">
        <v>17</v>
      </c>
      <c r="Q2576" t="s">
        <v>179</v>
      </c>
      <c r="R2576" t="str">
        <f>_xlfn.XLOOKUP(GERAL[[#This Row],[Dia]],U:U,V:V,"")</f>
        <v/>
      </c>
    </row>
    <row r="2577" spans="1:18" hidden="1" x14ac:dyDescent="0.3">
      <c r="A2577" t="str">
        <f>_xlfn.XLOOKUP(GERAL[[#This Row],[Dia]],U:U,T:T,"")</f>
        <v/>
      </c>
      <c r="B2577" s="1">
        <v>46363</v>
      </c>
      <c r="C2577" t="s">
        <v>22</v>
      </c>
      <c r="D2577" s="1">
        <v>46363</v>
      </c>
      <c r="Q2577" t="s">
        <v>179</v>
      </c>
      <c r="R2577" t="str">
        <f>_xlfn.XLOOKUP(GERAL[[#This Row],[Dia]],U:U,V:V,"")</f>
        <v/>
      </c>
    </row>
    <row r="2578" spans="1:18" hidden="1" x14ac:dyDescent="0.3">
      <c r="A2578" t="str">
        <f>_xlfn.XLOOKUP(GERAL[[#This Row],[Dia]],U:U,T:T,"")</f>
        <v/>
      </c>
      <c r="B2578" s="1">
        <v>46364</v>
      </c>
      <c r="C2578" t="s">
        <v>23</v>
      </c>
      <c r="D2578" s="1">
        <v>46364</v>
      </c>
      <c r="Q2578" t="s">
        <v>179</v>
      </c>
      <c r="R2578" t="str">
        <f>_xlfn.XLOOKUP(GERAL[[#This Row],[Dia]],U:U,V:V,"")</f>
        <v/>
      </c>
    </row>
    <row r="2579" spans="1:18" hidden="1" x14ac:dyDescent="0.3">
      <c r="A2579" t="str">
        <f>_xlfn.XLOOKUP(GERAL[[#This Row],[Dia]],U:U,T:T,"")</f>
        <v/>
      </c>
      <c r="B2579" s="1">
        <v>46365</v>
      </c>
      <c r="C2579" t="s">
        <v>24</v>
      </c>
      <c r="D2579" s="1">
        <v>46365</v>
      </c>
      <c r="Q2579" t="s">
        <v>179</v>
      </c>
      <c r="R2579" t="str">
        <f>_xlfn.XLOOKUP(GERAL[[#This Row],[Dia]],U:U,V:V,"")</f>
        <v/>
      </c>
    </row>
    <row r="2580" spans="1:18" hidden="1" x14ac:dyDescent="0.3">
      <c r="A2580" t="str">
        <f>_xlfn.XLOOKUP(GERAL[[#This Row],[Dia]],U:U,T:T,"")</f>
        <v/>
      </c>
      <c r="B2580" s="1">
        <v>46366</v>
      </c>
      <c r="C2580" t="s">
        <v>25</v>
      </c>
      <c r="D2580" s="1">
        <v>46366</v>
      </c>
      <c r="Q2580" t="s">
        <v>179</v>
      </c>
      <c r="R2580" t="str">
        <f>_xlfn.XLOOKUP(GERAL[[#This Row],[Dia]],U:U,V:V,"")</f>
        <v/>
      </c>
    </row>
    <row r="2581" spans="1:18" hidden="1" x14ac:dyDescent="0.3">
      <c r="A2581" t="str">
        <f>_xlfn.XLOOKUP(GERAL[[#This Row],[Dia]],U:U,T:T,"")</f>
        <v/>
      </c>
      <c r="B2581" s="1">
        <v>46367</v>
      </c>
      <c r="C2581" t="s">
        <v>26</v>
      </c>
      <c r="D2581" s="1">
        <v>46367</v>
      </c>
      <c r="Q2581" t="s">
        <v>179</v>
      </c>
      <c r="R2581" t="str">
        <f>_xlfn.XLOOKUP(GERAL[[#This Row],[Dia]],U:U,V:V,"")</f>
        <v/>
      </c>
    </row>
    <row r="2582" spans="1:18" hidden="1" x14ac:dyDescent="0.3">
      <c r="A2582" t="str">
        <f>_xlfn.XLOOKUP(GERAL[[#This Row],[Dia]],U:U,T:T,"")</f>
        <v/>
      </c>
      <c r="B2582" s="1">
        <v>46368</v>
      </c>
      <c r="C2582" t="s">
        <v>16</v>
      </c>
      <c r="D2582" s="1">
        <v>46368</v>
      </c>
      <c r="E2582" t="s">
        <v>17</v>
      </c>
      <c r="Q2582" t="s">
        <v>179</v>
      </c>
      <c r="R2582" t="str">
        <f>_xlfn.XLOOKUP(GERAL[[#This Row],[Dia]],U:U,V:V,"")</f>
        <v/>
      </c>
    </row>
    <row r="2583" spans="1:18" hidden="1" x14ac:dyDescent="0.3">
      <c r="A2583" t="str">
        <f>_xlfn.XLOOKUP(GERAL[[#This Row],[Dia]],U:U,T:T,"")</f>
        <v/>
      </c>
      <c r="B2583" s="1">
        <v>46369</v>
      </c>
      <c r="C2583" t="s">
        <v>21</v>
      </c>
      <c r="D2583" s="1">
        <v>46369</v>
      </c>
      <c r="E2583" t="s">
        <v>17</v>
      </c>
      <c r="Q2583" t="s">
        <v>179</v>
      </c>
      <c r="R2583" t="str">
        <f>_xlfn.XLOOKUP(GERAL[[#This Row],[Dia]],U:U,V:V,"")</f>
        <v/>
      </c>
    </row>
    <row r="2584" spans="1:18" hidden="1" x14ac:dyDescent="0.3">
      <c r="A2584" t="str">
        <f>_xlfn.XLOOKUP(GERAL[[#This Row],[Dia]],U:U,T:T,"")</f>
        <v/>
      </c>
      <c r="B2584" s="1">
        <v>46370</v>
      </c>
      <c r="C2584" t="s">
        <v>22</v>
      </c>
      <c r="D2584" s="1">
        <v>46370</v>
      </c>
      <c r="Q2584" t="s">
        <v>179</v>
      </c>
      <c r="R2584" t="str">
        <f>_xlfn.XLOOKUP(GERAL[[#This Row],[Dia]],U:U,V:V,"")</f>
        <v/>
      </c>
    </row>
    <row r="2585" spans="1:18" hidden="1" x14ac:dyDescent="0.3">
      <c r="A2585" t="str">
        <f>_xlfn.XLOOKUP(GERAL[[#This Row],[Dia]],U:U,T:T,"")</f>
        <v/>
      </c>
      <c r="B2585" s="1">
        <v>46371</v>
      </c>
      <c r="C2585" t="s">
        <v>23</v>
      </c>
      <c r="D2585" s="1">
        <v>46371</v>
      </c>
      <c r="Q2585" t="s">
        <v>179</v>
      </c>
      <c r="R2585" t="str">
        <f>_xlfn.XLOOKUP(GERAL[[#This Row],[Dia]],U:U,V:V,"")</f>
        <v/>
      </c>
    </row>
    <row r="2586" spans="1:18" hidden="1" x14ac:dyDescent="0.3">
      <c r="A2586" t="str">
        <f>_xlfn.XLOOKUP(GERAL[[#This Row],[Dia]],U:U,T:T,"")</f>
        <v/>
      </c>
      <c r="B2586" s="1">
        <v>46372</v>
      </c>
      <c r="C2586" t="s">
        <v>24</v>
      </c>
      <c r="D2586" s="1">
        <v>46372</v>
      </c>
      <c r="Q2586" t="s">
        <v>179</v>
      </c>
      <c r="R2586" t="str">
        <f>_xlfn.XLOOKUP(GERAL[[#This Row],[Dia]],U:U,V:V,"")</f>
        <v/>
      </c>
    </row>
    <row r="2587" spans="1:18" hidden="1" x14ac:dyDescent="0.3">
      <c r="A2587" t="str">
        <f>_xlfn.XLOOKUP(GERAL[[#This Row],[Dia]],U:U,T:T,"")</f>
        <v/>
      </c>
      <c r="B2587" s="1">
        <v>46373</v>
      </c>
      <c r="C2587" t="s">
        <v>25</v>
      </c>
      <c r="D2587" s="1">
        <v>46373</v>
      </c>
      <c r="Q2587" t="s">
        <v>179</v>
      </c>
      <c r="R2587" t="str">
        <f>_xlfn.XLOOKUP(GERAL[[#This Row],[Dia]],U:U,V:V,"")</f>
        <v/>
      </c>
    </row>
    <row r="2588" spans="1:18" hidden="1" x14ac:dyDescent="0.3">
      <c r="A2588" t="str">
        <f>_xlfn.XLOOKUP(GERAL[[#This Row],[Dia]],U:U,T:T,"")</f>
        <v/>
      </c>
      <c r="B2588" s="1">
        <v>46374</v>
      </c>
      <c r="C2588" t="s">
        <v>26</v>
      </c>
      <c r="D2588" s="1">
        <v>46374</v>
      </c>
      <c r="Q2588" t="s">
        <v>179</v>
      </c>
      <c r="R2588" t="str">
        <f>_xlfn.XLOOKUP(GERAL[[#This Row],[Dia]],U:U,V:V,"")</f>
        <v/>
      </c>
    </row>
    <row r="2589" spans="1:18" hidden="1" x14ac:dyDescent="0.3">
      <c r="A2589" t="str">
        <f>_xlfn.XLOOKUP(GERAL[[#This Row],[Dia]],U:U,T:T,"")</f>
        <v/>
      </c>
      <c r="B2589" s="1">
        <v>46375</v>
      </c>
      <c r="C2589" t="s">
        <v>16</v>
      </c>
      <c r="D2589" s="1">
        <v>46375</v>
      </c>
      <c r="E2589" t="s">
        <v>17</v>
      </c>
      <c r="Q2589" t="s">
        <v>179</v>
      </c>
      <c r="R2589" t="str">
        <f>_xlfn.XLOOKUP(GERAL[[#This Row],[Dia]],U:U,V:V,"")</f>
        <v/>
      </c>
    </row>
    <row r="2590" spans="1:18" hidden="1" x14ac:dyDescent="0.3">
      <c r="A2590" t="str">
        <f>_xlfn.XLOOKUP(GERAL[[#This Row],[Dia]],U:U,T:T,"")</f>
        <v/>
      </c>
      <c r="B2590" s="1">
        <v>46376</v>
      </c>
      <c r="C2590" t="s">
        <v>21</v>
      </c>
      <c r="D2590" s="1">
        <v>46376</v>
      </c>
      <c r="E2590" t="s">
        <v>17</v>
      </c>
      <c r="Q2590" t="s">
        <v>179</v>
      </c>
      <c r="R2590" t="str">
        <f>_xlfn.XLOOKUP(GERAL[[#This Row],[Dia]],U:U,V:V,"")</f>
        <v/>
      </c>
    </row>
    <row r="2591" spans="1:18" hidden="1" x14ac:dyDescent="0.3">
      <c r="A2591" t="str">
        <f>_xlfn.XLOOKUP(GERAL[[#This Row],[Dia]],U:U,T:T,"")</f>
        <v/>
      </c>
      <c r="B2591" s="1">
        <v>46377</v>
      </c>
      <c r="C2591" t="s">
        <v>22</v>
      </c>
      <c r="D2591" s="1">
        <v>46377</v>
      </c>
      <c r="Q2591" t="s">
        <v>179</v>
      </c>
      <c r="R2591" t="str">
        <f>_xlfn.XLOOKUP(GERAL[[#This Row],[Dia]],U:U,V:V,"")</f>
        <v/>
      </c>
    </row>
    <row r="2592" spans="1:18" hidden="1" x14ac:dyDescent="0.3">
      <c r="A2592" t="str">
        <f>_xlfn.XLOOKUP(GERAL[[#This Row],[Dia]],U:U,T:T,"")</f>
        <v/>
      </c>
      <c r="B2592" s="1">
        <v>46378</v>
      </c>
      <c r="C2592" t="s">
        <v>23</v>
      </c>
      <c r="D2592" s="1">
        <v>46378</v>
      </c>
      <c r="Q2592" t="s">
        <v>179</v>
      </c>
      <c r="R2592" t="str">
        <f>_xlfn.XLOOKUP(GERAL[[#This Row],[Dia]],U:U,V:V,"")</f>
        <v/>
      </c>
    </row>
    <row r="2593" spans="1:18" hidden="1" x14ac:dyDescent="0.3">
      <c r="A2593" t="str">
        <f>_xlfn.XLOOKUP(GERAL[[#This Row],[Dia]],U:U,T:T,"")</f>
        <v/>
      </c>
      <c r="B2593" s="1">
        <v>46379</v>
      </c>
      <c r="C2593" t="s">
        <v>24</v>
      </c>
      <c r="D2593" s="1">
        <v>46379</v>
      </c>
      <c r="Q2593" t="s">
        <v>179</v>
      </c>
      <c r="R2593" t="str">
        <f>_xlfn.XLOOKUP(GERAL[[#This Row],[Dia]],U:U,V:V,"")</f>
        <v/>
      </c>
    </row>
    <row r="2594" spans="1:18" hidden="1" x14ac:dyDescent="0.3">
      <c r="A2594" t="str">
        <f>_xlfn.XLOOKUP(GERAL[[#This Row],[Dia]],U:U,T:T,"")</f>
        <v/>
      </c>
      <c r="B2594" s="1">
        <v>46380</v>
      </c>
      <c r="C2594" t="s">
        <v>25</v>
      </c>
      <c r="D2594" s="1">
        <v>46380</v>
      </c>
      <c r="Q2594" t="s">
        <v>179</v>
      </c>
      <c r="R2594" t="str">
        <f>_xlfn.XLOOKUP(GERAL[[#This Row],[Dia]],U:U,V:V,"")</f>
        <v/>
      </c>
    </row>
    <row r="2595" spans="1:18" hidden="1" x14ac:dyDescent="0.3">
      <c r="A2595" t="str">
        <f>_xlfn.XLOOKUP(GERAL[[#This Row],[Dia]],U:U,T:T,"")</f>
        <v/>
      </c>
      <c r="B2595" s="1">
        <v>46381</v>
      </c>
      <c r="C2595" t="s">
        <v>26</v>
      </c>
      <c r="D2595" s="1">
        <v>46381</v>
      </c>
      <c r="Q2595" t="s">
        <v>179</v>
      </c>
      <c r="R2595" t="str">
        <f>_xlfn.XLOOKUP(GERAL[[#This Row],[Dia]],U:U,V:V,"")</f>
        <v/>
      </c>
    </row>
    <row r="2596" spans="1:18" hidden="1" x14ac:dyDescent="0.3">
      <c r="A2596" t="str">
        <f>_xlfn.XLOOKUP(GERAL[[#This Row],[Dia]],U:U,T:T,"")</f>
        <v/>
      </c>
      <c r="B2596" s="1">
        <v>46382</v>
      </c>
      <c r="C2596" t="s">
        <v>16</v>
      </c>
      <c r="D2596" s="1">
        <v>46382</v>
      </c>
      <c r="E2596" t="s">
        <v>17</v>
      </c>
      <c r="Q2596" t="s">
        <v>179</v>
      </c>
      <c r="R2596" t="str">
        <f>_xlfn.XLOOKUP(GERAL[[#This Row],[Dia]],U:U,V:V,"")</f>
        <v/>
      </c>
    </row>
    <row r="2597" spans="1:18" hidden="1" x14ac:dyDescent="0.3">
      <c r="A2597" t="str">
        <f>_xlfn.XLOOKUP(GERAL[[#This Row],[Dia]],U:U,T:T,"")</f>
        <v/>
      </c>
      <c r="B2597" s="1">
        <v>46383</v>
      </c>
      <c r="C2597" t="s">
        <v>21</v>
      </c>
      <c r="D2597" s="1">
        <v>46383</v>
      </c>
      <c r="E2597" t="s">
        <v>17</v>
      </c>
      <c r="Q2597" t="s">
        <v>179</v>
      </c>
      <c r="R2597" t="str">
        <f>_xlfn.XLOOKUP(GERAL[[#This Row],[Dia]],U:U,V:V,"")</f>
        <v/>
      </c>
    </row>
    <row r="2598" spans="1:18" hidden="1" x14ac:dyDescent="0.3">
      <c r="A2598" t="str">
        <f>_xlfn.XLOOKUP(GERAL[[#This Row],[Dia]],U:U,T:T,"")</f>
        <v/>
      </c>
      <c r="B2598" s="1">
        <v>46384</v>
      </c>
      <c r="C2598" t="s">
        <v>22</v>
      </c>
      <c r="D2598" s="1">
        <v>46384</v>
      </c>
      <c r="Q2598" t="s">
        <v>179</v>
      </c>
      <c r="R2598" t="str">
        <f>_xlfn.XLOOKUP(GERAL[[#This Row],[Dia]],U:U,V:V,"")</f>
        <v/>
      </c>
    </row>
    <row r="2599" spans="1:18" hidden="1" x14ac:dyDescent="0.3">
      <c r="A2599" t="str">
        <f>_xlfn.XLOOKUP(GERAL[[#This Row],[Dia]],U:U,T:T,"")</f>
        <v/>
      </c>
      <c r="B2599" s="1">
        <v>46385</v>
      </c>
      <c r="C2599" t="s">
        <v>23</v>
      </c>
      <c r="D2599" s="1">
        <v>46385</v>
      </c>
      <c r="Q2599" t="s">
        <v>179</v>
      </c>
      <c r="R2599" t="str">
        <f>_xlfn.XLOOKUP(GERAL[[#This Row],[Dia]],U:U,V:V,"")</f>
        <v/>
      </c>
    </row>
    <row r="2600" spans="1:18" hidden="1" x14ac:dyDescent="0.3">
      <c r="A2600" t="str">
        <f>_xlfn.XLOOKUP(GERAL[[#This Row],[Dia]],U:U,T:T,"")</f>
        <v/>
      </c>
      <c r="B2600" s="1">
        <v>46386</v>
      </c>
      <c r="C2600" t="s">
        <v>24</v>
      </c>
      <c r="D2600" s="1">
        <v>46386</v>
      </c>
      <c r="Q2600" t="s">
        <v>179</v>
      </c>
      <c r="R2600" t="str">
        <f>_xlfn.XLOOKUP(GERAL[[#This Row],[Dia]],U:U,V:V,"")</f>
        <v/>
      </c>
    </row>
    <row r="2601" spans="1:18" hidden="1" x14ac:dyDescent="0.3">
      <c r="A2601" t="str">
        <f>_xlfn.XLOOKUP(GERAL[[#This Row],[Dia]],U:U,T:T,"")</f>
        <v/>
      </c>
      <c r="B2601" s="1">
        <v>46387</v>
      </c>
      <c r="C2601" t="s">
        <v>25</v>
      </c>
      <c r="D2601" s="1">
        <v>46387</v>
      </c>
      <c r="Q2601" t="s">
        <v>179</v>
      </c>
      <c r="R2601" t="str">
        <f>_xlfn.XLOOKUP(GERAL[[#This Row],[Dia]],U:U,V:V,"")</f>
        <v/>
      </c>
    </row>
    <row r="2602" spans="1:18" hidden="1" x14ac:dyDescent="0.3">
      <c r="A2602" t="str">
        <f>_xlfn.XLOOKUP(GERAL[[#This Row],[Dia]],U:U,T:T,"")</f>
        <v/>
      </c>
      <c r="B2602" s="1">
        <v>46388</v>
      </c>
      <c r="C2602" t="s">
        <v>26</v>
      </c>
      <c r="D2602" s="1">
        <v>46388</v>
      </c>
      <c r="Q2602" t="s">
        <v>179</v>
      </c>
      <c r="R2602" t="str">
        <f>_xlfn.XLOOKUP(GERAL[[#This Row],[Dia]],U:U,V:V,"")</f>
        <v/>
      </c>
    </row>
    <row r="2603" spans="1:18" hidden="1" x14ac:dyDescent="0.3">
      <c r="A2603" t="str">
        <f>_xlfn.XLOOKUP(GERAL[[#This Row],[Dia]],U:U,T:T,"")</f>
        <v/>
      </c>
      <c r="B2603" s="1">
        <v>46389</v>
      </c>
      <c r="C2603" t="s">
        <v>16</v>
      </c>
      <c r="D2603" s="1">
        <v>46389</v>
      </c>
      <c r="E2603" t="s">
        <v>17</v>
      </c>
      <c r="Q2603" t="s">
        <v>179</v>
      </c>
      <c r="R2603" t="str">
        <f>_xlfn.XLOOKUP(GERAL[[#This Row],[Dia]],U:U,V:V,"")</f>
        <v/>
      </c>
    </row>
    <row r="2604" spans="1:18" hidden="1" x14ac:dyDescent="0.3">
      <c r="A2604" t="str">
        <f>_xlfn.XLOOKUP(GERAL[[#This Row],[Dia]],U:U,T:T,"")</f>
        <v/>
      </c>
      <c r="B2604" s="1">
        <v>46390</v>
      </c>
      <c r="C2604" t="s">
        <v>21</v>
      </c>
      <c r="D2604" s="1">
        <v>46390</v>
      </c>
      <c r="E2604" t="s">
        <v>17</v>
      </c>
      <c r="Q2604" t="s">
        <v>179</v>
      </c>
      <c r="R2604" t="str">
        <f>_xlfn.XLOOKUP(GERAL[[#This Row],[Dia]],U:U,V:V,"")</f>
        <v/>
      </c>
    </row>
    <row r="2605" spans="1:18" hidden="1" x14ac:dyDescent="0.3">
      <c r="A2605" t="str">
        <f>_xlfn.XLOOKUP(GERAL[[#This Row],[Dia]],U:U,T:T,"")</f>
        <v/>
      </c>
      <c r="B2605" s="1">
        <v>46391</v>
      </c>
      <c r="C2605" t="s">
        <v>22</v>
      </c>
      <c r="D2605" s="1">
        <v>46391</v>
      </c>
      <c r="Q2605" t="s">
        <v>179</v>
      </c>
      <c r="R2605" t="str">
        <f>_xlfn.XLOOKUP(GERAL[[#This Row],[Dia]],U:U,V:V,"")</f>
        <v/>
      </c>
    </row>
    <row r="2606" spans="1:18" hidden="1" x14ac:dyDescent="0.3">
      <c r="A2606" t="str">
        <f>_xlfn.XLOOKUP(GERAL[[#This Row],[Dia]],U:U,T:T,"")</f>
        <v/>
      </c>
      <c r="B2606" s="1">
        <v>46392</v>
      </c>
      <c r="C2606" t="s">
        <v>23</v>
      </c>
      <c r="D2606" s="1">
        <v>46392</v>
      </c>
      <c r="Q2606" t="s">
        <v>179</v>
      </c>
      <c r="R2606" t="str">
        <f>_xlfn.XLOOKUP(GERAL[[#This Row],[Dia]],U:U,V:V,"")</f>
        <v/>
      </c>
    </row>
    <row r="2607" spans="1:18" hidden="1" x14ac:dyDescent="0.3">
      <c r="A2607" t="str">
        <f>_xlfn.XLOOKUP(GERAL[[#This Row],[Dia]],U:U,T:T,"")</f>
        <v/>
      </c>
      <c r="B2607" s="1">
        <v>46393</v>
      </c>
      <c r="C2607" t="s">
        <v>24</v>
      </c>
      <c r="D2607" s="1">
        <v>46393</v>
      </c>
      <c r="Q2607" t="s">
        <v>179</v>
      </c>
      <c r="R2607" t="str">
        <f>_xlfn.XLOOKUP(GERAL[[#This Row],[Dia]],U:U,V:V,"")</f>
        <v/>
      </c>
    </row>
    <row r="2608" spans="1:18" hidden="1" x14ac:dyDescent="0.3">
      <c r="A2608" t="str">
        <f>_xlfn.XLOOKUP(GERAL[[#This Row],[Dia]],U:U,T:T,"")</f>
        <v/>
      </c>
      <c r="B2608" s="1">
        <v>46394</v>
      </c>
      <c r="C2608" t="s">
        <v>25</v>
      </c>
      <c r="D2608" s="1">
        <v>46394</v>
      </c>
      <c r="Q2608" t="s">
        <v>179</v>
      </c>
      <c r="R2608" t="str">
        <f>_xlfn.XLOOKUP(GERAL[[#This Row],[Dia]],U:U,V:V,"")</f>
        <v/>
      </c>
    </row>
    <row r="2609" spans="1:18" hidden="1" x14ac:dyDescent="0.3">
      <c r="A2609" t="str">
        <f>_xlfn.XLOOKUP(GERAL[[#This Row],[Dia]],U:U,T:T,"")</f>
        <v/>
      </c>
      <c r="B2609" s="1">
        <v>46395</v>
      </c>
      <c r="C2609" t="s">
        <v>26</v>
      </c>
      <c r="D2609" s="1">
        <v>46395</v>
      </c>
      <c r="Q2609" t="s">
        <v>179</v>
      </c>
      <c r="R2609" t="str">
        <f>_xlfn.XLOOKUP(GERAL[[#This Row],[Dia]],U:U,V:V,"")</f>
        <v/>
      </c>
    </row>
    <row r="2610" spans="1:18" hidden="1" x14ac:dyDescent="0.3">
      <c r="A2610" t="str">
        <f>_xlfn.XLOOKUP(GERAL[[#This Row],[Dia]],U:U,T:T,"")</f>
        <v/>
      </c>
      <c r="B2610" s="1">
        <v>46396</v>
      </c>
      <c r="C2610" t="s">
        <v>16</v>
      </c>
      <c r="D2610" s="1">
        <v>46396</v>
      </c>
      <c r="E2610" t="s">
        <v>17</v>
      </c>
      <c r="Q2610" t="s">
        <v>179</v>
      </c>
      <c r="R2610" t="str">
        <f>_xlfn.XLOOKUP(GERAL[[#This Row],[Dia]],U:U,V:V,"")</f>
        <v/>
      </c>
    </row>
    <row r="2611" spans="1:18" hidden="1" x14ac:dyDescent="0.3">
      <c r="A2611" t="str">
        <f>_xlfn.XLOOKUP(GERAL[[#This Row],[Dia]],U:U,T:T,"")</f>
        <v/>
      </c>
      <c r="B2611" s="1">
        <v>46397</v>
      </c>
      <c r="C2611" t="s">
        <v>21</v>
      </c>
      <c r="D2611" s="1">
        <v>46397</v>
      </c>
      <c r="E2611" t="s">
        <v>17</v>
      </c>
      <c r="Q2611" t="s">
        <v>179</v>
      </c>
      <c r="R2611" t="str">
        <f>_xlfn.XLOOKUP(GERAL[[#This Row],[Dia]],U:U,V:V,"")</f>
        <v/>
      </c>
    </row>
    <row r="2612" spans="1:18" hidden="1" x14ac:dyDescent="0.3">
      <c r="A2612" t="str">
        <f>_xlfn.XLOOKUP(GERAL[[#This Row],[Dia]],U:U,T:T,"")</f>
        <v/>
      </c>
      <c r="B2612" s="1">
        <v>46398</v>
      </c>
      <c r="C2612" t="s">
        <v>22</v>
      </c>
      <c r="D2612" s="1">
        <v>46398</v>
      </c>
      <c r="Q2612" t="s">
        <v>179</v>
      </c>
      <c r="R2612" t="str">
        <f>_xlfn.XLOOKUP(GERAL[[#This Row],[Dia]],U:U,V:V,"")</f>
        <v/>
      </c>
    </row>
    <row r="2613" spans="1:18" hidden="1" x14ac:dyDescent="0.3">
      <c r="A2613" t="str">
        <f>_xlfn.XLOOKUP(GERAL[[#This Row],[Dia]],U:U,T:T,"")</f>
        <v/>
      </c>
      <c r="B2613" s="1">
        <v>46399</v>
      </c>
      <c r="C2613" t="s">
        <v>23</v>
      </c>
      <c r="D2613" s="1">
        <v>46399</v>
      </c>
      <c r="Q2613" t="s">
        <v>179</v>
      </c>
      <c r="R2613" t="str">
        <f>_xlfn.XLOOKUP(GERAL[[#This Row],[Dia]],U:U,V:V,"")</f>
        <v/>
      </c>
    </row>
    <row r="2614" spans="1:18" hidden="1" x14ac:dyDescent="0.3">
      <c r="A2614" t="str">
        <f>_xlfn.XLOOKUP(GERAL[[#This Row],[Dia]],U:U,T:T,"")</f>
        <v/>
      </c>
      <c r="B2614" s="1">
        <v>46400</v>
      </c>
      <c r="C2614" t="s">
        <v>24</v>
      </c>
      <c r="D2614" s="1">
        <v>46400</v>
      </c>
      <c r="Q2614" t="s">
        <v>179</v>
      </c>
      <c r="R2614" t="str">
        <f>_xlfn.XLOOKUP(GERAL[[#This Row],[Dia]],U:U,V:V,"")</f>
        <v/>
      </c>
    </row>
    <row r="2615" spans="1:18" hidden="1" x14ac:dyDescent="0.3">
      <c r="A2615" t="str">
        <f>_xlfn.XLOOKUP(GERAL[[#This Row],[Dia]],U:U,T:T,"")</f>
        <v/>
      </c>
      <c r="B2615" s="1">
        <v>46401</v>
      </c>
      <c r="C2615" t="s">
        <v>25</v>
      </c>
      <c r="D2615" s="1">
        <v>46401</v>
      </c>
      <c r="Q2615" t="s">
        <v>179</v>
      </c>
      <c r="R2615" t="str">
        <f>_xlfn.XLOOKUP(GERAL[[#This Row],[Dia]],U:U,V:V,"")</f>
        <v/>
      </c>
    </row>
    <row r="2616" spans="1:18" hidden="1" x14ac:dyDescent="0.3">
      <c r="A2616" t="str">
        <f>_xlfn.XLOOKUP(GERAL[[#This Row],[Dia]],U:U,T:T,"")</f>
        <v/>
      </c>
      <c r="B2616" s="1">
        <v>46402</v>
      </c>
      <c r="C2616" t="s">
        <v>26</v>
      </c>
      <c r="D2616" s="1">
        <v>46402</v>
      </c>
      <c r="Q2616" t="s">
        <v>179</v>
      </c>
      <c r="R2616" t="str">
        <f>_xlfn.XLOOKUP(GERAL[[#This Row],[Dia]],U:U,V:V,"")</f>
        <v/>
      </c>
    </row>
    <row r="2617" spans="1:18" hidden="1" x14ac:dyDescent="0.3">
      <c r="A2617" t="str">
        <f>_xlfn.XLOOKUP(GERAL[[#This Row],[Dia]],U:U,T:T,"")</f>
        <v/>
      </c>
      <c r="B2617" s="1">
        <v>46403</v>
      </c>
      <c r="C2617" t="s">
        <v>16</v>
      </c>
      <c r="D2617" s="1">
        <v>46403</v>
      </c>
      <c r="E2617" t="s">
        <v>17</v>
      </c>
      <c r="Q2617" t="s">
        <v>179</v>
      </c>
      <c r="R2617" t="str">
        <f>_xlfn.XLOOKUP(GERAL[[#This Row],[Dia]],U:U,V:V,"")</f>
        <v/>
      </c>
    </row>
    <row r="2618" spans="1:18" hidden="1" x14ac:dyDescent="0.3">
      <c r="A2618" t="str">
        <f>_xlfn.XLOOKUP(GERAL[[#This Row],[Dia]],U:U,T:T,"")</f>
        <v/>
      </c>
      <c r="B2618" s="1">
        <v>46404</v>
      </c>
      <c r="C2618" t="s">
        <v>21</v>
      </c>
      <c r="D2618" s="1">
        <v>46404</v>
      </c>
      <c r="E2618" t="s">
        <v>17</v>
      </c>
      <c r="Q2618" t="s">
        <v>179</v>
      </c>
      <c r="R2618" t="str">
        <f>_xlfn.XLOOKUP(GERAL[[#This Row],[Dia]],U:U,V:V,"")</f>
        <v/>
      </c>
    </row>
    <row r="2619" spans="1:18" hidden="1" x14ac:dyDescent="0.3">
      <c r="A2619" t="str">
        <f>_xlfn.XLOOKUP(GERAL[[#This Row],[Dia]],U:U,T:T,"")</f>
        <v/>
      </c>
      <c r="B2619" s="1">
        <v>46405</v>
      </c>
      <c r="C2619" t="s">
        <v>22</v>
      </c>
      <c r="D2619" s="1">
        <v>46405</v>
      </c>
      <c r="Q2619" t="s">
        <v>179</v>
      </c>
      <c r="R2619" t="str">
        <f>_xlfn.XLOOKUP(GERAL[[#This Row],[Dia]],U:U,V:V,"")</f>
        <v/>
      </c>
    </row>
    <row r="2620" spans="1:18" hidden="1" x14ac:dyDescent="0.3">
      <c r="A2620" t="str">
        <f>_xlfn.XLOOKUP(GERAL[[#This Row],[Dia]],U:U,T:T,"")</f>
        <v/>
      </c>
      <c r="B2620" s="1">
        <v>46406</v>
      </c>
      <c r="C2620" t="s">
        <v>23</v>
      </c>
      <c r="D2620" s="1">
        <v>46406</v>
      </c>
      <c r="Q2620" t="s">
        <v>179</v>
      </c>
      <c r="R2620" t="str">
        <f>_xlfn.XLOOKUP(GERAL[[#This Row],[Dia]],U:U,V:V,"")</f>
        <v/>
      </c>
    </row>
    <row r="2621" spans="1:18" hidden="1" x14ac:dyDescent="0.3">
      <c r="A2621" t="str">
        <f>_xlfn.XLOOKUP(GERAL[[#This Row],[Dia]],U:U,T:T,"")</f>
        <v/>
      </c>
      <c r="B2621" s="1">
        <v>46407</v>
      </c>
      <c r="C2621" t="s">
        <v>24</v>
      </c>
      <c r="D2621" s="1">
        <v>46407</v>
      </c>
      <c r="Q2621" t="s">
        <v>179</v>
      </c>
      <c r="R2621" t="str">
        <f>_xlfn.XLOOKUP(GERAL[[#This Row],[Dia]],U:U,V:V,"")</f>
        <v/>
      </c>
    </row>
    <row r="2622" spans="1:18" hidden="1" x14ac:dyDescent="0.3">
      <c r="A2622" t="str">
        <f>_xlfn.XLOOKUP(GERAL[[#This Row],[Dia]],U:U,T:T,"")</f>
        <v/>
      </c>
      <c r="B2622" s="1">
        <v>46408</v>
      </c>
      <c r="C2622" t="s">
        <v>25</v>
      </c>
      <c r="D2622" s="1">
        <v>46408</v>
      </c>
      <c r="Q2622" t="s">
        <v>179</v>
      </c>
      <c r="R2622" t="str">
        <f>_xlfn.XLOOKUP(GERAL[[#This Row],[Dia]],U:U,V:V,"")</f>
        <v/>
      </c>
    </row>
    <row r="2623" spans="1:18" hidden="1" x14ac:dyDescent="0.3">
      <c r="A2623" t="str">
        <f>_xlfn.XLOOKUP(GERAL[[#This Row],[Dia]],U:U,T:T,"")</f>
        <v/>
      </c>
      <c r="B2623" s="1">
        <v>46409</v>
      </c>
      <c r="C2623" t="s">
        <v>26</v>
      </c>
      <c r="D2623" s="1">
        <v>46409</v>
      </c>
      <c r="Q2623" t="s">
        <v>179</v>
      </c>
      <c r="R2623" t="str">
        <f>_xlfn.XLOOKUP(GERAL[[#This Row],[Dia]],U:U,V:V,"")</f>
        <v/>
      </c>
    </row>
    <row r="2624" spans="1:18" hidden="1" x14ac:dyDescent="0.3">
      <c r="A2624" t="str">
        <f>_xlfn.XLOOKUP(GERAL[[#This Row],[Dia]],U:U,T:T,"")</f>
        <v/>
      </c>
      <c r="B2624" s="1">
        <v>46410</v>
      </c>
      <c r="C2624" t="s">
        <v>16</v>
      </c>
      <c r="D2624" s="1">
        <v>46410</v>
      </c>
      <c r="E2624" t="s">
        <v>17</v>
      </c>
      <c r="Q2624" t="s">
        <v>179</v>
      </c>
      <c r="R2624" t="str">
        <f>_xlfn.XLOOKUP(GERAL[[#This Row],[Dia]],U:U,V:V,"")</f>
        <v/>
      </c>
    </row>
    <row r="2625" spans="1:18" hidden="1" x14ac:dyDescent="0.3">
      <c r="A2625" t="str">
        <f>_xlfn.XLOOKUP(GERAL[[#This Row],[Dia]],U:U,T:T,"")</f>
        <v/>
      </c>
      <c r="B2625" s="1">
        <v>46411</v>
      </c>
      <c r="C2625" t="s">
        <v>21</v>
      </c>
      <c r="D2625" s="1">
        <v>46411</v>
      </c>
      <c r="E2625" t="s">
        <v>17</v>
      </c>
      <c r="Q2625" t="s">
        <v>179</v>
      </c>
      <c r="R2625" t="str">
        <f>_xlfn.XLOOKUP(GERAL[[#This Row],[Dia]],U:U,V:V,"")</f>
        <v/>
      </c>
    </row>
    <row r="2626" spans="1:18" hidden="1" x14ac:dyDescent="0.3">
      <c r="A2626" t="str">
        <f>_xlfn.XLOOKUP(GERAL[[#This Row],[Dia]],U:U,T:T,"")</f>
        <v/>
      </c>
      <c r="B2626" s="1">
        <v>46412</v>
      </c>
      <c r="C2626" t="s">
        <v>22</v>
      </c>
      <c r="D2626" s="1">
        <v>46412</v>
      </c>
      <c r="Q2626" t="s">
        <v>179</v>
      </c>
      <c r="R2626" t="str">
        <f>_xlfn.XLOOKUP(GERAL[[#This Row],[Dia]],U:U,V:V,"")</f>
        <v/>
      </c>
    </row>
    <row r="2627" spans="1:18" hidden="1" x14ac:dyDescent="0.3">
      <c r="A2627" t="str">
        <f>_xlfn.XLOOKUP(GERAL[[#This Row],[Dia]],U:U,T:T,"")</f>
        <v/>
      </c>
      <c r="B2627" s="1">
        <v>46413</v>
      </c>
      <c r="C2627" t="s">
        <v>23</v>
      </c>
      <c r="D2627" s="1">
        <v>46413</v>
      </c>
      <c r="Q2627" t="s">
        <v>179</v>
      </c>
      <c r="R2627" t="str">
        <f>_xlfn.XLOOKUP(GERAL[[#This Row],[Dia]],U:U,V:V,"")</f>
        <v/>
      </c>
    </row>
    <row r="2628" spans="1:18" hidden="1" x14ac:dyDescent="0.3">
      <c r="A2628" t="str">
        <f>_xlfn.XLOOKUP(GERAL[[#This Row],[Dia]],U:U,T:T,"")</f>
        <v/>
      </c>
      <c r="B2628" s="1">
        <v>46414</v>
      </c>
      <c r="C2628" t="s">
        <v>24</v>
      </c>
      <c r="D2628" s="1">
        <v>46414</v>
      </c>
      <c r="Q2628" t="s">
        <v>179</v>
      </c>
      <c r="R2628" t="str">
        <f>_xlfn.XLOOKUP(GERAL[[#This Row],[Dia]],U:U,V:V,"")</f>
        <v/>
      </c>
    </row>
    <row r="2629" spans="1:18" hidden="1" x14ac:dyDescent="0.3">
      <c r="A2629" t="str">
        <f>_xlfn.XLOOKUP(GERAL[[#This Row],[Dia]],U:U,T:T,"")</f>
        <v/>
      </c>
      <c r="B2629" s="1">
        <v>46415</v>
      </c>
      <c r="C2629" t="s">
        <v>25</v>
      </c>
      <c r="D2629" s="1">
        <v>46415</v>
      </c>
      <c r="Q2629" t="s">
        <v>179</v>
      </c>
      <c r="R2629" t="str">
        <f>_xlfn.XLOOKUP(GERAL[[#This Row],[Dia]],U:U,V:V,"")</f>
        <v/>
      </c>
    </row>
    <row r="2630" spans="1:18" hidden="1" x14ac:dyDescent="0.3">
      <c r="A2630" t="str">
        <f>_xlfn.XLOOKUP(GERAL[[#This Row],[Dia]],U:U,T:T,"")</f>
        <v/>
      </c>
      <c r="B2630" s="1">
        <v>46416</v>
      </c>
      <c r="C2630" t="s">
        <v>26</v>
      </c>
      <c r="D2630" s="1">
        <v>46416</v>
      </c>
      <c r="Q2630" t="s">
        <v>179</v>
      </c>
      <c r="R2630" t="str">
        <f>_xlfn.XLOOKUP(GERAL[[#This Row],[Dia]],U:U,V:V,"")</f>
        <v/>
      </c>
    </row>
    <row r="2631" spans="1:18" hidden="1" x14ac:dyDescent="0.3">
      <c r="A2631" t="str">
        <f>_xlfn.XLOOKUP(GERAL[[#This Row],[Dia]],U:U,T:T,"")</f>
        <v/>
      </c>
      <c r="B2631" s="1">
        <v>46417</v>
      </c>
      <c r="C2631" t="s">
        <v>16</v>
      </c>
      <c r="D2631" s="1">
        <v>46417</v>
      </c>
      <c r="E2631" t="s">
        <v>17</v>
      </c>
      <c r="Q2631" t="s">
        <v>179</v>
      </c>
      <c r="R2631" t="str">
        <f>_xlfn.XLOOKUP(GERAL[[#This Row],[Dia]],U:U,V:V,"")</f>
        <v/>
      </c>
    </row>
    <row r="2632" spans="1:18" hidden="1" x14ac:dyDescent="0.3">
      <c r="A2632" t="str">
        <f>_xlfn.XLOOKUP(GERAL[[#This Row],[Dia]],U:U,T:T,"")</f>
        <v/>
      </c>
      <c r="B2632" s="1">
        <v>46418</v>
      </c>
      <c r="C2632" t="s">
        <v>21</v>
      </c>
      <c r="D2632" s="1">
        <v>46418</v>
      </c>
      <c r="E2632" t="s">
        <v>17</v>
      </c>
      <c r="Q2632" t="s">
        <v>179</v>
      </c>
      <c r="R2632" t="str">
        <f>_xlfn.XLOOKUP(GERAL[[#This Row],[Dia]],U:U,V:V,"")</f>
        <v/>
      </c>
    </row>
    <row r="2633" spans="1:18" hidden="1" x14ac:dyDescent="0.3">
      <c r="A2633" t="str">
        <f>_xlfn.XLOOKUP(GERAL[[#This Row],[Dia]],U:U,T:T,"")</f>
        <v/>
      </c>
      <c r="B2633" s="1">
        <v>46419</v>
      </c>
      <c r="C2633" t="s">
        <v>22</v>
      </c>
      <c r="D2633" s="1">
        <v>46419</v>
      </c>
      <c r="Q2633" t="s">
        <v>179</v>
      </c>
      <c r="R2633" t="str">
        <f>_xlfn.XLOOKUP(GERAL[[#This Row],[Dia]],U:U,V:V,"")</f>
        <v/>
      </c>
    </row>
    <row r="2634" spans="1:18" hidden="1" x14ac:dyDescent="0.3">
      <c r="A2634" t="str">
        <f>_xlfn.XLOOKUP(GERAL[[#This Row],[Dia]],U:U,T:T,"")</f>
        <v/>
      </c>
      <c r="B2634" s="1">
        <v>46420</v>
      </c>
      <c r="C2634" t="s">
        <v>23</v>
      </c>
      <c r="D2634" s="1">
        <v>46420</v>
      </c>
      <c r="Q2634" t="s">
        <v>179</v>
      </c>
      <c r="R2634" t="str">
        <f>_xlfn.XLOOKUP(GERAL[[#This Row],[Dia]],U:U,V:V,"")</f>
        <v/>
      </c>
    </row>
    <row r="2635" spans="1:18" hidden="1" x14ac:dyDescent="0.3">
      <c r="A2635" t="str">
        <f>_xlfn.XLOOKUP(GERAL[[#This Row],[Dia]],U:U,T:T,"")</f>
        <v/>
      </c>
      <c r="B2635" s="1">
        <v>46421</v>
      </c>
      <c r="C2635" t="s">
        <v>24</v>
      </c>
      <c r="D2635" s="1">
        <v>46421</v>
      </c>
      <c r="Q2635" t="s">
        <v>179</v>
      </c>
      <c r="R2635" t="str">
        <f>_xlfn.XLOOKUP(GERAL[[#This Row],[Dia]],U:U,V:V,"")</f>
        <v/>
      </c>
    </row>
    <row r="2636" spans="1:18" hidden="1" x14ac:dyDescent="0.3">
      <c r="A2636" t="str">
        <f>_xlfn.XLOOKUP(GERAL[[#This Row],[Dia]],U:U,T:T,"")</f>
        <v/>
      </c>
      <c r="B2636" s="1">
        <v>46422</v>
      </c>
      <c r="C2636" t="s">
        <v>25</v>
      </c>
      <c r="D2636" s="1">
        <v>46422</v>
      </c>
      <c r="Q2636" t="s">
        <v>179</v>
      </c>
      <c r="R2636" t="str">
        <f>_xlfn.XLOOKUP(GERAL[[#This Row],[Dia]],U:U,V:V,"")</f>
        <v/>
      </c>
    </row>
    <row r="2637" spans="1:18" hidden="1" x14ac:dyDescent="0.3">
      <c r="A2637" t="str">
        <f>_xlfn.XLOOKUP(GERAL[[#This Row],[Dia]],U:U,T:T,"")</f>
        <v/>
      </c>
      <c r="B2637" s="1">
        <v>46423</v>
      </c>
      <c r="C2637" t="s">
        <v>26</v>
      </c>
      <c r="D2637" s="1">
        <v>46423</v>
      </c>
      <c r="Q2637" t="s">
        <v>179</v>
      </c>
      <c r="R2637" t="str">
        <f>_xlfn.XLOOKUP(GERAL[[#This Row],[Dia]],U:U,V:V,"")</f>
        <v/>
      </c>
    </row>
    <row r="2638" spans="1:18" hidden="1" x14ac:dyDescent="0.3">
      <c r="A2638" t="str">
        <f>_xlfn.XLOOKUP(GERAL[[#This Row],[Dia]],U:U,T:T,"")</f>
        <v/>
      </c>
      <c r="B2638" s="1">
        <v>46424</v>
      </c>
      <c r="C2638" t="s">
        <v>16</v>
      </c>
      <c r="D2638" s="1">
        <v>46424</v>
      </c>
      <c r="E2638" t="s">
        <v>17</v>
      </c>
      <c r="Q2638" t="s">
        <v>179</v>
      </c>
      <c r="R2638" t="str">
        <f>_xlfn.XLOOKUP(GERAL[[#This Row],[Dia]],U:U,V:V,"")</f>
        <v/>
      </c>
    </row>
    <row r="2639" spans="1:18" hidden="1" x14ac:dyDescent="0.3">
      <c r="A2639" t="str">
        <f>_xlfn.XLOOKUP(GERAL[[#This Row],[Dia]],U:U,T:T,"")</f>
        <v/>
      </c>
      <c r="B2639" s="1">
        <v>46425</v>
      </c>
      <c r="C2639" t="s">
        <v>21</v>
      </c>
      <c r="D2639" s="1">
        <v>46425</v>
      </c>
      <c r="E2639" t="s">
        <v>17</v>
      </c>
      <c r="Q2639" t="s">
        <v>179</v>
      </c>
      <c r="R2639" t="str">
        <f>_xlfn.XLOOKUP(GERAL[[#This Row],[Dia]],U:U,V:V,"")</f>
        <v/>
      </c>
    </row>
    <row r="2640" spans="1:18" hidden="1" x14ac:dyDescent="0.3">
      <c r="A2640" t="str">
        <f>_xlfn.XLOOKUP(GERAL[[#This Row],[Dia]],U:U,T:T,"")</f>
        <v/>
      </c>
      <c r="B2640" s="1">
        <v>46426</v>
      </c>
      <c r="C2640" t="s">
        <v>22</v>
      </c>
      <c r="D2640" s="1">
        <v>46426</v>
      </c>
      <c r="Q2640" t="s">
        <v>179</v>
      </c>
      <c r="R2640" t="str">
        <f>_xlfn.XLOOKUP(GERAL[[#This Row],[Dia]],U:U,V:V,"")</f>
        <v/>
      </c>
    </row>
    <row r="2641" spans="1:18" hidden="1" x14ac:dyDescent="0.3">
      <c r="A2641" t="str">
        <f>_xlfn.XLOOKUP(GERAL[[#This Row],[Dia]],U:U,T:T,"")</f>
        <v/>
      </c>
      <c r="B2641" s="1">
        <v>46427</v>
      </c>
      <c r="C2641" t="s">
        <v>23</v>
      </c>
      <c r="D2641" s="1">
        <v>46427</v>
      </c>
      <c r="Q2641" t="s">
        <v>179</v>
      </c>
      <c r="R2641" t="str">
        <f>_xlfn.XLOOKUP(GERAL[[#This Row],[Dia]],U:U,V:V,"")</f>
        <v/>
      </c>
    </row>
    <row r="2642" spans="1:18" hidden="1" x14ac:dyDescent="0.3">
      <c r="A2642" t="str">
        <f>_xlfn.XLOOKUP(GERAL[[#This Row],[Dia]],U:U,T:T,"")</f>
        <v/>
      </c>
      <c r="B2642" s="1">
        <v>46428</v>
      </c>
      <c r="C2642" t="s">
        <v>24</v>
      </c>
      <c r="D2642" s="1">
        <v>46428</v>
      </c>
      <c r="Q2642" t="s">
        <v>179</v>
      </c>
      <c r="R2642" t="str">
        <f>_xlfn.XLOOKUP(GERAL[[#This Row],[Dia]],U:U,V:V,"")</f>
        <v/>
      </c>
    </row>
    <row r="2643" spans="1:18" hidden="1" x14ac:dyDescent="0.3">
      <c r="A2643" t="str">
        <f>_xlfn.XLOOKUP(GERAL[[#This Row],[Dia]],U:U,T:T,"")</f>
        <v/>
      </c>
      <c r="B2643" s="1">
        <v>46429</v>
      </c>
      <c r="C2643" t="s">
        <v>25</v>
      </c>
      <c r="D2643" s="1">
        <v>46429</v>
      </c>
      <c r="Q2643" t="s">
        <v>179</v>
      </c>
      <c r="R2643" t="str">
        <f>_xlfn.XLOOKUP(GERAL[[#This Row],[Dia]],U:U,V:V,"")</f>
        <v/>
      </c>
    </row>
    <row r="2644" spans="1:18" hidden="1" x14ac:dyDescent="0.3">
      <c r="A2644" t="str">
        <f>_xlfn.XLOOKUP(GERAL[[#This Row],[Dia]],U:U,T:T,"")</f>
        <v/>
      </c>
      <c r="B2644" s="1">
        <v>46430</v>
      </c>
      <c r="C2644" t="s">
        <v>26</v>
      </c>
      <c r="D2644" s="1">
        <v>46430</v>
      </c>
      <c r="Q2644" t="s">
        <v>179</v>
      </c>
      <c r="R2644" t="str">
        <f>_xlfn.XLOOKUP(GERAL[[#This Row],[Dia]],U:U,V:V,"")</f>
        <v/>
      </c>
    </row>
    <row r="2645" spans="1:18" hidden="1" x14ac:dyDescent="0.3">
      <c r="A2645" t="str">
        <f>_xlfn.XLOOKUP(GERAL[[#This Row],[Dia]],U:U,T:T,"")</f>
        <v/>
      </c>
      <c r="B2645" s="1">
        <v>46431</v>
      </c>
      <c r="C2645" t="s">
        <v>16</v>
      </c>
      <c r="D2645" s="1">
        <v>46431</v>
      </c>
      <c r="E2645" t="s">
        <v>17</v>
      </c>
      <c r="Q2645" t="s">
        <v>179</v>
      </c>
      <c r="R2645" t="str">
        <f>_xlfn.XLOOKUP(GERAL[[#This Row],[Dia]],U:U,V:V,"")</f>
        <v/>
      </c>
    </row>
    <row r="2646" spans="1:18" hidden="1" x14ac:dyDescent="0.3">
      <c r="A2646" t="str">
        <f>_xlfn.XLOOKUP(GERAL[[#This Row],[Dia]],U:U,T:T,"")</f>
        <v/>
      </c>
      <c r="B2646" s="1">
        <v>46432</v>
      </c>
      <c r="C2646" t="s">
        <v>21</v>
      </c>
      <c r="D2646" s="1">
        <v>46432</v>
      </c>
      <c r="E2646" t="s">
        <v>17</v>
      </c>
      <c r="Q2646" t="s">
        <v>179</v>
      </c>
      <c r="R2646" t="str">
        <f>_xlfn.XLOOKUP(GERAL[[#This Row],[Dia]],U:U,V:V,"")</f>
        <v/>
      </c>
    </row>
    <row r="2647" spans="1:18" hidden="1" x14ac:dyDescent="0.3">
      <c r="A2647" t="str">
        <f>_xlfn.XLOOKUP(GERAL[[#This Row],[Dia]],U:U,T:T,"")</f>
        <v/>
      </c>
      <c r="B2647" s="1">
        <v>46433</v>
      </c>
      <c r="C2647" t="s">
        <v>22</v>
      </c>
      <c r="D2647" s="1">
        <v>46433</v>
      </c>
      <c r="Q2647" t="s">
        <v>179</v>
      </c>
      <c r="R2647" t="str">
        <f>_xlfn.XLOOKUP(GERAL[[#This Row],[Dia]],U:U,V:V,"")</f>
        <v/>
      </c>
    </row>
    <row r="2648" spans="1:18" hidden="1" x14ac:dyDescent="0.3">
      <c r="A2648" t="str">
        <f>_xlfn.XLOOKUP(GERAL[[#This Row],[Dia]],U:U,T:T,"")</f>
        <v/>
      </c>
      <c r="B2648" s="1">
        <v>45962</v>
      </c>
      <c r="C2648" t="s">
        <v>16</v>
      </c>
      <c r="D2648" s="1">
        <v>45962</v>
      </c>
      <c r="E2648" t="s">
        <v>17</v>
      </c>
      <c r="Q2648" t="s">
        <v>199</v>
      </c>
      <c r="R2648" t="str">
        <f>_xlfn.XLOOKUP(GERAL[[#This Row],[Dia]],U:U,V:V,"")</f>
        <v/>
      </c>
    </row>
    <row r="2649" spans="1:18" hidden="1" x14ac:dyDescent="0.3">
      <c r="A2649" t="str">
        <f>_xlfn.XLOOKUP(GERAL[[#This Row],[Dia]],U:U,T:T,"")</f>
        <v/>
      </c>
      <c r="B2649" s="1">
        <v>45963</v>
      </c>
      <c r="C2649" t="s">
        <v>21</v>
      </c>
      <c r="D2649" s="1">
        <v>45963</v>
      </c>
      <c r="E2649" t="s">
        <v>17</v>
      </c>
      <c r="Q2649" t="s">
        <v>199</v>
      </c>
      <c r="R2649" t="str">
        <f>_xlfn.XLOOKUP(GERAL[[#This Row],[Dia]],U:U,V:V,"")</f>
        <v/>
      </c>
    </row>
    <row r="2650" spans="1:18" hidden="1" x14ac:dyDescent="0.3">
      <c r="A2650" t="str">
        <f>_xlfn.XLOOKUP(GERAL[[#This Row],[Dia]],U:U,T:T,"")</f>
        <v/>
      </c>
      <c r="B2650" s="1">
        <v>45964</v>
      </c>
      <c r="C2650" t="s">
        <v>22</v>
      </c>
      <c r="D2650" s="1">
        <v>45964</v>
      </c>
      <c r="Q2650" t="s">
        <v>199</v>
      </c>
      <c r="R2650" t="str">
        <f>_xlfn.XLOOKUP(GERAL[[#This Row],[Dia]],U:U,V:V,"")</f>
        <v/>
      </c>
    </row>
    <row r="2651" spans="1:18" hidden="1" x14ac:dyDescent="0.3">
      <c r="A2651" t="str">
        <f>_xlfn.XLOOKUP(GERAL[[#This Row],[Dia]],U:U,T:T,"")</f>
        <v/>
      </c>
      <c r="B2651" s="1">
        <v>45965</v>
      </c>
      <c r="C2651" t="s">
        <v>23</v>
      </c>
      <c r="D2651" s="1">
        <v>45965</v>
      </c>
      <c r="Q2651" t="s">
        <v>199</v>
      </c>
      <c r="R2651" t="str">
        <f>_xlfn.XLOOKUP(GERAL[[#This Row],[Dia]],U:U,V:V,"")</f>
        <v/>
      </c>
    </row>
    <row r="2652" spans="1:18" hidden="1" x14ac:dyDescent="0.3">
      <c r="A2652" t="str">
        <f>_xlfn.XLOOKUP(GERAL[[#This Row],[Dia]],U:U,T:T,"")</f>
        <v/>
      </c>
      <c r="B2652" s="1">
        <v>45966</v>
      </c>
      <c r="C2652" t="s">
        <v>24</v>
      </c>
      <c r="D2652" s="1">
        <v>45966</v>
      </c>
      <c r="Q2652" t="s">
        <v>199</v>
      </c>
      <c r="R2652" t="str">
        <f>_xlfn.XLOOKUP(GERAL[[#This Row],[Dia]],U:U,V:V,"")</f>
        <v/>
      </c>
    </row>
    <row r="2653" spans="1:18" hidden="1" x14ac:dyDescent="0.3">
      <c r="A2653" t="str">
        <f>_xlfn.XLOOKUP(GERAL[[#This Row],[Dia]],U:U,T:T,"")</f>
        <v/>
      </c>
      <c r="B2653" s="1">
        <v>45967</v>
      </c>
      <c r="C2653" t="s">
        <v>25</v>
      </c>
      <c r="D2653" s="1">
        <v>45967</v>
      </c>
      <c r="Q2653" t="s">
        <v>199</v>
      </c>
      <c r="R2653" t="str">
        <f>_xlfn.XLOOKUP(GERAL[[#This Row],[Dia]],U:U,V:V,"")</f>
        <v/>
      </c>
    </row>
    <row r="2654" spans="1:18" hidden="1" x14ac:dyDescent="0.3">
      <c r="A2654" t="str">
        <f>_xlfn.XLOOKUP(GERAL[[#This Row],[Dia]],U:U,T:T,"")</f>
        <v/>
      </c>
      <c r="B2654" s="1">
        <v>45968</v>
      </c>
      <c r="C2654" t="s">
        <v>26</v>
      </c>
      <c r="D2654" s="1">
        <v>45968</v>
      </c>
      <c r="Q2654" t="s">
        <v>199</v>
      </c>
      <c r="R2654" t="str">
        <f>_xlfn.XLOOKUP(GERAL[[#This Row],[Dia]],U:U,V:V,"")</f>
        <v/>
      </c>
    </row>
    <row r="2655" spans="1:18" hidden="1" x14ac:dyDescent="0.3">
      <c r="A2655" t="str">
        <f>_xlfn.XLOOKUP(GERAL[[#This Row],[Dia]],U:U,T:T,"")</f>
        <v/>
      </c>
      <c r="B2655" s="1">
        <v>45969</v>
      </c>
      <c r="C2655" t="s">
        <v>16</v>
      </c>
      <c r="D2655" s="1">
        <v>45969</v>
      </c>
      <c r="E2655" t="s">
        <v>17</v>
      </c>
      <c r="Q2655" t="s">
        <v>199</v>
      </c>
      <c r="R2655" t="str">
        <f>_xlfn.XLOOKUP(GERAL[[#This Row],[Dia]],U:U,V:V,"")</f>
        <v/>
      </c>
    </row>
    <row r="2656" spans="1:18" hidden="1" x14ac:dyDescent="0.3">
      <c r="A2656" t="str">
        <f>_xlfn.XLOOKUP(GERAL[[#This Row],[Dia]],U:U,T:T,"")</f>
        <v/>
      </c>
      <c r="B2656" s="1">
        <v>45970</v>
      </c>
      <c r="C2656" t="s">
        <v>21</v>
      </c>
      <c r="D2656" s="1">
        <v>45970</v>
      </c>
      <c r="E2656" t="s">
        <v>17</v>
      </c>
      <c r="Q2656" t="s">
        <v>199</v>
      </c>
      <c r="R2656" t="str">
        <f>_xlfn.XLOOKUP(GERAL[[#This Row],[Dia]],U:U,V:V,"")</f>
        <v/>
      </c>
    </row>
    <row r="2657" spans="1:18" hidden="1" x14ac:dyDescent="0.3">
      <c r="A2657" t="str">
        <f>_xlfn.XLOOKUP(GERAL[[#This Row],[Dia]],U:U,T:T,"")</f>
        <v/>
      </c>
      <c r="B2657" s="1">
        <v>45971</v>
      </c>
      <c r="C2657" t="s">
        <v>22</v>
      </c>
      <c r="D2657" s="1">
        <v>45971</v>
      </c>
      <c r="Q2657" t="s">
        <v>199</v>
      </c>
      <c r="R2657" t="str">
        <f>_xlfn.XLOOKUP(GERAL[[#This Row],[Dia]],U:U,V:V,"")</f>
        <v/>
      </c>
    </row>
    <row r="2658" spans="1:18" hidden="1" x14ac:dyDescent="0.3">
      <c r="A2658" t="str">
        <f>_xlfn.XLOOKUP(GERAL[[#This Row],[Dia]],U:U,T:T,"")</f>
        <v/>
      </c>
      <c r="B2658" s="1">
        <v>45972</v>
      </c>
      <c r="C2658" t="s">
        <v>23</v>
      </c>
      <c r="D2658" s="1">
        <v>45972</v>
      </c>
      <c r="Q2658" t="s">
        <v>199</v>
      </c>
      <c r="R2658" t="str">
        <f>_xlfn.XLOOKUP(GERAL[[#This Row],[Dia]],U:U,V:V,"")</f>
        <v/>
      </c>
    </row>
    <row r="2659" spans="1:18" hidden="1" x14ac:dyDescent="0.3">
      <c r="A2659" t="str">
        <f>_xlfn.XLOOKUP(GERAL[[#This Row],[Dia]],U:U,T:T,"")</f>
        <v/>
      </c>
      <c r="B2659" s="1">
        <v>45973</v>
      </c>
      <c r="C2659" t="s">
        <v>24</v>
      </c>
      <c r="D2659" s="1">
        <v>45973</v>
      </c>
      <c r="Q2659" t="s">
        <v>199</v>
      </c>
      <c r="R2659" t="str">
        <f>_xlfn.XLOOKUP(GERAL[[#This Row],[Dia]],U:U,V:V,"")</f>
        <v/>
      </c>
    </row>
    <row r="2660" spans="1:18" hidden="1" x14ac:dyDescent="0.3">
      <c r="A2660" t="str">
        <f>_xlfn.XLOOKUP(GERAL[[#This Row],[Dia]],U:U,T:T,"")</f>
        <v/>
      </c>
      <c r="B2660" s="1">
        <v>45974</v>
      </c>
      <c r="C2660" t="s">
        <v>25</v>
      </c>
      <c r="D2660" s="1">
        <v>45974</v>
      </c>
      <c r="Q2660" t="s">
        <v>199</v>
      </c>
      <c r="R2660" t="str">
        <f>_xlfn.XLOOKUP(GERAL[[#This Row],[Dia]],U:U,V:V,"")</f>
        <v/>
      </c>
    </row>
    <row r="2661" spans="1:18" hidden="1" x14ac:dyDescent="0.3">
      <c r="A2661" t="str">
        <f>_xlfn.XLOOKUP(GERAL[[#This Row],[Dia]],U:U,T:T,"")</f>
        <v/>
      </c>
      <c r="B2661" s="1">
        <v>45975</v>
      </c>
      <c r="C2661" t="s">
        <v>26</v>
      </c>
      <c r="D2661" s="1">
        <v>45975</v>
      </c>
      <c r="Q2661" t="s">
        <v>199</v>
      </c>
      <c r="R2661" t="str">
        <f>_xlfn.XLOOKUP(GERAL[[#This Row],[Dia]],U:U,V:V,"")</f>
        <v/>
      </c>
    </row>
    <row r="2662" spans="1:18" hidden="1" x14ac:dyDescent="0.3">
      <c r="A2662" t="str">
        <f>_xlfn.XLOOKUP(GERAL[[#This Row],[Dia]],U:U,T:T,"")</f>
        <v/>
      </c>
      <c r="B2662" s="1">
        <v>45976</v>
      </c>
      <c r="C2662" t="s">
        <v>16</v>
      </c>
      <c r="D2662" s="1">
        <v>45976</v>
      </c>
      <c r="E2662" t="s">
        <v>17</v>
      </c>
      <c r="Q2662" t="s">
        <v>199</v>
      </c>
      <c r="R2662" t="str">
        <f>_xlfn.XLOOKUP(GERAL[[#This Row],[Dia]],U:U,V:V,"")</f>
        <v/>
      </c>
    </row>
    <row r="2663" spans="1:18" hidden="1" x14ac:dyDescent="0.3">
      <c r="A2663" t="str">
        <f>_xlfn.XLOOKUP(GERAL[[#This Row],[Dia]],U:U,T:T,"")</f>
        <v/>
      </c>
      <c r="B2663" s="1">
        <v>45977</v>
      </c>
      <c r="C2663" t="s">
        <v>21</v>
      </c>
      <c r="D2663" s="1">
        <v>45977</v>
      </c>
      <c r="E2663" t="s">
        <v>17</v>
      </c>
      <c r="Q2663" t="s">
        <v>199</v>
      </c>
      <c r="R2663" t="str">
        <f>_xlfn.XLOOKUP(GERAL[[#This Row],[Dia]],U:U,V:V,"")</f>
        <v/>
      </c>
    </row>
    <row r="2664" spans="1:18" hidden="1" x14ac:dyDescent="0.3">
      <c r="A2664" t="str">
        <f>_xlfn.XLOOKUP(GERAL[[#This Row],[Dia]],U:U,T:T,"")</f>
        <v/>
      </c>
      <c r="B2664" s="1">
        <v>45978</v>
      </c>
      <c r="C2664" t="s">
        <v>22</v>
      </c>
      <c r="D2664" s="1">
        <v>45978</v>
      </c>
      <c r="Q2664" t="s">
        <v>199</v>
      </c>
      <c r="R2664" t="str">
        <f>_xlfn.XLOOKUP(GERAL[[#This Row],[Dia]],U:U,V:V,"")</f>
        <v/>
      </c>
    </row>
    <row r="2665" spans="1:18" hidden="1" x14ac:dyDescent="0.3">
      <c r="A2665" t="str">
        <f>_xlfn.XLOOKUP(GERAL[[#This Row],[Dia]],U:U,T:T,"")</f>
        <v/>
      </c>
      <c r="B2665" s="1">
        <v>45979</v>
      </c>
      <c r="C2665" t="s">
        <v>23</v>
      </c>
      <c r="D2665" s="1">
        <v>45979</v>
      </c>
      <c r="Q2665" t="s">
        <v>199</v>
      </c>
      <c r="R2665" t="str">
        <f>_xlfn.XLOOKUP(GERAL[[#This Row],[Dia]],U:U,V:V,"")</f>
        <v/>
      </c>
    </row>
    <row r="2666" spans="1:18" hidden="1" x14ac:dyDescent="0.3">
      <c r="A2666" t="str">
        <f>_xlfn.XLOOKUP(GERAL[[#This Row],[Dia]],U:U,T:T,"")</f>
        <v/>
      </c>
      <c r="B2666" s="1">
        <v>45980</v>
      </c>
      <c r="C2666" t="s">
        <v>24</v>
      </c>
      <c r="D2666" s="1">
        <v>45980</v>
      </c>
      <c r="Q2666" t="s">
        <v>199</v>
      </c>
      <c r="R2666" t="str">
        <f>_xlfn.XLOOKUP(GERAL[[#This Row],[Dia]],U:U,V:V,"")</f>
        <v/>
      </c>
    </row>
    <row r="2667" spans="1:18" hidden="1" x14ac:dyDescent="0.3">
      <c r="A2667" t="str">
        <f>_xlfn.XLOOKUP(GERAL[[#This Row],[Dia]],U:U,T:T,"")</f>
        <v/>
      </c>
      <c r="B2667" s="1">
        <v>45981</v>
      </c>
      <c r="C2667" t="s">
        <v>25</v>
      </c>
      <c r="D2667" s="1">
        <v>45981</v>
      </c>
      <c r="Q2667" t="s">
        <v>199</v>
      </c>
      <c r="R2667" t="str">
        <f>_xlfn.XLOOKUP(GERAL[[#This Row],[Dia]],U:U,V:V,"")</f>
        <v/>
      </c>
    </row>
    <row r="2668" spans="1:18" hidden="1" x14ac:dyDescent="0.3">
      <c r="A2668" t="str">
        <f>_xlfn.XLOOKUP(GERAL[[#This Row],[Dia]],U:U,T:T,"")</f>
        <v/>
      </c>
      <c r="B2668" s="1">
        <v>45982</v>
      </c>
      <c r="C2668" t="s">
        <v>26</v>
      </c>
      <c r="D2668" s="1">
        <v>45982</v>
      </c>
      <c r="Q2668" t="s">
        <v>199</v>
      </c>
      <c r="R2668" t="str">
        <f>_xlfn.XLOOKUP(GERAL[[#This Row],[Dia]],U:U,V:V,"")</f>
        <v/>
      </c>
    </row>
    <row r="2669" spans="1:18" hidden="1" x14ac:dyDescent="0.3">
      <c r="A2669" t="str">
        <f>_xlfn.XLOOKUP(GERAL[[#This Row],[Dia]],U:U,T:T,"")</f>
        <v/>
      </c>
      <c r="B2669" s="1">
        <v>45983</v>
      </c>
      <c r="C2669" t="s">
        <v>16</v>
      </c>
      <c r="D2669" s="1">
        <v>45983</v>
      </c>
      <c r="E2669" t="s">
        <v>17</v>
      </c>
      <c r="Q2669" t="s">
        <v>199</v>
      </c>
      <c r="R2669" t="str">
        <f>_xlfn.XLOOKUP(GERAL[[#This Row],[Dia]],U:U,V:V,"")</f>
        <v/>
      </c>
    </row>
    <row r="2670" spans="1:18" hidden="1" x14ac:dyDescent="0.3">
      <c r="A2670" t="str">
        <f>_xlfn.XLOOKUP(GERAL[[#This Row],[Dia]],U:U,T:T,"")</f>
        <v/>
      </c>
      <c r="B2670" s="1">
        <v>45984</v>
      </c>
      <c r="C2670" t="s">
        <v>21</v>
      </c>
      <c r="D2670" s="1">
        <v>45984</v>
      </c>
      <c r="E2670" t="s">
        <v>17</v>
      </c>
      <c r="Q2670" t="s">
        <v>199</v>
      </c>
      <c r="R2670" t="str">
        <f>_xlfn.XLOOKUP(GERAL[[#This Row],[Dia]],U:U,V:V,"")</f>
        <v/>
      </c>
    </row>
    <row r="2671" spans="1:18" hidden="1" x14ac:dyDescent="0.3">
      <c r="A2671" t="str">
        <f>_xlfn.XLOOKUP(GERAL[[#This Row],[Dia]],U:U,T:T,"")</f>
        <v/>
      </c>
      <c r="B2671" s="1">
        <v>45985</v>
      </c>
      <c r="C2671" t="s">
        <v>22</v>
      </c>
      <c r="D2671" s="1">
        <v>45985</v>
      </c>
      <c r="Q2671" t="s">
        <v>199</v>
      </c>
      <c r="R2671" t="str">
        <f>_xlfn.XLOOKUP(GERAL[[#This Row],[Dia]],U:U,V:V,"")</f>
        <v/>
      </c>
    </row>
    <row r="2672" spans="1:18" hidden="1" x14ac:dyDescent="0.3">
      <c r="A2672" t="str">
        <f>_xlfn.XLOOKUP(GERAL[[#This Row],[Dia]],U:U,T:T,"")</f>
        <v/>
      </c>
      <c r="B2672" s="1">
        <v>45986</v>
      </c>
      <c r="C2672" t="s">
        <v>23</v>
      </c>
      <c r="D2672" s="1">
        <v>45986</v>
      </c>
      <c r="Q2672" t="s">
        <v>199</v>
      </c>
      <c r="R2672" t="str">
        <f>_xlfn.XLOOKUP(GERAL[[#This Row],[Dia]],U:U,V:V,"")</f>
        <v/>
      </c>
    </row>
    <row r="2673" spans="1:18" hidden="1" x14ac:dyDescent="0.3">
      <c r="A2673" t="str">
        <f>_xlfn.XLOOKUP(GERAL[[#This Row],[Dia]],U:U,T:T,"")</f>
        <v/>
      </c>
      <c r="B2673" s="1">
        <v>45987</v>
      </c>
      <c r="C2673" t="s">
        <v>24</v>
      </c>
      <c r="D2673" s="1">
        <v>45987</v>
      </c>
      <c r="Q2673" t="s">
        <v>199</v>
      </c>
      <c r="R2673" t="str">
        <f>_xlfn.XLOOKUP(GERAL[[#This Row],[Dia]],U:U,V:V,"")</f>
        <v/>
      </c>
    </row>
    <row r="2674" spans="1:18" hidden="1" x14ac:dyDescent="0.3">
      <c r="A2674" t="str">
        <f>_xlfn.XLOOKUP(GERAL[[#This Row],[Dia]],U:U,T:T,"")</f>
        <v/>
      </c>
      <c r="B2674" s="1">
        <v>45988</v>
      </c>
      <c r="C2674" t="s">
        <v>25</v>
      </c>
      <c r="D2674" s="1">
        <v>45988</v>
      </c>
      <c r="Q2674" t="s">
        <v>199</v>
      </c>
      <c r="R2674" t="str">
        <f>_xlfn.XLOOKUP(GERAL[[#This Row],[Dia]],U:U,V:V,"")</f>
        <v/>
      </c>
    </row>
    <row r="2675" spans="1:18" hidden="1" x14ac:dyDescent="0.3">
      <c r="A2675" t="str">
        <f>_xlfn.XLOOKUP(GERAL[[#This Row],[Dia]],U:U,T:T,"")</f>
        <v/>
      </c>
      <c r="B2675" s="1">
        <v>45989</v>
      </c>
      <c r="C2675" t="s">
        <v>26</v>
      </c>
      <c r="D2675" s="1">
        <v>45989</v>
      </c>
      <c r="Q2675" t="s">
        <v>199</v>
      </c>
      <c r="R2675" t="str">
        <f>_xlfn.XLOOKUP(GERAL[[#This Row],[Dia]],U:U,V:V,"")</f>
        <v/>
      </c>
    </row>
    <row r="2676" spans="1:18" hidden="1" x14ac:dyDescent="0.3">
      <c r="A2676" t="str">
        <f>_xlfn.XLOOKUP(GERAL[[#This Row],[Dia]],U:U,T:T,"")</f>
        <v/>
      </c>
      <c r="B2676" s="1">
        <v>45990</v>
      </c>
      <c r="C2676" t="s">
        <v>16</v>
      </c>
      <c r="D2676" s="1">
        <v>45990</v>
      </c>
      <c r="E2676" t="s">
        <v>17</v>
      </c>
      <c r="Q2676" t="s">
        <v>199</v>
      </c>
      <c r="R2676" t="str">
        <f>_xlfn.XLOOKUP(GERAL[[#This Row],[Dia]],U:U,V:V,"")</f>
        <v/>
      </c>
    </row>
    <row r="2677" spans="1:18" hidden="1" x14ac:dyDescent="0.3">
      <c r="A2677" t="str">
        <f>_xlfn.XLOOKUP(GERAL[[#This Row],[Dia]],U:U,T:T,"")</f>
        <v/>
      </c>
      <c r="B2677" s="1">
        <v>45991</v>
      </c>
      <c r="C2677" t="s">
        <v>21</v>
      </c>
      <c r="D2677" s="1">
        <v>45991</v>
      </c>
      <c r="E2677" t="s">
        <v>17</v>
      </c>
      <c r="Q2677" t="s">
        <v>199</v>
      </c>
      <c r="R2677" t="str">
        <f>_xlfn.XLOOKUP(GERAL[[#This Row],[Dia]],U:U,V:V,"")</f>
        <v/>
      </c>
    </row>
    <row r="2678" spans="1:18" hidden="1" x14ac:dyDescent="0.3">
      <c r="A2678" t="str">
        <f>_xlfn.XLOOKUP(GERAL[[#This Row],[Dia]],U:U,T:T,"")</f>
        <v/>
      </c>
      <c r="B2678" s="1">
        <v>45992</v>
      </c>
      <c r="C2678" t="s">
        <v>22</v>
      </c>
      <c r="D2678" s="1">
        <v>45992</v>
      </c>
      <c r="Q2678" t="s">
        <v>199</v>
      </c>
      <c r="R2678" t="str">
        <f>_xlfn.XLOOKUP(GERAL[[#This Row],[Dia]],U:U,V:V,"")</f>
        <v/>
      </c>
    </row>
    <row r="2679" spans="1:18" hidden="1" x14ac:dyDescent="0.3">
      <c r="A2679" t="str">
        <f>_xlfn.XLOOKUP(GERAL[[#This Row],[Dia]],U:U,T:T,"")</f>
        <v/>
      </c>
      <c r="B2679" s="1">
        <v>45993</v>
      </c>
      <c r="C2679" t="s">
        <v>23</v>
      </c>
      <c r="D2679" s="1">
        <v>45993</v>
      </c>
      <c r="Q2679" t="s">
        <v>199</v>
      </c>
      <c r="R2679" t="str">
        <f>_xlfn.XLOOKUP(GERAL[[#This Row],[Dia]],U:U,V:V,"")</f>
        <v/>
      </c>
    </row>
    <row r="2680" spans="1:18" hidden="1" x14ac:dyDescent="0.3">
      <c r="A2680" t="str">
        <f>_xlfn.XLOOKUP(GERAL[[#This Row],[Dia]],U:U,T:T,"")</f>
        <v/>
      </c>
      <c r="B2680" s="1">
        <v>45994</v>
      </c>
      <c r="C2680" t="s">
        <v>24</v>
      </c>
      <c r="D2680" s="1">
        <v>45994</v>
      </c>
      <c r="Q2680" t="s">
        <v>199</v>
      </c>
      <c r="R2680" t="str">
        <f>_xlfn.XLOOKUP(GERAL[[#This Row],[Dia]],U:U,V:V,"")</f>
        <v/>
      </c>
    </row>
    <row r="2681" spans="1:18" hidden="1" x14ac:dyDescent="0.3">
      <c r="A2681" t="str">
        <f>_xlfn.XLOOKUP(GERAL[[#This Row],[Dia]],U:U,T:T,"")</f>
        <v/>
      </c>
      <c r="B2681" s="1">
        <v>45995</v>
      </c>
      <c r="C2681" t="s">
        <v>25</v>
      </c>
      <c r="D2681" s="1">
        <v>45995</v>
      </c>
      <c r="Q2681" t="s">
        <v>199</v>
      </c>
      <c r="R2681" t="str">
        <f>_xlfn.XLOOKUP(GERAL[[#This Row],[Dia]],U:U,V:V,"")</f>
        <v/>
      </c>
    </row>
    <row r="2682" spans="1:18" hidden="1" x14ac:dyDescent="0.3">
      <c r="A2682" t="str">
        <f>_xlfn.XLOOKUP(GERAL[[#This Row],[Dia]],U:U,T:T,"")</f>
        <v/>
      </c>
      <c r="B2682" s="1">
        <v>45996</v>
      </c>
      <c r="C2682" t="s">
        <v>26</v>
      </c>
      <c r="D2682" s="1">
        <v>45996</v>
      </c>
      <c r="Q2682" t="s">
        <v>199</v>
      </c>
      <c r="R2682" t="str">
        <f>_xlfn.XLOOKUP(GERAL[[#This Row],[Dia]],U:U,V:V,"")</f>
        <v/>
      </c>
    </row>
    <row r="2683" spans="1:18" hidden="1" x14ac:dyDescent="0.3">
      <c r="A2683" t="str">
        <f>_xlfn.XLOOKUP(GERAL[[#This Row],[Dia]],U:U,T:T,"")</f>
        <v/>
      </c>
      <c r="B2683" s="1">
        <v>45997</v>
      </c>
      <c r="C2683" t="s">
        <v>16</v>
      </c>
      <c r="D2683" s="1">
        <v>45997</v>
      </c>
      <c r="E2683" t="s">
        <v>17</v>
      </c>
      <c r="Q2683" t="s">
        <v>199</v>
      </c>
      <c r="R2683" t="str">
        <f>_xlfn.XLOOKUP(GERAL[[#This Row],[Dia]],U:U,V:V,"")</f>
        <v/>
      </c>
    </row>
    <row r="2684" spans="1:18" hidden="1" x14ac:dyDescent="0.3">
      <c r="A2684" t="str">
        <f>_xlfn.XLOOKUP(GERAL[[#This Row],[Dia]],U:U,T:T,"")</f>
        <v/>
      </c>
      <c r="B2684" s="1">
        <v>45998</v>
      </c>
      <c r="C2684" t="s">
        <v>21</v>
      </c>
      <c r="D2684" s="1">
        <v>45998</v>
      </c>
      <c r="E2684" t="s">
        <v>17</v>
      </c>
      <c r="Q2684" t="s">
        <v>199</v>
      </c>
      <c r="R2684" t="str">
        <f>_xlfn.XLOOKUP(GERAL[[#This Row],[Dia]],U:U,V:V,"")</f>
        <v/>
      </c>
    </row>
    <row r="2685" spans="1:18" hidden="1" x14ac:dyDescent="0.3">
      <c r="A2685" t="str">
        <f>_xlfn.XLOOKUP(GERAL[[#This Row],[Dia]],U:U,T:T,"")</f>
        <v/>
      </c>
      <c r="B2685" s="1">
        <v>45999</v>
      </c>
      <c r="C2685" t="s">
        <v>22</v>
      </c>
      <c r="D2685" s="1">
        <v>45999</v>
      </c>
      <c r="Q2685" t="s">
        <v>199</v>
      </c>
      <c r="R2685" t="str">
        <f>_xlfn.XLOOKUP(GERAL[[#This Row],[Dia]],U:U,V:V,"")</f>
        <v/>
      </c>
    </row>
    <row r="2686" spans="1:18" hidden="1" x14ac:dyDescent="0.3">
      <c r="A2686" t="str">
        <f>_xlfn.XLOOKUP(GERAL[[#This Row],[Dia]],U:U,T:T,"")</f>
        <v/>
      </c>
      <c r="B2686" s="1">
        <v>46000</v>
      </c>
      <c r="C2686" t="s">
        <v>23</v>
      </c>
      <c r="D2686" s="1">
        <v>46000</v>
      </c>
      <c r="Q2686" t="s">
        <v>199</v>
      </c>
      <c r="R2686" t="str">
        <f>_xlfn.XLOOKUP(GERAL[[#This Row],[Dia]],U:U,V:V,"")</f>
        <v/>
      </c>
    </row>
    <row r="2687" spans="1:18" hidden="1" x14ac:dyDescent="0.3">
      <c r="A2687" t="str">
        <f>_xlfn.XLOOKUP(GERAL[[#This Row],[Dia]],U:U,T:T,"")</f>
        <v/>
      </c>
      <c r="B2687" s="1">
        <v>46001</v>
      </c>
      <c r="C2687" t="s">
        <v>24</v>
      </c>
      <c r="D2687" s="1">
        <v>46001</v>
      </c>
      <c r="Q2687" t="s">
        <v>199</v>
      </c>
      <c r="R2687" t="str">
        <f>_xlfn.XLOOKUP(GERAL[[#This Row],[Dia]],U:U,V:V,"")</f>
        <v/>
      </c>
    </row>
    <row r="2688" spans="1:18" hidden="1" x14ac:dyDescent="0.3">
      <c r="A2688" t="str">
        <f>_xlfn.XLOOKUP(GERAL[[#This Row],[Dia]],U:U,T:T,"")</f>
        <v/>
      </c>
      <c r="B2688" s="1">
        <v>46002</v>
      </c>
      <c r="C2688" t="s">
        <v>25</v>
      </c>
      <c r="D2688" s="1">
        <v>46002</v>
      </c>
      <c r="Q2688" t="s">
        <v>199</v>
      </c>
      <c r="R2688" t="str">
        <f>_xlfn.XLOOKUP(GERAL[[#This Row],[Dia]],U:U,V:V,"")</f>
        <v/>
      </c>
    </row>
    <row r="2689" spans="1:18" hidden="1" x14ac:dyDescent="0.3">
      <c r="A2689" t="str">
        <f>_xlfn.XLOOKUP(GERAL[[#This Row],[Dia]],U:U,T:T,"")</f>
        <v/>
      </c>
      <c r="B2689" s="1">
        <v>46003</v>
      </c>
      <c r="C2689" t="s">
        <v>26</v>
      </c>
      <c r="D2689" s="1">
        <v>46003</v>
      </c>
      <c r="Q2689" t="s">
        <v>199</v>
      </c>
      <c r="R2689" t="str">
        <f>_xlfn.XLOOKUP(GERAL[[#This Row],[Dia]],U:U,V:V,"")</f>
        <v/>
      </c>
    </row>
    <row r="2690" spans="1:18" hidden="1" x14ac:dyDescent="0.3">
      <c r="A2690" t="str">
        <f>_xlfn.XLOOKUP(GERAL[[#This Row],[Dia]],U:U,T:T,"")</f>
        <v/>
      </c>
      <c r="B2690" s="1">
        <v>46004</v>
      </c>
      <c r="C2690" t="s">
        <v>16</v>
      </c>
      <c r="D2690" s="1">
        <v>46004</v>
      </c>
      <c r="E2690" t="s">
        <v>17</v>
      </c>
      <c r="Q2690" t="s">
        <v>199</v>
      </c>
      <c r="R2690" t="str">
        <f>_xlfn.XLOOKUP(GERAL[[#This Row],[Dia]],U:U,V:V,"")</f>
        <v/>
      </c>
    </row>
    <row r="2691" spans="1:18" hidden="1" x14ac:dyDescent="0.3">
      <c r="A2691" t="str">
        <f>_xlfn.XLOOKUP(GERAL[[#This Row],[Dia]],U:U,T:T,"")</f>
        <v/>
      </c>
      <c r="B2691" s="1">
        <v>46005</v>
      </c>
      <c r="C2691" t="s">
        <v>21</v>
      </c>
      <c r="D2691" s="1">
        <v>46005</v>
      </c>
      <c r="E2691" t="s">
        <v>17</v>
      </c>
      <c r="Q2691" t="s">
        <v>199</v>
      </c>
      <c r="R2691" t="str">
        <f>_xlfn.XLOOKUP(GERAL[[#This Row],[Dia]],U:U,V:V,"")</f>
        <v/>
      </c>
    </row>
    <row r="2692" spans="1:18" hidden="1" x14ac:dyDescent="0.3">
      <c r="A2692" t="str">
        <f>_xlfn.XLOOKUP(GERAL[[#This Row],[Dia]],U:U,T:T,"")</f>
        <v/>
      </c>
      <c r="B2692" s="1">
        <v>46006</v>
      </c>
      <c r="C2692" t="s">
        <v>22</v>
      </c>
      <c r="D2692" s="1">
        <v>46006</v>
      </c>
      <c r="Q2692" t="s">
        <v>199</v>
      </c>
      <c r="R2692" t="str">
        <f>_xlfn.XLOOKUP(GERAL[[#This Row],[Dia]],U:U,V:V,"")</f>
        <v/>
      </c>
    </row>
    <row r="2693" spans="1:18" hidden="1" x14ac:dyDescent="0.3">
      <c r="A2693" t="str">
        <f>_xlfn.XLOOKUP(GERAL[[#This Row],[Dia]],U:U,T:T,"")</f>
        <v/>
      </c>
      <c r="B2693" s="1">
        <v>46007</v>
      </c>
      <c r="C2693" t="s">
        <v>23</v>
      </c>
      <c r="D2693" s="1">
        <v>46007</v>
      </c>
      <c r="Q2693" t="s">
        <v>199</v>
      </c>
      <c r="R2693" t="str">
        <f>_xlfn.XLOOKUP(GERAL[[#This Row],[Dia]],U:U,V:V,"")</f>
        <v/>
      </c>
    </row>
    <row r="2694" spans="1:18" hidden="1" x14ac:dyDescent="0.3">
      <c r="A2694" t="str">
        <f>_xlfn.XLOOKUP(GERAL[[#This Row],[Dia]],U:U,T:T,"")</f>
        <v/>
      </c>
      <c r="B2694" s="1">
        <v>46008</v>
      </c>
      <c r="C2694" t="s">
        <v>24</v>
      </c>
      <c r="D2694" s="1">
        <v>46008</v>
      </c>
      <c r="Q2694" t="s">
        <v>199</v>
      </c>
      <c r="R2694" t="str">
        <f>_xlfn.XLOOKUP(GERAL[[#This Row],[Dia]],U:U,V:V,"")</f>
        <v/>
      </c>
    </row>
    <row r="2695" spans="1:18" hidden="1" x14ac:dyDescent="0.3">
      <c r="A2695" t="str">
        <f>_xlfn.XLOOKUP(GERAL[[#This Row],[Dia]],U:U,T:T,"")</f>
        <v/>
      </c>
      <c r="B2695" s="1">
        <v>46009</v>
      </c>
      <c r="C2695" t="s">
        <v>25</v>
      </c>
      <c r="D2695" s="1">
        <v>46009</v>
      </c>
      <c r="Q2695" t="s">
        <v>199</v>
      </c>
      <c r="R2695" t="str">
        <f>_xlfn.XLOOKUP(GERAL[[#This Row],[Dia]],U:U,V:V,"")</f>
        <v/>
      </c>
    </row>
    <row r="2696" spans="1:18" hidden="1" x14ac:dyDescent="0.3">
      <c r="A2696" t="str">
        <f>_xlfn.XLOOKUP(GERAL[[#This Row],[Dia]],U:U,T:T,"")</f>
        <v/>
      </c>
      <c r="B2696" s="1">
        <v>46010</v>
      </c>
      <c r="C2696" t="s">
        <v>26</v>
      </c>
      <c r="D2696" s="1">
        <v>46010</v>
      </c>
      <c r="Q2696" t="s">
        <v>199</v>
      </c>
      <c r="R2696" t="str">
        <f>_xlfn.XLOOKUP(GERAL[[#This Row],[Dia]],U:U,V:V,"")</f>
        <v/>
      </c>
    </row>
    <row r="2697" spans="1:18" hidden="1" x14ac:dyDescent="0.3">
      <c r="A2697" t="str">
        <f>_xlfn.XLOOKUP(GERAL[[#This Row],[Dia]],U:U,T:T,"")</f>
        <v/>
      </c>
      <c r="B2697" s="1">
        <v>46011</v>
      </c>
      <c r="C2697" t="s">
        <v>16</v>
      </c>
      <c r="D2697" s="1">
        <v>46011</v>
      </c>
      <c r="E2697" t="s">
        <v>17</v>
      </c>
      <c r="Q2697" t="s">
        <v>199</v>
      </c>
      <c r="R2697" t="str">
        <f>_xlfn.XLOOKUP(GERAL[[#This Row],[Dia]],U:U,V:V,"")</f>
        <v/>
      </c>
    </row>
    <row r="2698" spans="1:18" hidden="1" x14ac:dyDescent="0.3">
      <c r="A2698" t="str">
        <f>_xlfn.XLOOKUP(GERAL[[#This Row],[Dia]],U:U,T:T,"")</f>
        <v/>
      </c>
      <c r="B2698" s="1">
        <v>46012</v>
      </c>
      <c r="C2698" t="s">
        <v>21</v>
      </c>
      <c r="D2698" s="1">
        <v>46012</v>
      </c>
      <c r="E2698" t="s">
        <v>17</v>
      </c>
      <c r="Q2698" t="s">
        <v>199</v>
      </c>
      <c r="R2698" t="str">
        <f>_xlfn.XLOOKUP(GERAL[[#This Row],[Dia]],U:U,V:V,"")</f>
        <v/>
      </c>
    </row>
    <row r="2699" spans="1:18" hidden="1" x14ac:dyDescent="0.3">
      <c r="A2699" t="str">
        <f>_xlfn.XLOOKUP(GERAL[[#This Row],[Dia]],U:U,T:T,"")</f>
        <v/>
      </c>
      <c r="B2699" s="1">
        <v>46013</v>
      </c>
      <c r="C2699" t="s">
        <v>22</v>
      </c>
      <c r="D2699" s="1">
        <v>46013</v>
      </c>
      <c r="Q2699" t="s">
        <v>199</v>
      </c>
      <c r="R2699" t="str">
        <f>_xlfn.XLOOKUP(GERAL[[#This Row],[Dia]],U:U,V:V,"")</f>
        <v/>
      </c>
    </row>
    <row r="2700" spans="1:18" hidden="1" x14ac:dyDescent="0.3">
      <c r="A2700" t="str">
        <f>_xlfn.XLOOKUP(GERAL[[#This Row],[Dia]],U:U,T:T,"")</f>
        <v/>
      </c>
      <c r="B2700" s="1">
        <v>46014</v>
      </c>
      <c r="C2700" t="s">
        <v>23</v>
      </c>
      <c r="D2700" s="1">
        <v>46014</v>
      </c>
      <c r="Q2700" t="s">
        <v>199</v>
      </c>
      <c r="R2700" t="str">
        <f>_xlfn.XLOOKUP(GERAL[[#This Row],[Dia]],U:U,V:V,"")</f>
        <v/>
      </c>
    </row>
    <row r="2701" spans="1:18" hidden="1" x14ac:dyDescent="0.3">
      <c r="A2701" t="str">
        <f>_xlfn.XLOOKUP(GERAL[[#This Row],[Dia]],U:U,T:T,"")</f>
        <v/>
      </c>
      <c r="B2701" s="1">
        <v>46015</v>
      </c>
      <c r="C2701" t="s">
        <v>24</v>
      </c>
      <c r="D2701" s="1">
        <v>46015</v>
      </c>
      <c r="Q2701" t="s">
        <v>199</v>
      </c>
      <c r="R2701" t="str">
        <f>_xlfn.XLOOKUP(GERAL[[#This Row],[Dia]],U:U,V:V,"")</f>
        <v/>
      </c>
    </row>
    <row r="2702" spans="1:18" hidden="1" x14ac:dyDescent="0.3">
      <c r="A2702" t="str">
        <f>_xlfn.XLOOKUP(GERAL[[#This Row],[Dia]],U:U,T:T,"")</f>
        <v/>
      </c>
      <c r="B2702" s="1">
        <v>46016</v>
      </c>
      <c r="C2702" t="s">
        <v>25</v>
      </c>
      <c r="D2702" s="1">
        <v>46016</v>
      </c>
      <c r="Q2702" t="s">
        <v>199</v>
      </c>
      <c r="R2702" t="str">
        <f>_xlfn.XLOOKUP(GERAL[[#This Row],[Dia]],U:U,V:V,"")</f>
        <v/>
      </c>
    </row>
    <row r="2703" spans="1:18" hidden="1" x14ac:dyDescent="0.3">
      <c r="A2703" t="str">
        <f>_xlfn.XLOOKUP(GERAL[[#This Row],[Dia]],U:U,T:T,"")</f>
        <v/>
      </c>
      <c r="B2703" s="1">
        <v>46017</v>
      </c>
      <c r="C2703" t="s">
        <v>26</v>
      </c>
      <c r="D2703" s="1">
        <v>46017</v>
      </c>
      <c r="Q2703" t="s">
        <v>199</v>
      </c>
      <c r="R2703" t="str">
        <f>_xlfn.XLOOKUP(GERAL[[#This Row],[Dia]],U:U,V:V,"")</f>
        <v/>
      </c>
    </row>
    <row r="2704" spans="1:18" hidden="1" x14ac:dyDescent="0.3">
      <c r="A2704" t="str">
        <f>_xlfn.XLOOKUP(GERAL[[#This Row],[Dia]],U:U,T:T,"")</f>
        <v/>
      </c>
      <c r="B2704" s="1">
        <v>46018</v>
      </c>
      <c r="C2704" t="s">
        <v>16</v>
      </c>
      <c r="D2704" s="1">
        <v>46018</v>
      </c>
      <c r="E2704" t="s">
        <v>17</v>
      </c>
      <c r="Q2704" t="s">
        <v>199</v>
      </c>
      <c r="R2704" t="str">
        <f>_xlfn.XLOOKUP(GERAL[[#This Row],[Dia]],U:U,V:V,"")</f>
        <v/>
      </c>
    </row>
    <row r="2705" spans="1:18" hidden="1" x14ac:dyDescent="0.3">
      <c r="A2705" t="str">
        <f>_xlfn.XLOOKUP(GERAL[[#This Row],[Dia]],U:U,T:T,"")</f>
        <v/>
      </c>
      <c r="B2705" s="1">
        <v>46019</v>
      </c>
      <c r="C2705" t="s">
        <v>21</v>
      </c>
      <c r="D2705" s="1">
        <v>46019</v>
      </c>
      <c r="E2705" t="s">
        <v>17</v>
      </c>
      <c r="Q2705" t="s">
        <v>199</v>
      </c>
      <c r="R2705" t="str">
        <f>_xlfn.XLOOKUP(GERAL[[#This Row],[Dia]],U:U,V:V,"")</f>
        <v/>
      </c>
    </row>
    <row r="2706" spans="1:18" hidden="1" x14ac:dyDescent="0.3">
      <c r="A2706" t="str">
        <f>_xlfn.XLOOKUP(GERAL[[#This Row],[Dia]],U:U,T:T,"")</f>
        <v/>
      </c>
      <c r="B2706" s="1">
        <v>46020</v>
      </c>
      <c r="C2706" t="s">
        <v>22</v>
      </c>
      <c r="D2706" s="1">
        <v>46020</v>
      </c>
      <c r="Q2706" t="s">
        <v>199</v>
      </c>
      <c r="R2706" t="str">
        <f>_xlfn.XLOOKUP(GERAL[[#This Row],[Dia]],U:U,V:V,"")</f>
        <v/>
      </c>
    </row>
    <row r="2707" spans="1:18" hidden="1" x14ac:dyDescent="0.3">
      <c r="A2707" t="str">
        <f>_xlfn.XLOOKUP(GERAL[[#This Row],[Dia]],U:U,T:T,"")</f>
        <v/>
      </c>
      <c r="B2707" s="1">
        <v>46021</v>
      </c>
      <c r="C2707" t="s">
        <v>23</v>
      </c>
      <c r="D2707" s="1">
        <v>46021</v>
      </c>
      <c r="Q2707" t="s">
        <v>199</v>
      </c>
      <c r="R2707" t="str">
        <f>_xlfn.XLOOKUP(GERAL[[#This Row],[Dia]],U:U,V:V,"")</f>
        <v/>
      </c>
    </row>
    <row r="2708" spans="1:18" hidden="1" x14ac:dyDescent="0.3">
      <c r="A2708" t="str">
        <f>_xlfn.XLOOKUP(GERAL[[#This Row],[Dia]],U:U,T:T,"")</f>
        <v/>
      </c>
      <c r="B2708" s="1">
        <v>46022</v>
      </c>
      <c r="C2708" t="s">
        <v>24</v>
      </c>
      <c r="D2708" s="1">
        <v>46022</v>
      </c>
      <c r="Q2708" t="s">
        <v>199</v>
      </c>
      <c r="R2708" t="str">
        <f>_xlfn.XLOOKUP(GERAL[[#This Row],[Dia]],U:U,V:V,"")</f>
        <v/>
      </c>
    </row>
    <row r="2709" spans="1:18" hidden="1" x14ac:dyDescent="0.3">
      <c r="A2709" t="str">
        <f>_xlfn.XLOOKUP(GERAL[[#This Row],[Dia]],U:U,T:T,"")</f>
        <v/>
      </c>
      <c r="B2709" s="1">
        <v>46023</v>
      </c>
      <c r="C2709" t="s">
        <v>25</v>
      </c>
      <c r="D2709" s="1">
        <v>46023</v>
      </c>
      <c r="Q2709" t="s">
        <v>199</v>
      </c>
      <c r="R2709" t="str">
        <f>_xlfn.XLOOKUP(GERAL[[#This Row],[Dia]],U:U,V:V,"")</f>
        <v/>
      </c>
    </row>
    <row r="2710" spans="1:18" hidden="1" x14ac:dyDescent="0.3">
      <c r="A2710" t="str">
        <f>_xlfn.XLOOKUP(GERAL[[#This Row],[Dia]],U:U,T:T,"")</f>
        <v/>
      </c>
      <c r="B2710" s="1">
        <v>46024</v>
      </c>
      <c r="C2710" t="s">
        <v>26</v>
      </c>
      <c r="D2710" s="1">
        <v>46024</v>
      </c>
      <c r="Q2710" t="s">
        <v>199</v>
      </c>
      <c r="R2710" t="str">
        <f>_xlfn.XLOOKUP(GERAL[[#This Row],[Dia]],U:U,V:V,"")</f>
        <v/>
      </c>
    </row>
    <row r="2711" spans="1:18" hidden="1" x14ac:dyDescent="0.3">
      <c r="A2711" t="str">
        <f>_xlfn.XLOOKUP(GERAL[[#This Row],[Dia]],U:U,T:T,"")</f>
        <v/>
      </c>
      <c r="B2711" s="1">
        <v>46025</v>
      </c>
      <c r="C2711" t="s">
        <v>16</v>
      </c>
      <c r="D2711" s="1">
        <v>46025</v>
      </c>
      <c r="E2711" t="s">
        <v>17</v>
      </c>
      <c r="Q2711" t="s">
        <v>199</v>
      </c>
      <c r="R2711" t="str">
        <f>_xlfn.XLOOKUP(GERAL[[#This Row],[Dia]],U:U,V:V,"")</f>
        <v/>
      </c>
    </row>
    <row r="2712" spans="1:18" hidden="1" x14ac:dyDescent="0.3">
      <c r="A2712" t="str">
        <f>_xlfn.XLOOKUP(GERAL[[#This Row],[Dia]],U:U,T:T,"")</f>
        <v/>
      </c>
      <c r="B2712" s="1">
        <v>46026</v>
      </c>
      <c r="C2712" t="s">
        <v>21</v>
      </c>
      <c r="D2712" s="1">
        <v>46026</v>
      </c>
      <c r="E2712" t="s">
        <v>17</v>
      </c>
      <c r="Q2712" t="s">
        <v>199</v>
      </c>
      <c r="R2712" t="str">
        <f>_xlfn.XLOOKUP(GERAL[[#This Row],[Dia]],U:U,V:V,"")</f>
        <v/>
      </c>
    </row>
    <row r="2713" spans="1:18" hidden="1" x14ac:dyDescent="0.3">
      <c r="A2713" t="str">
        <f>_xlfn.XLOOKUP(GERAL[[#This Row],[Dia]],U:U,T:T,"")</f>
        <v/>
      </c>
      <c r="B2713" s="1">
        <v>46027</v>
      </c>
      <c r="C2713" t="s">
        <v>22</v>
      </c>
      <c r="D2713" s="1">
        <v>46027</v>
      </c>
      <c r="E2713" t="s">
        <v>36</v>
      </c>
      <c r="F2713" t="s">
        <v>200</v>
      </c>
      <c r="G2713" t="s">
        <v>201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3</v>
      </c>
      <c r="O2713">
        <v>0</v>
      </c>
      <c r="P2713">
        <v>0</v>
      </c>
      <c r="Q2713" t="s">
        <v>199</v>
      </c>
      <c r="R2713" t="str">
        <f>_xlfn.XLOOKUP(GERAL[[#This Row],[Dia]],U:U,V:V,"")</f>
        <v/>
      </c>
    </row>
    <row r="2714" spans="1:18" hidden="1" x14ac:dyDescent="0.3">
      <c r="A2714" t="str">
        <f>_xlfn.XLOOKUP(GERAL[[#This Row],[Dia]],U:U,T:T,"")</f>
        <v/>
      </c>
      <c r="B2714" s="1">
        <v>46028</v>
      </c>
      <c r="C2714" t="s">
        <v>23</v>
      </c>
      <c r="D2714" s="1">
        <v>46028</v>
      </c>
      <c r="E2714" t="s">
        <v>36</v>
      </c>
      <c r="F2714" t="s">
        <v>200</v>
      </c>
      <c r="G2714" t="s">
        <v>201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11</v>
      </c>
      <c r="O2714">
        <v>8</v>
      </c>
      <c r="Q2714" t="s">
        <v>199</v>
      </c>
      <c r="R2714" t="str">
        <f>_xlfn.XLOOKUP(GERAL[[#This Row],[Dia]],U:U,V:V,"")</f>
        <v/>
      </c>
    </row>
    <row r="2715" spans="1:18" hidden="1" x14ac:dyDescent="0.3">
      <c r="A2715" t="str">
        <f>_xlfn.XLOOKUP(GERAL[[#This Row],[Dia]],U:U,T:T,"")</f>
        <v/>
      </c>
      <c r="B2715" s="1">
        <v>46029</v>
      </c>
      <c r="C2715" t="s">
        <v>24</v>
      </c>
      <c r="D2715" s="1">
        <v>46029</v>
      </c>
      <c r="E2715" t="s">
        <v>36</v>
      </c>
      <c r="F2715" t="s">
        <v>200</v>
      </c>
      <c r="G2715" t="s">
        <v>201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7</v>
      </c>
      <c r="O2715">
        <v>7</v>
      </c>
      <c r="P2715">
        <v>0</v>
      </c>
      <c r="Q2715" t="s">
        <v>199</v>
      </c>
      <c r="R2715" t="str">
        <f>_xlfn.XLOOKUP(GERAL[[#This Row],[Dia]],U:U,V:V,"")</f>
        <v/>
      </c>
    </row>
    <row r="2716" spans="1:18" hidden="1" x14ac:dyDescent="0.3">
      <c r="A2716" t="str">
        <f>_xlfn.XLOOKUP(GERAL[[#This Row],[Dia]],U:U,T:T,"")</f>
        <v/>
      </c>
      <c r="B2716" s="1">
        <v>46030</v>
      </c>
      <c r="C2716" t="s">
        <v>25</v>
      </c>
      <c r="D2716" s="1">
        <v>46030</v>
      </c>
      <c r="E2716" t="s">
        <v>36</v>
      </c>
      <c r="F2716" t="s">
        <v>200</v>
      </c>
      <c r="G2716" t="s">
        <v>201</v>
      </c>
      <c r="H2716">
        <v>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8</v>
      </c>
      <c r="O2716">
        <v>8</v>
      </c>
      <c r="P2716">
        <v>0</v>
      </c>
      <c r="Q2716" t="s">
        <v>199</v>
      </c>
      <c r="R2716" t="str">
        <f>_xlfn.XLOOKUP(GERAL[[#This Row],[Dia]],U:U,V:V,"")</f>
        <v/>
      </c>
    </row>
    <row r="2717" spans="1:18" hidden="1" x14ac:dyDescent="0.3">
      <c r="A2717" t="str">
        <f>_xlfn.XLOOKUP(GERAL[[#This Row],[Dia]],U:U,T:T,"")</f>
        <v/>
      </c>
      <c r="B2717" s="1">
        <v>46031</v>
      </c>
      <c r="C2717" t="s">
        <v>26</v>
      </c>
      <c r="D2717" s="1">
        <v>46031</v>
      </c>
      <c r="E2717" t="s">
        <v>36</v>
      </c>
      <c r="F2717" t="s">
        <v>200</v>
      </c>
      <c r="G2717" t="s">
        <v>201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15</v>
      </c>
      <c r="O2717">
        <v>2</v>
      </c>
      <c r="P2717">
        <v>0</v>
      </c>
      <c r="Q2717" t="s">
        <v>199</v>
      </c>
      <c r="R2717" t="str">
        <f>_xlfn.XLOOKUP(GERAL[[#This Row],[Dia]],U:U,V:V,"")</f>
        <v/>
      </c>
    </row>
    <row r="2718" spans="1:18" hidden="1" x14ac:dyDescent="0.3">
      <c r="A2718" t="str">
        <f>_xlfn.XLOOKUP(GERAL[[#This Row],[Dia]],U:U,T:T,"")</f>
        <v/>
      </c>
      <c r="B2718" s="1">
        <v>46032</v>
      </c>
      <c r="C2718" t="s">
        <v>16</v>
      </c>
      <c r="D2718" s="1">
        <v>46032</v>
      </c>
      <c r="E2718" t="s">
        <v>36</v>
      </c>
      <c r="F2718" t="s">
        <v>200</v>
      </c>
      <c r="G2718" t="s">
        <v>201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17</v>
      </c>
      <c r="O2718">
        <v>0</v>
      </c>
      <c r="P2718">
        <v>0</v>
      </c>
      <c r="Q2718" t="s">
        <v>199</v>
      </c>
      <c r="R2718" t="str">
        <f>_xlfn.XLOOKUP(GERAL[[#This Row],[Dia]],U:U,V:V,"")</f>
        <v/>
      </c>
    </row>
    <row r="2719" spans="1:18" hidden="1" x14ac:dyDescent="0.3">
      <c r="A2719" t="str">
        <f>_xlfn.XLOOKUP(GERAL[[#This Row],[Dia]],U:U,T:T,"")</f>
        <v/>
      </c>
      <c r="B2719" s="1">
        <v>46033</v>
      </c>
      <c r="C2719" t="s">
        <v>21</v>
      </c>
      <c r="D2719" s="1">
        <v>46033</v>
      </c>
      <c r="E2719" t="s">
        <v>17</v>
      </c>
      <c r="Q2719" t="s">
        <v>199</v>
      </c>
      <c r="R2719" t="str">
        <f>_xlfn.XLOOKUP(GERAL[[#This Row],[Dia]],U:U,V:V,"")</f>
        <v/>
      </c>
    </row>
    <row r="2720" spans="1:18" hidden="1" x14ac:dyDescent="0.3">
      <c r="A2720" t="str">
        <f>_xlfn.XLOOKUP(GERAL[[#This Row],[Dia]],U:U,T:T,"")</f>
        <v/>
      </c>
      <c r="B2720" s="1">
        <v>46034</v>
      </c>
      <c r="C2720" t="s">
        <v>22</v>
      </c>
      <c r="D2720" s="1">
        <v>46034</v>
      </c>
      <c r="E2720" t="s">
        <v>36</v>
      </c>
      <c r="F2720" t="s">
        <v>200</v>
      </c>
      <c r="G2720" t="s">
        <v>201</v>
      </c>
      <c r="H2720">
        <v>0</v>
      </c>
      <c r="I2720">
        <v>7</v>
      </c>
      <c r="J2720">
        <v>0</v>
      </c>
      <c r="K2720">
        <v>0</v>
      </c>
      <c r="L2720">
        <v>0</v>
      </c>
      <c r="M2720">
        <v>0</v>
      </c>
      <c r="N2720">
        <v>7</v>
      </c>
      <c r="O2720">
        <v>1</v>
      </c>
      <c r="P2720">
        <v>0</v>
      </c>
      <c r="Q2720" t="s">
        <v>199</v>
      </c>
      <c r="R2720" t="str">
        <f>_xlfn.XLOOKUP(GERAL[[#This Row],[Dia]],U:U,V:V,"")</f>
        <v/>
      </c>
    </row>
    <row r="2721" spans="1:18" hidden="1" x14ac:dyDescent="0.3">
      <c r="A2721" t="str">
        <f>_xlfn.XLOOKUP(GERAL[[#This Row],[Dia]],U:U,T:T,"")</f>
        <v/>
      </c>
      <c r="B2721" s="1">
        <v>46035</v>
      </c>
      <c r="C2721" t="s">
        <v>23</v>
      </c>
      <c r="D2721" s="1">
        <v>46035</v>
      </c>
      <c r="E2721" t="s">
        <v>36</v>
      </c>
      <c r="F2721" t="s">
        <v>200</v>
      </c>
      <c r="G2721" t="s">
        <v>201</v>
      </c>
      <c r="H2721">
        <v>0</v>
      </c>
      <c r="I2721">
        <v>13</v>
      </c>
      <c r="J2721">
        <v>0</v>
      </c>
      <c r="K2721">
        <v>0</v>
      </c>
      <c r="L2721">
        <v>0</v>
      </c>
      <c r="M2721">
        <v>0</v>
      </c>
      <c r="N2721">
        <v>12</v>
      </c>
      <c r="O2721">
        <v>0</v>
      </c>
      <c r="P2721">
        <v>0</v>
      </c>
      <c r="Q2721" t="s">
        <v>199</v>
      </c>
      <c r="R2721" t="str">
        <f>_xlfn.XLOOKUP(GERAL[[#This Row],[Dia]],U:U,V:V,"")</f>
        <v/>
      </c>
    </row>
    <row r="2722" spans="1:18" hidden="1" x14ac:dyDescent="0.3">
      <c r="A2722" t="str">
        <f>_xlfn.XLOOKUP(GERAL[[#This Row],[Dia]],U:U,T:T,"")</f>
        <v/>
      </c>
      <c r="B2722" s="1">
        <v>46036</v>
      </c>
      <c r="C2722" t="s">
        <v>24</v>
      </c>
      <c r="D2722" s="1">
        <v>46036</v>
      </c>
      <c r="E2722" t="s">
        <v>36</v>
      </c>
      <c r="F2722" t="s">
        <v>200</v>
      </c>
      <c r="G2722" t="s">
        <v>201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10</v>
      </c>
      <c r="O2722">
        <v>0</v>
      </c>
      <c r="P2722">
        <v>0</v>
      </c>
      <c r="Q2722" t="s">
        <v>199</v>
      </c>
      <c r="R2722" t="str">
        <f>_xlfn.XLOOKUP(GERAL[[#This Row],[Dia]],U:U,V:V,"")</f>
        <v/>
      </c>
    </row>
    <row r="2723" spans="1:18" hidden="1" x14ac:dyDescent="0.3">
      <c r="A2723" t="str">
        <f>_xlfn.XLOOKUP(GERAL[[#This Row],[Dia]],U:U,T:T,"")</f>
        <v/>
      </c>
      <c r="B2723" s="1">
        <v>46037</v>
      </c>
      <c r="C2723" t="s">
        <v>25</v>
      </c>
      <c r="D2723" s="1">
        <v>46037</v>
      </c>
      <c r="E2723" t="s">
        <v>36</v>
      </c>
      <c r="F2723" t="s">
        <v>200</v>
      </c>
      <c r="G2723" t="s">
        <v>201</v>
      </c>
      <c r="H2723">
        <v>0</v>
      </c>
      <c r="I2723">
        <v>0</v>
      </c>
      <c r="J2723">
        <v>0</v>
      </c>
      <c r="K2723">
        <v>15</v>
      </c>
      <c r="L2723">
        <v>0</v>
      </c>
      <c r="M2723">
        <v>0</v>
      </c>
      <c r="N2723">
        <v>16</v>
      </c>
      <c r="O2723">
        <v>0</v>
      </c>
      <c r="P2723">
        <v>0</v>
      </c>
      <c r="Q2723" t="s">
        <v>199</v>
      </c>
      <c r="R2723" t="str">
        <f>_xlfn.XLOOKUP(GERAL[[#This Row],[Dia]],U:U,V:V,"")</f>
        <v/>
      </c>
    </row>
    <row r="2724" spans="1:18" hidden="1" x14ac:dyDescent="0.3">
      <c r="A2724" t="str">
        <f>_xlfn.XLOOKUP(GERAL[[#This Row],[Dia]],U:U,T:T,"")</f>
        <v/>
      </c>
      <c r="B2724" s="1">
        <v>46038</v>
      </c>
      <c r="C2724" t="s">
        <v>26</v>
      </c>
      <c r="D2724" s="1">
        <v>46038</v>
      </c>
      <c r="E2724" t="s">
        <v>36</v>
      </c>
      <c r="F2724" t="s">
        <v>200</v>
      </c>
      <c r="G2724" t="s">
        <v>201</v>
      </c>
      <c r="H2724">
        <v>1</v>
      </c>
      <c r="I2724">
        <v>0</v>
      </c>
      <c r="J2724">
        <v>0</v>
      </c>
      <c r="K2724">
        <v>23</v>
      </c>
      <c r="L2724">
        <v>3</v>
      </c>
      <c r="M2724">
        <v>0</v>
      </c>
      <c r="N2724">
        <v>10</v>
      </c>
      <c r="O2724">
        <v>2</v>
      </c>
      <c r="Q2724" t="s">
        <v>199</v>
      </c>
      <c r="R2724" t="str">
        <f>_xlfn.XLOOKUP(GERAL[[#This Row],[Dia]],U:U,V:V,"")</f>
        <v/>
      </c>
    </row>
    <row r="2725" spans="1:18" hidden="1" x14ac:dyDescent="0.3">
      <c r="A2725" t="str">
        <f>_xlfn.XLOOKUP(GERAL[[#This Row],[Dia]],U:U,T:T,"")</f>
        <v/>
      </c>
      <c r="B2725" s="1">
        <v>46039</v>
      </c>
      <c r="C2725" t="s">
        <v>16</v>
      </c>
      <c r="D2725" s="1">
        <v>46039</v>
      </c>
      <c r="E2725" t="s">
        <v>36</v>
      </c>
      <c r="F2725" t="s">
        <v>200</v>
      </c>
      <c r="G2725" t="s">
        <v>201</v>
      </c>
      <c r="H2725">
        <v>0</v>
      </c>
      <c r="I2725">
        <v>0</v>
      </c>
      <c r="J2725">
        <v>0</v>
      </c>
      <c r="K2725">
        <v>6</v>
      </c>
      <c r="L2725">
        <v>1</v>
      </c>
      <c r="M2725">
        <v>0</v>
      </c>
      <c r="N2725">
        <v>3</v>
      </c>
      <c r="O2725">
        <v>0</v>
      </c>
      <c r="P2725">
        <v>0</v>
      </c>
      <c r="Q2725" t="s">
        <v>199</v>
      </c>
      <c r="R2725" t="str">
        <f>_xlfn.XLOOKUP(GERAL[[#This Row],[Dia]],U:U,V:V,"")</f>
        <v/>
      </c>
    </row>
    <row r="2726" spans="1:18" hidden="1" x14ac:dyDescent="0.3">
      <c r="A2726" t="str">
        <f>_xlfn.XLOOKUP(GERAL[[#This Row],[Dia]],U:U,T:T,"")</f>
        <v/>
      </c>
      <c r="B2726" s="1">
        <v>46040</v>
      </c>
      <c r="C2726" t="s">
        <v>21</v>
      </c>
      <c r="D2726" s="1">
        <v>46040</v>
      </c>
      <c r="E2726" t="s">
        <v>17</v>
      </c>
      <c r="Q2726" t="s">
        <v>199</v>
      </c>
      <c r="R2726" t="str">
        <f>_xlfn.XLOOKUP(GERAL[[#This Row],[Dia]],U:U,V:V,"")</f>
        <v/>
      </c>
    </row>
    <row r="2727" spans="1:18" hidden="1" x14ac:dyDescent="0.3">
      <c r="A2727" t="str">
        <f>_xlfn.XLOOKUP(GERAL[[#This Row],[Dia]],U:U,T:T,"")</f>
        <v/>
      </c>
      <c r="B2727" s="1">
        <v>46041</v>
      </c>
      <c r="C2727" t="s">
        <v>22</v>
      </c>
      <c r="D2727" s="1">
        <v>46041</v>
      </c>
      <c r="E2727" t="s">
        <v>36</v>
      </c>
      <c r="F2727" t="s">
        <v>200</v>
      </c>
      <c r="G2727" t="s">
        <v>201</v>
      </c>
      <c r="H2727">
        <v>0</v>
      </c>
      <c r="I2727">
        <v>0</v>
      </c>
      <c r="J2727">
        <v>0</v>
      </c>
      <c r="K2727">
        <v>6</v>
      </c>
      <c r="L2727">
        <v>0</v>
      </c>
      <c r="M2727">
        <v>0</v>
      </c>
      <c r="N2727">
        <v>5</v>
      </c>
      <c r="O2727">
        <v>0</v>
      </c>
      <c r="P2727">
        <v>0</v>
      </c>
      <c r="Q2727" t="s">
        <v>199</v>
      </c>
      <c r="R2727" t="str">
        <f>_xlfn.XLOOKUP(GERAL[[#This Row],[Dia]],U:U,V:V,"")</f>
        <v/>
      </c>
    </row>
    <row r="2728" spans="1:18" hidden="1" x14ac:dyDescent="0.3">
      <c r="A2728" t="str">
        <f>_xlfn.XLOOKUP(GERAL[[#This Row],[Dia]],U:U,T:T,"")</f>
        <v/>
      </c>
      <c r="B2728" s="1">
        <v>46042</v>
      </c>
      <c r="C2728" t="s">
        <v>23</v>
      </c>
      <c r="D2728" s="1">
        <v>46042</v>
      </c>
      <c r="E2728" t="s">
        <v>36</v>
      </c>
      <c r="F2728" t="s">
        <v>200</v>
      </c>
      <c r="G2728" t="s">
        <v>201</v>
      </c>
      <c r="H2728">
        <v>0</v>
      </c>
      <c r="I2728">
        <v>0</v>
      </c>
      <c r="J2728">
        <v>0</v>
      </c>
      <c r="K2728">
        <v>6</v>
      </c>
      <c r="L2728">
        <v>0</v>
      </c>
      <c r="M2728">
        <v>0</v>
      </c>
      <c r="N2728">
        <v>9</v>
      </c>
      <c r="O2728">
        <v>0</v>
      </c>
      <c r="P2728">
        <v>0</v>
      </c>
      <c r="Q2728" t="s">
        <v>199</v>
      </c>
      <c r="R2728" t="str">
        <f>_xlfn.XLOOKUP(GERAL[[#This Row],[Dia]],U:U,V:V,"")</f>
        <v/>
      </c>
    </row>
    <row r="2729" spans="1:18" hidden="1" x14ac:dyDescent="0.3">
      <c r="A2729" t="str">
        <f>_xlfn.XLOOKUP(GERAL[[#This Row],[Dia]],U:U,T:T,"")</f>
        <v/>
      </c>
      <c r="B2729" s="1">
        <v>46043</v>
      </c>
      <c r="C2729" t="s">
        <v>24</v>
      </c>
      <c r="D2729" s="1">
        <v>46043</v>
      </c>
      <c r="E2729" t="s">
        <v>36</v>
      </c>
      <c r="F2729" t="s">
        <v>200</v>
      </c>
      <c r="G2729" t="s">
        <v>201</v>
      </c>
      <c r="H2729">
        <v>0</v>
      </c>
      <c r="I2729">
        <v>0</v>
      </c>
      <c r="J2729">
        <v>0</v>
      </c>
      <c r="K2729">
        <v>18</v>
      </c>
      <c r="L2729">
        <v>2</v>
      </c>
      <c r="M2729">
        <v>0</v>
      </c>
      <c r="N2729">
        <v>9</v>
      </c>
      <c r="O2729">
        <v>0</v>
      </c>
      <c r="P2729">
        <v>0</v>
      </c>
      <c r="Q2729" t="s">
        <v>199</v>
      </c>
      <c r="R2729" t="str">
        <f>_xlfn.XLOOKUP(GERAL[[#This Row],[Dia]],U:U,V:V,"")</f>
        <v/>
      </c>
    </row>
    <row r="2730" spans="1:18" hidden="1" x14ac:dyDescent="0.3">
      <c r="A2730" t="str">
        <f>_xlfn.XLOOKUP(GERAL[[#This Row],[Dia]],U:U,T:T,"")</f>
        <v/>
      </c>
      <c r="B2730" s="1">
        <v>46044</v>
      </c>
      <c r="C2730" t="s">
        <v>25</v>
      </c>
      <c r="D2730" s="1">
        <v>46044</v>
      </c>
      <c r="E2730" t="s">
        <v>36</v>
      </c>
      <c r="F2730" t="s">
        <v>200</v>
      </c>
      <c r="G2730" t="s">
        <v>201</v>
      </c>
      <c r="H2730">
        <v>0</v>
      </c>
      <c r="I2730">
        <v>0</v>
      </c>
      <c r="J2730">
        <v>0</v>
      </c>
      <c r="K2730">
        <v>30</v>
      </c>
      <c r="L2730">
        <v>0</v>
      </c>
      <c r="M2730">
        <v>0</v>
      </c>
      <c r="N2730">
        <v>7</v>
      </c>
      <c r="O2730">
        <v>0</v>
      </c>
      <c r="P2730">
        <v>0</v>
      </c>
      <c r="Q2730" t="s">
        <v>199</v>
      </c>
      <c r="R2730" t="str">
        <f>_xlfn.XLOOKUP(GERAL[[#This Row],[Dia]],U:U,V:V,"")</f>
        <v/>
      </c>
    </row>
    <row r="2731" spans="1:18" hidden="1" x14ac:dyDescent="0.3">
      <c r="A2731" t="str">
        <f>_xlfn.XLOOKUP(GERAL[[#This Row],[Dia]],U:U,T:T,"")</f>
        <v/>
      </c>
      <c r="B2731" s="1">
        <v>46045</v>
      </c>
      <c r="C2731" t="s">
        <v>26</v>
      </c>
      <c r="D2731" s="1">
        <v>46045</v>
      </c>
      <c r="E2731" t="s">
        <v>36</v>
      </c>
      <c r="F2731" t="s">
        <v>200</v>
      </c>
      <c r="G2731" t="s">
        <v>201</v>
      </c>
      <c r="H2731">
        <v>0</v>
      </c>
      <c r="I2731">
        <v>0</v>
      </c>
      <c r="J2731">
        <v>0</v>
      </c>
      <c r="K2731">
        <v>28.2</v>
      </c>
      <c r="L2731">
        <v>1</v>
      </c>
      <c r="M2731">
        <v>0</v>
      </c>
      <c r="N2731">
        <v>3</v>
      </c>
      <c r="O2731">
        <v>0</v>
      </c>
      <c r="P2731">
        <v>0</v>
      </c>
      <c r="Q2731" t="s">
        <v>199</v>
      </c>
      <c r="R2731" t="str">
        <f>_xlfn.XLOOKUP(GERAL[[#This Row],[Dia]],U:U,V:V,"")</f>
        <v/>
      </c>
    </row>
    <row r="2732" spans="1:18" hidden="1" x14ac:dyDescent="0.3">
      <c r="A2732" t="str">
        <f>_xlfn.XLOOKUP(GERAL[[#This Row],[Dia]],U:U,T:T,"")</f>
        <v/>
      </c>
      <c r="B2732" s="1">
        <v>46046</v>
      </c>
      <c r="C2732" t="s">
        <v>16</v>
      </c>
      <c r="D2732" s="1">
        <v>46046</v>
      </c>
      <c r="E2732" t="s">
        <v>17</v>
      </c>
      <c r="Q2732" t="s">
        <v>199</v>
      </c>
      <c r="R2732" t="str">
        <f>_xlfn.XLOOKUP(GERAL[[#This Row],[Dia]],U:U,V:V,"")</f>
        <v/>
      </c>
    </row>
    <row r="2733" spans="1:18" hidden="1" x14ac:dyDescent="0.3">
      <c r="A2733" t="str">
        <f>_xlfn.XLOOKUP(GERAL[[#This Row],[Dia]],U:U,T:T,"")</f>
        <v/>
      </c>
      <c r="B2733" s="1">
        <v>46047</v>
      </c>
      <c r="C2733" t="s">
        <v>21</v>
      </c>
      <c r="D2733" s="1">
        <v>46047</v>
      </c>
      <c r="E2733" t="s">
        <v>17</v>
      </c>
      <c r="Q2733" t="s">
        <v>199</v>
      </c>
      <c r="R2733" t="str">
        <f>_xlfn.XLOOKUP(GERAL[[#This Row],[Dia]],U:U,V:V,"")</f>
        <v/>
      </c>
    </row>
    <row r="2734" spans="1:18" hidden="1" x14ac:dyDescent="0.3">
      <c r="A2734" t="str">
        <f>_xlfn.XLOOKUP(GERAL[[#This Row],[Dia]],U:U,T:T,"")</f>
        <v/>
      </c>
      <c r="B2734" s="1">
        <v>46048</v>
      </c>
      <c r="C2734" t="s">
        <v>22</v>
      </c>
      <c r="D2734" s="1">
        <v>46048</v>
      </c>
      <c r="E2734" t="s">
        <v>17</v>
      </c>
      <c r="Q2734" t="s">
        <v>199</v>
      </c>
      <c r="R2734" t="str">
        <f>_xlfn.XLOOKUP(GERAL[[#This Row],[Dia]],U:U,V:V,"")</f>
        <v/>
      </c>
    </row>
    <row r="2735" spans="1:18" hidden="1" x14ac:dyDescent="0.3">
      <c r="A2735" t="str">
        <f>_xlfn.XLOOKUP(GERAL[[#This Row],[Dia]],U:U,T:T,"")</f>
        <v/>
      </c>
      <c r="B2735" s="1">
        <v>46049</v>
      </c>
      <c r="C2735" t="s">
        <v>23</v>
      </c>
      <c r="D2735" s="1">
        <v>46049</v>
      </c>
      <c r="E2735" t="s">
        <v>36</v>
      </c>
      <c r="F2735" t="s">
        <v>200</v>
      </c>
      <c r="G2735" t="s">
        <v>201</v>
      </c>
      <c r="H2735">
        <v>0</v>
      </c>
      <c r="I2735">
        <v>0</v>
      </c>
      <c r="J2735">
        <v>0</v>
      </c>
      <c r="K2735">
        <v>18</v>
      </c>
      <c r="L2735">
        <v>2</v>
      </c>
      <c r="M2735">
        <v>3</v>
      </c>
      <c r="N2735">
        <v>4</v>
      </c>
      <c r="O2735">
        <v>0</v>
      </c>
      <c r="P2735">
        <v>0</v>
      </c>
      <c r="Q2735" t="s">
        <v>199</v>
      </c>
      <c r="R2735" t="str">
        <f>_xlfn.XLOOKUP(GERAL[[#This Row],[Dia]],U:U,V:V,"")</f>
        <v/>
      </c>
    </row>
    <row r="2736" spans="1:18" hidden="1" x14ac:dyDescent="0.3">
      <c r="A2736" t="str">
        <f>_xlfn.XLOOKUP(GERAL[[#This Row],[Dia]],U:U,T:T,"")</f>
        <v/>
      </c>
      <c r="B2736" s="1">
        <v>46050</v>
      </c>
      <c r="C2736" t="s">
        <v>24</v>
      </c>
      <c r="D2736" s="1">
        <v>46050</v>
      </c>
      <c r="E2736" t="s">
        <v>36</v>
      </c>
      <c r="F2736" t="s">
        <v>200</v>
      </c>
      <c r="G2736" t="s">
        <v>201</v>
      </c>
      <c r="H2736">
        <v>0</v>
      </c>
      <c r="I2736">
        <v>0</v>
      </c>
      <c r="J2736">
        <v>0</v>
      </c>
      <c r="K2736">
        <v>30</v>
      </c>
      <c r="L2736">
        <v>1</v>
      </c>
      <c r="M2736">
        <v>4</v>
      </c>
      <c r="N2736">
        <v>0</v>
      </c>
      <c r="O2736">
        <v>0</v>
      </c>
      <c r="P2736">
        <v>0</v>
      </c>
      <c r="Q2736" t="s">
        <v>199</v>
      </c>
      <c r="R2736" t="str">
        <f>_xlfn.XLOOKUP(GERAL[[#This Row],[Dia]],U:U,V:V,"")</f>
        <v/>
      </c>
    </row>
    <row r="2737" spans="1:18" hidden="1" x14ac:dyDescent="0.3">
      <c r="A2737" t="str">
        <f>_xlfn.XLOOKUP(GERAL[[#This Row],[Dia]],U:U,T:T,"")</f>
        <v/>
      </c>
      <c r="B2737" s="1">
        <v>46051</v>
      </c>
      <c r="C2737" t="s">
        <v>25</v>
      </c>
      <c r="D2737" s="1">
        <v>46051</v>
      </c>
      <c r="E2737" t="s">
        <v>36</v>
      </c>
      <c r="F2737" t="s">
        <v>200</v>
      </c>
      <c r="G2737" t="s">
        <v>201</v>
      </c>
      <c r="H2737">
        <v>0</v>
      </c>
      <c r="I2737">
        <v>0</v>
      </c>
      <c r="J2737">
        <v>0</v>
      </c>
      <c r="K2737">
        <v>6</v>
      </c>
      <c r="L2737">
        <v>3</v>
      </c>
      <c r="M2737">
        <v>1</v>
      </c>
      <c r="N2737">
        <v>8</v>
      </c>
      <c r="O2737">
        <v>8</v>
      </c>
      <c r="P2737">
        <v>0</v>
      </c>
      <c r="Q2737" t="s">
        <v>199</v>
      </c>
      <c r="R2737" t="str">
        <f>_xlfn.XLOOKUP(GERAL[[#This Row],[Dia]],U:U,V:V,"")</f>
        <v/>
      </c>
    </row>
    <row r="2738" spans="1:18" hidden="1" x14ac:dyDescent="0.3">
      <c r="A2738" t="str">
        <f>_xlfn.XLOOKUP(GERAL[[#This Row],[Dia]],U:U,T:T,"")</f>
        <v>Semana 1</v>
      </c>
      <c r="B2738" s="1">
        <v>46052</v>
      </c>
      <c r="C2738" t="s">
        <v>26</v>
      </c>
      <c r="D2738" s="1">
        <v>46052</v>
      </c>
      <c r="E2738" t="s">
        <v>36</v>
      </c>
      <c r="F2738" t="s">
        <v>200</v>
      </c>
      <c r="G2738" t="s">
        <v>201</v>
      </c>
      <c r="H2738">
        <v>0</v>
      </c>
      <c r="I2738">
        <v>0</v>
      </c>
      <c r="J2738">
        <v>0</v>
      </c>
      <c r="K2738">
        <v>12</v>
      </c>
      <c r="L2738">
        <v>0</v>
      </c>
      <c r="M2738">
        <v>2</v>
      </c>
      <c r="N2738">
        <v>0</v>
      </c>
      <c r="O2738">
        <v>5</v>
      </c>
      <c r="P2738">
        <v>0</v>
      </c>
      <c r="Q2738" t="s">
        <v>199</v>
      </c>
      <c r="R2738" t="str">
        <f>_xlfn.XLOOKUP(GERAL[[#This Row],[Dia]],U:U,V:V,"")</f>
        <v>Prazo_30</v>
      </c>
    </row>
    <row r="2739" spans="1:18" hidden="1" x14ac:dyDescent="0.3">
      <c r="A2739" t="str">
        <f>_xlfn.XLOOKUP(GERAL[[#This Row],[Dia]],U:U,T:T,"")</f>
        <v>Semana 1</v>
      </c>
      <c r="B2739" s="1">
        <v>46053</v>
      </c>
      <c r="C2739" t="s">
        <v>16</v>
      </c>
      <c r="D2739" s="1">
        <v>46053</v>
      </c>
      <c r="E2739" t="s">
        <v>36</v>
      </c>
      <c r="F2739" t="s">
        <v>200</v>
      </c>
      <c r="G2739" t="s">
        <v>201</v>
      </c>
      <c r="H2739">
        <v>1</v>
      </c>
      <c r="I2739">
        <v>0</v>
      </c>
      <c r="J2739">
        <v>0</v>
      </c>
      <c r="K2739">
        <v>6</v>
      </c>
      <c r="L2739">
        <v>0</v>
      </c>
      <c r="M2739">
        <v>0</v>
      </c>
      <c r="N2739">
        <v>1</v>
      </c>
      <c r="O2739">
        <v>0</v>
      </c>
      <c r="P2739">
        <v>0</v>
      </c>
      <c r="Q2739" t="s">
        <v>199</v>
      </c>
      <c r="R2739" t="str">
        <f>_xlfn.XLOOKUP(GERAL[[#This Row],[Dia]],U:U,V:V,"")</f>
        <v>Prazo_30</v>
      </c>
    </row>
    <row r="2740" spans="1:18" hidden="1" x14ac:dyDescent="0.3">
      <c r="A2740" t="str">
        <f>_xlfn.XLOOKUP(GERAL[[#This Row],[Dia]],U:U,T:T,"")</f>
        <v>Semana 1</v>
      </c>
      <c r="B2740" s="1">
        <v>46054</v>
      </c>
      <c r="C2740" t="s">
        <v>21</v>
      </c>
      <c r="D2740" s="1">
        <v>46054</v>
      </c>
      <c r="E2740" t="s">
        <v>17</v>
      </c>
      <c r="Q2740" t="s">
        <v>199</v>
      </c>
      <c r="R2740" t="str">
        <f>_xlfn.XLOOKUP(GERAL[[#This Row],[Dia]],U:U,V:V,"")</f>
        <v>Prazo_30</v>
      </c>
    </row>
    <row r="2741" spans="1:18" hidden="1" x14ac:dyDescent="0.3">
      <c r="A2741" t="str">
        <f>_xlfn.XLOOKUP(GERAL[[#This Row],[Dia]],U:U,T:T,"")</f>
        <v>Semana 1</v>
      </c>
      <c r="B2741" s="1">
        <v>46055</v>
      </c>
      <c r="C2741" t="s">
        <v>22</v>
      </c>
      <c r="D2741" s="1">
        <v>46055</v>
      </c>
      <c r="E2741" t="s">
        <v>36</v>
      </c>
      <c r="F2741" t="s">
        <v>200</v>
      </c>
      <c r="G2741" t="s">
        <v>201</v>
      </c>
      <c r="H2741">
        <v>0</v>
      </c>
      <c r="I2741">
        <v>0</v>
      </c>
      <c r="J2741">
        <v>0</v>
      </c>
      <c r="K2741">
        <v>12</v>
      </c>
      <c r="L2741">
        <v>1</v>
      </c>
      <c r="M2741">
        <v>0</v>
      </c>
      <c r="N2741">
        <v>5</v>
      </c>
      <c r="O2741">
        <v>4</v>
      </c>
      <c r="P2741">
        <v>0</v>
      </c>
      <c r="Q2741" t="s">
        <v>199</v>
      </c>
      <c r="R2741" t="str">
        <f>_xlfn.XLOOKUP(GERAL[[#This Row],[Dia]],U:U,V:V,"")</f>
        <v>Prazo_30</v>
      </c>
    </row>
    <row r="2742" spans="1:18" hidden="1" x14ac:dyDescent="0.3">
      <c r="A2742" t="str">
        <f>_xlfn.XLOOKUP(GERAL[[#This Row],[Dia]],U:U,T:T,"")</f>
        <v>Semana 1</v>
      </c>
      <c r="B2742" s="1">
        <v>46056</v>
      </c>
      <c r="C2742" t="s">
        <v>23</v>
      </c>
      <c r="D2742" s="1">
        <v>46056</v>
      </c>
      <c r="E2742" t="s">
        <v>36</v>
      </c>
      <c r="F2742" t="s">
        <v>200</v>
      </c>
      <c r="G2742" t="s">
        <v>201</v>
      </c>
      <c r="H2742">
        <v>0</v>
      </c>
      <c r="I2742">
        <v>0</v>
      </c>
      <c r="J2742">
        <v>0</v>
      </c>
      <c r="K2742">
        <v>8</v>
      </c>
      <c r="L2742">
        <v>0</v>
      </c>
      <c r="M2742">
        <v>0</v>
      </c>
      <c r="N2742">
        <v>5</v>
      </c>
      <c r="O2742">
        <v>6</v>
      </c>
      <c r="P2742">
        <v>0</v>
      </c>
      <c r="Q2742" t="s">
        <v>199</v>
      </c>
      <c r="R2742" t="str">
        <f>_xlfn.XLOOKUP(GERAL[[#This Row],[Dia]],U:U,V:V,"")</f>
        <v>Prazo_30</v>
      </c>
    </row>
    <row r="2743" spans="1:18" hidden="1" x14ac:dyDescent="0.3">
      <c r="A2743" t="str">
        <f>_xlfn.XLOOKUP(GERAL[[#This Row],[Dia]],U:U,T:T,"")</f>
        <v>Semana 1</v>
      </c>
      <c r="B2743" s="1">
        <v>46057</v>
      </c>
      <c r="C2743" t="s">
        <v>24</v>
      </c>
      <c r="D2743" s="1">
        <v>46057</v>
      </c>
      <c r="E2743" t="s">
        <v>36</v>
      </c>
      <c r="F2743" t="s">
        <v>200</v>
      </c>
      <c r="G2743" t="s">
        <v>201</v>
      </c>
      <c r="H2743">
        <v>0</v>
      </c>
      <c r="I2743">
        <v>0</v>
      </c>
      <c r="J2743">
        <v>0</v>
      </c>
      <c r="K2743">
        <v>12</v>
      </c>
      <c r="L2743">
        <v>1</v>
      </c>
      <c r="M2743">
        <v>0</v>
      </c>
      <c r="N2743">
        <v>0</v>
      </c>
      <c r="O2743">
        <v>6</v>
      </c>
      <c r="P2743">
        <v>0</v>
      </c>
      <c r="Q2743" t="s">
        <v>199</v>
      </c>
      <c r="R2743" t="str">
        <f>_xlfn.XLOOKUP(GERAL[[#This Row],[Dia]],U:U,V:V,"")</f>
        <v>Prazo_30</v>
      </c>
    </row>
    <row r="2744" spans="1:18" hidden="1" x14ac:dyDescent="0.3">
      <c r="A2744" t="str">
        <f>_xlfn.XLOOKUP(GERAL[[#This Row],[Dia]],U:U,T:T,"")</f>
        <v>Semana 1</v>
      </c>
      <c r="B2744" s="1">
        <v>46058</v>
      </c>
      <c r="C2744" t="s">
        <v>25</v>
      </c>
      <c r="D2744" s="1">
        <v>46058</v>
      </c>
      <c r="E2744" t="s">
        <v>36</v>
      </c>
      <c r="F2744" t="s">
        <v>200</v>
      </c>
      <c r="G2744" t="s">
        <v>201</v>
      </c>
      <c r="H2744">
        <v>0</v>
      </c>
      <c r="I2744">
        <v>0</v>
      </c>
      <c r="J2744">
        <v>54</v>
      </c>
      <c r="K2744">
        <v>12</v>
      </c>
      <c r="L2744">
        <v>0</v>
      </c>
      <c r="M2744">
        <v>1</v>
      </c>
      <c r="N2744">
        <v>3</v>
      </c>
      <c r="O2744">
        <v>0</v>
      </c>
      <c r="P2744">
        <v>0</v>
      </c>
      <c r="Q2744" t="s">
        <v>199</v>
      </c>
      <c r="R2744" t="str">
        <f>_xlfn.XLOOKUP(GERAL[[#This Row],[Dia]],U:U,V:V,"")</f>
        <v>Prazo_30</v>
      </c>
    </row>
    <row r="2745" spans="1:18" hidden="1" x14ac:dyDescent="0.3">
      <c r="A2745" t="str">
        <f>_xlfn.XLOOKUP(GERAL[[#This Row],[Dia]],U:U,T:T,"")</f>
        <v>Semana 1</v>
      </c>
      <c r="B2745" s="1">
        <v>46059</v>
      </c>
      <c r="C2745" t="s">
        <v>26</v>
      </c>
      <c r="D2745" s="1">
        <v>46059</v>
      </c>
      <c r="E2745" t="s">
        <v>36</v>
      </c>
      <c r="F2745" t="s">
        <v>200</v>
      </c>
      <c r="G2745" t="s">
        <v>201</v>
      </c>
      <c r="H2745">
        <v>0</v>
      </c>
      <c r="I2745">
        <v>3</v>
      </c>
      <c r="J2745">
        <v>27</v>
      </c>
      <c r="K2745">
        <v>12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199</v>
      </c>
      <c r="R2745" t="str">
        <f>_xlfn.XLOOKUP(GERAL[[#This Row],[Dia]],U:U,V:V,"")</f>
        <v>Prazo_30</v>
      </c>
    </row>
    <row r="2746" spans="1:18" hidden="1" x14ac:dyDescent="0.3">
      <c r="A2746" t="str">
        <f>_xlfn.XLOOKUP(GERAL[[#This Row],[Dia]],U:U,T:T,"")</f>
        <v>Semana 1</v>
      </c>
      <c r="B2746" s="1">
        <v>46060</v>
      </c>
      <c r="C2746" t="s">
        <v>16</v>
      </c>
      <c r="D2746" s="1">
        <v>46060</v>
      </c>
      <c r="E2746" t="s">
        <v>36</v>
      </c>
      <c r="F2746" t="s">
        <v>200</v>
      </c>
      <c r="G2746" t="s">
        <v>201</v>
      </c>
      <c r="H2746">
        <v>0</v>
      </c>
      <c r="I2746">
        <v>4</v>
      </c>
      <c r="J2746">
        <v>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199</v>
      </c>
      <c r="R2746" t="str">
        <f>_xlfn.XLOOKUP(GERAL[[#This Row],[Dia]],U:U,V:V,"")</f>
        <v>Prazo_30</v>
      </c>
    </row>
    <row r="2747" spans="1:18" hidden="1" x14ac:dyDescent="0.3">
      <c r="A2747" t="str">
        <f>_xlfn.XLOOKUP(GERAL[[#This Row],[Dia]],U:U,T:T,"")</f>
        <v>Semana 2</v>
      </c>
      <c r="B2747" s="1">
        <v>46061</v>
      </c>
      <c r="C2747" t="s">
        <v>21</v>
      </c>
      <c r="D2747" s="1">
        <v>46061</v>
      </c>
      <c r="E2747" t="s">
        <v>17</v>
      </c>
      <c r="Q2747" t="s">
        <v>199</v>
      </c>
      <c r="R2747" t="str">
        <f>_xlfn.XLOOKUP(GERAL[[#This Row],[Dia]],U:U,V:V,"")</f>
        <v>Prazo_30</v>
      </c>
    </row>
    <row r="2748" spans="1:18" hidden="1" x14ac:dyDescent="0.3">
      <c r="A2748" t="str">
        <f>_xlfn.XLOOKUP(GERAL[[#This Row],[Dia]],U:U,T:T,"")</f>
        <v>Semana 2</v>
      </c>
      <c r="B2748" s="1">
        <v>46062</v>
      </c>
      <c r="C2748" t="s">
        <v>22</v>
      </c>
      <c r="D2748" s="1">
        <v>46062</v>
      </c>
      <c r="E2748" t="s">
        <v>36</v>
      </c>
      <c r="F2748" t="s">
        <v>200</v>
      </c>
      <c r="G2748" t="s">
        <v>201</v>
      </c>
      <c r="H2748">
        <v>0</v>
      </c>
      <c r="I2748">
        <v>0</v>
      </c>
      <c r="J2748">
        <v>58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199</v>
      </c>
      <c r="R2748" t="str">
        <f>_xlfn.XLOOKUP(GERAL[[#This Row],[Dia]],U:U,V:V,"")</f>
        <v>Prazo_30</v>
      </c>
    </row>
    <row r="2749" spans="1:18" hidden="1" x14ac:dyDescent="0.3">
      <c r="A2749" t="str">
        <f>_xlfn.XLOOKUP(GERAL[[#This Row],[Dia]],U:U,T:T,"")</f>
        <v>Semana 2</v>
      </c>
      <c r="B2749" s="1">
        <v>46063</v>
      </c>
      <c r="C2749" t="s">
        <v>23</v>
      </c>
      <c r="D2749" s="1">
        <v>46063</v>
      </c>
      <c r="E2749" t="s">
        <v>36</v>
      </c>
      <c r="F2749" t="s">
        <v>200</v>
      </c>
      <c r="G2749" t="s">
        <v>201</v>
      </c>
      <c r="H2749">
        <v>0</v>
      </c>
      <c r="I2749">
        <v>0</v>
      </c>
      <c r="J2749">
        <v>0</v>
      </c>
      <c r="K2749">
        <v>109</v>
      </c>
      <c r="L2749">
        <v>0</v>
      </c>
      <c r="M2749">
        <v>0</v>
      </c>
      <c r="N2749">
        <v>3</v>
      </c>
      <c r="O2749">
        <v>0</v>
      </c>
      <c r="P2749">
        <v>0</v>
      </c>
      <c r="Q2749" t="s">
        <v>199</v>
      </c>
      <c r="R2749" t="str">
        <f>_xlfn.XLOOKUP(GERAL[[#This Row],[Dia]],U:U,V:V,"")</f>
        <v>Prazo_30</v>
      </c>
    </row>
    <row r="2750" spans="1:18" hidden="1" x14ac:dyDescent="0.3">
      <c r="A2750" t="str">
        <f>_xlfn.XLOOKUP(GERAL[[#This Row],[Dia]],U:U,T:T,"")</f>
        <v>Semana 2</v>
      </c>
      <c r="B2750" s="1">
        <v>46064</v>
      </c>
      <c r="C2750" t="s">
        <v>24</v>
      </c>
      <c r="D2750" s="1">
        <v>46064</v>
      </c>
      <c r="E2750" t="s">
        <v>36</v>
      </c>
      <c r="F2750" t="s">
        <v>200</v>
      </c>
      <c r="G2750" t="s">
        <v>201</v>
      </c>
      <c r="H2750">
        <v>0</v>
      </c>
      <c r="I2750">
        <v>0</v>
      </c>
      <c r="J2750">
        <v>0</v>
      </c>
      <c r="K2750">
        <v>102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199</v>
      </c>
      <c r="R2750" t="str">
        <f>_xlfn.XLOOKUP(GERAL[[#This Row],[Dia]],U:U,V:V,"")</f>
        <v>Prazo_30</v>
      </c>
    </row>
    <row r="2751" spans="1:18" hidden="1" x14ac:dyDescent="0.3">
      <c r="A2751" t="str">
        <f>_xlfn.XLOOKUP(GERAL[[#This Row],[Dia]],U:U,T:T,"")</f>
        <v>Semana 2</v>
      </c>
      <c r="B2751" s="1">
        <v>46065</v>
      </c>
      <c r="C2751" t="s">
        <v>25</v>
      </c>
      <c r="D2751" s="1">
        <v>46065</v>
      </c>
      <c r="E2751" t="s">
        <v>36</v>
      </c>
      <c r="F2751" t="s">
        <v>200</v>
      </c>
      <c r="G2751" t="s">
        <v>201</v>
      </c>
      <c r="H2751">
        <v>0</v>
      </c>
      <c r="I2751">
        <v>3</v>
      </c>
      <c r="J2751">
        <v>44</v>
      </c>
      <c r="K2751">
        <v>10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199</v>
      </c>
      <c r="R2751" t="str">
        <f>_xlfn.XLOOKUP(GERAL[[#This Row],[Dia]],U:U,V:V,"")</f>
        <v>Prazo_30</v>
      </c>
    </row>
    <row r="2752" spans="1:18" hidden="1" x14ac:dyDescent="0.3">
      <c r="A2752" t="str">
        <f>_xlfn.XLOOKUP(GERAL[[#This Row],[Dia]],U:U,T:T,"")</f>
        <v>Semana 2</v>
      </c>
      <c r="B2752" s="1">
        <v>46066</v>
      </c>
      <c r="C2752" t="s">
        <v>26</v>
      </c>
      <c r="D2752" s="1">
        <v>46066</v>
      </c>
      <c r="E2752" t="s">
        <v>36</v>
      </c>
      <c r="F2752" t="s">
        <v>200</v>
      </c>
      <c r="G2752" t="s">
        <v>201</v>
      </c>
      <c r="H2752">
        <v>0</v>
      </c>
      <c r="I2752">
        <v>0</v>
      </c>
      <c r="J2752">
        <v>30</v>
      </c>
      <c r="K2752">
        <v>12</v>
      </c>
      <c r="L2752">
        <v>0</v>
      </c>
      <c r="M2752">
        <v>0</v>
      </c>
      <c r="N2752">
        <v>0</v>
      </c>
      <c r="O2752">
        <v>0</v>
      </c>
      <c r="Q2752" t="s">
        <v>199</v>
      </c>
      <c r="R2752" t="str">
        <f>_xlfn.XLOOKUP(GERAL[[#This Row],[Dia]],U:U,V:V,"")</f>
        <v>Prazo_30</v>
      </c>
    </row>
    <row r="2753" spans="1:18" hidden="1" x14ac:dyDescent="0.3">
      <c r="A2753" t="str">
        <f>_xlfn.XLOOKUP(GERAL[[#This Row],[Dia]],U:U,T:T,"")</f>
        <v>Semana 2</v>
      </c>
      <c r="B2753" s="1">
        <v>46067</v>
      </c>
      <c r="C2753" t="s">
        <v>16</v>
      </c>
      <c r="D2753" s="1">
        <v>46067</v>
      </c>
      <c r="E2753" t="s">
        <v>17</v>
      </c>
      <c r="Q2753" t="s">
        <v>199</v>
      </c>
      <c r="R2753" t="str">
        <f>_xlfn.XLOOKUP(GERAL[[#This Row],[Dia]],U:U,V:V,"")</f>
        <v>Prazo_30</v>
      </c>
    </row>
    <row r="2754" spans="1:18" hidden="1" x14ac:dyDescent="0.3">
      <c r="A2754" t="str">
        <f>_xlfn.XLOOKUP(GERAL[[#This Row],[Dia]],U:U,T:T,"")</f>
        <v>Semana 3</v>
      </c>
      <c r="B2754" s="1">
        <v>46068</v>
      </c>
      <c r="C2754" t="s">
        <v>21</v>
      </c>
      <c r="D2754" s="1">
        <v>46068</v>
      </c>
      <c r="E2754" t="s">
        <v>17</v>
      </c>
      <c r="Q2754" t="s">
        <v>199</v>
      </c>
      <c r="R2754" t="str">
        <f>_xlfn.XLOOKUP(GERAL[[#This Row],[Dia]],U:U,V:V,"")</f>
        <v>Prazo_30</v>
      </c>
    </row>
    <row r="2755" spans="1:18" hidden="1" x14ac:dyDescent="0.3">
      <c r="A2755" t="str">
        <f>_xlfn.XLOOKUP(GERAL[[#This Row],[Dia]],U:U,T:T,"")</f>
        <v>Semana 3</v>
      </c>
      <c r="B2755" s="1">
        <v>46069</v>
      </c>
      <c r="C2755" t="s">
        <v>22</v>
      </c>
      <c r="D2755" s="1">
        <v>46069</v>
      </c>
      <c r="E2755" t="s">
        <v>36</v>
      </c>
      <c r="F2755" t="s">
        <v>200</v>
      </c>
      <c r="G2755" t="s">
        <v>201</v>
      </c>
      <c r="H2755">
        <v>11</v>
      </c>
      <c r="I2755">
        <v>4</v>
      </c>
      <c r="J2755">
        <v>44</v>
      </c>
      <c r="K2755">
        <v>12</v>
      </c>
      <c r="L2755">
        <v>0</v>
      </c>
      <c r="M2755">
        <v>0</v>
      </c>
      <c r="N2755">
        <v>0</v>
      </c>
      <c r="O2755">
        <v>11</v>
      </c>
      <c r="P2755">
        <v>0</v>
      </c>
      <c r="Q2755" t="s">
        <v>199</v>
      </c>
      <c r="R2755" t="str">
        <f>_xlfn.XLOOKUP(GERAL[[#This Row],[Dia]],U:U,V:V,"")</f>
        <v>Prazo_30</v>
      </c>
    </row>
    <row r="2756" spans="1:18" hidden="1" x14ac:dyDescent="0.3">
      <c r="A2756" t="str">
        <f>_xlfn.XLOOKUP(GERAL[[#This Row],[Dia]],U:U,T:T,"")</f>
        <v>Semana 3</v>
      </c>
      <c r="B2756" s="1">
        <v>46070</v>
      </c>
      <c r="C2756" t="s">
        <v>23</v>
      </c>
      <c r="D2756" s="1">
        <v>46070</v>
      </c>
      <c r="E2756" t="s">
        <v>36</v>
      </c>
      <c r="F2756" t="s">
        <v>200</v>
      </c>
      <c r="G2756" t="s">
        <v>201</v>
      </c>
      <c r="H2756">
        <v>0</v>
      </c>
      <c r="I2756">
        <v>0</v>
      </c>
      <c r="J2756">
        <v>0</v>
      </c>
      <c r="K2756">
        <v>4</v>
      </c>
      <c r="L2756">
        <v>0</v>
      </c>
      <c r="M2756">
        <v>0</v>
      </c>
      <c r="N2756">
        <v>2</v>
      </c>
      <c r="O2756">
        <v>0</v>
      </c>
      <c r="P2756">
        <v>0</v>
      </c>
      <c r="Q2756" t="s">
        <v>199</v>
      </c>
      <c r="R2756" t="str">
        <f>_xlfn.XLOOKUP(GERAL[[#This Row],[Dia]],U:U,V:V,"")</f>
        <v>Prazo_30</v>
      </c>
    </row>
    <row r="2757" spans="1:18" hidden="1" x14ac:dyDescent="0.3">
      <c r="A2757" t="str">
        <f>_xlfn.XLOOKUP(GERAL[[#This Row],[Dia]],U:U,T:T,"")</f>
        <v>Semana 3</v>
      </c>
      <c r="B2757" s="1">
        <v>46071</v>
      </c>
      <c r="C2757" t="s">
        <v>24</v>
      </c>
      <c r="D2757" s="1">
        <v>46071</v>
      </c>
      <c r="E2757" t="s">
        <v>36</v>
      </c>
      <c r="F2757" t="s">
        <v>200</v>
      </c>
      <c r="G2757" t="s">
        <v>201</v>
      </c>
      <c r="H2757">
        <v>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199</v>
      </c>
      <c r="R2757" t="str">
        <f>_xlfn.XLOOKUP(GERAL[[#This Row],[Dia]],U:U,V:V,"")</f>
        <v>Prazo_30</v>
      </c>
    </row>
    <row r="2758" spans="1:18" hidden="1" x14ac:dyDescent="0.3">
      <c r="A2758" t="str">
        <f>_xlfn.XLOOKUP(GERAL[[#This Row],[Dia]],U:U,T:T,"")</f>
        <v>Semana 3</v>
      </c>
      <c r="B2758" s="1">
        <v>46072</v>
      </c>
      <c r="C2758" t="s">
        <v>25</v>
      </c>
      <c r="D2758" s="1">
        <v>46072</v>
      </c>
      <c r="E2758" t="s">
        <v>36</v>
      </c>
      <c r="F2758" t="s">
        <v>200</v>
      </c>
      <c r="G2758" t="s">
        <v>201</v>
      </c>
      <c r="H2758">
        <v>1</v>
      </c>
      <c r="I2758">
        <v>0</v>
      </c>
      <c r="J2758">
        <v>0</v>
      </c>
      <c r="K2758">
        <v>22.3</v>
      </c>
      <c r="L2758">
        <v>1</v>
      </c>
      <c r="M2758">
        <v>0</v>
      </c>
      <c r="N2758">
        <v>1</v>
      </c>
      <c r="O2758">
        <v>1</v>
      </c>
      <c r="P2758">
        <v>0</v>
      </c>
      <c r="Q2758" t="s">
        <v>199</v>
      </c>
      <c r="R2758" t="str">
        <f>_xlfn.XLOOKUP(GERAL[[#This Row],[Dia]],U:U,V:V,"")</f>
        <v>Prazo_30</v>
      </c>
    </row>
    <row r="2759" spans="1:18" hidden="1" x14ac:dyDescent="0.3">
      <c r="A2759" t="str">
        <f>_xlfn.XLOOKUP(GERAL[[#This Row],[Dia]],U:U,T:T,"")</f>
        <v>Semana 3</v>
      </c>
      <c r="B2759" s="1">
        <v>46073</v>
      </c>
      <c r="C2759" t="s">
        <v>26</v>
      </c>
      <c r="D2759" s="1">
        <v>46073</v>
      </c>
      <c r="E2759" t="s">
        <v>36</v>
      </c>
      <c r="F2759" t="s">
        <v>200</v>
      </c>
      <c r="G2759" t="s">
        <v>201</v>
      </c>
      <c r="H2759">
        <v>0</v>
      </c>
      <c r="I2759">
        <v>2</v>
      </c>
      <c r="J2759">
        <v>0</v>
      </c>
      <c r="K2759">
        <v>30</v>
      </c>
      <c r="L2759">
        <v>2</v>
      </c>
      <c r="M2759">
        <v>0</v>
      </c>
      <c r="N2759">
        <v>6</v>
      </c>
      <c r="O2759">
        <v>0</v>
      </c>
      <c r="P2759">
        <v>0</v>
      </c>
      <c r="Q2759" t="s">
        <v>199</v>
      </c>
      <c r="R2759" t="str">
        <f>_xlfn.XLOOKUP(GERAL[[#This Row],[Dia]],U:U,V:V,"")</f>
        <v>Prazo_30</v>
      </c>
    </row>
    <row r="2760" spans="1:18" hidden="1" x14ac:dyDescent="0.3">
      <c r="A2760" t="str">
        <f>_xlfn.XLOOKUP(GERAL[[#This Row],[Dia]],U:U,T:T,"")</f>
        <v>Semana 3</v>
      </c>
      <c r="B2760" s="1">
        <v>46074</v>
      </c>
      <c r="C2760" t="s">
        <v>16</v>
      </c>
      <c r="D2760" s="1">
        <v>46074</v>
      </c>
      <c r="E2760" t="s">
        <v>36</v>
      </c>
      <c r="F2760" t="s">
        <v>200</v>
      </c>
      <c r="G2760" t="s">
        <v>201</v>
      </c>
      <c r="H2760">
        <v>13</v>
      </c>
      <c r="I2760">
        <v>0</v>
      </c>
      <c r="J2760">
        <v>0</v>
      </c>
      <c r="K2760">
        <v>6</v>
      </c>
      <c r="L2760">
        <v>0</v>
      </c>
      <c r="M2760">
        <v>0</v>
      </c>
      <c r="N2760">
        <v>0</v>
      </c>
      <c r="O2760">
        <v>3</v>
      </c>
      <c r="P2760">
        <v>0</v>
      </c>
      <c r="Q2760" t="s">
        <v>199</v>
      </c>
      <c r="R2760" t="str">
        <f>_xlfn.XLOOKUP(GERAL[[#This Row],[Dia]],U:U,V:V,"")</f>
        <v>Prazo_30</v>
      </c>
    </row>
    <row r="2761" spans="1:18" hidden="1" x14ac:dyDescent="0.3">
      <c r="A2761" t="str">
        <f>_xlfn.XLOOKUP(GERAL[[#This Row],[Dia]],U:U,T:T,"")</f>
        <v>Semana 4</v>
      </c>
      <c r="B2761" s="1">
        <v>46075</v>
      </c>
      <c r="C2761" t="s">
        <v>21</v>
      </c>
      <c r="D2761" s="1">
        <v>46075</v>
      </c>
      <c r="E2761" t="s">
        <v>17</v>
      </c>
      <c r="Q2761" t="s">
        <v>199</v>
      </c>
      <c r="R2761" t="str">
        <f>_xlfn.XLOOKUP(GERAL[[#This Row],[Dia]],U:U,V:V,"")</f>
        <v>Prazo_30</v>
      </c>
    </row>
    <row r="2762" spans="1:18" hidden="1" x14ac:dyDescent="0.3">
      <c r="A2762" t="str">
        <f>_xlfn.XLOOKUP(GERAL[[#This Row],[Dia]],U:U,T:T,"")</f>
        <v>Semana 4</v>
      </c>
      <c r="B2762" s="1">
        <v>46076</v>
      </c>
      <c r="C2762" t="s">
        <v>22</v>
      </c>
      <c r="D2762" s="1">
        <v>46076</v>
      </c>
      <c r="E2762" t="s">
        <v>36</v>
      </c>
      <c r="F2762" t="s">
        <v>200</v>
      </c>
      <c r="G2762" t="s">
        <v>201</v>
      </c>
      <c r="H2762">
        <v>8</v>
      </c>
      <c r="I2762">
        <v>2</v>
      </c>
      <c r="J2762">
        <v>0</v>
      </c>
      <c r="K2762">
        <v>18</v>
      </c>
      <c r="L2762">
        <v>1</v>
      </c>
      <c r="M2762">
        <v>0</v>
      </c>
      <c r="N2762">
        <v>0</v>
      </c>
      <c r="O2762">
        <v>0</v>
      </c>
      <c r="P2762">
        <v>0</v>
      </c>
      <c r="Q2762" t="s">
        <v>199</v>
      </c>
      <c r="R2762" t="str">
        <f>_xlfn.XLOOKUP(GERAL[[#This Row],[Dia]],U:U,V:V,"")</f>
        <v>Prazo_30</v>
      </c>
    </row>
    <row r="2763" spans="1:18" hidden="1" x14ac:dyDescent="0.3">
      <c r="A2763" t="str">
        <f>_xlfn.XLOOKUP(GERAL[[#This Row],[Dia]],U:U,T:T,"")</f>
        <v>Semana 4</v>
      </c>
      <c r="B2763" s="1">
        <v>46077</v>
      </c>
      <c r="C2763" t="s">
        <v>23</v>
      </c>
      <c r="D2763" s="1">
        <v>46077</v>
      </c>
      <c r="E2763" t="s">
        <v>36</v>
      </c>
      <c r="F2763" t="s">
        <v>200</v>
      </c>
      <c r="G2763" t="s">
        <v>201</v>
      </c>
      <c r="H2763">
        <v>10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199</v>
      </c>
      <c r="R2763" t="str">
        <f>_xlfn.XLOOKUP(GERAL[[#This Row],[Dia]],U:U,V:V,"")</f>
        <v>Prazo_30</v>
      </c>
    </row>
    <row r="2764" spans="1:18" hidden="1" x14ac:dyDescent="0.3">
      <c r="A2764" t="str">
        <f>_xlfn.XLOOKUP(GERAL[[#This Row],[Dia]],U:U,T:T,"")</f>
        <v>Semana 4</v>
      </c>
      <c r="B2764" s="1">
        <v>46078</v>
      </c>
      <c r="C2764" t="s">
        <v>24</v>
      </c>
      <c r="D2764" s="1">
        <v>46078</v>
      </c>
      <c r="E2764" t="s">
        <v>36</v>
      </c>
      <c r="F2764" t="s">
        <v>200</v>
      </c>
      <c r="G2764" t="s">
        <v>201</v>
      </c>
      <c r="H2764">
        <v>6</v>
      </c>
      <c r="I2764">
        <v>0</v>
      </c>
      <c r="J2764">
        <v>0</v>
      </c>
      <c r="K2764">
        <v>12</v>
      </c>
      <c r="L2764">
        <v>0</v>
      </c>
      <c r="M2764">
        <v>0</v>
      </c>
      <c r="N2764">
        <v>0</v>
      </c>
      <c r="O2764">
        <v>5</v>
      </c>
      <c r="P2764">
        <v>0</v>
      </c>
      <c r="Q2764" t="s">
        <v>199</v>
      </c>
      <c r="R2764" t="str">
        <f>_xlfn.XLOOKUP(GERAL[[#This Row],[Dia]],U:U,V:V,"")</f>
        <v>Prazo_30</v>
      </c>
    </row>
    <row r="2765" spans="1:18" hidden="1" x14ac:dyDescent="0.3">
      <c r="A2765" t="str">
        <f>_xlfn.XLOOKUP(GERAL[[#This Row],[Dia]],U:U,T:T,"")</f>
        <v>Semana 4</v>
      </c>
      <c r="B2765" s="1">
        <v>46079</v>
      </c>
      <c r="C2765" t="s">
        <v>25</v>
      </c>
      <c r="D2765" s="1">
        <v>46079</v>
      </c>
      <c r="E2765" t="s">
        <v>17</v>
      </c>
      <c r="Q2765" t="s">
        <v>199</v>
      </c>
      <c r="R2765" t="str">
        <f>_xlfn.XLOOKUP(GERAL[[#This Row],[Dia]],U:U,V:V,"")</f>
        <v>Prazo_30</v>
      </c>
    </row>
    <row r="2766" spans="1:18" hidden="1" x14ac:dyDescent="0.3">
      <c r="A2766" t="str">
        <f>_xlfn.XLOOKUP(GERAL[[#This Row],[Dia]],U:U,T:T,"")</f>
        <v>Semana 4</v>
      </c>
      <c r="B2766" s="1">
        <v>46080</v>
      </c>
      <c r="C2766" t="s">
        <v>26</v>
      </c>
      <c r="D2766" s="1">
        <v>46080</v>
      </c>
      <c r="E2766" t="s">
        <v>36</v>
      </c>
      <c r="F2766" t="s">
        <v>200</v>
      </c>
      <c r="G2766" t="s">
        <v>201</v>
      </c>
      <c r="K2766">
        <v>6</v>
      </c>
      <c r="L2766">
        <v>1</v>
      </c>
      <c r="Q2766" t="s">
        <v>199</v>
      </c>
      <c r="R2766" t="str">
        <f>_xlfn.XLOOKUP(GERAL[[#This Row],[Dia]],U:U,V:V,"")</f>
        <v>Prazo_30</v>
      </c>
    </row>
    <row r="2767" spans="1:18" hidden="1" x14ac:dyDescent="0.3">
      <c r="A2767" t="str">
        <f>_xlfn.XLOOKUP(GERAL[[#This Row],[Dia]],U:U,T:T,"")</f>
        <v>Semana 4</v>
      </c>
      <c r="B2767" s="1">
        <v>46081</v>
      </c>
      <c r="C2767" t="s">
        <v>16</v>
      </c>
      <c r="D2767" s="1">
        <v>46081</v>
      </c>
      <c r="E2767" t="s">
        <v>17</v>
      </c>
      <c r="Q2767" t="s">
        <v>199</v>
      </c>
      <c r="R2767" t="str">
        <f>_xlfn.XLOOKUP(GERAL[[#This Row],[Dia]],U:U,V:V,"")</f>
        <v>Prazo_30</v>
      </c>
    </row>
    <row r="2768" spans="1:18" x14ac:dyDescent="0.3">
      <c r="A2768" t="str">
        <f>_xlfn.XLOOKUP(GERAL[[#This Row],[Dia]],U:U,T:T,"")</f>
        <v>Semana 5</v>
      </c>
      <c r="B2768" s="1">
        <v>46082</v>
      </c>
      <c r="C2768" t="s">
        <v>21</v>
      </c>
      <c r="D2768" s="1">
        <v>46082</v>
      </c>
      <c r="E2768" t="s">
        <v>17</v>
      </c>
      <c r="Q2768" t="s">
        <v>199</v>
      </c>
      <c r="R2768" t="str">
        <f>_xlfn.XLOOKUP(GERAL[[#This Row],[Dia]],U:U,V:V,"")</f>
        <v>Prazo_30</v>
      </c>
    </row>
    <row r="2769" spans="1:18" x14ac:dyDescent="0.3">
      <c r="A2769" t="str">
        <f>_xlfn.XLOOKUP(GERAL[[#This Row],[Dia]],U:U,T:T,"")</f>
        <v>Semana 5</v>
      </c>
      <c r="B2769" s="1">
        <v>46083</v>
      </c>
      <c r="C2769" t="s">
        <v>22</v>
      </c>
      <c r="D2769" s="1">
        <v>46083</v>
      </c>
      <c r="E2769" t="s">
        <v>36</v>
      </c>
      <c r="F2769" t="s">
        <v>202</v>
      </c>
      <c r="G2769" t="s">
        <v>203</v>
      </c>
      <c r="K2769">
        <v>6</v>
      </c>
      <c r="L2769">
        <v>1</v>
      </c>
      <c r="Q2769" t="s">
        <v>199</v>
      </c>
      <c r="R2769" t="str">
        <f>_xlfn.XLOOKUP(GERAL[[#This Row],[Dia]],U:U,V:V,"")</f>
        <v>Prazo_30</v>
      </c>
    </row>
    <row r="2770" spans="1:18" x14ac:dyDescent="0.3">
      <c r="A2770" t="str">
        <f>_xlfn.XLOOKUP(GERAL[[#This Row],[Dia]],U:U,T:T,"")</f>
        <v>Semana 5</v>
      </c>
      <c r="B2770" s="1">
        <v>46083</v>
      </c>
      <c r="C2770" t="s">
        <v>22</v>
      </c>
      <c r="D2770" s="1">
        <v>46083</v>
      </c>
      <c r="E2770" t="s">
        <v>36</v>
      </c>
      <c r="F2770" t="s">
        <v>204</v>
      </c>
      <c r="G2770" t="s">
        <v>205</v>
      </c>
      <c r="O2770">
        <v>3</v>
      </c>
      <c r="Q2770" t="s">
        <v>199</v>
      </c>
      <c r="R2770" t="str">
        <f>_xlfn.XLOOKUP(GERAL[[#This Row],[Dia]],U:U,V:V,"")</f>
        <v>Prazo_30</v>
      </c>
    </row>
    <row r="2771" spans="1:18" x14ac:dyDescent="0.3">
      <c r="A2771" t="str">
        <f>_xlfn.XLOOKUP(GERAL[[#This Row],[Dia]],U:U,T:T,"")</f>
        <v>Semana 5</v>
      </c>
      <c r="B2771" s="1">
        <v>46083</v>
      </c>
      <c r="C2771" t="s">
        <v>22</v>
      </c>
      <c r="D2771" s="1">
        <v>46083</v>
      </c>
      <c r="E2771" t="s">
        <v>36</v>
      </c>
      <c r="F2771" t="s">
        <v>204</v>
      </c>
      <c r="G2771" t="s">
        <v>206</v>
      </c>
      <c r="O2771">
        <v>2</v>
      </c>
      <c r="Q2771" t="s">
        <v>199</v>
      </c>
      <c r="R2771" t="str">
        <f>_xlfn.XLOOKUP(GERAL[[#This Row],[Dia]],U:U,V:V,"")</f>
        <v>Prazo_30</v>
      </c>
    </row>
    <row r="2772" spans="1:18" x14ac:dyDescent="0.3">
      <c r="A2772" t="str">
        <f>_xlfn.XLOOKUP(GERAL[[#This Row],[Dia]],U:U,T:T,"")</f>
        <v>Semana 6</v>
      </c>
      <c r="B2772" s="1">
        <v>46084</v>
      </c>
      <c r="C2772" t="s">
        <v>23</v>
      </c>
      <c r="D2772" s="1">
        <v>46084</v>
      </c>
      <c r="E2772" t="s">
        <v>36</v>
      </c>
      <c r="F2772" t="s">
        <v>207</v>
      </c>
      <c r="G2772" t="s">
        <v>208</v>
      </c>
      <c r="I2772">
        <v>4</v>
      </c>
      <c r="K2772">
        <v>12</v>
      </c>
      <c r="Q2772" t="s">
        <v>199</v>
      </c>
      <c r="R2772" t="str">
        <f>_xlfn.XLOOKUP(GERAL[[#This Row],[Dia]],U:U,V:V,"")</f>
        <v>Prazo_30</v>
      </c>
    </row>
    <row r="2773" spans="1:18" x14ac:dyDescent="0.3">
      <c r="A2773" t="str">
        <f>_xlfn.XLOOKUP(GERAL[[#This Row],[Dia]],U:U,T:T,"")</f>
        <v>Semana 6</v>
      </c>
      <c r="B2773" s="1">
        <v>46084</v>
      </c>
      <c r="C2773" t="s">
        <v>23</v>
      </c>
      <c r="D2773" s="1">
        <v>46084</v>
      </c>
      <c r="E2773" t="s">
        <v>36</v>
      </c>
      <c r="F2773" t="s">
        <v>204</v>
      </c>
      <c r="G2773" t="s">
        <v>205</v>
      </c>
      <c r="O2773">
        <v>8</v>
      </c>
      <c r="Q2773" t="s">
        <v>199</v>
      </c>
      <c r="R2773" t="str">
        <f>_xlfn.XLOOKUP(GERAL[[#This Row],[Dia]],U:U,V:V,"")</f>
        <v>Prazo_30</v>
      </c>
    </row>
    <row r="2774" spans="1:18" x14ac:dyDescent="0.3">
      <c r="A2774" t="str">
        <f>_xlfn.XLOOKUP(GERAL[[#This Row],[Dia]],U:U,T:T,"")</f>
        <v>Semana 6</v>
      </c>
      <c r="B2774" s="1">
        <v>46084</v>
      </c>
      <c r="C2774" t="s">
        <v>23</v>
      </c>
      <c r="D2774" s="1">
        <v>46084</v>
      </c>
      <c r="E2774" t="s">
        <v>36</v>
      </c>
      <c r="F2774" t="s">
        <v>204</v>
      </c>
      <c r="G2774" t="s">
        <v>206</v>
      </c>
      <c r="H2774">
        <v>8</v>
      </c>
      <c r="Q2774" t="s">
        <v>199</v>
      </c>
      <c r="R2774" t="str">
        <f>_xlfn.XLOOKUP(GERAL[[#This Row],[Dia]],U:U,V:V,"")</f>
        <v>Prazo_30</v>
      </c>
    </row>
    <row r="2775" spans="1:18" x14ac:dyDescent="0.3">
      <c r="A2775" t="str">
        <f>_xlfn.XLOOKUP(GERAL[[#This Row],[Dia]],U:U,T:T,"")</f>
        <v>Semana 6</v>
      </c>
      <c r="B2775" s="1">
        <v>46085</v>
      </c>
      <c r="C2775" t="s">
        <v>24</v>
      </c>
      <c r="D2775" s="1">
        <v>46085</v>
      </c>
      <c r="E2775" t="s">
        <v>36</v>
      </c>
      <c r="F2775" t="s">
        <v>207</v>
      </c>
      <c r="G2775" t="s">
        <v>208</v>
      </c>
      <c r="I2775">
        <v>2</v>
      </c>
      <c r="K2775">
        <v>6</v>
      </c>
      <c r="Q2775" t="s">
        <v>199</v>
      </c>
      <c r="R2775" t="str">
        <f>_xlfn.XLOOKUP(GERAL[[#This Row],[Dia]],U:U,V:V,"")</f>
        <v>Prazo_30</v>
      </c>
    </row>
    <row r="2776" spans="1:18" x14ac:dyDescent="0.3">
      <c r="A2776" t="str">
        <f>_xlfn.XLOOKUP(GERAL[[#This Row],[Dia]],U:U,T:T,"")</f>
        <v>Semana 6</v>
      </c>
      <c r="B2776" s="1">
        <v>46085</v>
      </c>
      <c r="C2776" t="s">
        <v>24</v>
      </c>
      <c r="D2776" s="1">
        <v>46085</v>
      </c>
      <c r="E2776" t="s">
        <v>36</v>
      </c>
      <c r="F2776" t="s">
        <v>202</v>
      </c>
      <c r="G2776" t="s">
        <v>209</v>
      </c>
      <c r="K2776">
        <v>6</v>
      </c>
      <c r="Q2776" t="s">
        <v>199</v>
      </c>
      <c r="R2776" t="str">
        <f>_xlfn.XLOOKUP(GERAL[[#This Row],[Dia]],U:U,V:V,"")</f>
        <v>Prazo_30</v>
      </c>
    </row>
    <row r="2777" spans="1:18" x14ac:dyDescent="0.3">
      <c r="A2777" t="str">
        <f>_xlfn.XLOOKUP(GERAL[[#This Row],[Dia]],U:U,T:T,"")</f>
        <v>Semana 6</v>
      </c>
      <c r="B2777" s="1">
        <v>46085</v>
      </c>
      <c r="C2777" t="s">
        <v>24</v>
      </c>
      <c r="D2777" s="1">
        <v>46085</v>
      </c>
      <c r="E2777" t="s">
        <v>36</v>
      </c>
      <c r="F2777" t="s">
        <v>204</v>
      </c>
      <c r="G2777" t="s">
        <v>206</v>
      </c>
      <c r="O2777">
        <v>9</v>
      </c>
      <c r="Q2777" t="s">
        <v>199</v>
      </c>
      <c r="R2777" t="str">
        <f>_xlfn.XLOOKUP(GERAL[[#This Row],[Dia]],U:U,V:V,"")</f>
        <v>Prazo_30</v>
      </c>
    </row>
    <row r="2778" spans="1:18" x14ac:dyDescent="0.3">
      <c r="A2778" t="str">
        <f>_xlfn.XLOOKUP(GERAL[[#This Row],[Dia]],U:U,T:T,"")</f>
        <v>Semana 6</v>
      </c>
      <c r="B2778" s="1">
        <v>46085</v>
      </c>
      <c r="C2778" t="s">
        <v>24</v>
      </c>
      <c r="D2778" s="1">
        <v>46085</v>
      </c>
      <c r="E2778" t="s">
        <v>36</v>
      </c>
      <c r="F2778" t="s">
        <v>204</v>
      </c>
      <c r="G2778" t="s">
        <v>210</v>
      </c>
      <c r="H2778">
        <v>7</v>
      </c>
      <c r="O2778">
        <v>9</v>
      </c>
      <c r="Q2778" t="s">
        <v>199</v>
      </c>
      <c r="R2778" t="str">
        <f>_xlfn.XLOOKUP(GERAL[[#This Row],[Dia]],U:U,V:V,"")</f>
        <v>Prazo_30</v>
      </c>
    </row>
    <row r="2779" spans="1:18" x14ac:dyDescent="0.3">
      <c r="A2779" t="str">
        <f>_xlfn.XLOOKUP(GERAL[[#This Row],[Dia]],U:U,T:T,"")</f>
        <v>Semana 6</v>
      </c>
      <c r="B2779" s="1">
        <v>46086</v>
      </c>
      <c r="C2779" t="s">
        <v>25</v>
      </c>
      <c r="D2779" s="1">
        <v>46086</v>
      </c>
      <c r="E2779" t="s">
        <v>36</v>
      </c>
      <c r="F2779" t="s">
        <v>207</v>
      </c>
      <c r="G2779" t="s">
        <v>211</v>
      </c>
      <c r="I2779">
        <v>2</v>
      </c>
      <c r="K2779">
        <v>6</v>
      </c>
      <c r="Q2779" t="s">
        <v>199</v>
      </c>
      <c r="R2779" t="str">
        <f>_xlfn.XLOOKUP(GERAL[[#This Row],[Dia]],U:U,V:V,"")</f>
        <v>Prazo_30</v>
      </c>
    </row>
    <row r="2780" spans="1:18" x14ac:dyDescent="0.3">
      <c r="A2780" t="str">
        <f>_xlfn.XLOOKUP(GERAL[[#This Row],[Dia]],U:U,T:T,"")</f>
        <v>Semana 6</v>
      </c>
      <c r="B2780" s="1">
        <v>46086</v>
      </c>
      <c r="C2780" t="s">
        <v>25</v>
      </c>
      <c r="D2780" s="1">
        <v>46086</v>
      </c>
      <c r="E2780" t="s">
        <v>36</v>
      </c>
      <c r="F2780" t="s">
        <v>204</v>
      </c>
      <c r="G2780" t="s">
        <v>206</v>
      </c>
      <c r="H2780">
        <v>8</v>
      </c>
      <c r="O2780">
        <v>8</v>
      </c>
      <c r="Q2780" t="s">
        <v>199</v>
      </c>
      <c r="R2780" t="str">
        <f>_xlfn.XLOOKUP(GERAL[[#This Row],[Dia]],U:U,V:V,"")</f>
        <v>Prazo_30</v>
      </c>
    </row>
    <row r="2781" spans="1:18" x14ac:dyDescent="0.3">
      <c r="A2781" t="str">
        <f>_xlfn.XLOOKUP(GERAL[[#This Row],[Dia]],U:U,T:T,"")</f>
        <v>Semana 6</v>
      </c>
      <c r="B2781" s="1">
        <v>46086</v>
      </c>
      <c r="C2781" t="s">
        <v>25</v>
      </c>
      <c r="D2781" s="1">
        <v>46086</v>
      </c>
      <c r="E2781" t="s">
        <v>36</v>
      </c>
      <c r="F2781" t="s">
        <v>202</v>
      </c>
      <c r="G2781" t="s">
        <v>203</v>
      </c>
      <c r="H2781">
        <v>8</v>
      </c>
      <c r="K2781">
        <v>6</v>
      </c>
      <c r="Q2781" t="s">
        <v>199</v>
      </c>
      <c r="R2781" t="str">
        <f>_xlfn.XLOOKUP(GERAL[[#This Row],[Dia]],U:U,V:V,"")</f>
        <v>Prazo_30</v>
      </c>
    </row>
    <row r="2782" spans="1:18" x14ac:dyDescent="0.3">
      <c r="A2782" t="str">
        <f>_xlfn.XLOOKUP(GERAL[[#This Row],[Dia]],U:U,T:T,"")</f>
        <v>Semana 6</v>
      </c>
      <c r="B2782" s="1">
        <v>46087</v>
      </c>
      <c r="C2782" t="s">
        <v>26</v>
      </c>
      <c r="D2782" s="1">
        <v>46087</v>
      </c>
      <c r="E2782" t="s">
        <v>36</v>
      </c>
      <c r="F2782" t="s">
        <v>207</v>
      </c>
      <c r="G2782" t="s">
        <v>208</v>
      </c>
      <c r="I2782">
        <v>2</v>
      </c>
      <c r="K2782">
        <v>6</v>
      </c>
      <c r="L2782">
        <v>1</v>
      </c>
      <c r="Q2782" t="s">
        <v>199</v>
      </c>
      <c r="R2782" t="str">
        <f>_xlfn.XLOOKUP(GERAL[[#This Row],[Dia]],U:U,V:V,"")</f>
        <v>Prazo_30</v>
      </c>
    </row>
    <row r="2783" spans="1:18" x14ac:dyDescent="0.3">
      <c r="A2783" t="str">
        <f>_xlfn.XLOOKUP(GERAL[[#This Row],[Dia]],U:U,T:T,"")</f>
        <v>Semana 6</v>
      </c>
      <c r="B2783" s="1">
        <v>46087</v>
      </c>
      <c r="C2783" t="s">
        <v>26</v>
      </c>
      <c r="D2783" s="1">
        <v>46087</v>
      </c>
      <c r="E2783" t="s">
        <v>36</v>
      </c>
      <c r="F2783" t="s">
        <v>202</v>
      </c>
      <c r="G2783" t="s">
        <v>212</v>
      </c>
      <c r="K2783">
        <v>5</v>
      </c>
      <c r="Q2783" t="s">
        <v>199</v>
      </c>
      <c r="R2783" t="str">
        <f>_xlfn.XLOOKUP(GERAL[[#This Row],[Dia]],U:U,V:V,"")</f>
        <v>Prazo_30</v>
      </c>
    </row>
    <row r="2784" spans="1:18" x14ac:dyDescent="0.3">
      <c r="A2784" t="str">
        <f>_xlfn.XLOOKUP(GERAL[[#This Row],[Dia]],U:U,T:T,"")</f>
        <v>Semana 6</v>
      </c>
      <c r="B2784" s="1">
        <v>46087</v>
      </c>
      <c r="C2784" t="s">
        <v>26</v>
      </c>
      <c r="D2784" s="1">
        <v>46087</v>
      </c>
      <c r="E2784" t="s">
        <v>36</v>
      </c>
      <c r="F2784" t="s">
        <v>204</v>
      </c>
      <c r="G2784" t="s">
        <v>213</v>
      </c>
      <c r="H2784">
        <v>1</v>
      </c>
      <c r="N2784">
        <v>5</v>
      </c>
      <c r="O2784">
        <v>3</v>
      </c>
      <c r="Q2784" t="s">
        <v>199</v>
      </c>
      <c r="R2784" t="str">
        <f>_xlfn.XLOOKUP(GERAL[[#This Row],[Dia]],U:U,V:V,"")</f>
        <v>Prazo_30</v>
      </c>
    </row>
    <row r="2785" spans="1:18" x14ac:dyDescent="0.3">
      <c r="A2785" t="str">
        <f>_xlfn.XLOOKUP(GERAL[[#This Row],[Dia]],U:U,T:T,"")</f>
        <v>Semana 6</v>
      </c>
      <c r="B2785" s="1">
        <v>46088</v>
      </c>
      <c r="C2785" t="s">
        <v>16</v>
      </c>
      <c r="D2785" s="1">
        <v>46088</v>
      </c>
      <c r="E2785" t="s">
        <v>17</v>
      </c>
      <c r="Q2785" t="s">
        <v>199</v>
      </c>
      <c r="R2785" t="str">
        <f>_xlfn.XLOOKUP(GERAL[[#This Row],[Dia]],U:U,V:V,"")</f>
        <v>Prazo_30</v>
      </c>
    </row>
    <row r="2786" spans="1:18" x14ac:dyDescent="0.3">
      <c r="A2786" t="str">
        <f>_xlfn.XLOOKUP(GERAL[[#This Row],[Dia]],U:U,T:T,"")</f>
        <v>Semana 6</v>
      </c>
      <c r="B2786" s="1">
        <v>46089</v>
      </c>
      <c r="C2786" t="s">
        <v>21</v>
      </c>
      <c r="D2786" s="1">
        <v>46089</v>
      </c>
      <c r="E2786" t="s">
        <v>17</v>
      </c>
      <c r="Q2786" t="s">
        <v>199</v>
      </c>
      <c r="R2786" t="str">
        <f>_xlfn.XLOOKUP(GERAL[[#This Row],[Dia]],U:U,V:V,"")</f>
        <v>Prazo_30</v>
      </c>
    </row>
    <row r="2787" spans="1:18" x14ac:dyDescent="0.3">
      <c r="A2787" t="str">
        <f>_xlfn.XLOOKUP(GERAL[[#This Row],[Dia]],U:U,T:T,"")</f>
        <v>Semana 7</v>
      </c>
      <c r="B2787" s="1">
        <v>46090</v>
      </c>
      <c r="C2787" t="s">
        <v>22</v>
      </c>
      <c r="D2787" s="1">
        <v>46090</v>
      </c>
      <c r="E2787" t="s">
        <v>36</v>
      </c>
      <c r="F2787" t="s">
        <v>207</v>
      </c>
      <c r="G2787" t="s">
        <v>211</v>
      </c>
      <c r="K2787">
        <v>6</v>
      </c>
      <c r="Q2787" t="s">
        <v>199</v>
      </c>
      <c r="R2787" t="str">
        <f>_xlfn.XLOOKUP(GERAL[[#This Row],[Dia]],U:U,V:V,"")</f>
        <v>Prazo_30</v>
      </c>
    </row>
    <row r="2788" spans="1:18" x14ac:dyDescent="0.3">
      <c r="A2788" t="str">
        <f>_xlfn.XLOOKUP(GERAL[[#This Row],[Dia]],U:U,T:T,"")</f>
        <v>Semana 7</v>
      </c>
      <c r="B2788" s="1">
        <v>46090</v>
      </c>
      <c r="C2788" t="s">
        <v>22</v>
      </c>
      <c r="D2788" s="1">
        <v>46090</v>
      </c>
      <c r="E2788" t="s">
        <v>36</v>
      </c>
      <c r="F2788" t="s">
        <v>202</v>
      </c>
      <c r="G2788" t="s">
        <v>209</v>
      </c>
      <c r="K2788">
        <v>3</v>
      </c>
      <c r="Q2788" t="s">
        <v>199</v>
      </c>
      <c r="R2788" t="str">
        <f>_xlfn.XLOOKUP(GERAL[[#This Row],[Dia]],U:U,V:V,"")</f>
        <v>Prazo_30</v>
      </c>
    </row>
    <row r="2789" spans="1:18" x14ac:dyDescent="0.3">
      <c r="A2789" t="str">
        <f>_xlfn.XLOOKUP(GERAL[[#This Row],[Dia]],U:U,T:T,"")</f>
        <v>Semana 7</v>
      </c>
      <c r="B2789" s="1">
        <v>46090</v>
      </c>
      <c r="C2789" t="s">
        <v>22</v>
      </c>
      <c r="D2789" s="1">
        <v>46090</v>
      </c>
      <c r="E2789" t="s">
        <v>36</v>
      </c>
      <c r="F2789" t="s">
        <v>204</v>
      </c>
      <c r="G2789" t="s">
        <v>210</v>
      </c>
      <c r="H2789">
        <v>5</v>
      </c>
      <c r="O2789">
        <v>5</v>
      </c>
      <c r="Q2789" t="s">
        <v>199</v>
      </c>
      <c r="R2789" t="str">
        <f>_xlfn.XLOOKUP(GERAL[[#This Row],[Dia]],U:U,V:V,"")</f>
        <v>Prazo_30</v>
      </c>
    </row>
    <row r="2790" spans="1:18" x14ac:dyDescent="0.3">
      <c r="A2790" t="str">
        <f>_xlfn.XLOOKUP(GERAL[[#This Row],[Dia]],U:U,T:T,"")</f>
        <v>Semana 7</v>
      </c>
      <c r="B2790" s="1">
        <v>46091</v>
      </c>
      <c r="C2790" t="s">
        <v>23</v>
      </c>
      <c r="D2790" s="1">
        <v>46091</v>
      </c>
      <c r="E2790" t="s">
        <v>17</v>
      </c>
      <c r="G2790" t="s">
        <v>88</v>
      </c>
      <c r="Q2790" t="s">
        <v>199</v>
      </c>
      <c r="R2790" t="str">
        <f>_xlfn.XLOOKUP(GERAL[[#This Row],[Dia]],U:U,V:V,"")</f>
        <v>Prazo_30</v>
      </c>
    </row>
    <row r="2791" spans="1:18" x14ac:dyDescent="0.3">
      <c r="A2791" t="str">
        <f>_xlfn.XLOOKUP(GERAL[[#This Row],[Dia]],U:U,T:T,"")</f>
        <v>Semana 7</v>
      </c>
      <c r="B2791" s="1">
        <v>46092</v>
      </c>
      <c r="C2791" t="s">
        <v>24</v>
      </c>
      <c r="D2791" s="1">
        <v>46092</v>
      </c>
      <c r="E2791" t="s">
        <v>36</v>
      </c>
      <c r="F2791" t="s">
        <v>214</v>
      </c>
      <c r="G2791" t="s">
        <v>215</v>
      </c>
      <c r="H2791">
        <v>6</v>
      </c>
      <c r="J2791">
        <v>4</v>
      </c>
      <c r="Q2791" t="s">
        <v>199</v>
      </c>
      <c r="R2791" t="str">
        <f>_xlfn.XLOOKUP(GERAL[[#This Row],[Dia]],U:U,V:V,"")</f>
        <v>Prazo_30</v>
      </c>
    </row>
    <row r="2792" spans="1:18" x14ac:dyDescent="0.3">
      <c r="A2792" t="str">
        <f>_xlfn.XLOOKUP(GERAL[[#This Row],[Dia]],U:U,T:T,"")</f>
        <v>Semana 7</v>
      </c>
      <c r="B2792" s="1">
        <v>46092</v>
      </c>
      <c r="C2792" t="s">
        <v>24</v>
      </c>
      <c r="D2792" s="1">
        <v>46092</v>
      </c>
      <c r="E2792" t="s">
        <v>36</v>
      </c>
      <c r="F2792" t="s">
        <v>207</v>
      </c>
      <c r="G2792" t="s">
        <v>208</v>
      </c>
      <c r="I2792">
        <v>4</v>
      </c>
      <c r="K2792">
        <v>6</v>
      </c>
      <c r="L2792">
        <v>1</v>
      </c>
      <c r="Q2792" t="s">
        <v>199</v>
      </c>
      <c r="R2792" t="str">
        <f>_xlfn.XLOOKUP(GERAL[[#This Row],[Dia]],U:U,V:V,"")</f>
        <v>Prazo_30</v>
      </c>
    </row>
    <row r="2793" spans="1:18" x14ac:dyDescent="0.3">
      <c r="A2793" t="str">
        <f>_xlfn.XLOOKUP(GERAL[[#This Row],[Dia]],U:U,T:T,"")</f>
        <v>Semana 7</v>
      </c>
      <c r="B2793" s="1">
        <v>46092</v>
      </c>
      <c r="C2793" t="s">
        <v>24</v>
      </c>
      <c r="D2793" s="1">
        <v>46092</v>
      </c>
      <c r="E2793" t="s">
        <v>36</v>
      </c>
      <c r="F2793" t="s">
        <v>202</v>
      </c>
      <c r="G2793" t="s">
        <v>203</v>
      </c>
      <c r="K2793">
        <v>3</v>
      </c>
      <c r="L2793">
        <v>1</v>
      </c>
      <c r="Q2793" t="s">
        <v>199</v>
      </c>
      <c r="R2793" t="str">
        <f>_xlfn.XLOOKUP(GERAL[[#This Row],[Dia]],U:U,V:V,"")</f>
        <v>Prazo_30</v>
      </c>
    </row>
    <row r="2794" spans="1:18" x14ac:dyDescent="0.3">
      <c r="A2794" t="str">
        <f>_xlfn.XLOOKUP(GERAL[[#This Row],[Dia]],U:U,T:T,"")</f>
        <v>Semana 7</v>
      </c>
      <c r="B2794" s="1">
        <v>46092</v>
      </c>
      <c r="C2794" t="s">
        <v>24</v>
      </c>
      <c r="D2794" s="1">
        <v>46092</v>
      </c>
      <c r="E2794" t="s">
        <v>36</v>
      </c>
      <c r="F2794" t="s">
        <v>204</v>
      </c>
      <c r="G2794" t="s">
        <v>210</v>
      </c>
      <c r="H2794">
        <v>2</v>
      </c>
      <c r="N2794">
        <v>2</v>
      </c>
      <c r="Q2794" t="s">
        <v>199</v>
      </c>
      <c r="R2794" t="str">
        <f>_xlfn.XLOOKUP(GERAL[[#This Row],[Dia]],U:U,V:V,"")</f>
        <v>Prazo_30</v>
      </c>
    </row>
    <row r="2795" spans="1:18" x14ac:dyDescent="0.3">
      <c r="A2795" t="str">
        <f>_xlfn.XLOOKUP(GERAL[[#This Row],[Dia]],U:U,T:T,"")</f>
        <v>Semana 7</v>
      </c>
      <c r="B2795" s="1">
        <v>46093</v>
      </c>
      <c r="C2795" t="s">
        <v>25</v>
      </c>
      <c r="D2795" s="1">
        <v>46093</v>
      </c>
      <c r="E2795" t="s">
        <v>36</v>
      </c>
      <c r="F2795" t="s">
        <v>207</v>
      </c>
      <c r="G2795" t="s">
        <v>216</v>
      </c>
      <c r="H2795">
        <v>6</v>
      </c>
      <c r="K2795">
        <v>34</v>
      </c>
      <c r="Q2795" t="s">
        <v>199</v>
      </c>
      <c r="R2795" t="str">
        <f>_xlfn.XLOOKUP(GERAL[[#This Row],[Dia]],U:U,V:V,"")</f>
        <v>Prazo_30</v>
      </c>
    </row>
    <row r="2796" spans="1:18" x14ac:dyDescent="0.3">
      <c r="A2796" t="str">
        <f>_xlfn.XLOOKUP(GERAL[[#This Row],[Dia]],U:U,T:T,"")</f>
        <v>Semana 7</v>
      </c>
      <c r="B2796" s="1">
        <v>46093</v>
      </c>
      <c r="C2796" t="s">
        <v>25</v>
      </c>
      <c r="D2796" s="1">
        <v>46093</v>
      </c>
      <c r="E2796" t="s">
        <v>36</v>
      </c>
      <c r="F2796" t="s">
        <v>204</v>
      </c>
      <c r="G2796" t="s">
        <v>217</v>
      </c>
      <c r="O2796">
        <v>2</v>
      </c>
      <c r="Q2796" t="s">
        <v>199</v>
      </c>
      <c r="R2796" t="str">
        <f>_xlfn.XLOOKUP(GERAL[[#This Row],[Dia]],U:U,V:V,"")</f>
        <v>Prazo_30</v>
      </c>
    </row>
    <row r="2797" spans="1:18" x14ac:dyDescent="0.3">
      <c r="A2797" t="str">
        <f>_xlfn.XLOOKUP(GERAL[[#This Row],[Dia]],U:U,T:T,"")</f>
        <v>Semana 7</v>
      </c>
      <c r="B2797" s="1">
        <v>46093</v>
      </c>
      <c r="C2797" t="s">
        <v>25</v>
      </c>
      <c r="D2797" s="1">
        <v>46093</v>
      </c>
      <c r="E2797" t="s">
        <v>36</v>
      </c>
      <c r="F2797" t="s">
        <v>204</v>
      </c>
      <c r="G2797" t="s">
        <v>218</v>
      </c>
      <c r="H2797">
        <v>2</v>
      </c>
      <c r="Q2797" t="s">
        <v>199</v>
      </c>
      <c r="R2797" t="str">
        <f>_xlfn.XLOOKUP(GERAL[[#This Row],[Dia]],U:U,V:V,"")</f>
        <v>Prazo_30</v>
      </c>
    </row>
    <row r="2798" spans="1:18" x14ac:dyDescent="0.3">
      <c r="A2798" t="str">
        <f>_xlfn.XLOOKUP(GERAL[[#This Row],[Dia]],U:U,T:T,"")</f>
        <v>Semana 7</v>
      </c>
      <c r="B2798" s="1">
        <v>46094</v>
      </c>
      <c r="C2798" t="s">
        <v>26</v>
      </c>
      <c r="D2798" s="1">
        <v>46094</v>
      </c>
      <c r="E2798" t="s">
        <v>36</v>
      </c>
      <c r="F2798" t="s">
        <v>207</v>
      </c>
      <c r="G2798" t="s">
        <v>219</v>
      </c>
      <c r="H2798">
        <v>4</v>
      </c>
      <c r="J2798">
        <v>66</v>
      </c>
      <c r="Q2798" t="s">
        <v>199</v>
      </c>
      <c r="R2798" t="str">
        <f>_xlfn.XLOOKUP(GERAL[[#This Row],[Dia]],U:U,V:V,"")</f>
        <v>Prazo_30</v>
      </c>
    </row>
    <row r="2799" spans="1:18" x14ac:dyDescent="0.3">
      <c r="A2799" t="str">
        <f>_xlfn.XLOOKUP(GERAL[[#This Row],[Dia]],U:U,T:T,"")</f>
        <v>Semana 7</v>
      </c>
      <c r="B2799" s="1">
        <v>46094</v>
      </c>
      <c r="C2799" t="s">
        <v>26</v>
      </c>
      <c r="D2799" s="1">
        <v>46094</v>
      </c>
      <c r="E2799" t="s">
        <v>36</v>
      </c>
      <c r="F2799" t="s">
        <v>202</v>
      </c>
      <c r="G2799" t="s">
        <v>203</v>
      </c>
      <c r="K2799">
        <v>6</v>
      </c>
      <c r="L2799">
        <v>2</v>
      </c>
      <c r="Q2799" t="s">
        <v>199</v>
      </c>
      <c r="R2799" t="str">
        <f>_xlfn.XLOOKUP(GERAL[[#This Row],[Dia]],U:U,V:V,"")</f>
        <v>Prazo_30</v>
      </c>
    </row>
    <row r="2800" spans="1:18" x14ac:dyDescent="0.3">
      <c r="A2800" t="str">
        <f>_xlfn.XLOOKUP(GERAL[[#This Row],[Dia]],U:U,T:T,"")</f>
        <v>Semana 7</v>
      </c>
      <c r="B2800" s="1">
        <v>46094</v>
      </c>
      <c r="C2800" t="s">
        <v>26</v>
      </c>
      <c r="D2800" s="1">
        <v>46094</v>
      </c>
      <c r="E2800" t="s">
        <v>36</v>
      </c>
      <c r="F2800" t="s">
        <v>204</v>
      </c>
      <c r="G2800" t="s">
        <v>220</v>
      </c>
      <c r="H2800">
        <v>2</v>
      </c>
      <c r="N2800">
        <v>2</v>
      </c>
      <c r="O2800">
        <v>2</v>
      </c>
      <c r="Q2800" t="s">
        <v>199</v>
      </c>
      <c r="R2800" t="str">
        <f>_xlfn.XLOOKUP(GERAL[[#This Row],[Dia]],U:U,V:V,"")</f>
        <v>Prazo_30</v>
      </c>
    </row>
    <row r="2801" spans="1:18" x14ac:dyDescent="0.3">
      <c r="A2801" t="str">
        <f>_xlfn.XLOOKUP(GERAL[[#This Row],[Dia]],U:U,T:T,"")</f>
        <v>Semana 7</v>
      </c>
      <c r="B2801" s="1">
        <v>46095</v>
      </c>
      <c r="C2801" t="s">
        <v>16</v>
      </c>
      <c r="D2801" s="1">
        <v>46095</v>
      </c>
      <c r="E2801" t="s">
        <v>36</v>
      </c>
      <c r="F2801" t="s">
        <v>221</v>
      </c>
      <c r="G2801" t="s">
        <v>222</v>
      </c>
      <c r="H2801">
        <v>6</v>
      </c>
      <c r="J2801">
        <v>41</v>
      </c>
      <c r="Q2801" t="s">
        <v>199</v>
      </c>
      <c r="R2801" t="str">
        <f>_xlfn.XLOOKUP(GERAL[[#This Row],[Dia]],U:U,V:V,"")</f>
        <v>Prazo_30</v>
      </c>
    </row>
    <row r="2802" spans="1:18" x14ac:dyDescent="0.3">
      <c r="A2802" t="str">
        <f>_xlfn.XLOOKUP(GERAL[[#This Row],[Dia]],U:U,T:T,"")</f>
        <v>Semana 7</v>
      </c>
      <c r="B2802" s="1">
        <v>46096</v>
      </c>
      <c r="C2802" t="s">
        <v>21</v>
      </c>
      <c r="D2802" s="1">
        <v>46096</v>
      </c>
      <c r="E2802" t="s">
        <v>17</v>
      </c>
      <c r="Q2802" t="s">
        <v>199</v>
      </c>
      <c r="R2802" t="str">
        <f>_xlfn.XLOOKUP(GERAL[[#This Row],[Dia]],U:U,V:V,"")</f>
        <v>Prazo_30</v>
      </c>
    </row>
    <row r="2803" spans="1:18" x14ac:dyDescent="0.3">
      <c r="A2803" t="str">
        <f>_xlfn.XLOOKUP(GERAL[[#This Row],[Dia]],U:U,T:T,"")</f>
        <v>Semana 8</v>
      </c>
      <c r="B2803" s="1">
        <v>46097</v>
      </c>
      <c r="C2803" t="s">
        <v>22</v>
      </c>
      <c r="D2803" s="1">
        <v>46097</v>
      </c>
      <c r="E2803" t="s">
        <v>36</v>
      </c>
      <c r="F2803" t="s">
        <v>207</v>
      </c>
      <c r="G2803" t="s">
        <v>219</v>
      </c>
      <c r="H2803">
        <v>6</v>
      </c>
      <c r="J2803">
        <v>100</v>
      </c>
      <c r="Q2803" t="s">
        <v>199</v>
      </c>
      <c r="R2803" t="str">
        <f>_xlfn.XLOOKUP(GERAL[[#This Row],[Dia]],U:U,V:V,"")</f>
        <v>Prazo_30</v>
      </c>
    </row>
    <row r="2804" spans="1:18" x14ac:dyDescent="0.3">
      <c r="A2804" t="str">
        <f>_xlfn.XLOOKUP(GERAL[[#This Row],[Dia]],U:U,T:T,"")</f>
        <v>Semana 8</v>
      </c>
      <c r="B2804" s="1">
        <v>46097</v>
      </c>
      <c r="C2804" t="s">
        <v>22</v>
      </c>
      <c r="D2804" s="1">
        <v>46097</v>
      </c>
      <c r="E2804" t="s">
        <v>36</v>
      </c>
      <c r="F2804" t="s">
        <v>202</v>
      </c>
      <c r="G2804" t="s">
        <v>203</v>
      </c>
      <c r="K2804">
        <v>6</v>
      </c>
      <c r="L2804">
        <v>1</v>
      </c>
      <c r="Q2804" t="s">
        <v>199</v>
      </c>
      <c r="R2804" t="str">
        <f>_xlfn.XLOOKUP(GERAL[[#This Row],[Dia]],U:U,V:V,"")</f>
        <v>Prazo_30</v>
      </c>
    </row>
    <row r="2805" spans="1:18" x14ac:dyDescent="0.3">
      <c r="A2805" t="str">
        <f>_xlfn.XLOOKUP(GERAL[[#This Row],[Dia]],U:U,T:T,"")</f>
        <v>Semana 8</v>
      </c>
      <c r="B2805" s="1">
        <v>46097</v>
      </c>
      <c r="C2805" t="s">
        <v>22</v>
      </c>
      <c r="D2805" s="1">
        <v>46097</v>
      </c>
      <c r="E2805" t="s">
        <v>36</v>
      </c>
      <c r="F2805" t="s">
        <v>204</v>
      </c>
      <c r="G2805" t="s">
        <v>220</v>
      </c>
      <c r="H2805">
        <v>7</v>
      </c>
      <c r="N2805">
        <v>2</v>
      </c>
      <c r="O2805">
        <v>2</v>
      </c>
      <c r="Q2805" t="s">
        <v>199</v>
      </c>
      <c r="R2805" t="str">
        <f>_xlfn.XLOOKUP(GERAL[[#This Row],[Dia]],U:U,V:V,"")</f>
        <v>Prazo_30</v>
      </c>
    </row>
    <row r="2806" spans="1:18" x14ac:dyDescent="0.3">
      <c r="A2806" t="str">
        <f>_xlfn.XLOOKUP(GERAL[[#This Row],[Dia]],U:U,T:T,"")</f>
        <v>Semana 8</v>
      </c>
      <c r="B2806" s="1">
        <v>46097</v>
      </c>
      <c r="C2806" t="s">
        <v>22</v>
      </c>
      <c r="D2806" s="1">
        <v>46097</v>
      </c>
      <c r="E2806" t="s">
        <v>36</v>
      </c>
      <c r="F2806" t="s">
        <v>214</v>
      </c>
      <c r="G2806" t="s">
        <v>223</v>
      </c>
      <c r="H2806">
        <v>7</v>
      </c>
      <c r="J2806">
        <v>157</v>
      </c>
      <c r="O2806">
        <v>7</v>
      </c>
      <c r="Q2806" t="s">
        <v>199</v>
      </c>
      <c r="R2806" t="str">
        <f>_xlfn.XLOOKUP(GERAL[[#This Row],[Dia]],U:U,V:V,"")</f>
        <v>Prazo_30</v>
      </c>
    </row>
    <row r="2807" spans="1:18" x14ac:dyDescent="0.3">
      <c r="A2807" t="str">
        <f>_xlfn.XLOOKUP(GERAL[[#This Row],[Dia]],U:U,T:T,"")</f>
        <v>Semana 8</v>
      </c>
      <c r="B2807" s="1">
        <v>46098</v>
      </c>
      <c r="C2807" t="s">
        <v>23</v>
      </c>
      <c r="D2807" s="1">
        <v>46098</v>
      </c>
      <c r="E2807" t="s">
        <v>36</v>
      </c>
      <c r="F2807" t="s">
        <v>50</v>
      </c>
      <c r="G2807" t="s">
        <v>219</v>
      </c>
      <c r="H2807">
        <v>4</v>
      </c>
      <c r="J2807">
        <v>50</v>
      </c>
      <c r="Q2807" t="s">
        <v>199</v>
      </c>
      <c r="R2807" t="str">
        <f>_xlfn.XLOOKUP(GERAL[[#This Row],[Dia]],U:U,V:V,"")</f>
        <v>Prazo_30</v>
      </c>
    </row>
    <row r="2808" spans="1:18" x14ac:dyDescent="0.3">
      <c r="A2808" t="str">
        <f>_xlfn.XLOOKUP(GERAL[[#This Row],[Dia]],U:U,T:T,"")</f>
        <v>Semana 8</v>
      </c>
      <c r="B2808" s="1">
        <v>46098</v>
      </c>
      <c r="C2808" t="s">
        <v>23</v>
      </c>
      <c r="D2808" s="1">
        <v>46098</v>
      </c>
      <c r="E2808" t="s">
        <v>36</v>
      </c>
      <c r="F2808" t="s">
        <v>207</v>
      </c>
      <c r="G2808" t="s">
        <v>224</v>
      </c>
      <c r="K2808">
        <v>6</v>
      </c>
      <c r="Q2808" t="s">
        <v>199</v>
      </c>
      <c r="R2808" t="str">
        <f>_xlfn.XLOOKUP(GERAL[[#This Row],[Dia]],U:U,V:V,"")</f>
        <v>Prazo_30</v>
      </c>
    </row>
    <row r="2809" spans="1:18" x14ac:dyDescent="0.3">
      <c r="A2809" t="str">
        <f>_xlfn.XLOOKUP(GERAL[[#This Row],[Dia]],U:U,T:T,"")</f>
        <v>Semana 8</v>
      </c>
      <c r="B2809" s="1">
        <v>46098</v>
      </c>
      <c r="C2809" t="s">
        <v>23</v>
      </c>
      <c r="D2809" s="1">
        <v>46098</v>
      </c>
      <c r="E2809" t="s">
        <v>36</v>
      </c>
      <c r="F2809" t="s">
        <v>202</v>
      </c>
      <c r="G2809" t="s">
        <v>209</v>
      </c>
      <c r="H2809">
        <v>1</v>
      </c>
      <c r="I2809">
        <v>4</v>
      </c>
      <c r="Q2809" t="s">
        <v>199</v>
      </c>
      <c r="R2809" t="str">
        <f>_xlfn.XLOOKUP(GERAL[[#This Row],[Dia]],U:U,V:V,"")</f>
        <v>Prazo_30</v>
      </c>
    </row>
    <row r="2810" spans="1:18" x14ac:dyDescent="0.3">
      <c r="A2810" t="str">
        <f>_xlfn.XLOOKUP(GERAL[[#This Row],[Dia]],U:U,T:T,"")</f>
        <v>Semana 8</v>
      </c>
      <c r="B2810" s="1">
        <v>46098</v>
      </c>
      <c r="C2810" t="s">
        <v>23</v>
      </c>
      <c r="D2810" s="1">
        <v>46098</v>
      </c>
      <c r="E2810" t="s">
        <v>36</v>
      </c>
      <c r="F2810" t="s">
        <v>214</v>
      </c>
      <c r="G2810" t="s">
        <v>223</v>
      </c>
      <c r="H2810">
        <v>7</v>
      </c>
      <c r="J2810">
        <v>40</v>
      </c>
      <c r="Q2810" t="s">
        <v>199</v>
      </c>
      <c r="R2810" t="str">
        <f>_xlfn.XLOOKUP(GERAL[[#This Row],[Dia]],U:U,V:V,"")</f>
        <v>Prazo_30</v>
      </c>
    </row>
    <row r="2811" spans="1:18" x14ac:dyDescent="0.3">
      <c r="A2811" t="str">
        <f>_xlfn.XLOOKUP(GERAL[[#This Row],[Dia]],U:U,T:T,"")</f>
        <v>Semana 8</v>
      </c>
      <c r="B2811" s="1">
        <v>46099</v>
      </c>
      <c r="C2811" t="s">
        <v>24</v>
      </c>
      <c r="D2811" s="1">
        <v>46099</v>
      </c>
      <c r="E2811" t="s">
        <v>36</v>
      </c>
      <c r="F2811" t="s">
        <v>207</v>
      </c>
      <c r="G2811" t="s">
        <v>225</v>
      </c>
      <c r="K2811">
        <v>6</v>
      </c>
      <c r="Q2811" t="s">
        <v>199</v>
      </c>
      <c r="R2811" t="str">
        <f>_xlfn.XLOOKUP(GERAL[[#This Row],[Dia]],U:U,V:V,"")</f>
        <v>Prazo_30</v>
      </c>
    </row>
    <row r="2812" spans="1:18" x14ac:dyDescent="0.3">
      <c r="A2812" t="str">
        <f>_xlfn.XLOOKUP(GERAL[[#This Row],[Dia]],U:U,T:T,"")</f>
        <v>Semana 8</v>
      </c>
      <c r="B2812" s="1">
        <v>46099</v>
      </c>
      <c r="C2812" t="s">
        <v>24</v>
      </c>
      <c r="D2812" s="1">
        <v>46099</v>
      </c>
      <c r="E2812" t="s">
        <v>36</v>
      </c>
      <c r="F2812" t="s">
        <v>226</v>
      </c>
      <c r="G2812" t="s">
        <v>203</v>
      </c>
      <c r="I2812">
        <v>2</v>
      </c>
      <c r="K2812">
        <v>6</v>
      </c>
      <c r="Q2812" t="s">
        <v>199</v>
      </c>
      <c r="R2812" t="str">
        <f>_xlfn.XLOOKUP(GERAL[[#This Row],[Dia]],U:U,V:V,"")</f>
        <v>Prazo_30</v>
      </c>
    </row>
    <row r="2813" spans="1:18" x14ac:dyDescent="0.3">
      <c r="A2813" t="str">
        <f>_xlfn.XLOOKUP(GERAL[[#This Row],[Dia]],U:U,T:T,"")</f>
        <v>Semana 8</v>
      </c>
      <c r="B2813" s="1">
        <v>46099</v>
      </c>
      <c r="C2813" t="s">
        <v>24</v>
      </c>
      <c r="D2813" s="1">
        <v>46099</v>
      </c>
      <c r="E2813" t="s">
        <v>36</v>
      </c>
      <c r="F2813" t="s">
        <v>50</v>
      </c>
      <c r="G2813" t="s">
        <v>227</v>
      </c>
      <c r="H2813">
        <v>8</v>
      </c>
      <c r="K2813">
        <v>90</v>
      </c>
      <c r="Q2813" t="s">
        <v>199</v>
      </c>
      <c r="R2813" t="str">
        <f>_xlfn.XLOOKUP(GERAL[[#This Row],[Dia]],U:U,V:V,"")</f>
        <v>Prazo_30</v>
      </c>
    </row>
    <row r="2814" spans="1:18" x14ac:dyDescent="0.3">
      <c r="A2814" t="str">
        <f>_xlfn.XLOOKUP(GERAL[[#This Row],[Dia]],U:U,T:T,"")</f>
        <v>Semana 8</v>
      </c>
      <c r="B2814" s="1">
        <v>46100</v>
      </c>
      <c r="C2814" t="s">
        <v>25</v>
      </c>
      <c r="D2814" s="1">
        <v>46100</v>
      </c>
      <c r="E2814" t="s">
        <v>36</v>
      </c>
      <c r="F2814" t="s">
        <v>207</v>
      </c>
      <c r="G2814" t="s">
        <v>225</v>
      </c>
      <c r="K2814">
        <v>6</v>
      </c>
      <c r="Q2814" t="s">
        <v>199</v>
      </c>
      <c r="R2814" t="str">
        <f>_xlfn.XLOOKUP(GERAL[[#This Row],[Dia]],U:U,V:V,"")</f>
        <v>Prazo_30</v>
      </c>
    </row>
    <row r="2815" spans="1:18" x14ac:dyDescent="0.3">
      <c r="A2815" t="str">
        <f>_xlfn.XLOOKUP(GERAL[[#This Row],[Dia]],U:U,T:T,"")</f>
        <v>Semana 8</v>
      </c>
      <c r="B2815" s="1">
        <v>46100</v>
      </c>
      <c r="C2815" t="s">
        <v>25</v>
      </c>
      <c r="D2815" s="1">
        <v>46100</v>
      </c>
      <c r="E2815" t="s">
        <v>36</v>
      </c>
      <c r="F2815" t="s">
        <v>207</v>
      </c>
      <c r="G2815" t="s">
        <v>228</v>
      </c>
      <c r="K2815">
        <v>6</v>
      </c>
      <c r="L2815">
        <v>1</v>
      </c>
      <c r="Q2815" t="s">
        <v>199</v>
      </c>
      <c r="R2815" t="str">
        <f>_xlfn.XLOOKUP(GERAL[[#This Row],[Dia]],U:U,V:V,"")</f>
        <v>Prazo_30</v>
      </c>
    </row>
    <row r="2816" spans="1:18" x14ac:dyDescent="0.3">
      <c r="A2816" t="str">
        <f>_xlfn.XLOOKUP(GERAL[[#This Row],[Dia]],U:U,T:T,"")</f>
        <v>Semana 8</v>
      </c>
      <c r="B2816" s="1">
        <v>46100</v>
      </c>
      <c r="C2816" t="s">
        <v>25</v>
      </c>
      <c r="D2816" s="1">
        <v>46100</v>
      </c>
      <c r="E2816" t="s">
        <v>36</v>
      </c>
      <c r="F2816" t="s">
        <v>226</v>
      </c>
      <c r="G2816" t="s">
        <v>203</v>
      </c>
      <c r="K2816">
        <v>6</v>
      </c>
      <c r="L2816">
        <v>1</v>
      </c>
      <c r="Q2816" t="s">
        <v>199</v>
      </c>
      <c r="R2816" t="str">
        <f>_xlfn.XLOOKUP(GERAL[[#This Row],[Dia]],U:U,V:V,"")</f>
        <v>Prazo_30</v>
      </c>
    </row>
    <row r="2817" spans="1:18" x14ac:dyDescent="0.3">
      <c r="A2817" t="str">
        <f>_xlfn.XLOOKUP(GERAL[[#This Row],[Dia]],U:U,T:T,"")</f>
        <v>Semana 8</v>
      </c>
      <c r="B2817" s="1">
        <v>46100</v>
      </c>
      <c r="C2817" t="s">
        <v>25</v>
      </c>
      <c r="D2817" s="1">
        <v>46100</v>
      </c>
      <c r="E2817" t="s">
        <v>36</v>
      </c>
      <c r="F2817" t="s">
        <v>50</v>
      </c>
      <c r="G2817" t="s">
        <v>229</v>
      </c>
      <c r="H2817">
        <v>5</v>
      </c>
      <c r="J2817">
        <v>81</v>
      </c>
      <c r="Q2817" t="s">
        <v>199</v>
      </c>
      <c r="R2817" t="str">
        <f>_xlfn.XLOOKUP(GERAL[[#This Row],[Dia]],U:U,V:V,"")</f>
        <v>Prazo_30</v>
      </c>
    </row>
    <row r="2818" spans="1:18" x14ac:dyDescent="0.3">
      <c r="A2818" t="str">
        <f>_xlfn.XLOOKUP(GERAL[[#This Row],[Dia]],U:U,T:T,"")</f>
        <v>Semana 8</v>
      </c>
      <c r="B2818" s="1">
        <v>46100</v>
      </c>
      <c r="C2818" t="s">
        <v>25</v>
      </c>
      <c r="D2818" s="1">
        <v>46100</v>
      </c>
      <c r="E2818" t="s">
        <v>36</v>
      </c>
      <c r="F2818" t="s">
        <v>230</v>
      </c>
      <c r="G2818" t="s">
        <v>215</v>
      </c>
      <c r="H2818">
        <v>3</v>
      </c>
      <c r="J2818">
        <v>20</v>
      </c>
      <c r="O2818">
        <v>3</v>
      </c>
      <c r="Q2818" t="s">
        <v>199</v>
      </c>
      <c r="R2818" t="str">
        <f>_xlfn.XLOOKUP(GERAL[[#This Row],[Dia]],U:U,V:V,"")</f>
        <v>Prazo_30</v>
      </c>
    </row>
    <row r="2819" spans="1:18" x14ac:dyDescent="0.3">
      <c r="A2819" t="str">
        <f>_xlfn.XLOOKUP(GERAL[[#This Row],[Dia]],U:U,T:T,"")</f>
        <v>Semana 8</v>
      </c>
      <c r="B2819" s="1">
        <v>46101</v>
      </c>
      <c r="C2819" t="s">
        <v>26</v>
      </c>
      <c r="D2819" s="1">
        <v>46101</v>
      </c>
      <c r="E2819" t="s">
        <v>36</v>
      </c>
      <c r="F2819" t="s">
        <v>207</v>
      </c>
      <c r="G2819" t="s">
        <v>225</v>
      </c>
      <c r="I2819">
        <v>3</v>
      </c>
      <c r="K2819">
        <v>6</v>
      </c>
      <c r="Q2819" t="s">
        <v>199</v>
      </c>
      <c r="R2819" t="str">
        <f>_xlfn.XLOOKUP(GERAL[[#This Row],[Dia]],U:U,V:V,"")</f>
        <v>Prazo_30</v>
      </c>
    </row>
    <row r="2820" spans="1:18" x14ac:dyDescent="0.3">
      <c r="A2820" t="str">
        <f>_xlfn.XLOOKUP(GERAL[[#This Row],[Dia]],U:U,T:T,"")</f>
        <v>Semana 8</v>
      </c>
      <c r="B2820" s="1">
        <v>46101</v>
      </c>
      <c r="C2820" t="s">
        <v>26</v>
      </c>
      <c r="D2820" s="1">
        <v>46101</v>
      </c>
      <c r="E2820" t="s">
        <v>36</v>
      </c>
      <c r="F2820" t="s">
        <v>207</v>
      </c>
      <c r="G2820" t="s">
        <v>228</v>
      </c>
      <c r="K2820">
        <v>6</v>
      </c>
      <c r="L2820">
        <v>1</v>
      </c>
      <c r="Q2820" t="s">
        <v>199</v>
      </c>
      <c r="R2820" t="str">
        <f>_xlfn.XLOOKUP(GERAL[[#This Row],[Dia]],U:U,V:V,"")</f>
        <v>Prazo_30</v>
      </c>
    </row>
    <row r="2821" spans="1:18" x14ac:dyDescent="0.3">
      <c r="A2821" t="str">
        <f>_xlfn.XLOOKUP(GERAL[[#This Row],[Dia]],U:U,T:T,"")</f>
        <v>Semana 8</v>
      </c>
      <c r="B2821" s="1">
        <v>46102</v>
      </c>
      <c r="C2821" t="s">
        <v>16</v>
      </c>
      <c r="D2821" s="1">
        <v>46102</v>
      </c>
      <c r="E2821" t="s">
        <v>17</v>
      </c>
      <c r="Q2821" t="s">
        <v>199</v>
      </c>
      <c r="R2821" t="str">
        <f>_xlfn.XLOOKUP(GERAL[[#This Row],[Dia]],U:U,V:V,"")</f>
        <v>Prazo_30</v>
      </c>
    </row>
    <row r="2822" spans="1:18" x14ac:dyDescent="0.3">
      <c r="A2822" t="str">
        <f>_xlfn.XLOOKUP(GERAL[[#This Row],[Dia]],U:U,T:T,"")</f>
        <v>Semana 8</v>
      </c>
      <c r="B2822" s="1">
        <v>46103</v>
      </c>
      <c r="C2822" t="s">
        <v>21</v>
      </c>
      <c r="D2822" s="1">
        <v>46103</v>
      </c>
      <c r="E2822" t="s">
        <v>17</v>
      </c>
      <c r="Q2822" t="s">
        <v>199</v>
      </c>
      <c r="R2822" t="str">
        <f>_xlfn.XLOOKUP(GERAL[[#This Row],[Dia]],U:U,V:V,"")</f>
        <v>Prazo_30</v>
      </c>
    </row>
    <row r="2823" spans="1:18" x14ac:dyDescent="0.3">
      <c r="A2823" t="str">
        <f>_xlfn.XLOOKUP(GERAL[[#This Row],[Dia]],U:U,T:T,"")</f>
        <v>Semana 9</v>
      </c>
      <c r="B2823" s="1">
        <v>46104</v>
      </c>
      <c r="C2823" t="s">
        <v>22</v>
      </c>
      <c r="D2823" s="1">
        <v>46104</v>
      </c>
      <c r="E2823" t="s">
        <v>36</v>
      </c>
      <c r="F2823" t="s">
        <v>207</v>
      </c>
      <c r="G2823" t="s">
        <v>225</v>
      </c>
      <c r="I2823">
        <v>2</v>
      </c>
      <c r="K2823">
        <v>6</v>
      </c>
      <c r="Q2823" t="s">
        <v>199</v>
      </c>
      <c r="R2823" t="str">
        <f>_xlfn.XLOOKUP(GERAL[[#This Row],[Dia]],U:U,V:V,"")</f>
        <v>Prazo_30</v>
      </c>
    </row>
    <row r="2824" spans="1:18" x14ac:dyDescent="0.3">
      <c r="A2824" t="str">
        <f>_xlfn.XLOOKUP(GERAL[[#This Row],[Dia]],U:U,T:T,"")</f>
        <v>Semana 9</v>
      </c>
      <c r="B2824" s="1">
        <v>46104</v>
      </c>
      <c r="C2824" t="s">
        <v>22</v>
      </c>
      <c r="D2824" s="1">
        <v>46104</v>
      </c>
      <c r="E2824" t="s">
        <v>36</v>
      </c>
      <c r="F2824" t="s">
        <v>231</v>
      </c>
      <c r="G2824" t="s">
        <v>228</v>
      </c>
      <c r="I2824">
        <v>5</v>
      </c>
      <c r="K2824">
        <v>12</v>
      </c>
      <c r="L2824">
        <v>1</v>
      </c>
      <c r="Q2824" t="s">
        <v>199</v>
      </c>
      <c r="R2824" t="str">
        <f>_xlfn.XLOOKUP(GERAL[[#This Row],[Dia]],U:U,V:V,"")</f>
        <v>Prazo_30</v>
      </c>
    </row>
    <row r="2825" spans="1:18" x14ac:dyDescent="0.3">
      <c r="A2825" t="str">
        <f>_xlfn.XLOOKUP(GERAL[[#This Row],[Dia]],U:U,T:T,"")</f>
        <v>Semana 9</v>
      </c>
      <c r="B2825" s="1">
        <v>46104</v>
      </c>
      <c r="C2825" t="s">
        <v>22</v>
      </c>
      <c r="D2825" s="1">
        <v>46104</v>
      </c>
      <c r="E2825" t="s">
        <v>36</v>
      </c>
      <c r="F2825" t="s">
        <v>226</v>
      </c>
      <c r="G2825" t="s">
        <v>209</v>
      </c>
      <c r="K2825">
        <v>4</v>
      </c>
      <c r="L2825">
        <v>1</v>
      </c>
      <c r="Q2825" t="s">
        <v>199</v>
      </c>
      <c r="R2825" t="str">
        <f>_xlfn.XLOOKUP(GERAL[[#This Row],[Dia]],U:U,V:V,"")</f>
        <v>Prazo_30</v>
      </c>
    </row>
    <row r="2826" spans="1:18" x14ac:dyDescent="0.3">
      <c r="A2826" t="str">
        <f>_xlfn.XLOOKUP(GERAL[[#This Row],[Dia]],U:U,T:T,"")</f>
        <v>Semana 9</v>
      </c>
      <c r="B2826" s="1">
        <v>46104</v>
      </c>
      <c r="C2826" t="s">
        <v>22</v>
      </c>
      <c r="D2826" s="1">
        <v>46104</v>
      </c>
      <c r="E2826" t="s">
        <v>36</v>
      </c>
      <c r="F2826" t="s">
        <v>50</v>
      </c>
      <c r="G2826" t="s">
        <v>219</v>
      </c>
      <c r="H2826">
        <v>5</v>
      </c>
      <c r="J2826">
        <v>59</v>
      </c>
      <c r="Q2826" t="s">
        <v>199</v>
      </c>
      <c r="R2826" t="str">
        <f>_xlfn.XLOOKUP(GERAL[[#This Row],[Dia]],U:U,V:V,"")</f>
        <v>Prazo_30</v>
      </c>
    </row>
    <row r="2827" spans="1:18" x14ac:dyDescent="0.3">
      <c r="A2827" t="str">
        <f>_xlfn.XLOOKUP(GERAL[[#This Row],[Dia]],U:U,T:T,"")</f>
        <v>Semana 9</v>
      </c>
      <c r="B2827" s="1">
        <v>46104</v>
      </c>
      <c r="C2827" t="s">
        <v>22</v>
      </c>
      <c r="D2827" s="1">
        <v>46104</v>
      </c>
      <c r="E2827" t="s">
        <v>36</v>
      </c>
      <c r="F2827" t="s">
        <v>230</v>
      </c>
      <c r="G2827" t="s">
        <v>232</v>
      </c>
      <c r="J2827">
        <v>37</v>
      </c>
      <c r="Q2827" t="s">
        <v>199</v>
      </c>
      <c r="R2827" t="str">
        <f>_xlfn.XLOOKUP(GERAL[[#This Row],[Dia]],U:U,V:V,"")</f>
        <v>Prazo_30</v>
      </c>
    </row>
    <row r="2828" spans="1:18" x14ac:dyDescent="0.3">
      <c r="A2828" t="str">
        <f>_xlfn.XLOOKUP(GERAL[[#This Row],[Dia]],U:U,T:T,"")</f>
        <v>Semana 9</v>
      </c>
      <c r="B2828" s="1">
        <v>46105</v>
      </c>
      <c r="C2828" t="s">
        <v>23</v>
      </c>
      <c r="D2828" s="1">
        <v>46105</v>
      </c>
      <c r="E2828" t="s">
        <v>36</v>
      </c>
      <c r="F2828" t="s">
        <v>207</v>
      </c>
      <c r="G2828" t="s">
        <v>225</v>
      </c>
      <c r="I2828">
        <v>2</v>
      </c>
      <c r="K2828">
        <v>6</v>
      </c>
      <c r="L2828">
        <v>1</v>
      </c>
      <c r="Q2828" t="s">
        <v>199</v>
      </c>
      <c r="R2828" t="str">
        <f>_xlfn.XLOOKUP(GERAL[[#This Row],[Dia]],U:U,V:V,"")</f>
        <v>Prazo_30</v>
      </c>
    </row>
    <row r="2829" spans="1:18" x14ac:dyDescent="0.3">
      <c r="A2829" t="str">
        <f>_xlfn.XLOOKUP(GERAL[[#This Row],[Dia]],U:U,T:T,"")</f>
        <v>Semana 9</v>
      </c>
      <c r="B2829" s="1">
        <v>46105</v>
      </c>
      <c r="C2829" t="s">
        <v>23</v>
      </c>
      <c r="D2829" s="1">
        <v>46105</v>
      </c>
      <c r="E2829" t="s">
        <v>36</v>
      </c>
      <c r="F2829" t="s">
        <v>231</v>
      </c>
      <c r="G2829" t="s">
        <v>233</v>
      </c>
      <c r="I2829">
        <v>1</v>
      </c>
      <c r="K2829">
        <v>6</v>
      </c>
      <c r="L2829">
        <v>1</v>
      </c>
      <c r="Q2829" t="s">
        <v>199</v>
      </c>
      <c r="R2829" t="str">
        <f>_xlfn.XLOOKUP(GERAL[[#This Row],[Dia]],U:U,V:V,"")</f>
        <v>Prazo_30</v>
      </c>
    </row>
    <row r="2830" spans="1:18" x14ac:dyDescent="0.3">
      <c r="A2830" t="str">
        <f>_xlfn.XLOOKUP(GERAL[[#This Row],[Dia]],U:U,T:T,"")</f>
        <v>Semana 9</v>
      </c>
      <c r="B2830" s="1">
        <v>46105</v>
      </c>
      <c r="C2830" t="s">
        <v>23</v>
      </c>
      <c r="D2830" s="1">
        <v>46105</v>
      </c>
      <c r="E2830" t="s">
        <v>36</v>
      </c>
      <c r="F2830" t="s">
        <v>50</v>
      </c>
      <c r="G2830" t="s">
        <v>234</v>
      </c>
      <c r="J2830">
        <v>73</v>
      </c>
      <c r="Q2830" t="s">
        <v>199</v>
      </c>
      <c r="R2830" t="str">
        <f>_xlfn.XLOOKUP(GERAL[[#This Row],[Dia]],U:U,V:V,"")</f>
        <v>Prazo_30</v>
      </c>
    </row>
    <row r="2831" spans="1:18" x14ac:dyDescent="0.3">
      <c r="A2831" t="str">
        <f>_xlfn.XLOOKUP(GERAL[[#This Row],[Dia]],U:U,T:T,"")</f>
        <v>Semana 9</v>
      </c>
      <c r="B2831" s="1">
        <v>46105</v>
      </c>
      <c r="C2831" t="s">
        <v>23</v>
      </c>
      <c r="D2831" s="1">
        <v>46105</v>
      </c>
      <c r="E2831" t="s">
        <v>36</v>
      </c>
      <c r="F2831" t="s">
        <v>235</v>
      </c>
      <c r="G2831" t="s">
        <v>222</v>
      </c>
      <c r="H2831">
        <v>2</v>
      </c>
      <c r="Q2831" t="s">
        <v>199</v>
      </c>
      <c r="R2831" t="str">
        <f>_xlfn.XLOOKUP(GERAL[[#This Row],[Dia]],U:U,V:V,"")</f>
        <v>Prazo_30</v>
      </c>
    </row>
    <row r="2832" spans="1:18" x14ac:dyDescent="0.3">
      <c r="A2832" t="str">
        <f>_xlfn.XLOOKUP(GERAL[[#This Row],[Dia]],U:U,T:T,"")</f>
        <v>Semana 9</v>
      </c>
      <c r="B2832" s="1">
        <v>46106</v>
      </c>
      <c r="C2832" t="s">
        <v>24</v>
      </c>
      <c r="D2832" s="1">
        <v>46106</v>
      </c>
      <c r="E2832" t="s">
        <v>36</v>
      </c>
      <c r="F2832" t="s">
        <v>207</v>
      </c>
      <c r="G2832" t="s">
        <v>225</v>
      </c>
      <c r="I2832">
        <v>2</v>
      </c>
      <c r="K2832">
        <v>3</v>
      </c>
      <c r="L2832">
        <v>1</v>
      </c>
      <c r="Q2832" t="s">
        <v>199</v>
      </c>
      <c r="R2832" t="str">
        <f>_xlfn.XLOOKUP(GERAL[[#This Row],[Dia]],U:U,V:V,"")</f>
        <v>Prazo_30</v>
      </c>
    </row>
    <row r="2833" spans="1:18" x14ac:dyDescent="0.3">
      <c r="A2833" t="str">
        <f>_xlfn.XLOOKUP(GERAL[[#This Row],[Dia]],U:U,T:T,"")</f>
        <v>Semana 9</v>
      </c>
      <c r="B2833" s="1">
        <v>46106</v>
      </c>
      <c r="C2833" t="s">
        <v>24</v>
      </c>
      <c r="D2833" s="1">
        <v>46106</v>
      </c>
      <c r="E2833" t="s">
        <v>36</v>
      </c>
      <c r="F2833" t="s">
        <v>236</v>
      </c>
      <c r="G2833" t="s">
        <v>228</v>
      </c>
      <c r="I2833">
        <v>4</v>
      </c>
      <c r="K2833">
        <v>27</v>
      </c>
      <c r="L2833">
        <v>1</v>
      </c>
      <c r="Q2833" t="s">
        <v>199</v>
      </c>
      <c r="R2833" t="str">
        <f>_xlfn.XLOOKUP(GERAL[[#This Row],[Dia]],U:U,V:V,"")</f>
        <v>Prazo_30</v>
      </c>
    </row>
    <row r="2834" spans="1:18" x14ac:dyDescent="0.3">
      <c r="A2834" t="str">
        <f>_xlfn.XLOOKUP(GERAL[[#This Row],[Dia]],U:U,T:T,"")</f>
        <v>Semana 9</v>
      </c>
      <c r="B2834" s="1">
        <v>46106</v>
      </c>
      <c r="C2834" t="s">
        <v>24</v>
      </c>
      <c r="D2834" s="1">
        <v>46106</v>
      </c>
      <c r="E2834" t="s">
        <v>36</v>
      </c>
      <c r="F2834" t="s">
        <v>226</v>
      </c>
      <c r="G2834" t="s">
        <v>209</v>
      </c>
      <c r="I2834">
        <v>1</v>
      </c>
      <c r="K2834">
        <v>8</v>
      </c>
      <c r="Q2834" t="s">
        <v>199</v>
      </c>
      <c r="R2834" t="str">
        <f>_xlfn.XLOOKUP(GERAL[[#This Row],[Dia]],U:U,V:V,"")</f>
        <v>Prazo_30</v>
      </c>
    </row>
    <row r="2835" spans="1:18" x14ac:dyDescent="0.3">
      <c r="A2835" t="str">
        <f>_xlfn.XLOOKUP(GERAL[[#This Row],[Dia]],U:U,T:T,"")</f>
        <v>Semana 9</v>
      </c>
      <c r="B2835" s="1">
        <v>46107</v>
      </c>
      <c r="C2835" t="s">
        <v>25</v>
      </c>
      <c r="D2835" s="1">
        <v>46107</v>
      </c>
      <c r="E2835" t="s">
        <v>36</v>
      </c>
      <c r="F2835" t="s">
        <v>207</v>
      </c>
      <c r="G2835" t="s">
        <v>225</v>
      </c>
      <c r="K2835">
        <v>5</v>
      </c>
      <c r="L2835">
        <v>1</v>
      </c>
      <c r="Q2835" t="s">
        <v>199</v>
      </c>
      <c r="R2835" t="str">
        <f>_xlfn.XLOOKUP(GERAL[[#This Row],[Dia]],U:U,V:V,"")</f>
        <v>Prazo_30</v>
      </c>
    </row>
    <row r="2836" spans="1:18" x14ac:dyDescent="0.3">
      <c r="A2836" t="str">
        <f>_xlfn.XLOOKUP(GERAL[[#This Row],[Dia]],U:U,T:T,"")</f>
        <v>Semana 9</v>
      </c>
      <c r="B2836" s="1">
        <v>46107</v>
      </c>
      <c r="C2836" t="s">
        <v>25</v>
      </c>
      <c r="D2836" s="1">
        <v>46107</v>
      </c>
      <c r="E2836" t="s">
        <v>36</v>
      </c>
      <c r="F2836" t="s">
        <v>231</v>
      </c>
      <c r="G2836" t="s">
        <v>237</v>
      </c>
      <c r="I2836">
        <v>4</v>
      </c>
      <c r="K2836">
        <v>21</v>
      </c>
      <c r="L2836">
        <v>1</v>
      </c>
      <c r="Q2836" t="s">
        <v>199</v>
      </c>
      <c r="R2836" t="str">
        <f>_xlfn.XLOOKUP(GERAL[[#This Row],[Dia]],U:U,V:V,"")</f>
        <v>Prazo_30</v>
      </c>
    </row>
    <row r="2837" spans="1:18" x14ac:dyDescent="0.3">
      <c r="A2837" t="str">
        <f>_xlfn.XLOOKUP(GERAL[[#This Row],[Dia]],U:U,T:T,"")</f>
        <v>Semana 9</v>
      </c>
      <c r="B2837" s="1">
        <v>46107</v>
      </c>
      <c r="C2837" t="s">
        <v>25</v>
      </c>
      <c r="D2837" s="1">
        <v>46107</v>
      </c>
      <c r="E2837" t="s">
        <v>36</v>
      </c>
      <c r="F2837" t="s">
        <v>50</v>
      </c>
      <c r="G2837" t="s">
        <v>238</v>
      </c>
      <c r="J2837">
        <v>40</v>
      </c>
      <c r="Q2837" t="s">
        <v>199</v>
      </c>
      <c r="R2837" t="str">
        <f>_xlfn.XLOOKUP(GERAL[[#This Row],[Dia]],U:U,V:V,"")</f>
        <v>Prazo_30</v>
      </c>
    </row>
    <row r="2838" spans="1:18" x14ac:dyDescent="0.3">
      <c r="A2838" t="str">
        <f>_xlfn.XLOOKUP(GERAL[[#This Row],[Dia]],U:U,T:T,"")</f>
        <v>Semana 9</v>
      </c>
      <c r="B2838" s="1">
        <v>46107</v>
      </c>
      <c r="C2838" t="s">
        <v>25</v>
      </c>
      <c r="D2838" s="1">
        <v>46107</v>
      </c>
      <c r="E2838" t="s">
        <v>36</v>
      </c>
      <c r="F2838" t="s">
        <v>230</v>
      </c>
      <c r="G2838" t="s">
        <v>215</v>
      </c>
      <c r="H2838">
        <v>1</v>
      </c>
      <c r="O2838">
        <v>17</v>
      </c>
      <c r="Q2838" t="s">
        <v>199</v>
      </c>
      <c r="R2838" t="str">
        <f>_xlfn.XLOOKUP(GERAL[[#This Row],[Dia]],U:U,V:V,"")</f>
        <v>Prazo_30</v>
      </c>
    </row>
    <row r="2839" spans="1:18" x14ac:dyDescent="0.3">
      <c r="A2839" t="str">
        <f>_xlfn.XLOOKUP(GERAL[[#This Row],[Dia]],U:U,T:T,"")</f>
        <v>Semana 9</v>
      </c>
      <c r="B2839" s="1">
        <v>46108</v>
      </c>
      <c r="C2839" t="s">
        <v>26</v>
      </c>
      <c r="D2839" s="1">
        <v>46108</v>
      </c>
      <c r="E2839" t="s">
        <v>36</v>
      </c>
      <c r="F2839" t="s">
        <v>207</v>
      </c>
      <c r="G2839" t="s">
        <v>225</v>
      </c>
      <c r="K2839">
        <v>5</v>
      </c>
      <c r="L2839">
        <v>1</v>
      </c>
      <c r="Q2839" t="s">
        <v>199</v>
      </c>
      <c r="R2839" t="str">
        <f>_xlfn.XLOOKUP(GERAL[[#This Row],[Dia]],U:U,V:V,"")</f>
        <v>Prazo_30</v>
      </c>
    </row>
    <row r="2840" spans="1:18" x14ac:dyDescent="0.3">
      <c r="A2840" t="str">
        <f>_xlfn.XLOOKUP(GERAL[[#This Row],[Dia]],U:U,T:T,"")</f>
        <v>Semana 9</v>
      </c>
      <c r="B2840" s="1">
        <v>46108</v>
      </c>
      <c r="C2840" t="s">
        <v>26</v>
      </c>
      <c r="D2840" s="1">
        <v>46108</v>
      </c>
      <c r="E2840" t="s">
        <v>36</v>
      </c>
      <c r="F2840" t="s">
        <v>231</v>
      </c>
      <c r="G2840" t="s">
        <v>237</v>
      </c>
      <c r="I2840">
        <v>6</v>
      </c>
      <c r="K2840">
        <v>24</v>
      </c>
      <c r="Q2840" t="s">
        <v>199</v>
      </c>
      <c r="R2840" t="str">
        <f>_xlfn.XLOOKUP(GERAL[[#This Row],[Dia]],U:U,V:V,"")</f>
        <v>Prazo_30</v>
      </c>
    </row>
    <row r="2841" spans="1:18" x14ac:dyDescent="0.3">
      <c r="A2841" t="str">
        <f>_xlfn.XLOOKUP(GERAL[[#This Row],[Dia]],U:U,T:T,"")</f>
        <v>Semana 9</v>
      </c>
      <c r="B2841" s="1">
        <v>46108</v>
      </c>
      <c r="C2841" t="s">
        <v>26</v>
      </c>
      <c r="D2841" s="1">
        <v>46108</v>
      </c>
      <c r="E2841" t="s">
        <v>36</v>
      </c>
      <c r="F2841" t="s">
        <v>202</v>
      </c>
      <c r="G2841" t="s">
        <v>209</v>
      </c>
      <c r="I2841">
        <v>1</v>
      </c>
      <c r="K2841">
        <v>6</v>
      </c>
      <c r="Q2841" t="s">
        <v>199</v>
      </c>
      <c r="R2841" t="str">
        <f>_xlfn.XLOOKUP(GERAL[[#This Row],[Dia]],U:U,V:V,"")</f>
        <v>Prazo_30</v>
      </c>
    </row>
    <row r="2842" spans="1:18" x14ac:dyDescent="0.3">
      <c r="A2842" t="str">
        <f>_xlfn.XLOOKUP(GERAL[[#This Row],[Dia]],U:U,T:T,"")</f>
        <v>Semana 9</v>
      </c>
      <c r="B2842" s="1">
        <v>46108</v>
      </c>
      <c r="C2842" t="s">
        <v>26</v>
      </c>
      <c r="D2842" s="1">
        <v>46108</v>
      </c>
      <c r="E2842" t="s">
        <v>36</v>
      </c>
      <c r="F2842" t="s">
        <v>50</v>
      </c>
      <c r="G2842" t="s">
        <v>229</v>
      </c>
      <c r="J2842">
        <v>12</v>
      </c>
      <c r="Q2842" t="s">
        <v>199</v>
      </c>
      <c r="R2842" t="str">
        <f>_xlfn.XLOOKUP(GERAL[[#This Row],[Dia]],U:U,V:V,"")</f>
        <v>Prazo_30</v>
      </c>
    </row>
    <row r="2843" spans="1:18" x14ac:dyDescent="0.3">
      <c r="A2843" t="str">
        <f>_xlfn.XLOOKUP(GERAL[[#This Row],[Dia]],U:U,T:T,"")</f>
        <v>Semana 9</v>
      </c>
      <c r="B2843" s="1">
        <v>46108</v>
      </c>
      <c r="C2843" t="s">
        <v>26</v>
      </c>
      <c r="D2843" s="1">
        <v>46108</v>
      </c>
      <c r="E2843" t="s">
        <v>36</v>
      </c>
      <c r="F2843" t="s">
        <v>230</v>
      </c>
      <c r="G2843" t="s">
        <v>239</v>
      </c>
      <c r="H2843">
        <v>4</v>
      </c>
      <c r="O2843">
        <v>4</v>
      </c>
      <c r="Q2843" t="s">
        <v>199</v>
      </c>
      <c r="R2843" t="str">
        <f>_xlfn.XLOOKUP(GERAL[[#This Row],[Dia]],U:U,V:V,"")</f>
        <v>Prazo_30</v>
      </c>
    </row>
    <row r="2844" spans="1:18" x14ac:dyDescent="0.3">
      <c r="A2844" t="str">
        <f>_xlfn.XLOOKUP(GERAL[[#This Row],[Dia]],U:U,T:T,"")</f>
        <v>Semana 9</v>
      </c>
      <c r="B2844" s="1">
        <v>46109</v>
      </c>
      <c r="C2844" t="s">
        <v>16</v>
      </c>
      <c r="D2844" s="1">
        <v>46109</v>
      </c>
      <c r="E2844" t="s">
        <v>17</v>
      </c>
      <c r="Q2844" t="s">
        <v>199</v>
      </c>
      <c r="R2844" t="str">
        <f>_xlfn.XLOOKUP(GERAL[[#This Row],[Dia]],U:U,V:V,"")</f>
        <v>Prazo_30</v>
      </c>
    </row>
    <row r="2845" spans="1:18" x14ac:dyDescent="0.3">
      <c r="A2845" t="str">
        <f>_xlfn.XLOOKUP(GERAL[[#This Row],[Dia]],U:U,T:T,"")</f>
        <v>Semana 9</v>
      </c>
      <c r="B2845" s="1">
        <v>46110</v>
      </c>
      <c r="C2845" t="s">
        <v>21</v>
      </c>
      <c r="D2845" s="1">
        <v>46110</v>
      </c>
      <c r="E2845" t="s">
        <v>17</v>
      </c>
      <c r="Q2845" t="s">
        <v>199</v>
      </c>
      <c r="R2845" t="str">
        <f>_xlfn.XLOOKUP(GERAL[[#This Row],[Dia]],U:U,V:V,"")</f>
        <v>Prazo_30</v>
      </c>
    </row>
    <row r="2846" spans="1:18" x14ac:dyDescent="0.3">
      <c r="A2846" t="str">
        <f>_xlfn.XLOOKUP(GERAL[[#This Row],[Dia]],U:U,T:T,"")</f>
        <v>Semana 10</v>
      </c>
      <c r="B2846" s="1">
        <v>46111</v>
      </c>
      <c r="C2846" t="s">
        <v>22</v>
      </c>
      <c r="D2846" s="1">
        <v>46111</v>
      </c>
      <c r="E2846" t="s">
        <v>36</v>
      </c>
      <c r="F2846" t="s">
        <v>240</v>
      </c>
      <c r="G2846" t="s">
        <v>237</v>
      </c>
      <c r="I2846">
        <v>1</v>
      </c>
      <c r="K2846">
        <v>12</v>
      </c>
      <c r="L2846">
        <v>1</v>
      </c>
      <c r="Q2846" t="s">
        <v>199</v>
      </c>
      <c r="R2846" t="str">
        <f>_xlfn.XLOOKUP(GERAL[[#This Row],[Dia]],U:U,V:V,"")</f>
        <v>Prazo_30</v>
      </c>
    </row>
    <row r="2847" spans="1:18" x14ac:dyDescent="0.3">
      <c r="A2847" t="str">
        <f>_xlfn.XLOOKUP(GERAL[[#This Row],[Dia]],U:U,T:T,"")</f>
        <v>Semana 10</v>
      </c>
      <c r="B2847" s="1">
        <v>46111</v>
      </c>
      <c r="C2847" t="s">
        <v>22</v>
      </c>
      <c r="D2847" s="1">
        <v>46111</v>
      </c>
      <c r="E2847" t="s">
        <v>36</v>
      </c>
      <c r="F2847" t="s">
        <v>207</v>
      </c>
      <c r="G2847" t="s">
        <v>225</v>
      </c>
      <c r="I2847">
        <v>2</v>
      </c>
      <c r="K2847">
        <v>6</v>
      </c>
      <c r="L2847">
        <v>1</v>
      </c>
      <c r="Q2847" t="s">
        <v>199</v>
      </c>
      <c r="R2847" t="str">
        <f>_xlfn.XLOOKUP(GERAL[[#This Row],[Dia]],U:U,V:V,"")</f>
        <v>Prazo_30</v>
      </c>
    </row>
    <row r="2848" spans="1:18" x14ac:dyDescent="0.3">
      <c r="A2848" t="str">
        <f>_xlfn.XLOOKUP(GERAL[[#This Row],[Dia]],U:U,T:T,"")</f>
        <v>Semana 10</v>
      </c>
      <c r="B2848" s="1">
        <v>46111</v>
      </c>
      <c r="C2848" t="s">
        <v>22</v>
      </c>
      <c r="D2848" s="1">
        <v>46111</v>
      </c>
      <c r="E2848" t="s">
        <v>36</v>
      </c>
      <c r="F2848" t="s">
        <v>226</v>
      </c>
      <c r="G2848" t="s">
        <v>209</v>
      </c>
      <c r="I2848">
        <v>1</v>
      </c>
      <c r="K2848">
        <v>6</v>
      </c>
      <c r="Q2848" t="s">
        <v>199</v>
      </c>
      <c r="R2848" t="str">
        <f>_xlfn.XLOOKUP(GERAL[[#This Row],[Dia]],U:U,V:V,"")</f>
        <v>Prazo_30</v>
      </c>
    </row>
    <row r="2849" spans="1:18" x14ac:dyDescent="0.3">
      <c r="A2849" t="str">
        <f>_xlfn.XLOOKUP(GERAL[[#This Row],[Dia]],U:U,T:T,"")</f>
        <v>Semana 10</v>
      </c>
      <c r="B2849" s="1">
        <v>46111</v>
      </c>
      <c r="C2849" t="s">
        <v>22</v>
      </c>
      <c r="D2849" s="1">
        <v>46111</v>
      </c>
      <c r="E2849" t="s">
        <v>36</v>
      </c>
      <c r="F2849" t="s">
        <v>50</v>
      </c>
      <c r="G2849" t="s">
        <v>241</v>
      </c>
      <c r="J2849">
        <v>20</v>
      </c>
      <c r="Q2849" t="s">
        <v>199</v>
      </c>
      <c r="R2849" t="str">
        <f>_xlfn.XLOOKUP(GERAL[[#This Row],[Dia]],U:U,V:V,"")</f>
        <v>Prazo_30</v>
      </c>
    </row>
    <row r="2850" spans="1:18" x14ac:dyDescent="0.3">
      <c r="A2850" t="str">
        <f>_xlfn.XLOOKUP(GERAL[[#This Row],[Dia]],U:U,T:T,"")</f>
        <v>Semana 10</v>
      </c>
      <c r="B2850" s="1">
        <v>46111</v>
      </c>
      <c r="C2850" t="s">
        <v>22</v>
      </c>
      <c r="D2850" s="1">
        <v>46111</v>
      </c>
      <c r="E2850" t="s">
        <v>36</v>
      </c>
      <c r="F2850" t="s">
        <v>50</v>
      </c>
      <c r="G2850" t="s">
        <v>242</v>
      </c>
      <c r="N2850">
        <v>1</v>
      </c>
      <c r="Q2850" t="s">
        <v>199</v>
      </c>
      <c r="R2850" t="str">
        <f>_xlfn.XLOOKUP(GERAL[[#This Row],[Dia]],U:U,V:V,"")</f>
        <v>Prazo_30</v>
      </c>
    </row>
    <row r="2851" spans="1:18" x14ac:dyDescent="0.3">
      <c r="A2851" t="str">
        <f>_xlfn.XLOOKUP(GERAL[[#This Row],[Dia]],U:U,T:T,"")</f>
        <v>Semana 10</v>
      </c>
      <c r="B2851" s="1">
        <v>46111</v>
      </c>
      <c r="C2851" t="s">
        <v>22</v>
      </c>
      <c r="D2851" s="1">
        <v>46111</v>
      </c>
      <c r="E2851" t="s">
        <v>36</v>
      </c>
      <c r="F2851" t="s">
        <v>50</v>
      </c>
      <c r="G2851" t="s">
        <v>205</v>
      </c>
      <c r="N2851">
        <v>3</v>
      </c>
      <c r="Q2851" t="s">
        <v>199</v>
      </c>
      <c r="R2851" t="str">
        <f>_xlfn.XLOOKUP(GERAL[[#This Row],[Dia]],U:U,V:V,"")</f>
        <v>Prazo_30</v>
      </c>
    </row>
    <row r="2852" spans="1:18" x14ac:dyDescent="0.3">
      <c r="A2852" t="str">
        <f>_xlfn.XLOOKUP(GERAL[[#This Row],[Dia]],U:U,T:T,"")</f>
        <v>Semana 10</v>
      </c>
      <c r="B2852" s="1">
        <v>46112</v>
      </c>
      <c r="C2852" t="s">
        <v>23</v>
      </c>
      <c r="D2852" s="1">
        <v>46112</v>
      </c>
      <c r="E2852" t="s">
        <v>36</v>
      </c>
      <c r="F2852" t="s">
        <v>240</v>
      </c>
      <c r="G2852" t="s">
        <v>237</v>
      </c>
      <c r="I2852">
        <v>8</v>
      </c>
      <c r="K2852">
        <v>40</v>
      </c>
      <c r="L2852">
        <v>1</v>
      </c>
      <c r="Q2852" t="s">
        <v>199</v>
      </c>
      <c r="R2852" t="str">
        <f>_xlfn.XLOOKUP(GERAL[[#This Row],[Dia]],U:U,V:V,"")</f>
        <v>Prazo_30</v>
      </c>
    </row>
    <row r="2853" spans="1:18" x14ac:dyDescent="0.3">
      <c r="A2853" t="str">
        <f>_xlfn.XLOOKUP(GERAL[[#This Row],[Dia]],U:U,T:T,"")</f>
        <v>Semana 10</v>
      </c>
      <c r="B2853" s="1">
        <v>46112</v>
      </c>
      <c r="C2853" t="s">
        <v>23</v>
      </c>
      <c r="D2853" s="1">
        <v>46112</v>
      </c>
      <c r="E2853" t="s">
        <v>36</v>
      </c>
      <c r="F2853" t="s">
        <v>207</v>
      </c>
      <c r="G2853" t="s">
        <v>225</v>
      </c>
      <c r="I2853">
        <v>1</v>
      </c>
      <c r="K2853">
        <v>6</v>
      </c>
      <c r="Q2853" t="s">
        <v>199</v>
      </c>
      <c r="R2853" t="str">
        <f>_xlfn.XLOOKUP(GERAL[[#This Row],[Dia]],U:U,V:V,"")</f>
        <v>Prazo_30</v>
      </c>
    </row>
    <row r="2854" spans="1:18" x14ac:dyDescent="0.3">
      <c r="A2854" t="str">
        <f>_xlfn.XLOOKUP(GERAL[[#This Row],[Dia]],U:U,T:T,"")</f>
        <v>Semana 10</v>
      </c>
      <c r="B2854" s="1">
        <v>46112</v>
      </c>
      <c r="C2854" t="s">
        <v>23</v>
      </c>
      <c r="D2854" s="1">
        <v>46112</v>
      </c>
      <c r="E2854" t="s">
        <v>36</v>
      </c>
      <c r="F2854" t="s">
        <v>202</v>
      </c>
      <c r="G2854" t="s">
        <v>209</v>
      </c>
      <c r="K2854">
        <v>2</v>
      </c>
      <c r="L2854">
        <v>1</v>
      </c>
      <c r="Q2854" t="s">
        <v>199</v>
      </c>
      <c r="R2854" t="str">
        <f>_xlfn.XLOOKUP(GERAL[[#This Row],[Dia]],U:U,V:V,"")</f>
        <v>Prazo_30</v>
      </c>
    </row>
    <row r="2855" spans="1:18" x14ac:dyDescent="0.3">
      <c r="A2855" t="str">
        <f>_xlfn.XLOOKUP(GERAL[[#This Row],[Dia]],U:U,T:T,"")</f>
        <v>Semana 10</v>
      </c>
      <c r="B2855" s="1">
        <v>46112</v>
      </c>
      <c r="C2855" t="s">
        <v>23</v>
      </c>
      <c r="D2855" s="1">
        <v>46112</v>
      </c>
      <c r="E2855" t="s">
        <v>36</v>
      </c>
      <c r="F2855" t="s">
        <v>50</v>
      </c>
      <c r="G2855" t="s">
        <v>241</v>
      </c>
      <c r="H2855">
        <v>4</v>
      </c>
      <c r="J2855">
        <v>20</v>
      </c>
      <c r="Q2855" t="s">
        <v>199</v>
      </c>
      <c r="R2855" t="str">
        <f>_xlfn.XLOOKUP(GERAL[[#This Row],[Dia]],U:U,V:V,"")</f>
        <v>Prazo_30</v>
      </c>
    </row>
    <row r="2856" spans="1:18" x14ac:dyDescent="0.3">
      <c r="A2856" t="str">
        <f>_xlfn.XLOOKUP(GERAL[[#This Row],[Dia]],U:U,T:T,"")</f>
        <v>Semana 10</v>
      </c>
      <c r="B2856" s="1">
        <v>46112</v>
      </c>
      <c r="C2856" t="s">
        <v>23</v>
      </c>
      <c r="D2856" s="1">
        <v>46112</v>
      </c>
      <c r="E2856" t="s">
        <v>36</v>
      </c>
      <c r="F2856" t="s">
        <v>50</v>
      </c>
      <c r="G2856" t="s">
        <v>205</v>
      </c>
      <c r="N2856">
        <v>3</v>
      </c>
      <c r="Q2856" t="s">
        <v>199</v>
      </c>
      <c r="R2856" t="str">
        <f>_xlfn.XLOOKUP(GERAL[[#This Row],[Dia]],U:U,V:V,"")</f>
        <v>Prazo_30</v>
      </c>
    </row>
    <row r="2857" spans="1:18" x14ac:dyDescent="0.3">
      <c r="A2857" t="str">
        <f>_xlfn.XLOOKUP(GERAL[[#This Row],[Dia]],U:U,T:T,"")</f>
        <v>Semana 10</v>
      </c>
      <c r="B2857" s="1">
        <v>46113</v>
      </c>
      <c r="C2857" t="s">
        <v>24</v>
      </c>
      <c r="D2857" s="1">
        <v>46113</v>
      </c>
      <c r="E2857" t="s">
        <v>36</v>
      </c>
      <c r="F2857" t="s">
        <v>207</v>
      </c>
      <c r="G2857" t="s">
        <v>225</v>
      </c>
      <c r="I2857">
        <v>2</v>
      </c>
      <c r="K2857">
        <v>6</v>
      </c>
      <c r="Q2857" t="s">
        <v>199</v>
      </c>
      <c r="R2857" t="str">
        <f>_xlfn.XLOOKUP(GERAL[[#This Row],[Dia]],U:U,V:V,"")</f>
        <v>Prazo_30</v>
      </c>
    </row>
    <row r="2858" spans="1:18" x14ac:dyDescent="0.3">
      <c r="A2858" t="str">
        <f>_xlfn.XLOOKUP(GERAL[[#This Row],[Dia]],U:U,T:T,"")</f>
        <v>Semana 10</v>
      </c>
      <c r="B2858" s="1">
        <v>46113</v>
      </c>
      <c r="C2858" t="s">
        <v>24</v>
      </c>
      <c r="D2858" s="1">
        <v>46113</v>
      </c>
      <c r="E2858" t="s">
        <v>36</v>
      </c>
      <c r="F2858" t="s">
        <v>226</v>
      </c>
      <c r="G2858" t="s">
        <v>243</v>
      </c>
      <c r="K2858">
        <v>6</v>
      </c>
      <c r="L2858">
        <v>1</v>
      </c>
      <c r="Q2858" t="s">
        <v>199</v>
      </c>
      <c r="R2858" t="str">
        <f>_xlfn.XLOOKUP(GERAL[[#This Row],[Dia]],U:U,V:V,"")</f>
        <v>Prazo_30</v>
      </c>
    </row>
    <row r="2859" spans="1:18" x14ac:dyDescent="0.3">
      <c r="A2859" t="str">
        <f>_xlfn.XLOOKUP(GERAL[[#This Row],[Dia]],U:U,T:T,"")</f>
        <v>Semana 10</v>
      </c>
      <c r="B2859" s="1">
        <v>46114</v>
      </c>
      <c r="C2859" t="s">
        <v>25</v>
      </c>
      <c r="D2859" s="1">
        <v>46114</v>
      </c>
      <c r="E2859" t="s">
        <v>17</v>
      </c>
      <c r="Q2859" t="s">
        <v>199</v>
      </c>
      <c r="R2859" t="str">
        <f>_xlfn.XLOOKUP(GERAL[[#This Row],[Dia]],U:U,V:V,"")</f>
        <v>Prazo_30</v>
      </c>
    </row>
    <row r="2860" spans="1:18" x14ac:dyDescent="0.3">
      <c r="A2860" t="str">
        <f>_xlfn.XLOOKUP(GERAL[[#This Row],[Dia]],U:U,T:T,"")</f>
        <v>Semana 10</v>
      </c>
      <c r="B2860" s="1">
        <v>46115</v>
      </c>
      <c r="C2860" t="s">
        <v>26</v>
      </c>
      <c r="D2860" s="1">
        <v>46115</v>
      </c>
      <c r="E2860" t="s">
        <v>17</v>
      </c>
      <c r="Q2860" t="s">
        <v>199</v>
      </c>
      <c r="R2860" t="str">
        <f>_xlfn.XLOOKUP(GERAL[[#This Row],[Dia]],U:U,V:V,"")</f>
        <v>Prazo_30</v>
      </c>
    </row>
    <row r="2861" spans="1:18" x14ac:dyDescent="0.3">
      <c r="B2861" s="1">
        <v>46116</v>
      </c>
      <c r="C2861" t="s">
        <v>16</v>
      </c>
      <c r="D2861" s="1">
        <v>46116</v>
      </c>
      <c r="E2861" t="s">
        <v>17</v>
      </c>
      <c r="Q2861" t="s">
        <v>199</v>
      </c>
    </row>
    <row r="2862" spans="1:18" x14ac:dyDescent="0.3">
      <c r="B2862" s="1">
        <v>46117</v>
      </c>
      <c r="C2862" t="s">
        <v>21</v>
      </c>
      <c r="D2862" s="1">
        <v>46117</v>
      </c>
      <c r="E2862" t="s">
        <v>17</v>
      </c>
      <c r="Q2862" t="s">
        <v>199</v>
      </c>
    </row>
    <row r="2863" spans="1:18" x14ac:dyDescent="0.3">
      <c r="B2863" s="1">
        <v>46118</v>
      </c>
      <c r="C2863" t="s">
        <v>22</v>
      </c>
      <c r="D2863" s="1">
        <v>46118</v>
      </c>
      <c r="E2863" t="s">
        <v>17</v>
      </c>
      <c r="Q2863" t="s">
        <v>199</v>
      </c>
    </row>
    <row r="2864" spans="1:18" x14ac:dyDescent="0.3">
      <c r="B2864" s="1">
        <v>46119</v>
      </c>
      <c r="C2864" t="s">
        <v>23</v>
      </c>
      <c r="D2864" s="1">
        <v>46119</v>
      </c>
      <c r="E2864" t="s">
        <v>17</v>
      </c>
      <c r="Q2864" t="s">
        <v>199</v>
      </c>
    </row>
    <row r="2865" spans="2:17" x14ac:dyDescent="0.3">
      <c r="B2865" s="1">
        <v>46120</v>
      </c>
      <c r="C2865" t="s">
        <v>24</v>
      </c>
      <c r="D2865" s="1">
        <v>46120</v>
      </c>
      <c r="E2865" t="s">
        <v>17</v>
      </c>
      <c r="Q2865" t="s">
        <v>199</v>
      </c>
    </row>
    <row r="2866" spans="2:17" x14ac:dyDescent="0.3">
      <c r="B2866" s="1">
        <v>46121</v>
      </c>
      <c r="C2866" t="s">
        <v>25</v>
      </c>
      <c r="D2866" s="1">
        <v>46121</v>
      </c>
      <c r="Q2866" t="s">
        <v>199</v>
      </c>
    </row>
    <row r="2867" spans="2:17" x14ac:dyDescent="0.3">
      <c r="B2867" s="1">
        <v>46122</v>
      </c>
      <c r="C2867" t="s">
        <v>26</v>
      </c>
      <c r="D2867" s="1">
        <v>46122</v>
      </c>
      <c r="Q2867" t="s">
        <v>199</v>
      </c>
    </row>
    <row r="2868" spans="2:17" x14ac:dyDescent="0.3">
      <c r="B2868" s="1">
        <v>46123</v>
      </c>
      <c r="C2868" t="s">
        <v>16</v>
      </c>
      <c r="D2868" s="1">
        <v>46123</v>
      </c>
      <c r="E2868" t="s">
        <v>17</v>
      </c>
      <c r="Q2868" t="s">
        <v>199</v>
      </c>
    </row>
    <row r="2869" spans="2:17" x14ac:dyDescent="0.3">
      <c r="B2869" s="1">
        <v>46124</v>
      </c>
      <c r="C2869" t="s">
        <v>21</v>
      </c>
      <c r="D2869" s="1">
        <v>46124</v>
      </c>
      <c r="E2869" t="s">
        <v>17</v>
      </c>
      <c r="Q2869" t="s">
        <v>199</v>
      </c>
    </row>
    <row r="2870" spans="2:17" x14ac:dyDescent="0.3">
      <c r="B2870" s="1">
        <v>46125</v>
      </c>
      <c r="C2870" t="s">
        <v>22</v>
      </c>
      <c r="D2870" s="1">
        <v>46125</v>
      </c>
      <c r="Q2870" t="s">
        <v>199</v>
      </c>
    </row>
    <row r="2871" spans="2:17" x14ac:dyDescent="0.3">
      <c r="B2871" s="1">
        <v>46126</v>
      </c>
      <c r="C2871" t="s">
        <v>23</v>
      </c>
      <c r="D2871" s="1">
        <v>46126</v>
      </c>
      <c r="Q2871" t="s">
        <v>199</v>
      </c>
    </row>
    <row r="2872" spans="2:17" x14ac:dyDescent="0.3">
      <c r="B2872" s="1">
        <v>46127</v>
      </c>
      <c r="C2872" t="s">
        <v>24</v>
      </c>
      <c r="D2872" s="1">
        <v>46127</v>
      </c>
      <c r="Q2872" t="s">
        <v>199</v>
      </c>
    </row>
    <row r="2873" spans="2:17" x14ac:dyDescent="0.3">
      <c r="B2873" s="1">
        <v>46128</v>
      </c>
      <c r="C2873" t="s">
        <v>25</v>
      </c>
      <c r="D2873" s="1">
        <v>46128</v>
      </c>
      <c r="Q2873" t="s">
        <v>199</v>
      </c>
    </row>
    <row r="2874" spans="2:17" x14ac:dyDescent="0.3">
      <c r="B2874" s="1">
        <v>46129</v>
      </c>
      <c r="C2874" t="s">
        <v>26</v>
      </c>
      <c r="D2874" s="1">
        <v>46129</v>
      </c>
      <c r="Q2874" t="s">
        <v>199</v>
      </c>
    </row>
    <row r="2875" spans="2:17" x14ac:dyDescent="0.3">
      <c r="B2875" s="1">
        <v>46130</v>
      </c>
      <c r="C2875" t="s">
        <v>16</v>
      </c>
      <c r="D2875" s="1">
        <v>46130</v>
      </c>
      <c r="E2875" t="s">
        <v>17</v>
      </c>
      <c r="Q2875" t="s">
        <v>199</v>
      </c>
    </row>
    <row r="2876" spans="2:17" x14ac:dyDescent="0.3">
      <c r="B2876" s="1">
        <v>46131</v>
      </c>
      <c r="C2876" t="s">
        <v>21</v>
      </c>
      <c r="D2876" s="1">
        <v>46131</v>
      </c>
      <c r="E2876" t="s">
        <v>17</v>
      </c>
      <c r="Q2876" t="s">
        <v>199</v>
      </c>
    </row>
    <row r="2877" spans="2:17" x14ac:dyDescent="0.3">
      <c r="B2877" s="1">
        <v>46132</v>
      </c>
      <c r="C2877" t="s">
        <v>22</v>
      </c>
      <c r="D2877" s="1">
        <v>46132</v>
      </c>
      <c r="Q2877" t="s">
        <v>199</v>
      </c>
    </row>
    <row r="2878" spans="2:17" x14ac:dyDescent="0.3">
      <c r="B2878" s="1">
        <v>46133</v>
      </c>
      <c r="C2878" t="s">
        <v>23</v>
      </c>
      <c r="D2878" s="1">
        <v>46133</v>
      </c>
      <c r="Q2878" t="s">
        <v>199</v>
      </c>
    </row>
    <row r="2879" spans="2:17" x14ac:dyDescent="0.3">
      <c r="B2879" s="1">
        <v>46134</v>
      </c>
      <c r="C2879" t="s">
        <v>24</v>
      </c>
      <c r="D2879" s="1">
        <v>46134</v>
      </c>
      <c r="Q2879" t="s">
        <v>199</v>
      </c>
    </row>
    <row r="2880" spans="2:17" x14ac:dyDescent="0.3">
      <c r="B2880" s="1">
        <v>46135</v>
      </c>
      <c r="C2880" t="s">
        <v>25</v>
      </c>
      <c r="D2880" s="1">
        <v>46135</v>
      </c>
      <c r="Q2880" t="s">
        <v>199</v>
      </c>
    </row>
    <row r="2881" spans="2:17" x14ac:dyDescent="0.3">
      <c r="B2881" s="1">
        <v>46136</v>
      </c>
      <c r="C2881" t="s">
        <v>26</v>
      </c>
      <c r="D2881" s="1">
        <v>46136</v>
      </c>
      <c r="Q2881" t="s">
        <v>199</v>
      </c>
    </row>
    <row r="2882" spans="2:17" x14ac:dyDescent="0.3">
      <c r="B2882" s="1">
        <v>46137</v>
      </c>
      <c r="C2882" t="s">
        <v>16</v>
      </c>
      <c r="D2882" s="1">
        <v>46137</v>
      </c>
      <c r="E2882" t="s">
        <v>17</v>
      </c>
      <c r="Q2882" t="s">
        <v>199</v>
      </c>
    </row>
    <row r="2883" spans="2:17" x14ac:dyDescent="0.3">
      <c r="B2883" s="1">
        <v>46138</v>
      </c>
      <c r="C2883" t="s">
        <v>21</v>
      </c>
      <c r="D2883" s="1">
        <v>46138</v>
      </c>
      <c r="E2883" t="s">
        <v>17</v>
      </c>
      <c r="Q2883" t="s">
        <v>199</v>
      </c>
    </row>
    <row r="2884" spans="2:17" x14ac:dyDescent="0.3">
      <c r="B2884" s="1">
        <v>46139</v>
      </c>
      <c r="C2884" t="s">
        <v>22</v>
      </c>
      <c r="D2884" s="1">
        <v>46139</v>
      </c>
      <c r="Q2884" t="s">
        <v>199</v>
      </c>
    </row>
    <row r="2885" spans="2:17" x14ac:dyDescent="0.3">
      <c r="B2885" s="1">
        <v>46140</v>
      </c>
      <c r="C2885" t="s">
        <v>23</v>
      </c>
      <c r="D2885" s="1">
        <v>46140</v>
      </c>
      <c r="Q2885" t="s">
        <v>199</v>
      </c>
    </row>
    <row r="2886" spans="2:17" x14ac:dyDescent="0.3">
      <c r="B2886" s="1">
        <v>46141</v>
      </c>
      <c r="C2886" t="s">
        <v>24</v>
      </c>
      <c r="D2886" s="1">
        <v>46141</v>
      </c>
      <c r="Q2886" t="s">
        <v>199</v>
      </c>
    </row>
    <row r="2887" spans="2:17" x14ac:dyDescent="0.3">
      <c r="B2887" s="1">
        <v>46142</v>
      </c>
      <c r="C2887" t="s">
        <v>25</v>
      </c>
      <c r="D2887" s="1">
        <v>46142</v>
      </c>
      <c r="Q2887" t="s">
        <v>199</v>
      </c>
    </row>
    <row r="2888" spans="2:17" x14ac:dyDescent="0.3">
      <c r="B2888" s="1">
        <v>46143</v>
      </c>
      <c r="C2888" t="s">
        <v>26</v>
      </c>
      <c r="D2888" s="1">
        <v>46143</v>
      </c>
      <c r="Q2888" t="s">
        <v>199</v>
      </c>
    </row>
    <row r="2889" spans="2:17" x14ac:dyDescent="0.3">
      <c r="B2889" s="1">
        <v>46144</v>
      </c>
      <c r="C2889" t="s">
        <v>16</v>
      </c>
      <c r="D2889" s="1">
        <v>46144</v>
      </c>
      <c r="E2889" t="s">
        <v>17</v>
      </c>
      <c r="Q2889" t="s">
        <v>199</v>
      </c>
    </row>
    <row r="2890" spans="2:17" x14ac:dyDescent="0.3">
      <c r="B2890" s="1">
        <v>46145</v>
      </c>
      <c r="C2890" t="s">
        <v>21</v>
      </c>
      <c r="D2890" s="1">
        <v>46145</v>
      </c>
      <c r="E2890" t="s">
        <v>17</v>
      </c>
      <c r="Q2890" t="s">
        <v>199</v>
      </c>
    </row>
    <row r="2891" spans="2:17" x14ac:dyDescent="0.3">
      <c r="B2891" s="1">
        <v>46146</v>
      </c>
      <c r="C2891" t="s">
        <v>22</v>
      </c>
      <c r="D2891" s="1">
        <v>46146</v>
      </c>
      <c r="Q2891" t="s">
        <v>199</v>
      </c>
    </row>
    <row r="2892" spans="2:17" x14ac:dyDescent="0.3">
      <c r="B2892" s="1">
        <v>46147</v>
      </c>
      <c r="C2892" t="s">
        <v>23</v>
      </c>
      <c r="D2892" s="1">
        <v>46147</v>
      </c>
      <c r="Q2892" t="s">
        <v>199</v>
      </c>
    </row>
    <row r="2893" spans="2:17" x14ac:dyDescent="0.3">
      <c r="B2893" s="1">
        <v>46148</v>
      </c>
      <c r="C2893" t="s">
        <v>24</v>
      </c>
      <c r="D2893" s="1">
        <v>46148</v>
      </c>
      <c r="Q2893" t="s">
        <v>199</v>
      </c>
    </row>
    <row r="2894" spans="2:17" x14ac:dyDescent="0.3">
      <c r="B2894" s="1">
        <v>46149</v>
      </c>
      <c r="C2894" t="s">
        <v>25</v>
      </c>
      <c r="D2894" s="1">
        <v>46149</v>
      </c>
      <c r="Q2894" t="s">
        <v>199</v>
      </c>
    </row>
    <row r="2895" spans="2:17" x14ac:dyDescent="0.3">
      <c r="B2895" s="1">
        <v>46150</v>
      </c>
      <c r="C2895" t="s">
        <v>26</v>
      </c>
      <c r="D2895" s="1">
        <v>46150</v>
      </c>
      <c r="Q2895" t="s">
        <v>199</v>
      </c>
    </row>
    <row r="2896" spans="2:17" x14ac:dyDescent="0.3">
      <c r="B2896" s="1">
        <v>46151</v>
      </c>
      <c r="C2896" t="s">
        <v>16</v>
      </c>
      <c r="D2896" s="1">
        <v>46151</v>
      </c>
      <c r="E2896" t="s">
        <v>17</v>
      </c>
      <c r="Q2896" t="s">
        <v>199</v>
      </c>
    </row>
    <row r="2897" spans="2:17" x14ac:dyDescent="0.3">
      <c r="B2897" s="1">
        <v>46152</v>
      </c>
      <c r="C2897" t="s">
        <v>21</v>
      </c>
      <c r="D2897" s="1">
        <v>46152</v>
      </c>
      <c r="E2897" t="s">
        <v>17</v>
      </c>
      <c r="Q2897" t="s">
        <v>199</v>
      </c>
    </row>
    <row r="2898" spans="2:17" x14ac:dyDescent="0.3">
      <c r="B2898" s="1">
        <v>46153</v>
      </c>
      <c r="C2898" t="s">
        <v>22</v>
      </c>
      <c r="D2898" s="1">
        <v>46153</v>
      </c>
      <c r="Q2898" t="s">
        <v>199</v>
      </c>
    </row>
    <row r="2899" spans="2:17" x14ac:dyDescent="0.3">
      <c r="B2899" s="1">
        <v>46154</v>
      </c>
      <c r="C2899" t="s">
        <v>23</v>
      </c>
      <c r="D2899" s="1">
        <v>46154</v>
      </c>
      <c r="Q2899" t="s">
        <v>199</v>
      </c>
    </row>
    <row r="2900" spans="2:17" x14ac:dyDescent="0.3">
      <c r="B2900" s="1">
        <v>46155</v>
      </c>
      <c r="C2900" t="s">
        <v>24</v>
      </c>
      <c r="D2900" s="1">
        <v>46155</v>
      </c>
      <c r="Q2900" t="s">
        <v>199</v>
      </c>
    </row>
    <row r="2901" spans="2:17" x14ac:dyDescent="0.3">
      <c r="B2901" s="1">
        <v>46156</v>
      </c>
      <c r="C2901" t="s">
        <v>25</v>
      </c>
      <c r="D2901" s="1">
        <v>46156</v>
      </c>
      <c r="Q2901" t="s">
        <v>199</v>
      </c>
    </row>
    <row r="2902" spans="2:17" x14ac:dyDescent="0.3">
      <c r="B2902" s="1">
        <v>46157</v>
      </c>
      <c r="C2902" t="s">
        <v>26</v>
      </c>
      <c r="D2902" s="1">
        <v>46157</v>
      </c>
      <c r="Q2902" t="s">
        <v>199</v>
      </c>
    </row>
    <row r="2903" spans="2:17" x14ac:dyDescent="0.3">
      <c r="B2903" s="1">
        <v>46158</v>
      </c>
      <c r="C2903" t="s">
        <v>16</v>
      </c>
      <c r="D2903" s="1">
        <v>46158</v>
      </c>
      <c r="E2903" t="s">
        <v>17</v>
      </c>
      <c r="Q2903" t="s">
        <v>199</v>
      </c>
    </row>
    <row r="2904" spans="2:17" x14ac:dyDescent="0.3">
      <c r="B2904" s="1">
        <v>46159</v>
      </c>
      <c r="C2904" t="s">
        <v>21</v>
      </c>
      <c r="D2904" s="1">
        <v>46159</v>
      </c>
      <c r="E2904" t="s">
        <v>17</v>
      </c>
      <c r="Q2904" t="s">
        <v>199</v>
      </c>
    </row>
    <row r="2905" spans="2:17" x14ac:dyDescent="0.3">
      <c r="B2905" s="1">
        <v>46160</v>
      </c>
      <c r="C2905" t="s">
        <v>22</v>
      </c>
      <c r="D2905" s="1">
        <v>46160</v>
      </c>
      <c r="Q2905" t="s">
        <v>199</v>
      </c>
    </row>
    <row r="2906" spans="2:17" x14ac:dyDescent="0.3">
      <c r="B2906" s="1">
        <v>46161</v>
      </c>
      <c r="C2906" t="s">
        <v>23</v>
      </c>
      <c r="D2906" s="1">
        <v>46161</v>
      </c>
      <c r="Q2906" t="s">
        <v>199</v>
      </c>
    </row>
    <row r="2907" spans="2:17" x14ac:dyDescent="0.3">
      <c r="B2907" s="1">
        <v>46162</v>
      </c>
      <c r="C2907" t="s">
        <v>24</v>
      </c>
      <c r="D2907" s="1">
        <v>46162</v>
      </c>
      <c r="Q2907" t="s">
        <v>199</v>
      </c>
    </row>
    <row r="2908" spans="2:17" x14ac:dyDescent="0.3">
      <c r="B2908" s="1">
        <v>46163</v>
      </c>
      <c r="C2908" t="s">
        <v>25</v>
      </c>
      <c r="D2908" s="1">
        <v>46163</v>
      </c>
      <c r="Q2908" t="s">
        <v>199</v>
      </c>
    </row>
    <row r="2909" spans="2:17" x14ac:dyDescent="0.3">
      <c r="B2909" s="1">
        <v>46164</v>
      </c>
      <c r="C2909" t="s">
        <v>26</v>
      </c>
      <c r="D2909" s="1">
        <v>46164</v>
      </c>
      <c r="Q2909" t="s">
        <v>199</v>
      </c>
    </row>
    <row r="2910" spans="2:17" x14ac:dyDescent="0.3">
      <c r="B2910" s="1">
        <v>46165</v>
      </c>
      <c r="C2910" t="s">
        <v>16</v>
      </c>
      <c r="D2910" s="1">
        <v>46165</v>
      </c>
      <c r="E2910" t="s">
        <v>17</v>
      </c>
      <c r="Q2910" t="s">
        <v>199</v>
      </c>
    </row>
    <row r="2911" spans="2:17" x14ac:dyDescent="0.3">
      <c r="B2911" s="1">
        <v>46166</v>
      </c>
      <c r="C2911" t="s">
        <v>21</v>
      </c>
      <c r="D2911" s="1">
        <v>46166</v>
      </c>
      <c r="E2911" t="s">
        <v>17</v>
      </c>
      <c r="Q2911" t="s">
        <v>199</v>
      </c>
    </row>
    <row r="2912" spans="2:17" x14ac:dyDescent="0.3">
      <c r="B2912" s="1">
        <v>46167</v>
      </c>
      <c r="C2912" t="s">
        <v>22</v>
      </c>
      <c r="D2912" s="1">
        <v>46167</v>
      </c>
      <c r="Q2912" t="s">
        <v>199</v>
      </c>
    </row>
    <row r="2913" spans="2:17" x14ac:dyDescent="0.3">
      <c r="B2913" s="1">
        <v>46168</v>
      </c>
      <c r="C2913" t="s">
        <v>23</v>
      </c>
      <c r="D2913" s="1">
        <v>46168</v>
      </c>
      <c r="Q2913" t="s">
        <v>199</v>
      </c>
    </row>
    <row r="2914" spans="2:17" x14ac:dyDescent="0.3">
      <c r="B2914" s="1">
        <v>46169</v>
      </c>
      <c r="C2914" t="s">
        <v>24</v>
      </c>
      <c r="D2914" s="1">
        <v>46169</v>
      </c>
      <c r="Q2914" t="s">
        <v>199</v>
      </c>
    </row>
    <row r="2915" spans="2:17" x14ac:dyDescent="0.3">
      <c r="B2915" s="1">
        <v>46170</v>
      </c>
      <c r="C2915" t="s">
        <v>25</v>
      </c>
      <c r="D2915" s="1">
        <v>46170</v>
      </c>
      <c r="Q2915" t="s">
        <v>199</v>
      </c>
    </row>
    <row r="2916" spans="2:17" x14ac:dyDescent="0.3">
      <c r="B2916" s="1">
        <v>46171</v>
      </c>
      <c r="C2916" t="s">
        <v>26</v>
      </c>
      <c r="D2916" s="1">
        <v>46171</v>
      </c>
      <c r="Q2916" t="s">
        <v>199</v>
      </c>
    </row>
    <row r="2917" spans="2:17" x14ac:dyDescent="0.3">
      <c r="B2917" s="1">
        <v>46172</v>
      </c>
      <c r="C2917" t="s">
        <v>16</v>
      </c>
      <c r="D2917" s="1">
        <v>46172</v>
      </c>
      <c r="E2917" t="s">
        <v>17</v>
      </c>
      <c r="Q2917" t="s">
        <v>199</v>
      </c>
    </row>
    <row r="2918" spans="2:17" x14ac:dyDescent="0.3">
      <c r="B2918" s="1">
        <v>46173</v>
      </c>
      <c r="C2918" t="s">
        <v>21</v>
      </c>
      <c r="D2918" s="1">
        <v>46173</v>
      </c>
      <c r="E2918" t="s">
        <v>17</v>
      </c>
      <c r="Q2918" t="s">
        <v>199</v>
      </c>
    </row>
    <row r="2919" spans="2:17" x14ac:dyDescent="0.3">
      <c r="B2919" s="1">
        <v>46174</v>
      </c>
      <c r="C2919" t="s">
        <v>22</v>
      </c>
      <c r="D2919" s="1">
        <v>46174</v>
      </c>
      <c r="Q2919" t="s">
        <v>199</v>
      </c>
    </row>
    <row r="2920" spans="2:17" x14ac:dyDescent="0.3">
      <c r="B2920" s="1">
        <v>46175</v>
      </c>
      <c r="C2920" t="s">
        <v>23</v>
      </c>
      <c r="D2920" s="1">
        <v>46175</v>
      </c>
      <c r="Q2920" t="s">
        <v>199</v>
      </c>
    </row>
    <row r="2921" spans="2:17" x14ac:dyDescent="0.3">
      <c r="B2921" s="1">
        <v>46176</v>
      </c>
      <c r="C2921" t="s">
        <v>24</v>
      </c>
      <c r="D2921" s="1">
        <v>46176</v>
      </c>
      <c r="Q2921" t="s">
        <v>199</v>
      </c>
    </row>
    <row r="2922" spans="2:17" x14ac:dyDescent="0.3">
      <c r="B2922" s="1">
        <v>46177</v>
      </c>
      <c r="C2922" t="s">
        <v>25</v>
      </c>
      <c r="D2922" s="1">
        <v>46177</v>
      </c>
      <c r="Q2922" t="s">
        <v>199</v>
      </c>
    </row>
    <row r="2923" spans="2:17" x14ac:dyDescent="0.3">
      <c r="B2923" s="1">
        <v>46178</v>
      </c>
      <c r="C2923" t="s">
        <v>26</v>
      </c>
      <c r="D2923" s="1">
        <v>46178</v>
      </c>
      <c r="Q2923" t="s">
        <v>199</v>
      </c>
    </row>
    <row r="2924" spans="2:17" x14ac:dyDescent="0.3">
      <c r="B2924" s="1">
        <v>46179</v>
      </c>
      <c r="C2924" t="s">
        <v>16</v>
      </c>
      <c r="D2924" s="1">
        <v>46179</v>
      </c>
      <c r="E2924" t="s">
        <v>17</v>
      </c>
      <c r="Q2924" t="s">
        <v>199</v>
      </c>
    </row>
    <row r="2925" spans="2:17" x14ac:dyDescent="0.3">
      <c r="B2925" s="1">
        <v>46180</v>
      </c>
      <c r="C2925" t="s">
        <v>21</v>
      </c>
      <c r="D2925" s="1">
        <v>46180</v>
      </c>
      <c r="E2925" t="s">
        <v>17</v>
      </c>
      <c r="Q2925" t="s">
        <v>199</v>
      </c>
    </row>
    <row r="2926" spans="2:17" x14ac:dyDescent="0.3">
      <c r="B2926" s="1">
        <v>46181</v>
      </c>
      <c r="C2926" t="s">
        <v>22</v>
      </c>
      <c r="D2926" s="1">
        <v>46181</v>
      </c>
      <c r="Q2926" t="s">
        <v>199</v>
      </c>
    </row>
    <row r="2927" spans="2:17" x14ac:dyDescent="0.3">
      <c r="B2927" s="1">
        <v>46182</v>
      </c>
      <c r="C2927" t="s">
        <v>23</v>
      </c>
      <c r="D2927" s="1">
        <v>46182</v>
      </c>
      <c r="Q2927" t="s">
        <v>199</v>
      </c>
    </row>
    <row r="2928" spans="2:17" x14ac:dyDescent="0.3">
      <c r="B2928" s="1">
        <v>46183</v>
      </c>
      <c r="C2928" t="s">
        <v>24</v>
      </c>
      <c r="D2928" s="1">
        <v>46183</v>
      </c>
      <c r="Q2928" t="s">
        <v>199</v>
      </c>
    </row>
    <row r="2929" spans="2:17" x14ac:dyDescent="0.3">
      <c r="B2929" s="1">
        <v>46184</v>
      </c>
      <c r="C2929" t="s">
        <v>25</v>
      </c>
      <c r="D2929" s="1">
        <v>46184</v>
      </c>
      <c r="Q2929" t="s">
        <v>199</v>
      </c>
    </row>
    <row r="2930" spans="2:17" x14ac:dyDescent="0.3">
      <c r="B2930" s="1">
        <v>46185</v>
      </c>
      <c r="C2930" t="s">
        <v>26</v>
      </c>
      <c r="D2930" s="1">
        <v>46185</v>
      </c>
      <c r="Q2930" t="s">
        <v>199</v>
      </c>
    </row>
    <row r="2931" spans="2:17" x14ac:dyDescent="0.3">
      <c r="B2931" s="1">
        <v>46186</v>
      </c>
      <c r="C2931" t="s">
        <v>16</v>
      </c>
      <c r="D2931" s="1">
        <v>46186</v>
      </c>
      <c r="E2931" t="s">
        <v>17</v>
      </c>
      <c r="Q2931" t="s">
        <v>199</v>
      </c>
    </row>
    <row r="2932" spans="2:17" x14ac:dyDescent="0.3">
      <c r="B2932" s="1">
        <v>46187</v>
      </c>
      <c r="C2932" t="s">
        <v>21</v>
      </c>
      <c r="D2932" s="1">
        <v>46187</v>
      </c>
      <c r="E2932" t="s">
        <v>17</v>
      </c>
      <c r="Q2932" t="s">
        <v>199</v>
      </c>
    </row>
    <row r="2933" spans="2:17" x14ac:dyDescent="0.3">
      <c r="B2933" s="1">
        <v>46188</v>
      </c>
      <c r="C2933" t="s">
        <v>22</v>
      </c>
      <c r="D2933" s="1">
        <v>46188</v>
      </c>
      <c r="Q2933" t="s">
        <v>199</v>
      </c>
    </row>
    <row r="2934" spans="2:17" x14ac:dyDescent="0.3">
      <c r="B2934" s="1">
        <v>46189</v>
      </c>
      <c r="C2934" t="s">
        <v>23</v>
      </c>
      <c r="D2934" s="1">
        <v>46189</v>
      </c>
      <c r="Q2934" t="s">
        <v>199</v>
      </c>
    </row>
    <row r="2935" spans="2:17" x14ac:dyDescent="0.3">
      <c r="B2935" s="1">
        <v>46190</v>
      </c>
      <c r="C2935" t="s">
        <v>24</v>
      </c>
      <c r="D2935" s="1">
        <v>46190</v>
      </c>
      <c r="Q2935" t="s">
        <v>199</v>
      </c>
    </row>
    <row r="2936" spans="2:17" x14ac:dyDescent="0.3">
      <c r="B2936" s="1">
        <v>46191</v>
      </c>
      <c r="C2936" t="s">
        <v>25</v>
      </c>
      <c r="D2936" s="1">
        <v>46191</v>
      </c>
      <c r="Q2936" t="s">
        <v>199</v>
      </c>
    </row>
    <row r="2937" spans="2:17" x14ac:dyDescent="0.3">
      <c r="B2937" s="1">
        <v>46192</v>
      </c>
      <c r="C2937" t="s">
        <v>26</v>
      </c>
      <c r="D2937" s="1">
        <v>46192</v>
      </c>
      <c r="Q2937" t="s">
        <v>199</v>
      </c>
    </row>
    <row r="2938" spans="2:17" x14ac:dyDescent="0.3">
      <c r="B2938" s="1">
        <v>46193</v>
      </c>
      <c r="C2938" t="s">
        <v>16</v>
      </c>
      <c r="D2938" s="1">
        <v>46193</v>
      </c>
      <c r="E2938" t="s">
        <v>17</v>
      </c>
      <c r="Q2938" t="s">
        <v>199</v>
      </c>
    </row>
    <row r="2939" spans="2:17" x14ac:dyDescent="0.3">
      <c r="B2939" s="1">
        <v>46194</v>
      </c>
      <c r="C2939" t="s">
        <v>21</v>
      </c>
      <c r="D2939" s="1">
        <v>46194</v>
      </c>
      <c r="E2939" t="s">
        <v>17</v>
      </c>
      <c r="Q2939" t="s">
        <v>199</v>
      </c>
    </row>
    <row r="2940" spans="2:17" x14ac:dyDescent="0.3">
      <c r="B2940" s="1">
        <v>46195</v>
      </c>
      <c r="C2940" t="s">
        <v>22</v>
      </c>
      <c r="D2940" s="1">
        <v>46195</v>
      </c>
      <c r="Q2940" t="s">
        <v>199</v>
      </c>
    </row>
    <row r="2941" spans="2:17" x14ac:dyDescent="0.3">
      <c r="B2941" s="1">
        <v>46196</v>
      </c>
      <c r="C2941" t="s">
        <v>23</v>
      </c>
      <c r="D2941" s="1">
        <v>46196</v>
      </c>
      <c r="Q2941" t="s">
        <v>199</v>
      </c>
    </row>
    <row r="2942" spans="2:17" x14ac:dyDescent="0.3">
      <c r="B2942" s="1">
        <v>46197</v>
      </c>
      <c r="C2942" t="s">
        <v>24</v>
      </c>
      <c r="D2942" s="1">
        <v>46197</v>
      </c>
      <c r="Q2942" t="s">
        <v>199</v>
      </c>
    </row>
    <row r="2943" spans="2:17" x14ac:dyDescent="0.3">
      <c r="B2943" s="1">
        <v>46198</v>
      </c>
      <c r="C2943" t="s">
        <v>25</v>
      </c>
      <c r="D2943" s="1">
        <v>46198</v>
      </c>
      <c r="Q2943" t="s">
        <v>199</v>
      </c>
    </row>
    <row r="2944" spans="2:17" x14ac:dyDescent="0.3">
      <c r="B2944" s="1">
        <v>46199</v>
      </c>
      <c r="C2944" t="s">
        <v>26</v>
      </c>
      <c r="D2944" s="1">
        <v>46199</v>
      </c>
      <c r="Q2944" t="s">
        <v>199</v>
      </c>
    </row>
    <row r="2945" spans="2:17" x14ac:dyDescent="0.3">
      <c r="B2945" s="1">
        <v>46200</v>
      </c>
      <c r="C2945" t="s">
        <v>16</v>
      </c>
      <c r="D2945" s="1">
        <v>46200</v>
      </c>
      <c r="E2945" t="s">
        <v>17</v>
      </c>
      <c r="Q2945" t="s">
        <v>199</v>
      </c>
    </row>
    <row r="2946" spans="2:17" x14ac:dyDescent="0.3">
      <c r="B2946" s="1">
        <v>46201</v>
      </c>
      <c r="C2946" t="s">
        <v>21</v>
      </c>
      <c r="D2946" s="1">
        <v>46201</v>
      </c>
      <c r="E2946" t="s">
        <v>17</v>
      </c>
      <c r="Q2946" t="s">
        <v>199</v>
      </c>
    </row>
    <row r="2947" spans="2:17" x14ac:dyDescent="0.3">
      <c r="B2947" s="1">
        <v>46202</v>
      </c>
      <c r="C2947" t="s">
        <v>22</v>
      </c>
      <c r="D2947" s="1">
        <v>46202</v>
      </c>
      <c r="Q2947" t="s">
        <v>199</v>
      </c>
    </row>
    <row r="2948" spans="2:17" x14ac:dyDescent="0.3">
      <c r="B2948" s="1">
        <v>46203</v>
      </c>
      <c r="C2948" t="s">
        <v>23</v>
      </c>
      <c r="D2948" s="1">
        <v>46203</v>
      </c>
      <c r="Q2948" t="s">
        <v>199</v>
      </c>
    </row>
    <row r="2949" spans="2:17" x14ac:dyDescent="0.3">
      <c r="B2949" s="1">
        <v>46204</v>
      </c>
      <c r="C2949" t="s">
        <v>24</v>
      </c>
      <c r="D2949" s="1">
        <v>46204</v>
      </c>
      <c r="Q2949" t="s">
        <v>199</v>
      </c>
    </row>
    <row r="2950" spans="2:17" x14ac:dyDescent="0.3">
      <c r="B2950" s="1">
        <v>46205</v>
      </c>
      <c r="C2950" t="s">
        <v>25</v>
      </c>
      <c r="D2950" s="1">
        <v>46205</v>
      </c>
      <c r="Q2950" t="s">
        <v>199</v>
      </c>
    </row>
    <row r="2951" spans="2:17" x14ac:dyDescent="0.3">
      <c r="B2951" s="1">
        <v>46206</v>
      </c>
      <c r="C2951" t="s">
        <v>26</v>
      </c>
      <c r="D2951" s="1">
        <v>46206</v>
      </c>
      <c r="Q2951" t="s">
        <v>199</v>
      </c>
    </row>
    <row r="2952" spans="2:17" x14ac:dyDescent="0.3">
      <c r="B2952" s="1">
        <v>46207</v>
      </c>
      <c r="C2952" t="s">
        <v>16</v>
      </c>
      <c r="D2952" s="1">
        <v>46207</v>
      </c>
      <c r="E2952" t="s">
        <v>17</v>
      </c>
      <c r="Q2952" t="s">
        <v>199</v>
      </c>
    </row>
    <row r="2953" spans="2:17" x14ac:dyDescent="0.3">
      <c r="B2953" s="1">
        <v>46208</v>
      </c>
      <c r="C2953" t="s">
        <v>21</v>
      </c>
      <c r="D2953" s="1">
        <v>46208</v>
      </c>
      <c r="E2953" t="s">
        <v>17</v>
      </c>
      <c r="Q2953" t="s">
        <v>199</v>
      </c>
    </row>
    <row r="2954" spans="2:17" x14ac:dyDescent="0.3">
      <c r="B2954" s="1">
        <v>46209</v>
      </c>
      <c r="C2954" t="s">
        <v>22</v>
      </c>
      <c r="D2954" s="1">
        <v>46209</v>
      </c>
      <c r="Q2954" t="s">
        <v>199</v>
      </c>
    </row>
    <row r="2955" spans="2:17" x14ac:dyDescent="0.3">
      <c r="B2955" s="1">
        <v>46210</v>
      </c>
      <c r="C2955" t="s">
        <v>23</v>
      </c>
      <c r="D2955" s="1">
        <v>46210</v>
      </c>
      <c r="Q2955" t="s">
        <v>199</v>
      </c>
    </row>
    <row r="2956" spans="2:17" x14ac:dyDescent="0.3">
      <c r="B2956" s="1">
        <v>46211</v>
      </c>
      <c r="C2956" t="s">
        <v>24</v>
      </c>
      <c r="D2956" s="1">
        <v>46211</v>
      </c>
      <c r="Q2956" t="s">
        <v>199</v>
      </c>
    </row>
    <row r="2957" spans="2:17" x14ac:dyDescent="0.3">
      <c r="B2957" s="1">
        <v>46212</v>
      </c>
      <c r="C2957" t="s">
        <v>25</v>
      </c>
      <c r="D2957" s="1">
        <v>46212</v>
      </c>
      <c r="Q2957" t="s">
        <v>199</v>
      </c>
    </row>
    <row r="2958" spans="2:17" x14ac:dyDescent="0.3">
      <c r="B2958" s="1">
        <v>46213</v>
      </c>
      <c r="C2958" t="s">
        <v>26</v>
      </c>
      <c r="D2958" s="1">
        <v>46213</v>
      </c>
      <c r="Q2958" t="s">
        <v>199</v>
      </c>
    </row>
    <row r="2959" spans="2:17" x14ac:dyDescent="0.3">
      <c r="B2959" s="1">
        <v>46214</v>
      </c>
      <c r="C2959" t="s">
        <v>16</v>
      </c>
      <c r="D2959" s="1">
        <v>46214</v>
      </c>
      <c r="E2959" t="s">
        <v>17</v>
      </c>
      <c r="Q2959" t="s">
        <v>199</v>
      </c>
    </row>
    <row r="2960" spans="2:17" x14ac:dyDescent="0.3">
      <c r="B2960" s="1">
        <v>46215</v>
      </c>
      <c r="C2960" t="s">
        <v>21</v>
      </c>
      <c r="D2960" s="1">
        <v>46215</v>
      </c>
      <c r="E2960" t="s">
        <v>17</v>
      </c>
      <c r="Q2960" t="s">
        <v>199</v>
      </c>
    </row>
    <row r="2961" spans="2:17" x14ac:dyDescent="0.3">
      <c r="B2961" s="1">
        <v>46216</v>
      </c>
      <c r="C2961" t="s">
        <v>22</v>
      </c>
      <c r="D2961" s="1">
        <v>46216</v>
      </c>
      <c r="Q2961" t="s">
        <v>199</v>
      </c>
    </row>
    <row r="2962" spans="2:17" x14ac:dyDescent="0.3">
      <c r="B2962" s="1">
        <v>46217</v>
      </c>
      <c r="C2962" t="s">
        <v>23</v>
      </c>
      <c r="D2962" s="1">
        <v>46217</v>
      </c>
      <c r="Q2962" t="s">
        <v>199</v>
      </c>
    </row>
    <row r="2963" spans="2:17" x14ac:dyDescent="0.3">
      <c r="B2963" s="1">
        <v>46218</v>
      </c>
      <c r="C2963" t="s">
        <v>24</v>
      </c>
      <c r="D2963" s="1">
        <v>46218</v>
      </c>
      <c r="Q2963" t="s">
        <v>199</v>
      </c>
    </row>
    <row r="2964" spans="2:17" x14ac:dyDescent="0.3">
      <c r="B2964" s="1">
        <v>46219</v>
      </c>
      <c r="C2964" t="s">
        <v>25</v>
      </c>
      <c r="D2964" s="1">
        <v>46219</v>
      </c>
      <c r="Q2964" t="s">
        <v>199</v>
      </c>
    </row>
    <row r="2965" spans="2:17" x14ac:dyDescent="0.3">
      <c r="B2965" s="1">
        <v>46220</v>
      </c>
      <c r="C2965" t="s">
        <v>26</v>
      </c>
      <c r="D2965" s="1">
        <v>46220</v>
      </c>
      <c r="Q2965" t="s">
        <v>199</v>
      </c>
    </row>
    <row r="2966" spans="2:17" x14ac:dyDescent="0.3">
      <c r="B2966" s="1">
        <v>46221</v>
      </c>
      <c r="C2966" t="s">
        <v>16</v>
      </c>
      <c r="D2966" s="1">
        <v>46221</v>
      </c>
      <c r="E2966" t="s">
        <v>17</v>
      </c>
      <c r="Q2966" t="s">
        <v>199</v>
      </c>
    </row>
    <row r="2967" spans="2:17" x14ac:dyDescent="0.3">
      <c r="B2967" s="1">
        <v>46222</v>
      </c>
      <c r="C2967" t="s">
        <v>21</v>
      </c>
      <c r="D2967" s="1">
        <v>46222</v>
      </c>
      <c r="E2967" t="s">
        <v>17</v>
      </c>
      <c r="Q2967" t="s">
        <v>199</v>
      </c>
    </row>
    <row r="2968" spans="2:17" x14ac:dyDescent="0.3">
      <c r="B2968" s="1">
        <v>46223</v>
      </c>
      <c r="C2968" t="s">
        <v>22</v>
      </c>
      <c r="D2968" s="1">
        <v>46223</v>
      </c>
      <c r="Q2968" t="s">
        <v>199</v>
      </c>
    </row>
    <row r="2969" spans="2:17" x14ac:dyDescent="0.3">
      <c r="B2969" s="1">
        <v>46224</v>
      </c>
      <c r="C2969" t="s">
        <v>23</v>
      </c>
      <c r="D2969" s="1">
        <v>46224</v>
      </c>
      <c r="Q2969" t="s">
        <v>199</v>
      </c>
    </row>
    <row r="2970" spans="2:17" x14ac:dyDescent="0.3">
      <c r="B2970" s="1">
        <v>46225</v>
      </c>
      <c r="C2970" t="s">
        <v>24</v>
      </c>
      <c r="D2970" s="1">
        <v>46225</v>
      </c>
      <c r="Q2970" t="s">
        <v>199</v>
      </c>
    </row>
    <row r="2971" spans="2:17" x14ac:dyDescent="0.3">
      <c r="B2971" s="1">
        <v>46226</v>
      </c>
      <c r="C2971" t="s">
        <v>25</v>
      </c>
      <c r="D2971" s="1">
        <v>46226</v>
      </c>
      <c r="Q2971" t="s">
        <v>199</v>
      </c>
    </row>
    <row r="2972" spans="2:17" x14ac:dyDescent="0.3">
      <c r="B2972" s="1">
        <v>46227</v>
      </c>
      <c r="C2972" t="s">
        <v>26</v>
      </c>
      <c r="D2972" s="1">
        <v>46227</v>
      </c>
      <c r="Q2972" t="s">
        <v>199</v>
      </c>
    </row>
    <row r="2973" spans="2:17" x14ac:dyDescent="0.3">
      <c r="B2973" s="1">
        <v>46228</v>
      </c>
      <c r="C2973" t="s">
        <v>16</v>
      </c>
      <c r="D2973" s="1">
        <v>46228</v>
      </c>
      <c r="E2973" t="s">
        <v>17</v>
      </c>
      <c r="Q2973" t="s">
        <v>199</v>
      </c>
    </row>
    <row r="2974" spans="2:17" x14ac:dyDescent="0.3">
      <c r="B2974" s="1">
        <v>46229</v>
      </c>
      <c r="C2974" t="s">
        <v>21</v>
      </c>
      <c r="D2974" s="1">
        <v>46229</v>
      </c>
      <c r="E2974" t="s">
        <v>17</v>
      </c>
      <c r="Q2974" t="s">
        <v>199</v>
      </c>
    </row>
    <row r="2975" spans="2:17" x14ac:dyDescent="0.3">
      <c r="B2975" s="1">
        <v>46230</v>
      </c>
      <c r="C2975" t="s">
        <v>22</v>
      </c>
      <c r="D2975" s="1">
        <v>46230</v>
      </c>
      <c r="Q2975" t="s">
        <v>199</v>
      </c>
    </row>
    <row r="2976" spans="2:17" x14ac:dyDescent="0.3">
      <c r="B2976" s="1">
        <v>46231</v>
      </c>
      <c r="C2976" t="s">
        <v>23</v>
      </c>
      <c r="D2976" s="1">
        <v>46231</v>
      </c>
      <c r="Q2976" t="s">
        <v>199</v>
      </c>
    </row>
    <row r="2977" spans="2:17" x14ac:dyDescent="0.3">
      <c r="B2977" s="1">
        <v>46232</v>
      </c>
      <c r="C2977" t="s">
        <v>24</v>
      </c>
      <c r="D2977" s="1">
        <v>46232</v>
      </c>
      <c r="Q2977" t="s">
        <v>199</v>
      </c>
    </row>
    <row r="2978" spans="2:17" x14ac:dyDescent="0.3">
      <c r="B2978" s="1">
        <v>46233</v>
      </c>
      <c r="C2978" t="s">
        <v>25</v>
      </c>
      <c r="D2978" s="1">
        <v>46233</v>
      </c>
      <c r="Q2978" t="s">
        <v>199</v>
      </c>
    </row>
    <row r="2979" spans="2:17" x14ac:dyDescent="0.3">
      <c r="B2979" s="1">
        <v>46234</v>
      </c>
      <c r="C2979" t="s">
        <v>26</v>
      </c>
      <c r="D2979" s="1">
        <v>46234</v>
      </c>
      <c r="Q2979" t="s">
        <v>199</v>
      </c>
    </row>
    <row r="2980" spans="2:17" x14ac:dyDescent="0.3">
      <c r="B2980" s="1">
        <v>46235</v>
      </c>
      <c r="C2980" t="s">
        <v>16</v>
      </c>
      <c r="D2980" s="1">
        <v>46235</v>
      </c>
      <c r="E2980" t="s">
        <v>17</v>
      </c>
      <c r="Q2980" t="s">
        <v>199</v>
      </c>
    </row>
    <row r="2981" spans="2:17" x14ac:dyDescent="0.3">
      <c r="B2981" s="1">
        <v>46236</v>
      </c>
      <c r="C2981" t="s">
        <v>21</v>
      </c>
      <c r="D2981" s="1">
        <v>46236</v>
      </c>
      <c r="E2981" t="s">
        <v>17</v>
      </c>
      <c r="Q2981" t="s">
        <v>199</v>
      </c>
    </row>
    <row r="2982" spans="2:17" x14ac:dyDescent="0.3">
      <c r="B2982" s="1">
        <v>46237</v>
      </c>
      <c r="C2982" t="s">
        <v>22</v>
      </c>
      <c r="D2982" s="1">
        <v>46237</v>
      </c>
      <c r="Q2982" t="s">
        <v>199</v>
      </c>
    </row>
    <row r="2983" spans="2:17" x14ac:dyDescent="0.3">
      <c r="B2983" s="1">
        <v>46238</v>
      </c>
      <c r="C2983" t="s">
        <v>23</v>
      </c>
      <c r="D2983" s="1">
        <v>46238</v>
      </c>
      <c r="Q2983" t="s">
        <v>199</v>
      </c>
    </row>
    <row r="2984" spans="2:17" x14ac:dyDescent="0.3">
      <c r="B2984" s="1">
        <v>46239</v>
      </c>
      <c r="C2984" t="s">
        <v>24</v>
      </c>
      <c r="D2984" s="1">
        <v>46239</v>
      </c>
      <c r="Q2984" t="s">
        <v>199</v>
      </c>
    </row>
    <row r="2985" spans="2:17" x14ac:dyDescent="0.3">
      <c r="B2985" s="1">
        <v>46240</v>
      </c>
      <c r="C2985" t="s">
        <v>25</v>
      </c>
      <c r="D2985" s="1">
        <v>46240</v>
      </c>
      <c r="Q2985" t="s">
        <v>199</v>
      </c>
    </row>
    <row r="2986" spans="2:17" x14ac:dyDescent="0.3">
      <c r="B2986" s="1">
        <v>46241</v>
      </c>
      <c r="C2986" t="s">
        <v>26</v>
      </c>
      <c r="D2986" s="1">
        <v>46241</v>
      </c>
      <c r="Q2986" t="s">
        <v>199</v>
      </c>
    </row>
    <row r="2987" spans="2:17" x14ac:dyDescent="0.3">
      <c r="B2987" s="1">
        <v>46242</v>
      </c>
      <c r="C2987" t="s">
        <v>16</v>
      </c>
      <c r="D2987" s="1">
        <v>46242</v>
      </c>
      <c r="E2987" t="s">
        <v>17</v>
      </c>
      <c r="Q2987" t="s">
        <v>199</v>
      </c>
    </row>
    <row r="2988" spans="2:17" x14ac:dyDescent="0.3">
      <c r="B2988" s="1">
        <v>46243</v>
      </c>
      <c r="C2988" t="s">
        <v>21</v>
      </c>
      <c r="D2988" s="1">
        <v>46243</v>
      </c>
      <c r="E2988" t="s">
        <v>17</v>
      </c>
      <c r="Q2988" t="s">
        <v>199</v>
      </c>
    </row>
    <row r="2989" spans="2:17" x14ac:dyDescent="0.3">
      <c r="B2989" s="1">
        <v>46244</v>
      </c>
      <c r="C2989" t="s">
        <v>22</v>
      </c>
      <c r="D2989" s="1">
        <v>46244</v>
      </c>
      <c r="Q2989" t="s">
        <v>199</v>
      </c>
    </row>
    <row r="2990" spans="2:17" x14ac:dyDescent="0.3">
      <c r="B2990" s="1">
        <v>46245</v>
      </c>
      <c r="C2990" t="s">
        <v>23</v>
      </c>
      <c r="D2990" s="1">
        <v>46245</v>
      </c>
      <c r="Q2990" t="s">
        <v>199</v>
      </c>
    </row>
    <row r="2991" spans="2:17" x14ac:dyDescent="0.3">
      <c r="B2991" s="1">
        <v>46246</v>
      </c>
      <c r="C2991" t="s">
        <v>24</v>
      </c>
      <c r="D2991" s="1">
        <v>46246</v>
      </c>
      <c r="Q2991" t="s">
        <v>199</v>
      </c>
    </row>
    <row r="2992" spans="2:17" x14ac:dyDescent="0.3">
      <c r="B2992" s="1">
        <v>46247</v>
      </c>
      <c r="C2992" t="s">
        <v>25</v>
      </c>
      <c r="D2992" s="1">
        <v>46247</v>
      </c>
      <c r="Q2992" t="s">
        <v>199</v>
      </c>
    </row>
    <row r="2993" spans="2:17" x14ac:dyDescent="0.3">
      <c r="B2993" s="1">
        <v>46248</v>
      </c>
      <c r="C2993" t="s">
        <v>26</v>
      </c>
      <c r="D2993" s="1">
        <v>46248</v>
      </c>
      <c r="Q2993" t="s">
        <v>199</v>
      </c>
    </row>
    <row r="2994" spans="2:17" x14ac:dyDescent="0.3">
      <c r="B2994" s="1">
        <v>46249</v>
      </c>
      <c r="C2994" t="s">
        <v>16</v>
      </c>
      <c r="D2994" s="1">
        <v>46249</v>
      </c>
      <c r="E2994" t="s">
        <v>17</v>
      </c>
      <c r="Q2994" t="s">
        <v>199</v>
      </c>
    </row>
    <row r="2995" spans="2:17" x14ac:dyDescent="0.3">
      <c r="B2995" s="1">
        <v>46250</v>
      </c>
      <c r="C2995" t="s">
        <v>21</v>
      </c>
      <c r="D2995" s="1">
        <v>46250</v>
      </c>
      <c r="E2995" t="s">
        <v>17</v>
      </c>
      <c r="Q2995" t="s">
        <v>199</v>
      </c>
    </row>
    <row r="2996" spans="2:17" x14ac:dyDescent="0.3">
      <c r="B2996" s="1">
        <v>46251</v>
      </c>
      <c r="C2996" t="s">
        <v>22</v>
      </c>
      <c r="D2996" s="1">
        <v>46251</v>
      </c>
      <c r="Q2996" t="s">
        <v>199</v>
      </c>
    </row>
    <row r="2997" spans="2:17" x14ac:dyDescent="0.3">
      <c r="B2997" s="1">
        <v>46252</v>
      </c>
      <c r="C2997" t="s">
        <v>23</v>
      </c>
      <c r="D2997" s="1">
        <v>46252</v>
      </c>
      <c r="Q2997" t="s">
        <v>199</v>
      </c>
    </row>
    <row r="2998" spans="2:17" x14ac:dyDescent="0.3">
      <c r="B2998" s="1">
        <v>46253</v>
      </c>
      <c r="C2998" t="s">
        <v>24</v>
      </c>
      <c r="D2998" s="1">
        <v>46253</v>
      </c>
      <c r="Q2998" t="s">
        <v>199</v>
      </c>
    </row>
    <row r="2999" spans="2:17" x14ac:dyDescent="0.3">
      <c r="B2999" s="1">
        <v>46254</v>
      </c>
      <c r="C2999" t="s">
        <v>25</v>
      </c>
      <c r="D2999" s="1">
        <v>46254</v>
      </c>
      <c r="Q2999" t="s">
        <v>199</v>
      </c>
    </row>
    <row r="3000" spans="2:17" x14ac:dyDescent="0.3">
      <c r="B3000" s="1">
        <v>46255</v>
      </c>
      <c r="C3000" t="s">
        <v>26</v>
      </c>
      <c r="D3000" s="1">
        <v>46255</v>
      </c>
      <c r="Q3000" t="s">
        <v>199</v>
      </c>
    </row>
    <row r="3001" spans="2:17" x14ac:dyDescent="0.3">
      <c r="B3001" s="1">
        <v>46256</v>
      </c>
      <c r="C3001" t="s">
        <v>16</v>
      </c>
      <c r="D3001" s="1">
        <v>46256</v>
      </c>
      <c r="E3001" t="s">
        <v>17</v>
      </c>
      <c r="Q3001" t="s">
        <v>199</v>
      </c>
    </row>
    <row r="3002" spans="2:17" x14ac:dyDescent="0.3">
      <c r="B3002" s="1">
        <v>46257</v>
      </c>
      <c r="C3002" t="s">
        <v>21</v>
      </c>
      <c r="D3002" s="1">
        <v>46257</v>
      </c>
      <c r="E3002" t="s">
        <v>17</v>
      </c>
      <c r="Q3002" t="s">
        <v>199</v>
      </c>
    </row>
    <row r="3003" spans="2:17" x14ac:dyDescent="0.3">
      <c r="B3003" s="1">
        <v>46258</v>
      </c>
      <c r="C3003" t="s">
        <v>22</v>
      </c>
      <c r="D3003" s="1">
        <v>46258</v>
      </c>
      <c r="Q3003" t="s">
        <v>199</v>
      </c>
    </row>
    <row r="3004" spans="2:17" x14ac:dyDescent="0.3">
      <c r="B3004" s="1">
        <v>46259</v>
      </c>
      <c r="C3004" t="s">
        <v>23</v>
      </c>
      <c r="D3004" s="1">
        <v>46259</v>
      </c>
      <c r="Q3004" t="s">
        <v>199</v>
      </c>
    </row>
    <row r="3005" spans="2:17" x14ac:dyDescent="0.3">
      <c r="B3005" s="1">
        <v>46260</v>
      </c>
      <c r="C3005" t="s">
        <v>24</v>
      </c>
      <c r="D3005" s="1">
        <v>46260</v>
      </c>
      <c r="Q3005" t="s">
        <v>199</v>
      </c>
    </row>
    <row r="3006" spans="2:17" x14ac:dyDescent="0.3">
      <c r="B3006" s="1">
        <v>46261</v>
      </c>
      <c r="C3006" t="s">
        <v>25</v>
      </c>
      <c r="D3006" s="1">
        <v>46261</v>
      </c>
      <c r="Q3006" t="s">
        <v>199</v>
      </c>
    </row>
    <row r="3007" spans="2:17" x14ac:dyDescent="0.3">
      <c r="B3007" s="1">
        <v>46262</v>
      </c>
      <c r="C3007" t="s">
        <v>26</v>
      </c>
      <c r="D3007" s="1">
        <v>46262</v>
      </c>
      <c r="Q3007" t="s">
        <v>199</v>
      </c>
    </row>
    <row r="3008" spans="2:17" x14ac:dyDescent="0.3">
      <c r="B3008" s="1">
        <v>46263</v>
      </c>
      <c r="C3008" t="s">
        <v>16</v>
      </c>
      <c r="D3008" s="1">
        <v>46263</v>
      </c>
      <c r="E3008" t="s">
        <v>17</v>
      </c>
      <c r="Q3008" t="s">
        <v>199</v>
      </c>
    </row>
    <row r="3009" spans="2:17" x14ac:dyDescent="0.3">
      <c r="B3009" s="1">
        <v>46264</v>
      </c>
      <c r="C3009" t="s">
        <v>21</v>
      </c>
      <c r="D3009" s="1">
        <v>46264</v>
      </c>
      <c r="E3009" t="s">
        <v>17</v>
      </c>
      <c r="Q3009" t="s">
        <v>199</v>
      </c>
    </row>
    <row r="3010" spans="2:17" x14ac:dyDescent="0.3">
      <c r="B3010" s="1">
        <v>46265</v>
      </c>
      <c r="C3010" t="s">
        <v>22</v>
      </c>
      <c r="D3010" s="1">
        <v>46265</v>
      </c>
      <c r="Q3010" t="s">
        <v>199</v>
      </c>
    </row>
    <row r="3011" spans="2:17" x14ac:dyDescent="0.3">
      <c r="B3011" s="1">
        <v>46266</v>
      </c>
      <c r="C3011" t="s">
        <v>23</v>
      </c>
      <c r="D3011" s="1">
        <v>46266</v>
      </c>
      <c r="Q3011" t="s">
        <v>199</v>
      </c>
    </row>
    <row r="3012" spans="2:17" x14ac:dyDescent="0.3">
      <c r="B3012" s="1">
        <v>46267</v>
      </c>
      <c r="C3012" t="s">
        <v>24</v>
      </c>
      <c r="D3012" s="1">
        <v>46267</v>
      </c>
      <c r="Q3012" t="s">
        <v>199</v>
      </c>
    </row>
    <row r="3013" spans="2:17" x14ac:dyDescent="0.3">
      <c r="B3013" s="1">
        <v>46268</v>
      </c>
      <c r="C3013" t="s">
        <v>25</v>
      </c>
      <c r="D3013" s="1">
        <v>46268</v>
      </c>
      <c r="Q3013" t="s">
        <v>199</v>
      </c>
    </row>
    <row r="3014" spans="2:17" x14ac:dyDescent="0.3">
      <c r="B3014" s="1">
        <v>46269</v>
      </c>
      <c r="C3014" t="s">
        <v>26</v>
      </c>
      <c r="D3014" s="1">
        <v>46269</v>
      </c>
      <c r="Q3014" t="s">
        <v>199</v>
      </c>
    </row>
    <row r="3015" spans="2:17" x14ac:dyDescent="0.3">
      <c r="B3015" s="1">
        <v>46270</v>
      </c>
      <c r="C3015" t="s">
        <v>16</v>
      </c>
      <c r="D3015" s="1">
        <v>46270</v>
      </c>
      <c r="E3015" t="s">
        <v>17</v>
      </c>
      <c r="Q3015" t="s">
        <v>199</v>
      </c>
    </row>
    <row r="3016" spans="2:17" x14ac:dyDescent="0.3">
      <c r="B3016" s="1">
        <v>46271</v>
      </c>
      <c r="C3016" t="s">
        <v>21</v>
      </c>
      <c r="D3016" s="1">
        <v>46271</v>
      </c>
      <c r="E3016" t="s">
        <v>17</v>
      </c>
      <c r="Q3016" t="s">
        <v>199</v>
      </c>
    </row>
    <row r="3017" spans="2:17" x14ac:dyDescent="0.3">
      <c r="B3017" s="1">
        <v>46272</v>
      </c>
      <c r="C3017" t="s">
        <v>22</v>
      </c>
      <c r="D3017" s="1">
        <v>46272</v>
      </c>
      <c r="Q3017" t="s">
        <v>199</v>
      </c>
    </row>
    <row r="3018" spans="2:17" x14ac:dyDescent="0.3">
      <c r="B3018" s="1">
        <v>46273</v>
      </c>
      <c r="C3018" t="s">
        <v>23</v>
      </c>
      <c r="D3018" s="1">
        <v>46273</v>
      </c>
      <c r="Q3018" t="s">
        <v>199</v>
      </c>
    </row>
    <row r="3019" spans="2:17" x14ac:dyDescent="0.3">
      <c r="B3019" s="1">
        <v>46274</v>
      </c>
      <c r="C3019" t="s">
        <v>24</v>
      </c>
      <c r="D3019" s="1">
        <v>46274</v>
      </c>
      <c r="Q3019" t="s">
        <v>199</v>
      </c>
    </row>
    <row r="3020" spans="2:17" x14ac:dyDescent="0.3">
      <c r="B3020" s="1">
        <v>46275</v>
      </c>
      <c r="C3020" t="s">
        <v>25</v>
      </c>
      <c r="D3020" s="1">
        <v>46275</v>
      </c>
      <c r="Q3020" t="s">
        <v>199</v>
      </c>
    </row>
    <row r="3021" spans="2:17" x14ac:dyDescent="0.3">
      <c r="B3021" s="1">
        <v>46276</v>
      </c>
      <c r="C3021" t="s">
        <v>26</v>
      </c>
      <c r="D3021" s="1">
        <v>46276</v>
      </c>
      <c r="Q3021" t="s">
        <v>199</v>
      </c>
    </row>
    <row r="3022" spans="2:17" x14ac:dyDescent="0.3">
      <c r="B3022" s="1">
        <v>46277</v>
      </c>
      <c r="C3022" t="s">
        <v>16</v>
      </c>
      <c r="D3022" s="1">
        <v>46277</v>
      </c>
      <c r="E3022" t="s">
        <v>17</v>
      </c>
      <c r="Q3022" t="s">
        <v>199</v>
      </c>
    </row>
    <row r="3023" spans="2:17" x14ac:dyDescent="0.3">
      <c r="B3023" s="1">
        <v>46278</v>
      </c>
      <c r="C3023" t="s">
        <v>21</v>
      </c>
      <c r="D3023" s="1">
        <v>46278</v>
      </c>
      <c r="E3023" t="s">
        <v>17</v>
      </c>
      <c r="Q3023" t="s">
        <v>199</v>
      </c>
    </row>
    <row r="3024" spans="2:17" x14ac:dyDescent="0.3">
      <c r="B3024" s="1">
        <v>46279</v>
      </c>
      <c r="C3024" t="s">
        <v>22</v>
      </c>
      <c r="D3024" s="1">
        <v>46279</v>
      </c>
      <c r="Q3024" t="s">
        <v>199</v>
      </c>
    </row>
    <row r="3025" spans="2:17" x14ac:dyDescent="0.3">
      <c r="B3025" s="1">
        <v>46280</v>
      </c>
      <c r="C3025" t="s">
        <v>23</v>
      </c>
      <c r="D3025" s="1">
        <v>46280</v>
      </c>
      <c r="Q3025" t="s">
        <v>199</v>
      </c>
    </row>
    <row r="3026" spans="2:17" x14ac:dyDescent="0.3">
      <c r="B3026" s="1">
        <v>46281</v>
      </c>
      <c r="C3026" t="s">
        <v>24</v>
      </c>
      <c r="D3026" s="1">
        <v>46281</v>
      </c>
      <c r="Q3026" t="s">
        <v>199</v>
      </c>
    </row>
    <row r="3027" spans="2:17" x14ac:dyDescent="0.3">
      <c r="B3027" s="1">
        <v>46282</v>
      </c>
      <c r="C3027" t="s">
        <v>25</v>
      </c>
      <c r="D3027" s="1">
        <v>46282</v>
      </c>
      <c r="Q3027" t="s">
        <v>199</v>
      </c>
    </row>
    <row r="3028" spans="2:17" x14ac:dyDescent="0.3">
      <c r="B3028" s="1">
        <v>46283</v>
      </c>
      <c r="C3028" t="s">
        <v>26</v>
      </c>
      <c r="D3028" s="1">
        <v>46283</v>
      </c>
      <c r="Q3028" t="s">
        <v>199</v>
      </c>
    </row>
    <row r="3029" spans="2:17" x14ac:dyDescent="0.3">
      <c r="B3029" s="1">
        <v>46284</v>
      </c>
      <c r="C3029" t="s">
        <v>16</v>
      </c>
      <c r="D3029" s="1">
        <v>46284</v>
      </c>
      <c r="E3029" t="s">
        <v>17</v>
      </c>
      <c r="Q3029" t="s">
        <v>199</v>
      </c>
    </row>
    <row r="3030" spans="2:17" x14ac:dyDescent="0.3">
      <c r="B3030" s="1">
        <v>46285</v>
      </c>
      <c r="C3030" t="s">
        <v>21</v>
      </c>
      <c r="D3030" s="1">
        <v>46285</v>
      </c>
      <c r="E3030" t="s">
        <v>17</v>
      </c>
      <c r="Q3030" t="s">
        <v>199</v>
      </c>
    </row>
    <row r="3031" spans="2:17" x14ac:dyDescent="0.3">
      <c r="B3031" s="1">
        <v>46286</v>
      </c>
      <c r="C3031" t="s">
        <v>22</v>
      </c>
      <c r="D3031" s="1">
        <v>46286</v>
      </c>
      <c r="Q3031" t="s">
        <v>199</v>
      </c>
    </row>
    <row r="3032" spans="2:17" x14ac:dyDescent="0.3">
      <c r="B3032" s="1">
        <v>46287</v>
      </c>
      <c r="C3032" t="s">
        <v>23</v>
      </c>
      <c r="D3032" s="1">
        <v>46287</v>
      </c>
      <c r="Q3032" t="s">
        <v>199</v>
      </c>
    </row>
    <row r="3033" spans="2:17" x14ac:dyDescent="0.3">
      <c r="B3033" s="1">
        <v>46288</v>
      </c>
      <c r="C3033" t="s">
        <v>24</v>
      </c>
      <c r="D3033" s="1">
        <v>46288</v>
      </c>
      <c r="Q3033" t="s">
        <v>199</v>
      </c>
    </row>
    <row r="3034" spans="2:17" x14ac:dyDescent="0.3">
      <c r="B3034" s="1">
        <v>46289</v>
      </c>
      <c r="C3034" t="s">
        <v>25</v>
      </c>
      <c r="D3034" s="1">
        <v>46289</v>
      </c>
      <c r="Q3034" t="s">
        <v>199</v>
      </c>
    </row>
    <row r="3035" spans="2:17" x14ac:dyDescent="0.3">
      <c r="B3035" s="1">
        <v>46290</v>
      </c>
      <c r="C3035" t="s">
        <v>26</v>
      </c>
      <c r="D3035" s="1">
        <v>46290</v>
      </c>
      <c r="Q3035" t="s">
        <v>199</v>
      </c>
    </row>
    <row r="3036" spans="2:17" x14ac:dyDescent="0.3">
      <c r="B3036" s="1">
        <v>46291</v>
      </c>
      <c r="C3036" t="s">
        <v>16</v>
      </c>
      <c r="D3036" s="1">
        <v>46291</v>
      </c>
      <c r="E3036" t="s">
        <v>17</v>
      </c>
      <c r="Q3036" t="s">
        <v>199</v>
      </c>
    </row>
    <row r="3037" spans="2:17" x14ac:dyDescent="0.3">
      <c r="B3037" s="1">
        <v>46292</v>
      </c>
      <c r="C3037" t="s">
        <v>21</v>
      </c>
      <c r="D3037" s="1">
        <v>46292</v>
      </c>
      <c r="E3037" t="s">
        <v>17</v>
      </c>
      <c r="Q3037" t="s">
        <v>199</v>
      </c>
    </row>
    <row r="3038" spans="2:17" x14ac:dyDescent="0.3">
      <c r="B3038" s="1">
        <v>46293</v>
      </c>
      <c r="C3038" t="s">
        <v>22</v>
      </c>
      <c r="D3038" s="1">
        <v>46293</v>
      </c>
      <c r="Q3038" t="s">
        <v>199</v>
      </c>
    </row>
    <row r="3039" spans="2:17" x14ac:dyDescent="0.3">
      <c r="B3039" s="1">
        <v>46294</v>
      </c>
      <c r="C3039" t="s">
        <v>23</v>
      </c>
      <c r="D3039" s="1">
        <v>46294</v>
      </c>
      <c r="Q3039" t="s">
        <v>199</v>
      </c>
    </row>
    <row r="3040" spans="2:17" x14ac:dyDescent="0.3">
      <c r="B3040" s="1">
        <v>46295</v>
      </c>
      <c r="C3040" t="s">
        <v>24</v>
      </c>
      <c r="D3040" s="1">
        <v>46295</v>
      </c>
      <c r="Q3040" t="s">
        <v>199</v>
      </c>
    </row>
    <row r="3041" spans="2:17" x14ac:dyDescent="0.3">
      <c r="B3041" s="1">
        <v>46296</v>
      </c>
      <c r="C3041" t="s">
        <v>25</v>
      </c>
      <c r="D3041" s="1">
        <v>46296</v>
      </c>
      <c r="Q3041" t="s">
        <v>199</v>
      </c>
    </row>
    <row r="3042" spans="2:17" x14ac:dyDescent="0.3">
      <c r="B3042" s="1">
        <v>46297</v>
      </c>
      <c r="C3042" t="s">
        <v>26</v>
      </c>
      <c r="D3042" s="1">
        <v>46297</v>
      </c>
      <c r="Q3042" t="s">
        <v>199</v>
      </c>
    </row>
    <row r="3043" spans="2:17" x14ac:dyDescent="0.3">
      <c r="B3043" s="1">
        <v>46298</v>
      </c>
      <c r="C3043" t="s">
        <v>16</v>
      </c>
      <c r="D3043" s="1">
        <v>46298</v>
      </c>
      <c r="E3043" t="s">
        <v>17</v>
      </c>
      <c r="Q3043" t="s">
        <v>199</v>
      </c>
    </row>
    <row r="3044" spans="2:17" x14ac:dyDescent="0.3">
      <c r="B3044" s="1">
        <v>46299</v>
      </c>
      <c r="C3044" t="s">
        <v>21</v>
      </c>
      <c r="D3044" s="1">
        <v>46299</v>
      </c>
      <c r="E3044" t="s">
        <v>17</v>
      </c>
      <c r="Q3044" t="s">
        <v>199</v>
      </c>
    </row>
    <row r="3045" spans="2:17" x14ac:dyDescent="0.3">
      <c r="B3045" s="1">
        <v>46300</v>
      </c>
      <c r="C3045" t="s">
        <v>22</v>
      </c>
      <c r="D3045" s="1">
        <v>46300</v>
      </c>
      <c r="Q3045" t="s">
        <v>199</v>
      </c>
    </row>
    <row r="3046" spans="2:17" x14ac:dyDescent="0.3">
      <c r="B3046" s="1">
        <v>46301</v>
      </c>
      <c r="C3046" t="s">
        <v>23</v>
      </c>
      <c r="D3046" s="1">
        <v>46301</v>
      </c>
      <c r="Q3046" t="s">
        <v>199</v>
      </c>
    </row>
    <row r="3047" spans="2:17" x14ac:dyDescent="0.3">
      <c r="B3047" s="1">
        <v>46302</v>
      </c>
      <c r="C3047" t="s">
        <v>24</v>
      </c>
      <c r="D3047" s="1">
        <v>46302</v>
      </c>
      <c r="Q3047" t="s">
        <v>199</v>
      </c>
    </row>
    <row r="3048" spans="2:17" x14ac:dyDescent="0.3">
      <c r="B3048" s="1">
        <v>46303</v>
      </c>
      <c r="C3048" t="s">
        <v>25</v>
      </c>
      <c r="D3048" s="1">
        <v>46303</v>
      </c>
      <c r="Q3048" t="s">
        <v>199</v>
      </c>
    </row>
    <row r="3049" spans="2:17" x14ac:dyDescent="0.3">
      <c r="B3049" s="1">
        <v>46304</v>
      </c>
      <c r="C3049" t="s">
        <v>26</v>
      </c>
      <c r="D3049" s="1">
        <v>46304</v>
      </c>
      <c r="Q3049" t="s">
        <v>199</v>
      </c>
    </row>
    <row r="3050" spans="2:17" x14ac:dyDescent="0.3">
      <c r="B3050" s="1">
        <v>46305</v>
      </c>
      <c r="C3050" t="s">
        <v>16</v>
      </c>
      <c r="D3050" s="1">
        <v>46305</v>
      </c>
      <c r="E3050" t="s">
        <v>17</v>
      </c>
      <c r="Q3050" t="s">
        <v>199</v>
      </c>
    </row>
    <row r="3051" spans="2:17" x14ac:dyDescent="0.3">
      <c r="B3051" s="1">
        <v>46306</v>
      </c>
      <c r="C3051" t="s">
        <v>21</v>
      </c>
      <c r="D3051" s="1">
        <v>46306</v>
      </c>
      <c r="E3051" t="s">
        <v>17</v>
      </c>
      <c r="Q3051" t="s">
        <v>199</v>
      </c>
    </row>
    <row r="3052" spans="2:17" x14ac:dyDescent="0.3">
      <c r="B3052" s="1">
        <v>46307</v>
      </c>
      <c r="C3052" t="s">
        <v>22</v>
      </c>
      <c r="D3052" s="1">
        <v>46307</v>
      </c>
      <c r="Q3052" t="s">
        <v>199</v>
      </c>
    </row>
    <row r="3053" spans="2:17" x14ac:dyDescent="0.3">
      <c r="B3053" s="1">
        <v>46308</v>
      </c>
      <c r="C3053" t="s">
        <v>23</v>
      </c>
      <c r="D3053" s="1">
        <v>46308</v>
      </c>
      <c r="Q3053" t="s">
        <v>199</v>
      </c>
    </row>
    <row r="3054" spans="2:17" x14ac:dyDescent="0.3">
      <c r="B3054" s="1">
        <v>46309</v>
      </c>
      <c r="C3054" t="s">
        <v>24</v>
      </c>
      <c r="D3054" s="1">
        <v>46309</v>
      </c>
      <c r="Q3054" t="s">
        <v>199</v>
      </c>
    </row>
    <row r="3055" spans="2:17" x14ac:dyDescent="0.3">
      <c r="B3055" s="1">
        <v>46310</v>
      </c>
      <c r="C3055" t="s">
        <v>25</v>
      </c>
      <c r="D3055" s="1">
        <v>46310</v>
      </c>
      <c r="Q3055" t="s">
        <v>199</v>
      </c>
    </row>
    <row r="3056" spans="2:17" x14ac:dyDescent="0.3">
      <c r="B3056" s="1">
        <v>46311</v>
      </c>
      <c r="C3056" t="s">
        <v>26</v>
      </c>
      <c r="D3056" s="1">
        <v>46311</v>
      </c>
      <c r="Q3056" t="s">
        <v>199</v>
      </c>
    </row>
    <row r="3057" spans="2:17" x14ac:dyDescent="0.3">
      <c r="B3057" s="1">
        <v>46312</v>
      </c>
      <c r="C3057" t="s">
        <v>16</v>
      </c>
      <c r="D3057" s="1">
        <v>46312</v>
      </c>
      <c r="E3057" t="s">
        <v>17</v>
      </c>
      <c r="Q3057" t="s">
        <v>199</v>
      </c>
    </row>
    <row r="3058" spans="2:17" x14ac:dyDescent="0.3">
      <c r="B3058" s="1">
        <v>46313</v>
      </c>
      <c r="C3058" t="s">
        <v>21</v>
      </c>
      <c r="D3058" s="1">
        <v>46313</v>
      </c>
      <c r="E3058" t="s">
        <v>17</v>
      </c>
      <c r="Q3058" t="s">
        <v>199</v>
      </c>
    </row>
    <row r="3059" spans="2:17" x14ac:dyDescent="0.3">
      <c r="B3059" s="1">
        <v>46314</v>
      </c>
      <c r="C3059" t="s">
        <v>22</v>
      </c>
      <c r="D3059" s="1">
        <v>46314</v>
      </c>
      <c r="Q3059" t="s">
        <v>199</v>
      </c>
    </row>
    <row r="3060" spans="2:17" x14ac:dyDescent="0.3">
      <c r="B3060" s="1">
        <v>46315</v>
      </c>
      <c r="C3060" t="s">
        <v>23</v>
      </c>
      <c r="D3060" s="1">
        <v>46315</v>
      </c>
      <c r="Q3060" t="s">
        <v>199</v>
      </c>
    </row>
    <row r="3061" spans="2:17" x14ac:dyDescent="0.3">
      <c r="B3061" s="1">
        <v>46316</v>
      </c>
      <c r="C3061" t="s">
        <v>24</v>
      </c>
      <c r="D3061" s="1">
        <v>46316</v>
      </c>
      <c r="Q3061" t="s">
        <v>199</v>
      </c>
    </row>
    <row r="3062" spans="2:17" x14ac:dyDescent="0.3">
      <c r="B3062" s="1">
        <v>46317</v>
      </c>
      <c r="C3062" t="s">
        <v>25</v>
      </c>
      <c r="D3062" s="1">
        <v>46317</v>
      </c>
      <c r="Q3062" t="s">
        <v>199</v>
      </c>
    </row>
    <row r="3063" spans="2:17" x14ac:dyDescent="0.3">
      <c r="B3063" s="1">
        <v>46318</v>
      </c>
      <c r="C3063" t="s">
        <v>26</v>
      </c>
      <c r="D3063" s="1">
        <v>46318</v>
      </c>
      <c r="Q3063" t="s">
        <v>199</v>
      </c>
    </row>
    <row r="3064" spans="2:17" x14ac:dyDescent="0.3">
      <c r="B3064" s="1">
        <v>46319</v>
      </c>
      <c r="C3064" t="s">
        <v>16</v>
      </c>
      <c r="D3064" s="1">
        <v>46319</v>
      </c>
      <c r="E3064" t="s">
        <v>17</v>
      </c>
      <c r="Q3064" t="s">
        <v>199</v>
      </c>
    </row>
    <row r="3065" spans="2:17" x14ac:dyDescent="0.3">
      <c r="B3065" s="1">
        <v>46320</v>
      </c>
      <c r="C3065" t="s">
        <v>21</v>
      </c>
      <c r="D3065" s="1">
        <v>46320</v>
      </c>
      <c r="E3065" t="s">
        <v>17</v>
      </c>
      <c r="Q3065" t="s">
        <v>199</v>
      </c>
    </row>
    <row r="3066" spans="2:17" x14ac:dyDescent="0.3">
      <c r="B3066" s="1">
        <v>46321</v>
      </c>
      <c r="C3066" t="s">
        <v>22</v>
      </c>
      <c r="D3066" s="1">
        <v>46321</v>
      </c>
      <c r="Q3066" t="s">
        <v>199</v>
      </c>
    </row>
    <row r="3067" spans="2:17" x14ac:dyDescent="0.3">
      <c r="B3067" s="1">
        <v>46322</v>
      </c>
      <c r="C3067" t="s">
        <v>23</v>
      </c>
      <c r="D3067" s="1">
        <v>46322</v>
      </c>
      <c r="Q3067" t="s">
        <v>199</v>
      </c>
    </row>
    <row r="3068" spans="2:17" x14ac:dyDescent="0.3">
      <c r="B3068" s="1">
        <v>46323</v>
      </c>
      <c r="C3068" t="s">
        <v>24</v>
      </c>
      <c r="D3068" s="1">
        <v>46323</v>
      </c>
      <c r="Q3068" t="s">
        <v>199</v>
      </c>
    </row>
    <row r="3069" spans="2:17" x14ac:dyDescent="0.3">
      <c r="B3069" s="1">
        <v>46324</v>
      </c>
      <c r="C3069" t="s">
        <v>25</v>
      </c>
      <c r="D3069" s="1">
        <v>46324</v>
      </c>
      <c r="Q3069" t="s">
        <v>199</v>
      </c>
    </row>
    <row r="3070" spans="2:17" x14ac:dyDescent="0.3">
      <c r="B3070" s="1">
        <v>46325</v>
      </c>
      <c r="C3070" t="s">
        <v>26</v>
      </c>
      <c r="D3070" s="1">
        <v>46325</v>
      </c>
      <c r="Q3070" t="s">
        <v>199</v>
      </c>
    </row>
    <row r="3071" spans="2:17" x14ac:dyDescent="0.3">
      <c r="B3071" s="1">
        <v>46326</v>
      </c>
      <c r="C3071" t="s">
        <v>16</v>
      </c>
      <c r="D3071" s="1">
        <v>46326</v>
      </c>
      <c r="E3071" t="s">
        <v>17</v>
      </c>
      <c r="Q3071" t="s">
        <v>199</v>
      </c>
    </row>
    <row r="3072" spans="2:17" x14ac:dyDescent="0.3">
      <c r="B3072" s="1">
        <v>46327</v>
      </c>
      <c r="C3072" t="s">
        <v>21</v>
      </c>
      <c r="D3072" s="1">
        <v>46327</v>
      </c>
      <c r="E3072" t="s">
        <v>17</v>
      </c>
      <c r="Q3072" t="s">
        <v>199</v>
      </c>
    </row>
    <row r="3073" spans="2:17" x14ac:dyDescent="0.3">
      <c r="B3073" s="1">
        <v>46328</v>
      </c>
      <c r="C3073" t="s">
        <v>22</v>
      </c>
      <c r="D3073" s="1">
        <v>46328</v>
      </c>
      <c r="Q3073" t="s">
        <v>199</v>
      </c>
    </row>
    <row r="3074" spans="2:17" x14ac:dyDescent="0.3">
      <c r="B3074" s="1">
        <v>46329</v>
      </c>
      <c r="C3074" t="s">
        <v>23</v>
      </c>
      <c r="D3074" s="1">
        <v>46329</v>
      </c>
      <c r="Q3074" t="s">
        <v>199</v>
      </c>
    </row>
    <row r="3075" spans="2:17" x14ac:dyDescent="0.3">
      <c r="B3075" s="1">
        <v>46330</v>
      </c>
      <c r="C3075" t="s">
        <v>24</v>
      </c>
      <c r="D3075" s="1">
        <v>46330</v>
      </c>
      <c r="Q3075" t="s">
        <v>199</v>
      </c>
    </row>
    <row r="3076" spans="2:17" x14ac:dyDescent="0.3">
      <c r="B3076" s="1">
        <v>46331</v>
      </c>
      <c r="C3076" t="s">
        <v>25</v>
      </c>
      <c r="D3076" s="1">
        <v>46331</v>
      </c>
      <c r="Q3076" t="s">
        <v>199</v>
      </c>
    </row>
    <row r="3077" spans="2:17" x14ac:dyDescent="0.3">
      <c r="B3077" s="1">
        <v>46332</v>
      </c>
      <c r="C3077" t="s">
        <v>26</v>
      </c>
      <c r="D3077" s="1">
        <v>46332</v>
      </c>
      <c r="Q3077" t="s">
        <v>199</v>
      </c>
    </row>
    <row r="3078" spans="2:17" x14ac:dyDescent="0.3">
      <c r="B3078" s="1">
        <v>46333</v>
      </c>
      <c r="C3078" t="s">
        <v>16</v>
      </c>
      <c r="D3078" s="1">
        <v>46333</v>
      </c>
      <c r="E3078" t="s">
        <v>17</v>
      </c>
      <c r="Q3078" t="s">
        <v>199</v>
      </c>
    </row>
    <row r="3079" spans="2:17" x14ac:dyDescent="0.3">
      <c r="B3079" s="1">
        <v>46334</v>
      </c>
      <c r="C3079" t="s">
        <v>21</v>
      </c>
      <c r="D3079" s="1">
        <v>46334</v>
      </c>
      <c r="E3079" t="s">
        <v>17</v>
      </c>
      <c r="Q3079" t="s">
        <v>199</v>
      </c>
    </row>
    <row r="3080" spans="2:17" x14ac:dyDescent="0.3">
      <c r="B3080" s="1">
        <v>46335</v>
      </c>
      <c r="C3080" t="s">
        <v>22</v>
      </c>
      <c r="D3080" s="1">
        <v>46335</v>
      </c>
      <c r="Q3080" t="s">
        <v>199</v>
      </c>
    </row>
    <row r="3081" spans="2:17" x14ac:dyDescent="0.3">
      <c r="B3081" s="1">
        <v>46336</v>
      </c>
      <c r="C3081" t="s">
        <v>23</v>
      </c>
      <c r="D3081" s="1">
        <v>46336</v>
      </c>
      <c r="Q3081" t="s">
        <v>199</v>
      </c>
    </row>
    <row r="3082" spans="2:17" x14ac:dyDescent="0.3">
      <c r="B3082" s="1">
        <v>46337</v>
      </c>
      <c r="C3082" t="s">
        <v>24</v>
      </c>
      <c r="D3082" s="1">
        <v>46337</v>
      </c>
      <c r="Q3082" t="s">
        <v>199</v>
      </c>
    </row>
    <row r="3083" spans="2:17" x14ac:dyDescent="0.3">
      <c r="B3083" s="1">
        <v>46338</v>
      </c>
      <c r="C3083" t="s">
        <v>25</v>
      </c>
      <c r="D3083" s="1">
        <v>46338</v>
      </c>
      <c r="Q3083" t="s">
        <v>199</v>
      </c>
    </row>
    <row r="3084" spans="2:17" x14ac:dyDescent="0.3">
      <c r="B3084" s="1">
        <v>46339</v>
      </c>
      <c r="C3084" t="s">
        <v>26</v>
      </c>
      <c r="D3084" s="1">
        <v>46339</v>
      </c>
      <c r="Q3084" t="s">
        <v>199</v>
      </c>
    </row>
    <row r="3085" spans="2:17" x14ac:dyDescent="0.3">
      <c r="B3085" s="1">
        <v>46340</v>
      </c>
      <c r="C3085" t="s">
        <v>16</v>
      </c>
      <c r="D3085" s="1">
        <v>46340</v>
      </c>
      <c r="E3085" t="s">
        <v>17</v>
      </c>
      <c r="Q3085" t="s">
        <v>199</v>
      </c>
    </row>
    <row r="3086" spans="2:17" x14ac:dyDescent="0.3">
      <c r="B3086" s="1">
        <v>46341</v>
      </c>
      <c r="C3086" t="s">
        <v>21</v>
      </c>
      <c r="D3086" s="1">
        <v>46341</v>
      </c>
      <c r="E3086" t="s">
        <v>17</v>
      </c>
      <c r="Q3086" t="s">
        <v>199</v>
      </c>
    </row>
    <row r="3087" spans="2:17" x14ac:dyDescent="0.3">
      <c r="B3087" s="1">
        <v>46342</v>
      </c>
      <c r="C3087" t="s">
        <v>22</v>
      </c>
      <c r="D3087" s="1">
        <v>46342</v>
      </c>
      <c r="Q3087" t="s">
        <v>199</v>
      </c>
    </row>
    <row r="3088" spans="2:17" x14ac:dyDescent="0.3">
      <c r="B3088" s="1">
        <v>46343</v>
      </c>
      <c r="C3088" t="s">
        <v>23</v>
      </c>
      <c r="D3088" s="1">
        <v>46343</v>
      </c>
      <c r="Q3088" t="s">
        <v>199</v>
      </c>
    </row>
    <row r="3089" spans="2:17" x14ac:dyDescent="0.3">
      <c r="B3089" s="1">
        <v>46344</v>
      </c>
      <c r="C3089" t="s">
        <v>24</v>
      </c>
      <c r="D3089" s="1">
        <v>46344</v>
      </c>
      <c r="Q3089" t="s">
        <v>199</v>
      </c>
    </row>
    <row r="3090" spans="2:17" x14ac:dyDescent="0.3">
      <c r="B3090" s="1">
        <v>46345</v>
      </c>
      <c r="C3090" t="s">
        <v>25</v>
      </c>
      <c r="D3090" s="1">
        <v>46345</v>
      </c>
      <c r="Q3090" t="s">
        <v>199</v>
      </c>
    </row>
    <row r="3091" spans="2:17" x14ac:dyDescent="0.3">
      <c r="B3091" s="1">
        <v>46346</v>
      </c>
      <c r="C3091" t="s">
        <v>26</v>
      </c>
      <c r="D3091" s="1">
        <v>46346</v>
      </c>
      <c r="Q3091" t="s">
        <v>199</v>
      </c>
    </row>
    <row r="3092" spans="2:17" x14ac:dyDescent="0.3">
      <c r="B3092" s="1">
        <v>46347</v>
      </c>
      <c r="C3092" t="s">
        <v>16</v>
      </c>
      <c r="D3092" s="1">
        <v>46347</v>
      </c>
      <c r="E3092" t="s">
        <v>17</v>
      </c>
      <c r="Q3092" t="s">
        <v>199</v>
      </c>
    </row>
    <row r="3093" spans="2:17" x14ac:dyDescent="0.3">
      <c r="B3093" s="1">
        <v>46348</v>
      </c>
      <c r="C3093" t="s">
        <v>21</v>
      </c>
      <c r="D3093" s="1">
        <v>46348</v>
      </c>
      <c r="E3093" t="s">
        <v>17</v>
      </c>
      <c r="Q3093" t="s">
        <v>199</v>
      </c>
    </row>
    <row r="3094" spans="2:17" x14ac:dyDescent="0.3">
      <c r="B3094" s="1">
        <v>46349</v>
      </c>
      <c r="C3094" t="s">
        <v>22</v>
      </c>
      <c r="D3094" s="1">
        <v>46349</v>
      </c>
      <c r="Q3094" t="s">
        <v>199</v>
      </c>
    </row>
    <row r="3095" spans="2:17" x14ac:dyDescent="0.3">
      <c r="B3095" s="1">
        <v>46350</v>
      </c>
      <c r="C3095" t="s">
        <v>23</v>
      </c>
      <c r="D3095" s="1">
        <v>46350</v>
      </c>
      <c r="Q3095" t="s">
        <v>199</v>
      </c>
    </row>
    <row r="3096" spans="2:17" x14ac:dyDescent="0.3">
      <c r="B3096" s="1">
        <v>46351</v>
      </c>
      <c r="C3096" t="s">
        <v>24</v>
      </c>
      <c r="D3096" s="1">
        <v>46351</v>
      </c>
      <c r="Q3096" t="s">
        <v>199</v>
      </c>
    </row>
    <row r="3097" spans="2:17" x14ac:dyDescent="0.3">
      <c r="B3097" s="1">
        <v>46352</v>
      </c>
      <c r="C3097" t="s">
        <v>25</v>
      </c>
      <c r="D3097" s="1">
        <v>46352</v>
      </c>
      <c r="Q3097" t="s">
        <v>199</v>
      </c>
    </row>
    <row r="3098" spans="2:17" x14ac:dyDescent="0.3">
      <c r="B3098" s="1">
        <v>46353</v>
      </c>
      <c r="C3098" t="s">
        <v>26</v>
      </c>
      <c r="D3098" s="1">
        <v>46353</v>
      </c>
      <c r="Q3098" t="s">
        <v>199</v>
      </c>
    </row>
    <row r="3099" spans="2:17" x14ac:dyDescent="0.3">
      <c r="B3099" s="1">
        <v>46354</v>
      </c>
      <c r="C3099" t="s">
        <v>16</v>
      </c>
      <c r="D3099" s="1">
        <v>46354</v>
      </c>
      <c r="E3099" t="s">
        <v>17</v>
      </c>
      <c r="Q3099" t="s">
        <v>199</v>
      </c>
    </row>
    <row r="3100" spans="2:17" x14ac:dyDescent="0.3">
      <c r="B3100" s="1">
        <v>46355</v>
      </c>
      <c r="C3100" t="s">
        <v>21</v>
      </c>
      <c r="D3100" s="1">
        <v>46355</v>
      </c>
      <c r="E3100" t="s">
        <v>17</v>
      </c>
      <c r="Q3100" t="s">
        <v>199</v>
      </c>
    </row>
    <row r="3101" spans="2:17" x14ac:dyDescent="0.3">
      <c r="B3101" s="1">
        <v>46356</v>
      </c>
      <c r="C3101" t="s">
        <v>22</v>
      </c>
      <c r="D3101" s="1">
        <v>46356</v>
      </c>
      <c r="Q3101" t="s">
        <v>199</v>
      </c>
    </row>
    <row r="3102" spans="2:17" x14ac:dyDescent="0.3">
      <c r="B3102" s="1">
        <v>46357</v>
      </c>
      <c r="C3102" t="s">
        <v>23</v>
      </c>
      <c r="D3102" s="1">
        <v>46357</v>
      </c>
      <c r="Q3102" t="s">
        <v>199</v>
      </c>
    </row>
    <row r="3103" spans="2:17" x14ac:dyDescent="0.3">
      <c r="B3103" s="1">
        <v>46358</v>
      </c>
      <c r="C3103" t="s">
        <v>24</v>
      </c>
      <c r="D3103" s="1">
        <v>46358</v>
      </c>
      <c r="Q3103" t="s">
        <v>199</v>
      </c>
    </row>
    <row r="3104" spans="2:17" x14ac:dyDescent="0.3">
      <c r="B3104" s="1">
        <v>46359</v>
      </c>
      <c r="C3104" t="s">
        <v>25</v>
      </c>
      <c r="D3104" s="1">
        <v>46359</v>
      </c>
      <c r="Q3104" t="s">
        <v>199</v>
      </c>
    </row>
    <row r="3105" spans="2:17" x14ac:dyDescent="0.3">
      <c r="B3105" s="1">
        <v>46360</v>
      </c>
      <c r="C3105" t="s">
        <v>26</v>
      </c>
      <c r="D3105" s="1">
        <v>46360</v>
      </c>
      <c r="Q3105" t="s">
        <v>199</v>
      </c>
    </row>
    <row r="3106" spans="2:17" x14ac:dyDescent="0.3">
      <c r="B3106" s="1">
        <v>46361</v>
      </c>
      <c r="C3106" t="s">
        <v>16</v>
      </c>
      <c r="D3106" s="1">
        <v>46361</v>
      </c>
      <c r="E3106" t="s">
        <v>17</v>
      </c>
      <c r="Q3106" t="s">
        <v>199</v>
      </c>
    </row>
    <row r="3107" spans="2:17" x14ac:dyDescent="0.3">
      <c r="B3107" s="1">
        <v>46362</v>
      </c>
      <c r="C3107" t="s">
        <v>21</v>
      </c>
      <c r="D3107" s="1">
        <v>46362</v>
      </c>
      <c r="E3107" t="s">
        <v>17</v>
      </c>
      <c r="Q3107" t="s">
        <v>199</v>
      </c>
    </row>
    <row r="3108" spans="2:17" x14ac:dyDescent="0.3">
      <c r="B3108" s="1">
        <v>46363</v>
      </c>
      <c r="C3108" t="s">
        <v>22</v>
      </c>
      <c r="D3108" s="1">
        <v>46363</v>
      </c>
      <c r="Q3108" t="s">
        <v>199</v>
      </c>
    </row>
    <row r="3109" spans="2:17" x14ac:dyDescent="0.3">
      <c r="B3109" s="1">
        <v>46364</v>
      </c>
      <c r="C3109" t="s">
        <v>23</v>
      </c>
      <c r="D3109" s="1">
        <v>46364</v>
      </c>
      <c r="Q3109" t="s">
        <v>199</v>
      </c>
    </row>
    <row r="3110" spans="2:17" x14ac:dyDescent="0.3">
      <c r="B3110" s="1">
        <v>46365</v>
      </c>
      <c r="C3110" t="s">
        <v>24</v>
      </c>
      <c r="D3110" s="1">
        <v>46365</v>
      </c>
      <c r="Q3110" t="s">
        <v>199</v>
      </c>
    </row>
    <row r="3111" spans="2:17" x14ac:dyDescent="0.3">
      <c r="B3111" s="1">
        <v>46366</v>
      </c>
      <c r="C3111" t="s">
        <v>25</v>
      </c>
      <c r="D3111" s="1">
        <v>46366</v>
      </c>
      <c r="Q3111" t="s">
        <v>199</v>
      </c>
    </row>
    <row r="3112" spans="2:17" x14ac:dyDescent="0.3">
      <c r="B3112" s="1">
        <v>46367</v>
      </c>
      <c r="C3112" t="s">
        <v>26</v>
      </c>
      <c r="D3112" s="1">
        <v>46367</v>
      </c>
      <c r="Q3112" t="s">
        <v>199</v>
      </c>
    </row>
    <row r="3113" spans="2:17" x14ac:dyDescent="0.3">
      <c r="B3113" s="1">
        <v>46368</v>
      </c>
      <c r="C3113" t="s">
        <v>16</v>
      </c>
      <c r="D3113" s="1">
        <v>46368</v>
      </c>
      <c r="E3113" t="s">
        <v>17</v>
      </c>
      <c r="Q3113" t="s">
        <v>199</v>
      </c>
    </row>
    <row r="3114" spans="2:17" x14ac:dyDescent="0.3">
      <c r="B3114" s="1">
        <v>46369</v>
      </c>
      <c r="C3114" t="s">
        <v>21</v>
      </c>
      <c r="D3114" s="1">
        <v>46369</v>
      </c>
      <c r="E3114" t="s">
        <v>17</v>
      </c>
      <c r="Q3114" t="s">
        <v>199</v>
      </c>
    </row>
    <row r="3115" spans="2:17" x14ac:dyDescent="0.3">
      <c r="B3115" s="1">
        <v>46370</v>
      </c>
      <c r="C3115" t="s">
        <v>22</v>
      </c>
      <c r="D3115" s="1">
        <v>46370</v>
      </c>
      <c r="Q3115" t="s">
        <v>199</v>
      </c>
    </row>
    <row r="3116" spans="2:17" x14ac:dyDescent="0.3">
      <c r="B3116" s="1">
        <v>46371</v>
      </c>
      <c r="C3116" t="s">
        <v>23</v>
      </c>
      <c r="D3116" s="1">
        <v>46371</v>
      </c>
      <c r="Q3116" t="s">
        <v>199</v>
      </c>
    </row>
    <row r="3117" spans="2:17" x14ac:dyDescent="0.3">
      <c r="B3117" s="1">
        <v>46372</v>
      </c>
      <c r="C3117" t="s">
        <v>24</v>
      </c>
      <c r="D3117" s="1">
        <v>46372</v>
      </c>
      <c r="Q3117" t="s">
        <v>199</v>
      </c>
    </row>
    <row r="3118" spans="2:17" x14ac:dyDescent="0.3">
      <c r="B3118" s="1">
        <v>46373</v>
      </c>
      <c r="C3118" t="s">
        <v>25</v>
      </c>
      <c r="D3118" s="1">
        <v>46373</v>
      </c>
      <c r="Q3118" t="s">
        <v>199</v>
      </c>
    </row>
    <row r="3119" spans="2:17" x14ac:dyDescent="0.3">
      <c r="B3119" s="1">
        <v>46374</v>
      </c>
      <c r="C3119" t="s">
        <v>26</v>
      </c>
      <c r="D3119" s="1">
        <v>46374</v>
      </c>
      <c r="Q3119" t="s">
        <v>199</v>
      </c>
    </row>
    <row r="3120" spans="2:17" x14ac:dyDescent="0.3">
      <c r="B3120" s="1">
        <v>46375</v>
      </c>
      <c r="C3120" t="s">
        <v>16</v>
      </c>
      <c r="D3120" s="1">
        <v>46375</v>
      </c>
      <c r="E3120" t="s">
        <v>17</v>
      </c>
      <c r="Q3120" t="s">
        <v>199</v>
      </c>
    </row>
    <row r="3121" spans="2:17" x14ac:dyDescent="0.3">
      <c r="B3121" s="1">
        <v>46376</v>
      </c>
      <c r="C3121" t="s">
        <v>21</v>
      </c>
      <c r="D3121" s="1">
        <v>46376</v>
      </c>
      <c r="E3121" t="s">
        <v>17</v>
      </c>
      <c r="Q3121" t="s">
        <v>199</v>
      </c>
    </row>
    <row r="3122" spans="2:17" x14ac:dyDescent="0.3">
      <c r="B3122" s="1">
        <v>46377</v>
      </c>
      <c r="C3122" t="s">
        <v>22</v>
      </c>
      <c r="D3122" s="1">
        <v>46377</v>
      </c>
      <c r="Q3122" t="s">
        <v>199</v>
      </c>
    </row>
    <row r="3123" spans="2:17" x14ac:dyDescent="0.3">
      <c r="B3123" s="1">
        <v>46378</v>
      </c>
      <c r="C3123" t="s">
        <v>23</v>
      </c>
      <c r="D3123" s="1">
        <v>46378</v>
      </c>
      <c r="Q3123" t="s">
        <v>199</v>
      </c>
    </row>
    <row r="3124" spans="2:17" x14ac:dyDescent="0.3">
      <c r="B3124" s="1">
        <v>46379</v>
      </c>
      <c r="C3124" t="s">
        <v>24</v>
      </c>
      <c r="D3124" s="1">
        <v>46379</v>
      </c>
      <c r="Q3124" t="s">
        <v>199</v>
      </c>
    </row>
    <row r="3125" spans="2:17" x14ac:dyDescent="0.3">
      <c r="B3125" s="1">
        <v>46380</v>
      </c>
      <c r="C3125" t="s">
        <v>25</v>
      </c>
      <c r="D3125" s="1">
        <v>46380</v>
      </c>
      <c r="Q3125" t="s">
        <v>199</v>
      </c>
    </row>
    <row r="3126" spans="2:17" x14ac:dyDescent="0.3">
      <c r="B3126" s="1">
        <v>46381</v>
      </c>
      <c r="C3126" t="s">
        <v>26</v>
      </c>
      <c r="D3126" s="1">
        <v>46381</v>
      </c>
      <c r="Q3126" t="s">
        <v>199</v>
      </c>
    </row>
    <row r="3127" spans="2:17" x14ac:dyDescent="0.3">
      <c r="B3127" s="1">
        <v>46382</v>
      </c>
      <c r="C3127" t="s">
        <v>16</v>
      </c>
      <c r="D3127" s="1">
        <v>46382</v>
      </c>
      <c r="E3127" t="s">
        <v>17</v>
      </c>
      <c r="Q3127" t="s">
        <v>199</v>
      </c>
    </row>
    <row r="3128" spans="2:17" x14ac:dyDescent="0.3">
      <c r="B3128" s="1">
        <v>46383</v>
      </c>
      <c r="C3128" t="s">
        <v>21</v>
      </c>
      <c r="D3128" s="1">
        <v>46383</v>
      </c>
      <c r="E3128" t="s">
        <v>17</v>
      </c>
      <c r="Q3128" t="s">
        <v>199</v>
      </c>
    </row>
    <row r="3129" spans="2:17" x14ac:dyDescent="0.3">
      <c r="B3129" s="1">
        <v>46384</v>
      </c>
      <c r="C3129" t="s">
        <v>22</v>
      </c>
      <c r="D3129" s="1">
        <v>46384</v>
      </c>
      <c r="Q3129" t="s">
        <v>199</v>
      </c>
    </row>
    <row r="3130" spans="2:17" x14ac:dyDescent="0.3">
      <c r="B3130" s="1">
        <v>46385</v>
      </c>
      <c r="C3130" t="s">
        <v>23</v>
      </c>
      <c r="D3130" s="1">
        <v>46385</v>
      </c>
      <c r="Q3130" t="s">
        <v>199</v>
      </c>
    </row>
    <row r="3131" spans="2:17" x14ac:dyDescent="0.3">
      <c r="B3131" s="1">
        <v>46386</v>
      </c>
      <c r="C3131" t="s">
        <v>24</v>
      </c>
      <c r="D3131" s="1">
        <v>46386</v>
      </c>
      <c r="Q3131" t="s">
        <v>199</v>
      </c>
    </row>
    <row r="3132" spans="2:17" x14ac:dyDescent="0.3">
      <c r="B3132" s="1">
        <v>46387</v>
      </c>
      <c r="C3132" t="s">
        <v>25</v>
      </c>
      <c r="D3132" s="1">
        <v>46387</v>
      </c>
      <c r="Q3132" t="s">
        <v>199</v>
      </c>
    </row>
    <row r="3133" spans="2:17" x14ac:dyDescent="0.3">
      <c r="B3133" s="1">
        <v>46388</v>
      </c>
      <c r="C3133" t="s">
        <v>26</v>
      </c>
      <c r="D3133" s="1">
        <v>46388</v>
      </c>
      <c r="Q3133" t="s">
        <v>199</v>
      </c>
    </row>
    <row r="3134" spans="2:17" x14ac:dyDescent="0.3">
      <c r="B3134" s="1">
        <v>46389</v>
      </c>
      <c r="C3134" t="s">
        <v>16</v>
      </c>
      <c r="D3134" s="1">
        <v>46389</v>
      </c>
      <c r="E3134" t="s">
        <v>17</v>
      </c>
      <c r="Q3134" t="s">
        <v>199</v>
      </c>
    </row>
    <row r="3135" spans="2:17" x14ac:dyDescent="0.3">
      <c r="B3135" s="1">
        <v>46390</v>
      </c>
      <c r="C3135" t="s">
        <v>21</v>
      </c>
      <c r="D3135" s="1">
        <v>46390</v>
      </c>
      <c r="E3135" t="s">
        <v>17</v>
      </c>
      <c r="Q3135" t="s">
        <v>199</v>
      </c>
    </row>
    <row r="3136" spans="2:17" x14ac:dyDescent="0.3">
      <c r="B3136" s="1">
        <v>46391</v>
      </c>
      <c r="C3136" t="s">
        <v>22</v>
      </c>
      <c r="D3136" s="1">
        <v>46391</v>
      </c>
      <c r="Q3136" t="s">
        <v>199</v>
      </c>
    </row>
    <row r="3137" spans="2:17" x14ac:dyDescent="0.3">
      <c r="B3137" s="1">
        <v>46392</v>
      </c>
      <c r="C3137" t="s">
        <v>23</v>
      </c>
      <c r="D3137" s="1">
        <v>46392</v>
      </c>
      <c r="Q3137" t="s">
        <v>199</v>
      </c>
    </row>
    <row r="3138" spans="2:17" x14ac:dyDescent="0.3">
      <c r="B3138" s="1">
        <v>46393</v>
      </c>
      <c r="C3138" t="s">
        <v>24</v>
      </c>
      <c r="D3138" s="1">
        <v>46393</v>
      </c>
      <c r="Q3138" t="s">
        <v>199</v>
      </c>
    </row>
    <row r="3139" spans="2:17" x14ac:dyDescent="0.3">
      <c r="B3139" s="1">
        <v>46394</v>
      </c>
      <c r="C3139" t="s">
        <v>25</v>
      </c>
      <c r="D3139" s="1">
        <v>46394</v>
      </c>
      <c r="Q3139" t="s">
        <v>199</v>
      </c>
    </row>
    <row r="3140" spans="2:17" x14ac:dyDescent="0.3">
      <c r="B3140" s="1">
        <v>46395</v>
      </c>
      <c r="C3140" t="s">
        <v>26</v>
      </c>
      <c r="D3140" s="1">
        <v>46395</v>
      </c>
      <c r="Q3140" t="s">
        <v>199</v>
      </c>
    </row>
    <row r="3141" spans="2:17" x14ac:dyDescent="0.3">
      <c r="B3141" s="1">
        <v>46396</v>
      </c>
      <c r="C3141" t="s">
        <v>16</v>
      </c>
      <c r="D3141" s="1">
        <v>46396</v>
      </c>
      <c r="E3141" t="s">
        <v>17</v>
      </c>
      <c r="Q3141" t="s">
        <v>199</v>
      </c>
    </row>
    <row r="3142" spans="2:17" x14ac:dyDescent="0.3">
      <c r="B3142" s="1">
        <v>46397</v>
      </c>
      <c r="C3142" t="s">
        <v>21</v>
      </c>
      <c r="D3142" s="1">
        <v>46397</v>
      </c>
      <c r="E3142" t="s">
        <v>17</v>
      </c>
      <c r="Q3142" t="s">
        <v>199</v>
      </c>
    </row>
    <row r="3143" spans="2:17" x14ac:dyDescent="0.3">
      <c r="B3143" s="1">
        <v>46398</v>
      </c>
      <c r="C3143" t="s">
        <v>22</v>
      </c>
      <c r="D3143" s="1">
        <v>46398</v>
      </c>
      <c r="Q3143" t="s">
        <v>199</v>
      </c>
    </row>
    <row r="3144" spans="2:17" x14ac:dyDescent="0.3">
      <c r="B3144" s="1">
        <v>46399</v>
      </c>
      <c r="C3144" t="s">
        <v>23</v>
      </c>
      <c r="D3144" s="1">
        <v>46399</v>
      </c>
      <c r="Q3144" t="s">
        <v>199</v>
      </c>
    </row>
    <row r="3145" spans="2:17" x14ac:dyDescent="0.3">
      <c r="B3145" s="1">
        <v>46400</v>
      </c>
      <c r="C3145" t="s">
        <v>24</v>
      </c>
      <c r="D3145" s="1">
        <v>46400</v>
      </c>
      <c r="Q3145" t="s">
        <v>199</v>
      </c>
    </row>
    <row r="3146" spans="2:17" x14ac:dyDescent="0.3">
      <c r="B3146" s="1">
        <v>46401</v>
      </c>
      <c r="C3146" t="s">
        <v>25</v>
      </c>
      <c r="D3146" s="1">
        <v>46401</v>
      </c>
      <c r="Q3146" t="s">
        <v>199</v>
      </c>
    </row>
    <row r="3147" spans="2:17" x14ac:dyDescent="0.3">
      <c r="B3147" s="1">
        <v>46402</v>
      </c>
      <c r="C3147" t="s">
        <v>26</v>
      </c>
      <c r="D3147" s="1">
        <v>46402</v>
      </c>
      <c r="Q3147" t="s">
        <v>199</v>
      </c>
    </row>
    <row r="3148" spans="2:17" x14ac:dyDescent="0.3">
      <c r="B3148" s="1">
        <v>46403</v>
      </c>
      <c r="C3148" t="s">
        <v>16</v>
      </c>
      <c r="D3148" s="1">
        <v>46403</v>
      </c>
      <c r="E3148" t="s">
        <v>17</v>
      </c>
      <c r="Q3148" t="s">
        <v>199</v>
      </c>
    </row>
    <row r="3149" spans="2:17" x14ac:dyDescent="0.3">
      <c r="B3149" s="1">
        <v>46404</v>
      </c>
      <c r="C3149" t="s">
        <v>21</v>
      </c>
      <c r="D3149" s="1">
        <v>46404</v>
      </c>
      <c r="E3149" t="s">
        <v>17</v>
      </c>
      <c r="Q3149" t="s">
        <v>199</v>
      </c>
    </row>
    <row r="3150" spans="2:17" x14ac:dyDescent="0.3">
      <c r="B3150" s="1">
        <v>46405</v>
      </c>
      <c r="C3150" t="s">
        <v>22</v>
      </c>
      <c r="D3150" s="1">
        <v>46405</v>
      </c>
      <c r="Q3150" t="s">
        <v>199</v>
      </c>
    </row>
    <row r="3151" spans="2:17" x14ac:dyDescent="0.3">
      <c r="B3151" s="1">
        <v>46406</v>
      </c>
      <c r="C3151" t="s">
        <v>23</v>
      </c>
      <c r="D3151" s="1">
        <v>46406</v>
      </c>
      <c r="Q3151" t="s">
        <v>199</v>
      </c>
    </row>
    <row r="3152" spans="2:17" x14ac:dyDescent="0.3">
      <c r="B3152" s="1">
        <v>46407</v>
      </c>
      <c r="C3152" t="s">
        <v>24</v>
      </c>
      <c r="D3152" s="1">
        <v>46407</v>
      </c>
      <c r="Q3152" t="s">
        <v>199</v>
      </c>
    </row>
    <row r="3153" spans="2:17" x14ac:dyDescent="0.3">
      <c r="B3153" s="1">
        <v>46408</v>
      </c>
      <c r="C3153" t="s">
        <v>25</v>
      </c>
      <c r="D3153" s="1">
        <v>46408</v>
      </c>
      <c r="Q3153" t="s">
        <v>199</v>
      </c>
    </row>
    <row r="3154" spans="2:17" x14ac:dyDescent="0.3">
      <c r="B3154" s="1">
        <v>46409</v>
      </c>
      <c r="C3154" t="s">
        <v>26</v>
      </c>
      <c r="D3154" s="1">
        <v>46409</v>
      </c>
      <c r="Q3154" t="s">
        <v>199</v>
      </c>
    </row>
    <row r="3155" spans="2:17" x14ac:dyDescent="0.3">
      <c r="B3155" s="1">
        <v>46410</v>
      </c>
      <c r="C3155" t="s">
        <v>16</v>
      </c>
      <c r="D3155" s="1">
        <v>46410</v>
      </c>
      <c r="E3155" t="s">
        <v>17</v>
      </c>
      <c r="Q3155" t="s">
        <v>199</v>
      </c>
    </row>
    <row r="3156" spans="2:17" x14ac:dyDescent="0.3">
      <c r="B3156" s="1">
        <v>46411</v>
      </c>
      <c r="C3156" t="s">
        <v>21</v>
      </c>
      <c r="D3156" s="1">
        <v>46411</v>
      </c>
      <c r="E3156" t="s">
        <v>17</v>
      </c>
      <c r="Q3156" t="s">
        <v>199</v>
      </c>
    </row>
    <row r="3157" spans="2:17" x14ac:dyDescent="0.3">
      <c r="B3157" s="1">
        <v>46412</v>
      </c>
      <c r="C3157" t="s">
        <v>22</v>
      </c>
      <c r="D3157" s="1">
        <v>46412</v>
      </c>
      <c r="Q3157" t="s">
        <v>199</v>
      </c>
    </row>
    <row r="3158" spans="2:17" x14ac:dyDescent="0.3">
      <c r="B3158" s="1">
        <v>46413</v>
      </c>
      <c r="C3158" t="s">
        <v>23</v>
      </c>
      <c r="D3158" s="1">
        <v>46413</v>
      </c>
      <c r="Q3158" t="s">
        <v>199</v>
      </c>
    </row>
    <row r="3159" spans="2:17" x14ac:dyDescent="0.3">
      <c r="B3159" s="1">
        <v>46414</v>
      </c>
      <c r="C3159" t="s">
        <v>24</v>
      </c>
      <c r="D3159" s="1">
        <v>46414</v>
      </c>
      <c r="Q3159" t="s">
        <v>199</v>
      </c>
    </row>
    <row r="3160" spans="2:17" x14ac:dyDescent="0.3">
      <c r="B3160" s="1">
        <v>46415</v>
      </c>
      <c r="C3160" t="s">
        <v>25</v>
      </c>
      <c r="D3160" s="1">
        <v>46415</v>
      </c>
      <c r="Q3160" t="s">
        <v>199</v>
      </c>
    </row>
    <row r="3161" spans="2:17" x14ac:dyDescent="0.3">
      <c r="B3161" s="1">
        <v>46416</v>
      </c>
      <c r="C3161" t="s">
        <v>26</v>
      </c>
      <c r="D3161" s="1">
        <v>46416</v>
      </c>
      <c r="Q3161" t="s">
        <v>199</v>
      </c>
    </row>
    <row r="3162" spans="2:17" x14ac:dyDescent="0.3">
      <c r="B3162" s="1">
        <v>46417</v>
      </c>
      <c r="C3162" t="s">
        <v>16</v>
      </c>
      <c r="D3162" s="1">
        <v>46417</v>
      </c>
      <c r="E3162" t="s">
        <v>17</v>
      </c>
      <c r="Q3162" t="s">
        <v>199</v>
      </c>
    </row>
    <row r="3163" spans="2:17" x14ac:dyDescent="0.3">
      <c r="B3163" s="1">
        <v>46418</v>
      </c>
      <c r="C3163" t="s">
        <v>21</v>
      </c>
      <c r="D3163" s="1">
        <v>46418</v>
      </c>
      <c r="E3163" t="s">
        <v>17</v>
      </c>
      <c r="Q3163" t="s">
        <v>199</v>
      </c>
    </row>
    <row r="3164" spans="2:17" x14ac:dyDescent="0.3">
      <c r="B3164" s="1">
        <v>46419</v>
      </c>
      <c r="C3164" t="s">
        <v>22</v>
      </c>
      <c r="D3164" s="1">
        <v>46419</v>
      </c>
      <c r="Q3164" t="s">
        <v>199</v>
      </c>
    </row>
    <row r="3165" spans="2:17" x14ac:dyDescent="0.3">
      <c r="B3165" s="1">
        <v>46420</v>
      </c>
      <c r="C3165" t="s">
        <v>23</v>
      </c>
      <c r="D3165" s="1">
        <v>46420</v>
      </c>
      <c r="Q3165" t="s">
        <v>199</v>
      </c>
    </row>
    <row r="3166" spans="2:17" x14ac:dyDescent="0.3">
      <c r="B3166" s="1">
        <v>46421</v>
      </c>
      <c r="C3166" t="s">
        <v>24</v>
      </c>
      <c r="D3166" s="1">
        <v>46421</v>
      </c>
      <c r="Q3166" t="s">
        <v>199</v>
      </c>
    </row>
    <row r="3167" spans="2:17" x14ac:dyDescent="0.3">
      <c r="B3167" s="1">
        <v>46422</v>
      </c>
      <c r="C3167" t="s">
        <v>25</v>
      </c>
      <c r="D3167" s="1">
        <v>46422</v>
      </c>
      <c r="Q3167" t="s">
        <v>199</v>
      </c>
    </row>
    <row r="3168" spans="2:17" x14ac:dyDescent="0.3">
      <c r="B3168" s="1">
        <v>46423</v>
      </c>
      <c r="C3168" t="s">
        <v>26</v>
      </c>
      <c r="D3168" s="1">
        <v>46423</v>
      </c>
      <c r="Q3168" t="s">
        <v>199</v>
      </c>
    </row>
    <row r="3169" spans="2:17" x14ac:dyDescent="0.3">
      <c r="B3169" s="1">
        <v>46424</v>
      </c>
      <c r="C3169" t="s">
        <v>16</v>
      </c>
      <c r="D3169" s="1">
        <v>46424</v>
      </c>
      <c r="E3169" t="s">
        <v>17</v>
      </c>
      <c r="Q3169" t="s">
        <v>199</v>
      </c>
    </row>
    <row r="3170" spans="2:17" x14ac:dyDescent="0.3">
      <c r="B3170" s="1">
        <v>46425</v>
      </c>
      <c r="C3170" t="s">
        <v>21</v>
      </c>
      <c r="D3170" s="1">
        <v>46425</v>
      </c>
      <c r="E3170" t="s">
        <v>17</v>
      </c>
      <c r="Q3170" t="s">
        <v>199</v>
      </c>
    </row>
    <row r="3171" spans="2:17" x14ac:dyDescent="0.3">
      <c r="B3171" s="1">
        <v>46426</v>
      </c>
      <c r="C3171" t="s">
        <v>22</v>
      </c>
      <c r="D3171" s="1">
        <v>46426</v>
      </c>
      <c r="Q3171" t="s">
        <v>199</v>
      </c>
    </row>
    <row r="3172" spans="2:17" x14ac:dyDescent="0.3">
      <c r="B3172" s="1">
        <v>46427</v>
      </c>
      <c r="C3172" t="s">
        <v>23</v>
      </c>
      <c r="D3172" s="1">
        <v>46427</v>
      </c>
      <c r="Q3172" t="s">
        <v>199</v>
      </c>
    </row>
    <row r="3173" spans="2:17" x14ac:dyDescent="0.3">
      <c r="B3173" s="1">
        <v>46428</v>
      </c>
      <c r="C3173" t="s">
        <v>24</v>
      </c>
      <c r="D3173" s="1">
        <v>46428</v>
      </c>
      <c r="Q3173" t="s">
        <v>199</v>
      </c>
    </row>
    <row r="3174" spans="2:17" x14ac:dyDescent="0.3">
      <c r="B3174" s="1">
        <v>46429</v>
      </c>
      <c r="C3174" t="s">
        <v>25</v>
      </c>
      <c r="D3174" s="1">
        <v>46429</v>
      </c>
      <c r="Q3174" t="s">
        <v>199</v>
      </c>
    </row>
    <row r="3175" spans="2:17" x14ac:dyDescent="0.3">
      <c r="B3175" s="1">
        <v>46430</v>
      </c>
      <c r="C3175" t="s">
        <v>26</v>
      </c>
      <c r="D3175" s="1">
        <v>46430</v>
      </c>
      <c r="Q3175" t="s">
        <v>199</v>
      </c>
    </row>
    <row r="3176" spans="2:17" x14ac:dyDescent="0.3">
      <c r="B3176" s="1">
        <v>46431</v>
      </c>
      <c r="C3176" t="s">
        <v>16</v>
      </c>
      <c r="D3176" s="1">
        <v>46431</v>
      </c>
      <c r="E3176" t="s">
        <v>17</v>
      </c>
      <c r="Q3176" t="s">
        <v>199</v>
      </c>
    </row>
    <row r="3177" spans="2:17" x14ac:dyDescent="0.3">
      <c r="B3177" s="1">
        <v>46432</v>
      </c>
      <c r="C3177" t="s">
        <v>21</v>
      </c>
      <c r="D3177" s="1">
        <v>46432</v>
      </c>
      <c r="E3177" t="s">
        <v>17</v>
      </c>
      <c r="Q3177" t="s">
        <v>199</v>
      </c>
    </row>
    <row r="3178" spans="2:17" x14ac:dyDescent="0.3">
      <c r="B3178" s="1">
        <v>46433</v>
      </c>
      <c r="C3178" t="s">
        <v>22</v>
      </c>
      <c r="D3178" s="1">
        <v>46433</v>
      </c>
      <c r="Q3178" t="s">
        <v>199</v>
      </c>
    </row>
    <row r="3182" spans="2:17" x14ac:dyDescent="0.3">
      <c r="H3182" s="134">
        <f>SUM(H124:H2710)</f>
        <v>697</v>
      </c>
      <c r="I3182" s="134">
        <f>SUM(I124:I2710)</f>
        <v>642</v>
      </c>
      <c r="J3182" s="134">
        <f t="shared" ref="J3182:P3182" si="0">SUM(J124:J2710)</f>
        <v>4108.1600000000008</v>
      </c>
      <c r="K3182" s="134">
        <f t="shared" si="0"/>
        <v>3290.17</v>
      </c>
      <c r="L3182" s="134">
        <f t="shared" si="0"/>
        <v>153</v>
      </c>
      <c r="M3182" s="134">
        <f t="shared" si="0"/>
        <v>146</v>
      </c>
      <c r="N3182" s="134">
        <f t="shared" si="0"/>
        <v>556</v>
      </c>
      <c r="O3182" s="134">
        <f t="shared" si="0"/>
        <v>171</v>
      </c>
      <c r="P3182" s="134">
        <f t="shared" si="0"/>
        <v>0</v>
      </c>
    </row>
  </sheetData>
  <phoneticPr fontId="1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A197-F5DE-4880-8CCA-FBB1576F39A0}">
  <sheetPr codeName="Planilha2">
    <tabColor theme="5" tint="-0.249977111117893"/>
  </sheetPr>
  <dimension ref="A2:AB40"/>
  <sheetViews>
    <sheetView showGridLines="0" topLeftCell="A6" zoomScaleNormal="100" workbookViewId="0">
      <selection activeCell="B11" sqref="B11"/>
    </sheetView>
  </sheetViews>
  <sheetFormatPr defaultRowHeight="14" x14ac:dyDescent="0.3"/>
  <cols>
    <col min="2" max="2" width="23.08203125" customWidth="1"/>
    <col min="3" max="18" width="11.08203125" customWidth="1"/>
  </cols>
  <sheetData>
    <row r="2" spans="1:28" ht="18" x14ac:dyDescent="0.4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 t="s">
        <v>244</v>
      </c>
      <c r="T2" s="138"/>
      <c r="U2" s="2"/>
      <c r="V2" s="2"/>
      <c r="W2" s="2"/>
      <c r="X2" s="2"/>
      <c r="Y2" s="2"/>
      <c r="Z2" s="2"/>
      <c r="AA2" s="2"/>
      <c r="AB2" s="2"/>
    </row>
    <row r="3" spans="1:28" ht="18" x14ac:dyDescent="0.4">
      <c r="A3" s="2"/>
      <c r="B3" s="2"/>
      <c r="C3" s="2"/>
      <c r="D3" s="2"/>
      <c r="E3" s="3" t="s">
        <v>245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38"/>
      <c r="T3" s="138"/>
      <c r="U3" s="2"/>
      <c r="V3" s="2"/>
      <c r="W3" s="2"/>
      <c r="X3" s="2"/>
      <c r="Y3" s="2"/>
      <c r="Z3" s="2"/>
      <c r="AA3" s="2"/>
      <c r="AB3" s="2"/>
    </row>
    <row r="4" spans="1:28" x14ac:dyDescent="0.3">
      <c r="A4" s="2"/>
      <c r="B4" s="2"/>
      <c r="C4" s="2"/>
      <c r="D4" s="2"/>
      <c r="E4" s="4" t="s">
        <v>246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" x14ac:dyDescent="0.4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 thickBot="1" x14ac:dyDescent="0.35"/>
    <row r="7" spans="1:28" ht="14.5" x14ac:dyDescent="0.35">
      <c r="A7" s="111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108" t="s">
        <v>247</v>
      </c>
      <c r="R7" s="109" t="s">
        <v>248</v>
      </c>
    </row>
    <row r="8" spans="1:28" ht="14.5" x14ac:dyDescent="0.35">
      <c r="A8" s="111"/>
      <c r="P8" s="92" t="s">
        <v>249</v>
      </c>
      <c r="Q8" s="100">
        <v>46052</v>
      </c>
      <c r="R8" s="110">
        <f ca="1">TODAY()-1</f>
        <v>46133</v>
      </c>
      <c r="U8" s="26"/>
      <c r="V8" s="26"/>
    </row>
    <row r="9" spans="1:28" ht="14.5" thickBot="1" x14ac:dyDescent="0.35">
      <c r="A9" s="111"/>
      <c r="R9" s="116"/>
      <c r="U9" s="26"/>
      <c r="V9" s="26"/>
    </row>
    <row r="10" spans="1:28" s="26" customFormat="1" ht="28.5" thickBot="1" x14ac:dyDescent="0.35">
      <c r="B10" s="131" t="s">
        <v>250</v>
      </c>
      <c r="C10" s="127" t="s">
        <v>251</v>
      </c>
      <c r="D10" s="118" t="s">
        <v>6</v>
      </c>
      <c r="E10" s="119" t="s">
        <v>7</v>
      </c>
      <c r="F10" s="118" t="s">
        <v>8</v>
      </c>
      <c r="G10" s="119" t="s">
        <v>9</v>
      </c>
      <c r="H10" s="118" t="s">
        <v>10</v>
      </c>
      <c r="I10" s="119" t="s">
        <v>11</v>
      </c>
      <c r="J10" s="118" t="s">
        <v>12</v>
      </c>
      <c r="K10" s="119" t="s">
        <v>13</v>
      </c>
      <c r="L10" s="118" t="s">
        <v>14</v>
      </c>
      <c r="M10" s="119" t="s">
        <v>252</v>
      </c>
      <c r="N10" s="119" t="s">
        <v>253</v>
      </c>
      <c r="O10" s="119" t="s">
        <v>254</v>
      </c>
      <c r="P10" s="119" t="s">
        <v>255</v>
      </c>
      <c r="Q10" s="119" t="s">
        <v>256</v>
      </c>
      <c r="R10" s="120" t="s">
        <v>257</v>
      </c>
    </row>
    <row r="11" spans="1:28" x14ac:dyDescent="0.3">
      <c r="B11" s="115" t="s">
        <v>37</v>
      </c>
      <c r="C11" s="128">
        <f ca="1">COUNTIFS(GERAL[Dia Útil],"SIM",GERAL[Equipe],PROD_EQUIPE!B11,GERAL[Dia],"&gt;=" &amp;PROD_EQUIPE!$Q$8,GERAL[Dia],"&lt;=" &amp;PROD_EQUIPE!$R$8)</f>
        <v>21</v>
      </c>
      <c r="D11" s="98">
        <f ca="1">SUMIFS(GERAL[LA],GERAL[Equipe],PROD_EQUIPE!B11,GERAL[Dia],"&gt;=" &amp;PROD_EQUIPE!$Q$8,GERAL[Dia],"&lt;=" &amp;PROD_EQUIPE!$R$8)</f>
        <v>70</v>
      </c>
      <c r="E11" s="98">
        <f ca="1">SUMIFS(GERAL[LE],GERAL[Equipe],PROD_EQUIPE!B11,GERAL[Dia],"&gt;=" &amp;PROD_EQUIPE!$Q$8,GERAL[Dia],"&lt;=" &amp;PROD_EQUIPE!$R$8)</f>
        <v>82</v>
      </c>
      <c r="F11" s="98">
        <f ca="1">SUMIFS(GERAL[PRA],GERAL[Equipe],PROD_EQUIPE!B11,GERAL[Dia],"&gt;=" &amp;PROD_EQUIPE!$Q$8,GERAL[Dia],"&lt;=" &amp;PROD_EQUIPE!$R$8)</f>
        <v>555.1</v>
      </c>
      <c r="G11" s="98">
        <f ca="1">SUMIFS(GERAL[PRE],GERAL[Equipe],PROD_EQUIPE!B11,GERAL[Dia],"&gt;=" &amp;PROD_EQUIPE!$Q$8,GERAL[Dia],"&lt;=" &amp;PROD_EQUIPE!$R$8)</f>
        <v>142</v>
      </c>
      <c r="H11" s="98">
        <f ca="1">SUMIFS(GERAL[PV''s],GERAL[Equipe],PROD_EQUIPE!B11,GERAL[Dia],"&gt;=" &amp;PROD_EQUIPE!$Q$8,GERAL[Dia],"&lt;=" &amp;PROD_EQUIPE!$R$8)</f>
        <v>7</v>
      </c>
      <c r="I11" s="98">
        <f ca="1">SUMIFS(GERAL[LIE],GERAL[Equipe],PROD_EQUIPE!B11,GERAL[Dia],"&gt;=" &amp;PROD_EQUIPE!$Q$8,GERAL[Dia],"&lt;=" &amp;PROD_EQUIPE!$R$8)</f>
        <v>9</v>
      </c>
      <c r="J11" s="98">
        <f ca="1">SUMIFS(GERAL[LIA],GERAL[Equipe],PROD_EQUIPE!B11,GERAL[Dia],"&gt;=" &amp;PROD_EQUIPE!$Q$8,GERAL[Dia],"&lt;=" &amp;PROD_EQUIPE!$R$8)</f>
        <v>97</v>
      </c>
      <c r="K11" s="98">
        <f ca="1">SUMIFS(GERAL[IHM],GERAL[Equipe],PROD_EQUIPE!B11,GERAL[Dia],"&gt;=" &amp;PROD_EQUIPE!$Q$8,GERAL[Dia],"&lt;=" &amp;PROD_EQUIPE!$R$8)</f>
        <v>59</v>
      </c>
      <c r="L11" s="98">
        <f ca="1">SUMIFS(GERAL[RHM],GERAL[Equipe],PROD_EQUIPE!B11,GERAL[Dia],"&gt;=" &amp;PROD_EQUIPE!$Q$8,GERAL[Dia],"&lt;=" &amp;PROD_EQUIPE!$R$8)</f>
        <v>0</v>
      </c>
      <c r="M11" s="99">
        <f ca="1">IFERROR(D11/C11,"")</f>
        <v>3.3333333333333335</v>
      </c>
      <c r="N11" s="99">
        <f ca="1">IFERROR(E11/C11,"")</f>
        <v>3.9047619047619047</v>
      </c>
      <c r="O11" s="99">
        <f ca="1">IFERROR(F11/C11,"")</f>
        <v>26.433333333333334</v>
      </c>
      <c r="P11" s="99">
        <f ca="1">IFERROR(G11/C11,"")</f>
        <v>6.7619047619047619</v>
      </c>
      <c r="Q11" s="99">
        <f ca="1">IFERROR(SUM(F11:G11)/C11,"")</f>
        <v>33.195238095238096</v>
      </c>
      <c r="R11" s="121">
        <f ca="1">IFERROR(SUM(D11:E11)/C11,"")</f>
        <v>7.2380952380952381</v>
      </c>
    </row>
    <row r="12" spans="1:28" x14ac:dyDescent="0.3">
      <c r="B12" s="115" t="s">
        <v>50</v>
      </c>
      <c r="C12" s="128">
        <f ca="1">COUNTIFS(GERAL[Dia Útil],"SIM",GERAL[Equipe],PROD_EQUIPE!B12,GERAL[Dia],"&gt;=" &amp;PROD_EQUIPE!$Q$8,GERAL[Dia],"&lt;=" &amp;PROD_EQUIPE!$R$8)</f>
        <v>18</v>
      </c>
      <c r="D12" s="98">
        <f ca="1">SUMIFS(GERAL[LA],GERAL[Equipe],PROD_EQUIPE!B12,GERAL[Dia],"&gt;=" &amp;PROD_EQUIPE!$Q$8,GERAL[Dia],"&lt;=" &amp;PROD_EQUIPE!$R$8)</f>
        <v>44</v>
      </c>
      <c r="E12" s="98">
        <f ca="1">SUMIFS(GERAL[LE],GERAL[Equipe],PROD_EQUIPE!B12,GERAL[Dia],"&gt;=" &amp;PROD_EQUIPE!$Q$8,GERAL[Dia],"&lt;=" &amp;PROD_EQUIPE!$R$8)</f>
        <v>0</v>
      </c>
      <c r="F12" s="98">
        <f ca="1">SUMIFS(GERAL[PRA],GERAL[Equipe],PROD_EQUIPE!B12,GERAL[Dia],"&gt;=" &amp;PROD_EQUIPE!$Q$8,GERAL[Dia],"&lt;=" &amp;PROD_EQUIPE!$R$8)</f>
        <v>400</v>
      </c>
      <c r="G12" s="98">
        <f ca="1">SUMIFS(GERAL[PRE],GERAL[Equipe],PROD_EQUIPE!B12,GERAL[Dia],"&gt;=" &amp;PROD_EQUIPE!$Q$8,GERAL[Dia],"&lt;=" &amp;PROD_EQUIPE!$R$8)</f>
        <v>103</v>
      </c>
      <c r="H12" s="98">
        <f ca="1">SUMIFS(GERAL[PV''s],GERAL[Equipe],PROD_EQUIPE!B12,GERAL[Dia],"&gt;=" &amp;PROD_EQUIPE!$Q$8,GERAL[Dia],"&lt;=" &amp;PROD_EQUIPE!$R$8)</f>
        <v>4</v>
      </c>
      <c r="I12" s="98">
        <f ca="1">SUMIFS(GERAL[LIE],GERAL[Equipe],PROD_EQUIPE!B12,GERAL[Dia],"&gt;=" &amp;PROD_EQUIPE!$Q$8,GERAL[Dia],"&lt;=" &amp;PROD_EQUIPE!$R$8)</f>
        <v>0</v>
      </c>
      <c r="J12" s="98">
        <f ca="1">SUMIFS(GERAL[LIA],GERAL[Equipe],PROD_EQUIPE!B12,GERAL[Dia],"&gt;=" &amp;PROD_EQUIPE!$Q$8,GERAL[Dia],"&lt;=" &amp;PROD_EQUIPE!$R$8)</f>
        <v>7</v>
      </c>
      <c r="K12" s="98">
        <f ca="1">SUMIFS(GERAL[IHM],GERAL[Equipe],PROD_EQUIPE!B12,GERAL[Dia],"&gt;=" &amp;PROD_EQUIPE!$Q$8,GERAL[Dia],"&lt;=" &amp;PROD_EQUIPE!$R$8)</f>
        <v>0</v>
      </c>
      <c r="L12" s="98">
        <f ca="1">SUMIFS(GERAL[RHM],GERAL[Equipe],PROD_EQUIPE!B12,GERAL[Dia],"&gt;=" &amp;PROD_EQUIPE!$Q$8,GERAL[Dia],"&lt;=" &amp;PROD_EQUIPE!$R$8)</f>
        <v>0</v>
      </c>
      <c r="M12" s="99">
        <f t="shared" ref="M12:M20" ca="1" si="0">IFERROR(D12/C12,"")</f>
        <v>2.4444444444444446</v>
      </c>
      <c r="N12" s="99">
        <f t="shared" ref="N12:N20" ca="1" si="1">IFERROR(E12/C12,"")</f>
        <v>0</v>
      </c>
      <c r="O12" s="99">
        <f t="shared" ref="O12:O20" ca="1" si="2">IFERROR(F12/C12,"")</f>
        <v>22.222222222222221</v>
      </c>
      <c r="P12" s="99">
        <f t="shared" ref="P12:P20" ca="1" si="3">IFERROR(G12/C12,"")</f>
        <v>5.7222222222222223</v>
      </c>
      <c r="Q12" s="99">
        <f t="shared" ref="Q12:Q20" ca="1" si="4">IFERROR(SUM(F12:G12)/C12,"")</f>
        <v>27.944444444444443</v>
      </c>
      <c r="R12" s="121">
        <f t="shared" ref="R12:R20" ca="1" si="5">IFERROR(SUM(D12:E12)/C12,"")</f>
        <v>2.4444444444444446</v>
      </c>
    </row>
    <row r="13" spans="1:28" x14ac:dyDescent="0.3">
      <c r="B13" s="115" t="s">
        <v>46</v>
      </c>
      <c r="C13" s="128">
        <f ca="1">COUNTIFS(GERAL[Dia Útil],"SIM",GERAL[Equipe],PROD_EQUIPE!B13,GERAL[Dia],"&gt;=" &amp;PROD_EQUIPE!$Q$8,GERAL[Dia],"&lt;=" &amp;PROD_EQUIPE!$R$8)</f>
        <v>23</v>
      </c>
      <c r="D13" s="98">
        <f ca="1">SUMIFS(GERAL[LA],GERAL[Equipe],PROD_EQUIPE!B13,GERAL[Dia],"&gt;=" &amp;PROD_EQUIPE!$Q$8,GERAL[Dia],"&lt;=" &amp;PROD_EQUIPE!$R$8)</f>
        <v>14</v>
      </c>
      <c r="E13" s="98">
        <f ca="1">SUMIFS(GERAL[LE],GERAL[Equipe],PROD_EQUIPE!B13,GERAL[Dia],"&gt;=" &amp;PROD_EQUIPE!$Q$8,GERAL[Dia],"&lt;=" &amp;PROD_EQUIPE!$R$8)</f>
        <v>40</v>
      </c>
      <c r="F13" s="98">
        <f ca="1">SUMIFS(GERAL[PRA],GERAL[Equipe],PROD_EQUIPE!B13,GERAL[Dia],"&gt;=" &amp;PROD_EQUIPE!$Q$8,GERAL[Dia],"&lt;=" &amp;PROD_EQUIPE!$R$8)</f>
        <v>121</v>
      </c>
      <c r="G13" s="98">
        <f ca="1">SUMIFS(GERAL[PRE],GERAL[Equipe],PROD_EQUIPE!B13,GERAL[Dia],"&gt;=" &amp;PROD_EQUIPE!$Q$8,GERAL[Dia],"&lt;=" &amp;PROD_EQUIPE!$R$8)</f>
        <v>172.4</v>
      </c>
      <c r="H13" s="98">
        <f ca="1">SUMIFS(GERAL[PV''s],GERAL[Equipe],PROD_EQUIPE!B13,GERAL[Dia],"&gt;=" &amp;PROD_EQUIPE!$Q$8,GERAL[Dia],"&lt;=" &amp;PROD_EQUIPE!$R$8)</f>
        <v>1</v>
      </c>
      <c r="I13" s="98">
        <f ca="1">SUMIFS(GERAL[LIE],GERAL[Equipe],PROD_EQUIPE!B13,GERAL[Dia],"&gt;=" &amp;PROD_EQUIPE!$Q$8,GERAL[Dia],"&lt;=" &amp;PROD_EQUIPE!$R$8)</f>
        <v>0</v>
      </c>
      <c r="J13" s="98">
        <f ca="1">SUMIFS(GERAL[LIA],GERAL[Equipe],PROD_EQUIPE!B13,GERAL[Dia],"&gt;=" &amp;PROD_EQUIPE!$Q$8,GERAL[Dia],"&lt;=" &amp;PROD_EQUIPE!$R$8)</f>
        <v>21</v>
      </c>
      <c r="K13" s="98">
        <f ca="1">SUMIFS(GERAL[IHM],GERAL[Equipe],PROD_EQUIPE!B13,GERAL[Dia],"&gt;=" &amp;PROD_EQUIPE!$Q$8,GERAL[Dia],"&lt;=" &amp;PROD_EQUIPE!$R$8)</f>
        <v>17</v>
      </c>
      <c r="L13" s="98">
        <f ca="1">SUMIFS(GERAL[RHM],GERAL[Equipe],PROD_EQUIPE!B13,GERAL[Dia],"&gt;=" &amp;PROD_EQUIPE!$Q$8,GERAL[Dia],"&lt;=" &amp;PROD_EQUIPE!$R$8)</f>
        <v>0</v>
      </c>
      <c r="M13" s="99">
        <f t="shared" ca="1" si="0"/>
        <v>0.60869565217391308</v>
      </c>
      <c r="N13" s="99">
        <f t="shared" ca="1" si="1"/>
        <v>1.7391304347826086</v>
      </c>
      <c r="O13" s="99">
        <f t="shared" ca="1" si="2"/>
        <v>5.2608695652173916</v>
      </c>
      <c r="P13" s="99">
        <f t="shared" ca="1" si="3"/>
        <v>7.4956521739130437</v>
      </c>
      <c r="Q13" s="99">
        <f t="shared" ca="1" si="4"/>
        <v>12.756521739130434</v>
      </c>
      <c r="R13" s="121">
        <f t="shared" ca="1" si="5"/>
        <v>2.347826086956522</v>
      </c>
    </row>
    <row r="14" spans="1:28" x14ac:dyDescent="0.3">
      <c r="B14" s="115" t="s">
        <v>48</v>
      </c>
      <c r="C14" s="128">
        <f ca="1">COUNTIFS(GERAL[Dia Útil],"SIM",GERAL[Equipe],PROD_EQUIPE!B14,GERAL[Dia],"&gt;=" &amp;PROD_EQUIPE!$Q$8,GERAL[Dia],"&lt;=" &amp;PROD_EQUIPE!$R$8)</f>
        <v>8</v>
      </c>
      <c r="D14" s="98">
        <f ca="1">SUMIFS(GERAL[LA],GERAL[Equipe],PROD_EQUIPE!B14,GERAL[Dia],"&gt;=" &amp;PROD_EQUIPE!$Q$8,GERAL[Dia],"&lt;=" &amp;PROD_EQUIPE!$R$8)</f>
        <v>0</v>
      </c>
      <c r="E14" s="98">
        <f ca="1">SUMIFS(GERAL[LE],GERAL[Equipe],PROD_EQUIPE!B14,GERAL[Dia],"&gt;=" &amp;PROD_EQUIPE!$Q$8,GERAL[Dia],"&lt;=" &amp;PROD_EQUIPE!$R$8)</f>
        <v>0</v>
      </c>
      <c r="F14" s="98">
        <f ca="1">SUMIFS(GERAL[PRA],GERAL[Equipe],PROD_EQUIPE!B14,GERAL[Dia],"&gt;=" &amp;PROD_EQUIPE!$Q$8,GERAL[Dia],"&lt;=" &amp;PROD_EQUIPE!$R$8)</f>
        <v>0</v>
      </c>
      <c r="G14" s="98">
        <f ca="1">SUMIFS(GERAL[PRE],GERAL[Equipe],PROD_EQUIPE!B14,GERAL[Dia],"&gt;=" &amp;PROD_EQUIPE!$Q$8,GERAL[Dia],"&lt;=" &amp;PROD_EQUIPE!$R$8)</f>
        <v>0</v>
      </c>
      <c r="H14" s="98">
        <f ca="1">SUMIFS(GERAL[PV''s],GERAL[Equipe],PROD_EQUIPE!B14,GERAL[Dia],"&gt;=" &amp;PROD_EQUIPE!$Q$8,GERAL[Dia],"&lt;=" &amp;PROD_EQUIPE!$R$8)</f>
        <v>0</v>
      </c>
      <c r="I14" s="98">
        <f ca="1">SUMIFS(GERAL[LIE],GERAL[Equipe],PROD_EQUIPE!B14,GERAL[Dia],"&gt;=" &amp;PROD_EQUIPE!$Q$8,GERAL[Dia],"&lt;=" &amp;PROD_EQUIPE!$R$8)</f>
        <v>0</v>
      </c>
      <c r="J14" s="98">
        <f ca="1">SUMIFS(GERAL[LIA],GERAL[Equipe],PROD_EQUIPE!B14,GERAL[Dia],"&gt;=" &amp;PROD_EQUIPE!$Q$8,GERAL[Dia],"&lt;=" &amp;PROD_EQUIPE!$R$8)</f>
        <v>42</v>
      </c>
      <c r="K14" s="98">
        <f ca="1">SUMIFS(GERAL[IHM],GERAL[Equipe],PROD_EQUIPE!B14,GERAL[Dia],"&gt;=" &amp;PROD_EQUIPE!$Q$8,GERAL[Dia],"&lt;=" &amp;PROD_EQUIPE!$R$8)</f>
        <v>0</v>
      </c>
      <c r="L14" s="98">
        <f ca="1">SUMIFS(GERAL[RHM],GERAL[Equipe],PROD_EQUIPE!B14,GERAL[Dia],"&gt;=" &amp;PROD_EQUIPE!$Q$8,GERAL[Dia],"&lt;=" &amp;PROD_EQUIPE!$R$8)</f>
        <v>0</v>
      </c>
      <c r="M14" s="99">
        <f t="shared" ca="1" si="0"/>
        <v>0</v>
      </c>
      <c r="N14" s="99">
        <f t="shared" ca="1" si="1"/>
        <v>0</v>
      </c>
      <c r="O14" s="99">
        <f t="shared" ca="1" si="2"/>
        <v>0</v>
      </c>
      <c r="P14" s="99">
        <f t="shared" ca="1" si="3"/>
        <v>0</v>
      </c>
      <c r="Q14" s="99">
        <f t="shared" ca="1" si="4"/>
        <v>0</v>
      </c>
      <c r="R14" s="121">
        <f t="shared" ca="1" si="5"/>
        <v>0</v>
      </c>
    </row>
    <row r="15" spans="1:28" x14ac:dyDescent="0.3">
      <c r="B15" s="115" t="s">
        <v>43</v>
      </c>
      <c r="C15" s="128">
        <f ca="1">COUNTIFS(GERAL[Dia Útil],"SIM",GERAL[Equipe],PROD_EQUIPE!B15,GERAL[Dia],"&gt;=" &amp;PROD_EQUIPE!$Q$8,GERAL[Dia],"&lt;=" &amp;PROD_EQUIPE!$R$8)</f>
        <v>29</v>
      </c>
      <c r="D15" s="98">
        <f ca="1">SUMIFS(GERAL[LA],GERAL[Equipe],PROD_EQUIPE!B15,GERAL[Dia],"&gt;=" &amp;PROD_EQUIPE!$Q$8,GERAL[Dia],"&lt;=" &amp;PROD_EQUIPE!$R$8)</f>
        <v>48</v>
      </c>
      <c r="E15" s="98">
        <f ca="1">SUMIFS(GERAL[LE],GERAL[Equipe],PROD_EQUIPE!B15,GERAL[Dia],"&gt;=" &amp;PROD_EQUIPE!$Q$8,GERAL[Dia],"&lt;=" &amp;PROD_EQUIPE!$R$8)</f>
        <v>18</v>
      </c>
      <c r="F15" s="98">
        <f ca="1">SUMIFS(GERAL[PRA],GERAL[Equipe],PROD_EQUIPE!B15,GERAL[Dia],"&gt;=" &amp;PROD_EQUIPE!$Q$8,GERAL[Dia],"&lt;=" &amp;PROD_EQUIPE!$R$8)</f>
        <v>268</v>
      </c>
      <c r="G15" s="98">
        <f ca="1">SUMIFS(GERAL[PRE],GERAL[Equipe],PROD_EQUIPE!B15,GERAL[Dia],"&gt;=" &amp;PROD_EQUIPE!$Q$8,GERAL[Dia],"&lt;=" &amp;PROD_EQUIPE!$R$8)</f>
        <v>27</v>
      </c>
      <c r="H15" s="98">
        <f ca="1">SUMIFS(GERAL[PV''s],GERAL[Equipe],PROD_EQUIPE!B15,GERAL[Dia],"&gt;=" &amp;PROD_EQUIPE!$Q$8,GERAL[Dia],"&lt;=" &amp;PROD_EQUIPE!$R$8)</f>
        <v>0</v>
      </c>
      <c r="I15" s="98">
        <f ca="1">SUMIFS(GERAL[LIE],GERAL[Equipe],PROD_EQUIPE!B15,GERAL[Dia],"&gt;=" &amp;PROD_EQUIPE!$Q$8,GERAL[Dia],"&lt;=" &amp;PROD_EQUIPE!$R$8)</f>
        <v>2</v>
      </c>
      <c r="J15" s="98">
        <f ca="1">SUMIFS(GERAL[LIA],GERAL[Equipe],PROD_EQUIPE!B15,GERAL[Dia],"&gt;=" &amp;PROD_EQUIPE!$Q$8,GERAL[Dia],"&lt;=" &amp;PROD_EQUIPE!$R$8)</f>
        <v>32</v>
      </c>
      <c r="K15" s="98">
        <f ca="1">SUMIFS(GERAL[IHM],GERAL[Equipe],PROD_EQUIPE!B15,GERAL[Dia],"&gt;=" &amp;PROD_EQUIPE!$Q$8,GERAL[Dia],"&lt;=" &amp;PROD_EQUIPE!$R$8)</f>
        <v>31</v>
      </c>
      <c r="L15" s="98">
        <f ca="1">SUMIFS(GERAL[RHM],GERAL[Equipe],PROD_EQUIPE!B15,GERAL[Dia],"&gt;=" &amp;PROD_EQUIPE!$Q$8,GERAL[Dia],"&lt;=" &amp;PROD_EQUIPE!$R$8)</f>
        <v>0</v>
      </c>
      <c r="M15" s="99">
        <f t="shared" ca="1" si="0"/>
        <v>1.6551724137931034</v>
      </c>
      <c r="N15" s="99">
        <f t="shared" ca="1" si="1"/>
        <v>0.62068965517241381</v>
      </c>
      <c r="O15" s="99">
        <f t="shared" ca="1" si="2"/>
        <v>9.2413793103448274</v>
      </c>
      <c r="P15" s="99">
        <f t="shared" ca="1" si="3"/>
        <v>0.93103448275862066</v>
      </c>
      <c r="Q15" s="99">
        <f t="shared" ca="1" si="4"/>
        <v>10.172413793103448</v>
      </c>
      <c r="R15" s="121">
        <f t="shared" ca="1" si="5"/>
        <v>2.2758620689655173</v>
      </c>
    </row>
    <row r="16" spans="1:28" x14ac:dyDescent="0.3">
      <c r="B16" s="115" t="s">
        <v>258</v>
      </c>
      <c r="C16" s="128">
        <f ca="1">COUNTIFS(GERAL[Dia Útil],"SIM",GERAL[Equipe],PROD_EQUIPE!B16,GERAL[Dia],"&gt;=" &amp;PROD_EQUIPE!$Q$8,GERAL[Dia],"&lt;=" &amp;PROD_EQUIPE!$R$8)</f>
        <v>0</v>
      </c>
      <c r="D16" s="98">
        <f ca="1">SUMIFS(GERAL[LA],GERAL[Equipe],PROD_EQUIPE!B16,GERAL[Dia],"&gt;=" &amp;PROD_EQUIPE!$Q$8,GERAL[Dia],"&lt;=" &amp;PROD_EQUIPE!$R$8)</f>
        <v>0</v>
      </c>
      <c r="E16" s="98">
        <f ca="1">SUMIFS(GERAL[LE],GERAL[Equipe],PROD_EQUIPE!B16,GERAL[Dia],"&gt;=" &amp;PROD_EQUIPE!$Q$8,GERAL[Dia],"&lt;=" &amp;PROD_EQUIPE!$R$8)</f>
        <v>0</v>
      </c>
      <c r="F16" s="98">
        <f ca="1">SUMIFS(GERAL[PRA],GERAL[Equipe],PROD_EQUIPE!B16,GERAL[Dia],"&gt;=" &amp;PROD_EQUIPE!$Q$8,GERAL[Dia],"&lt;=" &amp;PROD_EQUIPE!$R$8)</f>
        <v>0</v>
      </c>
      <c r="G16" s="98">
        <f ca="1">SUMIFS(GERAL[PRE],GERAL[Equipe],PROD_EQUIPE!B16,GERAL[Dia],"&gt;=" &amp;PROD_EQUIPE!$Q$8,GERAL[Dia],"&lt;=" &amp;PROD_EQUIPE!$R$8)</f>
        <v>0</v>
      </c>
      <c r="H16" s="98">
        <f ca="1">SUMIFS(GERAL[PV''s],GERAL[Equipe],PROD_EQUIPE!B16,GERAL[Dia],"&gt;=" &amp;PROD_EQUIPE!$Q$8,GERAL[Dia],"&lt;=" &amp;PROD_EQUIPE!$R$8)</f>
        <v>0</v>
      </c>
      <c r="I16" s="98">
        <f ca="1">SUMIFS(GERAL[LIE],GERAL[Equipe],PROD_EQUIPE!B16,GERAL[Dia],"&gt;=" &amp;PROD_EQUIPE!$Q$8,GERAL[Dia],"&lt;=" &amp;PROD_EQUIPE!$R$8)</f>
        <v>0</v>
      </c>
      <c r="J16" s="98">
        <f ca="1">SUMIFS(GERAL[LIA],GERAL[Equipe],PROD_EQUIPE!B16,GERAL[Dia],"&gt;=" &amp;PROD_EQUIPE!$Q$8,GERAL[Dia],"&lt;=" &amp;PROD_EQUIPE!$R$8)</f>
        <v>0</v>
      </c>
      <c r="K16" s="98">
        <f ca="1">SUMIFS(GERAL[IHM],GERAL[Equipe],PROD_EQUIPE!B16,GERAL[Dia],"&gt;=" &amp;PROD_EQUIPE!$Q$8,GERAL[Dia],"&lt;=" &amp;PROD_EQUIPE!$R$8)</f>
        <v>0</v>
      </c>
      <c r="L16" s="98">
        <f ca="1">SUMIFS(GERAL[RHM],GERAL[Equipe],PROD_EQUIPE!B16,GERAL[Dia],"&gt;=" &amp;PROD_EQUIPE!$Q$8,GERAL[Dia],"&lt;=" &amp;PROD_EQUIPE!$R$8)</f>
        <v>0</v>
      </c>
      <c r="M16" s="99" t="str">
        <f t="shared" ca="1" si="0"/>
        <v/>
      </c>
      <c r="N16" s="99" t="str">
        <f t="shared" ca="1" si="1"/>
        <v/>
      </c>
      <c r="O16" s="99" t="str">
        <f t="shared" ca="1" si="2"/>
        <v/>
      </c>
      <c r="P16" s="99" t="str">
        <f t="shared" ca="1" si="3"/>
        <v/>
      </c>
      <c r="Q16" s="99" t="str">
        <f t="shared" ca="1" si="4"/>
        <v/>
      </c>
      <c r="R16" s="121" t="str">
        <f t="shared" ca="1" si="5"/>
        <v/>
      </c>
    </row>
    <row r="17" spans="3:18" x14ac:dyDescent="0.3">
      <c r="C17" s="128">
        <f ca="1">COUNTIFS(GERAL[Dia Útil],"SIM",GERAL[Equipe],PROD_EQUIPE!B17,GERAL[Dia],"&gt;=" &amp;PROD_EQUIPE!$Q$8,GERAL[Dia],"&lt;=" &amp;PROD_EQUIPE!$R$8)</f>
        <v>0</v>
      </c>
      <c r="D17" s="98">
        <f ca="1">SUMIFS(GERAL[LA],GERAL[Equipe],PROD_EQUIPE!B17,GERAL[Dia],"&gt;=" &amp;PROD_EQUIPE!$Q$8,GERAL[Dia],"&lt;=" &amp;PROD_EQUIPE!$R$8)</f>
        <v>0</v>
      </c>
      <c r="E17" s="98">
        <f ca="1">SUMIFS(GERAL[LE],GERAL[Equipe],PROD_EQUIPE!B17,GERAL[Dia],"&gt;=" &amp;PROD_EQUIPE!$Q$8,GERAL[Dia],"&lt;=" &amp;PROD_EQUIPE!$R$8)</f>
        <v>0</v>
      </c>
      <c r="F17" s="98">
        <f ca="1">SUMIFS(GERAL[PRA],GERAL[Equipe],PROD_EQUIPE!B17,GERAL[Dia],"&gt;=" &amp;PROD_EQUIPE!$Q$8,GERAL[Dia],"&lt;=" &amp;PROD_EQUIPE!$R$8)</f>
        <v>0</v>
      </c>
      <c r="G17" s="98">
        <f ca="1">SUMIFS(GERAL[PRE],GERAL[Equipe],PROD_EQUIPE!B17,GERAL[Dia],"&gt;=" &amp;PROD_EQUIPE!$Q$8,GERAL[Dia],"&lt;=" &amp;PROD_EQUIPE!$R$8)</f>
        <v>0</v>
      </c>
      <c r="H17" s="98">
        <f ca="1">SUMIFS(GERAL[PV''s],GERAL[Equipe],PROD_EQUIPE!B17,GERAL[Dia],"&gt;=" &amp;PROD_EQUIPE!$Q$8,GERAL[Dia],"&lt;=" &amp;PROD_EQUIPE!$R$8)</f>
        <v>0</v>
      </c>
      <c r="I17" s="98">
        <f ca="1">SUMIFS(GERAL[LIE],GERAL[Equipe],PROD_EQUIPE!B17,GERAL[Dia],"&gt;=" &amp;PROD_EQUIPE!$Q$8,GERAL[Dia],"&lt;=" &amp;PROD_EQUIPE!$R$8)</f>
        <v>0</v>
      </c>
      <c r="J17" s="98">
        <f ca="1">SUMIFS(GERAL[LIA],GERAL[Equipe],PROD_EQUIPE!B17,GERAL[Dia],"&gt;=" &amp;PROD_EQUIPE!$Q$8,GERAL[Dia],"&lt;=" &amp;PROD_EQUIPE!$R$8)</f>
        <v>0</v>
      </c>
      <c r="K17" s="98">
        <f ca="1">SUMIFS(GERAL[IHM],GERAL[Equipe],PROD_EQUIPE!B17,GERAL[Dia],"&gt;=" &amp;PROD_EQUIPE!$Q$8,GERAL[Dia],"&lt;=" &amp;PROD_EQUIPE!$R$8)</f>
        <v>0</v>
      </c>
      <c r="L17" s="98">
        <f ca="1">SUMIFS(GERAL[RHM],GERAL[Equipe],PROD_EQUIPE!B17,GERAL[Dia],"&gt;=" &amp;PROD_EQUIPE!$Q$8,GERAL[Dia],"&lt;=" &amp;PROD_EQUIPE!$R$8)</f>
        <v>0</v>
      </c>
      <c r="M17" s="99" t="str">
        <f t="shared" ca="1" si="0"/>
        <v/>
      </c>
      <c r="N17" s="99" t="str">
        <f t="shared" ca="1" si="1"/>
        <v/>
      </c>
      <c r="O17" s="99" t="str">
        <f t="shared" ca="1" si="2"/>
        <v/>
      </c>
      <c r="P17" s="99" t="str">
        <f t="shared" ca="1" si="3"/>
        <v/>
      </c>
      <c r="Q17" s="99" t="str">
        <f t="shared" ca="1" si="4"/>
        <v/>
      </c>
      <c r="R17" s="121" t="str">
        <f t="shared" ca="1" si="5"/>
        <v/>
      </c>
    </row>
    <row r="18" spans="3:18" x14ac:dyDescent="0.3">
      <c r="C18" s="128">
        <f ca="1">COUNTIFS(GERAL[Dia Útil],"SIM",GERAL[Equipe],PROD_EQUIPE!B18,GERAL[Dia],"&gt;=" &amp;PROD_EQUIPE!$Q$8,GERAL[Dia],"&lt;=" &amp;PROD_EQUIPE!$R$8)</f>
        <v>0</v>
      </c>
      <c r="D18" s="98">
        <f ca="1">SUMIFS(GERAL[LA],GERAL[Equipe],PROD_EQUIPE!B18,GERAL[Dia],"&gt;=" &amp;PROD_EQUIPE!$Q$8,GERAL[Dia],"&lt;=" &amp;PROD_EQUIPE!$R$8)</f>
        <v>0</v>
      </c>
      <c r="E18" s="98">
        <f ca="1">SUMIFS(GERAL[LE],GERAL[Equipe],PROD_EQUIPE!B18,GERAL[Dia],"&gt;=" &amp;PROD_EQUIPE!$Q$8,GERAL[Dia],"&lt;=" &amp;PROD_EQUIPE!$R$8)</f>
        <v>0</v>
      </c>
      <c r="F18" s="98">
        <f ca="1">SUMIFS(GERAL[PRA],GERAL[Equipe],PROD_EQUIPE!B18,GERAL[Dia],"&gt;=" &amp;PROD_EQUIPE!$Q$8,GERAL[Dia],"&lt;=" &amp;PROD_EQUIPE!$R$8)</f>
        <v>0</v>
      </c>
      <c r="G18" s="98">
        <f ca="1">SUMIFS(GERAL[PRE],GERAL[Equipe],PROD_EQUIPE!B18,GERAL[Dia],"&gt;=" &amp;PROD_EQUIPE!$Q$8,GERAL[Dia],"&lt;=" &amp;PROD_EQUIPE!$R$8)</f>
        <v>0</v>
      </c>
      <c r="H18" s="98">
        <f ca="1">SUMIFS(GERAL[PV''s],GERAL[Equipe],PROD_EQUIPE!B18,GERAL[Dia],"&gt;=" &amp;PROD_EQUIPE!$Q$8,GERAL[Dia],"&lt;=" &amp;PROD_EQUIPE!$R$8)</f>
        <v>0</v>
      </c>
      <c r="I18" s="98">
        <f ca="1">SUMIFS(GERAL[LIE],GERAL[Equipe],PROD_EQUIPE!B18,GERAL[Dia],"&gt;=" &amp;PROD_EQUIPE!$Q$8,GERAL[Dia],"&lt;=" &amp;PROD_EQUIPE!$R$8)</f>
        <v>0</v>
      </c>
      <c r="J18" s="98">
        <f ca="1">SUMIFS(GERAL[LIA],GERAL[Equipe],PROD_EQUIPE!B18,GERAL[Dia],"&gt;=" &amp;PROD_EQUIPE!$Q$8,GERAL[Dia],"&lt;=" &amp;PROD_EQUIPE!$R$8)</f>
        <v>0</v>
      </c>
      <c r="K18" s="98">
        <f ca="1">SUMIFS(GERAL[IHM],GERAL[Equipe],PROD_EQUIPE!B18,GERAL[Dia],"&gt;=" &amp;PROD_EQUIPE!$Q$8,GERAL[Dia],"&lt;=" &amp;PROD_EQUIPE!$R$8)</f>
        <v>0</v>
      </c>
      <c r="L18" s="98">
        <f ca="1">SUMIFS(GERAL[RHM],GERAL[Equipe],PROD_EQUIPE!B18,GERAL[Dia],"&gt;=" &amp;PROD_EQUIPE!$Q$8,GERAL[Dia],"&lt;=" &amp;PROD_EQUIPE!$R$8)</f>
        <v>0</v>
      </c>
      <c r="M18" s="99" t="str">
        <f t="shared" ca="1" si="0"/>
        <v/>
      </c>
      <c r="N18" s="99" t="str">
        <f t="shared" ca="1" si="1"/>
        <v/>
      </c>
      <c r="O18" s="99" t="str">
        <f t="shared" ca="1" si="2"/>
        <v/>
      </c>
      <c r="P18" s="99" t="str">
        <f t="shared" ca="1" si="3"/>
        <v/>
      </c>
      <c r="Q18" s="99" t="str">
        <f t="shared" ca="1" si="4"/>
        <v/>
      </c>
      <c r="R18" s="121" t="str">
        <f t="shared" ca="1" si="5"/>
        <v/>
      </c>
    </row>
    <row r="19" spans="3:18" x14ac:dyDescent="0.3">
      <c r="C19" s="128">
        <f ca="1">COUNTIFS(GERAL[Dia Útil],"SIM",GERAL[Equipe],PROD_EQUIPE!B19,GERAL[Dia],"&gt;=" &amp;PROD_EQUIPE!$Q$8,GERAL[Dia],"&lt;=" &amp;PROD_EQUIPE!$R$8)</f>
        <v>0</v>
      </c>
      <c r="D19" s="98">
        <f ca="1">SUMIFS(GERAL[LA],GERAL[Equipe],PROD_EQUIPE!B19,GERAL[Dia],"&gt;=" &amp;PROD_EQUIPE!$Q$8,GERAL[Dia],"&lt;=" &amp;PROD_EQUIPE!$R$8)</f>
        <v>0</v>
      </c>
      <c r="E19" s="98">
        <f ca="1">SUMIFS(GERAL[LE],GERAL[Equipe],PROD_EQUIPE!B19,GERAL[Dia],"&gt;=" &amp;PROD_EQUIPE!$Q$8,GERAL[Dia],"&lt;=" &amp;PROD_EQUIPE!$R$8)</f>
        <v>0</v>
      </c>
      <c r="F19" s="98">
        <f ca="1">SUMIFS(GERAL[PRA],GERAL[Equipe],PROD_EQUIPE!B19,GERAL[Dia],"&gt;=" &amp;PROD_EQUIPE!$Q$8,GERAL[Dia],"&lt;=" &amp;PROD_EQUIPE!$R$8)</f>
        <v>0</v>
      </c>
      <c r="G19" s="98">
        <f ca="1">SUMIFS(GERAL[PRE],GERAL[Equipe],PROD_EQUIPE!B19,GERAL[Dia],"&gt;=" &amp;PROD_EQUIPE!$Q$8,GERAL[Dia],"&lt;=" &amp;PROD_EQUIPE!$R$8)</f>
        <v>0</v>
      </c>
      <c r="H19" s="98">
        <f ca="1">SUMIFS(GERAL[PV''s],GERAL[Equipe],PROD_EQUIPE!B19,GERAL[Dia],"&gt;=" &amp;PROD_EQUIPE!$Q$8,GERAL[Dia],"&lt;=" &amp;PROD_EQUIPE!$R$8)</f>
        <v>0</v>
      </c>
      <c r="I19" s="98">
        <f ca="1">SUMIFS(GERAL[LIE],GERAL[Equipe],PROD_EQUIPE!B19,GERAL[Dia],"&gt;=" &amp;PROD_EQUIPE!$Q$8,GERAL[Dia],"&lt;=" &amp;PROD_EQUIPE!$R$8)</f>
        <v>0</v>
      </c>
      <c r="J19" s="98">
        <f ca="1">SUMIFS(GERAL[LIA],GERAL[Equipe],PROD_EQUIPE!B19,GERAL[Dia],"&gt;=" &amp;PROD_EQUIPE!$Q$8,GERAL[Dia],"&lt;=" &amp;PROD_EQUIPE!$R$8)</f>
        <v>0</v>
      </c>
      <c r="K19" s="98">
        <f ca="1">SUMIFS(GERAL[IHM],GERAL[Equipe],PROD_EQUIPE!B19,GERAL[Dia],"&gt;=" &amp;PROD_EQUIPE!$Q$8,GERAL[Dia],"&lt;=" &amp;PROD_EQUIPE!$R$8)</f>
        <v>0</v>
      </c>
      <c r="L19" s="98">
        <f ca="1">SUMIFS(GERAL[RHM],GERAL[Equipe],PROD_EQUIPE!B19,GERAL[Dia],"&gt;=" &amp;PROD_EQUIPE!$Q$8,GERAL[Dia],"&lt;=" &amp;PROD_EQUIPE!$R$8)</f>
        <v>0</v>
      </c>
      <c r="M19" s="99" t="str">
        <f t="shared" ca="1" si="0"/>
        <v/>
      </c>
      <c r="N19" s="99" t="str">
        <f t="shared" ca="1" si="1"/>
        <v/>
      </c>
      <c r="O19" s="99" t="str">
        <f t="shared" ca="1" si="2"/>
        <v/>
      </c>
      <c r="P19" s="99" t="str">
        <f t="shared" ca="1" si="3"/>
        <v/>
      </c>
      <c r="Q19" s="99" t="str">
        <f t="shared" ca="1" si="4"/>
        <v/>
      </c>
      <c r="R19" s="121" t="str">
        <f t="shared" ca="1" si="5"/>
        <v/>
      </c>
    </row>
    <row r="20" spans="3:18" x14ac:dyDescent="0.3">
      <c r="C20" s="128">
        <f ca="1">COUNTIFS(GERAL[Dia Útil],"SIM",GERAL[Equipe],PROD_EQUIPE!B20,GERAL[Dia],"&gt;=" &amp;PROD_EQUIPE!$Q$8,GERAL[Dia],"&lt;=" &amp;PROD_EQUIPE!$R$8)</f>
        <v>0</v>
      </c>
      <c r="D20" s="98">
        <f ca="1">SUMIFS(GERAL[LA],GERAL[Equipe],PROD_EQUIPE!B20,GERAL[Dia],"&gt;=" &amp;PROD_EQUIPE!$Q$8,GERAL[Dia],"&lt;=" &amp;PROD_EQUIPE!$R$8)</f>
        <v>0</v>
      </c>
      <c r="E20" s="98">
        <f ca="1">SUMIFS(GERAL[LE],GERAL[Equipe],PROD_EQUIPE!B20,GERAL[Dia],"&gt;=" &amp;PROD_EQUIPE!$Q$8,GERAL[Dia],"&lt;=" &amp;PROD_EQUIPE!$R$8)</f>
        <v>0</v>
      </c>
      <c r="F20" s="98">
        <f ca="1">SUMIFS(GERAL[PRA],GERAL[Equipe],PROD_EQUIPE!B20,GERAL[Dia],"&gt;=" &amp;PROD_EQUIPE!$Q$8,GERAL[Dia],"&lt;=" &amp;PROD_EQUIPE!$R$8)</f>
        <v>0</v>
      </c>
      <c r="G20" s="98">
        <f ca="1">SUMIFS(GERAL[PRE],GERAL[Equipe],PROD_EQUIPE!B20,GERAL[Dia],"&gt;=" &amp;PROD_EQUIPE!$Q$8,GERAL[Dia],"&lt;=" &amp;PROD_EQUIPE!$R$8)</f>
        <v>0</v>
      </c>
      <c r="H20" s="98">
        <f ca="1">SUMIFS(GERAL[PV''s],GERAL[Equipe],PROD_EQUIPE!B20,GERAL[Dia],"&gt;=" &amp;PROD_EQUIPE!$Q$8,GERAL[Dia],"&lt;=" &amp;PROD_EQUIPE!$R$8)</f>
        <v>0</v>
      </c>
      <c r="I20" s="98">
        <f ca="1">SUMIFS(GERAL[LIE],GERAL[Equipe],PROD_EQUIPE!B20,GERAL[Dia],"&gt;=" &amp;PROD_EQUIPE!$Q$8,GERAL[Dia],"&lt;=" &amp;PROD_EQUIPE!$R$8)</f>
        <v>0</v>
      </c>
      <c r="J20" s="98">
        <f ca="1">SUMIFS(GERAL[LIA],GERAL[Equipe],PROD_EQUIPE!B20,GERAL[Dia],"&gt;=" &amp;PROD_EQUIPE!$Q$8,GERAL[Dia],"&lt;=" &amp;PROD_EQUIPE!$R$8)</f>
        <v>0</v>
      </c>
      <c r="K20" s="98">
        <f ca="1">SUMIFS(GERAL[IHM],GERAL[Equipe],PROD_EQUIPE!B20,GERAL[Dia],"&gt;=" &amp;PROD_EQUIPE!$Q$8,GERAL[Dia],"&lt;=" &amp;PROD_EQUIPE!$R$8)</f>
        <v>0</v>
      </c>
      <c r="L20" s="98">
        <f ca="1">SUMIFS(GERAL[RHM],GERAL[Equipe],PROD_EQUIPE!B20,GERAL[Dia],"&gt;=" &amp;PROD_EQUIPE!$Q$8,GERAL[Dia],"&lt;=" &amp;PROD_EQUIPE!$R$8)</f>
        <v>0</v>
      </c>
      <c r="M20" s="99" t="str">
        <f t="shared" ca="1" si="0"/>
        <v/>
      </c>
      <c r="N20" s="99" t="str">
        <f t="shared" ca="1" si="1"/>
        <v/>
      </c>
      <c r="O20" s="99" t="str">
        <f t="shared" ca="1" si="2"/>
        <v/>
      </c>
      <c r="P20" s="99" t="str">
        <f t="shared" ca="1" si="3"/>
        <v/>
      </c>
      <c r="Q20" s="99" t="str">
        <f t="shared" ca="1" si="4"/>
        <v/>
      </c>
      <c r="R20" s="121" t="str">
        <f t="shared" ca="1" si="5"/>
        <v/>
      </c>
    </row>
    <row r="21" spans="3:18" x14ac:dyDescent="0.3">
      <c r="C21" s="128">
        <f ca="1">COUNTIFS(GERAL[Dia Útil],"SIM",GERAL[Equipe],PROD_EQUIPE!B21,GERAL[Dia],"&gt;=" &amp;PROD_EQUIPE!$Q$8,GERAL[Dia],"&lt;=" &amp;PROD_EQUIPE!$R$8)</f>
        <v>0</v>
      </c>
      <c r="D21" s="98">
        <f ca="1">SUMIFS(GERAL[LA],GERAL[Equipe],PROD_EQUIPE!B21,GERAL[Dia],"&gt;=" &amp;PROD_EQUIPE!$Q$8,GERAL[Dia],"&lt;=" &amp;PROD_EQUIPE!$R$8)</f>
        <v>0</v>
      </c>
      <c r="E21" s="98">
        <f ca="1">SUMIFS(GERAL[LE],GERAL[Equipe],PROD_EQUIPE!B21,GERAL[Dia],"&gt;=" &amp;PROD_EQUIPE!$Q$8,GERAL[Dia],"&lt;=" &amp;PROD_EQUIPE!$R$8)</f>
        <v>0</v>
      </c>
      <c r="F21" s="98">
        <f ca="1">SUMIFS(GERAL[PRA],GERAL[Equipe],PROD_EQUIPE!B21,GERAL[Dia],"&gt;=" &amp;PROD_EQUIPE!$Q$8,GERAL[Dia],"&lt;=" &amp;PROD_EQUIPE!$R$8)</f>
        <v>0</v>
      </c>
      <c r="G21" s="98">
        <f ca="1">SUMIFS(GERAL[PRE],GERAL[Equipe],PROD_EQUIPE!B21,GERAL[Dia],"&gt;=" &amp;PROD_EQUIPE!$Q$8,GERAL[Dia],"&lt;=" &amp;PROD_EQUIPE!$R$8)</f>
        <v>0</v>
      </c>
      <c r="H21" s="98">
        <f ca="1">SUMIFS(GERAL[PV''s],GERAL[Equipe],PROD_EQUIPE!B21,GERAL[Dia],"&gt;=" &amp;PROD_EQUIPE!$Q$8,GERAL[Dia],"&lt;=" &amp;PROD_EQUIPE!$R$8)</f>
        <v>0</v>
      </c>
      <c r="I21" s="98">
        <f ca="1">SUMIFS(GERAL[LIE],GERAL[Equipe],PROD_EQUIPE!B21,GERAL[Dia],"&gt;=" &amp;PROD_EQUIPE!$Q$8,GERAL[Dia],"&lt;=" &amp;PROD_EQUIPE!$R$8)</f>
        <v>0</v>
      </c>
      <c r="J21" s="98">
        <f ca="1">SUMIFS(GERAL[LIA],GERAL[Equipe],PROD_EQUIPE!B21,GERAL[Dia],"&gt;=" &amp;PROD_EQUIPE!$Q$8,GERAL[Dia],"&lt;=" &amp;PROD_EQUIPE!$R$8)</f>
        <v>0</v>
      </c>
      <c r="K21" s="98">
        <f ca="1">SUMIFS(GERAL[IHM],GERAL[Equipe],PROD_EQUIPE!B21,GERAL[Dia],"&gt;=" &amp;PROD_EQUIPE!$Q$8,GERAL[Dia],"&lt;=" &amp;PROD_EQUIPE!$R$8)</f>
        <v>0</v>
      </c>
      <c r="L21" s="98">
        <f ca="1">SUMIFS(GERAL[RHM],GERAL[Equipe],PROD_EQUIPE!B21,GERAL[Dia],"&gt;=" &amp;PROD_EQUIPE!$Q$8,GERAL[Dia],"&lt;=" &amp;PROD_EQUIPE!$R$8)</f>
        <v>0</v>
      </c>
      <c r="M21" s="99" t="str">
        <f t="shared" ref="M21:M31" ca="1" si="6">IFERROR(D21/C21,"")</f>
        <v/>
      </c>
      <c r="N21" s="99" t="str">
        <f t="shared" ref="N21:N31" ca="1" si="7">IFERROR(E21/C21,"")</f>
        <v/>
      </c>
      <c r="O21" s="99" t="str">
        <f t="shared" ref="O21:O31" ca="1" si="8">IFERROR(F21/C21,"")</f>
        <v/>
      </c>
      <c r="P21" s="99" t="str">
        <f t="shared" ref="P21:P31" ca="1" si="9">IFERROR(G21/C21,"")</f>
        <v/>
      </c>
      <c r="Q21" s="99" t="str">
        <f t="shared" ref="Q21:Q31" ca="1" si="10">IFERROR(SUM(F21:G21)/C21,"")</f>
        <v/>
      </c>
      <c r="R21" s="121" t="str">
        <f t="shared" ref="R21:R31" ca="1" si="11">IFERROR(SUM(D21:E21)/C21,"")</f>
        <v/>
      </c>
    </row>
    <row r="22" spans="3:18" x14ac:dyDescent="0.3">
      <c r="C22" s="128">
        <f ca="1">COUNTIFS(GERAL[Dia Útil],"SIM",GERAL[Equipe],PROD_EQUIPE!B22,GERAL[Dia],"&gt;=" &amp;PROD_EQUIPE!$Q$8,GERAL[Dia],"&lt;=" &amp;PROD_EQUIPE!$R$8)</f>
        <v>0</v>
      </c>
      <c r="D22" s="98">
        <f ca="1">SUMIFS(GERAL[LA],GERAL[Equipe],PROD_EQUIPE!B22,GERAL[Dia],"&gt;=" &amp;PROD_EQUIPE!$Q$8,GERAL[Dia],"&lt;=" &amp;PROD_EQUIPE!$R$8)</f>
        <v>0</v>
      </c>
      <c r="E22" s="98">
        <f ca="1">SUMIFS(GERAL[LE],GERAL[Equipe],PROD_EQUIPE!B22,GERAL[Dia],"&gt;=" &amp;PROD_EQUIPE!$Q$8,GERAL[Dia],"&lt;=" &amp;PROD_EQUIPE!$R$8)</f>
        <v>0</v>
      </c>
      <c r="F22" s="98">
        <f ca="1">SUMIFS(GERAL[PRA],GERAL[Equipe],PROD_EQUIPE!B22,GERAL[Dia],"&gt;=" &amp;PROD_EQUIPE!$Q$8,GERAL[Dia],"&lt;=" &amp;PROD_EQUIPE!$R$8)</f>
        <v>0</v>
      </c>
      <c r="G22" s="98">
        <f ca="1">SUMIFS(GERAL[PRE],GERAL[Equipe],PROD_EQUIPE!B22,GERAL[Dia],"&gt;=" &amp;PROD_EQUIPE!$Q$8,GERAL[Dia],"&lt;=" &amp;PROD_EQUIPE!$R$8)</f>
        <v>0</v>
      </c>
      <c r="H22" s="98">
        <f ca="1">SUMIFS(GERAL[PV''s],GERAL[Equipe],PROD_EQUIPE!B22,GERAL[Dia],"&gt;=" &amp;PROD_EQUIPE!$Q$8,GERAL[Dia],"&lt;=" &amp;PROD_EQUIPE!$R$8)</f>
        <v>0</v>
      </c>
      <c r="I22" s="98">
        <f ca="1">SUMIFS(GERAL[LIE],GERAL[Equipe],PROD_EQUIPE!B22,GERAL[Dia],"&gt;=" &amp;PROD_EQUIPE!$Q$8,GERAL[Dia],"&lt;=" &amp;PROD_EQUIPE!$R$8)</f>
        <v>0</v>
      </c>
      <c r="J22" s="98">
        <f ca="1">SUMIFS(GERAL[LIA],GERAL[Equipe],PROD_EQUIPE!B22,GERAL[Dia],"&gt;=" &amp;PROD_EQUIPE!$Q$8,GERAL[Dia],"&lt;=" &amp;PROD_EQUIPE!$R$8)</f>
        <v>0</v>
      </c>
      <c r="K22" s="98">
        <f ca="1">SUMIFS(GERAL[IHM],GERAL[Equipe],PROD_EQUIPE!B22,GERAL[Dia],"&gt;=" &amp;PROD_EQUIPE!$Q$8,GERAL[Dia],"&lt;=" &amp;PROD_EQUIPE!$R$8)</f>
        <v>0</v>
      </c>
      <c r="L22" s="98">
        <f ca="1">SUMIFS(GERAL[RHM],GERAL[Equipe],PROD_EQUIPE!B22,GERAL[Dia],"&gt;=" &amp;PROD_EQUIPE!$Q$8,GERAL[Dia],"&lt;=" &amp;PROD_EQUIPE!$R$8)</f>
        <v>0</v>
      </c>
      <c r="M22" s="99" t="str">
        <f t="shared" ca="1" si="6"/>
        <v/>
      </c>
      <c r="N22" s="99" t="str">
        <f t="shared" ca="1" si="7"/>
        <v/>
      </c>
      <c r="O22" s="99" t="str">
        <f t="shared" ca="1" si="8"/>
        <v/>
      </c>
      <c r="P22" s="99" t="str">
        <f t="shared" ca="1" si="9"/>
        <v/>
      </c>
      <c r="Q22" s="99" t="str">
        <f t="shared" ca="1" si="10"/>
        <v/>
      </c>
      <c r="R22" s="121" t="str">
        <f t="shared" ca="1" si="11"/>
        <v/>
      </c>
    </row>
    <row r="23" spans="3:18" x14ac:dyDescent="0.3">
      <c r="C23" s="128">
        <f ca="1">COUNTIFS(GERAL[Dia Útil],"SIM",GERAL[Equipe],PROD_EQUIPE!B23,GERAL[Dia],"&gt;=" &amp;PROD_EQUIPE!$Q$8,GERAL[Dia],"&lt;=" &amp;PROD_EQUIPE!$R$8)</f>
        <v>0</v>
      </c>
      <c r="D23" s="98">
        <f ca="1">SUMIFS(GERAL[LA],GERAL[Equipe],PROD_EQUIPE!B23,GERAL[Dia],"&gt;=" &amp;PROD_EQUIPE!$Q$8,GERAL[Dia],"&lt;=" &amp;PROD_EQUIPE!$R$8)</f>
        <v>0</v>
      </c>
      <c r="E23" s="98">
        <f ca="1">SUMIFS(GERAL[LE],GERAL[Equipe],PROD_EQUIPE!B23,GERAL[Dia],"&gt;=" &amp;PROD_EQUIPE!$Q$8,GERAL[Dia],"&lt;=" &amp;PROD_EQUIPE!$R$8)</f>
        <v>0</v>
      </c>
      <c r="F23" s="98">
        <f ca="1">SUMIFS(GERAL[PRA],GERAL[Equipe],PROD_EQUIPE!B23,GERAL[Dia],"&gt;=" &amp;PROD_EQUIPE!$Q$8,GERAL[Dia],"&lt;=" &amp;PROD_EQUIPE!$R$8)</f>
        <v>0</v>
      </c>
      <c r="G23" s="98">
        <f ca="1">SUMIFS(GERAL[PRE],GERAL[Equipe],PROD_EQUIPE!B23,GERAL[Dia],"&gt;=" &amp;PROD_EQUIPE!$Q$8,GERAL[Dia],"&lt;=" &amp;PROD_EQUIPE!$R$8)</f>
        <v>0</v>
      </c>
      <c r="H23" s="98">
        <f ca="1">SUMIFS(GERAL[PV''s],GERAL[Equipe],PROD_EQUIPE!B23,GERAL[Dia],"&gt;=" &amp;PROD_EQUIPE!$Q$8,GERAL[Dia],"&lt;=" &amp;PROD_EQUIPE!$R$8)</f>
        <v>0</v>
      </c>
      <c r="I23" s="98">
        <f ca="1">SUMIFS(GERAL[LIE],GERAL[Equipe],PROD_EQUIPE!B23,GERAL[Dia],"&gt;=" &amp;PROD_EQUIPE!$Q$8,GERAL[Dia],"&lt;=" &amp;PROD_EQUIPE!$R$8)</f>
        <v>0</v>
      </c>
      <c r="J23" s="98">
        <f ca="1">SUMIFS(GERAL[LIA],GERAL[Equipe],PROD_EQUIPE!B23,GERAL[Dia],"&gt;=" &amp;PROD_EQUIPE!$Q$8,GERAL[Dia],"&lt;=" &amp;PROD_EQUIPE!$R$8)</f>
        <v>0</v>
      </c>
      <c r="K23" s="98">
        <f ca="1">SUMIFS(GERAL[IHM],GERAL[Equipe],PROD_EQUIPE!B23,GERAL[Dia],"&gt;=" &amp;PROD_EQUIPE!$Q$8,GERAL[Dia],"&lt;=" &amp;PROD_EQUIPE!$R$8)</f>
        <v>0</v>
      </c>
      <c r="L23" s="98">
        <f ca="1">SUMIFS(GERAL[RHM],GERAL[Equipe],PROD_EQUIPE!B23,GERAL[Dia],"&gt;=" &amp;PROD_EQUIPE!$Q$8,GERAL[Dia],"&lt;=" &amp;PROD_EQUIPE!$R$8)</f>
        <v>0</v>
      </c>
      <c r="M23" s="99" t="str">
        <f t="shared" ca="1" si="6"/>
        <v/>
      </c>
      <c r="N23" s="99" t="str">
        <f t="shared" ca="1" si="7"/>
        <v/>
      </c>
      <c r="O23" s="99" t="str">
        <f t="shared" ca="1" si="8"/>
        <v/>
      </c>
      <c r="P23" s="99" t="str">
        <f t="shared" ca="1" si="9"/>
        <v/>
      </c>
      <c r="Q23" s="99" t="str">
        <f t="shared" ca="1" si="10"/>
        <v/>
      </c>
      <c r="R23" s="121" t="str">
        <f t="shared" ca="1" si="11"/>
        <v/>
      </c>
    </row>
    <row r="24" spans="3:18" x14ac:dyDescent="0.3">
      <c r="C24" s="128">
        <f ca="1">COUNTIFS(GERAL[Dia Útil],"SIM",GERAL[Equipe],PROD_EQUIPE!B24,GERAL[Dia],"&gt;=" &amp;PROD_EQUIPE!$Q$8,GERAL[Dia],"&lt;=" &amp;PROD_EQUIPE!$R$8)</f>
        <v>0</v>
      </c>
      <c r="D24" s="98">
        <f ca="1">SUMIFS(GERAL[LA],GERAL[Equipe],PROD_EQUIPE!B24,GERAL[Dia],"&gt;=" &amp;PROD_EQUIPE!$Q$8,GERAL[Dia],"&lt;=" &amp;PROD_EQUIPE!$R$8)</f>
        <v>0</v>
      </c>
      <c r="E24" s="98">
        <f ca="1">SUMIFS(GERAL[LE],GERAL[Equipe],PROD_EQUIPE!B24,GERAL[Dia],"&gt;=" &amp;PROD_EQUIPE!$Q$8,GERAL[Dia],"&lt;=" &amp;PROD_EQUIPE!$R$8)</f>
        <v>0</v>
      </c>
      <c r="F24" s="98">
        <f ca="1">SUMIFS(GERAL[PRA],GERAL[Equipe],PROD_EQUIPE!B24,GERAL[Dia],"&gt;=" &amp;PROD_EQUIPE!$Q$8,GERAL[Dia],"&lt;=" &amp;PROD_EQUIPE!$R$8)</f>
        <v>0</v>
      </c>
      <c r="G24" s="98">
        <f ca="1">SUMIFS(GERAL[PRE],GERAL[Equipe],PROD_EQUIPE!B24,GERAL[Dia],"&gt;=" &amp;PROD_EQUIPE!$Q$8,GERAL[Dia],"&lt;=" &amp;PROD_EQUIPE!$R$8)</f>
        <v>0</v>
      </c>
      <c r="H24" s="98">
        <f ca="1">SUMIFS(GERAL[PV''s],GERAL[Equipe],PROD_EQUIPE!B24,GERAL[Dia],"&gt;=" &amp;PROD_EQUIPE!$Q$8,GERAL[Dia],"&lt;=" &amp;PROD_EQUIPE!$R$8)</f>
        <v>0</v>
      </c>
      <c r="I24" s="98">
        <f ca="1">SUMIFS(GERAL[LIE],GERAL[Equipe],PROD_EQUIPE!B24,GERAL[Dia],"&gt;=" &amp;PROD_EQUIPE!$Q$8,GERAL[Dia],"&lt;=" &amp;PROD_EQUIPE!$R$8)</f>
        <v>0</v>
      </c>
      <c r="J24" s="98">
        <f ca="1">SUMIFS(GERAL[LIA],GERAL[Equipe],PROD_EQUIPE!B24,GERAL[Dia],"&gt;=" &amp;PROD_EQUIPE!$Q$8,GERAL[Dia],"&lt;=" &amp;PROD_EQUIPE!$R$8)</f>
        <v>0</v>
      </c>
      <c r="K24" s="98">
        <f ca="1">SUMIFS(GERAL[IHM],GERAL[Equipe],PROD_EQUIPE!B24,GERAL[Dia],"&gt;=" &amp;PROD_EQUIPE!$Q$8,GERAL[Dia],"&lt;=" &amp;PROD_EQUIPE!$R$8)</f>
        <v>0</v>
      </c>
      <c r="L24" s="98">
        <f ca="1">SUMIFS(GERAL[RHM],GERAL[Equipe],PROD_EQUIPE!B24,GERAL[Dia],"&gt;=" &amp;PROD_EQUIPE!$Q$8,GERAL[Dia],"&lt;=" &amp;PROD_EQUIPE!$R$8)</f>
        <v>0</v>
      </c>
      <c r="M24" s="99" t="str">
        <f t="shared" ca="1" si="6"/>
        <v/>
      </c>
      <c r="N24" s="99" t="str">
        <f t="shared" ca="1" si="7"/>
        <v/>
      </c>
      <c r="O24" s="99" t="str">
        <f t="shared" ca="1" si="8"/>
        <v/>
      </c>
      <c r="P24" s="99" t="str">
        <f t="shared" ca="1" si="9"/>
        <v/>
      </c>
      <c r="Q24" s="99" t="str">
        <f t="shared" ca="1" si="10"/>
        <v/>
      </c>
      <c r="R24" s="121" t="str">
        <f t="shared" ca="1" si="11"/>
        <v/>
      </c>
    </row>
    <row r="25" spans="3:18" x14ac:dyDescent="0.3">
      <c r="C25" s="128">
        <f ca="1">COUNTIFS(GERAL[Dia Útil],"SIM",GERAL[Equipe],PROD_EQUIPE!B25,GERAL[Dia],"&gt;=" &amp;PROD_EQUIPE!$Q$8,GERAL[Dia],"&lt;=" &amp;PROD_EQUIPE!$R$8)</f>
        <v>0</v>
      </c>
      <c r="D25" s="98">
        <f ca="1">SUMIFS(GERAL[LA],GERAL[Equipe],PROD_EQUIPE!B25,GERAL[Dia],"&gt;=" &amp;PROD_EQUIPE!$Q$8,GERAL[Dia],"&lt;=" &amp;PROD_EQUIPE!$R$8)</f>
        <v>0</v>
      </c>
      <c r="E25" s="98">
        <f ca="1">SUMIFS(GERAL[LE],GERAL[Equipe],PROD_EQUIPE!B25,GERAL[Dia],"&gt;=" &amp;PROD_EQUIPE!$Q$8,GERAL[Dia],"&lt;=" &amp;PROD_EQUIPE!$R$8)</f>
        <v>0</v>
      </c>
      <c r="F25" s="98">
        <f ca="1">SUMIFS(GERAL[PRA],GERAL[Equipe],PROD_EQUIPE!B25,GERAL[Dia],"&gt;=" &amp;PROD_EQUIPE!$Q$8,GERAL[Dia],"&lt;=" &amp;PROD_EQUIPE!$R$8)</f>
        <v>0</v>
      </c>
      <c r="G25" s="98">
        <f ca="1">SUMIFS(GERAL[PRE],GERAL[Equipe],PROD_EQUIPE!B25,GERAL[Dia],"&gt;=" &amp;PROD_EQUIPE!$Q$8,GERAL[Dia],"&lt;=" &amp;PROD_EQUIPE!$R$8)</f>
        <v>0</v>
      </c>
      <c r="H25" s="98">
        <f ca="1">SUMIFS(GERAL[PV''s],GERAL[Equipe],PROD_EQUIPE!B25,GERAL[Dia],"&gt;=" &amp;PROD_EQUIPE!$Q$8,GERAL[Dia],"&lt;=" &amp;PROD_EQUIPE!$R$8)</f>
        <v>0</v>
      </c>
      <c r="I25" s="98">
        <f ca="1">SUMIFS(GERAL[LIE],GERAL[Equipe],PROD_EQUIPE!B25,GERAL[Dia],"&gt;=" &amp;PROD_EQUIPE!$Q$8,GERAL[Dia],"&lt;=" &amp;PROD_EQUIPE!$R$8)</f>
        <v>0</v>
      </c>
      <c r="J25" s="98">
        <f ca="1">SUMIFS(GERAL[LIA],GERAL[Equipe],PROD_EQUIPE!B25,GERAL[Dia],"&gt;=" &amp;PROD_EQUIPE!$Q$8,GERAL[Dia],"&lt;=" &amp;PROD_EQUIPE!$R$8)</f>
        <v>0</v>
      </c>
      <c r="K25" s="98">
        <f ca="1">SUMIFS(GERAL[IHM],GERAL[Equipe],PROD_EQUIPE!B25,GERAL[Dia],"&gt;=" &amp;PROD_EQUIPE!$Q$8,GERAL[Dia],"&lt;=" &amp;PROD_EQUIPE!$R$8)</f>
        <v>0</v>
      </c>
      <c r="L25" s="98">
        <f ca="1">SUMIFS(GERAL[RHM],GERAL[Equipe],PROD_EQUIPE!B25,GERAL[Dia],"&gt;=" &amp;PROD_EQUIPE!$Q$8,GERAL[Dia],"&lt;=" &amp;PROD_EQUIPE!$R$8)</f>
        <v>0</v>
      </c>
      <c r="M25" s="99" t="str">
        <f t="shared" ca="1" si="6"/>
        <v/>
      </c>
      <c r="N25" s="99" t="str">
        <f t="shared" ca="1" si="7"/>
        <v/>
      </c>
      <c r="O25" s="99" t="str">
        <f t="shared" ca="1" si="8"/>
        <v/>
      </c>
      <c r="P25" s="99" t="str">
        <f t="shared" ca="1" si="9"/>
        <v/>
      </c>
      <c r="Q25" s="99" t="str">
        <f t="shared" ca="1" si="10"/>
        <v/>
      </c>
      <c r="R25" s="121" t="str">
        <f t="shared" ca="1" si="11"/>
        <v/>
      </c>
    </row>
    <row r="26" spans="3:18" x14ac:dyDescent="0.3">
      <c r="C26" s="128">
        <f ca="1">COUNTIFS(GERAL[Dia Útil],"SIM",GERAL[Equipe],PROD_EQUIPE!B26,GERAL[Dia],"&gt;=" &amp;PROD_EQUIPE!$Q$8,GERAL[Dia],"&lt;=" &amp;PROD_EQUIPE!$R$8)</f>
        <v>0</v>
      </c>
      <c r="D26" s="98">
        <f ca="1">SUMIFS(GERAL[LA],GERAL[Equipe],PROD_EQUIPE!B26,GERAL[Dia],"&gt;=" &amp;PROD_EQUIPE!$Q$8,GERAL[Dia],"&lt;=" &amp;PROD_EQUIPE!$R$8)</f>
        <v>0</v>
      </c>
      <c r="E26" s="98">
        <f ca="1">SUMIFS(GERAL[LE],GERAL[Equipe],PROD_EQUIPE!B26,GERAL[Dia],"&gt;=" &amp;PROD_EQUIPE!$Q$8,GERAL[Dia],"&lt;=" &amp;PROD_EQUIPE!$R$8)</f>
        <v>0</v>
      </c>
      <c r="F26" s="98">
        <f ca="1">SUMIFS(GERAL[PRA],GERAL[Equipe],PROD_EQUIPE!B26,GERAL[Dia],"&gt;=" &amp;PROD_EQUIPE!$Q$8,GERAL[Dia],"&lt;=" &amp;PROD_EQUIPE!$R$8)</f>
        <v>0</v>
      </c>
      <c r="G26" s="98">
        <f ca="1">SUMIFS(GERAL[PRE],GERAL[Equipe],PROD_EQUIPE!B26,GERAL[Dia],"&gt;=" &amp;PROD_EQUIPE!$Q$8,GERAL[Dia],"&lt;=" &amp;PROD_EQUIPE!$R$8)</f>
        <v>0</v>
      </c>
      <c r="H26" s="98">
        <f ca="1">SUMIFS(GERAL[PV''s],GERAL[Equipe],PROD_EQUIPE!B26,GERAL[Dia],"&gt;=" &amp;PROD_EQUIPE!$Q$8,GERAL[Dia],"&lt;=" &amp;PROD_EQUIPE!$R$8)</f>
        <v>0</v>
      </c>
      <c r="I26" s="98">
        <f ca="1">SUMIFS(GERAL[LIE],GERAL[Equipe],PROD_EQUIPE!B26,GERAL[Dia],"&gt;=" &amp;PROD_EQUIPE!$Q$8,GERAL[Dia],"&lt;=" &amp;PROD_EQUIPE!$R$8)</f>
        <v>0</v>
      </c>
      <c r="J26" s="98">
        <f ca="1">SUMIFS(GERAL[LIA],GERAL[Equipe],PROD_EQUIPE!B26,GERAL[Dia],"&gt;=" &amp;PROD_EQUIPE!$Q$8,GERAL[Dia],"&lt;=" &amp;PROD_EQUIPE!$R$8)</f>
        <v>0</v>
      </c>
      <c r="K26" s="98">
        <f ca="1">SUMIFS(GERAL[IHM],GERAL[Equipe],PROD_EQUIPE!B26,GERAL[Dia],"&gt;=" &amp;PROD_EQUIPE!$Q$8,GERAL[Dia],"&lt;=" &amp;PROD_EQUIPE!$R$8)</f>
        <v>0</v>
      </c>
      <c r="L26" s="98">
        <f ca="1">SUMIFS(GERAL[RHM],GERAL[Equipe],PROD_EQUIPE!B26,GERAL[Dia],"&gt;=" &amp;PROD_EQUIPE!$Q$8,GERAL[Dia],"&lt;=" &amp;PROD_EQUIPE!$R$8)</f>
        <v>0</v>
      </c>
      <c r="M26" s="99" t="str">
        <f t="shared" ca="1" si="6"/>
        <v/>
      </c>
      <c r="N26" s="99" t="str">
        <f t="shared" ca="1" si="7"/>
        <v/>
      </c>
      <c r="O26" s="99" t="str">
        <f t="shared" ca="1" si="8"/>
        <v/>
      </c>
      <c r="P26" s="99" t="str">
        <f t="shared" ca="1" si="9"/>
        <v/>
      </c>
      <c r="Q26" s="99" t="str">
        <f t="shared" ca="1" si="10"/>
        <v/>
      </c>
      <c r="R26" s="121" t="str">
        <f t="shared" ca="1" si="11"/>
        <v/>
      </c>
    </row>
    <row r="27" spans="3:18" x14ac:dyDescent="0.3">
      <c r="C27" s="128">
        <f ca="1">COUNTIFS(GERAL[Dia Útil],"SIM",GERAL[Equipe],PROD_EQUIPE!B27,GERAL[Dia],"&gt;=" &amp;PROD_EQUIPE!$Q$8,GERAL[Dia],"&lt;=" &amp;PROD_EQUIPE!$R$8)</f>
        <v>0</v>
      </c>
      <c r="D27" s="98">
        <f ca="1">SUMIFS(GERAL[LA],GERAL[Equipe],PROD_EQUIPE!B27,GERAL[Dia],"&gt;=" &amp;PROD_EQUIPE!$Q$8,GERAL[Dia],"&lt;=" &amp;PROD_EQUIPE!$R$8)</f>
        <v>0</v>
      </c>
      <c r="E27" s="98">
        <f ca="1">SUMIFS(GERAL[LE],GERAL[Equipe],PROD_EQUIPE!B27,GERAL[Dia],"&gt;=" &amp;PROD_EQUIPE!$Q$8,GERAL[Dia],"&lt;=" &amp;PROD_EQUIPE!$R$8)</f>
        <v>0</v>
      </c>
      <c r="F27" s="98">
        <f ca="1">SUMIFS(GERAL[PRA],GERAL[Equipe],PROD_EQUIPE!B27,GERAL[Dia],"&gt;=" &amp;PROD_EQUIPE!$Q$8,GERAL[Dia],"&lt;=" &amp;PROD_EQUIPE!$R$8)</f>
        <v>0</v>
      </c>
      <c r="G27" s="98">
        <f ca="1">SUMIFS(GERAL[PRE],GERAL[Equipe],PROD_EQUIPE!B27,GERAL[Dia],"&gt;=" &amp;PROD_EQUIPE!$Q$8,GERAL[Dia],"&lt;=" &amp;PROD_EQUIPE!$R$8)</f>
        <v>0</v>
      </c>
      <c r="H27" s="98">
        <f ca="1">SUMIFS(GERAL[PV''s],GERAL[Equipe],PROD_EQUIPE!B27,GERAL[Dia],"&gt;=" &amp;PROD_EQUIPE!$Q$8,GERAL[Dia],"&lt;=" &amp;PROD_EQUIPE!$R$8)</f>
        <v>0</v>
      </c>
      <c r="I27" s="98">
        <f ca="1">SUMIFS(GERAL[LIE],GERAL[Equipe],PROD_EQUIPE!B27,GERAL[Dia],"&gt;=" &amp;PROD_EQUIPE!$Q$8,GERAL[Dia],"&lt;=" &amp;PROD_EQUIPE!$R$8)</f>
        <v>0</v>
      </c>
      <c r="J27" s="98">
        <f ca="1">SUMIFS(GERAL[LIA],GERAL[Equipe],PROD_EQUIPE!B27,GERAL[Dia],"&gt;=" &amp;PROD_EQUIPE!$Q$8,GERAL[Dia],"&lt;=" &amp;PROD_EQUIPE!$R$8)</f>
        <v>0</v>
      </c>
      <c r="K27" s="98">
        <f ca="1">SUMIFS(GERAL[IHM],GERAL[Equipe],PROD_EQUIPE!B27,GERAL[Dia],"&gt;=" &amp;PROD_EQUIPE!$Q$8,GERAL[Dia],"&lt;=" &amp;PROD_EQUIPE!$R$8)</f>
        <v>0</v>
      </c>
      <c r="L27" s="98">
        <f ca="1">SUMIFS(GERAL[RHM],GERAL[Equipe],PROD_EQUIPE!B27,GERAL[Dia],"&gt;=" &amp;PROD_EQUIPE!$Q$8,GERAL[Dia],"&lt;=" &amp;PROD_EQUIPE!$R$8)</f>
        <v>0</v>
      </c>
      <c r="M27" s="99" t="str">
        <f t="shared" ca="1" si="6"/>
        <v/>
      </c>
      <c r="N27" s="99" t="str">
        <f t="shared" ca="1" si="7"/>
        <v/>
      </c>
      <c r="O27" s="99" t="str">
        <f t="shared" ca="1" si="8"/>
        <v/>
      </c>
      <c r="P27" s="99" t="str">
        <f t="shared" ca="1" si="9"/>
        <v/>
      </c>
      <c r="Q27" s="99" t="str">
        <f t="shared" ca="1" si="10"/>
        <v/>
      </c>
      <c r="R27" s="121" t="str">
        <f t="shared" ca="1" si="11"/>
        <v/>
      </c>
    </row>
    <row r="28" spans="3:18" x14ac:dyDescent="0.3">
      <c r="C28" s="128">
        <f ca="1">COUNTIFS(GERAL[Dia Útil],"SIM",GERAL[Equipe],PROD_EQUIPE!B28,GERAL[Dia],"&gt;=" &amp;PROD_EQUIPE!$Q$8,GERAL[Dia],"&lt;=" &amp;PROD_EQUIPE!$R$8)</f>
        <v>0</v>
      </c>
      <c r="D28" s="98">
        <f ca="1">SUMIFS(GERAL[LA],GERAL[Equipe],PROD_EQUIPE!B28,GERAL[Dia],"&gt;=" &amp;PROD_EQUIPE!$Q$8,GERAL[Dia],"&lt;=" &amp;PROD_EQUIPE!$R$8)</f>
        <v>0</v>
      </c>
      <c r="E28" s="98">
        <f ca="1">SUMIFS(GERAL[LE],GERAL[Equipe],PROD_EQUIPE!B28,GERAL[Dia],"&gt;=" &amp;PROD_EQUIPE!$Q$8,GERAL[Dia],"&lt;=" &amp;PROD_EQUIPE!$R$8)</f>
        <v>0</v>
      </c>
      <c r="F28" s="98">
        <f ca="1">SUMIFS(GERAL[PRA],GERAL[Equipe],PROD_EQUIPE!B28,GERAL[Dia],"&gt;=" &amp;PROD_EQUIPE!$Q$8,GERAL[Dia],"&lt;=" &amp;PROD_EQUIPE!$R$8)</f>
        <v>0</v>
      </c>
      <c r="G28" s="98">
        <f ca="1">SUMIFS(GERAL[PRE],GERAL[Equipe],PROD_EQUIPE!B28,GERAL[Dia],"&gt;=" &amp;PROD_EQUIPE!$Q$8,GERAL[Dia],"&lt;=" &amp;PROD_EQUIPE!$R$8)</f>
        <v>0</v>
      </c>
      <c r="H28" s="98">
        <f ca="1">SUMIFS(GERAL[PV''s],GERAL[Equipe],PROD_EQUIPE!B28,GERAL[Dia],"&gt;=" &amp;PROD_EQUIPE!$Q$8,GERAL[Dia],"&lt;=" &amp;PROD_EQUIPE!$R$8)</f>
        <v>0</v>
      </c>
      <c r="I28" s="98">
        <f ca="1">SUMIFS(GERAL[LIE],GERAL[Equipe],PROD_EQUIPE!B28,GERAL[Dia],"&gt;=" &amp;PROD_EQUIPE!$Q$8,GERAL[Dia],"&lt;=" &amp;PROD_EQUIPE!$R$8)</f>
        <v>0</v>
      </c>
      <c r="J28" s="98">
        <f ca="1">SUMIFS(GERAL[LIA],GERAL[Equipe],PROD_EQUIPE!B28,GERAL[Dia],"&gt;=" &amp;PROD_EQUIPE!$Q$8,GERAL[Dia],"&lt;=" &amp;PROD_EQUIPE!$R$8)</f>
        <v>0</v>
      </c>
      <c r="K28" s="98">
        <f ca="1">SUMIFS(GERAL[IHM],GERAL[Equipe],PROD_EQUIPE!B28,GERAL[Dia],"&gt;=" &amp;PROD_EQUIPE!$Q$8,GERAL[Dia],"&lt;=" &amp;PROD_EQUIPE!$R$8)</f>
        <v>0</v>
      </c>
      <c r="L28" s="98">
        <f ca="1">SUMIFS(GERAL[RHM],GERAL[Equipe],PROD_EQUIPE!B28,GERAL[Dia],"&gt;=" &amp;PROD_EQUIPE!$Q$8,GERAL[Dia],"&lt;=" &amp;PROD_EQUIPE!$R$8)</f>
        <v>0</v>
      </c>
      <c r="M28" s="99" t="str">
        <f t="shared" ca="1" si="6"/>
        <v/>
      </c>
      <c r="N28" s="99" t="str">
        <f t="shared" ca="1" si="7"/>
        <v/>
      </c>
      <c r="O28" s="99" t="str">
        <f t="shared" ca="1" si="8"/>
        <v/>
      </c>
      <c r="P28" s="99" t="str">
        <f t="shared" ca="1" si="9"/>
        <v/>
      </c>
      <c r="Q28" s="99" t="str">
        <f t="shared" ca="1" si="10"/>
        <v/>
      </c>
      <c r="R28" s="121" t="str">
        <f t="shared" ca="1" si="11"/>
        <v/>
      </c>
    </row>
    <row r="29" spans="3:18" x14ac:dyDescent="0.3">
      <c r="C29" s="128">
        <f ca="1">COUNTIFS(GERAL[Dia Útil],"SIM",GERAL[Equipe],PROD_EQUIPE!B29,GERAL[Dia],"&gt;=" &amp;PROD_EQUIPE!$Q$8,GERAL[Dia],"&lt;=" &amp;PROD_EQUIPE!$R$8)</f>
        <v>0</v>
      </c>
      <c r="D29" s="98">
        <f ca="1">SUMIFS(GERAL[LA],GERAL[Equipe],PROD_EQUIPE!B29,GERAL[Dia],"&gt;=" &amp;PROD_EQUIPE!$Q$8,GERAL[Dia],"&lt;=" &amp;PROD_EQUIPE!$R$8)</f>
        <v>0</v>
      </c>
      <c r="E29" s="98">
        <f ca="1">SUMIFS(GERAL[LE],GERAL[Equipe],PROD_EQUIPE!B29,GERAL[Dia],"&gt;=" &amp;PROD_EQUIPE!$Q$8,GERAL[Dia],"&lt;=" &amp;PROD_EQUIPE!$R$8)</f>
        <v>0</v>
      </c>
      <c r="F29" s="98">
        <f ca="1">SUMIFS(GERAL[PRA],GERAL[Equipe],PROD_EQUIPE!B29,GERAL[Dia],"&gt;=" &amp;PROD_EQUIPE!$Q$8,GERAL[Dia],"&lt;=" &amp;PROD_EQUIPE!$R$8)</f>
        <v>0</v>
      </c>
      <c r="G29" s="98">
        <f ca="1">SUMIFS(GERAL[PRE],GERAL[Equipe],PROD_EQUIPE!B29,GERAL[Dia],"&gt;=" &amp;PROD_EQUIPE!$Q$8,GERAL[Dia],"&lt;=" &amp;PROD_EQUIPE!$R$8)</f>
        <v>0</v>
      </c>
      <c r="H29" s="98">
        <f ca="1">SUMIFS(GERAL[PV''s],GERAL[Equipe],PROD_EQUIPE!B29,GERAL[Dia],"&gt;=" &amp;PROD_EQUIPE!$Q$8,GERAL[Dia],"&lt;=" &amp;PROD_EQUIPE!$R$8)</f>
        <v>0</v>
      </c>
      <c r="I29" s="98">
        <f ca="1">SUMIFS(GERAL[LIE],GERAL[Equipe],PROD_EQUIPE!B29,GERAL[Dia],"&gt;=" &amp;PROD_EQUIPE!$Q$8,GERAL[Dia],"&lt;=" &amp;PROD_EQUIPE!$R$8)</f>
        <v>0</v>
      </c>
      <c r="J29" s="98">
        <f ca="1">SUMIFS(GERAL[LIA],GERAL[Equipe],PROD_EQUIPE!B29,GERAL[Dia],"&gt;=" &amp;PROD_EQUIPE!$Q$8,GERAL[Dia],"&lt;=" &amp;PROD_EQUIPE!$R$8)</f>
        <v>0</v>
      </c>
      <c r="K29" s="98">
        <f ca="1">SUMIFS(GERAL[IHM],GERAL[Equipe],PROD_EQUIPE!B29,GERAL[Dia],"&gt;=" &amp;PROD_EQUIPE!$Q$8,GERAL[Dia],"&lt;=" &amp;PROD_EQUIPE!$R$8)</f>
        <v>0</v>
      </c>
      <c r="L29" s="98">
        <f ca="1">SUMIFS(GERAL[RHM],GERAL[Equipe],PROD_EQUIPE!B29,GERAL[Dia],"&gt;=" &amp;PROD_EQUIPE!$Q$8,GERAL[Dia],"&lt;=" &amp;PROD_EQUIPE!$R$8)</f>
        <v>0</v>
      </c>
      <c r="M29" s="99" t="str">
        <f t="shared" ca="1" si="6"/>
        <v/>
      </c>
      <c r="N29" s="99" t="str">
        <f t="shared" ca="1" si="7"/>
        <v/>
      </c>
      <c r="O29" s="99" t="str">
        <f t="shared" ca="1" si="8"/>
        <v/>
      </c>
      <c r="P29" s="99" t="str">
        <f t="shared" ca="1" si="9"/>
        <v/>
      </c>
      <c r="Q29" s="99" t="str">
        <f t="shared" ca="1" si="10"/>
        <v/>
      </c>
      <c r="R29" s="121" t="str">
        <f t="shared" ca="1" si="11"/>
        <v/>
      </c>
    </row>
    <row r="30" spans="3:18" x14ac:dyDescent="0.3">
      <c r="C30" s="128">
        <f ca="1">COUNTIFS(GERAL[Dia Útil],"SIM",GERAL[Equipe],PROD_EQUIPE!B30,GERAL[Dia],"&gt;=" &amp;PROD_EQUIPE!$Q$8,GERAL[Dia],"&lt;=" &amp;PROD_EQUIPE!$R$8)</f>
        <v>0</v>
      </c>
      <c r="D30" s="98">
        <f ca="1">SUMIFS(GERAL[LA],GERAL[Equipe],PROD_EQUIPE!B30,GERAL[Dia],"&gt;=" &amp;PROD_EQUIPE!$Q$8,GERAL[Dia],"&lt;=" &amp;PROD_EQUIPE!$R$8)</f>
        <v>0</v>
      </c>
      <c r="E30" s="98">
        <f ca="1">SUMIFS(GERAL[LE],GERAL[Equipe],PROD_EQUIPE!B30,GERAL[Dia],"&gt;=" &amp;PROD_EQUIPE!$Q$8,GERAL[Dia],"&lt;=" &amp;PROD_EQUIPE!$R$8)</f>
        <v>0</v>
      </c>
      <c r="F30" s="98">
        <f ca="1">SUMIFS(GERAL[PRA],GERAL[Equipe],PROD_EQUIPE!B30,GERAL[Dia],"&gt;=" &amp;PROD_EQUIPE!$Q$8,GERAL[Dia],"&lt;=" &amp;PROD_EQUIPE!$R$8)</f>
        <v>0</v>
      </c>
      <c r="G30" s="98">
        <f ca="1">SUMIFS(GERAL[PRE],GERAL[Equipe],PROD_EQUIPE!B30,GERAL[Dia],"&gt;=" &amp;PROD_EQUIPE!$Q$8,GERAL[Dia],"&lt;=" &amp;PROD_EQUIPE!$R$8)</f>
        <v>0</v>
      </c>
      <c r="H30" s="98">
        <f ca="1">SUMIFS(GERAL[PV''s],GERAL[Equipe],PROD_EQUIPE!B30,GERAL[Dia],"&gt;=" &amp;PROD_EQUIPE!$Q$8,GERAL[Dia],"&lt;=" &amp;PROD_EQUIPE!$R$8)</f>
        <v>0</v>
      </c>
      <c r="I30" s="98">
        <f ca="1">SUMIFS(GERAL[LIE],GERAL[Equipe],PROD_EQUIPE!B30,GERAL[Dia],"&gt;=" &amp;PROD_EQUIPE!$Q$8,GERAL[Dia],"&lt;=" &amp;PROD_EQUIPE!$R$8)</f>
        <v>0</v>
      </c>
      <c r="J30" s="98">
        <f ca="1">SUMIFS(GERAL[LIA],GERAL[Equipe],PROD_EQUIPE!B30,GERAL[Dia],"&gt;=" &amp;PROD_EQUIPE!$Q$8,GERAL[Dia],"&lt;=" &amp;PROD_EQUIPE!$R$8)</f>
        <v>0</v>
      </c>
      <c r="K30" s="98">
        <f ca="1">SUMIFS(GERAL[IHM],GERAL[Equipe],PROD_EQUIPE!B30,GERAL[Dia],"&gt;=" &amp;PROD_EQUIPE!$Q$8,GERAL[Dia],"&lt;=" &amp;PROD_EQUIPE!$R$8)</f>
        <v>0</v>
      </c>
      <c r="L30" s="98">
        <f ca="1">SUMIFS(GERAL[RHM],GERAL[Equipe],PROD_EQUIPE!B30,GERAL[Dia],"&gt;=" &amp;PROD_EQUIPE!$Q$8,GERAL[Dia],"&lt;=" &amp;PROD_EQUIPE!$R$8)</f>
        <v>0</v>
      </c>
      <c r="M30" s="99" t="str">
        <f t="shared" ca="1" si="6"/>
        <v/>
      </c>
      <c r="N30" s="99" t="str">
        <f t="shared" ca="1" si="7"/>
        <v/>
      </c>
      <c r="O30" s="99" t="str">
        <f t="shared" ca="1" si="8"/>
        <v/>
      </c>
      <c r="P30" s="99" t="str">
        <f t="shared" ca="1" si="9"/>
        <v/>
      </c>
      <c r="Q30" s="99" t="str">
        <f t="shared" ca="1" si="10"/>
        <v/>
      </c>
      <c r="R30" s="121" t="str">
        <f t="shared" ca="1" si="11"/>
        <v/>
      </c>
    </row>
    <row r="31" spans="3:18" ht="14.5" thickBot="1" x14ac:dyDescent="0.35">
      <c r="C31" s="129">
        <f ca="1">COUNTIFS(GERAL[Dia Útil],"SIM",GERAL[Equipe],PROD_EQUIPE!B31,GERAL[Dia],"&gt;=" &amp;PROD_EQUIPE!$Q$8,GERAL[Dia],"&lt;=" &amp;PROD_EQUIPE!$R$8)</f>
        <v>0</v>
      </c>
      <c r="D31" s="122">
        <f ca="1">SUMIFS(GERAL[LA],GERAL[Equipe],PROD_EQUIPE!B31,GERAL[Dia],"&gt;=" &amp;PROD_EQUIPE!$Q$8,GERAL[Dia],"&lt;=" &amp;PROD_EQUIPE!$R$8)</f>
        <v>0</v>
      </c>
      <c r="E31" s="122">
        <f ca="1">SUMIFS(GERAL[LE],GERAL[Equipe],PROD_EQUIPE!B31,GERAL[Dia],"&gt;=" &amp;PROD_EQUIPE!$Q$8,GERAL[Dia],"&lt;=" &amp;PROD_EQUIPE!$R$8)</f>
        <v>0</v>
      </c>
      <c r="F31" s="122">
        <f ca="1">SUMIFS(GERAL[PRA],GERAL[Equipe],PROD_EQUIPE!B31,GERAL[Dia],"&gt;=" &amp;PROD_EQUIPE!$Q$8,GERAL[Dia],"&lt;=" &amp;PROD_EQUIPE!$R$8)</f>
        <v>0</v>
      </c>
      <c r="G31" s="122">
        <f ca="1">SUMIFS(GERAL[PRE],GERAL[Equipe],PROD_EQUIPE!B31,GERAL[Dia],"&gt;=" &amp;PROD_EQUIPE!$Q$8,GERAL[Dia],"&lt;=" &amp;PROD_EQUIPE!$R$8)</f>
        <v>0</v>
      </c>
      <c r="H31" s="122">
        <f ca="1">SUMIFS(GERAL[PV''s],GERAL[Equipe],PROD_EQUIPE!B31,GERAL[Dia],"&gt;=" &amp;PROD_EQUIPE!$Q$8,GERAL[Dia],"&lt;=" &amp;PROD_EQUIPE!$R$8)</f>
        <v>0</v>
      </c>
      <c r="I31" s="122">
        <f ca="1">SUMIFS(GERAL[LIE],GERAL[Equipe],PROD_EQUIPE!B31,GERAL[Dia],"&gt;=" &amp;PROD_EQUIPE!$Q$8,GERAL[Dia],"&lt;=" &amp;PROD_EQUIPE!$R$8)</f>
        <v>0</v>
      </c>
      <c r="J31" s="122">
        <f ca="1">SUMIFS(GERAL[LIA],GERAL[Equipe],PROD_EQUIPE!B31,GERAL[Dia],"&gt;=" &amp;PROD_EQUIPE!$Q$8,GERAL[Dia],"&lt;=" &amp;PROD_EQUIPE!$R$8)</f>
        <v>0</v>
      </c>
      <c r="K31" s="122">
        <f ca="1">SUMIFS(GERAL[IHM],GERAL[Equipe],PROD_EQUIPE!B31,GERAL[Dia],"&gt;=" &amp;PROD_EQUIPE!$Q$8,GERAL[Dia],"&lt;=" &amp;PROD_EQUIPE!$R$8)</f>
        <v>0</v>
      </c>
      <c r="L31" s="122">
        <f ca="1">SUMIFS(GERAL[RHM],GERAL[Equipe],PROD_EQUIPE!B31,GERAL[Dia],"&gt;=" &amp;PROD_EQUIPE!$Q$8,GERAL[Dia],"&lt;=" &amp;PROD_EQUIPE!$R$8)</f>
        <v>0</v>
      </c>
      <c r="M31" s="123" t="str">
        <f t="shared" ca="1" si="6"/>
        <v/>
      </c>
      <c r="N31" s="123" t="str">
        <f t="shared" ca="1" si="7"/>
        <v/>
      </c>
      <c r="O31" s="123" t="str">
        <f t="shared" ca="1" si="8"/>
        <v/>
      </c>
      <c r="P31" s="123" t="str">
        <f t="shared" ca="1" si="9"/>
        <v/>
      </c>
      <c r="Q31" s="123" t="str">
        <f t="shared" ca="1" si="10"/>
        <v/>
      </c>
      <c r="R31" s="124" t="str">
        <f t="shared" ca="1" si="11"/>
        <v/>
      </c>
    </row>
    <row r="32" spans="3:18" ht="14.5" thickBot="1" x14ac:dyDescent="0.35">
      <c r="C32" s="117">
        <f t="shared" ref="C32:L32" ca="1" si="12">SUM(C11:C31)</f>
        <v>99</v>
      </c>
      <c r="D32" s="117">
        <f t="shared" ca="1" si="12"/>
        <v>176</v>
      </c>
      <c r="E32" s="117">
        <f t="shared" ca="1" si="12"/>
        <v>140</v>
      </c>
      <c r="F32" s="117">
        <f t="shared" ca="1" si="12"/>
        <v>1344.1</v>
      </c>
      <c r="G32" s="117">
        <f t="shared" ca="1" si="12"/>
        <v>444.4</v>
      </c>
      <c r="H32" s="117">
        <f t="shared" ca="1" si="12"/>
        <v>12</v>
      </c>
      <c r="I32" s="117">
        <f t="shared" ca="1" si="12"/>
        <v>11</v>
      </c>
      <c r="J32" s="117">
        <f t="shared" ca="1" si="12"/>
        <v>199</v>
      </c>
      <c r="K32" s="117">
        <f t="shared" ca="1" si="12"/>
        <v>107</v>
      </c>
      <c r="L32" s="117">
        <f t="shared" ca="1" si="12"/>
        <v>0</v>
      </c>
    </row>
    <row r="34" spans="2:18" ht="14.5" x14ac:dyDescent="0.35">
      <c r="J34" s="139" t="s">
        <v>259</v>
      </c>
      <c r="K34" s="139"/>
      <c r="L34" s="139"/>
      <c r="M34" s="96">
        <f t="shared" ref="M34:R34" ca="1" si="13">IFERROR(AVERAGE(M11:M31),"")</f>
        <v>1.6083291687489591</v>
      </c>
      <c r="N34" s="96">
        <f t="shared" ca="1" si="13"/>
        <v>1.2529163989433854</v>
      </c>
      <c r="O34" s="96">
        <f t="shared" ca="1" si="13"/>
        <v>12.631560886223554</v>
      </c>
      <c r="P34" s="96">
        <f t="shared" ca="1" si="13"/>
        <v>4.1821627281597298</v>
      </c>
      <c r="Q34" s="102">
        <f t="shared" ca="1" si="13"/>
        <v>16.813723614383285</v>
      </c>
      <c r="R34" s="102">
        <f t="shared" ca="1" si="13"/>
        <v>2.8612455676923445</v>
      </c>
    </row>
    <row r="35" spans="2:18" ht="14.15" customHeight="1" x14ac:dyDescent="0.35">
      <c r="J35" s="139" t="s">
        <v>260</v>
      </c>
      <c r="K35" s="139"/>
      <c r="L35" s="139"/>
      <c r="M35" s="101" cm="1">
        <f t="array" aca="1" ref="M35" ca="1">IFERROR(TRIMMEAN(IF(M11:M31&gt;0.01,M11:M31),40%),"")</f>
        <v>2.0104114609361989</v>
      </c>
      <c r="N35" s="101" cm="1">
        <f t="array" aca="1" ref="N35" ca="1">IFERROR(TRIMMEAN(IF(N11:N31&gt;0.01,N11:N31),40%),"")</f>
        <v>2.0881939982389759</v>
      </c>
      <c r="O35" s="101" cm="1">
        <f t="array" aca="1" ref="O35" ca="1">IFERROR(TRIMMEAN(IF(O11:O31&gt;0.01,O11:O31),40%),"")</f>
        <v>15.789451107779442</v>
      </c>
      <c r="P35" s="101" cm="1">
        <f t="array" aca="1" ref="P35" ca="1">IFERROR(TRIMMEAN(IF(P11:P31&gt;0.01,P11:P31),40%),"")</f>
        <v>5.2277034101996618</v>
      </c>
      <c r="Q35" s="103" cm="1">
        <f t="array" aca="1" ref="Q35" ca="1">IFERROR(TRIMMEAN(IF(Q11:Q31&gt;0.01,Q11:Q31),40%),"")</f>
        <v>21.017154517979105</v>
      </c>
      <c r="R35" s="103" cm="1">
        <f t="array" aca="1" ref="R35" ca="1">IFERROR(TRIMMEAN(IF(R11:R31&gt;0.01,R11:R31),40%),"")</f>
        <v>3.5765569596154307</v>
      </c>
    </row>
    <row r="36" spans="2:18" s="104" customFormat="1" ht="10.4" customHeight="1" x14ac:dyDescent="0.35">
      <c r="B36"/>
      <c r="J36" s="105"/>
      <c r="K36" s="105"/>
      <c r="L36" s="105"/>
      <c r="M36" s="106"/>
      <c r="N36" s="106"/>
      <c r="O36" s="106"/>
      <c r="P36" s="106"/>
      <c r="Q36" s="107"/>
      <c r="R36" s="107"/>
    </row>
    <row r="37" spans="2:18" s="2" customFormat="1" x14ac:dyDescent="0.3">
      <c r="B37"/>
    </row>
    <row r="38" spans="2:18" s="2" customFormat="1" x14ac:dyDescent="0.3">
      <c r="B38"/>
    </row>
    <row r="39" spans="2:18" s="2" customFormat="1" x14ac:dyDescent="0.3">
      <c r="B39"/>
    </row>
    <row r="40" spans="2:18" s="2" customFormat="1" x14ac:dyDescent="0.3">
      <c r="B40"/>
    </row>
  </sheetData>
  <mergeCells count="3">
    <mergeCell ref="S2:T3"/>
    <mergeCell ref="J34:L34"/>
    <mergeCell ref="J35:L35"/>
  </mergeCells>
  <conditionalFormatting sqref="B11:B31">
    <cfRule type="cellIs" dxfId="27" priority="2" operator="equal">
      <formula>"(vazio)"</formula>
    </cfRule>
  </conditionalFormatting>
  <conditionalFormatting sqref="B7:I8 P7:R8 B11:R31 C32:L32">
    <cfRule type="cellIs" dxfId="26" priority="8" operator="equal">
      <formula>0</formula>
    </cfRule>
  </conditionalFormatting>
  <conditionalFormatting sqref="B9:L10">
    <cfRule type="cellIs" dxfId="25" priority="1" operator="equal">
      <formula>0</formula>
    </cfRule>
  </conditionalFormatting>
  <conditionalFormatting sqref="M7:R10">
    <cfRule type="cellIs" dxfId="24" priority="3" operator="equal">
      <formula>0</formula>
    </cfRule>
  </conditionalFormatting>
  <dataValidations count="1">
    <dataValidation type="date" allowBlank="1" showInputMessage="1" showErrorMessage="1" sqref="Q8:R8" xr:uid="{138EDD12-45E3-4F6C-BF86-C9F55E4723EF}">
      <formula1>45658</formula1>
      <formula2>47514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1FF7-4578-4BCE-9136-BC4E3DB99D89}">
  <sheetPr codeName="Planilha3">
    <tabColor theme="5" tint="-0.249977111117893"/>
  </sheetPr>
  <dimension ref="A2:AB52"/>
  <sheetViews>
    <sheetView showGridLines="0" topLeftCell="A6" zoomScale="85" zoomScaleNormal="85" workbookViewId="0">
      <selection activeCell="R8" sqref="R8"/>
    </sheetView>
  </sheetViews>
  <sheetFormatPr defaultRowHeight="14" x14ac:dyDescent="0.3"/>
  <cols>
    <col min="2" max="2" width="23.08203125" bestFit="1" customWidth="1"/>
  </cols>
  <sheetData>
    <row r="2" spans="1:28" ht="18" x14ac:dyDescent="0.4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 t="s">
        <v>244</v>
      </c>
      <c r="T2" s="138"/>
      <c r="U2" s="2"/>
      <c r="V2" s="2"/>
      <c r="W2" s="2"/>
      <c r="X2" s="2"/>
      <c r="Y2" s="2"/>
      <c r="Z2" s="2"/>
      <c r="AA2" s="2"/>
      <c r="AB2" s="2"/>
    </row>
    <row r="3" spans="1:28" ht="18" x14ac:dyDescent="0.4">
      <c r="A3" s="2"/>
      <c r="B3" s="2"/>
      <c r="C3" s="2"/>
      <c r="D3" s="2"/>
      <c r="E3" s="3" t="s">
        <v>245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38"/>
      <c r="T3" s="138"/>
      <c r="U3" s="2"/>
      <c r="V3" s="2"/>
      <c r="W3" s="2"/>
      <c r="X3" s="2"/>
      <c r="Y3" s="2"/>
      <c r="Z3" s="2"/>
      <c r="AA3" s="2"/>
      <c r="AB3" s="2"/>
    </row>
    <row r="4" spans="1:28" x14ac:dyDescent="0.3">
      <c r="A4" s="2"/>
      <c r="B4" s="2"/>
      <c r="C4" s="2"/>
      <c r="D4" s="2"/>
      <c r="E4" s="4" t="s">
        <v>261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" x14ac:dyDescent="0.4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 thickBot="1" x14ac:dyDescent="0.35"/>
    <row r="7" spans="1:28" ht="14.5" x14ac:dyDescent="0.35">
      <c r="A7" s="125"/>
      <c r="B7" s="112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108" t="s">
        <v>247</v>
      </c>
      <c r="R7" s="109" t="s">
        <v>248</v>
      </c>
    </row>
    <row r="8" spans="1:28" ht="14.5" x14ac:dyDescent="0.35">
      <c r="A8" s="125"/>
      <c r="B8" s="130"/>
      <c r="P8" s="92" t="s">
        <v>249</v>
      </c>
      <c r="Q8" s="100">
        <v>46052</v>
      </c>
      <c r="R8" s="110">
        <f ca="1">TODAY()-1</f>
        <v>46133</v>
      </c>
      <c r="U8" s="26"/>
      <c r="V8" s="26"/>
    </row>
    <row r="9" spans="1:28" ht="14.5" thickBot="1" x14ac:dyDescent="0.35">
      <c r="A9" s="125"/>
      <c r="B9" s="130"/>
      <c r="R9" s="116"/>
      <c r="U9" s="26"/>
      <c r="V9" s="26"/>
    </row>
    <row r="10" spans="1:28" s="26" customFormat="1" ht="42" x14ac:dyDescent="0.3">
      <c r="A10" s="126"/>
      <c r="B10" s="132" t="s">
        <v>250</v>
      </c>
      <c r="C10" s="127" t="s">
        <v>251</v>
      </c>
      <c r="D10" s="118" t="s">
        <v>6</v>
      </c>
      <c r="E10" s="119" t="s">
        <v>7</v>
      </c>
      <c r="F10" s="118" t="s">
        <v>8</v>
      </c>
      <c r="G10" s="119" t="s">
        <v>9</v>
      </c>
      <c r="H10" s="118" t="s">
        <v>10</v>
      </c>
      <c r="I10" s="119" t="s">
        <v>11</v>
      </c>
      <c r="J10" s="118" t="s">
        <v>12</v>
      </c>
      <c r="K10" s="119" t="s">
        <v>13</v>
      </c>
      <c r="L10" s="118" t="s">
        <v>14</v>
      </c>
      <c r="M10" s="119" t="s">
        <v>252</v>
      </c>
      <c r="N10" s="119" t="s">
        <v>253</v>
      </c>
      <c r="O10" s="119" t="s">
        <v>254</v>
      </c>
      <c r="P10" s="119" t="s">
        <v>255</v>
      </c>
      <c r="Q10" s="119" t="s">
        <v>256</v>
      </c>
      <c r="R10" s="120" t="s">
        <v>257</v>
      </c>
    </row>
    <row r="11" spans="1:28" x14ac:dyDescent="0.3">
      <c r="A11" s="125"/>
      <c r="B11" s="115" t="s">
        <v>61</v>
      </c>
      <c r="C11" s="128">
        <f ca="1">COUNTIFS(GERAL[Dia Útil],"SIM",GERAL[Rua],B11,GERAL[Dia],"&gt;=" &amp;$Q$8,GERAL[Dia],"&lt;=" &amp;$R$8)</f>
        <v>5</v>
      </c>
      <c r="D11" s="98">
        <f ca="1">SUMIFS(GERAL[LA],GERAL[Rua],B11,GERAL[Dia],"&gt;=" &amp;$Q$8,GERAL[Dia],"&lt;=" &amp;$R$8)</f>
        <v>11</v>
      </c>
      <c r="E11" s="98">
        <f ca="1">SUMIFS(GERAL[LE],GERAL[Rua],B11,GERAL[Dia],"&gt;=" &amp;$Q$8,GERAL[Dia],"&lt;=" &amp;$R$8)</f>
        <v>12</v>
      </c>
      <c r="F11" s="98">
        <f ca="1">SUMIFS(GERAL[PRA],GERAL[Rua],B11,GERAL[Dia],"&gt;=" &amp;$Q$8,GERAL[Dia],"&lt;=" &amp;$R$8)</f>
        <v>0</v>
      </c>
      <c r="G11" s="98">
        <f ca="1">SUMIFS(GERAL[PRE],GERAL[Rua],B11,GERAL[Dia],"&gt;=" &amp;$Q$8,GERAL[Dia],"&lt;=" &amp;$R$8)</f>
        <v>0</v>
      </c>
      <c r="H11" s="98">
        <f ca="1">SUMIFS(GERAL[PV''s],GERAL[Rua],B11,GERAL[Dia],"&gt;=" &amp;$Q$8,GERAL[Dia],"&lt;=" &amp;$R$8)</f>
        <v>0</v>
      </c>
      <c r="I11" s="98">
        <f ca="1">SUMIFS(GERAL[LIE],GERAL[Rua],B11,GERAL[Dia],"&gt;=" &amp;$Q$8,GERAL[Dia],"&lt;=" &amp;$R$8)</f>
        <v>0</v>
      </c>
      <c r="J11" s="98">
        <f ca="1">SUMIFS(GERAL[LIA],GERAL[Rua],B11,GERAL[Dia],"&gt;=" &amp;$Q$8,GERAL[Dia],"&lt;=" &amp;$R$8)</f>
        <v>0</v>
      </c>
      <c r="K11" s="98">
        <f ca="1">SUMIFS(GERAL[IHM],GERAL[Rua],B11,GERAL[Dia],"&gt;=" &amp;$Q$8,GERAL[Dia],"&lt;=" &amp;$R$8)</f>
        <v>15</v>
      </c>
      <c r="L11" s="98">
        <f ca="1">SUMIFS(GERAL[RHM],GERAL[Rua],B11,GERAL[Dia],"&gt;=" &amp;$Q$8,GERAL[Dia],"&lt;=" &amp;$R$8)</f>
        <v>0</v>
      </c>
      <c r="M11" s="99">
        <f ca="1">IFERROR(D11/C11,"")</f>
        <v>2.2000000000000002</v>
      </c>
      <c r="N11" s="99">
        <f ca="1">IFERROR(E11/C11,"")</f>
        <v>2.4</v>
      </c>
      <c r="O11" s="99">
        <f ca="1">IFERROR(F11/C11,"")</f>
        <v>0</v>
      </c>
      <c r="P11" s="99">
        <f ca="1">IFERROR(G11/C11,"")</f>
        <v>0</v>
      </c>
      <c r="Q11" s="99">
        <f ca="1">IFERROR(SUM(F11:G11)/C11,"")</f>
        <v>0</v>
      </c>
      <c r="R11" s="121">
        <f ca="1">IFERROR(SUM(D11:E11)/C11,"")</f>
        <v>4.5999999999999996</v>
      </c>
    </row>
    <row r="12" spans="1:28" x14ac:dyDescent="0.3">
      <c r="A12" s="125"/>
      <c r="B12" s="115" t="s">
        <v>63</v>
      </c>
      <c r="C12" s="128">
        <f ca="1">COUNTIFS(GERAL[Dia Útil],"SIM",GERAL[Rua],B12,GERAL[Dia],"&gt;=" &amp;$Q$8,GERAL[Dia],"&lt;=" &amp;$R$8)</f>
        <v>1</v>
      </c>
      <c r="D12" s="98">
        <f ca="1">SUMIFS(GERAL[LA],GERAL[Rua],B12,GERAL[Dia],"&gt;=" &amp;$Q$8,GERAL[Dia],"&lt;=" &amp;$R$8)</f>
        <v>0</v>
      </c>
      <c r="E12" s="98">
        <f ca="1">SUMIFS(GERAL[LE],GERAL[Rua],B12,GERAL[Dia],"&gt;=" &amp;$Q$8,GERAL[Dia],"&lt;=" &amp;$R$8)</f>
        <v>0</v>
      </c>
      <c r="F12" s="98">
        <f ca="1">SUMIFS(GERAL[PRA],GERAL[Rua],B12,GERAL[Dia],"&gt;=" &amp;$Q$8,GERAL[Dia],"&lt;=" &amp;$R$8)</f>
        <v>30</v>
      </c>
      <c r="G12" s="98">
        <f ca="1">SUMIFS(GERAL[PRE],GERAL[Rua],B12,GERAL[Dia],"&gt;=" &amp;$Q$8,GERAL[Dia],"&lt;=" &amp;$R$8)</f>
        <v>0</v>
      </c>
      <c r="H12" s="98">
        <f ca="1">SUMIFS(GERAL[PV''s],GERAL[Rua],B12,GERAL[Dia],"&gt;=" &amp;$Q$8,GERAL[Dia],"&lt;=" &amp;$R$8)</f>
        <v>0</v>
      </c>
      <c r="I12" s="98">
        <f ca="1">SUMIFS(GERAL[LIE],GERAL[Rua],B12,GERAL[Dia],"&gt;=" &amp;$Q$8,GERAL[Dia],"&lt;=" &amp;$R$8)</f>
        <v>0</v>
      </c>
      <c r="J12" s="98">
        <f ca="1">SUMIFS(GERAL[LIA],GERAL[Rua],B12,GERAL[Dia],"&gt;=" &amp;$Q$8,GERAL[Dia],"&lt;=" &amp;$R$8)</f>
        <v>0</v>
      </c>
      <c r="K12" s="98">
        <f ca="1">SUMIFS(GERAL[IHM],GERAL[Rua],B12,GERAL[Dia],"&gt;=" &amp;$Q$8,GERAL[Dia],"&lt;=" &amp;$R$8)</f>
        <v>0</v>
      </c>
      <c r="L12" s="98">
        <f ca="1">SUMIFS(GERAL[RHM],GERAL[Rua],B12,GERAL[Dia],"&gt;=" &amp;$Q$8,GERAL[Dia],"&lt;=" &amp;$R$8)</f>
        <v>0</v>
      </c>
      <c r="M12" s="99">
        <f t="shared" ref="M12:M15" ca="1" si="0">IFERROR(D12/C12,"")</f>
        <v>0</v>
      </c>
      <c r="N12" s="99">
        <f t="shared" ref="N12:N15" ca="1" si="1">IFERROR(E12/C12,"")</f>
        <v>0</v>
      </c>
      <c r="O12" s="99">
        <f t="shared" ref="O12:O15" ca="1" si="2">IFERROR(F12/C12,"")</f>
        <v>30</v>
      </c>
      <c r="P12" s="99">
        <f t="shared" ref="P12:P15" ca="1" si="3">IFERROR(G12/C12,"")</f>
        <v>0</v>
      </c>
      <c r="Q12" s="99">
        <f t="shared" ref="Q12:Q15" ca="1" si="4">IFERROR(SUM(F12:G12)/C12,"")</f>
        <v>30</v>
      </c>
      <c r="R12" s="121">
        <f t="shared" ref="R12:R15" ca="1" si="5">IFERROR(SUM(D12:E12)/C12,"")</f>
        <v>0</v>
      </c>
    </row>
    <row r="13" spans="1:28" x14ac:dyDescent="0.3">
      <c r="A13" s="125"/>
      <c r="B13" s="115" t="s">
        <v>65</v>
      </c>
      <c r="C13" s="128">
        <f ca="1">COUNTIFS(GERAL[Dia Útil],"SIM",GERAL[Rua],B13,GERAL[Dia],"&gt;=" &amp;$Q$8,GERAL[Dia],"&lt;=" &amp;$R$8)</f>
        <v>1</v>
      </c>
      <c r="D13" s="98">
        <f ca="1">SUMIFS(GERAL[LA],GERAL[Rua],B13,GERAL[Dia],"&gt;=" &amp;$Q$8,GERAL[Dia],"&lt;=" &amp;$R$8)</f>
        <v>0</v>
      </c>
      <c r="E13" s="98">
        <f ca="1">SUMIFS(GERAL[LE],GERAL[Rua],B13,GERAL[Dia],"&gt;=" &amp;$Q$8,GERAL[Dia],"&lt;=" &amp;$R$8)</f>
        <v>0</v>
      </c>
      <c r="F13" s="98">
        <f ca="1">SUMIFS(GERAL[PRA],GERAL[Rua],B13,GERAL[Dia],"&gt;=" &amp;$Q$8,GERAL[Dia],"&lt;=" &amp;$R$8)</f>
        <v>0</v>
      </c>
      <c r="G13" s="98">
        <f ca="1">SUMIFS(GERAL[PRE],GERAL[Rua],B13,GERAL[Dia],"&gt;=" &amp;$Q$8,GERAL[Dia],"&lt;=" &amp;$R$8)</f>
        <v>0</v>
      </c>
      <c r="H13" s="98">
        <f ca="1">SUMIFS(GERAL[PV''s],GERAL[Rua],B13,GERAL[Dia],"&gt;=" &amp;$Q$8,GERAL[Dia],"&lt;=" &amp;$R$8)</f>
        <v>0</v>
      </c>
      <c r="I13" s="98">
        <f ca="1">SUMIFS(GERAL[LIE],GERAL[Rua],B13,GERAL[Dia],"&gt;=" &amp;$Q$8,GERAL[Dia],"&lt;=" &amp;$R$8)</f>
        <v>0</v>
      </c>
      <c r="J13" s="98">
        <f ca="1">SUMIFS(GERAL[LIA],GERAL[Rua],B13,GERAL[Dia],"&gt;=" &amp;$Q$8,GERAL[Dia],"&lt;=" &amp;$R$8)</f>
        <v>0</v>
      </c>
      <c r="K13" s="98">
        <f ca="1">SUMIFS(GERAL[IHM],GERAL[Rua],B13,GERAL[Dia],"&gt;=" &amp;$Q$8,GERAL[Dia],"&lt;=" &amp;$R$8)</f>
        <v>10</v>
      </c>
      <c r="L13" s="98">
        <f ca="1">SUMIFS(GERAL[RHM],GERAL[Rua],B13,GERAL[Dia],"&gt;=" &amp;$Q$8,GERAL[Dia],"&lt;=" &amp;$R$8)</f>
        <v>0</v>
      </c>
      <c r="M13" s="99">
        <f t="shared" ca="1" si="0"/>
        <v>0</v>
      </c>
      <c r="N13" s="99">
        <f t="shared" ca="1" si="1"/>
        <v>0</v>
      </c>
      <c r="O13" s="99">
        <f t="shared" ca="1" si="2"/>
        <v>0</v>
      </c>
      <c r="P13" s="99">
        <f t="shared" ca="1" si="3"/>
        <v>0</v>
      </c>
      <c r="Q13" s="99">
        <f t="shared" ca="1" si="4"/>
        <v>0</v>
      </c>
      <c r="R13" s="121">
        <f t="shared" ca="1" si="5"/>
        <v>0</v>
      </c>
    </row>
    <row r="14" spans="1:28" x14ac:dyDescent="0.3">
      <c r="A14" s="125"/>
      <c r="B14" s="115" t="s">
        <v>66</v>
      </c>
      <c r="C14" s="128">
        <f ca="1">COUNTIFS(GERAL[Dia Útil],"SIM",GERAL[Rua],B14,GERAL[Dia],"&gt;=" &amp;$Q$8,GERAL[Dia],"&lt;=" &amp;$R$8)</f>
        <v>1</v>
      </c>
      <c r="D14" s="98">
        <f ca="1">SUMIFS(GERAL[LA],GERAL[Rua],B14,GERAL[Dia],"&gt;=" &amp;$Q$8,GERAL[Dia],"&lt;=" &amp;$R$8)</f>
        <v>0</v>
      </c>
      <c r="E14" s="98">
        <f ca="1">SUMIFS(GERAL[LE],GERAL[Rua],B14,GERAL[Dia],"&gt;=" &amp;$Q$8,GERAL[Dia],"&lt;=" &amp;$R$8)</f>
        <v>0</v>
      </c>
      <c r="F14" s="98">
        <f ca="1">SUMIFS(GERAL[PRA],GERAL[Rua],B14,GERAL[Dia],"&gt;=" &amp;$Q$8,GERAL[Dia],"&lt;=" &amp;$R$8)</f>
        <v>0</v>
      </c>
      <c r="G14" s="98">
        <f ca="1">SUMIFS(GERAL[PRE],GERAL[Rua],B14,GERAL[Dia],"&gt;=" &amp;$Q$8,GERAL[Dia],"&lt;=" &amp;$R$8)</f>
        <v>0</v>
      </c>
      <c r="H14" s="98">
        <f ca="1">SUMIFS(GERAL[PV''s],GERAL[Rua],B14,GERAL[Dia],"&gt;=" &amp;$Q$8,GERAL[Dia],"&lt;=" &amp;$R$8)</f>
        <v>0</v>
      </c>
      <c r="I14" s="98">
        <f ca="1">SUMIFS(GERAL[LIE],GERAL[Rua],B14,GERAL[Dia],"&gt;=" &amp;$Q$8,GERAL[Dia],"&lt;=" &amp;$R$8)</f>
        <v>0</v>
      </c>
      <c r="J14" s="98">
        <f ca="1">SUMIFS(GERAL[LIA],GERAL[Rua],B14,GERAL[Dia],"&gt;=" &amp;$Q$8,GERAL[Dia],"&lt;=" &amp;$R$8)</f>
        <v>0</v>
      </c>
      <c r="K14" s="98">
        <f ca="1">SUMIFS(GERAL[IHM],GERAL[Rua],B14,GERAL[Dia],"&gt;=" &amp;$Q$8,GERAL[Dia],"&lt;=" &amp;$R$8)</f>
        <v>4</v>
      </c>
      <c r="L14" s="98">
        <f ca="1">SUMIFS(GERAL[RHM],GERAL[Rua],B14,GERAL[Dia],"&gt;=" &amp;$Q$8,GERAL[Dia],"&lt;=" &amp;$R$8)</f>
        <v>0</v>
      </c>
      <c r="M14" s="99">
        <f t="shared" ca="1" si="0"/>
        <v>0</v>
      </c>
      <c r="N14" s="99">
        <f t="shared" ca="1" si="1"/>
        <v>0</v>
      </c>
      <c r="O14" s="99">
        <f t="shared" ca="1" si="2"/>
        <v>0</v>
      </c>
      <c r="P14" s="99">
        <f t="shared" ca="1" si="3"/>
        <v>0</v>
      </c>
      <c r="Q14" s="99">
        <f t="shared" ca="1" si="4"/>
        <v>0</v>
      </c>
      <c r="R14" s="121">
        <f t="shared" ca="1" si="5"/>
        <v>0</v>
      </c>
    </row>
    <row r="15" spans="1:28" x14ac:dyDescent="0.3">
      <c r="A15" s="125"/>
      <c r="B15" s="115" t="s">
        <v>62</v>
      </c>
      <c r="C15" s="128">
        <f ca="1">COUNTIFS(GERAL[Dia Útil],"SIM",GERAL[Rua],B15,GERAL[Dia],"&gt;=" &amp;$Q$8,GERAL[Dia],"&lt;=" &amp;$R$8)</f>
        <v>2</v>
      </c>
      <c r="D15" s="98">
        <f ca="1">SUMIFS(GERAL[LA],GERAL[Rua],B15,GERAL[Dia],"&gt;=" &amp;$Q$8,GERAL[Dia],"&lt;=" &amp;$R$8)</f>
        <v>0</v>
      </c>
      <c r="E15" s="98">
        <f ca="1">SUMIFS(GERAL[LE],GERAL[Rua],B15,GERAL[Dia],"&gt;=" &amp;$Q$8,GERAL[Dia],"&lt;=" &amp;$R$8)</f>
        <v>0</v>
      </c>
      <c r="F15" s="98">
        <f ca="1">SUMIFS(GERAL[PRA],GERAL[Rua],B15,GERAL[Dia],"&gt;=" &amp;$Q$8,GERAL[Dia],"&lt;=" &amp;$R$8)</f>
        <v>0</v>
      </c>
      <c r="G15" s="98">
        <f ca="1">SUMIFS(GERAL[PRE],GERAL[Rua],B15,GERAL[Dia],"&gt;=" &amp;$Q$8,GERAL[Dia],"&lt;=" &amp;$R$8)</f>
        <v>0</v>
      </c>
      <c r="H15" s="98">
        <f ca="1">SUMIFS(GERAL[PV''s],GERAL[Rua],B15,GERAL[Dia],"&gt;=" &amp;$Q$8,GERAL[Dia],"&lt;=" &amp;$R$8)</f>
        <v>0</v>
      </c>
      <c r="I15" s="98">
        <f ca="1">SUMIFS(GERAL[LIE],GERAL[Rua],B15,GERAL[Dia],"&gt;=" &amp;$Q$8,GERAL[Dia],"&lt;=" &amp;$R$8)</f>
        <v>0</v>
      </c>
      <c r="J15" s="98">
        <f ca="1">SUMIFS(GERAL[LIA],GERAL[Rua],B15,GERAL[Dia],"&gt;=" &amp;$Q$8,GERAL[Dia],"&lt;=" &amp;$R$8)</f>
        <v>4</v>
      </c>
      <c r="K15" s="98">
        <f ca="1">SUMIFS(GERAL[IHM],GERAL[Rua],B15,GERAL[Dia],"&gt;=" &amp;$Q$8,GERAL[Dia],"&lt;=" &amp;$R$8)</f>
        <v>1</v>
      </c>
      <c r="L15" s="98">
        <f ca="1">SUMIFS(GERAL[RHM],GERAL[Rua],B15,GERAL[Dia],"&gt;=" &amp;$Q$8,GERAL[Dia],"&lt;=" &amp;$R$8)</f>
        <v>0</v>
      </c>
      <c r="M15" s="99">
        <f t="shared" ca="1" si="0"/>
        <v>0</v>
      </c>
      <c r="N15" s="99">
        <f t="shared" ca="1" si="1"/>
        <v>0</v>
      </c>
      <c r="O15" s="99">
        <f t="shared" ca="1" si="2"/>
        <v>0</v>
      </c>
      <c r="P15" s="99">
        <f t="shared" ca="1" si="3"/>
        <v>0</v>
      </c>
      <c r="Q15" s="99">
        <f t="shared" ca="1" si="4"/>
        <v>0</v>
      </c>
      <c r="R15" s="121">
        <f t="shared" ca="1" si="5"/>
        <v>0</v>
      </c>
    </row>
    <row r="16" spans="1:28" x14ac:dyDescent="0.3">
      <c r="A16" s="125"/>
      <c r="B16" s="115" t="s">
        <v>51</v>
      </c>
      <c r="C16" s="128">
        <f ca="1">COUNTIFS(GERAL[Dia Útil],"SIM",GERAL[Rua],B16,GERAL[Dia],"&gt;=" &amp;$Q$8,GERAL[Dia],"&lt;=" &amp;$R$8)</f>
        <v>2</v>
      </c>
      <c r="D16" s="98">
        <f ca="1">SUMIFS(GERAL[LA],GERAL[Rua],B16,GERAL[Dia],"&gt;=" &amp;$Q$8,GERAL[Dia],"&lt;=" &amp;$R$8)</f>
        <v>0</v>
      </c>
      <c r="E16" s="98">
        <f ca="1">SUMIFS(GERAL[LE],GERAL[Rua],B16,GERAL[Dia],"&gt;=" &amp;$Q$8,GERAL[Dia],"&lt;=" &amp;$R$8)</f>
        <v>0</v>
      </c>
      <c r="F16" s="98">
        <f ca="1">SUMIFS(GERAL[PRA],GERAL[Rua],B16,GERAL[Dia],"&gt;=" &amp;$Q$8,GERAL[Dia],"&lt;=" &amp;$R$8)</f>
        <v>0</v>
      </c>
      <c r="G16" s="98">
        <f ca="1">SUMIFS(GERAL[PRE],GERAL[Rua],B16,GERAL[Dia],"&gt;=" &amp;$Q$8,GERAL[Dia],"&lt;=" &amp;$R$8)</f>
        <v>13</v>
      </c>
      <c r="H16" s="98">
        <f ca="1">SUMIFS(GERAL[PV''s],GERAL[Rua],B16,GERAL[Dia],"&gt;=" &amp;$Q$8,GERAL[Dia],"&lt;=" &amp;$R$8)</f>
        <v>3</v>
      </c>
      <c r="I16" s="98">
        <f ca="1">SUMIFS(GERAL[LIE],GERAL[Rua],B16,GERAL[Dia],"&gt;=" &amp;$Q$8,GERAL[Dia],"&lt;=" &amp;$R$8)</f>
        <v>0</v>
      </c>
      <c r="J16" s="98">
        <f ca="1">SUMIFS(GERAL[LIA],GERAL[Rua],B16,GERAL[Dia],"&gt;=" &amp;$Q$8,GERAL[Dia],"&lt;=" &amp;$R$8)</f>
        <v>0</v>
      </c>
      <c r="K16" s="98">
        <f ca="1">SUMIFS(GERAL[IHM],GERAL[Rua],B16,GERAL[Dia],"&gt;=" &amp;$Q$8,GERAL[Dia],"&lt;=" &amp;$R$8)</f>
        <v>0</v>
      </c>
      <c r="L16" s="98">
        <f ca="1">SUMIFS(GERAL[RHM],GERAL[Rua],B16,GERAL[Dia],"&gt;=" &amp;$Q$8,GERAL[Dia],"&lt;=" &amp;$R$8)</f>
        <v>0</v>
      </c>
      <c r="M16" s="99">
        <f t="shared" ref="M16:M43" ca="1" si="6">IFERROR(D16/C16,"")</f>
        <v>0</v>
      </c>
      <c r="N16" s="99">
        <f t="shared" ref="N16:N43" ca="1" si="7">IFERROR(E16/C16,"")</f>
        <v>0</v>
      </c>
      <c r="O16" s="99">
        <f t="shared" ref="O16:O43" ca="1" si="8">IFERROR(F16/C16,"")</f>
        <v>0</v>
      </c>
      <c r="P16" s="99">
        <f t="shared" ref="P16:P43" ca="1" si="9">IFERROR(G16/C16,"")</f>
        <v>6.5</v>
      </c>
      <c r="Q16" s="99">
        <f t="shared" ref="Q16:Q43" ca="1" si="10">IFERROR(SUM(F16:G16)/C16,"")</f>
        <v>6.5</v>
      </c>
      <c r="R16" s="121">
        <f t="shared" ref="R16:R43" ca="1" si="11">IFERROR(SUM(D16:E16)/C16,"")</f>
        <v>0</v>
      </c>
    </row>
    <row r="17" spans="1:18" x14ac:dyDescent="0.3">
      <c r="A17" s="125"/>
      <c r="B17" s="115" t="s">
        <v>47</v>
      </c>
      <c r="C17" s="128">
        <f ca="1">COUNTIFS(GERAL[Dia Útil],"SIM",GERAL[Rua],B17,GERAL[Dia],"&gt;=" &amp;$Q$8,GERAL[Dia],"&lt;=" &amp;$R$8)</f>
        <v>13</v>
      </c>
      <c r="D17" s="98">
        <f ca="1">SUMIFS(GERAL[LA],GERAL[Rua],B17,GERAL[Dia],"&gt;=" &amp;$Q$8,GERAL[Dia],"&lt;=" &amp;$R$8)</f>
        <v>1</v>
      </c>
      <c r="E17" s="98">
        <f ca="1">SUMIFS(GERAL[LE],GERAL[Rua],B17,GERAL[Dia],"&gt;=" &amp;$Q$8,GERAL[Dia],"&lt;=" &amp;$R$8)</f>
        <v>26</v>
      </c>
      <c r="F17" s="98">
        <f ca="1">SUMIFS(GERAL[PRA],GERAL[Rua],B17,GERAL[Dia],"&gt;=" &amp;$Q$8,GERAL[Dia],"&lt;=" &amp;$R$8)</f>
        <v>0</v>
      </c>
      <c r="G17" s="98">
        <f ca="1">SUMIFS(GERAL[PRE],GERAL[Rua],B17,GERAL[Dia],"&gt;=" &amp;$Q$8,GERAL[Dia],"&lt;=" &amp;$R$8)</f>
        <v>92.4</v>
      </c>
      <c r="H17" s="98">
        <f ca="1">SUMIFS(GERAL[PV''s],GERAL[Rua],B17,GERAL[Dia],"&gt;=" &amp;$Q$8,GERAL[Dia],"&lt;=" &amp;$R$8)</f>
        <v>1</v>
      </c>
      <c r="I17" s="98">
        <f ca="1">SUMIFS(GERAL[LIE],GERAL[Rua],B17,GERAL[Dia],"&gt;=" &amp;$Q$8,GERAL[Dia],"&lt;=" &amp;$R$8)</f>
        <v>0</v>
      </c>
      <c r="J17" s="98">
        <f ca="1">SUMIFS(GERAL[LIA],GERAL[Rua],B17,GERAL[Dia],"&gt;=" &amp;$Q$8,GERAL[Dia],"&lt;=" &amp;$R$8)</f>
        <v>22</v>
      </c>
      <c r="K17" s="98">
        <f ca="1">SUMIFS(GERAL[IHM],GERAL[Rua],B17,GERAL[Dia],"&gt;=" &amp;$Q$8,GERAL[Dia],"&lt;=" &amp;$R$8)</f>
        <v>0</v>
      </c>
      <c r="L17" s="98">
        <f ca="1">SUMIFS(GERAL[RHM],GERAL[Rua],B17,GERAL[Dia],"&gt;=" &amp;$Q$8,GERAL[Dia],"&lt;=" &amp;$R$8)</f>
        <v>0</v>
      </c>
      <c r="M17" s="99">
        <f t="shared" ca="1" si="6"/>
        <v>7.6923076923076927E-2</v>
      </c>
      <c r="N17" s="99">
        <f t="shared" ca="1" si="7"/>
        <v>2</v>
      </c>
      <c r="O17" s="99">
        <f t="shared" ca="1" si="8"/>
        <v>0</v>
      </c>
      <c r="P17" s="99">
        <f t="shared" ca="1" si="9"/>
        <v>7.1076923076923082</v>
      </c>
      <c r="Q17" s="99">
        <f t="shared" ca="1" si="10"/>
        <v>7.1076923076923082</v>
      </c>
      <c r="R17" s="121">
        <f t="shared" ca="1" si="11"/>
        <v>2.0769230769230771</v>
      </c>
    </row>
    <row r="18" spans="1:18" x14ac:dyDescent="0.3">
      <c r="A18" s="125"/>
      <c r="B18" s="115" t="s">
        <v>59</v>
      </c>
      <c r="C18" s="128">
        <f ca="1">COUNTIFS(GERAL[Dia Útil],"SIM",GERAL[Rua],B18,GERAL[Dia],"&gt;=" &amp;$Q$8,GERAL[Dia],"&lt;=" &amp;$R$8)</f>
        <v>7</v>
      </c>
      <c r="D18" s="98">
        <f ca="1">SUMIFS(GERAL[LA],GERAL[Rua],B18,GERAL[Dia],"&gt;=" &amp;$Q$8,GERAL[Dia],"&lt;=" &amp;$R$8)</f>
        <v>6</v>
      </c>
      <c r="E18" s="98">
        <f ca="1">SUMIFS(GERAL[LE],GERAL[Rua],B18,GERAL[Dia],"&gt;=" &amp;$Q$8,GERAL[Dia],"&lt;=" &amp;$R$8)</f>
        <v>8</v>
      </c>
      <c r="F18" s="98">
        <f ca="1">SUMIFS(GERAL[PRA],GERAL[Rua],B18,GERAL[Dia],"&gt;=" &amp;$Q$8,GERAL[Dia],"&lt;=" &amp;$R$8)</f>
        <v>95</v>
      </c>
      <c r="G18" s="98">
        <f ca="1">SUMIFS(GERAL[PRE],GERAL[Rua],B18,GERAL[Dia],"&gt;=" &amp;$Q$8,GERAL[Dia],"&lt;=" &amp;$R$8)</f>
        <v>68</v>
      </c>
      <c r="H18" s="98">
        <f ca="1">SUMIFS(GERAL[PV''s],GERAL[Rua],B18,GERAL[Dia],"&gt;=" &amp;$Q$8,GERAL[Dia],"&lt;=" &amp;$R$8)</f>
        <v>1</v>
      </c>
      <c r="I18" s="98">
        <f ca="1">SUMIFS(GERAL[LIE],GERAL[Rua],B18,GERAL[Dia],"&gt;=" &amp;$Q$8,GERAL[Dia],"&lt;=" &amp;$R$8)</f>
        <v>0</v>
      </c>
      <c r="J18" s="98">
        <f ca="1">SUMIFS(GERAL[LIA],GERAL[Rua],B18,GERAL[Dia],"&gt;=" &amp;$Q$8,GERAL[Dia],"&lt;=" &amp;$R$8)</f>
        <v>0</v>
      </c>
      <c r="K18" s="98">
        <f ca="1">SUMIFS(GERAL[IHM],GERAL[Rua],B18,GERAL[Dia],"&gt;=" &amp;$Q$8,GERAL[Dia],"&lt;=" &amp;$R$8)</f>
        <v>0</v>
      </c>
      <c r="L18" s="98">
        <f ca="1">SUMIFS(GERAL[RHM],GERAL[Rua],B18,GERAL[Dia],"&gt;=" &amp;$Q$8,GERAL[Dia],"&lt;=" &amp;$R$8)</f>
        <v>0</v>
      </c>
      <c r="M18" s="99">
        <f t="shared" ca="1" si="6"/>
        <v>0.8571428571428571</v>
      </c>
      <c r="N18" s="99">
        <f t="shared" ca="1" si="7"/>
        <v>1.1428571428571428</v>
      </c>
      <c r="O18" s="99">
        <f t="shared" ca="1" si="8"/>
        <v>13.571428571428571</v>
      </c>
      <c r="P18" s="99">
        <f t="shared" ca="1" si="9"/>
        <v>9.7142857142857135</v>
      </c>
      <c r="Q18" s="99">
        <f t="shared" ca="1" si="10"/>
        <v>23.285714285714285</v>
      </c>
      <c r="R18" s="121">
        <f t="shared" ca="1" si="11"/>
        <v>2</v>
      </c>
    </row>
    <row r="19" spans="1:18" x14ac:dyDescent="0.3">
      <c r="A19" s="125"/>
      <c r="B19" s="115" t="s">
        <v>57</v>
      </c>
      <c r="C19" s="128">
        <f ca="1">COUNTIFS(GERAL[Dia Útil],"SIM",GERAL[Rua],B19,GERAL[Dia],"&gt;=" &amp;$Q$8,GERAL[Dia],"&lt;=" &amp;$R$8)</f>
        <v>0</v>
      </c>
      <c r="D19" s="98">
        <f ca="1">SUMIFS(GERAL[LA],GERAL[Rua],B19,GERAL[Dia],"&gt;=" &amp;$Q$8,GERAL[Dia],"&lt;=" &amp;$R$8)</f>
        <v>0</v>
      </c>
      <c r="E19" s="98">
        <f ca="1">SUMIFS(GERAL[LE],GERAL[Rua],B19,GERAL[Dia],"&gt;=" &amp;$Q$8,GERAL[Dia],"&lt;=" &amp;$R$8)</f>
        <v>0</v>
      </c>
      <c r="F19" s="98">
        <f ca="1">SUMIFS(GERAL[PRA],GERAL[Rua],B19,GERAL[Dia],"&gt;=" &amp;$Q$8,GERAL[Dia],"&lt;=" &amp;$R$8)</f>
        <v>0</v>
      </c>
      <c r="G19" s="98">
        <f ca="1">SUMIFS(GERAL[PRE],GERAL[Rua],B19,GERAL[Dia],"&gt;=" &amp;$Q$8,GERAL[Dia],"&lt;=" &amp;$R$8)</f>
        <v>0</v>
      </c>
      <c r="H19" s="98">
        <f ca="1">SUMIFS(GERAL[PV''s],GERAL[Rua],B19,GERAL[Dia],"&gt;=" &amp;$Q$8,GERAL[Dia],"&lt;=" &amp;$R$8)</f>
        <v>0</v>
      </c>
      <c r="I19" s="98">
        <f ca="1">SUMIFS(GERAL[LIE],GERAL[Rua],B19,GERAL[Dia],"&gt;=" &amp;$Q$8,GERAL[Dia],"&lt;=" &amp;$R$8)</f>
        <v>0</v>
      </c>
      <c r="J19" s="98">
        <f ca="1">SUMIFS(GERAL[LIA],GERAL[Rua],B19,GERAL[Dia],"&gt;=" &amp;$Q$8,GERAL[Dia],"&lt;=" &amp;$R$8)</f>
        <v>0</v>
      </c>
      <c r="K19" s="98">
        <f ca="1">SUMIFS(GERAL[IHM],GERAL[Rua],B19,GERAL[Dia],"&gt;=" &amp;$Q$8,GERAL[Dia],"&lt;=" &amp;$R$8)</f>
        <v>0</v>
      </c>
      <c r="L19" s="98">
        <f ca="1">SUMIFS(GERAL[RHM],GERAL[Rua],B19,GERAL[Dia],"&gt;=" &amp;$Q$8,GERAL[Dia],"&lt;=" &amp;$R$8)</f>
        <v>0</v>
      </c>
      <c r="M19" s="99" t="str">
        <f t="shared" ca="1" si="6"/>
        <v/>
      </c>
      <c r="N19" s="99" t="str">
        <f t="shared" ca="1" si="7"/>
        <v/>
      </c>
      <c r="O19" s="99" t="str">
        <f t="shared" ca="1" si="8"/>
        <v/>
      </c>
      <c r="P19" s="99" t="str">
        <f t="shared" ca="1" si="9"/>
        <v/>
      </c>
      <c r="Q19" s="99" t="str">
        <f t="shared" ca="1" si="10"/>
        <v/>
      </c>
      <c r="R19" s="121" t="str">
        <f t="shared" ca="1" si="11"/>
        <v/>
      </c>
    </row>
    <row r="20" spans="1:18" x14ac:dyDescent="0.3">
      <c r="A20" s="125"/>
      <c r="B20" s="115" t="s">
        <v>38</v>
      </c>
      <c r="C20" s="128">
        <f ca="1">COUNTIFS(GERAL[Dia Útil],"SIM",GERAL[Rua],B20,GERAL[Dia],"&gt;=" &amp;$Q$8,GERAL[Dia],"&lt;=" &amp;$R$8)</f>
        <v>21</v>
      </c>
      <c r="D20" s="98">
        <f ca="1">SUMIFS(GERAL[LA],GERAL[Rua],B20,GERAL[Dia],"&gt;=" &amp;$Q$8,GERAL[Dia],"&lt;=" &amp;$R$8)</f>
        <v>70</v>
      </c>
      <c r="E20" s="98">
        <f ca="1">SUMIFS(GERAL[LE],GERAL[Rua],B20,GERAL[Dia],"&gt;=" &amp;$Q$8,GERAL[Dia],"&lt;=" &amp;$R$8)</f>
        <v>82</v>
      </c>
      <c r="F20" s="98">
        <f ca="1">SUMIFS(GERAL[PRA],GERAL[Rua],B20,GERAL[Dia],"&gt;=" &amp;$Q$8,GERAL[Dia],"&lt;=" &amp;$R$8)</f>
        <v>555.1</v>
      </c>
      <c r="G20" s="98">
        <f ca="1">SUMIFS(GERAL[PRE],GERAL[Rua],B20,GERAL[Dia],"&gt;=" &amp;$Q$8,GERAL[Dia],"&lt;=" &amp;$R$8)</f>
        <v>142</v>
      </c>
      <c r="H20" s="98">
        <f ca="1">SUMIFS(GERAL[PV''s],GERAL[Rua],B20,GERAL[Dia],"&gt;=" &amp;$Q$8,GERAL[Dia],"&lt;=" &amp;$R$8)</f>
        <v>7</v>
      </c>
      <c r="I20" s="98">
        <f ca="1">SUMIFS(GERAL[LIE],GERAL[Rua],B20,GERAL[Dia],"&gt;=" &amp;$Q$8,GERAL[Dia],"&lt;=" &amp;$R$8)</f>
        <v>9</v>
      </c>
      <c r="J20" s="98">
        <f ca="1">SUMIFS(GERAL[LIA],GERAL[Rua],B20,GERAL[Dia],"&gt;=" &amp;$Q$8,GERAL[Dia],"&lt;=" &amp;$R$8)</f>
        <v>97</v>
      </c>
      <c r="K20" s="98">
        <f ca="1">SUMIFS(GERAL[IHM],GERAL[Rua],B20,GERAL[Dia],"&gt;=" &amp;$Q$8,GERAL[Dia],"&lt;=" &amp;$R$8)</f>
        <v>59</v>
      </c>
      <c r="L20" s="98">
        <f ca="1">SUMIFS(GERAL[RHM],GERAL[Rua],B20,GERAL[Dia],"&gt;=" &amp;$Q$8,GERAL[Dia],"&lt;=" &amp;$R$8)</f>
        <v>0</v>
      </c>
      <c r="M20" s="99">
        <f t="shared" ca="1" si="6"/>
        <v>3.3333333333333335</v>
      </c>
      <c r="N20" s="99">
        <f t="shared" ca="1" si="7"/>
        <v>3.9047619047619047</v>
      </c>
      <c r="O20" s="99">
        <f t="shared" ca="1" si="8"/>
        <v>26.433333333333334</v>
      </c>
      <c r="P20" s="99">
        <f t="shared" ca="1" si="9"/>
        <v>6.7619047619047619</v>
      </c>
      <c r="Q20" s="99">
        <f t="shared" ca="1" si="10"/>
        <v>33.195238095238096</v>
      </c>
      <c r="R20" s="121">
        <f t="shared" ca="1" si="11"/>
        <v>7.2380952380952381</v>
      </c>
    </row>
    <row r="21" spans="1:18" x14ac:dyDescent="0.3">
      <c r="A21" s="125"/>
      <c r="B21" s="115" t="s">
        <v>44</v>
      </c>
      <c r="C21" s="128">
        <f ca="1">COUNTIFS(GERAL[Dia Útil],"SIM",GERAL[Rua],B21,GERAL[Dia],"&gt;=" &amp;$Q$8,GERAL[Dia],"&lt;=" &amp;$R$8)</f>
        <v>3</v>
      </c>
      <c r="D21" s="98">
        <f ca="1">SUMIFS(GERAL[LA],GERAL[Rua],B21,GERAL[Dia],"&gt;=" &amp;$Q$8,GERAL[Dia],"&lt;=" &amp;$R$8)</f>
        <v>9</v>
      </c>
      <c r="E21" s="98">
        <f ca="1">SUMIFS(GERAL[LE],GERAL[Rua],B21,GERAL[Dia],"&gt;=" &amp;$Q$8,GERAL[Dia],"&lt;=" &amp;$R$8)</f>
        <v>1</v>
      </c>
      <c r="F21" s="98">
        <f ca="1">SUMIFS(GERAL[PRA],GERAL[Rua],B21,GERAL[Dia],"&gt;=" &amp;$Q$8,GERAL[Dia],"&lt;=" &amp;$R$8)</f>
        <v>15</v>
      </c>
      <c r="G21" s="98">
        <f ca="1">SUMIFS(GERAL[PRE],GERAL[Rua],B21,GERAL[Dia],"&gt;=" &amp;$Q$8,GERAL[Dia],"&lt;=" &amp;$R$8)</f>
        <v>0</v>
      </c>
      <c r="H21" s="98">
        <f ca="1">SUMIFS(GERAL[PV''s],GERAL[Rua],B21,GERAL[Dia],"&gt;=" &amp;$Q$8,GERAL[Dia],"&lt;=" &amp;$R$8)</f>
        <v>0</v>
      </c>
      <c r="I21" s="98">
        <f ca="1">SUMIFS(GERAL[LIE],GERAL[Rua],B21,GERAL[Dia],"&gt;=" &amp;$Q$8,GERAL[Dia],"&lt;=" &amp;$R$8)</f>
        <v>0</v>
      </c>
      <c r="J21" s="98">
        <f ca="1">SUMIFS(GERAL[LIA],GERAL[Rua],B21,GERAL[Dia],"&gt;=" &amp;$Q$8,GERAL[Dia],"&lt;=" &amp;$R$8)</f>
        <v>1</v>
      </c>
      <c r="K21" s="98">
        <f ca="1">SUMIFS(GERAL[IHM],GERAL[Rua],B21,GERAL[Dia],"&gt;=" &amp;$Q$8,GERAL[Dia],"&lt;=" &amp;$R$8)</f>
        <v>1</v>
      </c>
      <c r="L21" s="98">
        <f ca="1">SUMIFS(GERAL[RHM],GERAL[Rua],B21,GERAL[Dia],"&gt;=" &amp;$Q$8,GERAL[Dia],"&lt;=" &amp;$R$8)</f>
        <v>0</v>
      </c>
      <c r="M21" s="99">
        <f t="shared" ca="1" si="6"/>
        <v>3</v>
      </c>
      <c r="N21" s="99">
        <f t="shared" ca="1" si="7"/>
        <v>0.33333333333333331</v>
      </c>
      <c r="O21" s="99">
        <f t="shared" ca="1" si="8"/>
        <v>5</v>
      </c>
      <c r="P21" s="99">
        <f t="shared" ca="1" si="9"/>
        <v>0</v>
      </c>
      <c r="Q21" s="99">
        <f t="shared" ca="1" si="10"/>
        <v>5</v>
      </c>
      <c r="R21" s="121">
        <f t="shared" ca="1" si="11"/>
        <v>3.3333333333333335</v>
      </c>
    </row>
    <row r="22" spans="1:18" x14ac:dyDescent="0.3">
      <c r="A22" s="125"/>
      <c r="B22" s="115" t="s">
        <v>52</v>
      </c>
      <c r="C22" s="128">
        <f ca="1">COUNTIFS(GERAL[Dia Útil],"SIM",GERAL[Rua],B22,GERAL[Dia],"&gt;=" &amp;$Q$8,GERAL[Dia],"&lt;=" &amp;$R$8)</f>
        <v>8</v>
      </c>
      <c r="D22" s="98">
        <f ca="1">SUMIFS(GERAL[LA],GERAL[Rua],B22,GERAL[Dia],"&gt;=" &amp;$Q$8,GERAL[Dia],"&lt;=" &amp;$R$8)</f>
        <v>20</v>
      </c>
      <c r="E22" s="98">
        <f ca="1">SUMIFS(GERAL[LE],GERAL[Rua],B22,GERAL[Dia],"&gt;=" &amp;$Q$8,GERAL[Dia],"&lt;=" &amp;$R$8)</f>
        <v>10</v>
      </c>
      <c r="F22" s="98">
        <f ca="1">SUMIFS(GERAL[PRA],GERAL[Rua],B22,GERAL[Dia],"&gt;=" &amp;$Q$8,GERAL[Dia],"&lt;=" &amp;$R$8)</f>
        <v>25</v>
      </c>
      <c r="G22" s="98">
        <f ca="1">SUMIFS(GERAL[PRE],GERAL[Rua],B22,GERAL[Dia],"&gt;=" &amp;$Q$8,GERAL[Dia],"&lt;=" &amp;$R$8)</f>
        <v>18</v>
      </c>
      <c r="H22" s="98">
        <f ca="1">SUMIFS(GERAL[PV''s],GERAL[Rua],B22,GERAL[Dia],"&gt;=" &amp;$Q$8,GERAL[Dia],"&lt;=" &amp;$R$8)</f>
        <v>0</v>
      </c>
      <c r="I22" s="98">
        <f ca="1">SUMIFS(GERAL[LIE],GERAL[Rua],B22,GERAL[Dia],"&gt;=" &amp;$Q$8,GERAL[Dia],"&lt;=" &amp;$R$8)</f>
        <v>2</v>
      </c>
      <c r="J22" s="98">
        <f ca="1">SUMIFS(GERAL[LIA],GERAL[Rua],B22,GERAL[Dia],"&gt;=" &amp;$Q$8,GERAL[Dia],"&lt;=" &amp;$R$8)</f>
        <v>14</v>
      </c>
      <c r="K22" s="98">
        <f ca="1">SUMIFS(GERAL[IHM],GERAL[Rua],B22,GERAL[Dia],"&gt;=" &amp;$Q$8,GERAL[Dia],"&lt;=" &amp;$R$8)</f>
        <v>4</v>
      </c>
      <c r="L22" s="98">
        <f ca="1">SUMIFS(GERAL[RHM],GERAL[Rua],B22,GERAL[Dia],"&gt;=" &amp;$Q$8,GERAL[Dia],"&lt;=" &amp;$R$8)</f>
        <v>0</v>
      </c>
      <c r="M22" s="99">
        <f t="shared" ca="1" si="6"/>
        <v>2.5</v>
      </c>
      <c r="N22" s="99">
        <f t="shared" ca="1" si="7"/>
        <v>1.25</v>
      </c>
      <c r="O22" s="99">
        <f t="shared" ca="1" si="8"/>
        <v>3.125</v>
      </c>
      <c r="P22" s="99">
        <f t="shared" ca="1" si="9"/>
        <v>2.25</v>
      </c>
      <c r="Q22" s="99">
        <f t="shared" ca="1" si="10"/>
        <v>5.375</v>
      </c>
      <c r="R22" s="121">
        <f t="shared" ca="1" si="11"/>
        <v>3.75</v>
      </c>
    </row>
    <row r="23" spans="1:18" x14ac:dyDescent="0.3">
      <c r="A23" s="125"/>
      <c r="B23" s="115" t="s">
        <v>45</v>
      </c>
      <c r="C23" s="128">
        <f ca="1">COUNTIFS(GERAL[Dia Útil],"SIM",GERAL[Rua],B23,GERAL[Dia],"&gt;=" &amp;$Q$8,GERAL[Dia],"&lt;=" &amp;$R$8)</f>
        <v>2</v>
      </c>
      <c r="D23" s="98">
        <f ca="1">SUMIFS(GERAL[LA],GERAL[Rua],B23,GERAL[Dia],"&gt;=" &amp;$Q$8,GERAL[Dia],"&lt;=" &amp;$R$8)</f>
        <v>0</v>
      </c>
      <c r="E23" s="98">
        <f ca="1">SUMIFS(GERAL[LE],GERAL[Rua],B23,GERAL[Dia],"&gt;=" &amp;$Q$8,GERAL[Dia],"&lt;=" &amp;$R$8)</f>
        <v>0</v>
      </c>
      <c r="F23" s="98">
        <f ca="1">SUMIFS(GERAL[PRA],GERAL[Rua],B23,GERAL[Dia],"&gt;=" &amp;$Q$8,GERAL[Dia],"&lt;=" &amp;$R$8)</f>
        <v>0</v>
      </c>
      <c r="G23" s="98">
        <f ca="1">SUMIFS(GERAL[PRE],GERAL[Rua],B23,GERAL[Dia],"&gt;=" &amp;$Q$8,GERAL[Dia],"&lt;=" &amp;$R$8)</f>
        <v>0</v>
      </c>
      <c r="H23" s="98">
        <f ca="1">SUMIFS(GERAL[PV''s],GERAL[Rua],B23,GERAL[Dia],"&gt;=" &amp;$Q$8,GERAL[Dia],"&lt;=" &amp;$R$8)</f>
        <v>0</v>
      </c>
      <c r="I23" s="98">
        <f ca="1">SUMIFS(GERAL[LIE],GERAL[Rua],B23,GERAL[Dia],"&gt;=" &amp;$Q$8,GERAL[Dia],"&lt;=" &amp;$R$8)</f>
        <v>0</v>
      </c>
      <c r="J23" s="98">
        <f ca="1">SUMIFS(GERAL[LIA],GERAL[Rua],B23,GERAL[Dia],"&gt;=" &amp;$Q$8,GERAL[Dia],"&lt;=" &amp;$R$8)</f>
        <v>6</v>
      </c>
      <c r="K23" s="98">
        <f ca="1">SUMIFS(GERAL[IHM],GERAL[Rua],B23,GERAL[Dia],"&gt;=" &amp;$Q$8,GERAL[Dia],"&lt;=" &amp;$R$8)</f>
        <v>0</v>
      </c>
      <c r="L23" s="98">
        <f ca="1">SUMIFS(GERAL[RHM],GERAL[Rua],B23,GERAL[Dia],"&gt;=" &amp;$Q$8,GERAL[Dia],"&lt;=" &amp;$R$8)</f>
        <v>0</v>
      </c>
      <c r="M23" s="99">
        <f t="shared" ca="1" si="6"/>
        <v>0</v>
      </c>
      <c r="N23" s="99">
        <f t="shared" ca="1" si="7"/>
        <v>0</v>
      </c>
      <c r="O23" s="99">
        <f t="shared" ca="1" si="8"/>
        <v>0</v>
      </c>
      <c r="P23" s="99">
        <f t="shared" ca="1" si="9"/>
        <v>0</v>
      </c>
      <c r="Q23" s="99">
        <f t="shared" ca="1" si="10"/>
        <v>0</v>
      </c>
      <c r="R23" s="121">
        <f t="shared" ca="1" si="11"/>
        <v>0</v>
      </c>
    </row>
    <row r="24" spans="1:18" x14ac:dyDescent="0.3">
      <c r="A24" s="125"/>
      <c r="B24" s="115" t="s">
        <v>64</v>
      </c>
      <c r="C24" s="128">
        <f ca="1">COUNTIFS(GERAL[Dia Útil],"SIM",GERAL[Rua],B24,GERAL[Dia],"&gt;=" &amp;$Q$8,GERAL[Dia],"&lt;=" &amp;$R$8)</f>
        <v>1</v>
      </c>
      <c r="D24" s="98">
        <f ca="1">SUMIFS(GERAL[LA],GERAL[Rua],B24,GERAL[Dia],"&gt;=" &amp;$Q$8,GERAL[Dia],"&lt;=" &amp;$R$8)</f>
        <v>0</v>
      </c>
      <c r="E24" s="98">
        <f ca="1">SUMIFS(GERAL[LE],GERAL[Rua],B24,GERAL[Dia],"&gt;=" &amp;$Q$8,GERAL[Dia],"&lt;=" &amp;$R$8)</f>
        <v>2</v>
      </c>
      <c r="F24" s="98">
        <f ca="1">SUMIFS(GERAL[PRA],GERAL[Rua],B24,GERAL[Dia],"&gt;=" &amp;$Q$8,GERAL[Dia],"&lt;=" &amp;$R$8)</f>
        <v>0</v>
      </c>
      <c r="G24" s="98">
        <f ca="1">SUMIFS(GERAL[PRE],GERAL[Rua],B24,GERAL[Dia],"&gt;=" &amp;$Q$8,GERAL[Dia],"&lt;=" &amp;$R$8)</f>
        <v>9</v>
      </c>
      <c r="H24" s="98">
        <f ca="1">SUMIFS(GERAL[PV''s],GERAL[Rua],B24,GERAL[Dia],"&gt;=" &amp;$Q$8,GERAL[Dia],"&lt;=" &amp;$R$8)</f>
        <v>0</v>
      </c>
      <c r="I24" s="98">
        <f ca="1">SUMIFS(GERAL[LIE],GERAL[Rua],B24,GERAL[Dia],"&gt;=" &amp;$Q$8,GERAL[Dia],"&lt;=" &amp;$R$8)</f>
        <v>0</v>
      </c>
      <c r="J24" s="98">
        <f ca="1">SUMIFS(GERAL[LIA],GERAL[Rua],B24,GERAL[Dia],"&gt;=" &amp;$Q$8,GERAL[Dia],"&lt;=" &amp;$R$8)</f>
        <v>0</v>
      </c>
      <c r="K24" s="98">
        <f ca="1">SUMIFS(GERAL[IHM],GERAL[Rua],B24,GERAL[Dia],"&gt;=" &amp;$Q$8,GERAL[Dia],"&lt;=" &amp;$R$8)</f>
        <v>0</v>
      </c>
      <c r="L24" s="98">
        <f ca="1">SUMIFS(GERAL[RHM],GERAL[Rua],B24,GERAL[Dia],"&gt;=" &amp;$Q$8,GERAL[Dia],"&lt;=" &amp;$R$8)</f>
        <v>0</v>
      </c>
      <c r="M24" s="99">
        <f t="shared" ca="1" si="6"/>
        <v>0</v>
      </c>
      <c r="N24" s="99">
        <f t="shared" ca="1" si="7"/>
        <v>2</v>
      </c>
      <c r="O24" s="99">
        <f t="shared" ca="1" si="8"/>
        <v>0</v>
      </c>
      <c r="P24" s="99">
        <f t="shared" ca="1" si="9"/>
        <v>9</v>
      </c>
      <c r="Q24" s="99">
        <f t="shared" ca="1" si="10"/>
        <v>9</v>
      </c>
      <c r="R24" s="121">
        <f t="shared" ca="1" si="11"/>
        <v>2</v>
      </c>
    </row>
    <row r="25" spans="1:18" x14ac:dyDescent="0.3">
      <c r="A25" s="125"/>
      <c r="B25" s="115" t="s">
        <v>60</v>
      </c>
      <c r="C25" s="128">
        <f ca="1">COUNTIFS(GERAL[Dia Útil],"SIM",GERAL[Rua],B25,GERAL[Dia],"&gt;=" &amp;$Q$8,GERAL[Dia],"&lt;=" &amp;$R$8)</f>
        <v>2</v>
      </c>
      <c r="D25" s="98">
        <f ca="1">SUMIFS(GERAL[LA],GERAL[Rua],B25,GERAL[Dia],"&gt;=" &amp;$Q$8,GERAL[Dia],"&lt;=" &amp;$R$8)</f>
        <v>1</v>
      </c>
      <c r="E25" s="98">
        <f ca="1">SUMIFS(GERAL[LE],GERAL[Rua],B25,GERAL[Dia],"&gt;=" &amp;$Q$8,GERAL[Dia],"&lt;=" &amp;$R$8)</f>
        <v>0</v>
      </c>
      <c r="F25" s="98">
        <f ca="1">SUMIFS(GERAL[PRA],GERAL[Rua],B25,GERAL[Dia],"&gt;=" &amp;$Q$8,GERAL[Dia],"&lt;=" &amp;$R$8)</f>
        <v>35</v>
      </c>
      <c r="G25" s="98">
        <f ca="1">SUMIFS(GERAL[PRE],GERAL[Rua],B25,GERAL[Dia],"&gt;=" &amp;$Q$8,GERAL[Dia],"&lt;=" &amp;$R$8)</f>
        <v>0</v>
      </c>
      <c r="H25" s="98">
        <f ca="1">SUMIFS(GERAL[PV''s],GERAL[Rua],B25,GERAL[Dia],"&gt;=" &amp;$Q$8,GERAL[Dia],"&lt;=" &amp;$R$8)</f>
        <v>0</v>
      </c>
      <c r="I25" s="98">
        <f ca="1">SUMIFS(GERAL[LIE],GERAL[Rua],B25,GERAL[Dia],"&gt;=" &amp;$Q$8,GERAL[Dia],"&lt;=" &amp;$R$8)</f>
        <v>0</v>
      </c>
      <c r="J25" s="98">
        <f ca="1">SUMIFS(GERAL[LIA],GERAL[Rua],B25,GERAL[Dia],"&gt;=" &amp;$Q$8,GERAL[Dia],"&lt;=" &amp;$R$8)</f>
        <v>0</v>
      </c>
      <c r="K25" s="98">
        <f ca="1">SUMIFS(GERAL[IHM],GERAL[Rua],B25,GERAL[Dia],"&gt;=" &amp;$Q$8,GERAL[Dia],"&lt;=" &amp;$R$8)</f>
        <v>0</v>
      </c>
      <c r="L25" s="98">
        <f ca="1">SUMIFS(GERAL[RHM],GERAL[Rua],B25,GERAL[Dia],"&gt;=" &amp;$Q$8,GERAL[Dia],"&lt;=" &amp;$R$8)</f>
        <v>0</v>
      </c>
      <c r="M25" s="99">
        <f t="shared" ca="1" si="6"/>
        <v>0.5</v>
      </c>
      <c r="N25" s="99">
        <f t="shared" ca="1" si="7"/>
        <v>0</v>
      </c>
      <c r="O25" s="99">
        <f t="shared" ca="1" si="8"/>
        <v>17.5</v>
      </c>
      <c r="P25" s="99">
        <f t="shared" ca="1" si="9"/>
        <v>0</v>
      </c>
      <c r="Q25" s="99">
        <f t="shared" ca="1" si="10"/>
        <v>17.5</v>
      </c>
      <c r="R25" s="121">
        <f t="shared" ca="1" si="11"/>
        <v>0.5</v>
      </c>
    </row>
    <row r="26" spans="1:18" x14ac:dyDescent="0.3">
      <c r="A26" s="125"/>
      <c r="B26" s="115" t="s">
        <v>54</v>
      </c>
      <c r="C26" s="128">
        <f ca="1">COUNTIFS(GERAL[Dia Útil],"SIM",GERAL[Rua],B26,GERAL[Dia],"&gt;=" &amp;$Q$8,GERAL[Dia],"&lt;=" &amp;$R$8)</f>
        <v>2</v>
      </c>
      <c r="D26" s="98">
        <f ca="1">SUMIFS(GERAL[LA],GERAL[Rua],B26,GERAL[Dia],"&gt;=" &amp;$Q$8,GERAL[Dia],"&lt;=" &amp;$R$8)</f>
        <v>2</v>
      </c>
      <c r="E26" s="98">
        <f ca="1">SUMIFS(GERAL[LE],GERAL[Rua],B26,GERAL[Dia],"&gt;=" &amp;$Q$8,GERAL[Dia],"&lt;=" &amp;$R$8)</f>
        <v>3</v>
      </c>
      <c r="F26" s="98">
        <f ca="1">SUMIFS(GERAL[PRA],GERAL[Rua],B26,GERAL[Dia],"&gt;=" &amp;$Q$8,GERAL[Dia],"&lt;=" &amp;$R$8)</f>
        <v>0</v>
      </c>
      <c r="G26" s="98">
        <f ca="1">SUMIFS(GERAL[PRE],GERAL[Rua],B26,GERAL[Dia],"&gt;=" &amp;$Q$8,GERAL[Dia],"&lt;=" &amp;$R$8)</f>
        <v>12</v>
      </c>
      <c r="H26" s="98">
        <f ca="1">SUMIFS(GERAL[PV''s],GERAL[Rua],B26,GERAL[Dia],"&gt;=" &amp;$Q$8,GERAL[Dia],"&lt;=" &amp;$R$8)</f>
        <v>0</v>
      </c>
      <c r="I26" s="98">
        <f ca="1">SUMIFS(GERAL[LIE],GERAL[Rua],B26,GERAL[Dia],"&gt;=" &amp;$Q$8,GERAL[Dia],"&lt;=" &amp;$R$8)</f>
        <v>0</v>
      </c>
      <c r="J26" s="98">
        <f ca="1">SUMIFS(GERAL[LIA],GERAL[Rua],B26,GERAL[Dia],"&gt;=" &amp;$Q$8,GERAL[Dia],"&lt;=" &amp;$R$8)</f>
        <v>1</v>
      </c>
      <c r="K26" s="98">
        <f ca="1">SUMIFS(GERAL[IHM],GERAL[Rua],B26,GERAL[Dia],"&gt;=" &amp;$Q$8,GERAL[Dia],"&lt;=" &amp;$R$8)</f>
        <v>2</v>
      </c>
      <c r="L26" s="98">
        <f ca="1">SUMIFS(GERAL[RHM],GERAL[Rua],B26,GERAL[Dia],"&gt;=" &amp;$Q$8,GERAL[Dia],"&lt;=" &amp;$R$8)</f>
        <v>0</v>
      </c>
      <c r="M26" s="99">
        <f t="shared" ca="1" si="6"/>
        <v>1</v>
      </c>
      <c r="N26" s="99">
        <f t="shared" ca="1" si="7"/>
        <v>1.5</v>
      </c>
      <c r="O26" s="99">
        <f t="shared" ca="1" si="8"/>
        <v>0</v>
      </c>
      <c r="P26" s="99">
        <f t="shared" ca="1" si="9"/>
        <v>6</v>
      </c>
      <c r="Q26" s="99">
        <f t="shared" ca="1" si="10"/>
        <v>6</v>
      </c>
      <c r="R26" s="121">
        <f t="shared" ca="1" si="11"/>
        <v>2.5</v>
      </c>
    </row>
    <row r="27" spans="1:18" x14ac:dyDescent="0.3">
      <c r="A27" s="125"/>
      <c r="B27" s="115" t="s">
        <v>53</v>
      </c>
      <c r="C27" s="128">
        <f ca="1">COUNTIFS(GERAL[Dia Útil],"SIM",GERAL[Rua],B27,GERAL[Dia],"&gt;=" &amp;$Q$8,GERAL[Dia],"&lt;=" &amp;$R$8)</f>
        <v>10</v>
      </c>
      <c r="D27" s="98">
        <f ca="1">SUMIFS(GERAL[LA],GERAL[Rua],B27,GERAL[Dia],"&gt;=" &amp;$Q$8,GERAL[Dia],"&lt;=" &amp;$R$8)</f>
        <v>30</v>
      </c>
      <c r="E27" s="98">
        <f ca="1">SUMIFS(GERAL[LE],GERAL[Rua],B27,GERAL[Dia],"&gt;=" &amp;$Q$8,GERAL[Dia],"&lt;=" &amp;$R$8)</f>
        <v>0</v>
      </c>
      <c r="F27" s="98">
        <f ca="1">SUMIFS(GERAL[PRA],GERAL[Rua],B27,GERAL[Dia],"&gt;=" &amp;$Q$8,GERAL[Dia],"&lt;=" &amp;$R$8)</f>
        <v>213</v>
      </c>
      <c r="G27" s="98">
        <f ca="1">SUMIFS(GERAL[PRE],GERAL[Rua],B27,GERAL[Dia],"&gt;=" &amp;$Q$8,GERAL[Dia],"&lt;=" &amp;$R$8)</f>
        <v>0</v>
      </c>
      <c r="H27" s="98">
        <f ca="1">SUMIFS(GERAL[PV''s],GERAL[Rua],B27,GERAL[Dia],"&gt;=" &amp;$Q$8,GERAL[Dia],"&lt;=" &amp;$R$8)</f>
        <v>0</v>
      </c>
      <c r="I27" s="98">
        <f ca="1">SUMIFS(GERAL[LIE],GERAL[Rua],B27,GERAL[Dia],"&gt;=" &amp;$Q$8,GERAL[Dia],"&lt;=" &amp;$R$8)</f>
        <v>0</v>
      </c>
      <c r="J27" s="98">
        <f ca="1">SUMIFS(GERAL[LIA],GERAL[Rua],B27,GERAL[Dia],"&gt;=" &amp;$Q$8,GERAL[Dia],"&lt;=" &amp;$R$8)</f>
        <v>7</v>
      </c>
      <c r="K27" s="98">
        <f ca="1">SUMIFS(GERAL[IHM],GERAL[Rua],B27,GERAL[Dia],"&gt;=" &amp;$Q$8,GERAL[Dia],"&lt;=" &amp;$R$8)</f>
        <v>11</v>
      </c>
      <c r="L27" s="98">
        <f ca="1">SUMIFS(GERAL[RHM],GERAL[Rua],B27,GERAL[Dia],"&gt;=" &amp;$Q$8,GERAL[Dia],"&lt;=" &amp;$R$8)</f>
        <v>0</v>
      </c>
      <c r="M27" s="99">
        <f t="shared" ca="1" si="6"/>
        <v>3</v>
      </c>
      <c r="N27" s="99">
        <f t="shared" ca="1" si="7"/>
        <v>0</v>
      </c>
      <c r="O27" s="99">
        <f t="shared" ca="1" si="8"/>
        <v>21.3</v>
      </c>
      <c r="P27" s="99">
        <f t="shared" ca="1" si="9"/>
        <v>0</v>
      </c>
      <c r="Q27" s="99">
        <f t="shared" ca="1" si="10"/>
        <v>21.3</v>
      </c>
      <c r="R27" s="121">
        <f t="shared" ca="1" si="11"/>
        <v>3</v>
      </c>
    </row>
    <row r="28" spans="1:18" x14ac:dyDescent="0.3">
      <c r="A28" s="125"/>
      <c r="B28" s="115" t="s">
        <v>58</v>
      </c>
      <c r="C28" s="128">
        <f ca="1">COUNTIFS(GERAL[Dia Útil],"SIM",GERAL[Rua],B28,GERAL[Dia],"&gt;=" &amp;$Q$8,GERAL[Dia],"&lt;=" &amp;$R$8)</f>
        <v>2</v>
      </c>
      <c r="D28" s="98">
        <f ca="1">SUMIFS(GERAL[LA],GERAL[Rua],B28,GERAL[Dia],"&gt;=" &amp;$Q$8,GERAL[Dia],"&lt;=" &amp;$R$8)</f>
        <v>0</v>
      </c>
      <c r="E28" s="98">
        <f ca="1">SUMIFS(GERAL[LE],GERAL[Rua],B28,GERAL[Dia],"&gt;=" &amp;$Q$8,GERAL[Dia],"&lt;=" &amp;$R$8)</f>
        <v>0</v>
      </c>
      <c r="F28" s="98">
        <f ca="1">SUMIFS(GERAL[PRA],GERAL[Rua],B28,GERAL[Dia],"&gt;=" &amp;$Q$8,GERAL[Dia],"&lt;=" &amp;$R$8)</f>
        <v>21</v>
      </c>
      <c r="G28" s="98">
        <f ca="1">SUMIFS(GERAL[PRE],GERAL[Rua],B28,GERAL[Dia],"&gt;=" &amp;$Q$8,GERAL[Dia],"&lt;=" &amp;$R$8)</f>
        <v>0</v>
      </c>
      <c r="H28" s="98">
        <f ca="1">SUMIFS(GERAL[PV''s],GERAL[Rua],B28,GERAL[Dia],"&gt;=" &amp;$Q$8,GERAL[Dia],"&lt;=" &amp;$R$8)</f>
        <v>0</v>
      </c>
      <c r="I28" s="98">
        <f ca="1">SUMIFS(GERAL[LIE],GERAL[Rua],B28,GERAL[Dia],"&gt;=" &amp;$Q$8,GERAL[Dia],"&lt;=" &amp;$R$8)</f>
        <v>0</v>
      </c>
      <c r="J28" s="98">
        <f ca="1">SUMIFS(GERAL[LIA],GERAL[Rua],B28,GERAL[Dia],"&gt;=" &amp;$Q$8,GERAL[Dia],"&lt;=" &amp;$R$8)</f>
        <v>2</v>
      </c>
      <c r="K28" s="98">
        <f ca="1">SUMIFS(GERAL[IHM],GERAL[Rua],B28,GERAL[Dia],"&gt;=" &amp;$Q$8,GERAL[Dia],"&lt;=" &amp;$R$8)</f>
        <v>0</v>
      </c>
      <c r="L28" s="98">
        <f ca="1">SUMIFS(GERAL[RHM],GERAL[Rua],B28,GERAL[Dia],"&gt;=" &amp;$Q$8,GERAL[Dia],"&lt;=" &amp;$R$8)</f>
        <v>0</v>
      </c>
      <c r="M28" s="99">
        <f t="shared" ca="1" si="6"/>
        <v>0</v>
      </c>
      <c r="N28" s="99">
        <f t="shared" ca="1" si="7"/>
        <v>0</v>
      </c>
      <c r="O28" s="99">
        <f t="shared" ca="1" si="8"/>
        <v>10.5</v>
      </c>
      <c r="P28" s="99">
        <f t="shared" ca="1" si="9"/>
        <v>0</v>
      </c>
      <c r="Q28" s="99">
        <f t="shared" ca="1" si="10"/>
        <v>10.5</v>
      </c>
      <c r="R28" s="121">
        <f t="shared" ca="1" si="11"/>
        <v>0</v>
      </c>
    </row>
    <row r="29" spans="1:18" x14ac:dyDescent="0.3">
      <c r="A29" s="125"/>
      <c r="B29" s="115" t="s">
        <v>56</v>
      </c>
      <c r="C29" s="128">
        <f ca="1">COUNTIFS(GERAL[Dia Útil],"SIM",GERAL[Rua],B29,GERAL[Dia],"&gt;=" &amp;$Q$8,GERAL[Dia],"&lt;=" &amp;$R$8)</f>
        <v>1</v>
      </c>
      <c r="D29" s="98">
        <f ca="1">SUMIFS(GERAL[LA],GERAL[Rua],B29,GERAL[Dia],"&gt;=" &amp;$Q$8,GERAL[Dia],"&lt;=" &amp;$R$8)</f>
        <v>0</v>
      </c>
      <c r="E29" s="98">
        <f ca="1">SUMIFS(GERAL[LE],GERAL[Rua],B29,GERAL[Dia],"&gt;=" &amp;$Q$8,GERAL[Dia],"&lt;=" &amp;$R$8)</f>
        <v>0</v>
      </c>
      <c r="F29" s="98">
        <f ca="1">SUMIFS(GERAL[PRA],GERAL[Rua],B29,GERAL[Dia],"&gt;=" &amp;$Q$8,GERAL[Dia],"&lt;=" &amp;$R$8)</f>
        <v>0</v>
      </c>
      <c r="G29" s="98">
        <f ca="1">SUMIFS(GERAL[PRE],GERAL[Rua],B29,GERAL[Dia],"&gt;=" &amp;$Q$8,GERAL[Dia],"&lt;=" &amp;$R$8)</f>
        <v>0</v>
      </c>
      <c r="H29" s="98">
        <f ca="1">SUMIFS(GERAL[PV''s],GERAL[Rua],B29,GERAL[Dia],"&gt;=" &amp;$Q$8,GERAL[Dia],"&lt;=" &amp;$R$8)</f>
        <v>0</v>
      </c>
      <c r="I29" s="98">
        <f ca="1">SUMIFS(GERAL[LIE],GERAL[Rua],B29,GERAL[Dia],"&gt;=" &amp;$Q$8,GERAL[Dia],"&lt;=" &amp;$R$8)</f>
        <v>0</v>
      </c>
      <c r="J29" s="98">
        <f ca="1">SUMIFS(GERAL[LIA],GERAL[Rua],B29,GERAL[Dia],"&gt;=" &amp;$Q$8,GERAL[Dia],"&lt;=" &amp;$R$8)</f>
        <v>7</v>
      </c>
      <c r="K29" s="98">
        <f ca="1">SUMIFS(GERAL[IHM],GERAL[Rua],B29,GERAL[Dia],"&gt;=" &amp;$Q$8,GERAL[Dia],"&lt;=" &amp;$R$8)</f>
        <v>0</v>
      </c>
      <c r="L29" s="98">
        <f ca="1">SUMIFS(GERAL[RHM],GERAL[Rua],B29,GERAL[Dia],"&gt;=" &amp;$Q$8,GERAL[Dia],"&lt;=" &amp;$R$8)</f>
        <v>0</v>
      </c>
      <c r="M29" s="99">
        <f t="shared" ca="1" si="6"/>
        <v>0</v>
      </c>
      <c r="N29" s="99">
        <f t="shared" ca="1" si="7"/>
        <v>0</v>
      </c>
      <c r="O29" s="99">
        <f t="shared" ca="1" si="8"/>
        <v>0</v>
      </c>
      <c r="P29" s="99">
        <f t="shared" ca="1" si="9"/>
        <v>0</v>
      </c>
      <c r="Q29" s="99">
        <f t="shared" ca="1" si="10"/>
        <v>0</v>
      </c>
      <c r="R29" s="121">
        <f t="shared" ca="1" si="11"/>
        <v>0</v>
      </c>
    </row>
    <row r="30" spans="1:18" x14ac:dyDescent="0.3">
      <c r="A30" s="125"/>
      <c r="B30" s="115" t="s">
        <v>55</v>
      </c>
      <c r="C30" s="128">
        <f ca="1">COUNTIFS(GERAL[Dia Útil],"SIM",GERAL[Rua],B30,GERAL[Dia],"&gt;=" &amp;$Q$8,GERAL[Dia],"&lt;=" &amp;$R$8)</f>
        <v>1</v>
      </c>
      <c r="D30" s="98">
        <f ca="1">SUMIFS(GERAL[LA],GERAL[Rua],B30,GERAL[Dia],"&gt;=" &amp;$Q$8,GERAL[Dia],"&lt;=" &amp;$R$8)</f>
        <v>0</v>
      </c>
      <c r="E30" s="98">
        <f ca="1">SUMIFS(GERAL[LE],GERAL[Rua],B30,GERAL[Dia],"&gt;=" &amp;$Q$8,GERAL[Dia],"&lt;=" &amp;$R$8)</f>
        <v>0</v>
      </c>
      <c r="F30" s="98">
        <f ca="1">SUMIFS(GERAL[PRA],GERAL[Rua],B30,GERAL[Dia],"&gt;=" &amp;$Q$8,GERAL[Dia],"&lt;=" &amp;$R$8)</f>
        <v>0</v>
      </c>
      <c r="G30" s="98">
        <f ca="1">SUMIFS(GERAL[PRE],GERAL[Rua],B30,GERAL[Dia],"&gt;=" &amp;$Q$8,GERAL[Dia],"&lt;=" &amp;$R$8)</f>
        <v>0</v>
      </c>
      <c r="H30" s="98">
        <f ca="1">SUMIFS(GERAL[PV''s],GERAL[Rua],B30,GERAL[Dia],"&gt;=" &amp;$Q$8,GERAL[Dia],"&lt;=" &amp;$R$8)</f>
        <v>0</v>
      </c>
      <c r="I30" s="98">
        <f ca="1">SUMIFS(GERAL[LIE],GERAL[Rua],B30,GERAL[Dia],"&gt;=" &amp;$Q$8,GERAL[Dia],"&lt;=" &amp;$R$8)</f>
        <v>0</v>
      </c>
      <c r="J30" s="98">
        <f ca="1">SUMIFS(GERAL[LIA],GERAL[Rua],B30,GERAL[Dia],"&gt;=" &amp;$Q$8,GERAL[Dia],"&lt;=" &amp;$R$8)</f>
        <v>12</v>
      </c>
      <c r="K30" s="98">
        <f ca="1">SUMIFS(GERAL[IHM],GERAL[Rua],B30,GERAL[Dia],"&gt;=" &amp;$Q$8,GERAL[Dia],"&lt;=" &amp;$R$8)</f>
        <v>0</v>
      </c>
      <c r="L30" s="98">
        <f ca="1">SUMIFS(GERAL[RHM],GERAL[Rua],B30,GERAL[Dia],"&gt;=" &amp;$Q$8,GERAL[Dia],"&lt;=" &amp;$R$8)</f>
        <v>0</v>
      </c>
      <c r="M30" s="99">
        <f t="shared" ca="1" si="6"/>
        <v>0</v>
      </c>
      <c r="N30" s="99">
        <f t="shared" ca="1" si="7"/>
        <v>0</v>
      </c>
      <c r="O30" s="99">
        <f t="shared" ca="1" si="8"/>
        <v>0</v>
      </c>
      <c r="P30" s="99">
        <f t="shared" ca="1" si="9"/>
        <v>0</v>
      </c>
      <c r="Q30" s="99">
        <f t="shared" ca="1" si="10"/>
        <v>0</v>
      </c>
      <c r="R30" s="121">
        <f t="shared" ca="1" si="11"/>
        <v>0</v>
      </c>
    </row>
    <row r="31" spans="1:18" x14ac:dyDescent="0.3">
      <c r="A31" s="125"/>
      <c r="B31" s="115" t="s">
        <v>49</v>
      </c>
      <c r="C31" s="128">
        <f ca="1">COUNTIFS(GERAL[Dia Útil],"SIM",GERAL[Rua],B31,GERAL[Dia],"&gt;=" &amp;$Q$8,GERAL[Dia],"&lt;=" &amp;$R$8)</f>
        <v>3</v>
      </c>
      <c r="D31" s="98">
        <f ca="1">SUMIFS(GERAL[LA],GERAL[Rua],B31,GERAL[Dia],"&gt;=" &amp;$Q$8,GERAL[Dia],"&lt;=" &amp;$R$8)</f>
        <v>0</v>
      </c>
      <c r="E31" s="98">
        <f ca="1">SUMIFS(GERAL[LE],GERAL[Rua],B31,GERAL[Dia],"&gt;=" &amp;$Q$8,GERAL[Dia],"&lt;=" &amp;$R$8)</f>
        <v>0</v>
      </c>
      <c r="F31" s="98">
        <f ca="1">SUMIFS(GERAL[PRA],GERAL[Rua],B31,GERAL[Dia],"&gt;=" &amp;$Q$8,GERAL[Dia],"&lt;=" &amp;$R$8)</f>
        <v>0</v>
      </c>
      <c r="G31" s="98">
        <f ca="1">SUMIFS(GERAL[PRE],GERAL[Rua],B31,GERAL[Dia],"&gt;=" &amp;$Q$8,GERAL[Dia],"&lt;=" &amp;$R$8)</f>
        <v>0</v>
      </c>
      <c r="H31" s="98">
        <f ca="1">SUMIFS(GERAL[PV''s],GERAL[Rua],B31,GERAL[Dia],"&gt;=" &amp;$Q$8,GERAL[Dia],"&lt;=" &amp;$R$8)</f>
        <v>0</v>
      </c>
      <c r="I31" s="98">
        <f ca="1">SUMIFS(GERAL[LIE],GERAL[Rua],B31,GERAL[Dia],"&gt;=" &amp;$Q$8,GERAL[Dia],"&lt;=" &amp;$R$8)</f>
        <v>0</v>
      </c>
      <c r="J31" s="98">
        <f ca="1">SUMIFS(GERAL[LIA],GERAL[Rua],B31,GERAL[Dia],"&gt;=" &amp;$Q$8,GERAL[Dia],"&lt;=" &amp;$R$8)</f>
        <v>19</v>
      </c>
      <c r="K31" s="98">
        <f ca="1">SUMIFS(GERAL[IHM],GERAL[Rua],B31,GERAL[Dia],"&gt;=" &amp;$Q$8,GERAL[Dia],"&lt;=" &amp;$R$8)</f>
        <v>0</v>
      </c>
      <c r="L31" s="98">
        <f ca="1">SUMIFS(GERAL[RHM],GERAL[Rua],B31,GERAL[Dia],"&gt;=" &amp;$Q$8,GERAL[Dia],"&lt;=" &amp;$R$8)</f>
        <v>0</v>
      </c>
      <c r="M31" s="99">
        <f t="shared" ca="1" si="6"/>
        <v>0</v>
      </c>
      <c r="N31" s="99">
        <f t="shared" ca="1" si="7"/>
        <v>0</v>
      </c>
      <c r="O31" s="99">
        <f t="shared" ca="1" si="8"/>
        <v>0</v>
      </c>
      <c r="P31" s="99">
        <f t="shared" ca="1" si="9"/>
        <v>0</v>
      </c>
      <c r="Q31" s="99">
        <f t="shared" ca="1" si="10"/>
        <v>0</v>
      </c>
      <c r="R31" s="121">
        <f t="shared" ca="1" si="11"/>
        <v>0</v>
      </c>
    </row>
    <row r="32" spans="1:18" x14ac:dyDescent="0.3">
      <c r="A32" s="125"/>
      <c r="B32" s="115" t="s">
        <v>258</v>
      </c>
      <c r="C32" s="128">
        <f ca="1">COUNTIFS(GERAL[Dia Útil],"SIM",GERAL[Rua],B32,GERAL[Dia],"&gt;=" &amp;$Q$8,GERAL[Dia],"&lt;=" &amp;$R$8)</f>
        <v>0</v>
      </c>
      <c r="D32" s="98">
        <f ca="1">SUMIFS(GERAL[LA],GERAL[Rua],B32,GERAL[Dia],"&gt;=" &amp;$Q$8,GERAL[Dia],"&lt;=" &amp;$R$8)</f>
        <v>0</v>
      </c>
      <c r="E32" s="98">
        <f ca="1">SUMIFS(GERAL[LE],GERAL[Rua],B32,GERAL[Dia],"&gt;=" &amp;$Q$8,GERAL[Dia],"&lt;=" &amp;$R$8)</f>
        <v>0</v>
      </c>
      <c r="F32" s="98">
        <f ca="1">SUMIFS(GERAL[PRA],GERAL[Rua],B32,GERAL[Dia],"&gt;=" &amp;$Q$8,GERAL[Dia],"&lt;=" &amp;$R$8)</f>
        <v>0</v>
      </c>
      <c r="G32" s="98">
        <f ca="1">SUMIFS(GERAL[PRE],GERAL[Rua],B32,GERAL[Dia],"&gt;=" &amp;$Q$8,GERAL[Dia],"&lt;=" &amp;$R$8)</f>
        <v>0</v>
      </c>
      <c r="H32" s="98">
        <f ca="1">SUMIFS(GERAL[PV''s],GERAL[Rua],B32,GERAL[Dia],"&gt;=" &amp;$Q$8,GERAL[Dia],"&lt;=" &amp;$R$8)</f>
        <v>0</v>
      </c>
      <c r="I32" s="98">
        <f ca="1">SUMIFS(GERAL[LIE],GERAL[Rua],B32,GERAL[Dia],"&gt;=" &amp;$Q$8,GERAL[Dia],"&lt;=" &amp;$R$8)</f>
        <v>0</v>
      </c>
      <c r="J32" s="98">
        <f ca="1">SUMIFS(GERAL[LIA],GERAL[Rua],B32,GERAL[Dia],"&gt;=" &amp;$Q$8,GERAL[Dia],"&lt;=" &amp;$R$8)</f>
        <v>0</v>
      </c>
      <c r="K32" s="98">
        <f ca="1">SUMIFS(GERAL[IHM],GERAL[Rua],B32,GERAL[Dia],"&gt;=" &amp;$Q$8,GERAL[Dia],"&lt;=" &amp;$R$8)</f>
        <v>0</v>
      </c>
      <c r="L32" s="98">
        <f ca="1">SUMIFS(GERAL[RHM],GERAL[Rua],B32,GERAL[Dia],"&gt;=" &amp;$Q$8,GERAL[Dia],"&lt;=" &amp;$R$8)</f>
        <v>0</v>
      </c>
      <c r="M32" s="99" t="str">
        <f t="shared" ca="1" si="6"/>
        <v/>
      </c>
      <c r="N32" s="99" t="str">
        <f t="shared" ca="1" si="7"/>
        <v/>
      </c>
      <c r="O32" s="99" t="str">
        <f t="shared" ca="1" si="8"/>
        <v/>
      </c>
      <c r="P32" s="99" t="str">
        <f t="shared" ca="1" si="9"/>
        <v/>
      </c>
      <c r="Q32" s="99" t="str">
        <f t="shared" ca="1" si="10"/>
        <v/>
      </c>
      <c r="R32" s="121" t="str">
        <f t="shared" ca="1" si="11"/>
        <v/>
      </c>
    </row>
    <row r="33" spans="1:18" x14ac:dyDescent="0.3">
      <c r="A33" s="125"/>
      <c r="C33" s="128">
        <f ca="1">COUNTIFS(GERAL[Dia Útil],"SIM",GERAL[Rua],B33,GERAL[Dia],"&gt;=" &amp;$Q$8,GERAL[Dia],"&lt;=" &amp;$R$8)</f>
        <v>0</v>
      </c>
      <c r="D33" s="98">
        <f ca="1">SUMIFS(GERAL[LA],GERAL[Rua],B33,GERAL[Dia],"&gt;=" &amp;$Q$8,GERAL[Dia],"&lt;=" &amp;$R$8)</f>
        <v>0</v>
      </c>
      <c r="E33" s="98">
        <f ca="1">SUMIFS(GERAL[LE],GERAL[Rua],B33,GERAL[Dia],"&gt;=" &amp;$Q$8,GERAL[Dia],"&lt;=" &amp;$R$8)</f>
        <v>0</v>
      </c>
      <c r="F33" s="98">
        <f ca="1">SUMIFS(GERAL[PRA],GERAL[Rua],B33,GERAL[Dia],"&gt;=" &amp;$Q$8,GERAL[Dia],"&lt;=" &amp;$R$8)</f>
        <v>0</v>
      </c>
      <c r="G33" s="98">
        <f ca="1">SUMIFS(GERAL[PRE],GERAL[Rua],B33,GERAL[Dia],"&gt;=" &amp;$Q$8,GERAL[Dia],"&lt;=" &amp;$R$8)</f>
        <v>0</v>
      </c>
      <c r="H33" s="98">
        <f ca="1">SUMIFS(GERAL[PV''s],GERAL[Rua],B33,GERAL[Dia],"&gt;=" &amp;$Q$8,GERAL[Dia],"&lt;=" &amp;$R$8)</f>
        <v>0</v>
      </c>
      <c r="I33" s="98">
        <f ca="1">SUMIFS(GERAL[LIE],GERAL[Rua],B33,GERAL[Dia],"&gt;=" &amp;$Q$8,GERAL[Dia],"&lt;=" &amp;$R$8)</f>
        <v>0</v>
      </c>
      <c r="J33" s="98">
        <f ca="1">SUMIFS(GERAL[LIA],GERAL[Rua],B33,GERAL[Dia],"&gt;=" &amp;$Q$8,GERAL[Dia],"&lt;=" &amp;$R$8)</f>
        <v>0</v>
      </c>
      <c r="K33" s="98">
        <f ca="1">SUMIFS(GERAL[IHM],GERAL[Rua],B33,GERAL[Dia],"&gt;=" &amp;$Q$8,GERAL[Dia],"&lt;=" &amp;$R$8)</f>
        <v>0</v>
      </c>
      <c r="L33" s="98">
        <f ca="1">SUMIFS(GERAL[RHM],GERAL[Rua],B33,GERAL[Dia],"&gt;=" &amp;$Q$8,GERAL[Dia],"&lt;=" &amp;$R$8)</f>
        <v>0</v>
      </c>
      <c r="M33" s="99" t="str">
        <f t="shared" ca="1" si="6"/>
        <v/>
      </c>
      <c r="N33" s="99" t="str">
        <f t="shared" ca="1" si="7"/>
        <v/>
      </c>
      <c r="O33" s="99" t="str">
        <f t="shared" ca="1" si="8"/>
        <v/>
      </c>
      <c r="P33" s="99" t="str">
        <f t="shared" ca="1" si="9"/>
        <v/>
      </c>
      <c r="Q33" s="99" t="str">
        <f t="shared" ca="1" si="10"/>
        <v/>
      </c>
      <c r="R33" s="121" t="str">
        <f t="shared" ca="1" si="11"/>
        <v/>
      </c>
    </row>
    <row r="34" spans="1:18" x14ac:dyDescent="0.3">
      <c r="A34" s="125"/>
      <c r="C34" s="128">
        <f ca="1">COUNTIFS(GERAL[Dia Útil],"SIM",GERAL[Rua],B34,GERAL[Dia],"&gt;=" &amp;$Q$8,GERAL[Dia],"&lt;=" &amp;$R$8)</f>
        <v>0</v>
      </c>
      <c r="D34" s="98">
        <f ca="1">SUMIFS(GERAL[LA],GERAL[Rua],B34,GERAL[Dia],"&gt;=" &amp;$Q$8,GERAL[Dia],"&lt;=" &amp;$R$8)</f>
        <v>0</v>
      </c>
      <c r="E34" s="98">
        <f ca="1">SUMIFS(GERAL[LE],GERAL[Rua],B34,GERAL[Dia],"&gt;=" &amp;$Q$8,GERAL[Dia],"&lt;=" &amp;$R$8)</f>
        <v>0</v>
      </c>
      <c r="F34" s="98">
        <f ca="1">SUMIFS(GERAL[PRA],GERAL[Rua],B34,GERAL[Dia],"&gt;=" &amp;$Q$8,GERAL[Dia],"&lt;=" &amp;$R$8)</f>
        <v>0</v>
      </c>
      <c r="G34" s="98">
        <f ca="1">SUMIFS(GERAL[PRE],GERAL[Rua],B34,GERAL[Dia],"&gt;=" &amp;$Q$8,GERAL[Dia],"&lt;=" &amp;$R$8)</f>
        <v>0</v>
      </c>
      <c r="H34" s="98">
        <f ca="1">SUMIFS(GERAL[PV''s],GERAL[Rua],B34,GERAL[Dia],"&gt;=" &amp;$Q$8,GERAL[Dia],"&lt;=" &amp;$R$8)</f>
        <v>0</v>
      </c>
      <c r="I34" s="98">
        <f ca="1">SUMIFS(GERAL[LIE],GERAL[Rua],B34,GERAL[Dia],"&gt;=" &amp;$Q$8,GERAL[Dia],"&lt;=" &amp;$R$8)</f>
        <v>0</v>
      </c>
      <c r="J34" s="98">
        <f ca="1">SUMIFS(GERAL[LIA],GERAL[Rua],B34,GERAL[Dia],"&gt;=" &amp;$Q$8,GERAL[Dia],"&lt;=" &amp;$R$8)</f>
        <v>0</v>
      </c>
      <c r="K34" s="98">
        <f ca="1">SUMIFS(GERAL[IHM],GERAL[Rua],B34,GERAL[Dia],"&gt;=" &amp;$Q$8,GERAL[Dia],"&lt;=" &amp;$R$8)</f>
        <v>0</v>
      </c>
      <c r="L34" s="98">
        <f ca="1">SUMIFS(GERAL[RHM],GERAL[Rua],B34,GERAL[Dia],"&gt;=" &amp;$Q$8,GERAL[Dia],"&lt;=" &amp;$R$8)</f>
        <v>0</v>
      </c>
      <c r="M34" s="99" t="str">
        <f t="shared" ca="1" si="6"/>
        <v/>
      </c>
      <c r="N34" s="99" t="str">
        <f t="shared" ca="1" si="7"/>
        <v/>
      </c>
      <c r="O34" s="99" t="str">
        <f t="shared" ca="1" si="8"/>
        <v/>
      </c>
      <c r="P34" s="99" t="str">
        <f t="shared" ca="1" si="9"/>
        <v/>
      </c>
      <c r="Q34" s="99" t="str">
        <f t="shared" ca="1" si="10"/>
        <v/>
      </c>
      <c r="R34" s="121" t="str">
        <f t="shared" ca="1" si="11"/>
        <v/>
      </c>
    </row>
    <row r="35" spans="1:18" x14ac:dyDescent="0.3">
      <c r="A35" s="125"/>
      <c r="C35" s="128">
        <f ca="1">COUNTIFS(GERAL[Dia Útil],"SIM",GERAL[Rua],B35,GERAL[Dia],"&gt;=" &amp;$Q$8,GERAL[Dia],"&lt;=" &amp;$R$8)</f>
        <v>0</v>
      </c>
      <c r="D35" s="98">
        <f ca="1">SUMIFS(GERAL[LA],GERAL[Rua],B35,GERAL[Dia],"&gt;=" &amp;$Q$8,GERAL[Dia],"&lt;=" &amp;$R$8)</f>
        <v>0</v>
      </c>
      <c r="E35" s="98">
        <f ca="1">SUMIFS(GERAL[LE],GERAL[Rua],B35,GERAL[Dia],"&gt;=" &amp;$Q$8,GERAL[Dia],"&lt;=" &amp;$R$8)</f>
        <v>0</v>
      </c>
      <c r="F35" s="98">
        <f ca="1">SUMIFS(GERAL[PRA],GERAL[Rua],B35,GERAL[Dia],"&gt;=" &amp;$Q$8,GERAL[Dia],"&lt;=" &amp;$R$8)</f>
        <v>0</v>
      </c>
      <c r="G35" s="98">
        <f ca="1">SUMIFS(GERAL[PRE],GERAL[Rua],B35,GERAL[Dia],"&gt;=" &amp;$Q$8,GERAL[Dia],"&lt;=" &amp;$R$8)</f>
        <v>0</v>
      </c>
      <c r="H35" s="98">
        <f ca="1">SUMIFS(GERAL[PV''s],GERAL[Rua],B35,GERAL[Dia],"&gt;=" &amp;$Q$8,GERAL[Dia],"&lt;=" &amp;$R$8)</f>
        <v>0</v>
      </c>
      <c r="I35" s="98">
        <f ca="1">SUMIFS(GERAL[LIE],GERAL[Rua],B35,GERAL[Dia],"&gt;=" &amp;$Q$8,GERAL[Dia],"&lt;=" &amp;$R$8)</f>
        <v>0</v>
      </c>
      <c r="J35" s="98">
        <f ca="1">SUMIFS(GERAL[LIA],GERAL[Rua],B35,GERAL[Dia],"&gt;=" &amp;$Q$8,GERAL[Dia],"&lt;=" &amp;$R$8)</f>
        <v>0</v>
      </c>
      <c r="K35" s="98">
        <f ca="1">SUMIFS(GERAL[IHM],GERAL[Rua],B35,GERAL[Dia],"&gt;=" &amp;$Q$8,GERAL[Dia],"&lt;=" &amp;$R$8)</f>
        <v>0</v>
      </c>
      <c r="L35" s="98">
        <f ca="1">SUMIFS(GERAL[RHM],GERAL[Rua],B35,GERAL[Dia],"&gt;=" &amp;$Q$8,GERAL[Dia],"&lt;=" &amp;$R$8)</f>
        <v>0</v>
      </c>
      <c r="M35" s="99" t="str">
        <f t="shared" ca="1" si="6"/>
        <v/>
      </c>
      <c r="N35" s="99" t="str">
        <f t="shared" ca="1" si="7"/>
        <v/>
      </c>
      <c r="O35" s="99" t="str">
        <f t="shared" ca="1" si="8"/>
        <v/>
      </c>
      <c r="P35" s="99" t="str">
        <f t="shared" ca="1" si="9"/>
        <v/>
      </c>
      <c r="Q35" s="99" t="str">
        <f t="shared" ca="1" si="10"/>
        <v/>
      </c>
      <c r="R35" s="121" t="str">
        <f t="shared" ca="1" si="11"/>
        <v/>
      </c>
    </row>
    <row r="36" spans="1:18" x14ac:dyDescent="0.3">
      <c r="A36" s="125"/>
      <c r="C36" s="128">
        <f ca="1">COUNTIFS(GERAL[Dia Útil],"SIM",GERAL[Rua],B36,GERAL[Dia],"&gt;=" &amp;$Q$8,GERAL[Dia],"&lt;=" &amp;$R$8)</f>
        <v>0</v>
      </c>
      <c r="D36" s="98">
        <f ca="1">SUMIFS(GERAL[LA],GERAL[Rua],B36,GERAL[Dia],"&gt;=" &amp;$Q$8,GERAL[Dia],"&lt;=" &amp;$R$8)</f>
        <v>0</v>
      </c>
      <c r="E36" s="98">
        <f ca="1">SUMIFS(GERAL[LE],GERAL[Rua],B36,GERAL[Dia],"&gt;=" &amp;$Q$8,GERAL[Dia],"&lt;=" &amp;$R$8)</f>
        <v>0</v>
      </c>
      <c r="F36" s="98">
        <f ca="1">SUMIFS(GERAL[PRA],GERAL[Rua],B36,GERAL[Dia],"&gt;=" &amp;$Q$8,GERAL[Dia],"&lt;=" &amp;$R$8)</f>
        <v>0</v>
      </c>
      <c r="G36" s="98">
        <f ca="1">SUMIFS(GERAL[PRE],GERAL[Rua],B36,GERAL[Dia],"&gt;=" &amp;$Q$8,GERAL[Dia],"&lt;=" &amp;$R$8)</f>
        <v>0</v>
      </c>
      <c r="H36" s="98">
        <f ca="1">SUMIFS(GERAL[PV''s],GERAL[Rua],B36,GERAL[Dia],"&gt;=" &amp;$Q$8,GERAL[Dia],"&lt;=" &amp;$R$8)</f>
        <v>0</v>
      </c>
      <c r="I36" s="98">
        <f ca="1">SUMIFS(GERAL[LIE],GERAL[Rua],B36,GERAL[Dia],"&gt;=" &amp;$Q$8,GERAL[Dia],"&lt;=" &amp;$R$8)</f>
        <v>0</v>
      </c>
      <c r="J36" s="98">
        <f ca="1">SUMIFS(GERAL[LIA],GERAL[Rua],B36,GERAL[Dia],"&gt;=" &amp;$Q$8,GERAL[Dia],"&lt;=" &amp;$R$8)</f>
        <v>0</v>
      </c>
      <c r="K36" s="98">
        <f ca="1">SUMIFS(GERAL[IHM],GERAL[Rua],B36,GERAL[Dia],"&gt;=" &amp;$Q$8,GERAL[Dia],"&lt;=" &amp;$R$8)</f>
        <v>0</v>
      </c>
      <c r="L36" s="98">
        <f ca="1">SUMIFS(GERAL[RHM],GERAL[Rua],B36,GERAL[Dia],"&gt;=" &amp;$Q$8,GERAL[Dia],"&lt;=" &amp;$R$8)</f>
        <v>0</v>
      </c>
      <c r="M36" s="99" t="str">
        <f t="shared" ca="1" si="6"/>
        <v/>
      </c>
      <c r="N36" s="99" t="str">
        <f t="shared" ca="1" si="7"/>
        <v/>
      </c>
      <c r="O36" s="99" t="str">
        <f t="shared" ca="1" si="8"/>
        <v/>
      </c>
      <c r="P36" s="99" t="str">
        <f t="shared" ca="1" si="9"/>
        <v/>
      </c>
      <c r="Q36" s="99" t="str">
        <f t="shared" ca="1" si="10"/>
        <v/>
      </c>
      <c r="R36" s="121" t="str">
        <f t="shared" ca="1" si="11"/>
        <v/>
      </c>
    </row>
    <row r="37" spans="1:18" x14ac:dyDescent="0.3">
      <c r="A37" s="125"/>
      <c r="C37" s="128">
        <f ca="1">COUNTIFS(GERAL[Dia Útil],"SIM",GERAL[Rua],B37,GERAL[Dia],"&gt;=" &amp;$Q$8,GERAL[Dia],"&lt;=" &amp;$R$8)</f>
        <v>0</v>
      </c>
      <c r="D37" s="98">
        <f ca="1">SUMIFS(GERAL[LA],GERAL[Rua],B37,GERAL[Dia],"&gt;=" &amp;$Q$8,GERAL[Dia],"&lt;=" &amp;$R$8)</f>
        <v>0</v>
      </c>
      <c r="E37" s="98">
        <f ca="1">SUMIFS(GERAL[LE],GERAL[Rua],B37,GERAL[Dia],"&gt;=" &amp;$Q$8,GERAL[Dia],"&lt;=" &amp;$R$8)</f>
        <v>0</v>
      </c>
      <c r="F37" s="98">
        <f ca="1">SUMIFS(GERAL[PRA],GERAL[Rua],B37,GERAL[Dia],"&gt;=" &amp;$Q$8,GERAL[Dia],"&lt;=" &amp;$R$8)</f>
        <v>0</v>
      </c>
      <c r="G37" s="98">
        <f ca="1">SUMIFS(GERAL[PRE],GERAL[Rua],B37,GERAL[Dia],"&gt;=" &amp;$Q$8,GERAL[Dia],"&lt;=" &amp;$R$8)</f>
        <v>0</v>
      </c>
      <c r="H37" s="98">
        <f ca="1">SUMIFS(GERAL[PV''s],GERAL[Rua],B37,GERAL[Dia],"&gt;=" &amp;$Q$8,GERAL[Dia],"&lt;=" &amp;$R$8)</f>
        <v>0</v>
      </c>
      <c r="I37" s="98">
        <f ca="1">SUMIFS(GERAL[LIE],GERAL[Rua],B37,GERAL[Dia],"&gt;=" &amp;$Q$8,GERAL[Dia],"&lt;=" &amp;$R$8)</f>
        <v>0</v>
      </c>
      <c r="J37" s="98">
        <f ca="1">SUMIFS(GERAL[LIA],GERAL[Rua],B37,GERAL[Dia],"&gt;=" &amp;$Q$8,GERAL[Dia],"&lt;=" &amp;$R$8)</f>
        <v>0</v>
      </c>
      <c r="K37" s="98">
        <f ca="1">SUMIFS(GERAL[IHM],GERAL[Rua],B37,GERAL[Dia],"&gt;=" &amp;$Q$8,GERAL[Dia],"&lt;=" &amp;$R$8)</f>
        <v>0</v>
      </c>
      <c r="L37" s="98">
        <f ca="1">SUMIFS(GERAL[RHM],GERAL[Rua],B37,GERAL[Dia],"&gt;=" &amp;$Q$8,GERAL[Dia],"&lt;=" &amp;$R$8)</f>
        <v>0</v>
      </c>
      <c r="M37" s="99" t="str">
        <f t="shared" ca="1" si="6"/>
        <v/>
      </c>
      <c r="N37" s="99" t="str">
        <f t="shared" ca="1" si="7"/>
        <v/>
      </c>
      <c r="O37" s="99" t="str">
        <f t="shared" ca="1" si="8"/>
        <v/>
      </c>
      <c r="P37" s="99" t="str">
        <f t="shared" ca="1" si="9"/>
        <v/>
      </c>
      <c r="Q37" s="99" t="str">
        <f t="shared" ca="1" si="10"/>
        <v/>
      </c>
      <c r="R37" s="121" t="str">
        <f t="shared" ca="1" si="11"/>
        <v/>
      </c>
    </row>
    <row r="38" spans="1:18" x14ac:dyDescent="0.3">
      <c r="A38" s="125"/>
      <c r="C38" s="128">
        <f ca="1">COUNTIFS(GERAL[Dia Útil],"SIM",GERAL[Rua],B38,GERAL[Dia],"&gt;=" &amp;$Q$8,GERAL[Dia],"&lt;=" &amp;$R$8)</f>
        <v>0</v>
      </c>
      <c r="D38" s="98">
        <f ca="1">SUMIFS(GERAL[LA],GERAL[Rua],B38,GERAL[Dia],"&gt;=" &amp;$Q$8,GERAL[Dia],"&lt;=" &amp;$R$8)</f>
        <v>0</v>
      </c>
      <c r="E38" s="98">
        <f ca="1">SUMIFS(GERAL[LE],GERAL[Rua],B38,GERAL[Dia],"&gt;=" &amp;$Q$8,GERAL[Dia],"&lt;=" &amp;$R$8)</f>
        <v>0</v>
      </c>
      <c r="F38" s="98">
        <f ca="1">SUMIFS(GERAL[PRA],GERAL[Rua],B38,GERAL[Dia],"&gt;=" &amp;$Q$8,GERAL[Dia],"&lt;=" &amp;$R$8)</f>
        <v>0</v>
      </c>
      <c r="G38" s="98">
        <f ca="1">SUMIFS(GERAL[PRE],GERAL[Rua],B38,GERAL[Dia],"&gt;=" &amp;$Q$8,GERAL[Dia],"&lt;=" &amp;$R$8)</f>
        <v>0</v>
      </c>
      <c r="H38" s="98">
        <f ca="1">SUMIFS(GERAL[PV''s],GERAL[Rua],B38,GERAL[Dia],"&gt;=" &amp;$Q$8,GERAL[Dia],"&lt;=" &amp;$R$8)</f>
        <v>0</v>
      </c>
      <c r="I38" s="98">
        <f ca="1">SUMIFS(GERAL[LIE],GERAL[Rua],B38,GERAL[Dia],"&gt;=" &amp;$Q$8,GERAL[Dia],"&lt;=" &amp;$R$8)</f>
        <v>0</v>
      </c>
      <c r="J38" s="98">
        <f ca="1">SUMIFS(GERAL[LIA],GERAL[Rua],B38,GERAL[Dia],"&gt;=" &amp;$Q$8,GERAL[Dia],"&lt;=" &amp;$R$8)</f>
        <v>0</v>
      </c>
      <c r="K38" s="98">
        <f ca="1">SUMIFS(GERAL[IHM],GERAL[Rua],B38,GERAL[Dia],"&gt;=" &amp;$Q$8,GERAL[Dia],"&lt;=" &amp;$R$8)</f>
        <v>0</v>
      </c>
      <c r="L38" s="98">
        <f ca="1">SUMIFS(GERAL[RHM],GERAL[Rua],B38,GERAL[Dia],"&gt;=" &amp;$Q$8,GERAL[Dia],"&lt;=" &amp;$R$8)</f>
        <v>0</v>
      </c>
      <c r="M38" s="99" t="str">
        <f t="shared" ca="1" si="6"/>
        <v/>
      </c>
      <c r="N38" s="99" t="str">
        <f t="shared" ca="1" si="7"/>
        <v/>
      </c>
      <c r="O38" s="99" t="str">
        <f t="shared" ca="1" si="8"/>
        <v/>
      </c>
      <c r="P38" s="99" t="str">
        <f t="shared" ca="1" si="9"/>
        <v/>
      </c>
      <c r="Q38" s="99" t="str">
        <f t="shared" ca="1" si="10"/>
        <v/>
      </c>
      <c r="R38" s="121" t="str">
        <f t="shared" ca="1" si="11"/>
        <v/>
      </c>
    </row>
    <row r="39" spans="1:18" x14ac:dyDescent="0.3">
      <c r="A39" s="125"/>
      <c r="C39" s="128">
        <f ca="1">COUNTIFS(GERAL[Dia Útil],"SIM",GERAL[Rua],B39,GERAL[Dia],"&gt;=" &amp;$Q$8,GERAL[Dia],"&lt;=" &amp;$R$8)</f>
        <v>0</v>
      </c>
      <c r="D39" s="98">
        <f ca="1">SUMIFS(GERAL[LA],GERAL[Rua],B39,GERAL[Dia],"&gt;=" &amp;$Q$8,GERAL[Dia],"&lt;=" &amp;$R$8)</f>
        <v>0</v>
      </c>
      <c r="E39" s="98">
        <f ca="1">SUMIFS(GERAL[LE],GERAL[Rua],B39,GERAL[Dia],"&gt;=" &amp;$Q$8,GERAL[Dia],"&lt;=" &amp;$R$8)</f>
        <v>0</v>
      </c>
      <c r="F39" s="98">
        <f ca="1">SUMIFS(GERAL[PRA],GERAL[Rua],B39,GERAL[Dia],"&gt;=" &amp;$Q$8,GERAL[Dia],"&lt;=" &amp;$R$8)</f>
        <v>0</v>
      </c>
      <c r="G39" s="98">
        <f ca="1">SUMIFS(GERAL[PRE],GERAL[Rua],B39,GERAL[Dia],"&gt;=" &amp;$Q$8,GERAL[Dia],"&lt;=" &amp;$R$8)</f>
        <v>0</v>
      </c>
      <c r="H39" s="98">
        <f ca="1">SUMIFS(GERAL[PV''s],GERAL[Rua],B39,GERAL[Dia],"&gt;=" &amp;$Q$8,GERAL[Dia],"&lt;=" &amp;$R$8)</f>
        <v>0</v>
      </c>
      <c r="I39" s="98">
        <f ca="1">SUMIFS(GERAL[LIE],GERAL[Rua],B39,GERAL[Dia],"&gt;=" &amp;$Q$8,GERAL[Dia],"&lt;=" &amp;$R$8)</f>
        <v>0</v>
      </c>
      <c r="J39" s="98">
        <f ca="1">SUMIFS(GERAL[LIA],GERAL[Rua],B39,GERAL[Dia],"&gt;=" &amp;$Q$8,GERAL[Dia],"&lt;=" &amp;$R$8)</f>
        <v>0</v>
      </c>
      <c r="K39" s="98">
        <f ca="1">SUMIFS(GERAL[IHM],GERAL[Rua],B39,GERAL[Dia],"&gt;=" &amp;$Q$8,GERAL[Dia],"&lt;=" &amp;$R$8)</f>
        <v>0</v>
      </c>
      <c r="L39" s="98">
        <f ca="1">SUMIFS(GERAL[RHM],GERAL[Rua],B39,GERAL[Dia],"&gt;=" &amp;$Q$8,GERAL[Dia],"&lt;=" &amp;$R$8)</f>
        <v>0</v>
      </c>
      <c r="M39" s="99" t="str">
        <f t="shared" ca="1" si="6"/>
        <v/>
      </c>
      <c r="N39" s="99" t="str">
        <f t="shared" ca="1" si="7"/>
        <v/>
      </c>
      <c r="O39" s="99" t="str">
        <f t="shared" ca="1" si="8"/>
        <v/>
      </c>
      <c r="P39" s="99" t="str">
        <f t="shared" ca="1" si="9"/>
        <v/>
      </c>
      <c r="Q39" s="99" t="str">
        <f t="shared" ca="1" si="10"/>
        <v/>
      </c>
      <c r="R39" s="121" t="str">
        <f t="shared" ca="1" si="11"/>
        <v/>
      </c>
    </row>
    <row r="40" spans="1:18" x14ac:dyDescent="0.3">
      <c r="A40" s="125"/>
      <c r="C40" s="128">
        <f ca="1">COUNTIFS(GERAL[Dia Útil],"SIM",GERAL[Rua],B40,GERAL[Dia],"&gt;=" &amp;$Q$8,GERAL[Dia],"&lt;=" &amp;$R$8)</f>
        <v>0</v>
      </c>
      <c r="D40" s="98">
        <f ca="1">SUMIFS(GERAL[LA],GERAL[Rua],B40,GERAL[Dia],"&gt;=" &amp;$Q$8,GERAL[Dia],"&lt;=" &amp;$R$8)</f>
        <v>0</v>
      </c>
      <c r="E40" s="98">
        <f ca="1">SUMIFS(GERAL[LE],GERAL[Rua],B40,GERAL[Dia],"&gt;=" &amp;$Q$8,GERAL[Dia],"&lt;=" &amp;$R$8)</f>
        <v>0</v>
      </c>
      <c r="F40" s="98">
        <f ca="1">SUMIFS(GERAL[PRA],GERAL[Rua],B40,GERAL[Dia],"&gt;=" &amp;$Q$8,GERAL[Dia],"&lt;=" &amp;$R$8)</f>
        <v>0</v>
      </c>
      <c r="G40" s="98">
        <f ca="1">SUMIFS(GERAL[PRE],GERAL[Rua],B40,GERAL[Dia],"&gt;=" &amp;$Q$8,GERAL[Dia],"&lt;=" &amp;$R$8)</f>
        <v>0</v>
      </c>
      <c r="H40" s="98">
        <f ca="1">SUMIFS(GERAL[PV''s],GERAL[Rua],B40,GERAL[Dia],"&gt;=" &amp;$Q$8,GERAL[Dia],"&lt;=" &amp;$R$8)</f>
        <v>0</v>
      </c>
      <c r="I40" s="98">
        <f ca="1">SUMIFS(GERAL[LIE],GERAL[Rua],B40,GERAL[Dia],"&gt;=" &amp;$Q$8,GERAL[Dia],"&lt;=" &amp;$R$8)</f>
        <v>0</v>
      </c>
      <c r="J40" s="98">
        <f ca="1">SUMIFS(GERAL[LIA],GERAL[Rua],B40,GERAL[Dia],"&gt;=" &amp;$Q$8,GERAL[Dia],"&lt;=" &amp;$R$8)</f>
        <v>0</v>
      </c>
      <c r="K40" s="98">
        <f ca="1">SUMIFS(GERAL[IHM],GERAL[Rua],B40,GERAL[Dia],"&gt;=" &amp;$Q$8,GERAL[Dia],"&lt;=" &amp;$R$8)</f>
        <v>0</v>
      </c>
      <c r="L40" s="98">
        <f ca="1">SUMIFS(GERAL[RHM],GERAL[Rua],B40,GERAL[Dia],"&gt;=" &amp;$Q$8,GERAL[Dia],"&lt;=" &amp;$R$8)</f>
        <v>0</v>
      </c>
      <c r="M40" s="99" t="str">
        <f t="shared" ca="1" si="6"/>
        <v/>
      </c>
      <c r="N40" s="99" t="str">
        <f t="shared" ca="1" si="7"/>
        <v/>
      </c>
      <c r="O40" s="99" t="str">
        <f t="shared" ca="1" si="8"/>
        <v/>
      </c>
      <c r="P40" s="99" t="str">
        <f t="shared" ca="1" si="9"/>
        <v/>
      </c>
      <c r="Q40" s="99" t="str">
        <f t="shared" ca="1" si="10"/>
        <v/>
      </c>
      <c r="R40" s="121" t="str">
        <f t="shared" ca="1" si="11"/>
        <v/>
      </c>
    </row>
    <row r="41" spans="1:18" x14ac:dyDescent="0.3">
      <c r="A41" s="125"/>
      <c r="C41" s="128">
        <f ca="1">COUNTIFS(GERAL[Dia Útil],"SIM",GERAL[Rua],B41,GERAL[Dia],"&gt;=" &amp;$Q$8,GERAL[Dia],"&lt;=" &amp;$R$8)</f>
        <v>0</v>
      </c>
      <c r="D41" s="98">
        <f ca="1">SUMIFS(GERAL[LA],GERAL[Rua],B41,GERAL[Dia],"&gt;=" &amp;$Q$8,GERAL[Dia],"&lt;=" &amp;$R$8)</f>
        <v>0</v>
      </c>
      <c r="E41" s="98">
        <f ca="1">SUMIFS(GERAL[LE],GERAL[Rua],B41,GERAL[Dia],"&gt;=" &amp;$Q$8,GERAL[Dia],"&lt;=" &amp;$R$8)</f>
        <v>0</v>
      </c>
      <c r="F41" s="98">
        <f ca="1">SUMIFS(GERAL[PRA],GERAL[Rua],B41,GERAL[Dia],"&gt;=" &amp;$Q$8,GERAL[Dia],"&lt;=" &amp;$R$8)</f>
        <v>0</v>
      </c>
      <c r="G41" s="98">
        <f ca="1">SUMIFS(GERAL[PRE],GERAL[Rua],B41,GERAL[Dia],"&gt;=" &amp;$Q$8,GERAL[Dia],"&lt;=" &amp;$R$8)</f>
        <v>0</v>
      </c>
      <c r="H41" s="98">
        <f ca="1">SUMIFS(GERAL[PV''s],GERAL[Rua],B41,GERAL[Dia],"&gt;=" &amp;$Q$8,GERAL[Dia],"&lt;=" &amp;$R$8)</f>
        <v>0</v>
      </c>
      <c r="I41" s="98">
        <f ca="1">SUMIFS(GERAL[LIE],GERAL[Rua],B41,GERAL[Dia],"&gt;=" &amp;$Q$8,GERAL[Dia],"&lt;=" &amp;$R$8)</f>
        <v>0</v>
      </c>
      <c r="J41" s="98">
        <f ca="1">SUMIFS(GERAL[LIA],GERAL[Rua],B41,GERAL[Dia],"&gt;=" &amp;$Q$8,GERAL[Dia],"&lt;=" &amp;$R$8)</f>
        <v>0</v>
      </c>
      <c r="K41" s="98">
        <f ca="1">SUMIFS(GERAL[IHM],GERAL[Rua],B41,GERAL[Dia],"&gt;=" &amp;$Q$8,GERAL[Dia],"&lt;=" &amp;$R$8)</f>
        <v>0</v>
      </c>
      <c r="L41" s="98">
        <f ca="1">SUMIFS(GERAL[RHM],GERAL[Rua],B41,GERAL[Dia],"&gt;=" &amp;$Q$8,GERAL[Dia],"&lt;=" &amp;$R$8)</f>
        <v>0</v>
      </c>
      <c r="M41" s="99" t="str">
        <f t="shared" ca="1" si="6"/>
        <v/>
      </c>
      <c r="N41" s="99" t="str">
        <f t="shared" ca="1" si="7"/>
        <v/>
      </c>
      <c r="O41" s="99" t="str">
        <f t="shared" ca="1" si="8"/>
        <v/>
      </c>
      <c r="P41" s="99" t="str">
        <f t="shared" ca="1" si="9"/>
        <v/>
      </c>
      <c r="Q41" s="99" t="str">
        <f t="shared" ca="1" si="10"/>
        <v/>
      </c>
      <c r="R41" s="121" t="str">
        <f t="shared" ca="1" si="11"/>
        <v/>
      </c>
    </row>
    <row r="42" spans="1:18" x14ac:dyDescent="0.3">
      <c r="A42" s="125"/>
      <c r="C42" s="128">
        <f ca="1">COUNTIFS(GERAL[Dia Útil],"SIM",GERAL[Rua],B42,GERAL[Dia],"&gt;=" &amp;$Q$8,GERAL[Dia],"&lt;=" &amp;$R$8)</f>
        <v>0</v>
      </c>
      <c r="D42" s="98">
        <f ca="1">SUMIFS(GERAL[LA],GERAL[Rua],B42,GERAL[Dia],"&gt;=" &amp;$Q$8,GERAL[Dia],"&lt;=" &amp;$R$8)</f>
        <v>0</v>
      </c>
      <c r="E42" s="98">
        <f ca="1">SUMIFS(GERAL[LE],GERAL[Rua],B42,GERAL[Dia],"&gt;=" &amp;$Q$8,GERAL[Dia],"&lt;=" &amp;$R$8)</f>
        <v>0</v>
      </c>
      <c r="F42" s="98">
        <f ca="1">SUMIFS(GERAL[PRA],GERAL[Rua],B42,GERAL[Dia],"&gt;=" &amp;$Q$8,GERAL[Dia],"&lt;=" &amp;$R$8)</f>
        <v>0</v>
      </c>
      <c r="G42" s="98">
        <f ca="1">SUMIFS(GERAL[PRE],GERAL[Rua],B42,GERAL[Dia],"&gt;=" &amp;$Q$8,GERAL[Dia],"&lt;=" &amp;$R$8)</f>
        <v>0</v>
      </c>
      <c r="H42" s="98">
        <f ca="1">SUMIFS(GERAL[PV''s],GERAL[Rua],B42,GERAL[Dia],"&gt;=" &amp;$Q$8,GERAL[Dia],"&lt;=" &amp;$R$8)</f>
        <v>0</v>
      </c>
      <c r="I42" s="98">
        <f ca="1">SUMIFS(GERAL[LIE],GERAL[Rua],B42,GERAL[Dia],"&gt;=" &amp;$Q$8,GERAL[Dia],"&lt;=" &amp;$R$8)</f>
        <v>0</v>
      </c>
      <c r="J42" s="98">
        <f ca="1">SUMIFS(GERAL[LIA],GERAL[Rua],B42,GERAL[Dia],"&gt;=" &amp;$Q$8,GERAL[Dia],"&lt;=" &amp;$R$8)</f>
        <v>0</v>
      </c>
      <c r="K42" s="98">
        <f ca="1">SUMIFS(GERAL[IHM],GERAL[Rua],B42,GERAL[Dia],"&gt;=" &amp;$Q$8,GERAL[Dia],"&lt;=" &amp;$R$8)</f>
        <v>0</v>
      </c>
      <c r="L42" s="98">
        <f ca="1">SUMIFS(GERAL[RHM],GERAL[Rua],B42,GERAL[Dia],"&gt;=" &amp;$Q$8,GERAL[Dia],"&lt;=" &amp;$R$8)</f>
        <v>0</v>
      </c>
      <c r="M42" s="99" t="str">
        <f t="shared" ca="1" si="6"/>
        <v/>
      </c>
      <c r="N42" s="99" t="str">
        <f t="shared" ca="1" si="7"/>
        <v/>
      </c>
      <c r="O42" s="99" t="str">
        <f t="shared" ca="1" si="8"/>
        <v/>
      </c>
      <c r="P42" s="99" t="str">
        <f t="shared" ca="1" si="9"/>
        <v/>
      </c>
      <c r="Q42" s="99" t="str">
        <f t="shared" ca="1" si="10"/>
        <v/>
      </c>
      <c r="R42" s="121" t="str">
        <f t="shared" ca="1" si="11"/>
        <v/>
      </c>
    </row>
    <row r="43" spans="1:18" ht="14.5" thickBot="1" x14ac:dyDescent="0.35">
      <c r="A43" s="125"/>
      <c r="C43" s="129">
        <f ca="1">COUNTIFS(GERAL[Dia Útil],"SIM",GERAL[Rua],B43,GERAL[Dia],"&gt;=" &amp;$Q$8,GERAL[Dia],"&lt;=" &amp;$R$8)</f>
        <v>0</v>
      </c>
      <c r="D43" s="122">
        <f ca="1">SUMIFS(GERAL[LA],GERAL[Rua],B43,GERAL[Dia],"&gt;=" &amp;$Q$8,GERAL[Dia],"&lt;=" &amp;$R$8)</f>
        <v>0</v>
      </c>
      <c r="E43" s="122">
        <f ca="1">SUMIFS(GERAL[LE],GERAL[Rua],B43,GERAL[Dia],"&gt;=" &amp;$Q$8,GERAL[Dia],"&lt;=" &amp;$R$8)</f>
        <v>0</v>
      </c>
      <c r="F43" s="122">
        <f ca="1">SUMIFS(GERAL[PRA],GERAL[Rua],B43,GERAL[Dia],"&gt;=" &amp;$Q$8,GERAL[Dia],"&lt;=" &amp;$R$8)</f>
        <v>0</v>
      </c>
      <c r="G43" s="122">
        <f ca="1">SUMIFS(GERAL[PRE],GERAL[Rua],B43,GERAL[Dia],"&gt;=" &amp;$Q$8,GERAL[Dia],"&lt;=" &amp;$R$8)</f>
        <v>0</v>
      </c>
      <c r="H43" s="122">
        <f ca="1">SUMIFS(GERAL[PV''s],GERAL[Rua],B43,GERAL[Dia],"&gt;=" &amp;$Q$8,GERAL[Dia],"&lt;=" &amp;$R$8)</f>
        <v>0</v>
      </c>
      <c r="I43" s="122">
        <f ca="1">SUMIFS(GERAL[LIE],GERAL[Rua],B43,GERAL[Dia],"&gt;=" &amp;$Q$8,GERAL[Dia],"&lt;=" &amp;$R$8)</f>
        <v>0</v>
      </c>
      <c r="J43" s="122">
        <f ca="1">SUMIFS(GERAL[LIA],GERAL[Rua],B43,GERAL[Dia],"&gt;=" &amp;$Q$8,GERAL[Dia],"&lt;=" &amp;$R$8)</f>
        <v>0</v>
      </c>
      <c r="K43" s="122">
        <f ca="1">SUMIFS(GERAL[IHM],GERAL[Rua],B43,GERAL[Dia],"&gt;=" &amp;$Q$8,GERAL[Dia],"&lt;=" &amp;$R$8)</f>
        <v>0</v>
      </c>
      <c r="L43" s="122">
        <f ca="1">SUMIFS(GERAL[RHM],GERAL[Rua],B43,GERAL[Dia],"&gt;=" &amp;$Q$8,GERAL[Dia],"&lt;=" &amp;$R$8)</f>
        <v>0</v>
      </c>
      <c r="M43" s="123" t="str">
        <f t="shared" ca="1" si="6"/>
        <v/>
      </c>
      <c r="N43" s="123" t="str">
        <f t="shared" ca="1" si="7"/>
        <v/>
      </c>
      <c r="O43" s="123" t="str">
        <f t="shared" ca="1" si="8"/>
        <v/>
      </c>
      <c r="P43" s="123" t="str">
        <f t="shared" ca="1" si="9"/>
        <v/>
      </c>
      <c r="Q43" s="123" t="str">
        <f t="shared" ca="1" si="10"/>
        <v/>
      </c>
      <c r="R43" s="124" t="str">
        <f t="shared" ca="1" si="11"/>
        <v/>
      </c>
    </row>
    <row r="44" spans="1:18" ht="14.5" thickBot="1" x14ac:dyDescent="0.35">
      <c r="C44" s="97">
        <f ca="1">SUM(C11:C43)</f>
        <v>88</v>
      </c>
      <c r="D44" s="97">
        <f t="shared" ref="D44:L44" ca="1" si="12">SUM(D11:D43)</f>
        <v>150</v>
      </c>
      <c r="E44" s="97">
        <f t="shared" ca="1" si="12"/>
        <v>144</v>
      </c>
      <c r="F44" s="97">
        <f t="shared" ca="1" si="12"/>
        <v>989.1</v>
      </c>
      <c r="G44" s="97">
        <f t="shared" ca="1" si="12"/>
        <v>354.4</v>
      </c>
      <c r="H44" s="97">
        <f t="shared" ca="1" si="12"/>
        <v>12</v>
      </c>
      <c r="I44" s="97">
        <f t="shared" ca="1" si="12"/>
        <v>11</v>
      </c>
      <c r="J44" s="97">
        <f t="shared" ca="1" si="12"/>
        <v>192</v>
      </c>
      <c r="K44" s="97">
        <f t="shared" ca="1" si="12"/>
        <v>107</v>
      </c>
      <c r="L44" s="97">
        <f t="shared" ca="1" si="12"/>
        <v>0</v>
      </c>
    </row>
    <row r="46" spans="1:18" ht="14.5" x14ac:dyDescent="0.35">
      <c r="J46" s="139" t="s">
        <v>259</v>
      </c>
      <c r="K46" s="139"/>
      <c r="L46" s="139"/>
      <c r="M46" s="96">
        <f ca="1">IFERROR(AVERAGE(M11:M43),"")</f>
        <v>0.82336996336996326</v>
      </c>
      <c r="N46" s="96">
        <f t="shared" ref="N46:R46" ca="1" si="13">IFERROR(AVERAGE(N11:N43),"")</f>
        <v>0.72654761904761911</v>
      </c>
      <c r="O46" s="96">
        <f t="shared" ca="1" si="13"/>
        <v>6.371488095238095</v>
      </c>
      <c r="P46" s="96">
        <f t="shared" ca="1" si="13"/>
        <v>2.3666941391941392</v>
      </c>
      <c r="Q46" s="102">
        <f t="shared" ca="1" si="13"/>
        <v>8.7381822344322355</v>
      </c>
      <c r="R46" s="102">
        <f t="shared" ca="1" si="13"/>
        <v>1.5499175824175824</v>
      </c>
    </row>
    <row r="47" spans="1:18" ht="14.15" customHeight="1" x14ac:dyDescent="0.35">
      <c r="J47" s="139" t="s">
        <v>260</v>
      </c>
      <c r="K47" s="139"/>
      <c r="L47" s="139"/>
      <c r="M47" s="101" cm="1">
        <f t="array" aca="1" ref="M47" ca="1">IFERROR(TRIMMEAN(IF(M11:M43&gt;0.01,M11:M43),40%),"")</f>
        <v>1.8653061224489795</v>
      </c>
      <c r="N47" s="101" cm="1">
        <f t="array" aca="1" ref="N47" ca="1">IFERROR(TRIMMEAN(IF(N11:N43&gt;0.01,N11:N43),40%),"")</f>
        <v>1.7154761904761904</v>
      </c>
      <c r="O47" s="101" cm="1">
        <f t="array" aca="1" ref="O47" ca="1">IFERROR(TRIMMEAN(IF(O11:O43&gt;0.01,O11:O43),40%),"")</f>
        <v>15.717460317460317</v>
      </c>
      <c r="P47" s="101" cm="1">
        <f t="array" aca="1" ref="P47" ca="1">IFERROR(TRIMMEAN(IF(P11:P43&gt;0.01,P11:P43),40%),"")</f>
        <v>7.0739194139194144</v>
      </c>
      <c r="Q47" s="103" cm="1">
        <f t="array" aca="1" ref="Q47" ca="1">IFERROR(TRIMMEAN(IF(Q11:Q43&gt;0.01,Q11:Q43),40%),"")</f>
        <v>12.649175824175824</v>
      </c>
      <c r="R47" s="103" cm="1">
        <f t="array" aca="1" ref="R47" ca="1">IFERROR(TRIMMEAN(IF(R11:R43&gt;0.01,R11:R43),40%),"")</f>
        <v>2.7767094017094016</v>
      </c>
    </row>
    <row r="48" spans="1:18" s="104" customFormat="1" ht="10.4" customHeight="1" x14ac:dyDescent="0.35">
      <c r="B48"/>
      <c r="J48" s="105"/>
      <c r="K48" s="105"/>
      <c r="L48" s="105"/>
      <c r="M48" s="106"/>
      <c r="N48" s="106"/>
      <c r="O48" s="106"/>
      <c r="P48" s="106"/>
      <c r="Q48" s="107"/>
      <c r="R48" s="107"/>
    </row>
    <row r="49" spans="2:2" s="2" customFormat="1" x14ac:dyDescent="0.3">
      <c r="B49"/>
    </row>
    <row r="50" spans="2:2" s="2" customFormat="1" x14ac:dyDescent="0.3">
      <c r="B50"/>
    </row>
    <row r="51" spans="2:2" s="2" customFormat="1" x14ac:dyDescent="0.3">
      <c r="B51"/>
    </row>
    <row r="52" spans="2:2" s="2" customFormat="1" x14ac:dyDescent="0.3">
      <c r="B52"/>
    </row>
  </sheetData>
  <mergeCells count="3">
    <mergeCell ref="J46:L46"/>
    <mergeCell ref="J47:L47"/>
    <mergeCell ref="S2:T3"/>
  </mergeCells>
  <conditionalFormatting sqref="B11:B43">
    <cfRule type="cellIs" dxfId="23" priority="1" operator="equal">
      <formula>"(vazio)"</formula>
    </cfRule>
  </conditionalFormatting>
  <conditionalFormatting sqref="B7:I8 P7:R8 B9:L10 C44:L44">
    <cfRule type="cellIs" dxfId="22" priority="6" operator="equal">
      <formula>0</formula>
    </cfRule>
  </conditionalFormatting>
  <conditionalFormatting sqref="M7:R10 B11:R43">
    <cfRule type="cellIs" dxfId="21" priority="2" operator="equal">
      <formula>0</formula>
    </cfRule>
  </conditionalFormatting>
  <dataValidations count="1">
    <dataValidation type="date" allowBlank="1" showInputMessage="1" showErrorMessage="1" sqref="Q8:R8" xr:uid="{D862DF8B-92B7-4588-80DD-20034CF59129}">
      <formula1>45658</formula1>
      <formula2>47514</formula2>
    </dataValidation>
  </dataValidation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EDDF-3226-4AC9-BCC8-406B330D82C2}">
  <sheetPr codeName="Planilha4">
    <tabColor rgb="FFFF0000"/>
    <pageSetUpPr fitToPage="1"/>
  </sheetPr>
  <dimension ref="A2:BH28"/>
  <sheetViews>
    <sheetView showGridLines="0" tabSelected="1" topLeftCell="E4" zoomScale="98" zoomScaleNormal="98" workbookViewId="0">
      <selection activeCell="Z19" sqref="Z19"/>
    </sheetView>
  </sheetViews>
  <sheetFormatPr defaultRowHeight="14" outlineLevelCol="1" x14ac:dyDescent="0.3"/>
  <cols>
    <col min="1" max="1" width="0" hidden="1" customWidth="1"/>
    <col min="2" max="2" width="16.08203125" bestFit="1" customWidth="1"/>
    <col min="3" max="3" width="10.4140625" bestFit="1" customWidth="1"/>
    <col min="4" max="4" width="9.58203125" customWidth="1"/>
    <col min="5" max="5" width="10.08203125" customWidth="1"/>
    <col min="6" max="6" width="9.08203125" customWidth="1"/>
    <col min="7" max="7" width="9.58203125" customWidth="1"/>
    <col min="8" max="8" width="8.58203125" customWidth="1"/>
    <col min="9" max="22" width="8.58203125" hidden="1" customWidth="1" outlineLevel="1"/>
    <col min="23" max="23" width="7.58203125" customWidth="1" collapsed="1"/>
    <col min="24" max="24" width="10.5" customWidth="1"/>
    <col min="25" max="25" width="8.08203125" customWidth="1"/>
    <col min="26" max="26" width="9.5" customWidth="1"/>
    <col min="27" max="27" width="8.08203125" customWidth="1"/>
    <col min="28" max="30" width="6.5" customWidth="1"/>
    <col min="31" max="31" width="7.58203125" customWidth="1"/>
    <col min="32" max="32" width="8.08203125" customWidth="1"/>
    <col min="33" max="33" width="9.08203125" customWidth="1"/>
    <col min="34" max="34" width="8" customWidth="1"/>
    <col min="35" max="35" width="7.08203125" customWidth="1"/>
    <col min="36" max="36" width="5" customWidth="1"/>
    <col min="37" max="37" width="7.58203125" customWidth="1"/>
    <col min="38" max="38" width="5" customWidth="1"/>
    <col min="39" max="39" width="7.58203125" customWidth="1"/>
    <col min="40" max="40" width="5" customWidth="1"/>
    <col min="41" max="41" width="7.58203125" customWidth="1"/>
    <col min="42" max="42" width="5" customWidth="1"/>
    <col min="43" max="43" width="7.58203125" customWidth="1"/>
    <col min="44" max="44" width="5" customWidth="1"/>
    <col min="45" max="45" width="7.58203125" customWidth="1"/>
    <col min="46" max="46" width="5" customWidth="1"/>
  </cols>
  <sheetData>
    <row r="2" spans="1:60" ht="18" x14ac:dyDescent="0.4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8" x14ac:dyDescent="0.4">
      <c r="A3" s="2"/>
      <c r="B3" s="2"/>
      <c r="C3" s="2"/>
      <c r="D3" s="2"/>
      <c r="E3" s="3" t="s">
        <v>245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x14ac:dyDescent="0.3">
      <c r="A4" s="2"/>
      <c r="B4" s="2"/>
      <c r="C4" s="2"/>
      <c r="D4" s="2"/>
      <c r="E4" s="4" t="s">
        <v>262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4" t="s">
        <v>263</v>
      </c>
      <c r="AH4" s="2"/>
      <c r="AI4" s="4" t="s">
        <v>264</v>
      </c>
      <c r="AJ4" s="2"/>
      <c r="AK4" s="2"/>
      <c r="AL4" s="2"/>
      <c r="AM4" s="4" t="s">
        <v>265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8" x14ac:dyDescent="0.4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67">
        <f ca="1">TODAY()</f>
        <v>46134</v>
      </c>
      <c r="AH5" s="2"/>
      <c r="AI5" s="68" t="str" cm="1">
        <f t="array" aca="1" ref="AI5" ca="1">_xlfn.IFS(
    WEEKDAY(AG5,2)=1,"SEGUNDA",
    WEEKDAY(AG5,2)=2,"TERÇA",
    WEEKDAY(AG5,2)=3,"QUARTA",
    WEEKDAY(AG5,2)=4,"QUINTA",
    WEEKDAY(AG5,2)=5,"SEXTA",
    WEEKDAY(AG5,2)=6,"SÁBADO",
    WEEKDAY(AG5,2)=7,"DOMINGO"
)</f>
        <v>QUARTA</v>
      </c>
      <c r="AJ5" s="2"/>
      <c r="AK5" s="2"/>
      <c r="AL5" s="2"/>
      <c r="AM5" s="2" t="str">
        <f ca="1">_xlfn.XLOOKUP(AG5,GERAL!B:B,GERAL!A:A)</f>
        <v>Semana 13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4.5" thickBot="1" x14ac:dyDescent="0.35">
      <c r="AH6" t="s">
        <v>266</v>
      </c>
      <c r="AI6" s="141" cm="1">
        <f t="array" aca="1" ref="AI6" ca="1">_xlfn.IFS(AI5="SEGUNDA",AG5,AI5="TERÇA",AG5-1,AI5="QUARTA",AG5-2,AI5="QUINTA",AG5-3,AI5="SEXTA",AG5-4,AI5="SÁBADO",AG5-5,AI5="DOMINGO",AG5-6)</f>
        <v>46132</v>
      </c>
      <c r="AJ6" s="141"/>
      <c r="AK6" s="141" cm="1">
        <f t="array" aca="1" ref="AK6" ca="1">_xlfn.IFS(AI5="SEGUNDA",0,AI5="TERÇA",AG5,AI5="QUARTA",AG5-1,AI5="QUINTA",AG5-2,AI5="SEXTA",AG5-3,AI5="SÁBADO",AG5-4,AI5="DOMINGO",AG5-5)</f>
        <v>46133</v>
      </c>
      <c r="AL6" s="141"/>
      <c r="AM6" s="141" cm="1">
        <f t="array" aca="1" ref="AM6" ca="1">_xlfn.IFS(AI5="SEGUNDA",0,AI5="TERÇA",0,AI5="QUARTA",AG5,AI5="QUINTA",AG5-1,AI5="SEXTA",AG5-2,AI5="SÁBADO",AG5-3,AI5="DOMINGO",AG5-4)</f>
        <v>46134</v>
      </c>
      <c r="AN6" s="141"/>
      <c r="AO6" s="141" cm="1">
        <f t="array" aca="1" ref="AO6" ca="1">_xlfn.IFS(AI5="SEGUNDA",0,AI5="TERÇA",0,AI5="QUARTA",0,AI5="QUINTA",AG5,AI5="SEXTA",AG5-1,AI5="SÁBADO",AG5-2,AI5="DOMINGO",AG5-3)</f>
        <v>0</v>
      </c>
      <c r="AP6" s="141"/>
      <c r="AQ6" s="141" cm="1">
        <f t="array" aca="1" ref="AQ6" ca="1">_xlfn.IFS(AI5="SEGUNDA",0,AI5="TERÇA",0,AI5="QUARTA",0,AI5="QUINTA",0,AI5="SEXTA",AG5,AI5="SÁBADO",AG5-1,AI5="DOMINGO",AG5-2)</f>
        <v>0</v>
      </c>
      <c r="AR6" s="141"/>
      <c r="AS6" s="141" cm="1">
        <f t="array" aca="1" ref="AS6" ca="1">_xlfn.IFS(AI5="SEGUNDA",0,AI5="TERÇA",0,AI5="QUARTA",0,AI5="QUINTA",0,AI5="SEXTA",0,AI5="SÁBADO",AG5,AI5="DOMINGO",AG5-1)</f>
        <v>0</v>
      </c>
      <c r="AT6" s="141"/>
    </row>
    <row r="7" spans="1:60" ht="14.5" x14ac:dyDescent="0.35">
      <c r="B7" s="150" t="s">
        <v>267</v>
      </c>
      <c r="C7" s="152" t="s">
        <v>268</v>
      </c>
      <c r="D7" s="153"/>
      <c r="E7" s="153"/>
      <c r="F7" s="153"/>
      <c r="G7" s="153"/>
      <c r="H7" s="154"/>
      <c r="I7" s="155" t="s">
        <v>269</v>
      </c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5" t="s">
        <v>270</v>
      </c>
      <c r="X7" s="156"/>
      <c r="Y7" s="156"/>
      <c r="Z7" s="156"/>
      <c r="AA7" s="156"/>
      <c r="AB7" s="156"/>
      <c r="AC7" s="156"/>
      <c r="AD7" s="156"/>
      <c r="AE7" s="156"/>
      <c r="AF7" s="157"/>
      <c r="AG7" s="143" t="s">
        <v>271</v>
      </c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5"/>
      <c r="AU7" s="170" t="s">
        <v>272</v>
      </c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2"/>
    </row>
    <row r="8" spans="1:60" ht="14.4" customHeight="1" x14ac:dyDescent="0.3">
      <c r="B8" s="151"/>
      <c r="C8" s="160" t="s">
        <v>273</v>
      </c>
      <c r="D8" s="161"/>
      <c r="E8" s="162" t="s">
        <v>274</v>
      </c>
      <c r="F8" s="162"/>
      <c r="G8" s="163" t="s">
        <v>275</v>
      </c>
      <c r="H8" s="164"/>
      <c r="I8" s="148" t="s">
        <v>276</v>
      </c>
      <c r="J8" s="159"/>
      <c r="K8" s="158" t="s">
        <v>277</v>
      </c>
      <c r="L8" s="149"/>
      <c r="M8" s="158" t="s">
        <v>278</v>
      </c>
      <c r="N8" s="149"/>
      <c r="O8" s="158" t="s">
        <v>279</v>
      </c>
      <c r="P8" s="149"/>
      <c r="Q8" s="158" t="s">
        <v>280</v>
      </c>
      <c r="R8" s="149"/>
      <c r="S8" s="158" t="s">
        <v>281</v>
      </c>
      <c r="T8" s="149"/>
      <c r="U8" s="158" t="s">
        <v>282</v>
      </c>
      <c r="V8" s="159"/>
      <c r="W8" s="148" t="s">
        <v>283</v>
      </c>
      <c r="X8" s="149"/>
      <c r="Y8" s="158" t="s">
        <v>284</v>
      </c>
      <c r="Z8" s="149"/>
      <c r="AA8" s="158" t="s">
        <v>285</v>
      </c>
      <c r="AB8" s="149"/>
      <c r="AC8" s="23" t="s">
        <v>286</v>
      </c>
      <c r="AD8" s="82" t="s">
        <v>287</v>
      </c>
      <c r="AE8" s="159" t="s">
        <v>288</v>
      </c>
      <c r="AF8" s="167"/>
      <c r="AG8" s="168" t="s">
        <v>289</v>
      </c>
      <c r="AH8" s="169"/>
      <c r="AI8" s="146" t="s">
        <v>290</v>
      </c>
      <c r="AJ8" s="147"/>
      <c r="AK8" s="146" t="s">
        <v>291</v>
      </c>
      <c r="AL8" s="147"/>
      <c r="AM8" s="146" t="s">
        <v>292</v>
      </c>
      <c r="AN8" s="147"/>
      <c r="AO8" s="146" t="s">
        <v>293</v>
      </c>
      <c r="AP8" s="147"/>
      <c r="AQ8" s="146" t="s">
        <v>294</v>
      </c>
      <c r="AR8" s="147"/>
      <c r="AS8" s="165" t="s">
        <v>295</v>
      </c>
      <c r="AT8" s="166"/>
      <c r="AU8" s="173" t="s">
        <v>289</v>
      </c>
      <c r="AV8" s="174"/>
      <c r="AW8" s="175" t="s">
        <v>290</v>
      </c>
      <c r="AX8" s="176"/>
      <c r="AY8" s="175" t="s">
        <v>291</v>
      </c>
      <c r="AZ8" s="176"/>
      <c r="BA8" s="175" t="s">
        <v>292</v>
      </c>
      <c r="BB8" s="176"/>
      <c r="BC8" s="175" t="s">
        <v>293</v>
      </c>
      <c r="BD8" s="176"/>
      <c r="BE8" s="175" t="s">
        <v>294</v>
      </c>
      <c r="BF8" s="176"/>
      <c r="BG8" s="177" t="s">
        <v>295</v>
      </c>
      <c r="BH8" s="178"/>
    </row>
    <row r="9" spans="1:60" ht="14.15" customHeight="1" x14ac:dyDescent="0.3">
      <c r="B9" s="151"/>
      <c r="C9" s="24" t="s">
        <v>296</v>
      </c>
      <c r="D9" s="25" t="s">
        <v>297</v>
      </c>
      <c r="E9" s="26" t="s">
        <v>296</v>
      </c>
      <c r="F9" s="26" t="s">
        <v>297</v>
      </c>
      <c r="G9" s="27" t="s">
        <v>296</v>
      </c>
      <c r="H9" s="28" t="s">
        <v>297</v>
      </c>
      <c r="I9" s="24" t="s">
        <v>296</v>
      </c>
      <c r="J9" s="26" t="s">
        <v>297</v>
      </c>
      <c r="K9" s="27" t="s">
        <v>296</v>
      </c>
      <c r="L9" s="25" t="s">
        <v>297</v>
      </c>
      <c r="M9" s="27" t="s">
        <v>296</v>
      </c>
      <c r="N9" s="25" t="s">
        <v>297</v>
      </c>
      <c r="O9" s="27" t="s">
        <v>296</v>
      </c>
      <c r="P9" s="25" t="s">
        <v>297</v>
      </c>
      <c r="Q9" s="27" t="s">
        <v>296</v>
      </c>
      <c r="R9" s="25" t="s">
        <v>297</v>
      </c>
      <c r="S9" s="27" t="s">
        <v>296</v>
      </c>
      <c r="T9" s="25" t="s">
        <v>297</v>
      </c>
      <c r="U9" s="26" t="s">
        <v>296</v>
      </c>
      <c r="V9" s="26" t="s">
        <v>297</v>
      </c>
      <c r="W9" s="24" t="s">
        <v>296</v>
      </c>
      <c r="X9" s="25" t="s">
        <v>297</v>
      </c>
      <c r="Y9" s="27" t="s">
        <v>296</v>
      </c>
      <c r="Z9" s="25" t="s">
        <v>297</v>
      </c>
      <c r="AA9" s="29" t="s">
        <v>296</v>
      </c>
      <c r="AB9" s="30" t="s">
        <v>297</v>
      </c>
      <c r="AC9" s="25" t="s">
        <v>298</v>
      </c>
      <c r="AD9" s="83" t="s">
        <v>298</v>
      </c>
      <c r="AE9" s="26" t="s">
        <v>296</v>
      </c>
      <c r="AF9" s="28" t="s">
        <v>297</v>
      </c>
      <c r="AG9" s="24" t="s">
        <v>296</v>
      </c>
      <c r="AH9" s="25" t="s">
        <v>297</v>
      </c>
      <c r="AI9" s="27" t="s">
        <v>296</v>
      </c>
      <c r="AJ9" s="25" t="s">
        <v>297</v>
      </c>
      <c r="AK9" s="27" t="s">
        <v>296</v>
      </c>
      <c r="AL9" s="25" t="s">
        <v>297</v>
      </c>
      <c r="AM9" s="27" t="s">
        <v>296</v>
      </c>
      <c r="AN9" s="25" t="s">
        <v>297</v>
      </c>
      <c r="AO9" s="27" t="s">
        <v>296</v>
      </c>
      <c r="AP9" s="25" t="s">
        <v>297</v>
      </c>
      <c r="AQ9" s="27" t="s">
        <v>296</v>
      </c>
      <c r="AR9" s="25" t="s">
        <v>297</v>
      </c>
      <c r="AS9" s="26" t="s">
        <v>296</v>
      </c>
      <c r="AT9" s="28" t="s">
        <v>297</v>
      </c>
      <c r="AU9" s="24" t="s">
        <v>296</v>
      </c>
      <c r="AV9" s="25" t="s">
        <v>297</v>
      </c>
      <c r="AW9" s="27" t="s">
        <v>296</v>
      </c>
      <c r="AX9" s="25" t="s">
        <v>297</v>
      </c>
      <c r="AY9" s="27" t="s">
        <v>296</v>
      </c>
      <c r="AZ9" s="25" t="s">
        <v>297</v>
      </c>
      <c r="BA9" s="27" t="s">
        <v>296</v>
      </c>
      <c r="BB9" s="25" t="s">
        <v>297</v>
      </c>
      <c r="BC9" s="27" t="s">
        <v>296</v>
      </c>
      <c r="BD9" s="25" t="s">
        <v>297</v>
      </c>
      <c r="BE9" s="27" t="s">
        <v>296</v>
      </c>
      <c r="BF9" s="25" t="s">
        <v>297</v>
      </c>
      <c r="BG9" s="26" t="s">
        <v>296</v>
      </c>
      <c r="BH9" s="28" t="s">
        <v>297</v>
      </c>
    </row>
    <row r="10" spans="1:60" x14ac:dyDescent="0.3">
      <c r="B10" s="64" t="s">
        <v>121</v>
      </c>
      <c r="C10" s="31">
        <f ca="1">G10-E10</f>
        <v>582.04988850094628</v>
      </c>
      <c r="D10" s="32">
        <f ca="1">H10-F10</f>
        <v>-95.477016478751068</v>
      </c>
      <c r="E10" s="33">
        <f ca="1">SUMIFS(PREVISTO!J:J,PREVISTO!B:B,"&lt;="&amp;PROD_META_30D!$AG$5)*PROD_META_30D!AC10</f>
        <v>1496.6501114990535</v>
      </c>
      <c r="F10" s="33">
        <f ca="1">SUMIFS(PREVISTO!I:I,PREVISTO!B:B,"&lt;="&amp;PROD_META_30D!$AG$5)*PROD_META_30D!AD10</f>
        <v>170.47701647875107</v>
      </c>
      <c r="G10" s="34">
        <f ca="1">SUMIFS(GERAL!J:J,GERAL!B:B,"&lt;="&amp;PROD_META_30D!$AG$5,GERAL!Q:Q,PROD_META_30D!B10,GERAL!R:R,"Prazo_30")+SUMIFS(GERAL!K:K,GERAL!B:B,"&lt;="&amp;PROD_META_30D!$AG$5,GERAL!Q:Q,PROD_META_30D!B10,GERAL!R:R,"Prazo_30")</f>
        <v>2078.6999999999998</v>
      </c>
      <c r="H10" s="35">
        <f ca="1">SUMIFS(GERAL!M:M,GERAL!B:B,"&lt;="&amp;PROD_META_30D!$AG$5,GERAL!Q:Q,PROD_META_30D!B10,GERAL!R:R,"Prazo_30")+SUMIFS(GERAL!N:N,GERAL!B:B,"&lt;="&amp;PROD_META_30D!$AG$5,GERAL!Q:Q,PROD_META_30D!B10,GERAL!R:R,"Prazo_30")</f>
        <v>75</v>
      </c>
      <c r="I10" s="31">
        <f>SUMIFS(GERAL!J:J,GERAL!A:A,"Semana 1",GERAL!Q:Q,PROD_META_30D!B10)+SUMIFS(GERAL!K:K,GERAL!A:A,"Semana 1",GERAL!Q:Q,PROD_META_30D!B10)</f>
        <v>392</v>
      </c>
      <c r="J10" s="33">
        <f>SUMIFS(GERAL!M:M,GERAL!A:A,"Semana 1",GERAL!Q:Q,PROD_META_30D!B10)+SUMIFS(GERAL!N:N,GERAL!A:A,"Semana 1",GERAL!Q:Q,PROD_META_30D!B10)</f>
        <v>61</v>
      </c>
      <c r="K10" s="34">
        <f>SUMIFS(GERAL!J:J,GERAL!A:A,"Semana 2",GERAL!Q:Q,PROD_META_30D!B10)+SUMIFS(GERAL!K:K,GERAL!A:A,"Semana 2",GERAL!Q:Q,PROD_META_30D!B10)</f>
        <v>344</v>
      </c>
      <c r="L10" s="32">
        <f>SUMIFS(GERAL!M:M,GERAL!A:A,"Semana 2",GERAL!Q:Q,PROD_META_30D!B10)+SUMIFS(GERAL!N:N,GERAL!A:A,"Semana 1",GERAL!Q:Q,PROD_META_30D!B10)</f>
        <v>47</v>
      </c>
      <c r="M10" s="34">
        <f>SUMIFS(GERAL!J:J,GERAL!A:A,"Semana 3",GERAL!Q:Q,PROD_META_30D!B10)+SUMIFS(GERAL!K:K,GERAL!A:A,"Semana 3",GERAL!Q:Q,PROD_META_30D!B10)</f>
        <v>247</v>
      </c>
      <c r="N10" s="32">
        <f>SUMIFS(GERAL!M:M,GERAL!A:A,"Semana 3",GERAL!Q:Q,PROD_META_30D!B10)+SUMIFS(GERAL!N:N,GERAL!A:A,"Semana 3",GERAL!Q:Q,PROD_META_30D!B10)</f>
        <v>0</v>
      </c>
      <c r="O10" s="34">
        <f>SUMIFS(GERAL!J:J,GERAL!A:A,"Semana 4",GERAL!Q:Q,PROD_META_30D!B10)+SUMIFS(GERAL!K:K,GERAL!A:A,"Semana 4",GERAL!Q:Q,PROD_META_30D!B10)</f>
        <v>228</v>
      </c>
      <c r="P10" s="32">
        <f>SUMIFS(GERAL!M:M,GERAL!A:A,"Semana 4",GERAL!Q:Q,PROD_META_30D!B10)+SUMIFS(GERAL!N:N,GERAL!A:A,"Semana 4",GERAL!Q:Q,PROD_META_30D!B10)</f>
        <v>7</v>
      </c>
      <c r="Q10" s="34">
        <f>SUMIFS(GERAL!J:J,GERAL!A:A,"Semana 5",GERAL!Q:Q,PROD_META_30D!B10)+SUMIFS(GERAL!K:K,GERAL!A:A,"Semana 5",GERAL!Q:Q,PROD_META_30D!B10)</f>
        <v>58</v>
      </c>
      <c r="R10" s="32">
        <f>SUMIFS(GERAL!M:M,GERAL!A:A,"Semana 5",GERAL!Q:Q,PROD_META_30D!B10)+SUMIFS(GERAL!N:N,GERAL!A:A,"Semana 5",GERAL!Q:Q,PROD_META_30D!B10)</f>
        <v>0</v>
      </c>
      <c r="S10" s="34">
        <f>SUMIFS(GERAL!J:J,GERAL!A:A,"Semana 6",GERAL!Q:Q,PROD_META_30D!B10)+SUMIFS(GERAL!K:K,GERAL!A:A,"Semana 6",GERAL!Q:Q,PROD_META_30D!B10)</f>
        <v>139.69999999999999</v>
      </c>
      <c r="T10" s="32">
        <f>SUMIFS(GERAL!M:M,GERAL!A:A,"Semana 6",GERAL!Q:Q,PROD_META_30D!B10)+SUMIFS(GERAL!N:N,GERAL!A:A,"Semana 6",GERAL!Q:Q,PROD_META_30D!B10)</f>
        <v>0</v>
      </c>
      <c r="U10" s="33">
        <f>SUMIFS(GERAL!J:J,GERAL!A:A,"Semana 7",GERAL!Q:Q,PROD_META_30D!B10)+SUMIFS(GERAL!K:K,GERAL!A:A,"Semana 7",GERAL!Q:Q,PROD_META_30D!B10)</f>
        <v>81</v>
      </c>
      <c r="V10" s="33">
        <f>SUMIFS(GERAL!M:M,GERAL!A:A,"Semana 7",GERAL!Q:Q,PROD_META_30D!B10)+SUMIFS(GERAL!N:N,GERAL!A:A,"Semana 7",GERAL!Q:Q,PROD_META_30D!B10)</f>
        <v>0</v>
      </c>
      <c r="W10" s="31">
        <f ca="1">SUM(AI10,AK10,AM10,AO10,AQ10,AS10)</f>
        <v>0</v>
      </c>
      <c r="X10" s="32">
        <f ca="1">SUM(AJ10,AL10,AN10,AP10,AR10,AT10)</f>
        <v>0</v>
      </c>
      <c r="Y10" s="34">
        <f ca="1">W10-AE10</f>
        <v>-200</v>
      </c>
      <c r="Z10" s="32">
        <f t="shared" ref="Y10:Z15" ca="1" si="0">X10-AF10</f>
        <v>-23</v>
      </c>
      <c r="AA10" s="36">
        <v>1491</v>
      </c>
      <c r="AB10" s="37">
        <v>182</v>
      </c>
      <c r="AC10" s="84">
        <f>AA10/SUM($AA$10:$AA$15)</f>
        <v>0.21474866772288637</v>
      </c>
      <c r="AD10" s="84">
        <f>AB10/SUM($AB$10:$AB$15)</f>
        <v>0.15784908933217692</v>
      </c>
      <c r="AE10" s="38">
        <v>200</v>
      </c>
      <c r="AF10" s="39">
        <v>23</v>
      </c>
      <c r="AG10" s="31">
        <v>50</v>
      </c>
      <c r="AH10" s="32">
        <v>6</v>
      </c>
      <c r="AI10" s="69">
        <f ca="1">SUMIFS(GERAL!J:J,GERAL!D:D,PROD_META_30D!$AI$6,GERAL!Q:Q,PROD_META_30D!B10)+SUMIFS(GERAL!K:K,GERAL!D:D,PROD_META_30D!$AI$6,GERAL!Q:Q,PROD_META_30D!B10)</f>
        <v>0</v>
      </c>
      <c r="AJ10" s="72">
        <f ca="1">SUMIFS(GERAL!M:M,GERAL!D:D,PROD_META_30D!$AI$6,GERAL!Q:Q,PROD_META_30D!B10)+SUMIFS(GERAL!N:N,GERAL!D:D,PROD_META_30D!$AI$6,GERAL!Q:Q,PROD_META_30D!B10)</f>
        <v>0</v>
      </c>
      <c r="AK10" s="69">
        <f ca="1">SUMIFS(GERAL!J:J,GERAL!D:D,$AK$6,GERAL!Q:Q,PROD_META_30D!B10)+SUMIFS(GERAL!K:K,GERAL!D:D,$AK$6,GERAL!Q:Q,PROD_META_30D!B10)</f>
        <v>0</v>
      </c>
      <c r="AL10" s="72">
        <f ca="1">SUMIFS(GERAL!M:M,GERAL!D:D,$AK$6,GERAL!Q:Q,PROD_META_30D!B10)+SUMIFS(GERAL!N:N,GERAL!D:D,$AK$6,GERAL!Q:Q,PROD_META_30D!B10)</f>
        <v>0</v>
      </c>
      <c r="AM10" s="69">
        <f ca="1">SUMIFS(GERAL!J:J,GERAL!D:D,PROD_META_30D!$AM$6,GERAL!Q:Q,PROD_META_30D!B10)+SUMIFS(GERAL!K:K,GERAL!D:D,PROD_META_30D!$AM$6,GERAL!Q:Q,PROD_META_30D!B10)</f>
        <v>0</v>
      </c>
      <c r="AN10" s="72">
        <f ca="1">SUMIFS(GERAL!M:M,GERAL!D:D,PROD_META_30D!$AM$6,GERAL!Q:Q,PROD_META_30D!B10)+SUMIFS(GERAL!N:N,GERAL!D:D,PROD_META_30D!$AM$6,GERAL!Q:Q,PROD_META_30D!B10)</f>
        <v>0</v>
      </c>
      <c r="AO10" s="69">
        <f ca="1">SUMIFS(GERAL!J:J,GERAL!D:D,PROD_META_30D!$AO$6,GERAL!Q:Q,PROD_META_30D!B10)+SUMIFS(GERAL!K:K,GERAL!D:D,PROD_META_30D!$AO$6,GERAL!Q:Q,PROD_META_30D!B10)</f>
        <v>0</v>
      </c>
      <c r="AP10" s="72">
        <f ca="1">SUMIFS(GERAL!M:M,GERAL!D:D,PROD_META_30D!$AO$6,GERAL!Q:Q,PROD_META_30D!B10)+SUMIFS(GERAL!N:N,GERAL!D:D,PROD_META_30D!$AO$6,GERAL!Q:Q,PROD_META_30D!B10)</f>
        <v>0</v>
      </c>
      <c r="AQ10" s="81">
        <f ca="1">SUMIFS(GERAL!J:J,GERAL!D:D,$AQ$6,GERAL!Q:Q,PROD_META_30D!B10)+SUMIFS(GERAL!K:K,GERAL!D:D,$AQ$6,GERAL!Q:Q,PROD_META_30D!B10)</f>
        <v>0</v>
      </c>
      <c r="AR10" s="72">
        <f ca="1">SUMIFS(GERAL!M:M,GERAL!D:D,$AQ$6,GERAL!Q:Q,PROD_META_30D!B10)+SUMIFS(GERAL!N:N,GERAL!D:D,$AQ$6,GERAL!Q:Q,PROD_META_30D!B10)</f>
        <v>0</v>
      </c>
      <c r="AS10" s="73">
        <f ca="1">SUMIFS(GERAL!J:J,GERAL!D:D,$AS$6,GERAL!Q:Q,PROD_META_30D!B10)+SUMIFS(GERAL!K:K,GERAL!D:D,$AS$6,GERAL!Q:Q,PROD_META_30D!B10)</f>
        <v>0</v>
      </c>
      <c r="AT10" s="74">
        <f ca="1">SUMIFS(GERAL!M:M,GERAL!D:D,$AS$6,GERAL!Q:Q,PROD_META_30D!B10)+SUMIFS(GERAL!N:N,GERAL!D:D,$AS$6,GERAL!Q:Q,PROD_META_30D!B10)</f>
        <v>0</v>
      </c>
      <c r="AU10" s="31">
        <v>50</v>
      </c>
      <c r="AV10" s="32">
        <v>6</v>
      </c>
      <c r="AW10" s="69">
        <f ca="1">SUMIFS(GERAL!J:J,GERAL!D:D,PROD_META_30D!$AW$18,GERAL!Q:Q,PROD_META_30D!B10)+SUMIFS(GERAL!K:K,GERAL!D:D,PROD_META_30D!$AW$18,GERAL!Q:Q,PROD_META_30D!B10)</f>
        <v>0</v>
      </c>
      <c r="AX10" s="72">
        <f ca="1">SUMIFS(GERAL!M:M,GERAL!D:D,PROD_META_30D!$AW$18,GERAL!Q:Q,PROD_META_30D!B10)+SUMIFS(GERAL!N:N,GERAL!D:D,PROD_META_30D!$AW$18,GERAL!Q:Q,PROD_META_30D!B10)</f>
        <v>0</v>
      </c>
      <c r="AY10" s="69">
        <f ca="1">SUMIFS(GERAL!J:J,GERAL!D:D,PROD_META_30D!$AY$18,GERAL!Q:Q,PROD_META_30D!B10)+SUMIFS(GERAL!K:K,GERAL!D:D,$AY$18,GERAL!Q:Q,PROD_META_30D!B10)</f>
        <v>0</v>
      </c>
      <c r="AZ10" s="72">
        <f ca="1">SUMIFS(GERAL!M:M,GERAL!D:D,PROD_META_30D!$AY$18,GERAL!Q:Q,PROD_META_30D!B10)+SUMIFS(GERAL!N:N,GERAL!D:D,PROD_META_30D!$AY$18,GERAL!Q:Q,PROD_META_30D!B10)</f>
        <v>0</v>
      </c>
      <c r="BA10" s="69">
        <f ca="1">SUMIFS(GERAL!J:J,GERAL!D:D,PROD_META_30D!$BA$18,GERAL!Q:Q,PROD_META_30D!B10)+SUMIFS(GERAL!K:K,GERAL!D:D,$BA$18,GERAL!Q:Q,PROD_META_30D!B10)</f>
        <v>0</v>
      </c>
      <c r="BB10" s="72">
        <f ca="1">SUMIFS(GERAL!M:M,GERAL!D:D,PROD_META_30D!$BA$18,GERAL!Q:Q,PROD_META_30D!B10)+SUMIFS(GERAL!N:N,GERAL!D:D,PROD_META_30D!$BA$18,GERAL!Q:Q,PROD_META_30D!B10)</f>
        <v>0</v>
      </c>
      <c r="BC10" s="69">
        <f ca="1">SUMIFS(GERAL!J:J,GERAL!D:D,PROD_META_30D!$BC$18,GERAL!Q:Q,PROD_META_30D!B10)+SUMIFS(GERAL!K:K,GERAL!D:D,$BC$18,GERAL!Q:Q,PROD_META_30D!B10)</f>
        <v>0</v>
      </c>
      <c r="BD10" s="72">
        <f ca="1">SUMIFS(GERAL!M:M,GERAL!D:D,PROD_META_30D!$BC$18,GERAL!Q:Q,PROD_META_30D!B10)+SUMIFS(GERAL!N:N,GERAL!D:D,PROD_META_30D!$BC$18,GERAL!Q:Q,PROD_META_30D!B10)</f>
        <v>0</v>
      </c>
      <c r="BE10" s="81">
        <f ca="1">SUMIFS(GERAL!J:J,GERAL!D:D,PROD_META_30D!$BE$18,GERAL!Q:Q,PROD_META_30D!B10)+SUMIFS(GERAL!K:K,GERAL!D:D,$BE$18,GERAL!Q:Q,PROD_META_30D!B10)</f>
        <v>0</v>
      </c>
      <c r="BF10" s="72">
        <f ca="1">SUMIFS(GERAL!M:M,GERAL!D:D,PROD_META_30D!$BE$18,GERAL!Q:Q,PROD_META_30D!B10)+SUMIFS(GERAL!N:N,GERAL!D:D,PROD_META_30D!$BE$18,GERAL!Q:Q,PROD_META_30D!B10)</f>
        <v>0</v>
      </c>
      <c r="BG10" s="73">
        <f ca="1">SUMIFS(GERAL!J:J,GERAL!D:D,PROD_META_30D!$BG$18,GERAL!Q:Q,PROD_META_30D!B10)+SUMIFS(GERAL!K:K,GERAL!D:D,$BG$18,GERAL!Q:Q,PROD_META_30D!B10)</f>
        <v>0</v>
      </c>
      <c r="BH10" s="74">
        <f ca="1">SUMIFS(GERAL!M:M,GERAL!D:D,PROD_META_30D!$BG$18,GERAL!Q:Q,PROD_META_30D!B10)+SUMIFS(GERAL!N:N,GERAL!D:D,PROD_META_30D!$BG$18,GERAL!Q:Q,PROD_META_30D!B10)</f>
        <v>0</v>
      </c>
    </row>
    <row r="11" spans="1:60" x14ac:dyDescent="0.3">
      <c r="B11" s="65" t="s">
        <v>109</v>
      </c>
      <c r="C11" s="40">
        <f t="shared" ref="C11:D15" ca="1" si="1">G11-E11</f>
        <v>-667.22947945586452</v>
      </c>
      <c r="D11" s="41">
        <f t="shared" ca="1" si="1"/>
        <v>80.38334778837816</v>
      </c>
      <c r="E11" s="42">
        <f ca="1">SUMIFS(PREVISTO!J:J,PREVISTO!B:B,"&lt;="&amp;PROD_META_30D!$AG$5)*PROD_META_30D!AC11</f>
        <v>1385.2294794558645</v>
      </c>
      <c r="F11" s="42">
        <f ca="1">SUMIFS(PREVISTO!I:I,PREVISTO!B:B,"&lt;="&amp;PROD_META_30D!$AG$5)*PROD_META_30D!AD11</f>
        <v>153.61665221162184</v>
      </c>
      <c r="G11" s="43">
        <f ca="1">SUMIFS(GERAL!J:J,GERAL!B:B,"&lt;="&amp;PROD_META_30D!$AG$5,GERAL!Q:Q,PROD_META_30D!B11,GERAL!R:R,"Prazo_30")+SUMIFS(GERAL!K:K,GERAL!B:B,"&lt;="&amp;PROD_META_30D!$AG$5,GERAL!Q:Q,PROD_META_30D!B11,GERAL!R:R,"Prazo_30")</f>
        <v>718</v>
      </c>
      <c r="H11" s="44">
        <f ca="1">SUMIFS(GERAL!M:M,GERAL!B:B,"&lt;="&amp;PROD_META_30D!$AG$5,GERAL!Q:Q,PROD_META_30D!B11,GERAL!R:R,"Prazo_30")+SUMIFS(GERAL!N:N,GERAL!B:B,"&lt;="&amp;PROD_META_30D!$AG$5,GERAL!Q:Q,PROD_META_30D!B11,GERAL!R:R,"Prazo_30")</f>
        <v>234</v>
      </c>
      <c r="I11" s="31">
        <f>SUMIFS(GERAL!J:J,GERAL!A:A,"Semana 1",GERAL!Q:Q,PROD_META_30D!B11)+SUMIFS(GERAL!K:K,GERAL!A:A,"Semana 1",GERAL!Q:Q,PROD_META_30D!B11)</f>
        <v>204</v>
      </c>
      <c r="J11" s="42">
        <f>SUMIFS(GERAL!M:M,GERAL!A:A,"Semana 1",GERAL!Q:Q,PROD_META_30D!B11)+SUMIFS(GERAL!N:N,GERAL!A:A,"Semana 1",GERAL!Q:Q,PROD_META_30D!B11)</f>
        <v>34</v>
      </c>
      <c r="K11" s="43">
        <f>SUMIFS(GERAL!J:J,GERAL!A:A,"Semana 2",GERAL!Q:Q,PROD_META_30D!B11)+SUMIFS(GERAL!K:K,GERAL!A:A,"Semana 2",GERAL!Q:Q,PROD_META_30D!B11)</f>
        <v>40</v>
      </c>
      <c r="L11" s="41">
        <f>SUMIFS(GERAL!M:M,GERAL!A:A,"Semana 2",GERAL!Q:Q,PROD_META_30D!B11)+SUMIFS(GERAL!N:N,GERAL!A:A,"Semana 1",GERAL!Q:Q,PROD_META_30D!B11)</f>
        <v>34</v>
      </c>
      <c r="M11" s="43">
        <f>SUMIFS(GERAL!J:J,GERAL!A:A,"Semana 3",GERAL!Q:Q,PROD_META_30D!B11)+SUMIFS(GERAL!K:K,GERAL!A:A,"Semana 3",GERAL!Q:Q,PROD_META_30D!B11)</f>
        <v>36</v>
      </c>
      <c r="N11" s="41">
        <f>SUMIFS(GERAL!M:M,GERAL!A:A,"Semana 3",GERAL!Q:Q,PROD_META_30D!B11)+SUMIFS(GERAL!N:N,GERAL!A:A,"Semana 3",GERAL!Q:Q,PROD_META_30D!B11)</f>
        <v>27</v>
      </c>
      <c r="O11" s="43">
        <f>SUMIFS(GERAL!J:J,GERAL!A:A,"Semana 4",GERAL!Q:Q,PROD_META_30D!B11)+SUMIFS(GERAL!K:K,GERAL!A:A,"Semana 4",GERAL!Q:Q,PROD_META_30D!B11)</f>
        <v>95</v>
      </c>
      <c r="P11" s="41">
        <f>SUMIFS(GERAL!M:M,GERAL!A:A,"Semana 4",GERAL!Q:Q,PROD_META_30D!B11)+SUMIFS(GERAL!N:N,GERAL!A:A,"Semana 4",GERAL!Q:Q,PROD_META_30D!B11)</f>
        <v>18</v>
      </c>
      <c r="Q11" s="43">
        <f>SUMIFS(GERAL!J:J,GERAL!A:A,"Semana 5",GERAL!Q:Q,PROD_META_30D!B11)+SUMIFS(GERAL!K:K,GERAL!A:A,"Semana 5",GERAL!Q:Q,PROD_META_30D!B11)</f>
        <v>35</v>
      </c>
      <c r="R11" s="41">
        <f>SUMIFS(GERAL!M:M,GERAL!A:A,"Semana 5",GERAL!Q:Q,PROD_META_30D!B11)+SUMIFS(GERAL!N:N,GERAL!A:A,"Semana 5",GERAL!Q:Q,PROD_META_30D!B11)</f>
        <v>2</v>
      </c>
      <c r="S11" s="43">
        <f>SUMIFS(GERAL!J:J,GERAL!A:A,"Semana 6",GERAL!Q:Q,PROD_META_30D!B11)+SUMIFS(GERAL!K:K,GERAL!A:A,"Semana 6",GERAL!Q:Q,PROD_META_30D!B11)</f>
        <v>140</v>
      </c>
      <c r="T11" s="41">
        <f>SUMIFS(GERAL!M:M,GERAL!A:A,"Semana 6",GERAL!Q:Q,PROD_META_30D!B11)+SUMIFS(GERAL!N:N,GERAL!A:A,"Semana 6",GERAL!Q:Q,PROD_META_30D!B11)</f>
        <v>0</v>
      </c>
      <c r="U11" s="42">
        <f>SUMIFS(GERAL!J:J,GERAL!A:A,"Semana 7",GERAL!Q:Q,PROD_META_30D!B11)+SUMIFS(GERAL!K:K,GERAL!A:A,"Semana 7",GERAL!Q:Q,PROD_META_30D!B11)</f>
        <v>0</v>
      </c>
      <c r="V11" s="42">
        <f>SUMIFS(GERAL!M:M,GERAL!A:A,"Semana 7",GERAL!Q:Q,PROD_META_30D!B11)+SUMIFS(GERAL!N:N,GERAL!A:A,"Semana 7",GERAL!Q:Q,PROD_META_30D!B11)</f>
        <v>33</v>
      </c>
      <c r="W11" s="40">
        <f t="shared" ref="W11:X15" ca="1" si="2">SUM(AI11,AK11,AM11,AO11,AQ11,AS11)</f>
        <v>0</v>
      </c>
      <c r="X11" s="41">
        <f t="shared" ca="1" si="2"/>
        <v>0</v>
      </c>
      <c r="Y11" s="43">
        <f t="shared" ca="1" si="0"/>
        <v>-185</v>
      </c>
      <c r="Z11" s="41">
        <f t="shared" ca="1" si="0"/>
        <v>-20</v>
      </c>
      <c r="AA11" s="45">
        <v>1380</v>
      </c>
      <c r="AB11" s="46">
        <v>164</v>
      </c>
      <c r="AC11" s="85">
        <f t="shared" ref="AC11:AC15" si="3">AA11/SUM($AA$10:$AA$15)</f>
        <v>0.19876134235921072</v>
      </c>
      <c r="AD11" s="86">
        <f t="shared" ref="AD11:AD15" si="4">AB11/SUM($AB$10:$AB$15)</f>
        <v>0.14223764093668689</v>
      </c>
      <c r="AE11" s="47">
        <v>185</v>
      </c>
      <c r="AF11" s="39">
        <v>20</v>
      </c>
      <c r="AG11" s="40">
        <v>46</v>
      </c>
      <c r="AH11" s="41">
        <v>5</v>
      </c>
      <c r="AI11" s="70">
        <f ca="1">SUMIFS(GERAL!J:J,GERAL!D:D,PROD_META_30D!$AI$6,GERAL!Q:Q,PROD_META_30D!B11)+SUMIFS(GERAL!K:K,GERAL!D:D,PROD_META_30D!$AI$6,GERAL!Q:Q,PROD_META_30D!B11)</f>
        <v>0</v>
      </c>
      <c r="AJ11" s="75">
        <f ca="1">SUMIFS(GERAL!M:M,GERAL!D:D,PROD_META_30D!$AI$6,GERAL!Q:Q,PROD_META_30D!B11)+SUMIFS(GERAL!N:N,GERAL!D:D,PROD_META_30D!$AI$6,GERAL!Q:Q,PROD_META_30D!B11)</f>
        <v>0</v>
      </c>
      <c r="AK11" s="70">
        <f ca="1">SUMIFS(GERAL!J:J,GERAL!D:D,$AK$6,GERAL!Q:Q,PROD_META_30D!B11)+SUMIFS(GERAL!K:K,GERAL!D:D,$AK$6,GERAL!Q:Q,PROD_META_30D!B11)</f>
        <v>0</v>
      </c>
      <c r="AL11" s="75">
        <f ca="1">SUMIFS(GERAL!M:M,GERAL!D:D,$AK$6,GERAL!Q:Q,PROD_META_30D!B11)+SUMIFS(GERAL!N:N,GERAL!D:D,$AK$6,GERAL!Q:Q,PROD_META_30D!B11)</f>
        <v>0</v>
      </c>
      <c r="AM11" s="70">
        <f ca="1">SUMIFS(GERAL!J:J,GERAL!D:D,PROD_META_30D!$AM$6,GERAL!Q:Q,PROD_META_30D!B11)+SUMIFS(GERAL!K:K,GERAL!D:D,PROD_META_30D!$AM$6,GERAL!Q:Q,PROD_META_30D!B11)</f>
        <v>0</v>
      </c>
      <c r="AN11" s="75">
        <f ca="1">SUMIFS(GERAL!M:M,GERAL!D:D,PROD_META_30D!$AM$6,GERAL!Q:Q,PROD_META_30D!B11)+SUMIFS(GERAL!N:N,GERAL!D:D,PROD_META_30D!$AM$6,GERAL!Q:Q,PROD_META_30D!B11)</f>
        <v>0</v>
      </c>
      <c r="AO11" s="70">
        <f ca="1">SUMIFS(GERAL!J:J,GERAL!D:D,PROD_META_30D!$AO$6,GERAL!Q:Q,PROD_META_30D!B11)+SUMIFS(GERAL!K:K,GERAL!D:D,PROD_META_30D!$AO$6,GERAL!Q:Q,PROD_META_30D!B11)</f>
        <v>0</v>
      </c>
      <c r="AP11" s="75">
        <f ca="1">SUMIFS(GERAL!M:M,GERAL!D:D,PROD_META_30D!$AO$6,GERAL!Q:Q,PROD_META_30D!B11)+SUMIFS(GERAL!N:N,GERAL!D:D,PROD_META_30D!$AO$6,GERAL!Q:Q,PROD_META_30D!B11)</f>
        <v>0</v>
      </c>
      <c r="AQ11" s="70">
        <f ca="1">SUMIFS(GERAL!J:J,GERAL!D:D,$AQ$6,GERAL!Q:Q,PROD_META_30D!B11)+SUMIFS(GERAL!K:K,GERAL!D:D,$AQ$6,GERAL!Q:Q,PROD_META_30D!B11)</f>
        <v>0</v>
      </c>
      <c r="AR11" s="75">
        <f ca="1">SUMIFS(GERAL!M:M,GERAL!D:D,$AQ$6,GERAL!Q:Q,PROD_META_30D!B11)+SUMIFS(GERAL!N:N,GERAL!D:D,$AQ$6,GERAL!Q:Q,PROD_META_30D!B11)</f>
        <v>0</v>
      </c>
      <c r="AS11" s="76">
        <f ca="1">SUMIFS(GERAL!J:J,GERAL!D:D,$AS$6,GERAL!Q:Q,PROD_META_30D!B11)+SUMIFS(GERAL!K:K,GERAL!D:D,$AS$6,GERAL!Q:Q,PROD_META_30D!B11)</f>
        <v>0</v>
      </c>
      <c r="AT11" s="77">
        <f ca="1">SUMIFS(GERAL!M:M,GERAL!D:D,$AS$6,GERAL!Q:Q,PROD_META_30D!B11)+SUMIFS(GERAL!N:N,GERAL!D:D,$AS$6,GERAL!Q:Q,PROD_META_30D!B11)</f>
        <v>0</v>
      </c>
      <c r="AU11" s="40">
        <v>46</v>
      </c>
      <c r="AV11" s="41">
        <v>5</v>
      </c>
      <c r="AW11" s="70">
        <f ca="1">SUMIFS(GERAL!J:J,GERAL!D:D,PROD_META_30D!$AW$18,GERAL!Q:Q,PROD_META_30D!B11)+SUMIFS(GERAL!K:K,GERAL!D:D,PROD_META_30D!$AW$18,GERAL!Q:Q,PROD_META_30D!B11)</f>
        <v>0</v>
      </c>
      <c r="AX11" s="75">
        <f ca="1">SUMIFS(GERAL!M:M,GERAL!D:D,PROD_META_30D!$AW$18,GERAL!Q:Q,PROD_META_30D!B11)+SUMIFS(GERAL!N:N,GERAL!D:D,PROD_META_30D!$AW$18,GERAL!Q:Q,PROD_META_30D!B11)</f>
        <v>0</v>
      </c>
      <c r="AY11" s="70">
        <f ca="1">SUMIFS(GERAL!J:J,GERAL!D:D,PROD_META_30D!$AY$18,GERAL!Q:Q,PROD_META_30D!B11)+SUMIFS(GERAL!K:K,GERAL!D:D,$AY$18,GERAL!Q:Q,PROD_META_30D!B11)</f>
        <v>0</v>
      </c>
      <c r="AZ11" s="75">
        <f ca="1">SUMIFS(GERAL!M:M,GERAL!D:D,PROD_META_30D!$AY$18,GERAL!Q:Q,PROD_META_30D!B11)+SUMIFS(GERAL!N:N,GERAL!D:D,PROD_META_30D!$AY$18,GERAL!Q:Q,PROD_META_30D!B11)</f>
        <v>0</v>
      </c>
      <c r="BA11" s="70">
        <f ca="1">SUMIFS(GERAL!J:J,GERAL!D:D,PROD_META_30D!$BA$18,GERAL!Q:Q,PROD_META_30D!B11)+SUMIFS(GERAL!K:K,GERAL!D:D,$BA$18,GERAL!Q:Q,PROD_META_30D!B11)</f>
        <v>0</v>
      </c>
      <c r="BB11" s="75">
        <f ca="1">SUMIFS(GERAL!M:M,GERAL!D:D,PROD_META_30D!$BA$18,GERAL!Q:Q,PROD_META_30D!B11)+SUMIFS(GERAL!N:N,GERAL!D:D,PROD_META_30D!$BA$18,GERAL!Q:Q,PROD_META_30D!B11)</f>
        <v>0</v>
      </c>
      <c r="BC11" s="70">
        <f ca="1">SUMIFS(GERAL!J:J,GERAL!D:D,PROD_META_30D!$BC$18,GERAL!Q:Q,PROD_META_30D!B11)+SUMIFS(GERAL!K:K,GERAL!D:D,$BC$18,GERAL!Q:Q,PROD_META_30D!B11)</f>
        <v>0</v>
      </c>
      <c r="BD11" s="75">
        <f ca="1">SUMIFS(GERAL!M:M,GERAL!D:D,PROD_META_30D!$BC$18,GERAL!Q:Q,PROD_META_30D!B11)+SUMIFS(GERAL!N:N,GERAL!D:D,PROD_META_30D!$BC$18,GERAL!Q:Q,PROD_META_30D!B11)</f>
        <v>0</v>
      </c>
      <c r="BE11" s="70">
        <f ca="1">SUMIFS(GERAL!J:J,GERAL!D:D,PROD_META_30D!$BE$18,GERAL!Q:Q,PROD_META_30D!B11)+SUMIFS(GERAL!K:K,GERAL!D:D,$BE$18,GERAL!Q:Q,PROD_META_30D!B11)</f>
        <v>0</v>
      </c>
      <c r="BF11" s="75">
        <f ca="1">SUMIFS(GERAL!M:M,GERAL!D:D,PROD_META_30D!$BE$18,GERAL!Q:Q,PROD_META_30D!B11)+SUMIFS(GERAL!N:N,GERAL!D:D,PROD_META_30D!$BE$18,GERAL!Q:Q,PROD_META_30D!B11)</f>
        <v>0</v>
      </c>
      <c r="BG11" s="76">
        <f ca="1">SUMIFS(GERAL!J:J,GERAL!D:D,PROD_META_30D!$BG$18,GERAL!Q:Q,PROD_META_30D!B11)+SUMIFS(GERAL!K:K,GERAL!D:D,$BG$18,GERAL!Q:Q,PROD_META_30D!B11)</f>
        <v>0</v>
      </c>
      <c r="BH11" s="77">
        <f ca="1">SUMIFS(GERAL!M:M,GERAL!D:D,PROD_META_30D!$BG$18,GERAL!Q:Q,PROD_META_30D!B11)+SUMIFS(GERAL!N:N,GERAL!D:D,PROD_META_30D!$BG$18,GERAL!Q:Q,PROD_META_30D!B11)</f>
        <v>0</v>
      </c>
    </row>
    <row r="12" spans="1:60" x14ac:dyDescent="0.3">
      <c r="B12" s="65" t="s">
        <v>179</v>
      </c>
      <c r="C12" s="40">
        <f t="shared" ca="1" si="1"/>
        <v>441.2724202496189</v>
      </c>
      <c r="D12" s="41">
        <f t="shared" ca="1" si="1"/>
        <v>104.03902862098872</v>
      </c>
      <c r="E12" s="42">
        <f ca="1">SUMIFS(PREVISTO!J:J,PREVISTO!B:B,"&lt;="&amp;PROD_META_30D!$AG$5)*PROD_META_30D!AC12</f>
        <v>192.72757975038112</v>
      </c>
      <c r="F12" s="42">
        <f ca="1">SUMIFS(PREVISTO!I:I,PREVISTO!B:B,"&lt;="&amp;PROD_META_30D!$AG$5)*PROD_META_30D!AD12</f>
        <v>44.960971379011276</v>
      </c>
      <c r="G12" s="43">
        <f ca="1">SUMIFS(GERAL!J:J,GERAL!B:B,"&lt;="&amp;PROD_META_30D!$AG$5,GERAL!Q:Q,PROD_META_30D!B12,GERAL!R:R,"Prazo_30")+SUMIFS(GERAL!K:K,GERAL!B:B,"&lt;="&amp;PROD_META_30D!$AG$5,GERAL!Q:Q,PROD_META_30D!B12,GERAL!R:R,"Prazo_30")</f>
        <v>634</v>
      </c>
      <c r="H12" s="44">
        <f ca="1">SUMIFS(GERAL!M:M,GERAL!B:B,"&lt;="&amp;PROD_META_30D!$AG$5,GERAL!Q:Q,PROD_META_30D!B12,GERAL!R:R,"Prazo_30")+SUMIFS(GERAL!N:N,GERAL!B:B,"&lt;="&amp;PROD_META_30D!$AG$5,GERAL!Q:Q,PROD_META_30D!B12,GERAL!R:R,"Prazo_30")</f>
        <v>149</v>
      </c>
      <c r="I12" s="31">
        <f>SUMIFS(GERAL!J:J,GERAL!A:A,"Semana 1",GERAL!Q:Q,PROD_META_30D!B12)+SUMIFS(GERAL!K:K,GERAL!A:A,"Semana 1",GERAL!Q:Q,PROD_META_30D!B12)</f>
        <v>113</v>
      </c>
      <c r="J12" s="42">
        <f>SUMIFS(GERAL!M:M,GERAL!A:A,"Semana 1",GERAL!Q:Q,PROD_META_30D!B12)+SUMIFS(GERAL!N:N,GERAL!A:A,"Semana 1",GERAL!Q:Q,PROD_META_30D!B12)</f>
        <v>0</v>
      </c>
      <c r="K12" s="43">
        <f>SUMIFS(GERAL!J:J,GERAL!A:A,"Semana 2",GERAL!Q:Q,PROD_META_30D!B12)+SUMIFS(GERAL!K:K,GERAL!A:A,"Semana 2",GERAL!Q:Q,PROD_META_30D!B12)</f>
        <v>120</v>
      </c>
      <c r="L12" s="41">
        <f>SUMIFS(GERAL!M:M,GERAL!A:A,"Semana 2",GERAL!Q:Q,PROD_META_30D!B12)+SUMIFS(GERAL!N:N,GERAL!A:A,"Semana 1",GERAL!Q:Q,PROD_META_30D!B12)</f>
        <v>0</v>
      </c>
      <c r="M12" s="43">
        <f>SUMIFS(GERAL!J:J,GERAL!A:A,"Semana 3",GERAL!Q:Q,PROD_META_30D!B12)+SUMIFS(GERAL!K:K,GERAL!A:A,"Semana 3",GERAL!Q:Q,PROD_META_30D!B12)</f>
        <v>0</v>
      </c>
      <c r="N12" s="41">
        <f>SUMIFS(GERAL!M:M,GERAL!A:A,"Semana 3",GERAL!Q:Q,PROD_META_30D!B12)+SUMIFS(GERAL!N:N,GERAL!A:A,"Semana 3",GERAL!Q:Q,PROD_META_30D!B12)</f>
        <v>33</v>
      </c>
      <c r="O12" s="43">
        <f>SUMIFS(GERAL!J:J,GERAL!A:A,"Semana 4",GERAL!Q:Q,PROD_META_30D!B12)+SUMIFS(GERAL!K:K,GERAL!A:A,"Semana 4",GERAL!Q:Q,PROD_META_30D!B12)</f>
        <v>30</v>
      </c>
      <c r="P12" s="41">
        <f>SUMIFS(GERAL!M:M,GERAL!A:A,"Semana 4",GERAL!Q:Q,PROD_META_30D!B12)+SUMIFS(GERAL!N:N,GERAL!A:A,"Semana 4",GERAL!Q:Q,PROD_META_30D!B12)</f>
        <v>26</v>
      </c>
      <c r="Q12" s="43">
        <f>SUMIFS(GERAL!J:J,GERAL!A:A,"Semana 5",GERAL!Q:Q,PROD_META_30D!B12)+SUMIFS(GERAL!K:K,GERAL!A:A,"Semana 5",GERAL!Q:Q,PROD_META_30D!B12)</f>
        <v>24</v>
      </c>
      <c r="R12" s="41">
        <f>SUMIFS(GERAL!M:M,GERAL!A:A,"Semana 5",GERAL!Q:Q,PROD_META_30D!B12)+SUMIFS(GERAL!N:N,GERAL!A:A,"Semana 5",GERAL!Q:Q,PROD_META_30D!B12)</f>
        <v>12</v>
      </c>
      <c r="S12" s="43">
        <f>SUMIFS(GERAL!J:J,GERAL!A:A,"Semana 6",GERAL!Q:Q,PROD_META_30D!B12)+SUMIFS(GERAL!K:K,GERAL!A:A,"Semana 6",GERAL!Q:Q,PROD_META_30D!B12)</f>
        <v>45</v>
      </c>
      <c r="T12" s="41">
        <f>SUMIFS(GERAL!M:M,GERAL!A:A,"Semana 6",GERAL!Q:Q,PROD_META_30D!B12)+SUMIFS(GERAL!N:N,GERAL!A:A,"Semana 6",GERAL!Q:Q,PROD_META_30D!B12)</f>
        <v>15</v>
      </c>
      <c r="U12" s="42">
        <f>SUMIFS(GERAL!J:J,GERAL!A:A,"Semana 7",GERAL!Q:Q,PROD_META_30D!B12)+SUMIFS(GERAL!K:K,GERAL!A:A,"Semana 7",GERAL!Q:Q,PROD_META_30D!B12)</f>
        <v>0</v>
      </c>
      <c r="V12" s="42">
        <f>SUMIFS(GERAL!M:M,GERAL!A:A,"Semana 7",GERAL!Q:Q,PROD_META_30D!B12)+SUMIFS(GERAL!N:N,GERAL!A:A,"Semana 7",GERAL!Q:Q,PROD_META_30D!B12)</f>
        <v>0</v>
      </c>
      <c r="W12" s="40">
        <f t="shared" ca="1" si="2"/>
        <v>0</v>
      </c>
      <c r="X12" s="41">
        <f t="shared" ca="1" si="2"/>
        <v>0</v>
      </c>
      <c r="Y12" s="43">
        <f t="shared" ca="1" si="0"/>
        <v>-26</v>
      </c>
      <c r="Z12" s="41">
        <f t="shared" ca="1" si="0"/>
        <v>-6</v>
      </c>
      <c r="AA12" s="45">
        <v>192</v>
      </c>
      <c r="AB12" s="46">
        <v>48</v>
      </c>
      <c r="AC12" s="85">
        <f t="shared" si="3"/>
        <v>2.7653751980411926E-2</v>
      </c>
      <c r="AD12" s="86">
        <f t="shared" si="4"/>
        <v>4.163052905464007E-2</v>
      </c>
      <c r="AE12" s="47">
        <v>26</v>
      </c>
      <c r="AF12" s="39">
        <v>6</v>
      </c>
      <c r="AG12" s="40">
        <v>6</v>
      </c>
      <c r="AH12" s="41">
        <v>1</v>
      </c>
      <c r="AI12" s="70">
        <f ca="1">SUMIFS(GERAL!J:J,GERAL!D:D,PROD_META_30D!$AI$6,GERAL!Q:Q,PROD_META_30D!B12)+SUMIFS(GERAL!K:K,GERAL!D:D,PROD_META_30D!$AI$6,GERAL!Q:Q,PROD_META_30D!B12)</f>
        <v>0</v>
      </c>
      <c r="AJ12" s="75">
        <f ca="1">SUMIFS(GERAL!M:M,GERAL!D:D,PROD_META_30D!$AI$6,GERAL!Q:Q,PROD_META_30D!B12)+SUMIFS(GERAL!N:N,GERAL!D:D,PROD_META_30D!$AI$6,GERAL!Q:Q,PROD_META_30D!B12)</f>
        <v>0</v>
      </c>
      <c r="AK12" s="70">
        <f ca="1">SUMIFS(GERAL!J:J,GERAL!D:D,$AK$6,GERAL!Q:Q,PROD_META_30D!B12)+SUMIFS(GERAL!K:K,GERAL!D:D,$AK$6,GERAL!Q:Q,PROD_META_30D!B12)</f>
        <v>0</v>
      </c>
      <c r="AL12" s="75">
        <f ca="1">SUMIFS(GERAL!M:M,GERAL!D:D,$AK$6,GERAL!Q:Q,PROD_META_30D!B12)+SUMIFS(GERAL!N:N,GERAL!D:D,$AK$6,GERAL!Q:Q,PROD_META_30D!B12)</f>
        <v>0</v>
      </c>
      <c r="AM12" s="70">
        <f ca="1">SUMIFS(GERAL!J:J,GERAL!D:D,PROD_META_30D!$AM$6,GERAL!Q:Q,PROD_META_30D!B12)+SUMIFS(GERAL!K:K,GERAL!D:D,PROD_META_30D!$AM$6,GERAL!Q:Q,PROD_META_30D!B12)</f>
        <v>0</v>
      </c>
      <c r="AN12" s="75">
        <f ca="1">SUMIFS(GERAL!M:M,GERAL!D:D,PROD_META_30D!$AM$6,GERAL!Q:Q,PROD_META_30D!B12)+SUMIFS(GERAL!N:N,GERAL!D:D,PROD_META_30D!$AM$6,GERAL!Q:Q,PROD_META_30D!B12)</f>
        <v>0</v>
      </c>
      <c r="AO12" s="70">
        <f ca="1">SUMIFS(GERAL!J:J,GERAL!D:D,PROD_META_30D!$AO$6,GERAL!Q:Q,PROD_META_30D!B12)+SUMIFS(GERAL!K:K,GERAL!D:D,PROD_META_30D!$AO$6,GERAL!Q:Q,PROD_META_30D!B12)</f>
        <v>0</v>
      </c>
      <c r="AP12" s="75">
        <f ca="1">SUMIFS(GERAL!M:M,GERAL!D:D,PROD_META_30D!$AO$6,GERAL!Q:Q,PROD_META_30D!B12)+SUMIFS(GERAL!N:N,GERAL!D:D,PROD_META_30D!$AO$6,GERAL!Q:Q,PROD_META_30D!B12)</f>
        <v>0</v>
      </c>
      <c r="AQ12" s="70">
        <f ca="1">SUMIFS(GERAL!J:J,GERAL!D:D,$AQ$6,GERAL!Q:Q,PROD_META_30D!B12)+SUMIFS(GERAL!K:K,GERAL!D:D,$AQ$6,GERAL!Q:Q,PROD_META_30D!B12)</f>
        <v>0</v>
      </c>
      <c r="AR12" s="75">
        <f ca="1">SUMIFS(GERAL!M:M,GERAL!D:D,$AQ$6,GERAL!Q:Q,PROD_META_30D!B12)+SUMIFS(GERAL!N:N,GERAL!D:D,$AQ$6,GERAL!Q:Q,PROD_META_30D!B12)</f>
        <v>0</v>
      </c>
      <c r="AS12" s="76">
        <f ca="1">SUMIFS(GERAL!J:J,GERAL!D:D,$AS$6,GERAL!Q:Q,PROD_META_30D!B12)+SUMIFS(GERAL!K:K,GERAL!D:D,$AS$6,GERAL!Q:Q,PROD_META_30D!B12)</f>
        <v>0</v>
      </c>
      <c r="AT12" s="77">
        <f ca="1">SUMIFS(GERAL!M:M,GERAL!D:D,$AS$6,GERAL!Q:Q,PROD_META_30D!B12)+SUMIFS(GERAL!N:N,GERAL!D:D,$AS$6,GERAL!Q:Q,PROD_META_30D!B12)</f>
        <v>0</v>
      </c>
      <c r="AU12" s="40">
        <v>6</v>
      </c>
      <c r="AV12" s="41">
        <v>1</v>
      </c>
      <c r="AW12" s="70">
        <f ca="1">SUMIFS(GERAL!J:J,GERAL!D:D,PROD_META_30D!$AW$18,GERAL!Q:Q,PROD_META_30D!B12)+SUMIFS(GERAL!K:K,GERAL!D:D,PROD_META_30D!$AW$18,GERAL!Q:Q,PROD_META_30D!B12)</f>
        <v>0</v>
      </c>
      <c r="AX12" s="75">
        <f ca="1">SUMIFS(GERAL!M:M,GERAL!D:D,PROD_META_30D!$AW$18,GERAL!Q:Q,PROD_META_30D!B12)+SUMIFS(GERAL!N:N,GERAL!D:D,PROD_META_30D!$AW$18,GERAL!Q:Q,PROD_META_30D!B12)</f>
        <v>0</v>
      </c>
      <c r="AY12" s="70">
        <f ca="1">SUMIFS(GERAL!J:J,GERAL!D:D,PROD_META_30D!$AY$18,GERAL!Q:Q,PROD_META_30D!B12)+SUMIFS(GERAL!K:K,GERAL!D:D,$AY$18,GERAL!Q:Q,PROD_META_30D!B12)</f>
        <v>0</v>
      </c>
      <c r="AZ12" s="75">
        <f ca="1">SUMIFS(GERAL!M:M,GERAL!D:D,PROD_META_30D!$AY$18,GERAL!Q:Q,PROD_META_30D!B12)+SUMIFS(GERAL!N:N,GERAL!D:D,PROD_META_30D!$AY$18,GERAL!Q:Q,PROD_META_30D!B12)</f>
        <v>0</v>
      </c>
      <c r="BA12" s="70">
        <f ca="1">SUMIFS(GERAL!J:J,GERAL!D:D,PROD_META_30D!$BA$18,GERAL!Q:Q,PROD_META_30D!B12)+SUMIFS(GERAL!K:K,GERAL!D:D,$BA$18,GERAL!Q:Q,PROD_META_30D!B12)</f>
        <v>0</v>
      </c>
      <c r="BB12" s="75">
        <f ca="1">SUMIFS(GERAL!M:M,GERAL!D:D,PROD_META_30D!$BA$18,GERAL!Q:Q,PROD_META_30D!B12)+SUMIFS(GERAL!N:N,GERAL!D:D,PROD_META_30D!$BA$18,GERAL!Q:Q,PROD_META_30D!B12)</f>
        <v>0</v>
      </c>
      <c r="BC12" s="70">
        <f ca="1">SUMIFS(GERAL!J:J,GERAL!D:D,PROD_META_30D!$BC$18,GERAL!Q:Q,PROD_META_30D!B12)+SUMIFS(GERAL!K:K,GERAL!D:D,$BC$18,GERAL!Q:Q,PROD_META_30D!B12)</f>
        <v>0</v>
      </c>
      <c r="BD12" s="75">
        <f ca="1">SUMIFS(GERAL!M:M,GERAL!D:D,PROD_META_30D!$BC$18,GERAL!Q:Q,PROD_META_30D!B12)+SUMIFS(GERAL!N:N,GERAL!D:D,PROD_META_30D!$BC$18,GERAL!Q:Q,PROD_META_30D!B12)</f>
        <v>0</v>
      </c>
      <c r="BE12" s="70">
        <f ca="1">SUMIFS(GERAL!J:J,GERAL!D:D,PROD_META_30D!$BE$18,GERAL!Q:Q,PROD_META_30D!B12)+SUMIFS(GERAL!K:K,GERAL!D:D,$BE$18,GERAL!Q:Q,PROD_META_30D!B12)</f>
        <v>0</v>
      </c>
      <c r="BF12" s="75">
        <f ca="1">SUMIFS(GERAL!M:M,GERAL!D:D,PROD_META_30D!$BE$18,GERAL!Q:Q,PROD_META_30D!B12)+SUMIFS(GERAL!N:N,GERAL!D:D,PROD_META_30D!$BE$18,GERAL!Q:Q,PROD_META_30D!B12)</f>
        <v>0</v>
      </c>
      <c r="BG12" s="76">
        <f ca="1">SUMIFS(GERAL!J:J,GERAL!D:D,PROD_META_30D!$BG$18,GERAL!Q:Q,PROD_META_30D!B12)+SUMIFS(GERAL!K:K,GERAL!D:D,$BG$18,GERAL!Q:Q,PROD_META_30D!B12)</f>
        <v>0</v>
      </c>
      <c r="BH12" s="77">
        <f ca="1">SUMIFS(GERAL!M:M,GERAL!D:D,PROD_META_30D!$BG$18,GERAL!Q:Q,PROD_META_30D!B12)+SUMIFS(GERAL!N:N,GERAL!D:D,PROD_META_30D!$BG$18,GERAL!Q:Q,PROD_META_30D!B12)</f>
        <v>0</v>
      </c>
    </row>
    <row r="13" spans="1:60" x14ac:dyDescent="0.3">
      <c r="B13" s="65" t="s">
        <v>18</v>
      </c>
      <c r="C13" s="40">
        <f t="shared" ca="1" si="1"/>
        <v>-10.612005642000668</v>
      </c>
      <c r="D13" s="41">
        <f t="shared" ca="1" si="1"/>
        <v>-29.298352124891579</v>
      </c>
      <c r="E13" s="42">
        <f ca="1">SUMIFS(PREVISTO!J:J,PREVISTO!B:B,"&lt;="&amp;PROD_META_30D!$AG$5)*PROD_META_30D!AC13</f>
        <v>1354.1120056420007</v>
      </c>
      <c r="F13" s="42">
        <f ca="1">SUMIFS(PREVISTO!I:I,PREVISTO!B:B,"&lt;="&amp;PROD_META_30D!$AG$5)*PROD_META_30D!AD13</f>
        <v>232.29835212489158</v>
      </c>
      <c r="G13" s="43">
        <f ca="1">SUMIFS(GERAL!J:J,GERAL!B:B,"&lt;="&amp;PROD_META_30D!$AG$5,GERAL!Q:Q,PROD_META_30D!B13,GERAL!R:R,"Prazo_30")+SUMIFS(GERAL!K:K,GERAL!B:B,"&lt;="&amp;PROD_META_30D!$AG$5,GERAL!Q:Q,PROD_META_30D!B13,GERAL!R:R,"Prazo_30")</f>
        <v>1343.5</v>
      </c>
      <c r="H13" s="44">
        <f ca="1">SUMIFS(GERAL!M:M,GERAL!B:B,"&lt;="&amp;PROD_META_30D!$AG$5,GERAL!Q:Q,PROD_META_30D!B13,GERAL!R:R,"Prazo_30")+SUMIFS(GERAL!N:N,GERAL!B:B,"&lt;="&amp;PROD_META_30D!$AG$5,GERAL!Q:Q,PROD_META_30D!B13,GERAL!R:R,"Prazo_30")</f>
        <v>203</v>
      </c>
      <c r="I13" s="31">
        <f>SUMIFS(GERAL!J:J,GERAL!A:A,"Semana 1",GERAL!Q:Q,PROD_META_30D!B13)+SUMIFS(GERAL!K:K,GERAL!A:A,"Semana 1",GERAL!Q:Q,PROD_META_30D!B13)</f>
        <v>220</v>
      </c>
      <c r="J13" s="42">
        <f>SUMIFS(GERAL!M:M,GERAL!A:A,"Semana 1",GERAL!Q:Q,PROD_META_30D!B13)+SUMIFS(GERAL!N:N,GERAL!A:A,"Semana 1",GERAL!Q:Q,PROD_META_30D!B13)</f>
        <v>60</v>
      </c>
      <c r="K13" s="43">
        <f>SUMIFS(GERAL!J:J,GERAL!A:A,"Semana 2",GERAL!Q:Q,PROD_META_30D!B13)+SUMIFS(GERAL!K:K,GERAL!A:A,"Semana 2",GERAL!Q:Q,PROD_META_30D!B13)</f>
        <v>140</v>
      </c>
      <c r="L13" s="41">
        <f>SUMIFS(GERAL!M:M,GERAL!A:A,"Semana 2",GERAL!Q:Q,PROD_META_30D!B13)+SUMIFS(GERAL!N:N,GERAL!A:A,"Semana 1",GERAL!Q:Q,PROD_META_30D!B13)</f>
        <v>51</v>
      </c>
      <c r="M13" s="43">
        <f>SUMIFS(GERAL!J:J,GERAL!A:A,"Semana 3",GERAL!Q:Q,PROD_META_30D!B13)+SUMIFS(GERAL!K:K,GERAL!A:A,"Semana 3",GERAL!Q:Q,PROD_META_30D!B13)</f>
        <v>209.1</v>
      </c>
      <c r="N13" s="41">
        <f>SUMIFS(GERAL!M:M,GERAL!A:A,"Semana 3",GERAL!Q:Q,PROD_META_30D!B13)+SUMIFS(GERAL!N:N,GERAL!A:A,"Semana 3",GERAL!Q:Q,PROD_META_30D!B13)</f>
        <v>9</v>
      </c>
      <c r="O13" s="43">
        <f>SUMIFS(GERAL!J:J,GERAL!A:A,"Semana 4",GERAL!Q:Q,PROD_META_30D!B13)+SUMIFS(GERAL!K:K,GERAL!A:A,"Semana 4",GERAL!Q:Q,PROD_META_30D!B13)</f>
        <v>128</v>
      </c>
      <c r="P13" s="41">
        <f>SUMIFS(GERAL!M:M,GERAL!A:A,"Semana 4",GERAL!Q:Q,PROD_META_30D!B13)+SUMIFS(GERAL!N:N,GERAL!A:A,"Semana 4",GERAL!Q:Q,PROD_META_30D!B13)</f>
        <v>29</v>
      </c>
      <c r="Q13" s="43">
        <f>SUMIFS(GERAL!J:J,GERAL!A:A,"Semana 5",GERAL!Q:Q,PROD_META_30D!B13)+SUMIFS(GERAL!K:K,GERAL!A:A,"Semana 5",GERAL!Q:Q,PROD_META_30D!B13)</f>
        <v>33</v>
      </c>
      <c r="R13" s="41">
        <f>SUMIFS(GERAL!M:M,GERAL!A:A,"Semana 5",GERAL!Q:Q,PROD_META_30D!B13)+SUMIFS(GERAL!N:N,GERAL!A:A,"Semana 5",GERAL!Q:Q,PROD_META_30D!B13)</f>
        <v>21</v>
      </c>
      <c r="S13" s="43">
        <f>SUMIFS(GERAL!J:J,GERAL!A:A,"Semana 6",GERAL!Q:Q,PROD_META_30D!B13)+SUMIFS(GERAL!K:K,GERAL!A:A,"Semana 6",GERAL!Q:Q,PROD_META_30D!B13)</f>
        <v>134</v>
      </c>
      <c r="T13" s="41">
        <f>SUMIFS(GERAL!M:M,GERAL!A:A,"Semana 6",GERAL!Q:Q,PROD_META_30D!B13)+SUMIFS(GERAL!N:N,GERAL!A:A,"Semana 6",GERAL!Q:Q,PROD_META_30D!B13)</f>
        <v>39</v>
      </c>
      <c r="U13" s="42">
        <f>SUMIFS(GERAL!J:J,GERAL!A:A,"Semana 7",GERAL!Q:Q,PROD_META_30D!B13)+SUMIFS(GERAL!K:K,GERAL!A:A,"Semana 7",GERAL!Q:Q,PROD_META_30D!B13)</f>
        <v>71.400000000000006</v>
      </c>
      <c r="V13" s="42">
        <f>SUMIFS(GERAL!M:M,GERAL!A:A,"Semana 7",GERAL!Q:Q,PROD_META_30D!B13)+SUMIFS(GERAL!N:N,GERAL!A:A,"Semana 7",GERAL!Q:Q,PROD_META_30D!B13)</f>
        <v>14</v>
      </c>
      <c r="W13" s="40">
        <f t="shared" ca="1" si="2"/>
        <v>0</v>
      </c>
      <c r="X13" s="41">
        <f t="shared" ca="1" si="2"/>
        <v>0</v>
      </c>
      <c r="Y13" s="43">
        <f t="shared" ca="1" si="0"/>
        <v>-181</v>
      </c>
      <c r="Z13" s="41">
        <f t="shared" ca="1" si="0"/>
        <v>-31</v>
      </c>
      <c r="AA13" s="45">
        <v>1349</v>
      </c>
      <c r="AB13" s="46">
        <v>248</v>
      </c>
      <c r="AC13" s="85">
        <f t="shared" si="3"/>
        <v>0.19429641365404005</v>
      </c>
      <c r="AD13" s="86">
        <f t="shared" si="4"/>
        <v>0.21509106678230702</v>
      </c>
      <c r="AE13" s="47">
        <v>181</v>
      </c>
      <c r="AF13" s="39">
        <v>31</v>
      </c>
      <c r="AG13" s="40">
        <v>45</v>
      </c>
      <c r="AH13" s="41">
        <v>8</v>
      </c>
      <c r="AI13" s="70">
        <f ca="1">SUMIFS(GERAL!J:J,GERAL!D:D,PROD_META_30D!$AI$6,GERAL!Q:Q,PROD_META_30D!B13)+SUMIFS(GERAL!K:K,GERAL!D:D,PROD_META_30D!$AI$6,GERAL!Q:Q,PROD_META_30D!B13)</f>
        <v>0</v>
      </c>
      <c r="AJ13" s="75">
        <f ca="1">SUMIFS(GERAL!M:M,GERAL!D:D,PROD_META_30D!$AI$6,GERAL!Q:Q,PROD_META_30D!B13)+SUMIFS(GERAL!N:N,GERAL!D:D,PROD_META_30D!$AI$6,GERAL!Q:Q,PROD_META_30D!B13)</f>
        <v>0</v>
      </c>
      <c r="AK13" s="70">
        <f ca="1">SUMIFS(GERAL!J:J,GERAL!D:D,$AK$6,GERAL!Q:Q,PROD_META_30D!B13)+SUMIFS(GERAL!K:K,GERAL!D:D,$AK$6,GERAL!Q:Q,PROD_META_30D!B13)</f>
        <v>0</v>
      </c>
      <c r="AL13" s="75">
        <f ca="1">SUMIFS(GERAL!M:M,GERAL!D:D,$AK$6,GERAL!Q:Q,PROD_META_30D!B13)+SUMIFS(GERAL!N:N,GERAL!D:D,$AK$6,GERAL!Q:Q,PROD_META_30D!B13)</f>
        <v>0</v>
      </c>
      <c r="AM13" s="70">
        <f ca="1">SUMIFS(GERAL!J:J,GERAL!D:D,PROD_META_30D!$AM$6,GERAL!Q:Q,PROD_META_30D!B13)+SUMIFS(GERAL!K:K,GERAL!D:D,PROD_META_30D!$AM$6,GERAL!Q:Q,PROD_META_30D!B13)</f>
        <v>0</v>
      </c>
      <c r="AN13" s="75">
        <f ca="1">SUMIFS(GERAL!M:M,GERAL!D:D,PROD_META_30D!$AM$6,GERAL!Q:Q,PROD_META_30D!B13)+SUMIFS(GERAL!N:N,GERAL!D:D,PROD_META_30D!$AM$6,GERAL!Q:Q,PROD_META_30D!B13)</f>
        <v>0</v>
      </c>
      <c r="AO13" s="70">
        <f ca="1">SUMIFS(GERAL!J:J,GERAL!D:D,PROD_META_30D!$AO$6,GERAL!Q:Q,PROD_META_30D!B13)+SUMIFS(GERAL!K:K,GERAL!D:D,PROD_META_30D!$AO$6,GERAL!Q:Q,PROD_META_30D!B13)</f>
        <v>0</v>
      </c>
      <c r="AP13" s="75">
        <f ca="1">SUMIFS(GERAL!M:M,GERAL!D:D,PROD_META_30D!$AO$6,GERAL!Q:Q,PROD_META_30D!B13)+SUMIFS(GERAL!N:N,GERAL!D:D,PROD_META_30D!$AO$6,GERAL!Q:Q,PROD_META_30D!B13)</f>
        <v>0</v>
      </c>
      <c r="AQ13" s="70">
        <f ca="1">SUMIFS(GERAL!J:J,GERAL!D:D,$AQ$6,GERAL!Q:Q,PROD_META_30D!B13)+SUMIFS(GERAL!K:K,GERAL!D:D,$AQ$6,GERAL!Q:Q,PROD_META_30D!B13)</f>
        <v>0</v>
      </c>
      <c r="AR13" s="75">
        <f ca="1">SUMIFS(GERAL!M:M,GERAL!D:D,$AQ$6,GERAL!Q:Q,PROD_META_30D!B13)+SUMIFS(GERAL!N:N,GERAL!D:D,$AQ$6,GERAL!Q:Q,PROD_META_30D!B13)</f>
        <v>0</v>
      </c>
      <c r="AS13" s="76">
        <f ca="1">SUMIFS(GERAL!J:J,GERAL!D:D,$AS$6,GERAL!Q:Q,PROD_META_30D!B13)+SUMIFS(GERAL!K:K,GERAL!D:D,$AS$6,GERAL!Q:Q,PROD_META_30D!B13)</f>
        <v>0</v>
      </c>
      <c r="AT13" s="77">
        <f ca="1">SUMIFS(GERAL!M:M,GERAL!D:D,$AS$6,GERAL!Q:Q,PROD_META_30D!B13)+SUMIFS(GERAL!N:N,GERAL!D:D,$AS$6,GERAL!Q:Q,PROD_META_30D!B13)</f>
        <v>0</v>
      </c>
      <c r="AU13" s="40">
        <v>45</v>
      </c>
      <c r="AV13" s="41">
        <v>8</v>
      </c>
      <c r="AW13" s="70">
        <f ca="1">SUMIFS(GERAL!J:J,GERAL!D:D,PROD_META_30D!$AW$18,GERAL!Q:Q,PROD_META_30D!B13)+SUMIFS(GERAL!K:K,GERAL!D:D,PROD_META_30D!$AW$18,GERAL!Q:Q,PROD_META_30D!B13)</f>
        <v>0</v>
      </c>
      <c r="AX13" s="75">
        <f ca="1">SUMIFS(GERAL!M:M,GERAL!D:D,PROD_META_30D!$AW$18,GERAL!Q:Q,PROD_META_30D!B13)+SUMIFS(GERAL!N:N,GERAL!D:D,PROD_META_30D!$AW$18,GERAL!Q:Q,PROD_META_30D!B13)</f>
        <v>0</v>
      </c>
      <c r="AY13" s="70">
        <f ca="1">SUMIFS(GERAL!J:J,GERAL!D:D,PROD_META_30D!$AY$18,GERAL!Q:Q,PROD_META_30D!B13)+SUMIFS(GERAL!K:K,GERAL!D:D,$AY$18,GERAL!Q:Q,PROD_META_30D!B13)</f>
        <v>0</v>
      </c>
      <c r="AZ13" s="75">
        <f ca="1">SUMIFS(GERAL!M:M,GERAL!D:D,PROD_META_30D!$AY$18,GERAL!Q:Q,PROD_META_30D!B13)+SUMIFS(GERAL!N:N,GERAL!D:D,PROD_META_30D!$AY$18,GERAL!Q:Q,PROD_META_30D!B13)</f>
        <v>0</v>
      </c>
      <c r="BA13" s="70">
        <f ca="1">SUMIFS(GERAL!J:J,GERAL!D:D,PROD_META_30D!$BA$18,GERAL!Q:Q,PROD_META_30D!B13)+SUMIFS(GERAL!K:K,GERAL!D:D,$BA$18,GERAL!Q:Q,PROD_META_30D!B13)</f>
        <v>0</v>
      </c>
      <c r="BB13" s="75">
        <f ca="1">SUMIFS(GERAL!M:M,GERAL!D:D,PROD_META_30D!$BA$18,GERAL!Q:Q,PROD_META_30D!B13)+SUMIFS(GERAL!N:N,GERAL!D:D,PROD_META_30D!$BA$18,GERAL!Q:Q,PROD_META_30D!B13)</f>
        <v>0</v>
      </c>
      <c r="BC13" s="70">
        <f ca="1">SUMIFS(GERAL!J:J,GERAL!D:D,PROD_META_30D!$BC$18,GERAL!Q:Q,PROD_META_30D!B13)+SUMIFS(GERAL!K:K,GERAL!D:D,$BC$18,GERAL!Q:Q,PROD_META_30D!B13)</f>
        <v>0</v>
      </c>
      <c r="BD13" s="75">
        <f ca="1">SUMIFS(GERAL!M:M,GERAL!D:D,PROD_META_30D!$BC$18,GERAL!Q:Q,PROD_META_30D!B13)+SUMIFS(GERAL!N:N,GERAL!D:D,PROD_META_30D!$BC$18,GERAL!Q:Q,PROD_META_30D!B13)</f>
        <v>0</v>
      </c>
      <c r="BE13" s="70">
        <f ca="1">SUMIFS(GERAL!J:J,GERAL!D:D,PROD_META_30D!$BE$18,GERAL!Q:Q,PROD_META_30D!B13)+SUMIFS(GERAL!K:K,GERAL!D:D,$BE$18,GERAL!Q:Q,PROD_META_30D!B13)</f>
        <v>0</v>
      </c>
      <c r="BF13" s="75">
        <f ca="1">SUMIFS(GERAL!M:M,GERAL!D:D,PROD_META_30D!$BE$18,GERAL!Q:Q,PROD_META_30D!B13)+SUMIFS(GERAL!N:N,GERAL!D:D,PROD_META_30D!$BE$18,GERAL!Q:Q,PROD_META_30D!B13)</f>
        <v>0</v>
      </c>
      <c r="BG13" s="76">
        <f ca="1">SUMIFS(GERAL!J:J,GERAL!D:D,PROD_META_30D!$BG$18,GERAL!Q:Q,PROD_META_30D!B13)+SUMIFS(GERAL!K:K,GERAL!D:D,$BG$18,GERAL!Q:Q,PROD_META_30D!B13)</f>
        <v>0</v>
      </c>
      <c r="BH13" s="77">
        <f ca="1">SUMIFS(GERAL!M:M,GERAL!D:D,PROD_META_30D!$BG$18,GERAL!Q:Q,PROD_META_30D!B13)+SUMIFS(GERAL!N:N,GERAL!D:D,PROD_META_30D!$BG$18,GERAL!Q:Q,PROD_META_30D!B13)</f>
        <v>0</v>
      </c>
    </row>
    <row r="14" spans="1:60" x14ac:dyDescent="0.3">
      <c r="B14" s="65" t="s">
        <v>199</v>
      </c>
      <c r="C14" s="40">
        <f t="shared" ca="1" si="1"/>
        <v>1112.052417468351</v>
      </c>
      <c r="D14" s="41">
        <f t="shared" ca="1" si="1"/>
        <v>-128.1604509973981</v>
      </c>
      <c r="E14" s="42">
        <f ca="1">SUMIFS(PREVISTO!J:J,PREVISTO!B:B,"&lt;="&amp;PROD_META_30D!$AG$5)*PROD_META_30D!AC14</f>
        <v>860.24758253164907</v>
      </c>
      <c r="F14" s="42">
        <f ca="1">SUMIFS(PREVISTO!I:I,PREVISTO!B:B,"&lt;="&amp;PROD_META_30D!$AG$5)*PROD_META_30D!AD14</f>
        <v>175.1604509973981</v>
      </c>
      <c r="G14" s="43">
        <f ca="1">SUMIFS(GERAL!J:J,GERAL!B:B,"&lt;="&amp;PROD_META_30D!$AG$5,GERAL!Q:Q,PROD_META_30D!B14,GERAL!R:R,"Prazo_30")+SUMIFS(GERAL!K:K,GERAL!B:B,"&lt;="&amp;PROD_META_30D!$AG$5,GERAL!Q:Q,PROD_META_30D!B14,GERAL!R:R,"Prazo_30")</f>
        <v>1972.3</v>
      </c>
      <c r="H14" s="44">
        <f ca="1">SUMIFS(GERAL!M:M,GERAL!B:B,"&lt;="&amp;PROD_META_30D!$AG$5,GERAL!Q:Q,PROD_META_30D!B14,GERAL!R:R,"Prazo_30")+SUMIFS(GERAL!N:N,GERAL!B:B,"&lt;="&amp;PROD_META_30D!$AG$5,GERAL!Q:Q,PROD_META_30D!B14,GERAL!R:R,"Prazo_30")</f>
        <v>47</v>
      </c>
      <c r="I14" s="31">
        <f>SUMIFS(GERAL!J:J,GERAL!A:A,"Semana 1",GERAL!Q:Q,PROD_META_30D!B14)+SUMIFS(GERAL!K:K,GERAL!A:A,"Semana 1",GERAL!Q:Q,PROD_META_30D!B14)</f>
        <v>161</v>
      </c>
      <c r="J14" s="42">
        <f>SUMIFS(GERAL!M:M,GERAL!A:A,"Semana 1",GERAL!Q:Q,PROD_META_30D!B14)+SUMIFS(GERAL!N:N,GERAL!A:A,"Semana 1",GERAL!Q:Q,PROD_META_30D!B14)</f>
        <v>17</v>
      </c>
      <c r="K14" s="43">
        <f>SUMIFS(GERAL!J:J,GERAL!A:A,"Semana 2",GERAL!Q:Q,PROD_META_30D!B14)+SUMIFS(GERAL!K:K,GERAL!A:A,"Semana 2",GERAL!Q:Q,PROD_META_30D!B14)</f>
        <v>365</v>
      </c>
      <c r="L14" s="41">
        <f>SUMIFS(GERAL!M:M,GERAL!A:A,"Semana 2",GERAL!Q:Q,PROD_META_30D!B14)+SUMIFS(GERAL!N:N,GERAL!A:A,"Semana 1",GERAL!Q:Q,PROD_META_30D!B14)</f>
        <v>14</v>
      </c>
      <c r="M14" s="43">
        <f>SUMIFS(GERAL!J:J,GERAL!A:A,"Semana 3",GERAL!Q:Q,PROD_META_30D!B14)+SUMIFS(GERAL!K:K,GERAL!A:A,"Semana 3",GERAL!Q:Q,PROD_META_30D!B14)</f>
        <v>118.3</v>
      </c>
      <c r="N14" s="41">
        <f>SUMIFS(GERAL!M:M,GERAL!A:A,"Semana 3",GERAL!Q:Q,PROD_META_30D!B14)+SUMIFS(GERAL!N:N,GERAL!A:A,"Semana 3",GERAL!Q:Q,PROD_META_30D!B14)</f>
        <v>9</v>
      </c>
      <c r="O14" s="43">
        <f>SUMIFS(GERAL!J:J,GERAL!A:A,"Semana 4",GERAL!Q:Q,PROD_META_30D!B14)+SUMIFS(GERAL!K:K,GERAL!A:A,"Semana 4",GERAL!Q:Q,PROD_META_30D!B14)</f>
        <v>36</v>
      </c>
      <c r="P14" s="41">
        <f>SUMIFS(GERAL!M:M,GERAL!A:A,"Semana 4",GERAL!Q:Q,PROD_META_30D!B14)+SUMIFS(GERAL!N:N,GERAL!A:A,"Semana 4",GERAL!Q:Q,PROD_META_30D!B14)</f>
        <v>0</v>
      </c>
      <c r="Q14" s="43">
        <f>SUMIFS(GERAL!J:J,GERAL!A:A,"Semana 5",GERAL!Q:Q,PROD_META_30D!B14)+SUMIFS(GERAL!K:K,GERAL!A:A,"Semana 5",GERAL!Q:Q,PROD_META_30D!B14)</f>
        <v>6</v>
      </c>
      <c r="R14" s="41">
        <f>SUMIFS(GERAL!M:M,GERAL!A:A,"Semana 5",GERAL!Q:Q,PROD_META_30D!B14)+SUMIFS(GERAL!N:N,GERAL!A:A,"Semana 5",GERAL!Q:Q,PROD_META_30D!B14)</f>
        <v>0</v>
      </c>
      <c r="S14" s="43">
        <f>SUMIFS(GERAL!J:J,GERAL!A:A,"Semana 6",GERAL!Q:Q,PROD_META_30D!B14)+SUMIFS(GERAL!K:K,GERAL!A:A,"Semana 6",GERAL!Q:Q,PROD_META_30D!B14)</f>
        <v>47</v>
      </c>
      <c r="T14" s="41">
        <f>SUMIFS(GERAL!M:M,GERAL!A:A,"Semana 6",GERAL!Q:Q,PROD_META_30D!B14)+SUMIFS(GERAL!N:N,GERAL!A:A,"Semana 6",GERAL!Q:Q,PROD_META_30D!B14)</f>
        <v>5</v>
      </c>
      <c r="U14" s="42">
        <f>SUMIFS(GERAL!J:J,GERAL!A:A,"Semana 7",GERAL!Q:Q,PROD_META_30D!B14)+SUMIFS(GERAL!K:K,GERAL!A:A,"Semana 7",GERAL!Q:Q,PROD_META_30D!B14)</f>
        <v>169</v>
      </c>
      <c r="V14" s="42">
        <f>SUMIFS(GERAL!M:M,GERAL!A:A,"Semana 7",GERAL!Q:Q,PROD_META_30D!B14)+SUMIFS(GERAL!N:N,GERAL!A:A,"Semana 7",GERAL!Q:Q,PROD_META_30D!B14)</f>
        <v>4</v>
      </c>
      <c r="W14" s="40">
        <f ca="1">SUM(AI14,AK14,AM14,AO14,AQ14,AS14)</f>
        <v>0</v>
      </c>
      <c r="X14" s="41">
        <f ca="1">SUM(AJ14,AL14,AN14,AP14,AR14,AT14)</f>
        <v>0</v>
      </c>
      <c r="Y14" s="43">
        <f t="shared" ca="1" si="0"/>
        <v>-115</v>
      </c>
      <c r="Z14" s="41">
        <f t="shared" ca="1" si="0"/>
        <v>-23</v>
      </c>
      <c r="AA14" s="45">
        <v>857</v>
      </c>
      <c r="AB14" s="46">
        <v>187</v>
      </c>
      <c r="AC14" s="85">
        <f t="shared" si="3"/>
        <v>0.12343367420423448</v>
      </c>
      <c r="AD14" s="86">
        <f t="shared" si="4"/>
        <v>0.16218560277536861</v>
      </c>
      <c r="AE14" s="47">
        <v>115</v>
      </c>
      <c r="AF14" s="39">
        <v>23</v>
      </c>
      <c r="AG14" s="40">
        <v>29</v>
      </c>
      <c r="AH14" s="41">
        <v>6</v>
      </c>
      <c r="AI14" s="70">
        <f ca="1">SUMIFS(GERAL!J:J,GERAL!D:D,PROD_META_30D!$AI$6,GERAL!Q:Q,PROD_META_30D!B14)+SUMIFS(GERAL!K:K,GERAL!D:D,PROD_META_30D!$AI$6,GERAL!Q:Q,PROD_META_30D!B14)</f>
        <v>0</v>
      </c>
      <c r="AJ14" s="75">
        <f ca="1">SUMIFS(GERAL!M:M,GERAL!D:D,PROD_META_30D!$AI$6,GERAL!Q:Q,PROD_META_30D!B14)+SUMIFS(GERAL!N:N,GERAL!D:D,PROD_META_30D!$AI$6,GERAL!Q:Q,PROD_META_30D!B14)</f>
        <v>0</v>
      </c>
      <c r="AK14" s="70">
        <f ca="1">SUMIFS(GERAL!J:J,GERAL!D:D,$AK$6,GERAL!Q:Q,PROD_META_30D!B14)+SUMIFS(GERAL!K:K,GERAL!D:D,$AK$6,GERAL!Q:Q,PROD_META_30D!B14)</f>
        <v>0</v>
      </c>
      <c r="AL14" s="75">
        <f ca="1">SUMIFS(GERAL!M:M,GERAL!D:D,$AK$6,GERAL!Q:Q,PROD_META_30D!B14)+SUMIFS(GERAL!N:N,GERAL!D:D,$AK$6,GERAL!Q:Q,PROD_META_30D!B14)</f>
        <v>0</v>
      </c>
      <c r="AM14" s="70">
        <f ca="1">SUMIFS(GERAL!J:J,GERAL!D:D,PROD_META_30D!$AM$6,GERAL!Q:Q,PROD_META_30D!B14)+SUMIFS(GERAL!K:K,GERAL!D:D,PROD_META_30D!$AM$6,GERAL!Q:Q,PROD_META_30D!B14)</f>
        <v>0</v>
      </c>
      <c r="AN14" s="75">
        <f ca="1">SUMIFS(GERAL!M:M,GERAL!D:D,PROD_META_30D!$AM$6,GERAL!Q:Q,PROD_META_30D!B14)+SUMIFS(GERAL!N:N,GERAL!D:D,PROD_META_30D!$AM$6,GERAL!Q:Q,PROD_META_30D!B14)</f>
        <v>0</v>
      </c>
      <c r="AO14" s="70">
        <f ca="1">SUMIFS(GERAL!J:J,GERAL!D:D,PROD_META_30D!$AO$6,GERAL!Q:Q,PROD_META_30D!B14)+SUMIFS(GERAL!K:K,GERAL!D:D,PROD_META_30D!$AO$6,GERAL!Q:Q,PROD_META_30D!B14)</f>
        <v>0</v>
      </c>
      <c r="AP14" s="75">
        <f ca="1">SUMIFS(GERAL!M:M,GERAL!D:D,PROD_META_30D!$AO$6,GERAL!Q:Q,PROD_META_30D!B14)+SUMIFS(GERAL!N:N,GERAL!D:D,PROD_META_30D!$AO$6,GERAL!Q:Q,PROD_META_30D!B14)</f>
        <v>0</v>
      </c>
      <c r="AQ14" s="70">
        <f ca="1">SUMIFS(GERAL!J:J,GERAL!D:D,$AQ$6,GERAL!Q:Q,PROD_META_30D!B14)+SUMIFS(GERAL!K:K,GERAL!D:D,$AQ$6,GERAL!Q:Q,PROD_META_30D!B14)</f>
        <v>0</v>
      </c>
      <c r="AR14" s="75">
        <f ca="1">SUMIFS(GERAL!M:M,GERAL!D:D,$AQ$6,GERAL!Q:Q,PROD_META_30D!B14)+SUMIFS(GERAL!N:N,GERAL!D:D,$AQ$6,GERAL!Q:Q,PROD_META_30D!B14)</f>
        <v>0</v>
      </c>
      <c r="AS14" s="76">
        <f ca="1">SUMIFS(GERAL!J:J,GERAL!D:D,$AS$6,GERAL!Q:Q,PROD_META_30D!B14)+SUMIFS(GERAL!K:K,GERAL!D:D,$AS$6,GERAL!Q:Q,PROD_META_30D!B14)</f>
        <v>0</v>
      </c>
      <c r="AT14" s="77">
        <f ca="1">SUMIFS(GERAL!M:M,GERAL!D:D,$AS$6,GERAL!Q:Q,PROD_META_30D!B14)+SUMIFS(GERAL!N:N,GERAL!D:D,$AS$6,GERAL!Q:Q,PROD_META_30D!B14)</f>
        <v>0</v>
      </c>
      <c r="AU14" s="40">
        <v>29</v>
      </c>
      <c r="AV14" s="41">
        <v>6</v>
      </c>
      <c r="AW14" s="70">
        <f ca="1">SUMIFS(GERAL!J:J,GERAL!D:D,PROD_META_30D!$AW$18,GERAL!Q:Q,PROD_META_30D!B14)+SUMIFS(GERAL!K:K,GERAL!D:D,PROD_META_30D!$AW$18,GERAL!Q:Q,PROD_META_30D!B14)</f>
        <v>0</v>
      </c>
      <c r="AX14" s="75">
        <f ca="1">SUMIFS(GERAL!M:M,GERAL!D:D,PROD_META_30D!$AW$18,GERAL!Q:Q,PROD_META_30D!B14)+SUMIFS(GERAL!N:N,GERAL!D:D,PROD_META_30D!$AW$18,GERAL!Q:Q,PROD_META_30D!B14)</f>
        <v>0</v>
      </c>
      <c r="AY14" s="70">
        <f ca="1">SUMIFS(GERAL!J:J,GERAL!D:D,PROD_META_30D!$AY$18,GERAL!Q:Q,PROD_META_30D!B14)+SUMIFS(GERAL!K:K,GERAL!D:D,$AY$18,GERAL!Q:Q,PROD_META_30D!B14)</f>
        <v>0</v>
      </c>
      <c r="AZ14" s="75">
        <f ca="1">SUMIFS(GERAL!M:M,GERAL!D:D,PROD_META_30D!$AY$18,GERAL!Q:Q,PROD_META_30D!B14)+SUMIFS(GERAL!N:N,GERAL!D:D,PROD_META_30D!$AY$18,GERAL!Q:Q,PROD_META_30D!B14)</f>
        <v>0</v>
      </c>
      <c r="BA14" s="70">
        <f ca="1">SUMIFS(GERAL!J:J,GERAL!D:D,PROD_META_30D!$BA$18,GERAL!Q:Q,PROD_META_30D!B14)+SUMIFS(GERAL!K:K,GERAL!D:D,$BA$18,GERAL!Q:Q,PROD_META_30D!B14)</f>
        <v>0</v>
      </c>
      <c r="BB14" s="75">
        <f ca="1">SUMIFS(GERAL!M:M,GERAL!D:D,PROD_META_30D!$BA$18,GERAL!Q:Q,PROD_META_30D!B14)+SUMIFS(GERAL!N:N,GERAL!D:D,PROD_META_30D!$BA$18,GERAL!Q:Q,PROD_META_30D!B14)</f>
        <v>0</v>
      </c>
      <c r="BC14" s="70">
        <f ca="1">SUMIFS(GERAL!J:J,GERAL!D:D,PROD_META_30D!$BC$18,GERAL!Q:Q,PROD_META_30D!B14)+SUMIFS(GERAL!K:K,GERAL!D:D,$BC$18,GERAL!Q:Q,PROD_META_30D!B14)</f>
        <v>0</v>
      </c>
      <c r="BD14" s="75">
        <f ca="1">SUMIFS(GERAL!M:M,GERAL!D:D,PROD_META_30D!$BC$18,GERAL!Q:Q,PROD_META_30D!B14)+SUMIFS(GERAL!N:N,GERAL!D:D,PROD_META_30D!$BC$18,GERAL!Q:Q,PROD_META_30D!B14)</f>
        <v>0</v>
      </c>
      <c r="BE14" s="70">
        <f ca="1">SUMIFS(GERAL!J:J,GERAL!D:D,PROD_META_30D!$BE$18,GERAL!Q:Q,PROD_META_30D!B14)+SUMIFS(GERAL!K:K,GERAL!D:D,$BE$18,GERAL!Q:Q,PROD_META_30D!B14)</f>
        <v>0</v>
      </c>
      <c r="BF14" s="75">
        <f ca="1">SUMIFS(GERAL!M:M,GERAL!D:D,PROD_META_30D!$BE$18,GERAL!Q:Q,PROD_META_30D!B14)+SUMIFS(GERAL!N:N,GERAL!D:D,PROD_META_30D!$BE$18,GERAL!Q:Q,PROD_META_30D!B14)</f>
        <v>0</v>
      </c>
      <c r="BG14" s="76">
        <f ca="1">SUMIFS(GERAL!J:J,GERAL!D:D,PROD_META_30D!$BG$18,GERAL!Q:Q,PROD_META_30D!B14)+SUMIFS(GERAL!K:K,GERAL!D:D,$BG$18,GERAL!Q:Q,PROD_META_30D!B14)</f>
        <v>0</v>
      </c>
      <c r="BH14" s="77">
        <f ca="1">SUMIFS(GERAL!M:M,GERAL!D:D,PROD_META_30D!$BG$18,GERAL!Q:Q,PROD_META_30D!B14)+SUMIFS(GERAL!N:N,GERAL!D:D,PROD_META_30D!$BG$18,GERAL!Q:Q,PROD_META_30D!B14)</f>
        <v>0</v>
      </c>
    </row>
    <row r="15" spans="1:60" ht="14.5" thickBot="1" x14ac:dyDescent="0.35">
      <c r="B15" s="66" t="s">
        <v>67</v>
      </c>
      <c r="C15" s="48">
        <f t="shared" ca="1" si="1"/>
        <v>-359.34358594863556</v>
      </c>
      <c r="D15" s="49">
        <f t="shared" ca="1" si="1"/>
        <v>-208.4865568083261</v>
      </c>
      <c r="E15" s="50">
        <f ca="1">SUMIFS(PREVISTO!J:J,PREVISTO!B:B,"&lt;="&amp;PROD_META_30D!$AG$5)*PROD_META_30D!AC15</f>
        <v>1680.3435859486356</v>
      </c>
      <c r="F15" s="50">
        <f ca="1">SUMIFS(PREVISTO!I:I,PREVISTO!B:B,"&lt;="&amp;PROD_META_30D!$AG$5)*PROD_META_30D!AD15</f>
        <v>303.4865568083261</v>
      </c>
      <c r="G15" s="51">
        <f ca="1">SUMIFS(GERAL!J:J,GERAL!B:B,"&lt;="&amp;PROD_META_30D!$AG$5,GERAL!Q:Q,PROD_META_30D!B15,GERAL!R:R,"Prazo_30")+SUMIFS(GERAL!K:K,GERAL!B:B,"&lt;="&amp;PROD_META_30D!$AG$5,GERAL!Q:Q,PROD_META_30D!B15,GERAL!R:R,"Prazo_30")</f>
        <v>1321</v>
      </c>
      <c r="H15" s="52">
        <f ca="1">SUMIFS(GERAL!M:M,GERAL!B:B,"&lt;="&amp;PROD_META_30D!$AG$5,GERAL!Q:Q,PROD_META_30D!B15,GERAL!R:R,"Prazo_30")+SUMIFS(GERAL!N:N,GERAL!B:B,"&lt;="&amp;PROD_META_30D!$AG$5,GERAL!Q:Q,PROD_META_30D!B15,GERAL!R:R,"Prazo_30")</f>
        <v>95</v>
      </c>
      <c r="I15" s="51">
        <f>SUMIFS(GERAL!J:J,GERAL!A:A,"Semana 1",GERAL!Q:Q,PROD_META_30D!B15)+SUMIFS(GERAL!K:K,GERAL!A:A,"Semana 1",GERAL!Q:Q,PROD_META_30D!B15)</f>
        <v>62</v>
      </c>
      <c r="J15" s="50">
        <f>SUMIFS(GERAL!M:M,GERAL!A:A,"Semana 1",GERAL!Q:Q,PROD_META_30D!B15)+SUMIFS(GERAL!N:N,GERAL!A:A,"Semana 1",GERAL!Q:Q,PROD_META_30D!B15)</f>
        <v>14</v>
      </c>
      <c r="K15" s="51">
        <f>SUMIFS(GERAL!J:J,GERAL!A:A,"Semana 2",GERAL!Q:Q,PROD_META_30D!B15)+SUMIFS(GERAL!K:K,GERAL!A:A,"Semana 2",GERAL!Q:Q,PROD_META_30D!B15)</f>
        <v>114</v>
      </c>
      <c r="L15" s="49">
        <f>SUMIFS(GERAL!M:M,GERAL!A:A,"Semana 2",GERAL!Q:Q,PROD_META_30D!B15)+SUMIFS(GERAL!N:N,GERAL!A:A,"Semana 1",GERAL!Q:Q,PROD_META_30D!B15)</f>
        <v>14</v>
      </c>
      <c r="M15" s="51">
        <f>SUMIFS(GERAL!J:J,GERAL!A:A,"Semana 3",GERAL!Q:Q,PROD_META_30D!B15)+SUMIFS(GERAL!K:K,GERAL!A:A,"Semana 3",GERAL!Q:Q,PROD_META_30D!B15)</f>
        <v>145</v>
      </c>
      <c r="N15" s="49">
        <f>SUMIFS(GERAL!M:M,GERAL!A:A,"Semana 3",GERAL!Q:Q,PROD_META_30D!B15)+SUMIFS(GERAL!N:N,GERAL!A:A,"Semana 3",GERAL!Q:Q,PROD_META_30D!B15)</f>
        <v>38</v>
      </c>
      <c r="O15" s="51">
        <f>SUMIFS(GERAL!J:J,GERAL!A:A,"Semana 4",GERAL!Q:Q,PROD_META_30D!B15)+SUMIFS(GERAL!K:K,GERAL!A:A,"Semana 4",GERAL!Q:Q,PROD_META_30D!B15)</f>
        <v>209</v>
      </c>
      <c r="P15" s="49">
        <f>SUMIFS(GERAL!M:M,GERAL!A:A,"Semana 4",GERAL!Q:Q,PROD_META_30D!B15)+SUMIFS(GERAL!N:N,GERAL!A:A,"Semana 4",GERAL!Q:Q,PROD_META_30D!B15)</f>
        <v>0</v>
      </c>
      <c r="Q15" s="51">
        <f>SUMIFS(GERAL!J:J,GERAL!A:A,"Semana 5",GERAL!Q:Q,PROD_META_30D!B15)+SUMIFS(GERAL!K:K,GERAL!A:A,"Semana 5",GERAL!Q:Q,PROD_META_30D!B15)</f>
        <v>18</v>
      </c>
      <c r="R15" s="49">
        <f>SUMIFS(GERAL!M:M,GERAL!A:A,"Semana 5",GERAL!Q:Q,PROD_META_30D!B15)+SUMIFS(GERAL!N:N,GERAL!A:A,"Semana 5",GERAL!Q:Q,PROD_META_30D!B15)</f>
        <v>0</v>
      </c>
      <c r="S15" s="51">
        <f>SUMIFS(GERAL!J:J,GERAL!A:A,"Semana 6",GERAL!Q:Q,PROD_META_30D!B15)+SUMIFS(GERAL!K:K,GERAL!A:A,"Semana 6",GERAL!Q:Q,PROD_META_30D!B15)</f>
        <v>302</v>
      </c>
      <c r="T15" s="49">
        <f>SUMIFS(GERAL!M:M,GERAL!A:A,"Semana 6",GERAL!Q:Q,PROD_META_30D!B15)+SUMIFS(GERAL!N:N,GERAL!A:A,"Semana 6",GERAL!Q:Q,PROD_META_30D!B15)</f>
        <v>2</v>
      </c>
      <c r="U15" s="50">
        <f>SUMIFS(GERAL!J:J,GERAL!A:A,"Semana 7",GERAL!Q:Q,PROD_META_30D!B15)+SUMIFS(GERAL!K:K,GERAL!A:A,"Semana 7",GERAL!Q:Q,PROD_META_30D!B15)</f>
        <v>49</v>
      </c>
      <c r="V15" s="50">
        <f>SUMIFS(GERAL!M:M,GERAL!A:A,"Semana 7",GERAL!Q:Q,PROD_META_30D!B15)+SUMIFS(GERAL!N:N,GERAL!A:A,"Semana 7",GERAL!Q:Q,PROD_META_30D!B15)</f>
        <v>8</v>
      </c>
      <c r="W15" s="48">
        <f t="shared" ca="1" si="2"/>
        <v>0</v>
      </c>
      <c r="X15" s="49">
        <f t="shared" ca="1" si="2"/>
        <v>0</v>
      </c>
      <c r="Y15" s="51">
        <f t="shared" ca="1" si="0"/>
        <v>-224</v>
      </c>
      <c r="Z15" s="49">
        <f t="shared" ca="1" si="0"/>
        <v>-40</v>
      </c>
      <c r="AA15" s="53">
        <v>1674</v>
      </c>
      <c r="AB15" s="54">
        <v>324</v>
      </c>
      <c r="AC15" s="87">
        <f t="shared" si="3"/>
        <v>0.24110615007921649</v>
      </c>
      <c r="AD15" s="88">
        <f t="shared" si="4"/>
        <v>0.28100607111882048</v>
      </c>
      <c r="AE15" s="55">
        <v>224</v>
      </c>
      <c r="AF15" s="94">
        <v>40</v>
      </c>
      <c r="AG15" s="48">
        <v>56</v>
      </c>
      <c r="AH15" s="49">
        <v>10</v>
      </c>
      <c r="AI15" s="71">
        <f ca="1">SUMIFS(GERAL!J:J,GERAL!D:D,PROD_META_30D!$AI$6,GERAL!Q:Q,PROD_META_30D!B15)+SUMIFS(GERAL!K:K,GERAL!D:D,PROD_META_30D!$AI$6,GERAL!Q:Q,PROD_META_30D!B15)</f>
        <v>0</v>
      </c>
      <c r="AJ15" s="78">
        <f ca="1">SUMIFS(GERAL!M:M,GERAL!D:D,PROD_META_30D!$AI$6,GERAL!Q:Q,PROD_META_30D!B15)+SUMIFS(GERAL!N:N,GERAL!D:D,PROD_META_30D!$AI$6,GERAL!Q:Q,PROD_META_30D!B15)</f>
        <v>0</v>
      </c>
      <c r="AK15" s="71">
        <f ca="1">SUMIFS(GERAL!J:J,GERAL!D:D,$AK$6,GERAL!Q:Q,PROD_META_30D!B15)+SUMIFS(GERAL!K:K,GERAL!D:D,$AK$6,GERAL!Q:Q,PROD_META_30D!B15)</f>
        <v>0</v>
      </c>
      <c r="AL15" s="78">
        <f ca="1">SUMIFS(GERAL!M:M,GERAL!D:D,$AK$6,GERAL!Q:Q,PROD_META_30D!B15)+SUMIFS(GERAL!N:N,GERAL!D:D,$AK$6,GERAL!Q:Q,PROD_META_30D!B15)</f>
        <v>0</v>
      </c>
      <c r="AM15" s="71">
        <f ca="1">SUMIFS(GERAL!J:J,GERAL!D:D,PROD_META_30D!$AM$6,GERAL!Q:Q,PROD_META_30D!B15)+SUMIFS(GERAL!K:K,GERAL!D:D,PROD_META_30D!$AM$6,GERAL!Q:Q,PROD_META_30D!B15)</f>
        <v>0</v>
      </c>
      <c r="AN15" s="78">
        <f ca="1">SUMIFS(GERAL!M:M,GERAL!D:D,PROD_META_30D!$AM$6,GERAL!Q:Q,PROD_META_30D!B15)+SUMIFS(GERAL!N:N,GERAL!D:D,PROD_META_30D!$AM$6,GERAL!Q:Q,PROD_META_30D!B15)</f>
        <v>0</v>
      </c>
      <c r="AO15" s="71">
        <f ca="1">SUMIFS(GERAL!J:J,GERAL!D:D,PROD_META_30D!$AO$6,GERAL!Q:Q,PROD_META_30D!B15)+SUMIFS(GERAL!K:K,GERAL!D:D,PROD_META_30D!$AO$6,GERAL!Q:Q,PROD_META_30D!B15)</f>
        <v>0</v>
      </c>
      <c r="AP15" s="78">
        <f ca="1">SUMIFS(GERAL!M:M,GERAL!D:D,PROD_META_30D!$AO$6,GERAL!Q:Q,PROD_META_30D!B15)+SUMIFS(GERAL!N:N,GERAL!D:D,PROD_META_30D!$AO$6,GERAL!Q:Q,PROD_META_30D!B15)</f>
        <v>0</v>
      </c>
      <c r="AQ15" s="71">
        <f ca="1">SUMIFS(GERAL!J:J,GERAL!D:D,$AQ$6,GERAL!Q:Q,PROD_META_30D!B15)+SUMIFS(GERAL!K:K,GERAL!D:D,$AQ$6,GERAL!Q:Q,PROD_META_30D!B15)</f>
        <v>0</v>
      </c>
      <c r="AR15" s="78">
        <f ca="1">SUMIFS(GERAL!M:M,GERAL!D:D,$AQ$6,GERAL!Q:Q,PROD_META_30D!B15)+SUMIFS(GERAL!N:N,GERAL!D:D,$AQ$6,GERAL!Q:Q,PROD_META_30D!B15)</f>
        <v>0</v>
      </c>
      <c r="AS15" s="79">
        <f ca="1">SUMIFS(GERAL!J:J,GERAL!D:D,$AS$6,GERAL!Q:Q,PROD_META_30D!B15)+SUMIFS(GERAL!K:K,GERAL!D:D,$AS$6,GERAL!Q:Q,PROD_META_30D!B15)</f>
        <v>0</v>
      </c>
      <c r="AT15" s="80">
        <f ca="1">SUMIFS(GERAL!M:M,GERAL!D:D,$AS$6,GERAL!Q:Q,PROD_META_30D!B15)+SUMIFS(GERAL!N:N,GERAL!D:D,$AS$6,GERAL!Q:Q,PROD_META_30D!B15)</f>
        <v>0</v>
      </c>
      <c r="AU15" s="48">
        <v>56</v>
      </c>
      <c r="AV15" s="49">
        <v>10</v>
      </c>
      <c r="AW15" s="71">
        <f ca="1">SUMIFS(GERAL!J:J,GERAL!D:D,PROD_META_30D!$AW$18,GERAL!Q:Q,PROD_META_30D!B15)+SUMIFS(GERAL!K:K,GERAL!D:D,PROD_META_30D!$AW$18,GERAL!Q:Q,PROD_META_30D!B15)</f>
        <v>0</v>
      </c>
      <c r="AX15" s="78">
        <f ca="1">SUMIFS(GERAL!M:M,GERAL!D:D,PROD_META_30D!$AW$18,GERAL!Q:Q,PROD_META_30D!B15)+SUMIFS(GERAL!N:N,GERAL!D:D,PROD_META_30D!$AW$18,GERAL!Q:Q,PROD_META_30D!B15)</f>
        <v>0</v>
      </c>
      <c r="AY15" s="71">
        <f ca="1">SUMIFS(GERAL!J:J,GERAL!D:D,PROD_META_30D!$AY$18,GERAL!Q:Q,PROD_META_30D!B15)+SUMIFS(GERAL!K:K,GERAL!D:D,$AY$18,GERAL!Q:Q,PROD_META_30D!B15)</f>
        <v>0</v>
      </c>
      <c r="AZ15" s="78">
        <f ca="1">SUMIFS(GERAL!M:M,GERAL!D:D,PROD_META_30D!$AY$18,GERAL!Q:Q,PROD_META_30D!B15)+SUMIFS(GERAL!N:N,GERAL!D:D,PROD_META_30D!$AY$18,GERAL!Q:Q,PROD_META_30D!B15)</f>
        <v>0</v>
      </c>
      <c r="BA15" s="71">
        <f ca="1">SUMIFS(GERAL!J:J,GERAL!D:D,PROD_META_30D!$BA$18,GERAL!Q:Q,PROD_META_30D!B15)+SUMIFS(GERAL!K:K,GERAL!D:D,$BA$18,GERAL!Q:Q,PROD_META_30D!B15)</f>
        <v>0</v>
      </c>
      <c r="BB15" s="78">
        <f ca="1">SUMIFS(GERAL!M:M,GERAL!D:D,PROD_META_30D!$BA$18,GERAL!Q:Q,PROD_META_30D!B15)+SUMIFS(GERAL!N:N,GERAL!D:D,PROD_META_30D!$BA$18,GERAL!Q:Q,PROD_META_30D!B15)</f>
        <v>0</v>
      </c>
      <c r="BC15" s="71">
        <f ca="1">SUMIFS(GERAL!J:J,GERAL!D:D,PROD_META_30D!$BC$18,GERAL!Q:Q,PROD_META_30D!B15)+SUMIFS(GERAL!K:K,GERAL!D:D,$BC$18,GERAL!Q:Q,PROD_META_30D!B15)</f>
        <v>0</v>
      </c>
      <c r="BD15" s="78">
        <f ca="1">SUMIFS(GERAL!M:M,GERAL!D:D,PROD_META_30D!$BC$18,GERAL!Q:Q,PROD_META_30D!B15)+SUMIFS(GERAL!N:N,GERAL!D:D,PROD_META_30D!$BC$18,GERAL!Q:Q,PROD_META_30D!B15)</f>
        <v>0</v>
      </c>
      <c r="BE15" s="71">
        <f ca="1">SUMIFS(GERAL!J:J,GERAL!D:D,PROD_META_30D!$BE$18,GERAL!Q:Q,PROD_META_30D!B15)+SUMIFS(GERAL!K:K,GERAL!D:D,$BE$18,GERAL!Q:Q,PROD_META_30D!B15)</f>
        <v>0</v>
      </c>
      <c r="BF15" s="78">
        <f ca="1">SUMIFS(GERAL!M:M,GERAL!D:D,PROD_META_30D!$BE$18,GERAL!Q:Q,PROD_META_30D!B15)+SUMIFS(GERAL!N:N,GERAL!D:D,PROD_META_30D!$BE$18,GERAL!Q:Q,PROD_META_30D!B15)</f>
        <v>0</v>
      </c>
      <c r="BG15" s="79">
        <f ca="1">SUMIFS(GERAL!J:J,GERAL!D:D,PROD_META_30D!$BG$18,GERAL!Q:Q,PROD_META_30D!B15)+SUMIFS(GERAL!K:K,GERAL!D:D,$BG$18,GERAL!Q:Q,PROD_META_30D!B15)</f>
        <v>0</v>
      </c>
      <c r="BH15" s="80">
        <f ca="1">SUMIFS(GERAL!M:M,GERAL!D:D,PROD_META_30D!$BG$18,GERAL!Q:Q,PROD_META_30D!B15)+SUMIFS(GERAL!N:N,GERAL!D:D,PROD_META_30D!$BG$18,GERAL!Q:Q,PROD_META_30D!B15)</f>
        <v>0</v>
      </c>
    </row>
    <row r="16" spans="1:60" ht="14.5" thickBot="1" x14ac:dyDescent="0.35"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</row>
    <row r="17" spans="2:60" ht="14.5" thickBot="1" x14ac:dyDescent="0.35">
      <c r="B17" s="56" t="s">
        <v>299</v>
      </c>
      <c r="C17" s="57">
        <f ca="1">SUM(C10:C15)</f>
        <v>1098.1896551724155</v>
      </c>
      <c r="D17" s="58">
        <f ca="1">SUM(D10:D15)</f>
        <v>-277</v>
      </c>
      <c r="E17" s="59">
        <f ca="1">SUM(E10:E15)</f>
        <v>6969.3103448275842</v>
      </c>
      <c r="F17" s="59">
        <f ca="1">SUM(F10:F15)</f>
        <v>1080</v>
      </c>
      <c r="G17" s="60">
        <f t="shared" ref="G17:AS17" ca="1" si="5">SUM(G10:G15)</f>
        <v>8067.5</v>
      </c>
      <c r="H17" s="59">
        <f ca="1">SUM(H10:H15)</f>
        <v>803</v>
      </c>
      <c r="I17" s="57">
        <f t="shared" ref="I17:V17" si="6">SUM(I10:I15)</f>
        <v>1152</v>
      </c>
      <c r="J17" s="58">
        <f t="shared" si="6"/>
        <v>186</v>
      </c>
      <c r="K17" s="90">
        <f t="shared" si="6"/>
        <v>1123</v>
      </c>
      <c r="L17" s="91">
        <f t="shared" si="6"/>
        <v>160</v>
      </c>
      <c r="M17" s="90">
        <f t="shared" si="6"/>
        <v>755.4</v>
      </c>
      <c r="N17" s="91">
        <f t="shared" si="6"/>
        <v>116</v>
      </c>
      <c r="O17" s="90">
        <f t="shared" si="6"/>
        <v>726</v>
      </c>
      <c r="P17" s="91">
        <f t="shared" si="6"/>
        <v>80</v>
      </c>
      <c r="Q17" s="90">
        <f t="shared" si="6"/>
        <v>174</v>
      </c>
      <c r="R17" s="91">
        <f t="shared" si="6"/>
        <v>35</v>
      </c>
      <c r="S17" s="90">
        <f t="shared" si="6"/>
        <v>807.7</v>
      </c>
      <c r="T17" s="91">
        <f t="shared" si="6"/>
        <v>61</v>
      </c>
      <c r="U17" s="59">
        <f t="shared" si="6"/>
        <v>370.4</v>
      </c>
      <c r="V17" s="61">
        <f t="shared" si="6"/>
        <v>59</v>
      </c>
      <c r="W17" s="59">
        <f t="shared" ca="1" si="5"/>
        <v>0</v>
      </c>
      <c r="X17" s="58">
        <f t="shared" ca="1" si="5"/>
        <v>0</v>
      </c>
      <c r="Y17" s="60">
        <f t="shared" ca="1" si="5"/>
        <v>-931</v>
      </c>
      <c r="Z17" s="58">
        <f t="shared" ca="1" si="5"/>
        <v>-143</v>
      </c>
      <c r="AA17" s="62">
        <f t="shared" si="5"/>
        <v>6943</v>
      </c>
      <c r="AB17" s="63">
        <f t="shared" si="5"/>
        <v>1153</v>
      </c>
      <c r="AC17" s="89">
        <f>SUM(AC10:AC15)</f>
        <v>1</v>
      </c>
      <c r="AD17" s="89">
        <f>SUM(AD10:AD15)</f>
        <v>1</v>
      </c>
      <c r="AE17" s="59">
        <f t="shared" si="5"/>
        <v>931</v>
      </c>
      <c r="AF17" s="61">
        <f t="shared" si="5"/>
        <v>143</v>
      </c>
      <c r="AG17" s="57">
        <f t="shared" si="5"/>
        <v>232</v>
      </c>
      <c r="AH17" s="58">
        <f t="shared" si="5"/>
        <v>36</v>
      </c>
      <c r="AI17" s="60">
        <f ca="1">SUM(AI10:AI15)</f>
        <v>0</v>
      </c>
      <c r="AJ17" s="58">
        <f t="shared" ca="1" si="5"/>
        <v>0</v>
      </c>
      <c r="AK17" s="60">
        <f t="shared" ca="1" si="5"/>
        <v>0</v>
      </c>
      <c r="AL17" s="58">
        <f t="shared" ca="1" si="5"/>
        <v>0</v>
      </c>
      <c r="AM17" s="60">
        <f t="shared" ca="1" si="5"/>
        <v>0</v>
      </c>
      <c r="AN17" s="58">
        <f t="shared" ca="1" si="5"/>
        <v>0</v>
      </c>
      <c r="AO17" s="60">
        <f t="shared" ca="1" si="5"/>
        <v>0</v>
      </c>
      <c r="AP17" s="58">
        <f t="shared" ca="1" si="5"/>
        <v>0</v>
      </c>
      <c r="AQ17" s="60">
        <f t="shared" ca="1" si="5"/>
        <v>0</v>
      </c>
      <c r="AR17" s="58">
        <f t="shared" ca="1" si="5"/>
        <v>0</v>
      </c>
      <c r="AS17" s="59">
        <f t="shared" ca="1" si="5"/>
        <v>0</v>
      </c>
      <c r="AT17" s="61">
        <f ca="1">SUM(AT10:AT15)</f>
        <v>0</v>
      </c>
      <c r="AU17" s="57">
        <f t="shared" ref="AU17:AV17" si="7">SUM(AU10:AU15)</f>
        <v>232</v>
      </c>
      <c r="AV17" s="58">
        <f t="shared" si="7"/>
        <v>36</v>
      </c>
      <c r="AW17" s="60">
        <f ca="1">SUM(AW10:AW15)</f>
        <v>0</v>
      </c>
      <c r="AX17" s="58">
        <f t="shared" ref="AX17:BG17" ca="1" si="8">SUM(AX10:AX15)</f>
        <v>0</v>
      </c>
      <c r="AY17" s="60">
        <f t="shared" ca="1" si="8"/>
        <v>0</v>
      </c>
      <c r="AZ17" s="58">
        <f t="shared" ca="1" si="8"/>
        <v>0</v>
      </c>
      <c r="BA17" s="60">
        <f t="shared" ca="1" si="8"/>
        <v>0</v>
      </c>
      <c r="BB17" s="58">
        <f t="shared" ca="1" si="8"/>
        <v>0</v>
      </c>
      <c r="BC17" s="60">
        <f t="shared" ca="1" si="8"/>
        <v>0</v>
      </c>
      <c r="BD17" s="58">
        <f t="shared" ca="1" si="8"/>
        <v>0</v>
      </c>
      <c r="BE17" s="60">
        <f t="shared" ca="1" si="8"/>
        <v>0</v>
      </c>
      <c r="BF17" s="58">
        <f t="shared" ca="1" si="8"/>
        <v>0</v>
      </c>
      <c r="BG17" s="59">
        <f t="shared" ca="1" si="8"/>
        <v>0</v>
      </c>
      <c r="BH17" s="61">
        <f ca="1">SUM(BH10:BH15)</f>
        <v>0</v>
      </c>
    </row>
    <row r="18" spans="2:60" x14ac:dyDescent="0.3">
      <c r="AI18" s="142">
        <f ca="1">AI6</f>
        <v>46132</v>
      </c>
      <c r="AJ18" s="142"/>
      <c r="AK18" s="142">
        <f ca="1">AI18+1</f>
        <v>46133</v>
      </c>
      <c r="AL18" s="142"/>
      <c r="AM18" s="142">
        <f ca="1">AK18+1</f>
        <v>46134</v>
      </c>
      <c r="AN18" s="142"/>
      <c r="AO18" s="142">
        <f t="shared" ref="AO18" ca="1" si="9">AM18+1</f>
        <v>46135</v>
      </c>
      <c r="AP18" s="142"/>
      <c r="AQ18" s="142">
        <f t="shared" ref="AQ18" ca="1" si="10">AO18+1</f>
        <v>46136</v>
      </c>
      <c r="AR18" s="142"/>
      <c r="AS18" s="142">
        <f t="shared" ref="AS18" ca="1" si="11">AQ18+1</f>
        <v>46137</v>
      </c>
      <c r="AT18" s="142"/>
      <c r="AW18" s="142">
        <f ca="1">AI18-7</f>
        <v>46125</v>
      </c>
      <c r="AX18" s="142"/>
      <c r="AY18" s="142">
        <f ca="1">AW18+1</f>
        <v>46126</v>
      </c>
      <c r="AZ18" s="142"/>
      <c r="BA18" s="142">
        <f ca="1">AY18+1</f>
        <v>46127</v>
      </c>
      <c r="BB18" s="142"/>
      <c r="BC18" s="142">
        <f t="shared" ref="BC18" ca="1" si="12">BA18+1</f>
        <v>46128</v>
      </c>
      <c r="BD18" s="142"/>
      <c r="BE18" s="142">
        <f t="shared" ref="BE18" ca="1" si="13">BC18+1</f>
        <v>46129</v>
      </c>
      <c r="BF18" s="142"/>
      <c r="BG18" s="142">
        <f t="shared" ref="BG18" ca="1" si="14">BE18+1</f>
        <v>46130</v>
      </c>
      <c r="BH18" s="142"/>
    </row>
    <row r="19" spans="2:60" x14ac:dyDescent="0.3">
      <c r="Z19">
        <v>502</v>
      </c>
    </row>
    <row r="20" spans="2:60" x14ac:dyDescent="0.3">
      <c r="Z20">
        <f>Z19*0.55</f>
        <v>276.10000000000002</v>
      </c>
      <c r="AH20" s="133"/>
    </row>
    <row r="21" spans="2:60" ht="28.4" customHeight="1" x14ac:dyDescent="0.3">
      <c r="Z21">
        <f>Z19-Z20</f>
        <v>225.89999999999998</v>
      </c>
      <c r="AT21" s="135"/>
      <c r="AU21" s="140" t="s">
        <v>300</v>
      </c>
      <c r="AV21" s="140"/>
    </row>
    <row r="22" spans="2:60" x14ac:dyDescent="0.3">
      <c r="AT22" s="135"/>
      <c r="AU22" s="136" t="s">
        <v>296</v>
      </c>
      <c r="AV22" s="136" t="s">
        <v>297</v>
      </c>
    </row>
    <row r="23" spans="2:60" x14ac:dyDescent="0.3">
      <c r="AT23" s="135"/>
      <c r="AU23" s="137">
        <f ca="1">AW10+AY10+BA10+BC10+BE10+BG10</f>
        <v>0</v>
      </c>
      <c r="AV23" s="137">
        <f ca="1">AX10+AZ10+BB10+BD10+BF10+BH10</f>
        <v>0</v>
      </c>
    </row>
    <row r="24" spans="2:60" x14ac:dyDescent="0.3">
      <c r="AT24" s="135"/>
      <c r="AU24" s="137">
        <f t="shared" ref="AU24:AV24" ca="1" si="15">AW11+AY11+BA11+BC11+BE11+BG11</f>
        <v>0</v>
      </c>
      <c r="AV24" s="137">
        <f t="shared" ca="1" si="15"/>
        <v>0</v>
      </c>
    </row>
    <row r="25" spans="2:60" x14ac:dyDescent="0.3">
      <c r="AT25" s="135"/>
      <c r="AU25" s="137">
        <f t="shared" ref="AU25:AV25" ca="1" si="16">AW12+AY12+BA12+BC12+BE12+BG12</f>
        <v>0</v>
      </c>
      <c r="AV25" s="137">
        <f t="shared" ca="1" si="16"/>
        <v>0</v>
      </c>
    </row>
    <row r="26" spans="2:60" x14ac:dyDescent="0.3">
      <c r="AT26" s="135"/>
      <c r="AU26" s="137">
        <f t="shared" ref="AU26:AV26" ca="1" si="17">AW13+AY13+BA13+BC13+BE13+BG13</f>
        <v>0</v>
      </c>
      <c r="AV26" s="137">
        <f t="shared" ca="1" si="17"/>
        <v>0</v>
      </c>
    </row>
    <row r="27" spans="2:60" x14ac:dyDescent="0.3">
      <c r="AT27" s="135"/>
      <c r="AU27" s="137">
        <f t="shared" ref="AU27:AV27" ca="1" si="18">AW14+AY14+BA14+BC14+BE14+BG14</f>
        <v>0</v>
      </c>
      <c r="AV27" s="137">
        <f t="shared" ca="1" si="18"/>
        <v>0</v>
      </c>
    </row>
    <row r="28" spans="2:60" x14ac:dyDescent="0.3">
      <c r="AT28" s="135"/>
      <c r="AU28" s="137">
        <f t="shared" ref="AU28:AV28" ca="1" si="19">AW15+AY15+BA15+BC15+BE15+BG15</f>
        <v>0</v>
      </c>
      <c r="AV28" s="137">
        <f t="shared" ca="1" si="19"/>
        <v>0</v>
      </c>
    </row>
  </sheetData>
  <mergeCells count="53">
    <mergeCell ref="BG18:BH18"/>
    <mergeCell ref="AW18:AX18"/>
    <mergeCell ref="AY18:AZ18"/>
    <mergeCell ref="BA18:BB18"/>
    <mergeCell ref="BC18:BD18"/>
    <mergeCell ref="BE18:BF18"/>
    <mergeCell ref="AU7:BH7"/>
    <mergeCell ref="AU8:AV8"/>
    <mergeCell ref="AW8:AX8"/>
    <mergeCell ref="AY8:AZ8"/>
    <mergeCell ref="BA8:BB8"/>
    <mergeCell ref="BC8:BD8"/>
    <mergeCell ref="BE8:BF8"/>
    <mergeCell ref="BG8:BH8"/>
    <mergeCell ref="AS8:AT8"/>
    <mergeCell ref="Y8:Z8"/>
    <mergeCell ref="AA8:AB8"/>
    <mergeCell ref="AE8:AF8"/>
    <mergeCell ref="AG8:AH8"/>
    <mergeCell ref="AI8:AJ8"/>
    <mergeCell ref="AK8:AL8"/>
    <mergeCell ref="AQ8:AR8"/>
    <mergeCell ref="W8:X8"/>
    <mergeCell ref="B7:B9"/>
    <mergeCell ref="C7:H7"/>
    <mergeCell ref="I7:V7"/>
    <mergeCell ref="W7:AF7"/>
    <mergeCell ref="M8:N8"/>
    <mergeCell ref="O8:P8"/>
    <mergeCell ref="Q8:R8"/>
    <mergeCell ref="S8:T8"/>
    <mergeCell ref="U8:V8"/>
    <mergeCell ref="C8:D8"/>
    <mergeCell ref="E8:F8"/>
    <mergeCell ref="G8:H8"/>
    <mergeCell ref="I8:J8"/>
    <mergeCell ref="K8:L8"/>
    <mergeCell ref="AU21:AV21"/>
    <mergeCell ref="AS6:AT6"/>
    <mergeCell ref="AI18:AJ18"/>
    <mergeCell ref="AK18:AL18"/>
    <mergeCell ref="AM18:AN18"/>
    <mergeCell ref="AO18:AP18"/>
    <mergeCell ref="AQ18:AR18"/>
    <mergeCell ref="AS18:AT18"/>
    <mergeCell ref="AI6:AJ6"/>
    <mergeCell ref="AK6:AL6"/>
    <mergeCell ref="AM6:AN6"/>
    <mergeCell ref="AO6:AP6"/>
    <mergeCell ref="AQ6:AR6"/>
    <mergeCell ref="AG7:AT7"/>
    <mergeCell ref="AM8:AN8"/>
    <mergeCell ref="AO8:AP8"/>
  </mergeCells>
  <conditionalFormatting sqref="C10:D15">
    <cfRule type="cellIs" dxfId="20" priority="27" operator="greaterThan">
      <formula>0</formula>
    </cfRule>
    <cfRule type="cellIs" dxfId="19" priority="28" operator="lessThan">
      <formula>0</formula>
    </cfRule>
  </conditionalFormatting>
  <conditionalFormatting sqref="C17:D17">
    <cfRule type="cellIs" dxfId="18" priority="23" operator="greaterThan">
      <formula>0</formula>
    </cfRule>
    <cfRule type="cellIs" dxfId="17" priority="24" operator="lessThan">
      <formula>0</formula>
    </cfRule>
  </conditionalFormatting>
  <conditionalFormatting sqref="Y10:Z15">
    <cfRule type="cellIs" dxfId="16" priority="25" operator="greaterThan">
      <formula>0</formula>
    </cfRule>
    <cfRule type="cellIs" dxfId="15" priority="26" operator="lessThan">
      <formula>0</formula>
    </cfRule>
  </conditionalFormatting>
  <conditionalFormatting sqref="Y17:Z17">
    <cfRule type="cellIs" dxfId="14" priority="21" operator="greaterThan">
      <formula>0</formula>
    </cfRule>
    <cfRule type="cellIs" dxfId="13" priority="22" operator="lessThan">
      <formula>0</formula>
    </cfRule>
  </conditionalFormatting>
  <conditionalFormatting sqref="AI11 AK11 AM11 AO11 AQ11 AS11">
    <cfRule type="cellIs" dxfId="12" priority="19" operator="lessThan">
      <formula>$AG$10</formula>
    </cfRule>
  </conditionalFormatting>
  <conditionalFormatting sqref="AI12 AK12 AM12 AO12 AQ12 AS12">
    <cfRule type="cellIs" dxfId="11" priority="18" operator="lessThan">
      <formula>$AG$11</formula>
    </cfRule>
  </conditionalFormatting>
  <conditionalFormatting sqref="AI13 AK13 AM13 AO13 AQ13 AS13">
    <cfRule type="cellIs" dxfId="10" priority="17" operator="lessThan">
      <formula>$AG$12</formula>
    </cfRule>
  </conditionalFormatting>
  <conditionalFormatting sqref="AI14 AK14 AM14 AO14 AQ14 AS14">
    <cfRule type="cellIs" dxfId="9" priority="16" operator="lessThan">
      <formula>$AG$13</formula>
    </cfRule>
  </conditionalFormatting>
  <conditionalFormatting sqref="AI15 AK15 AM15 AO15 AQ15 AS15">
    <cfRule type="cellIs" dxfId="8" priority="15" operator="lessThan">
      <formula>$AG$14</formula>
    </cfRule>
  </conditionalFormatting>
  <conditionalFormatting sqref="AI17 AK17 AM17 AO17 AQ17 AS17">
    <cfRule type="cellIs" dxfId="7" priority="14" operator="lessThan">
      <formula>$AI$16+$AG$16</formula>
    </cfRule>
  </conditionalFormatting>
  <conditionalFormatting sqref="AI6:AT6">
    <cfRule type="cellIs" dxfId="6" priority="13" operator="equal">
      <formula>0</formula>
    </cfRule>
  </conditionalFormatting>
  <conditionalFormatting sqref="AW11 AY11 BA11 BC11 BE11 BG11">
    <cfRule type="cellIs" dxfId="5" priority="5" operator="lessThan">
      <formula>$AG$10</formula>
    </cfRule>
  </conditionalFormatting>
  <conditionalFormatting sqref="AW12 AY12 BA12 BC12 BE12 BG12">
    <cfRule type="cellIs" dxfId="4" priority="4" operator="lessThan">
      <formula>$AG$11</formula>
    </cfRule>
  </conditionalFormatting>
  <conditionalFormatting sqref="AW13 AY13 BA13 BC13 BE13 BG13">
    <cfRule type="cellIs" dxfId="3" priority="3" operator="lessThan">
      <formula>$AG$12</formula>
    </cfRule>
  </conditionalFormatting>
  <conditionalFormatting sqref="AW14 AY14 BA14 BC14 BE14 BG14">
    <cfRule type="cellIs" dxfId="2" priority="2" operator="lessThan">
      <formula>$AG$13</formula>
    </cfRule>
  </conditionalFormatting>
  <conditionalFormatting sqref="AW15 AY15 BA15 BC15 BE15 BG15">
    <cfRule type="cellIs" dxfId="1" priority="1" operator="lessThan">
      <formula>$AG$14</formula>
    </cfRule>
  </conditionalFormatting>
  <conditionalFormatting sqref="AW17 AY17 BA17 BC17 BE17 BG17">
    <cfRule type="cellIs" dxfId="0" priority="6" operator="lessThan">
      <formula>$AI$16+$AG$16</formula>
    </cfRule>
  </conditionalFormatting>
  <pageMargins left="0.511811024" right="0.511811024" top="0.78740157499999996" bottom="0.78740157499999996" header="0.31496062000000002" footer="0.31496062000000002"/>
  <pageSetup paperSize="9" scale="3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27AD-DE78-4AC7-B2AB-EDFFDD7E2205}">
  <sheetPr codeName="Planilha6">
    <tabColor theme="6" tint="0.79998168889431442"/>
  </sheetPr>
  <dimension ref="A2:M46"/>
  <sheetViews>
    <sheetView showGridLines="0" topLeftCell="A31" workbookViewId="0">
      <selection activeCell="B4" sqref="B4"/>
    </sheetView>
  </sheetViews>
  <sheetFormatPr defaultRowHeight="14" x14ac:dyDescent="0.3"/>
  <cols>
    <col min="2" max="2" width="11.58203125" customWidth="1"/>
    <col min="3" max="4" width="9.4140625" customWidth="1"/>
    <col min="5" max="5" width="11.08203125" bestFit="1" customWidth="1"/>
    <col min="6" max="6" width="12.9140625" bestFit="1" customWidth="1"/>
    <col min="7" max="7" width="13" bestFit="1" customWidth="1"/>
    <col min="8" max="8" width="15" bestFit="1" customWidth="1"/>
    <col min="9" max="9" width="8.58203125" customWidth="1"/>
    <col min="11" max="11" width="10.08203125" style="7" customWidth="1"/>
    <col min="13" max="13" width="9.9140625" bestFit="1" customWidth="1"/>
  </cols>
  <sheetData>
    <row r="2" spans="1:13" x14ac:dyDescent="0.3">
      <c r="B2" s="5" t="s">
        <v>301</v>
      </c>
      <c r="E2" s="6">
        <v>433</v>
      </c>
      <c r="F2" s="6">
        <v>611</v>
      </c>
      <c r="G2" s="6">
        <v>2717</v>
      </c>
      <c r="H2" s="6">
        <v>4020</v>
      </c>
    </row>
    <row r="3" spans="1:13" x14ac:dyDescent="0.3">
      <c r="B3" s="8" t="s">
        <v>302</v>
      </c>
      <c r="C3" s="8" t="s">
        <v>303</v>
      </c>
      <c r="D3" s="8" t="s">
        <v>304</v>
      </c>
      <c r="E3" s="8" t="s">
        <v>305</v>
      </c>
      <c r="F3" s="8" t="s">
        <v>306</v>
      </c>
      <c r="G3" s="8" t="s">
        <v>307</v>
      </c>
      <c r="H3" s="8" t="s">
        <v>308</v>
      </c>
      <c r="I3" s="8" t="s">
        <v>309</v>
      </c>
      <c r="J3" s="8" t="s">
        <v>310</v>
      </c>
    </row>
    <row r="4" spans="1:13" x14ac:dyDescent="0.3">
      <c r="B4" s="6">
        <v>1044</v>
      </c>
      <c r="C4" s="6">
        <f>SUM(G2:H2)</f>
        <v>6737</v>
      </c>
      <c r="D4" s="6">
        <v>30</v>
      </c>
      <c r="E4" s="9">
        <f>$E$2/SUM($D$8:$D$46)</f>
        <v>14.931034482758621</v>
      </c>
      <c r="F4" s="9">
        <f>$F$2/SUM($D$8:$D$46)</f>
        <v>21.068965517241381</v>
      </c>
      <c r="G4" s="10">
        <f>$G$2/SUM($D$8:$D$46)</f>
        <v>93.689655172413794</v>
      </c>
      <c r="H4" s="10">
        <f>$H$2/SUM($D$8:$D$46)</f>
        <v>138.62068965517241</v>
      </c>
      <c r="I4" s="11">
        <f>$B$4/SUM(D8:D46)</f>
        <v>36</v>
      </c>
      <c r="J4" s="12">
        <f>$C$4/SUM(D8:D46)</f>
        <v>232.31034482758622</v>
      </c>
    </row>
    <row r="5" spans="1:13" x14ac:dyDescent="0.3">
      <c r="B5" s="13"/>
      <c r="C5" s="13"/>
      <c r="D5" s="13"/>
      <c r="E5" s="13"/>
      <c r="F5" s="13"/>
      <c r="G5" s="13"/>
      <c r="H5" s="13"/>
      <c r="I5" s="14"/>
      <c r="J5" s="15"/>
    </row>
    <row r="6" spans="1:13" x14ac:dyDescent="0.3">
      <c r="I6" s="7" t="s">
        <v>311</v>
      </c>
      <c r="J6" s="7" t="s">
        <v>312</v>
      </c>
    </row>
    <row r="7" spans="1:13" x14ac:dyDescent="0.3">
      <c r="B7" t="s">
        <v>313</v>
      </c>
      <c r="C7" t="s">
        <v>3</v>
      </c>
      <c r="D7" t="s">
        <v>314</v>
      </c>
      <c r="E7" s="16" t="s">
        <v>305</v>
      </c>
      <c r="F7" s="16" t="s">
        <v>306</v>
      </c>
      <c r="G7" s="16" t="s">
        <v>307</v>
      </c>
      <c r="H7" s="16" t="s">
        <v>308</v>
      </c>
      <c r="I7" t="s">
        <v>315</v>
      </c>
      <c r="J7" t="s">
        <v>303</v>
      </c>
      <c r="K7" s="7" t="s">
        <v>316</v>
      </c>
      <c r="M7" s="17" t="s">
        <v>317</v>
      </c>
    </row>
    <row r="8" spans="1:13" x14ac:dyDescent="0.3">
      <c r="A8" s="93" t="str">
        <f>_xlfn.XLOOKUP(Tabela1[[#This Row],[Data]],GERAL!B:B,GERAL!A:A)</f>
        <v>Semana 2</v>
      </c>
      <c r="B8" s="1">
        <v>46062</v>
      </c>
      <c r="C8" t="str" cm="1">
        <f t="array" ref="C8">_xlfn.IFS(OR(Tabela1[[#This Row],[Data]]=$M$8,Tabela1[[#This Row],[Data]]=$M$9,Tabela1[[#This Row],[Data]]=$M$10),"Não",K8=1,"Não",K8&gt;1,"Sim")</f>
        <v>Sim</v>
      </c>
      <c r="D8" s="18" cm="1">
        <f t="array" ref="D8">_xlfn.IFS(Tabela1[[#This Row],[Dia Útil]]="Não",0,K8=1,0,K8=7,0.5,K8&gt;1,1)</f>
        <v>1</v>
      </c>
      <c r="E8" s="19">
        <f>$E$4*Tabela1[[#This Row],[Período]]</f>
        <v>14.931034482758621</v>
      </c>
      <c r="F8" s="19">
        <f>$F$4*Tabela1[[#This Row],[Período]]</f>
        <v>21.068965517241381</v>
      </c>
      <c r="G8" s="18">
        <f>$G$4*Tabela1[[#This Row],[Período]]</f>
        <v>93.689655172413794</v>
      </c>
      <c r="H8" s="18">
        <f>$H$4*Tabela1[[#This Row],[Período]]</f>
        <v>138.62068965517241</v>
      </c>
      <c r="I8" s="20">
        <f>$I$4*Tabela1[[#This Row],[Período]]</f>
        <v>36</v>
      </c>
      <c r="J8" s="21">
        <f>$J$4*Tabela1[[#This Row],[Período]]</f>
        <v>232.31034482758622</v>
      </c>
      <c r="K8" s="7">
        <f>WEEKDAY(Tabela1[[#This Row],[Data]],1)</f>
        <v>2</v>
      </c>
      <c r="M8" s="22">
        <v>46069</v>
      </c>
    </row>
    <row r="9" spans="1:13" x14ac:dyDescent="0.3">
      <c r="A9" s="93" t="str">
        <f>_xlfn.XLOOKUP(Tabela1[[#This Row],[Data]],GERAL!B:B,GERAL!A:A)</f>
        <v>Semana 2</v>
      </c>
      <c r="B9" s="1">
        <v>46063</v>
      </c>
      <c r="C9" t="str" cm="1">
        <f t="array" ref="C9">_xlfn.IFS(OR(Tabela1[[#This Row],[Data]]=$M$8,Tabela1[[#This Row],[Data]]=$M$9,Tabela1[[#This Row],[Data]]=$M$10),"Não",K9=1,"Não",K9&gt;1,"Sim")</f>
        <v>Sim</v>
      </c>
      <c r="D9" s="18" cm="1">
        <f t="array" ref="D9">_xlfn.IFS(Tabela1[[#This Row],[Dia Útil]]="Não",0,K9=1,0,K9=7,0.5,K9&gt;1,1)</f>
        <v>1</v>
      </c>
      <c r="E9" s="19">
        <f>$E$4*Tabela1[[#This Row],[Período]]</f>
        <v>14.931034482758621</v>
      </c>
      <c r="F9" s="19">
        <f>$F$4*Tabela1[[#This Row],[Período]]</f>
        <v>21.068965517241381</v>
      </c>
      <c r="G9" s="18">
        <f>$G$4*Tabela1[[#This Row],[Período]]</f>
        <v>93.689655172413794</v>
      </c>
      <c r="H9" s="18">
        <f>$H$4*Tabela1[[#This Row],[Período]]</f>
        <v>138.62068965517241</v>
      </c>
      <c r="I9" s="20">
        <f>$I$4*Tabela1[[#This Row],[Período]]</f>
        <v>36</v>
      </c>
      <c r="J9" s="21">
        <f>$J$4*Tabela1[[#This Row],[Período]]</f>
        <v>232.31034482758622</v>
      </c>
      <c r="K9" s="7">
        <f>WEEKDAY(Tabela1[[#This Row],[Data]],1)</f>
        <v>3</v>
      </c>
      <c r="M9" s="22">
        <v>46070</v>
      </c>
    </row>
    <row r="10" spans="1:13" x14ac:dyDescent="0.3">
      <c r="A10" s="93" t="str">
        <f>_xlfn.XLOOKUP(Tabela1[[#This Row],[Data]],GERAL!B:B,GERAL!A:A)</f>
        <v>Semana 2</v>
      </c>
      <c r="B10" s="1">
        <v>46064</v>
      </c>
      <c r="C10" t="str" cm="1">
        <f t="array" ref="C10">_xlfn.IFS(OR(Tabela1[[#This Row],[Data]]=$M$8,Tabela1[[#This Row],[Data]]=$M$9,Tabela1[[#This Row],[Data]]=$M$10),"Não",K10=1,"Não",K10&gt;1,"Sim")</f>
        <v>Sim</v>
      </c>
      <c r="D10" s="18" cm="1">
        <f t="array" ref="D10">_xlfn.IFS(Tabela1[[#This Row],[Dia Útil]]="Não",0,K10=1,0,K10=7,0.5,K10&gt;1,1)</f>
        <v>1</v>
      </c>
      <c r="E10" s="19">
        <f>$E$4*Tabela1[[#This Row],[Período]]</f>
        <v>14.931034482758621</v>
      </c>
      <c r="F10" s="19">
        <f>$F$4*Tabela1[[#This Row],[Período]]</f>
        <v>21.068965517241381</v>
      </c>
      <c r="G10" s="18">
        <f>$G$4*Tabela1[[#This Row],[Período]]</f>
        <v>93.689655172413794</v>
      </c>
      <c r="H10" s="18">
        <f>$H$4*Tabela1[[#This Row],[Período]]</f>
        <v>138.62068965517241</v>
      </c>
      <c r="I10" s="20">
        <f>$I$4*Tabela1[[#This Row],[Período]]</f>
        <v>36</v>
      </c>
      <c r="J10" s="21">
        <f>$J$4*Tabela1[[#This Row],[Período]]</f>
        <v>232.31034482758622</v>
      </c>
      <c r="K10" s="7">
        <f>WEEKDAY(Tabela1[[#This Row],[Data]],1)</f>
        <v>4</v>
      </c>
      <c r="M10" s="22">
        <v>46067</v>
      </c>
    </row>
    <row r="11" spans="1:13" x14ac:dyDescent="0.3">
      <c r="A11" s="93" t="str">
        <f>_xlfn.XLOOKUP(Tabela1[[#This Row],[Data]],GERAL!B:B,GERAL!A:A)</f>
        <v>Semana 2</v>
      </c>
      <c r="B11" s="1">
        <v>46065</v>
      </c>
      <c r="C11" t="str" cm="1">
        <f t="array" ref="C11">_xlfn.IFS(OR(Tabela1[[#This Row],[Data]]=$M$8,Tabela1[[#This Row],[Data]]=$M$9,Tabela1[[#This Row],[Data]]=$M$10),"Não",K11=1,"Não",K11&gt;1,"Sim")</f>
        <v>Sim</v>
      </c>
      <c r="D11" s="18" cm="1">
        <f t="array" ref="D11">_xlfn.IFS(Tabela1[[#This Row],[Dia Útil]]="Não",0,K11=1,0,K11=7,0.5,K11&gt;1,1)</f>
        <v>1</v>
      </c>
      <c r="E11" s="19">
        <f>$E$4*Tabela1[[#This Row],[Período]]</f>
        <v>14.931034482758621</v>
      </c>
      <c r="F11" s="19">
        <f>$F$4*Tabela1[[#This Row],[Período]]</f>
        <v>21.068965517241381</v>
      </c>
      <c r="G11" s="18">
        <f>$G$4*Tabela1[[#This Row],[Período]]</f>
        <v>93.689655172413794</v>
      </c>
      <c r="H11" s="18">
        <f>$H$4*Tabela1[[#This Row],[Período]]</f>
        <v>138.62068965517241</v>
      </c>
      <c r="I11" s="20">
        <f>$I$4*Tabela1[[#This Row],[Período]]</f>
        <v>36</v>
      </c>
      <c r="J11" s="21">
        <f>$J$4*Tabela1[[#This Row],[Período]]</f>
        <v>232.31034482758622</v>
      </c>
      <c r="K11" s="7">
        <f>WEEKDAY(Tabela1[[#This Row],[Data]],1)</f>
        <v>5</v>
      </c>
    </row>
    <row r="12" spans="1:13" x14ac:dyDescent="0.3">
      <c r="A12" s="93" t="str">
        <f>_xlfn.XLOOKUP(Tabela1[[#This Row],[Data]],GERAL!B:B,GERAL!A:A)</f>
        <v>Semana 2</v>
      </c>
      <c r="B12" s="1">
        <v>46066</v>
      </c>
      <c r="C12" t="str" cm="1">
        <f t="array" ref="C12">_xlfn.IFS(OR(Tabela1[[#This Row],[Data]]=$M$8,Tabela1[[#This Row],[Data]]=$M$9,Tabela1[[#This Row],[Data]]=$M$10),"Não",K12=1,"Não",K12&gt;1,"Sim")</f>
        <v>Sim</v>
      </c>
      <c r="D12" s="18" cm="1">
        <f t="array" ref="D12">_xlfn.IFS(Tabela1[[#This Row],[Dia Útil]]="Não",0,K12=1,0,K12=7,0.5,K12&gt;1,1)</f>
        <v>1</v>
      </c>
      <c r="E12" s="19">
        <f>$E$4*Tabela1[[#This Row],[Período]]</f>
        <v>14.931034482758621</v>
      </c>
      <c r="F12" s="19">
        <f>$F$4*Tabela1[[#This Row],[Período]]</f>
        <v>21.068965517241381</v>
      </c>
      <c r="G12" s="18">
        <f>$G$4*Tabela1[[#This Row],[Período]]</f>
        <v>93.689655172413794</v>
      </c>
      <c r="H12" s="18">
        <f>$H$4*Tabela1[[#This Row],[Período]]</f>
        <v>138.62068965517241</v>
      </c>
      <c r="I12" s="20">
        <f>$I$4*Tabela1[[#This Row],[Período]]</f>
        <v>36</v>
      </c>
      <c r="J12" s="21">
        <f>$J$4*Tabela1[[#This Row],[Período]]</f>
        <v>232.31034482758622</v>
      </c>
      <c r="K12" s="7">
        <f>WEEKDAY(Tabela1[[#This Row],[Data]],1)</f>
        <v>6</v>
      </c>
    </row>
    <row r="13" spans="1:13" x14ac:dyDescent="0.3">
      <c r="A13" s="93" t="str">
        <f>_xlfn.XLOOKUP(Tabela1[[#This Row],[Data]],GERAL!B:B,GERAL!A:A)</f>
        <v>Semana 2</v>
      </c>
      <c r="B13" s="1">
        <v>46067</v>
      </c>
      <c r="C13" t="str" cm="1">
        <f t="array" ref="C13">_xlfn.IFS(OR(Tabela1[[#This Row],[Data]]=$M$8,Tabela1[[#This Row],[Data]]=$M$9,Tabela1[[#This Row],[Data]]=$M$10),"Não",K13=1,"Não",K13&gt;1,"Sim")</f>
        <v>Não</v>
      </c>
      <c r="D13" s="18" cm="1">
        <f t="array" ref="D13">_xlfn.IFS(Tabela1[[#This Row],[Dia Útil]]="Não",0,K13=1,0,K13=7,0.5,K13&gt;1,1)</f>
        <v>0</v>
      </c>
      <c r="E13" s="19">
        <f>$E$4*Tabela1[[#This Row],[Período]]</f>
        <v>0</v>
      </c>
      <c r="F13" s="19">
        <f>$F$4*Tabela1[[#This Row],[Período]]</f>
        <v>0</v>
      </c>
      <c r="G13" s="18">
        <f>$G$4*Tabela1[[#This Row],[Período]]</f>
        <v>0</v>
      </c>
      <c r="H13" s="18">
        <f>$H$4*Tabela1[[#This Row],[Período]]</f>
        <v>0</v>
      </c>
      <c r="I13" s="20">
        <f>$I$4*Tabela1[[#This Row],[Período]]</f>
        <v>0</v>
      </c>
      <c r="J13" s="21">
        <f>$J$4*Tabela1[[#This Row],[Período]]</f>
        <v>0</v>
      </c>
      <c r="K13" s="7">
        <f>WEEKDAY(Tabela1[[#This Row],[Data]],1)</f>
        <v>7</v>
      </c>
    </row>
    <row r="14" spans="1:13" x14ac:dyDescent="0.3">
      <c r="A14" s="93" t="str">
        <f>_xlfn.XLOOKUP(Tabela1[[#This Row],[Data]],GERAL!B:B,GERAL!A:A)</f>
        <v>Semana 3</v>
      </c>
      <c r="B14" s="1">
        <v>46068</v>
      </c>
      <c r="C14" t="str" cm="1">
        <f t="array" ref="C14">_xlfn.IFS(OR(Tabela1[[#This Row],[Data]]=$M$8,Tabela1[[#This Row],[Data]]=$M$9,Tabela1[[#This Row],[Data]]=$M$10),"Não",K14=1,"Não",K14&gt;1,"Sim")</f>
        <v>Não</v>
      </c>
      <c r="D14" s="18" cm="1">
        <f t="array" ref="D14">_xlfn.IFS(Tabela1[[#This Row],[Dia Útil]]="Não",0,K14=1,0,K14=7,0.5,K14&gt;1,1)</f>
        <v>0</v>
      </c>
      <c r="E14" s="19">
        <f>$E$4*Tabela1[[#This Row],[Período]]</f>
        <v>0</v>
      </c>
      <c r="F14" s="19">
        <f>$F$4*Tabela1[[#This Row],[Período]]</f>
        <v>0</v>
      </c>
      <c r="G14" s="18">
        <f>$G$4*Tabela1[[#This Row],[Período]]</f>
        <v>0</v>
      </c>
      <c r="H14" s="18">
        <f>$H$4*Tabela1[[#This Row],[Período]]</f>
        <v>0</v>
      </c>
      <c r="I14" s="20">
        <f>$I$4*Tabela1[[#This Row],[Período]]</f>
        <v>0</v>
      </c>
      <c r="J14" s="21">
        <f>$J$4*Tabela1[[#This Row],[Período]]</f>
        <v>0</v>
      </c>
      <c r="K14" s="7">
        <f>WEEKDAY(Tabela1[[#This Row],[Data]],1)</f>
        <v>1</v>
      </c>
    </row>
    <row r="15" spans="1:13" x14ac:dyDescent="0.3">
      <c r="A15" s="93" t="str">
        <f>_xlfn.XLOOKUP(Tabela1[[#This Row],[Data]],GERAL!B:B,GERAL!A:A)</f>
        <v>Semana 3</v>
      </c>
      <c r="B15" s="1">
        <v>46069</v>
      </c>
      <c r="C15" t="str" cm="1">
        <f t="array" ref="C15">_xlfn.IFS(OR(Tabela1[[#This Row],[Data]]=$M$8,Tabela1[[#This Row],[Data]]=$M$9,Tabela1[[#This Row],[Data]]=$M$10),"Não",K15=1,"Não",K15&gt;1,"Sim")</f>
        <v>Não</v>
      </c>
      <c r="D15" s="18" cm="1">
        <f t="array" ref="D15">_xlfn.IFS(Tabela1[[#This Row],[Dia Útil]]="Não",0,K15=1,0,K15=7,0.5,K15&gt;1,1)</f>
        <v>0</v>
      </c>
      <c r="E15" s="19">
        <f>$E$4*Tabela1[[#This Row],[Período]]</f>
        <v>0</v>
      </c>
      <c r="F15" s="19">
        <f>$F$4*Tabela1[[#This Row],[Período]]</f>
        <v>0</v>
      </c>
      <c r="G15" s="18">
        <f>$G$4*Tabela1[[#This Row],[Período]]</f>
        <v>0</v>
      </c>
      <c r="H15" s="18">
        <f>$H$4*Tabela1[[#This Row],[Período]]</f>
        <v>0</v>
      </c>
      <c r="I15" s="20">
        <f>$I$4*Tabela1[[#This Row],[Período]]</f>
        <v>0</v>
      </c>
      <c r="J15" s="21">
        <f>$J$4*Tabela1[[#This Row],[Período]]</f>
        <v>0</v>
      </c>
      <c r="K15" s="7">
        <f>WEEKDAY(Tabela1[[#This Row],[Data]],1)</f>
        <v>2</v>
      </c>
    </row>
    <row r="16" spans="1:13" x14ac:dyDescent="0.3">
      <c r="A16" s="93" t="str">
        <f>_xlfn.XLOOKUP(Tabela1[[#This Row],[Data]],GERAL!B:B,GERAL!A:A)</f>
        <v>Semana 3</v>
      </c>
      <c r="B16" s="1">
        <v>46070</v>
      </c>
      <c r="C16" t="str" cm="1">
        <f t="array" ref="C16">_xlfn.IFS(OR(Tabela1[[#This Row],[Data]]=$M$8,Tabela1[[#This Row],[Data]]=$M$9,Tabela1[[#This Row],[Data]]=$M$10),"Não",K16=1,"Não",K16&gt;1,"Sim")</f>
        <v>Não</v>
      </c>
      <c r="D16" s="18" cm="1">
        <f t="array" ref="D16">_xlfn.IFS(Tabela1[[#This Row],[Dia Útil]]="Não",0,K16=1,0,K16=7,0.5,K16&gt;1,1)</f>
        <v>0</v>
      </c>
      <c r="E16" s="19">
        <f>$E$4*Tabela1[[#This Row],[Período]]</f>
        <v>0</v>
      </c>
      <c r="F16" s="19">
        <f>$F$4*Tabela1[[#This Row],[Período]]</f>
        <v>0</v>
      </c>
      <c r="G16" s="18">
        <f>$G$4*Tabela1[[#This Row],[Período]]</f>
        <v>0</v>
      </c>
      <c r="H16" s="18">
        <f>$H$4*Tabela1[[#This Row],[Período]]</f>
        <v>0</v>
      </c>
      <c r="I16" s="20">
        <f>$I$4*Tabela1[[#This Row],[Período]]</f>
        <v>0</v>
      </c>
      <c r="J16" s="21">
        <f>$J$4*Tabela1[[#This Row],[Período]]</f>
        <v>0</v>
      </c>
      <c r="K16" s="7">
        <f>WEEKDAY(Tabela1[[#This Row],[Data]],1)</f>
        <v>3</v>
      </c>
    </row>
    <row r="17" spans="1:11" x14ac:dyDescent="0.3">
      <c r="A17" s="93" t="str">
        <f>_xlfn.XLOOKUP(Tabela1[[#This Row],[Data]],GERAL!B:B,GERAL!A:A)</f>
        <v>Semana 3</v>
      </c>
      <c r="B17" s="1">
        <v>46071</v>
      </c>
      <c r="C17" t="str" cm="1">
        <f t="array" ref="C17">_xlfn.IFS(OR(Tabela1[[#This Row],[Data]]=$M$8,Tabela1[[#This Row],[Data]]=$M$9,Tabela1[[#This Row],[Data]]=$M$10),"Não",K17=1,"Não",K17&gt;1,"Sim")</f>
        <v>Sim</v>
      </c>
      <c r="D17" s="18" cm="1">
        <f t="array" ref="D17">_xlfn.IFS(Tabela1[[#This Row],[Dia Útil]]="Não",0,K17=1,0,K17=7,0.5,K17&gt;1,1)</f>
        <v>1</v>
      </c>
      <c r="E17" s="19">
        <f>$E$4*Tabela1[[#This Row],[Período]]</f>
        <v>14.931034482758621</v>
      </c>
      <c r="F17" s="19">
        <f>$F$4*Tabela1[[#This Row],[Período]]</f>
        <v>21.068965517241381</v>
      </c>
      <c r="G17" s="18">
        <f>$G$4*Tabela1[[#This Row],[Período]]</f>
        <v>93.689655172413794</v>
      </c>
      <c r="H17" s="18">
        <f>$H$4*Tabela1[[#This Row],[Período]]</f>
        <v>138.62068965517241</v>
      </c>
      <c r="I17" s="20">
        <f>$I$4*Tabela1[[#This Row],[Período]]</f>
        <v>36</v>
      </c>
      <c r="J17" s="21">
        <f>$J$4*Tabela1[[#This Row],[Período]]</f>
        <v>232.31034482758622</v>
      </c>
      <c r="K17" s="7">
        <f>WEEKDAY(Tabela1[[#This Row],[Data]],1)</f>
        <v>4</v>
      </c>
    </row>
    <row r="18" spans="1:11" x14ac:dyDescent="0.3">
      <c r="A18" s="93" t="str">
        <f>_xlfn.XLOOKUP(Tabela1[[#This Row],[Data]],GERAL!B:B,GERAL!A:A)</f>
        <v>Semana 3</v>
      </c>
      <c r="B18" s="1">
        <v>46072</v>
      </c>
      <c r="C18" t="str" cm="1">
        <f t="array" ref="C18">_xlfn.IFS(OR(Tabela1[[#This Row],[Data]]=$M$8,Tabela1[[#This Row],[Data]]=$M$9,Tabela1[[#This Row],[Data]]=$M$10),"Não",K18=1,"Não",K18&gt;1,"Sim")</f>
        <v>Sim</v>
      </c>
      <c r="D18" s="18" cm="1">
        <f t="array" ref="D18">_xlfn.IFS(Tabela1[[#This Row],[Dia Útil]]="Não",0,K18=1,0,K18=7,0.5,K18&gt;1,1)</f>
        <v>1</v>
      </c>
      <c r="E18" s="19">
        <f>$E$4*Tabela1[[#This Row],[Período]]</f>
        <v>14.931034482758621</v>
      </c>
      <c r="F18" s="19">
        <f>$F$4*Tabela1[[#This Row],[Período]]</f>
        <v>21.068965517241381</v>
      </c>
      <c r="G18" s="18">
        <f>$G$4*Tabela1[[#This Row],[Período]]</f>
        <v>93.689655172413794</v>
      </c>
      <c r="H18" s="18">
        <f>$H$4*Tabela1[[#This Row],[Período]]</f>
        <v>138.62068965517241</v>
      </c>
      <c r="I18" s="20">
        <f>$I$4*Tabela1[[#This Row],[Período]]</f>
        <v>36</v>
      </c>
      <c r="J18" s="21">
        <f>$J$4*Tabela1[[#This Row],[Período]]</f>
        <v>232.31034482758622</v>
      </c>
      <c r="K18" s="7">
        <f>WEEKDAY(Tabela1[[#This Row],[Data]],1)</f>
        <v>5</v>
      </c>
    </row>
    <row r="19" spans="1:11" x14ac:dyDescent="0.3">
      <c r="A19" s="93" t="str">
        <f>_xlfn.XLOOKUP(Tabela1[[#This Row],[Data]],GERAL!B:B,GERAL!A:A)</f>
        <v>Semana 3</v>
      </c>
      <c r="B19" s="1">
        <v>46073</v>
      </c>
      <c r="C19" t="str" cm="1">
        <f t="array" ref="C19">_xlfn.IFS(OR(Tabela1[[#This Row],[Data]]=$M$8,Tabela1[[#This Row],[Data]]=$M$9,Tabela1[[#This Row],[Data]]=$M$10),"Não",K19=1,"Não",K19&gt;1,"Sim")</f>
        <v>Sim</v>
      </c>
      <c r="D19" s="18" cm="1">
        <f t="array" ref="D19">_xlfn.IFS(Tabela1[[#This Row],[Dia Útil]]="Não",0,K19=1,0,K19=7,0.5,K19&gt;1,1)</f>
        <v>1</v>
      </c>
      <c r="E19" s="19">
        <f>$E$4*Tabela1[[#This Row],[Período]]</f>
        <v>14.931034482758621</v>
      </c>
      <c r="F19" s="19">
        <f>$F$4*Tabela1[[#This Row],[Período]]</f>
        <v>21.068965517241381</v>
      </c>
      <c r="G19" s="18">
        <f>$G$4*Tabela1[[#This Row],[Período]]</f>
        <v>93.689655172413794</v>
      </c>
      <c r="H19" s="18">
        <f>$H$4*Tabela1[[#This Row],[Período]]</f>
        <v>138.62068965517241</v>
      </c>
      <c r="I19" s="20">
        <f>$I$4*Tabela1[[#This Row],[Período]]</f>
        <v>36</v>
      </c>
      <c r="J19" s="21">
        <f>$J$4*Tabela1[[#This Row],[Período]]</f>
        <v>232.31034482758622</v>
      </c>
      <c r="K19" s="7">
        <f>WEEKDAY(Tabela1[[#This Row],[Data]],1)</f>
        <v>6</v>
      </c>
    </row>
    <row r="20" spans="1:11" x14ac:dyDescent="0.3">
      <c r="A20" s="93" t="str">
        <f>_xlfn.XLOOKUP(Tabela1[[#This Row],[Data]],GERAL!B:B,GERAL!A:A)</f>
        <v>Semana 3</v>
      </c>
      <c r="B20" s="1">
        <v>46074</v>
      </c>
      <c r="C20" t="str" cm="1">
        <f t="array" ref="C20">_xlfn.IFS(OR(Tabela1[[#This Row],[Data]]=$M$8,Tabela1[[#This Row],[Data]]=$M$9,Tabela1[[#This Row],[Data]]=$M$10),"Não",K20=1,"Não",K20&gt;1,"Sim")</f>
        <v>Sim</v>
      </c>
      <c r="D20" s="18" cm="1">
        <f t="array" ref="D20">_xlfn.IFS(Tabela1[[#This Row],[Dia Útil]]="Não",0,K20=1,0,K20=7,0.5,K20&gt;1,1)</f>
        <v>0.5</v>
      </c>
      <c r="E20" s="19">
        <f>$E$4*Tabela1[[#This Row],[Período]]</f>
        <v>7.4655172413793105</v>
      </c>
      <c r="F20" s="19">
        <f>$F$4*Tabela1[[#This Row],[Período]]</f>
        <v>10.53448275862069</v>
      </c>
      <c r="G20" s="18">
        <f>$G$4*Tabela1[[#This Row],[Período]]</f>
        <v>46.844827586206897</v>
      </c>
      <c r="H20" s="18">
        <f>$H$4*Tabela1[[#This Row],[Período]]</f>
        <v>69.310344827586206</v>
      </c>
      <c r="I20" s="20">
        <f>$I$4*Tabela1[[#This Row],[Período]]</f>
        <v>18</v>
      </c>
      <c r="J20" s="21">
        <f>$J$4*Tabela1[[#This Row],[Período]]</f>
        <v>116.15517241379311</v>
      </c>
      <c r="K20" s="7">
        <f>WEEKDAY(Tabela1[[#This Row],[Data]],1)</f>
        <v>7</v>
      </c>
    </row>
    <row r="21" spans="1:11" x14ac:dyDescent="0.3">
      <c r="A21" s="93" t="str">
        <f>_xlfn.XLOOKUP(Tabela1[[#This Row],[Data]],GERAL!B:B,GERAL!A:A)</f>
        <v>Semana 4</v>
      </c>
      <c r="B21" s="1">
        <v>46075</v>
      </c>
      <c r="C21" t="str" cm="1">
        <f t="array" ref="C21">_xlfn.IFS(OR(Tabela1[[#This Row],[Data]]=$M$8,Tabela1[[#This Row],[Data]]=$M$9,Tabela1[[#This Row],[Data]]=$M$10),"Não",K21=1,"Não",K21&gt;1,"Sim")</f>
        <v>Não</v>
      </c>
      <c r="D21" s="18" cm="1">
        <f t="array" ref="D21">_xlfn.IFS(Tabela1[[#This Row],[Dia Útil]]="Não",0,K21=1,0,K21=7,0.5,K21&gt;1,1)</f>
        <v>0</v>
      </c>
      <c r="E21" s="19">
        <f>$E$4*Tabela1[[#This Row],[Período]]</f>
        <v>0</v>
      </c>
      <c r="F21" s="19">
        <f>$F$4*Tabela1[[#This Row],[Período]]</f>
        <v>0</v>
      </c>
      <c r="G21" s="18">
        <f>$G$4*Tabela1[[#This Row],[Período]]</f>
        <v>0</v>
      </c>
      <c r="H21" s="18">
        <f>$H$4*Tabela1[[#This Row],[Período]]</f>
        <v>0</v>
      </c>
      <c r="I21" s="20">
        <f>$I$4*Tabela1[[#This Row],[Período]]</f>
        <v>0</v>
      </c>
      <c r="J21" s="21">
        <f>$J$4*Tabela1[[#This Row],[Período]]</f>
        <v>0</v>
      </c>
      <c r="K21" s="7">
        <f>WEEKDAY(Tabela1[[#This Row],[Data]],1)</f>
        <v>1</v>
      </c>
    </row>
    <row r="22" spans="1:11" x14ac:dyDescent="0.3">
      <c r="A22" s="93" t="str">
        <f>_xlfn.XLOOKUP(Tabela1[[#This Row],[Data]],GERAL!B:B,GERAL!A:A)</f>
        <v>Semana 4</v>
      </c>
      <c r="B22" s="1">
        <v>46076</v>
      </c>
      <c r="C22" t="str" cm="1">
        <f t="array" ref="C22">_xlfn.IFS(OR(Tabela1[[#This Row],[Data]]=$M$8,Tabela1[[#This Row],[Data]]=$M$9,Tabela1[[#This Row],[Data]]=$M$10),"Não",K22=1,"Não",K22&gt;1,"Sim")</f>
        <v>Sim</v>
      </c>
      <c r="D22" s="18" cm="1">
        <f t="array" ref="D22">_xlfn.IFS(Tabela1[[#This Row],[Dia Útil]]="Não",0,K22=1,0,K22=7,0.5,K22&gt;1,1)</f>
        <v>1</v>
      </c>
      <c r="E22" s="19">
        <f>$E$4*Tabela1[[#This Row],[Período]]</f>
        <v>14.931034482758621</v>
      </c>
      <c r="F22" s="19">
        <f>$F$4*Tabela1[[#This Row],[Período]]</f>
        <v>21.068965517241381</v>
      </c>
      <c r="G22" s="18">
        <f>$G$4*Tabela1[[#This Row],[Período]]</f>
        <v>93.689655172413794</v>
      </c>
      <c r="H22" s="18">
        <f>$H$4*Tabela1[[#This Row],[Período]]</f>
        <v>138.62068965517241</v>
      </c>
      <c r="I22" s="20">
        <f>$I$4*Tabela1[[#This Row],[Período]]</f>
        <v>36</v>
      </c>
      <c r="J22" s="21">
        <f>$J$4*Tabela1[[#This Row],[Período]]</f>
        <v>232.31034482758622</v>
      </c>
      <c r="K22" s="7">
        <f>WEEKDAY(Tabela1[[#This Row],[Data]],1)</f>
        <v>2</v>
      </c>
    </row>
    <row r="23" spans="1:11" x14ac:dyDescent="0.3">
      <c r="A23" s="93" t="str">
        <f>_xlfn.XLOOKUP(Tabela1[[#This Row],[Data]],GERAL!B:B,GERAL!A:A)</f>
        <v>Semana 4</v>
      </c>
      <c r="B23" s="1">
        <v>46077</v>
      </c>
      <c r="C23" t="str" cm="1">
        <f t="array" ref="C23">_xlfn.IFS(OR(Tabela1[[#This Row],[Data]]=$M$8,Tabela1[[#This Row],[Data]]=$M$9,Tabela1[[#This Row],[Data]]=$M$10),"Não",K23=1,"Não",K23&gt;1,"Sim")</f>
        <v>Sim</v>
      </c>
      <c r="D23" s="18" cm="1">
        <f t="array" ref="D23">_xlfn.IFS(Tabela1[[#This Row],[Dia Útil]]="Não",0,K23=1,0,K23=7,0.5,K23&gt;1,1)</f>
        <v>1</v>
      </c>
      <c r="E23" s="19">
        <f>$E$4*Tabela1[[#This Row],[Período]]</f>
        <v>14.931034482758621</v>
      </c>
      <c r="F23" s="19">
        <f>$F$4*Tabela1[[#This Row],[Período]]</f>
        <v>21.068965517241381</v>
      </c>
      <c r="G23" s="18">
        <f>$G$4*Tabela1[[#This Row],[Período]]</f>
        <v>93.689655172413794</v>
      </c>
      <c r="H23" s="18">
        <f>$H$4*Tabela1[[#This Row],[Período]]</f>
        <v>138.62068965517241</v>
      </c>
      <c r="I23" s="20">
        <f>$I$4*Tabela1[[#This Row],[Período]]</f>
        <v>36</v>
      </c>
      <c r="J23" s="21">
        <f>$J$4*Tabela1[[#This Row],[Período]]</f>
        <v>232.31034482758622</v>
      </c>
      <c r="K23" s="7">
        <f>WEEKDAY(Tabela1[[#This Row],[Data]],1)</f>
        <v>3</v>
      </c>
    </row>
    <row r="24" spans="1:11" x14ac:dyDescent="0.3">
      <c r="A24" s="93" t="str">
        <f>_xlfn.XLOOKUP(Tabela1[[#This Row],[Data]],GERAL!B:B,GERAL!A:A)</f>
        <v>Semana 4</v>
      </c>
      <c r="B24" s="1">
        <v>46078</v>
      </c>
      <c r="C24" t="str" cm="1">
        <f t="array" ref="C24">_xlfn.IFS(OR(Tabela1[[#This Row],[Data]]=$M$8,Tabela1[[#This Row],[Data]]=$M$9,Tabela1[[#This Row],[Data]]=$M$10),"Não",K24=1,"Não",K24&gt;1,"Sim")</f>
        <v>Sim</v>
      </c>
      <c r="D24" s="18" cm="1">
        <f t="array" ref="D24">_xlfn.IFS(Tabela1[[#This Row],[Dia Útil]]="Não",0,K24=1,0,K24=7,0.5,K24&gt;1,1)</f>
        <v>1</v>
      </c>
      <c r="E24" s="19">
        <f>$E$4*Tabela1[[#This Row],[Período]]</f>
        <v>14.931034482758621</v>
      </c>
      <c r="F24" s="19">
        <f>$F$4*Tabela1[[#This Row],[Período]]</f>
        <v>21.068965517241381</v>
      </c>
      <c r="G24" s="18">
        <f>$G$4*Tabela1[[#This Row],[Período]]</f>
        <v>93.689655172413794</v>
      </c>
      <c r="H24" s="18">
        <f>$H$4*Tabela1[[#This Row],[Período]]</f>
        <v>138.62068965517241</v>
      </c>
      <c r="I24" s="20">
        <f>$I$4*Tabela1[[#This Row],[Período]]</f>
        <v>36</v>
      </c>
      <c r="J24" s="21">
        <f>$J$4*Tabela1[[#This Row],[Período]]</f>
        <v>232.31034482758622</v>
      </c>
      <c r="K24" s="7">
        <f>WEEKDAY(Tabela1[[#This Row],[Data]],1)</f>
        <v>4</v>
      </c>
    </row>
    <row r="25" spans="1:11" x14ac:dyDescent="0.3">
      <c r="A25" s="93" t="str">
        <f>_xlfn.XLOOKUP(Tabela1[[#This Row],[Data]],GERAL!B:B,GERAL!A:A)</f>
        <v>Semana 4</v>
      </c>
      <c r="B25" s="1">
        <v>46079</v>
      </c>
      <c r="C25" t="str" cm="1">
        <f t="array" ref="C25">_xlfn.IFS(OR(Tabela1[[#This Row],[Data]]=$M$8,Tabela1[[#This Row],[Data]]=$M$9,Tabela1[[#This Row],[Data]]=$M$10),"Não",K25=1,"Não",K25&gt;1,"Sim")</f>
        <v>Sim</v>
      </c>
      <c r="D25" s="18" cm="1">
        <f t="array" ref="D25">_xlfn.IFS(Tabela1[[#This Row],[Dia Útil]]="Não",0,K25=1,0,K25=7,0.5,K25&gt;1,1)</f>
        <v>1</v>
      </c>
      <c r="E25" s="19">
        <f>$E$4*Tabela1[[#This Row],[Período]]</f>
        <v>14.931034482758621</v>
      </c>
      <c r="F25" s="19">
        <f>$F$4*Tabela1[[#This Row],[Período]]</f>
        <v>21.068965517241381</v>
      </c>
      <c r="G25" s="18">
        <f>$G$4*Tabela1[[#This Row],[Período]]</f>
        <v>93.689655172413794</v>
      </c>
      <c r="H25" s="18">
        <f>$H$4*Tabela1[[#This Row],[Período]]</f>
        <v>138.62068965517241</v>
      </c>
      <c r="I25" s="20">
        <f>$I$4*Tabela1[[#This Row],[Período]]</f>
        <v>36</v>
      </c>
      <c r="J25" s="21">
        <f>$J$4*Tabela1[[#This Row],[Período]]</f>
        <v>232.31034482758622</v>
      </c>
      <c r="K25" s="7">
        <f>WEEKDAY(Tabela1[[#This Row],[Data]],1)</f>
        <v>5</v>
      </c>
    </row>
    <row r="26" spans="1:11" x14ac:dyDescent="0.3">
      <c r="A26" s="93" t="str">
        <f>_xlfn.XLOOKUP(Tabela1[[#This Row],[Data]],GERAL!B:B,GERAL!A:A)</f>
        <v>Semana 4</v>
      </c>
      <c r="B26" s="1">
        <v>46080</v>
      </c>
      <c r="C26" t="str" cm="1">
        <f t="array" ref="C26">_xlfn.IFS(OR(Tabela1[[#This Row],[Data]]=$M$8,Tabela1[[#This Row],[Data]]=$M$9,Tabela1[[#This Row],[Data]]=$M$10),"Não",K26=1,"Não",K26&gt;1,"Sim")</f>
        <v>Sim</v>
      </c>
      <c r="D26" s="18" cm="1">
        <f t="array" ref="D26">_xlfn.IFS(Tabela1[[#This Row],[Dia Útil]]="Não",0,K26=1,0,K26=7,0.5,K26&gt;1,1)</f>
        <v>1</v>
      </c>
      <c r="E26" s="19">
        <f>$E$4*Tabela1[[#This Row],[Período]]</f>
        <v>14.931034482758621</v>
      </c>
      <c r="F26" s="19">
        <f>$F$4*Tabela1[[#This Row],[Período]]</f>
        <v>21.068965517241381</v>
      </c>
      <c r="G26" s="18">
        <f>$G$4*Tabela1[[#This Row],[Período]]</f>
        <v>93.689655172413794</v>
      </c>
      <c r="H26" s="18">
        <f>$H$4*Tabela1[[#This Row],[Período]]</f>
        <v>138.62068965517241</v>
      </c>
      <c r="I26" s="20">
        <f>$I$4*Tabela1[[#This Row],[Período]]</f>
        <v>36</v>
      </c>
      <c r="J26" s="21">
        <f>$J$4*Tabela1[[#This Row],[Período]]</f>
        <v>232.31034482758622</v>
      </c>
      <c r="K26" s="7">
        <f>WEEKDAY(Tabela1[[#This Row],[Data]],1)</f>
        <v>6</v>
      </c>
    </row>
    <row r="27" spans="1:11" x14ac:dyDescent="0.3">
      <c r="A27" s="93" t="str">
        <f>_xlfn.XLOOKUP(Tabela1[[#This Row],[Data]],GERAL!B:B,GERAL!A:A)</f>
        <v>Semana 4</v>
      </c>
      <c r="B27" s="1">
        <v>46081</v>
      </c>
      <c r="C27" t="str" cm="1">
        <f t="array" ref="C27">_xlfn.IFS(OR(Tabela1[[#This Row],[Data]]=$M$8,Tabela1[[#This Row],[Data]]=$M$9,Tabela1[[#This Row],[Data]]=$M$10),"Não",K27=1,"Não",K27&gt;1,"Sim")</f>
        <v>Sim</v>
      </c>
      <c r="D27" s="18" cm="1">
        <f t="array" ref="D27">_xlfn.IFS(Tabela1[[#This Row],[Dia Útil]]="Não",0,K27=1,0,K27=7,0.5,K27&gt;1,1)</f>
        <v>0.5</v>
      </c>
      <c r="E27" s="19">
        <f>$E$4*Tabela1[[#This Row],[Período]]</f>
        <v>7.4655172413793105</v>
      </c>
      <c r="F27" s="19">
        <f>$F$4*Tabela1[[#This Row],[Período]]</f>
        <v>10.53448275862069</v>
      </c>
      <c r="G27" s="18">
        <f>$G$4*Tabela1[[#This Row],[Período]]</f>
        <v>46.844827586206897</v>
      </c>
      <c r="H27" s="18">
        <f>$H$4*Tabela1[[#This Row],[Período]]</f>
        <v>69.310344827586206</v>
      </c>
      <c r="I27" s="20">
        <f>$I$4*Tabela1[[#This Row],[Período]]</f>
        <v>18</v>
      </c>
      <c r="J27" s="21">
        <f>$J$4*Tabela1[[#This Row],[Período]]</f>
        <v>116.15517241379311</v>
      </c>
      <c r="K27" s="7">
        <f>WEEKDAY(Tabela1[[#This Row],[Data]],1)</f>
        <v>7</v>
      </c>
    </row>
    <row r="28" spans="1:11" x14ac:dyDescent="0.3">
      <c r="A28" s="93" t="str">
        <f>_xlfn.XLOOKUP(Tabela1[[#This Row],[Data]],GERAL!B:B,GERAL!A:A)</f>
        <v>Semana 5</v>
      </c>
      <c r="B28" s="1">
        <v>46082</v>
      </c>
      <c r="C28" t="str" cm="1">
        <f t="array" ref="C28">_xlfn.IFS(OR(Tabela1[[#This Row],[Data]]=$M$8,Tabela1[[#This Row],[Data]]=$M$9,Tabela1[[#This Row],[Data]]=$M$10),"Não",K28=1,"Não",K28&gt;1,"Sim")</f>
        <v>Não</v>
      </c>
      <c r="D28" s="18" cm="1">
        <f t="array" ref="D28">_xlfn.IFS(Tabela1[[#This Row],[Dia Útil]]="Não",0,K28=1,0,K28=7,0.5,K28&gt;1,1)</f>
        <v>0</v>
      </c>
      <c r="E28" s="19">
        <f>$E$4*Tabela1[[#This Row],[Período]]</f>
        <v>0</v>
      </c>
      <c r="F28" s="19">
        <f>$F$4*Tabela1[[#This Row],[Período]]</f>
        <v>0</v>
      </c>
      <c r="G28" s="18">
        <f>$G$4*Tabela1[[#This Row],[Período]]</f>
        <v>0</v>
      </c>
      <c r="H28" s="18">
        <f>$H$4*Tabela1[[#This Row],[Período]]</f>
        <v>0</v>
      </c>
      <c r="I28" s="20">
        <f>$I$4*Tabela1[[#This Row],[Período]]</f>
        <v>0</v>
      </c>
      <c r="J28" s="21">
        <f>$J$4*Tabela1[[#This Row],[Período]]</f>
        <v>0</v>
      </c>
      <c r="K28" s="7">
        <f>WEEKDAY(Tabela1[[#This Row],[Data]],1)</f>
        <v>1</v>
      </c>
    </row>
    <row r="29" spans="1:11" x14ac:dyDescent="0.3">
      <c r="A29" s="93" t="str">
        <f>_xlfn.XLOOKUP(Tabela1[[#This Row],[Data]],GERAL!B:B,GERAL!A:A)</f>
        <v>Semana 5</v>
      </c>
      <c r="B29" s="1">
        <v>46083</v>
      </c>
      <c r="C29" t="str" cm="1">
        <f t="array" ref="C29">_xlfn.IFS(OR(Tabela1[[#This Row],[Data]]=$M$8,Tabela1[[#This Row],[Data]]=$M$9,Tabela1[[#This Row],[Data]]=$M$10),"Não",K29=1,"Não",K29&gt;1,"Sim")</f>
        <v>Sim</v>
      </c>
      <c r="D29" s="18" cm="1">
        <f t="array" ref="D29">_xlfn.IFS(Tabela1[[#This Row],[Dia Útil]]="Não",0,K29=1,0,K29=7,0.5,K29&gt;1,1)</f>
        <v>1</v>
      </c>
      <c r="E29" s="19">
        <f>$E$4*Tabela1[[#This Row],[Período]]</f>
        <v>14.931034482758621</v>
      </c>
      <c r="F29" s="19">
        <f>$F$4*Tabela1[[#This Row],[Período]]</f>
        <v>21.068965517241381</v>
      </c>
      <c r="G29" s="18">
        <f>$G$4*Tabela1[[#This Row],[Período]]</f>
        <v>93.689655172413794</v>
      </c>
      <c r="H29" s="18">
        <f>$H$4*Tabela1[[#This Row],[Período]]</f>
        <v>138.62068965517241</v>
      </c>
      <c r="I29" s="20">
        <f>$I$4*Tabela1[[#This Row],[Período]]</f>
        <v>36</v>
      </c>
      <c r="J29" s="21">
        <f>$J$4*Tabela1[[#This Row],[Período]]</f>
        <v>232.31034482758622</v>
      </c>
      <c r="K29" s="7">
        <f>WEEKDAY(Tabela1[[#This Row],[Data]],1)</f>
        <v>2</v>
      </c>
    </row>
    <row r="30" spans="1:11" x14ac:dyDescent="0.3">
      <c r="A30" s="93" t="str">
        <f>_xlfn.XLOOKUP(Tabela1[[#This Row],[Data]],GERAL!B:B,GERAL!A:A)</f>
        <v>Semana 6</v>
      </c>
      <c r="B30" s="1">
        <v>46084</v>
      </c>
      <c r="C30" t="str" cm="1">
        <f t="array" ref="C30">_xlfn.IFS(OR(Tabela1[[#This Row],[Data]]=$M$8,Tabela1[[#This Row],[Data]]=$M$9,Tabela1[[#This Row],[Data]]=$M$10),"Não",K30=1,"Não",K30&gt;1,"Sim")</f>
        <v>Sim</v>
      </c>
      <c r="D30" s="18" cm="1">
        <f t="array" ref="D30">_xlfn.IFS(Tabela1[[#This Row],[Dia Útil]]="Não",0,K30=1,0,K30=7,0.5,K30&gt;1,1)</f>
        <v>1</v>
      </c>
      <c r="E30" s="19">
        <f>$E$4*Tabela1[[#This Row],[Período]]</f>
        <v>14.931034482758621</v>
      </c>
      <c r="F30" s="19">
        <f>$F$4*Tabela1[[#This Row],[Período]]</f>
        <v>21.068965517241381</v>
      </c>
      <c r="G30" s="18">
        <f>$G$4*Tabela1[[#This Row],[Período]]</f>
        <v>93.689655172413794</v>
      </c>
      <c r="H30" s="18">
        <f>$H$4*Tabela1[[#This Row],[Período]]</f>
        <v>138.62068965517241</v>
      </c>
      <c r="I30" s="20">
        <f>$I$4*Tabela1[[#This Row],[Período]]</f>
        <v>36</v>
      </c>
      <c r="J30" s="21">
        <f>$J$4*Tabela1[[#This Row],[Período]]</f>
        <v>232.31034482758622</v>
      </c>
      <c r="K30" s="7">
        <f>WEEKDAY(Tabela1[[#This Row],[Data]],1)</f>
        <v>3</v>
      </c>
    </row>
    <row r="31" spans="1:11" x14ac:dyDescent="0.3">
      <c r="A31" s="93" t="str">
        <f>_xlfn.XLOOKUP(Tabela1[[#This Row],[Data]],GERAL!B:B,GERAL!A:A)</f>
        <v>Semana 6</v>
      </c>
      <c r="B31" s="1">
        <v>46085</v>
      </c>
      <c r="C31" t="str" cm="1">
        <f t="array" ref="C31">_xlfn.IFS(OR(Tabela1[[#This Row],[Data]]=$M$8,Tabela1[[#This Row],[Data]]=$M$9,Tabela1[[#This Row],[Data]]=$M$10),"Não",K31=1,"Não",K31&gt;1,"Sim")</f>
        <v>Sim</v>
      </c>
      <c r="D31" s="18" cm="1">
        <f t="array" ref="D31">_xlfn.IFS(Tabela1[[#This Row],[Dia Útil]]="Não",0,K31=1,0,K31=7,0.5,K31&gt;1,1)</f>
        <v>1</v>
      </c>
      <c r="E31" s="19">
        <f>$E$4*Tabela1[[#This Row],[Período]]</f>
        <v>14.931034482758621</v>
      </c>
      <c r="F31" s="19">
        <f>$F$4*Tabela1[[#This Row],[Período]]</f>
        <v>21.068965517241381</v>
      </c>
      <c r="G31" s="18">
        <f>$G$4*Tabela1[[#This Row],[Período]]</f>
        <v>93.689655172413794</v>
      </c>
      <c r="H31" s="18">
        <f>$H$4*Tabela1[[#This Row],[Período]]</f>
        <v>138.62068965517241</v>
      </c>
      <c r="I31" s="20">
        <f>$I$4*Tabela1[[#This Row],[Período]]</f>
        <v>36</v>
      </c>
      <c r="J31" s="21">
        <f>$J$4*Tabela1[[#This Row],[Período]]</f>
        <v>232.31034482758622</v>
      </c>
      <c r="K31" s="7">
        <f>WEEKDAY(Tabela1[[#This Row],[Data]],1)</f>
        <v>4</v>
      </c>
    </row>
    <row r="32" spans="1:11" x14ac:dyDescent="0.3">
      <c r="A32" s="93" t="str">
        <f>_xlfn.XLOOKUP(Tabela1[[#This Row],[Data]],GERAL!B:B,GERAL!A:A)</f>
        <v>Semana 6</v>
      </c>
      <c r="B32" s="1">
        <v>46086</v>
      </c>
      <c r="C32" t="str" cm="1">
        <f t="array" ref="C32">_xlfn.IFS(OR(Tabela1[[#This Row],[Data]]=$M$8,Tabela1[[#This Row],[Data]]=$M$9,Tabela1[[#This Row],[Data]]=$M$10),"Não",K32=1,"Não",K32&gt;1,"Sim")</f>
        <v>Sim</v>
      </c>
      <c r="D32" s="18" cm="1">
        <f t="array" ref="D32">_xlfn.IFS(Tabela1[[#This Row],[Dia Útil]]="Não",0,K32=1,0,K32=7,0.5,K32&gt;1,1)</f>
        <v>1</v>
      </c>
      <c r="E32" s="19">
        <f>$E$4*Tabela1[[#This Row],[Período]]</f>
        <v>14.931034482758621</v>
      </c>
      <c r="F32" s="19">
        <f>$F$4*Tabela1[[#This Row],[Período]]</f>
        <v>21.068965517241381</v>
      </c>
      <c r="G32" s="18">
        <f>$G$4*Tabela1[[#This Row],[Período]]</f>
        <v>93.689655172413794</v>
      </c>
      <c r="H32" s="18">
        <f>$H$4*Tabela1[[#This Row],[Período]]</f>
        <v>138.62068965517241</v>
      </c>
      <c r="I32" s="20">
        <f>$I$4*Tabela1[[#This Row],[Período]]</f>
        <v>36</v>
      </c>
      <c r="J32" s="21">
        <f>$J$4*Tabela1[[#This Row],[Período]]</f>
        <v>232.31034482758622</v>
      </c>
      <c r="K32" s="7">
        <f>WEEKDAY(Tabela1[[#This Row],[Data]],1)</f>
        <v>5</v>
      </c>
    </row>
    <row r="33" spans="1:11" x14ac:dyDescent="0.3">
      <c r="A33" s="93" t="str">
        <f>_xlfn.XLOOKUP(Tabela1[[#This Row],[Data]],GERAL!B:B,GERAL!A:A)</f>
        <v>Semana 6</v>
      </c>
      <c r="B33" s="1">
        <v>46087</v>
      </c>
      <c r="C33" t="str" cm="1">
        <f t="array" ref="C33">_xlfn.IFS(OR(Tabela1[[#This Row],[Data]]=$M$8,Tabela1[[#This Row],[Data]]=$M$9,Tabela1[[#This Row],[Data]]=$M$10),"Não",K33=1,"Não",K33&gt;1,"Sim")</f>
        <v>Sim</v>
      </c>
      <c r="D33" s="18" cm="1">
        <f t="array" ref="D33">_xlfn.IFS(Tabela1[[#This Row],[Dia Útil]]="Não",0,K33=1,0,K33=7,0.5,K33&gt;1,1)</f>
        <v>1</v>
      </c>
      <c r="E33" s="19">
        <f>$E$4*Tabela1[[#This Row],[Período]]</f>
        <v>14.931034482758621</v>
      </c>
      <c r="F33" s="19">
        <f>$F$4*Tabela1[[#This Row],[Período]]</f>
        <v>21.068965517241381</v>
      </c>
      <c r="G33" s="18">
        <f>$G$4*Tabela1[[#This Row],[Período]]</f>
        <v>93.689655172413794</v>
      </c>
      <c r="H33" s="18">
        <f>$H$4*Tabela1[[#This Row],[Período]]</f>
        <v>138.62068965517241</v>
      </c>
      <c r="I33" s="20">
        <f>$I$4*Tabela1[[#This Row],[Período]]</f>
        <v>36</v>
      </c>
      <c r="J33" s="21">
        <f>$J$4*Tabela1[[#This Row],[Período]]</f>
        <v>232.31034482758622</v>
      </c>
      <c r="K33" s="7">
        <f>WEEKDAY(Tabela1[[#This Row],[Data]],1)</f>
        <v>6</v>
      </c>
    </row>
    <row r="34" spans="1:11" x14ac:dyDescent="0.3">
      <c r="A34" s="93" t="str">
        <f>_xlfn.XLOOKUP(Tabela1[[#This Row],[Data]],GERAL!B:B,GERAL!A:A)</f>
        <v>Semana 6</v>
      </c>
      <c r="B34" s="1">
        <v>46088</v>
      </c>
      <c r="C34" t="str" cm="1">
        <f t="array" ref="C34">_xlfn.IFS(OR(Tabela1[[#This Row],[Data]]=$M$8,Tabela1[[#This Row],[Data]]=$M$9,Tabela1[[#This Row],[Data]]=$M$10),"Não",K34=1,"Não",K34&gt;1,"Sim")</f>
        <v>Sim</v>
      </c>
      <c r="D34" s="18" cm="1">
        <f t="array" ref="D34">_xlfn.IFS(Tabela1[[#This Row],[Dia Útil]]="Não",0,K34=1,0,K34=7,0.5,K34&gt;1,1)</f>
        <v>0.5</v>
      </c>
      <c r="E34" s="19">
        <f>$E$4*Tabela1[[#This Row],[Período]]</f>
        <v>7.4655172413793105</v>
      </c>
      <c r="F34" s="19">
        <f>$F$4*Tabela1[[#This Row],[Período]]</f>
        <v>10.53448275862069</v>
      </c>
      <c r="G34" s="18">
        <f>$G$4*Tabela1[[#This Row],[Período]]</f>
        <v>46.844827586206897</v>
      </c>
      <c r="H34" s="18">
        <f>$H$4*Tabela1[[#This Row],[Período]]</f>
        <v>69.310344827586206</v>
      </c>
      <c r="I34" s="20">
        <f>$I$4*Tabela1[[#This Row],[Período]]</f>
        <v>18</v>
      </c>
      <c r="J34" s="21">
        <f>$J$4*Tabela1[[#This Row],[Período]]</f>
        <v>116.15517241379311</v>
      </c>
      <c r="K34" s="7">
        <f>WEEKDAY(Tabela1[[#This Row],[Data]],1)</f>
        <v>7</v>
      </c>
    </row>
    <row r="35" spans="1:11" x14ac:dyDescent="0.3">
      <c r="A35" s="93" t="str">
        <f>_xlfn.XLOOKUP(Tabela1[[#This Row],[Data]],GERAL!B:B,GERAL!A:A)</f>
        <v>Semana 6</v>
      </c>
      <c r="B35" s="1">
        <v>46089</v>
      </c>
      <c r="C35" t="str" cm="1">
        <f t="array" ref="C35">_xlfn.IFS(OR(Tabela1[[#This Row],[Data]]=$M$8,Tabela1[[#This Row],[Data]]=$M$9,Tabela1[[#This Row],[Data]]=$M$10),"Não",K35=1,"Não",K35&gt;1,"Sim")</f>
        <v>Não</v>
      </c>
      <c r="D35" s="18" cm="1">
        <f t="array" ref="D35">_xlfn.IFS(Tabela1[[#This Row],[Dia Útil]]="Não",0,K35=1,0,K35=7,0.5,K35&gt;1,1)</f>
        <v>0</v>
      </c>
      <c r="E35" s="19">
        <f>$E$4*Tabela1[[#This Row],[Período]]</f>
        <v>0</v>
      </c>
      <c r="F35" s="19">
        <f>$F$4*Tabela1[[#This Row],[Período]]</f>
        <v>0</v>
      </c>
      <c r="G35" s="18">
        <f>$G$4*Tabela1[[#This Row],[Período]]</f>
        <v>0</v>
      </c>
      <c r="H35" s="18">
        <f>$H$4*Tabela1[[#This Row],[Período]]</f>
        <v>0</v>
      </c>
      <c r="I35" s="20">
        <f>$I$4*Tabela1[[#This Row],[Período]]</f>
        <v>0</v>
      </c>
      <c r="J35" s="21">
        <f>$J$4*Tabela1[[#This Row],[Período]]</f>
        <v>0</v>
      </c>
      <c r="K35" s="7">
        <f>WEEKDAY(Tabela1[[#This Row],[Data]],1)</f>
        <v>1</v>
      </c>
    </row>
    <row r="36" spans="1:11" x14ac:dyDescent="0.3">
      <c r="A36" s="93" t="str">
        <f>_xlfn.XLOOKUP(Tabela1[[#This Row],[Data]],GERAL!B:B,GERAL!A:A)</f>
        <v>Semana 7</v>
      </c>
      <c r="B36" s="1">
        <v>46090</v>
      </c>
      <c r="C36" t="str" cm="1">
        <f t="array" ref="C36">_xlfn.IFS(OR(Tabela1[[#This Row],[Data]]=$M$8,Tabela1[[#This Row],[Data]]=$M$9,Tabela1[[#This Row],[Data]]=$M$10),"Não",K36=1,"Não",K36&gt;1,"Sim")</f>
        <v>Sim</v>
      </c>
      <c r="D36" s="18" cm="1">
        <f t="array" ref="D36">_xlfn.IFS(Tabela1[[#This Row],[Dia Útil]]="Não",0,K36=1,0,K36=7,0.5,K36&gt;1,1)</f>
        <v>1</v>
      </c>
      <c r="E36" s="19">
        <f>$E$4*Tabela1[[#This Row],[Período]]</f>
        <v>14.931034482758621</v>
      </c>
      <c r="F36" s="19">
        <f>$F$4*Tabela1[[#This Row],[Período]]</f>
        <v>21.068965517241381</v>
      </c>
      <c r="G36" s="18">
        <f>$G$4*Tabela1[[#This Row],[Período]]</f>
        <v>93.689655172413794</v>
      </c>
      <c r="H36" s="18">
        <f>$H$4*Tabela1[[#This Row],[Período]]</f>
        <v>138.62068965517241</v>
      </c>
      <c r="I36" s="20">
        <f>$I$4*Tabela1[[#This Row],[Período]]</f>
        <v>36</v>
      </c>
      <c r="J36" s="21">
        <f>$J$4*Tabela1[[#This Row],[Período]]</f>
        <v>232.31034482758622</v>
      </c>
      <c r="K36" s="7">
        <f>WEEKDAY(Tabela1[[#This Row],[Data]],1)</f>
        <v>2</v>
      </c>
    </row>
    <row r="37" spans="1:11" x14ac:dyDescent="0.3">
      <c r="A37" s="93" t="str">
        <f>_xlfn.XLOOKUP(Tabela1[[#This Row],[Data]],GERAL!B:B,GERAL!A:A)</f>
        <v>Semana 7</v>
      </c>
      <c r="B37" s="1">
        <v>46091</v>
      </c>
      <c r="C37" t="str" cm="1">
        <f t="array" ref="C37">_xlfn.IFS(OR(Tabela1[[#This Row],[Data]]=$M$8,Tabela1[[#This Row],[Data]]=$M$9,Tabela1[[#This Row],[Data]]=$M$10),"Não",K37=1,"Não",K37&gt;1,"Sim")</f>
        <v>Sim</v>
      </c>
      <c r="D37" s="18" cm="1">
        <f t="array" ref="D37">_xlfn.IFS(Tabela1[[#This Row],[Dia Útil]]="Não",0,K37=1,0,K37=7,0.5,K37&gt;1,1)</f>
        <v>1</v>
      </c>
      <c r="E37" s="19">
        <f>$E$4*Tabela1[[#This Row],[Período]]</f>
        <v>14.931034482758621</v>
      </c>
      <c r="F37" s="19">
        <f>$F$4*Tabela1[[#This Row],[Período]]</f>
        <v>21.068965517241381</v>
      </c>
      <c r="G37" s="18">
        <f>$G$4*Tabela1[[#This Row],[Período]]</f>
        <v>93.689655172413794</v>
      </c>
      <c r="H37" s="18">
        <f>$H$4*Tabela1[[#This Row],[Período]]</f>
        <v>138.62068965517241</v>
      </c>
      <c r="I37" s="20">
        <f>$I$4*Tabela1[[#This Row],[Período]]</f>
        <v>36</v>
      </c>
      <c r="J37" s="21">
        <f>$J$4*Tabela1[[#This Row],[Período]]</f>
        <v>232.31034482758622</v>
      </c>
      <c r="K37" s="7">
        <f>WEEKDAY(Tabela1[[#This Row],[Data]],1)</f>
        <v>3</v>
      </c>
    </row>
    <row r="38" spans="1:11" x14ac:dyDescent="0.3">
      <c r="A38" s="93" t="str">
        <f>_xlfn.XLOOKUP(Tabela1[[#This Row],[Data]],GERAL!B:B,GERAL!A:A)</f>
        <v>Semana 7</v>
      </c>
      <c r="B38" s="1">
        <v>46092</v>
      </c>
      <c r="C38" t="str" cm="1">
        <f t="array" ref="C38">_xlfn.IFS(OR(Tabela1[[#This Row],[Data]]=$M$8,Tabela1[[#This Row],[Data]]=$M$9,Tabela1[[#This Row],[Data]]=$M$10),"Não",K38=1,"Não",K38&gt;1,"Sim")</f>
        <v>Sim</v>
      </c>
      <c r="D38" s="18" cm="1">
        <f t="array" ref="D38">_xlfn.IFS(Tabela1[[#This Row],[Dia Útil]]="Não",0,K38=1,0,K38=7,0.5,K38&gt;1,1)</f>
        <v>1</v>
      </c>
      <c r="E38" s="19">
        <f>$E$4*Tabela1[[#This Row],[Período]]</f>
        <v>14.931034482758621</v>
      </c>
      <c r="F38" s="19">
        <f>$F$4*Tabela1[[#This Row],[Período]]</f>
        <v>21.068965517241381</v>
      </c>
      <c r="G38" s="18">
        <f>$G$4*Tabela1[[#This Row],[Período]]</f>
        <v>93.689655172413794</v>
      </c>
      <c r="H38" s="18">
        <f>$H$4*Tabela1[[#This Row],[Período]]</f>
        <v>138.62068965517241</v>
      </c>
      <c r="I38" s="20">
        <f>$I$4*Tabela1[[#This Row],[Período]]</f>
        <v>36</v>
      </c>
      <c r="J38" s="21">
        <f>$J$4*Tabela1[[#This Row],[Período]]</f>
        <v>232.31034482758622</v>
      </c>
      <c r="K38" s="7">
        <f>WEEKDAY(Tabela1[[#This Row],[Data]],1)</f>
        <v>4</v>
      </c>
    </row>
    <row r="39" spans="1:11" x14ac:dyDescent="0.3">
      <c r="A39" s="93" t="str">
        <f>_xlfn.XLOOKUP(Tabela1[[#This Row],[Data]],GERAL!B:B,GERAL!A:A)</f>
        <v>Semana 7</v>
      </c>
      <c r="B39" s="1">
        <v>46093</v>
      </c>
      <c r="C39" t="str" cm="1">
        <f t="array" ref="C39">_xlfn.IFS(OR(Tabela1[[#This Row],[Data]]=$M$8,Tabela1[[#This Row],[Data]]=$M$9,Tabela1[[#This Row],[Data]]=$M$10),"Não",K39=1,"Não",K39&gt;1,"Sim")</f>
        <v>Sim</v>
      </c>
      <c r="D39" s="18" cm="1">
        <f t="array" ref="D39">_xlfn.IFS(Tabela1[[#This Row],[Dia Útil]]="Não",0,K39=1,0,K39=7,0.5,K39&gt;1,1)</f>
        <v>1</v>
      </c>
      <c r="E39" s="19">
        <f>$E$4*Tabela1[[#This Row],[Período]]</f>
        <v>14.931034482758621</v>
      </c>
      <c r="F39" s="19">
        <f>$F$4*Tabela1[[#This Row],[Período]]</f>
        <v>21.068965517241381</v>
      </c>
      <c r="G39" s="18">
        <f>$G$4*Tabela1[[#This Row],[Período]]</f>
        <v>93.689655172413794</v>
      </c>
      <c r="H39" s="18">
        <f>$H$4*Tabela1[[#This Row],[Período]]</f>
        <v>138.62068965517241</v>
      </c>
      <c r="I39" s="20">
        <f>$I$4*Tabela1[[#This Row],[Período]]</f>
        <v>36</v>
      </c>
      <c r="J39" s="21">
        <f>$J$4*Tabela1[[#This Row],[Período]]</f>
        <v>232.31034482758622</v>
      </c>
      <c r="K39" s="7">
        <f>WEEKDAY(Tabela1[[#This Row],[Data]],1)</f>
        <v>5</v>
      </c>
    </row>
    <row r="40" spans="1:11" x14ac:dyDescent="0.3">
      <c r="A40" s="93" t="str">
        <f>_xlfn.XLOOKUP(Tabela1[[#This Row],[Data]],GERAL!B:B,GERAL!A:A)</f>
        <v>Semana 7</v>
      </c>
      <c r="B40" s="1">
        <v>46094</v>
      </c>
      <c r="C40" t="str" cm="1">
        <f t="array" ref="C40">_xlfn.IFS(OR(Tabela1[[#This Row],[Data]]=$M$8,Tabela1[[#This Row],[Data]]=$M$9,Tabela1[[#This Row],[Data]]=$M$10),"Não",K40=1,"Não",K40&gt;1,"Sim")</f>
        <v>Sim</v>
      </c>
      <c r="D40" s="18" cm="1">
        <f t="array" ref="D40">_xlfn.IFS(Tabela1[[#This Row],[Dia Útil]]="Não",0,K40=1,0,K40=7,0.5,K40&gt;1,1)</f>
        <v>1</v>
      </c>
      <c r="E40" s="19">
        <f>$E$4*Tabela1[[#This Row],[Período]]</f>
        <v>14.931034482758621</v>
      </c>
      <c r="F40" s="19">
        <f>$F$4*Tabela1[[#This Row],[Período]]</f>
        <v>21.068965517241381</v>
      </c>
      <c r="G40" s="18">
        <f>$G$4*Tabela1[[#This Row],[Período]]</f>
        <v>93.689655172413794</v>
      </c>
      <c r="H40" s="18">
        <f>$H$4*Tabela1[[#This Row],[Período]]</f>
        <v>138.62068965517241</v>
      </c>
      <c r="I40" s="20">
        <f>$I$4*Tabela1[[#This Row],[Período]]</f>
        <v>36</v>
      </c>
      <c r="J40" s="21">
        <f>$J$4*Tabela1[[#This Row],[Período]]</f>
        <v>232.31034482758622</v>
      </c>
      <c r="K40" s="7">
        <f>WEEKDAY(Tabela1[[#This Row],[Data]],1)</f>
        <v>6</v>
      </c>
    </row>
    <row r="41" spans="1:11" x14ac:dyDescent="0.3">
      <c r="A41" s="93" t="str">
        <f>_xlfn.XLOOKUP(Tabela1[[#This Row],[Data]],GERAL!B:B,GERAL!A:A)</f>
        <v>Semana 7</v>
      </c>
      <c r="B41" s="1">
        <v>46095</v>
      </c>
      <c r="C41" t="str" cm="1">
        <f t="array" ref="C41">_xlfn.IFS(OR(Tabela1[[#This Row],[Data]]=$M$8,Tabela1[[#This Row],[Data]]=$M$9,Tabela1[[#This Row],[Data]]=$M$10),"Não",K41=1,"Não",K41&gt;1,"Sim")</f>
        <v>Sim</v>
      </c>
      <c r="D41" s="18" cm="1">
        <f t="array" ref="D41">_xlfn.IFS(Tabela1[[#This Row],[Dia Útil]]="Não",0,K41=1,0,K41=7,0.5,K41&gt;1,1)</f>
        <v>0.5</v>
      </c>
      <c r="E41" s="19">
        <f>$E$4*Tabela1[[#This Row],[Período]]</f>
        <v>7.4655172413793105</v>
      </c>
      <c r="F41" s="19">
        <f>$F$4*Tabela1[[#This Row],[Período]]</f>
        <v>10.53448275862069</v>
      </c>
      <c r="G41" s="18">
        <f>$G$4*Tabela1[[#This Row],[Período]]</f>
        <v>46.844827586206897</v>
      </c>
      <c r="H41" s="18">
        <f>$H$4*Tabela1[[#This Row],[Período]]</f>
        <v>69.310344827586206</v>
      </c>
      <c r="I41" s="20">
        <f>$I$4*Tabela1[[#This Row],[Período]]</f>
        <v>18</v>
      </c>
      <c r="J41" s="21">
        <f>$J$4*Tabela1[[#This Row],[Período]]</f>
        <v>116.15517241379311</v>
      </c>
      <c r="K41" s="7">
        <f>WEEKDAY(Tabela1[[#This Row],[Data]],1)</f>
        <v>7</v>
      </c>
    </row>
    <row r="42" spans="1:11" x14ac:dyDescent="0.3">
      <c r="A42" s="93" t="str">
        <f>_xlfn.XLOOKUP(Tabela1[[#This Row],[Data]],GERAL!B:B,GERAL!A:A)</f>
        <v>Semana 7</v>
      </c>
      <c r="B42" s="1">
        <v>46096</v>
      </c>
      <c r="C42" t="str" cm="1">
        <f t="array" ref="C42">_xlfn.IFS(OR(Tabela1[[#This Row],[Data]]=$M$8,Tabela1[[#This Row],[Data]]=$M$9,Tabela1[[#This Row],[Data]]=$M$10),"Não",K42=1,"Não",K42&gt;1,"Sim")</f>
        <v>Não</v>
      </c>
      <c r="D42" s="18" cm="1">
        <f t="array" ref="D42">_xlfn.IFS(Tabela1[[#This Row],[Dia Útil]]="Não",0,K42=1,0,K42=7,0.5,K42&gt;1,1)</f>
        <v>0</v>
      </c>
      <c r="E42" s="19">
        <f>$E$4*Tabela1[[#This Row],[Período]]</f>
        <v>0</v>
      </c>
      <c r="F42" s="19">
        <f>$F$4*Tabela1[[#This Row],[Período]]</f>
        <v>0</v>
      </c>
      <c r="G42" s="18">
        <f>$G$4*Tabela1[[#This Row],[Período]]</f>
        <v>0</v>
      </c>
      <c r="H42" s="18">
        <f>$H$4*Tabela1[[#This Row],[Período]]</f>
        <v>0</v>
      </c>
      <c r="I42" s="20">
        <f>$I$4*Tabela1[[#This Row],[Período]]</f>
        <v>0</v>
      </c>
      <c r="J42" s="21">
        <f>$J$4*Tabela1[[#This Row],[Período]]</f>
        <v>0</v>
      </c>
      <c r="K42" s="7">
        <f>WEEKDAY(Tabela1[[#This Row],[Data]],1)</f>
        <v>1</v>
      </c>
    </row>
    <row r="43" spans="1:11" x14ac:dyDescent="0.3">
      <c r="A43" s="93" t="str">
        <f>_xlfn.XLOOKUP(Tabela1[[#This Row],[Data]],GERAL!B:B,GERAL!A:A)</f>
        <v>Semana 8</v>
      </c>
      <c r="B43" s="1">
        <v>46097</v>
      </c>
      <c r="C43" t="str" cm="1">
        <f t="array" ref="C43">_xlfn.IFS(OR(Tabela1[[#This Row],[Data]]=$M$8,Tabela1[[#This Row],[Data]]=$M$9,Tabela1[[#This Row],[Data]]=$M$10),"Não",K43=1,"Não",K43&gt;1,"Sim")</f>
        <v>Sim</v>
      </c>
      <c r="D43" s="18" cm="1">
        <f t="array" ref="D43">_xlfn.IFS(Tabela1[[#This Row],[Dia Útil]]="Não",0,K43=1,0,K43=7,0.5,K43&gt;1,1)</f>
        <v>1</v>
      </c>
      <c r="E43" s="19">
        <f>$E$4*Tabela1[[#This Row],[Período]]</f>
        <v>14.931034482758621</v>
      </c>
      <c r="F43" s="19">
        <f>$F$4*Tabela1[[#This Row],[Período]]</f>
        <v>21.068965517241381</v>
      </c>
      <c r="G43" s="18">
        <f>$G$4*Tabela1[[#This Row],[Período]]</f>
        <v>93.689655172413794</v>
      </c>
      <c r="H43" s="18">
        <f>$H$4*Tabela1[[#This Row],[Período]]</f>
        <v>138.62068965517241</v>
      </c>
      <c r="I43" s="20">
        <f>$I$4*Tabela1[[#This Row],[Período]]</f>
        <v>36</v>
      </c>
      <c r="J43" s="21">
        <f>$J$4*Tabela1[[#This Row],[Período]]</f>
        <v>232.31034482758622</v>
      </c>
      <c r="K43" s="7">
        <f>WEEKDAY(Tabela1[[#This Row],[Data]],1)</f>
        <v>2</v>
      </c>
    </row>
    <row r="44" spans="1:11" x14ac:dyDescent="0.3">
      <c r="A44" s="93" t="str">
        <f>_xlfn.XLOOKUP(Tabela1[[#This Row],[Data]],GERAL!B:B,GERAL!A:A)</f>
        <v>Semana 8</v>
      </c>
      <c r="B44" s="1">
        <v>46098</v>
      </c>
      <c r="C44" t="str" cm="1">
        <f t="array" ref="C44">_xlfn.IFS(OR(Tabela1[[#This Row],[Data]]=$M$8,Tabela1[[#This Row],[Data]]=$M$9,Tabela1[[#This Row],[Data]]=$M$10),"Não",K44=1,"Não",K44&gt;1,"Sim")</f>
        <v>Sim</v>
      </c>
      <c r="D44" s="18" cm="1">
        <f t="array" ref="D44">_xlfn.IFS(Tabela1[[#This Row],[Dia Útil]]="Não",0,K44=1,0,K44=7,0.5,K44&gt;1,1)</f>
        <v>1</v>
      </c>
      <c r="E44" s="19">
        <f>$E$4*Tabela1[[#This Row],[Período]]</f>
        <v>14.931034482758621</v>
      </c>
      <c r="F44" s="19">
        <f>$F$4*Tabela1[[#This Row],[Período]]</f>
        <v>21.068965517241381</v>
      </c>
      <c r="G44" s="18">
        <f>$G$4*Tabela1[[#This Row],[Período]]</f>
        <v>93.689655172413794</v>
      </c>
      <c r="H44" s="18">
        <f>$H$4*Tabela1[[#This Row],[Período]]</f>
        <v>138.62068965517241</v>
      </c>
      <c r="I44" s="20">
        <f>$I$4*Tabela1[[#This Row],[Período]]</f>
        <v>36</v>
      </c>
      <c r="J44" s="21">
        <f>$J$4*Tabela1[[#This Row],[Período]]</f>
        <v>232.31034482758622</v>
      </c>
      <c r="K44" s="7">
        <f>WEEKDAY(Tabela1[[#This Row],[Data]],1)</f>
        <v>3</v>
      </c>
    </row>
    <row r="45" spans="1:11" x14ac:dyDescent="0.3">
      <c r="A45" s="93" t="str">
        <f>_xlfn.XLOOKUP(Tabela1[[#This Row],[Data]],GERAL!B:B,GERAL!A:A)</f>
        <v>Semana 8</v>
      </c>
      <c r="B45" s="1">
        <v>46099</v>
      </c>
      <c r="C45" t="str" cm="1">
        <f t="array" ref="C45">_xlfn.IFS(OR(Tabela1[[#This Row],[Data]]=$M$8,Tabela1[[#This Row],[Data]]=$M$9,Tabela1[[#This Row],[Data]]=$M$10),"Não",K45=1,"Não",K45&gt;1,"Sim")</f>
        <v>Sim</v>
      </c>
      <c r="D45" s="18" cm="1">
        <f t="array" ref="D45">_xlfn.IFS(Tabela1[[#This Row],[Dia Útil]]="Não",0,K45=1,0,K45=7,0.5,K45&gt;1,1)</f>
        <v>1</v>
      </c>
      <c r="E45" s="19">
        <f>$E$4*Tabela1[[#This Row],[Período]]</f>
        <v>14.931034482758621</v>
      </c>
      <c r="F45" s="19">
        <f>$F$4*Tabela1[[#This Row],[Período]]</f>
        <v>21.068965517241381</v>
      </c>
      <c r="G45" s="18">
        <f>$G$4*Tabela1[[#This Row],[Período]]</f>
        <v>93.689655172413794</v>
      </c>
      <c r="H45" s="18">
        <f>$H$4*Tabela1[[#This Row],[Período]]</f>
        <v>138.62068965517241</v>
      </c>
      <c r="I45" s="20">
        <f>$I$4*Tabela1[[#This Row],[Período]]</f>
        <v>36</v>
      </c>
      <c r="J45" s="21">
        <f>$J$4*Tabela1[[#This Row],[Período]]</f>
        <v>232.31034482758622</v>
      </c>
      <c r="K45" s="7">
        <f>WEEKDAY(Tabela1[[#This Row],[Data]],1)</f>
        <v>4</v>
      </c>
    </row>
    <row r="46" spans="1:11" x14ac:dyDescent="0.3">
      <c r="A46" s="93" t="str">
        <f>_xlfn.XLOOKUP(Tabela1[[#This Row],[Data]],GERAL!B:B,GERAL!A:A)</f>
        <v>Semana 8</v>
      </c>
      <c r="B46" s="1">
        <v>46100</v>
      </c>
      <c r="C46" t="str" cm="1">
        <f t="array" ref="C46">_xlfn.IFS(OR(Tabela1[[#This Row],[Data]]=$M$8,Tabela1[[#This Row],[Data]]=$M$9,Tabela1[[#This Row],[Data]]=$M$10),"Não",K46=1,"Não",K46&gt;1,"Sim")</f>
        <v>Sim</v>
      </c>
      <c r="D46" s="18" cm="1">
        <f t="array" ref="D46">_xlfn.IFS(Tabela1[[#This Row],[Dia Útil]]="Não",0,K46=1,0,K46=7,0.5,K46&gt;1,1)</f>
        <v>1</v>
      </c>
      <c r="E46" s="19">
        <f>$E$4*Tabela1[[#This Row],[Período]]</f>
        <v>14.931034482758621</v>
      </c>
      <c r="F46" s="19">
        <f>$F$4*Tabela1[[#This Row],[Período]]</f>
        <v>21.068965517241381</v>
      </c>
      <c r="G46" s="18">
        <f>$G$4*Tabela1[[#This Row],[Período]]</f>
        <v>93.689655172413794</v>
      </c>
      <c r="H46" s="18">
        <f>$H$4*Tabela1[[#This Row],[Período]]</f>
        <v>138.62068965517241</v>
      </c>
      <c r="I46" s="20">
        <f>$I$4*Tabela1[[#This Row],[Período]]</f>
        <v>36</v>
      </c>
      <c r="J46" s="21">
        <f>$J$4*Tabela1[[#This Row],[Período]]</f>
        <v>232.31034482758622</v>
      </c>
      <c r="K46" s="7">
        <f>WEEKDAY(Tabela1[[#This Row],[Data]],1)</f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8CBC-711E-426D-86CD-15EC64C89822}">
  <dimension ref="F7:F60"/>
  <sheetViews>
    <sheetView workbookViewId="0">
      <selection activeCell="F7" sqref="F7"/>
    </sheetView>
  </sheetViews>
  <sheetFormatPr defaultRowHeight="14" x14ac:dyDescent="0.3"/>
  <cols>
    <col min="6" max="6" width="20.75" bestFit="1" customWidth="1"/>
  </cols>
  <sheetData>
    <row r="7" spans="6:6" x14ac:dyDescent="0.3">
      <c r="F7" s="113" t="s">
        <v>318</v>
      </c>
    </row>
    <row r="8" spans="6:6" x14ac:dyDescent="0.3">
      <c r="F8" s="114" t="s">
        <v>110</v>
      </c>
    </row>
    <row r="9" spans="6:6" x14ac:dyDescent="0.3">
      <c r="F9" s="114" t="s">
        <v>37</v>
      </c>
    </row>
    <row r="10" spans="6:6" x14ac:dyDescent="0.3">
      <c r="F10" s="114" t="s">
        <v>68</v>
      </c>
    </row>
    <row r="11" spans="6:6" x14ac:dyDescent="0.3">
      <c r="F11" s="114" t="s">
        <v>122</v>
      </c>
    </row>
    <row r="12" spans="6:6" x14ac:dyDescent="0.3">
      <c r="F12" s="114" t="s">
        <v>200</v>
      </c>
    </row>
    <row r="13" spans="6:6" x14ac:dyDescent="0.3">
      <c r="F13" s="114" t="s">
        <v>180</v>
      </c>
    </row>
    <row r="14" spans="6:6" x14ac:dyDescent="0.3">
      <c r="F14" s="114" t="s">
        <v>186</v>
      </c>
    </row>
    <row r="15" spans="6:6" x14ac:dyDescent="0.3">
      <c r="F15" s="114" t="s">
        <v>204</v>
      </c>
    </row>
    <row r="16" spans="6:6" x14ac:dyDescent="0.3">
      <c r="F16" s="114" t="s">
        <v>128</v>
      </c>
    </row>
    <row r="17" spans="6:6" x14ac:dyDescent="0.3">
      <c r="F17" s="114" t="s">
        <v>136</v>
      </c>
    </row>
    <row r="18" spans="6:6" x14ac:dyDescent="0.3">
      <c r="F18" s="114" t="s">
        <v>75</v>
      </c>
    </row>
    <row r="19" spans="6:6" x14ac:dyDescent="0.3">
      <c r="F19" s="114" t="s">
        <v>112</v>
      </c>
    </row>
    <row r="20" spans="6:6" x14ac:dyDescent="0.3">
      <c r="F20" s="114" t="s">
        <v>184</v>
      </c>
    </row>
    <row r="21" spans="6:6" x14ac:dyDescent="0.3">
      <c r="F21" s="114" t="s">
        <v>187</v>
      </c>
    </row>
    <row r="22" spans="6:6" x14ac:dyDescent="0.3">
      <c r="F22" s="114" t="s">
        <v>70</v>
      </c>
    </row>
    <row r="23" spans="6:6" x14ac:dyDescent="0.3">
      <c r="F23" s="114" t="s">
        <v>130</v>
      </c>
    </row>
    <row r="24" spans="6:6" x14ac:dyDescent="0.3">
      <c r="F24" s="114" t="s">
        <v>116</v>
      </c>
    </row>
    <row r="25" spans="6:6" x14ac:dyDescent="0.3">
      <c r="F25" s="114" t="s">
        <v>73</v>
      </c>
    </row>
    <row r="26" spans="6:6" x14ac:dyDescent="0.3">
      <c r="F26" s="114" t="s">
        <v>126</v>
      </c>
    </row>
    <row r="27" spans="6:6" x14ac:dyDescent="0.3">
      <c r="F27" s="114" t="s">
        <v>132</v>
      </c>
    </row>
    <row r="28" spans="6:6" x14ac:dyDescent="0.3">
      <c r="F28" s="114" t="s">
        <v>46</v>
      </c>
    </row>
    <row r="29" spans="6:6" x14ac:dyDescent="0.3">
      <c r="F29" s="114" t="s">
        <v>134</v>
      </c>
    </row>
    <row r="30" spans="6:6" x14ac:dyDescent="0.3">
      <c r="F30" s="114" t="s">
        <v>124</v>
      </c>
    </row>
    <row r="31" spans="6:6" x14ac:dyDescent="0.3">
      <c r="F31" s="114" t="s">
        <v>114</v>
      </c>
    </row>
    <row r="32" spans="6:6" x14ac:dyDescent="0.3">
      <c r="F32" s="114" t="s">
        <v>48</v>
      </c>
    </row>
    <row r="33" spans="6:6" x14ac:dyDescent="0.3">
      <c r="F33" s="114" t="s">
        <v>202</v>
      </c>
    </row>
    <row r="34" spans="6:6" x14ac:dyDescent="0.3">
      <c r="F34" s="114" t="s">
        <v>182</v>
      </c>
    </row>
    <row r="35" spans="6:6" x14ac:dyDescent="0.3">
      <c r="F35" s="114" t="s">
        <v>43</v>
      </c>
    </row>
    <row r="36" spans="6:6" x14ac:dyDescent="0.3">
      <c r="F36" s="114" t="s">
        <v>258</v>
      </c>
    </row>
    <row r="37" spans="6:6" x14ac:dyDescent="0.3">
      <c r="F37" s="114" t="s">
        <v>50</v>
      </c>
    </row>
    <row r="38" spans="6:6" x14ac:dyDescent="0.3">
      <c r="F38" s="114" t="s">
        <v>138</v>
      </c>
    </row>
    <row r="39" spans="6:6" x14ac:dyDescent="0.3">
      <c r="F39" s="114" t="s">
        <v>139</v>
      </c>
    </row>
    <row r="40" spans="6:6" x14ac:dyDescent="0.3">
      <c r="F40" s="114" t="s">
        <v>189</v>
      </c>
    </row>
    <row r="41" spans="6:6" x14ac:dyDescent="0.3">
      <c r="F41" s="114" t="s">
        <v>207</v>
      </c>
    </row>
    <row r="42" spans="6:6" x14ac:dyDescent="0.3">
      <c r="F42" s="114" t="s">
        <v>82</v>
      </c>
    </row>
    <row r="43" spans="6:6" x14ac:dyDescent="0.3">
      <c r="F43" s="114" t="s">
        <v>143</v>
      </c>
    </row>
    <row r="44" spans="6:6" x14ac:dyDescent="0.3">
      <c r="F44" s="114" t="s">
        <v>149</v>
      </c>
    </row>
    <row r="45" spans="6:6" x14ac:dyDescent="0.3">
      <c r="F45" s="114" t="s">
        <v>214</v>
      </c>
    </row>
    <row r="46" spans="6:6" x14ac:dyDescent="0.3">
      <c r="F46" s="114" t="s">
        <v>221</v>
      </c>
    </row>
    <row r="47" spans="6:6" x14ac:dyDescent="0.3">
      <c r="F47" s="114" t="s">
        <v>191</v>
      </c>
    </row>
    <row r="48" spans="6:6" x14ac:dyDescent="0.3">
      <c r="F48" s="114" t="s">
        <v>166</v>
      </c>
    </row>
    <row r="49" spans="6:6" x14ac:dyDescent="0.3">
      <c r="F49" s="114" t="s">
        <v>167</v>
      </c>
    </row>
    <row r="50" spans="6:6" x14ac:dyDescent="0.3">
      <c r="F50" s="114" t="s">
        <v>226</v>
      </c>
    </row>
    <row r="51" spans="6:6" x14ac:dyDescent="0.3">
      <c r="F51" s="114" t="s">
        <v>230</v>
      </c>
    </row>
    <row r="52" spans="6:6" x14ac:dyDescent="0.3">
      <c r="F52" s="114" t="s">
        <v>193</v>
      </c>
    </row>
    <row r="53" spans="6:6" x14ac:dyDescent="0.3">
      <c r="F53" s="114" t="s">
        <v>231</v>
      </c>
    </row>
    <row r="54" spans="6:6" x14ac:dyDescent="0.3">
      <c r="F54" s="114" t="s">
        <v>235</v>
      </c>
    </row>
    <row r="55" spans="6:6" x14ac:dyDescent="0.3">
      <c r="F55" s="114" t="s">
        <v>106</v>
      </c>
    </row>
    <row r="56" spans="6:6" x14ac:dyDescent="0.3">
      <c r="F56" s="114" t="s">
        <v>236</v>
      </c>
    </row>
    <row r="57" spans="6:6" x14ac:dyDescent="0.3">
      <c r="F57" s="114" t="s">
        <v>196</v>
      </c>
    </row>
    <row r="58" spans="6:6" x14ac:dyDescent="0.3">
      <c r="F58" s="114" t="s">
        <v>120</v>
      </c>
    </row>
    <row r="59" spans="6:6" x14ac:dyDescent="0.3">
      <c r="F59" s="114" t="s">
        <v>240</v>
      </c>
    </row>
    <row r="60" spans="6:6" x14ac:dyDescent="0.3">
      <c r="F60" s="114" t="s">
        <v>319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1D52ECA-3E37-4F69-8120-AA0C6C97B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0C6584-D6C9-496D-B6D2-1A5C537DFED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3.xml><?xml version="1.0" encoding="utf-8"?>
<ds:datastoreItem xmlns:ds="http://schemas.openxmlformats.org/officeDocument/2006/customXml" ds:itemID="{93B3364C-3205-424F-AC64-08B5BB6D77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B6157E4-58E2-4C74-B3B4-4F4A8E98A4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PROD_EQUIPE</vt:lpstr>
      <vt:lpstr>PROD_NÚCLEO</vt:lpstr>
      <vt:lpstr>PROD_META_30D</vt:lpstr>
      <vt:lpstr>PREVISTO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Valdeans da Silva Melo</cp:lastModifiedBy>
  <cp:revision/>
  <dcterms:created xsi:type="dcterms:W3CDTF">2026-02-27T13:50:54Z</dcterms:created>
  <dcterms:modified xsi:type="dcterms:W3CDTF">2026-04-22T13:19:08Z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
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R NUCLEO" sheetId="2" state="visible" r:id="rId2"/>
    <sheet xmlns:r="http://schemas.openxmlformats.org/officeDocument/2006/relationships" name="SUPRIMENTOS" sheetId="3" state="visible" r:id="rId3"/>
    <sheet xmlns:r="http://schemas.openxmlformats.org/officeDocument/2006/relationships" name="A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9"/>
    </font>
    <font>
      <name val="Calibri"/>
      <b val="1"/>
      <sz val="10"/>
    </font>
    <font>
      <b val="1"/>
      <sz val="14"/>
    </font>
    <font>
      <name val="Calibri"/>
      <b val="1"/>
      <color rgb="00FFFFFF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C3E50"/>
      </patternFill>
    </fill>
    <fill>
      <patternFill patternType="solid">
        <fgColor rgb="00F5F5F5"/>
      </patternFill>
    </fill>
    <fill>
      <patternFill patternType="solid">
        <fgColor rgb="003498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0" fillId="7" borderId="1" pivotButton="0" quotePrefix="0" xfId="0"/>
    <xf numFmtId="164" fontId="0" fillId="7" borderId="1" pivotButton="0" quotePrefix="0" xfId="0"/>
    <xf numFmtId="0" fontId="6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6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Producao vs Medicao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prstDash val="solid"/>
            </a:ln>
          </spPr>
          <cat>
            <numRef>
              <f>'DASHBOARD'!$A$14:$A$19</f>
            </numRef>
          </cat>
          <val>
            <numRef>
              <f>'DASHBOARD'!$B$14:$B$19</f>
            </numRef>
          </val>
        </ser>
        <ser>
          <idx val="1"/>
          <order val="1"/>
          <tx>
            <strRef>
              <f>'DASHBOARD'!C13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prstDash val="solid"/>
            </a:ln>
          </spPr>
          <cat>
            <numRef>
              <f>'DASHBOARD'!$A$14:$A$19</f>
            </numRef>
          </cat>
          <val>
            <numRef>
              <f>'DASHBOARD'!$C$14:$C$19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Ligacoes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PRODUCAO vs MEDIDO - SLNR Santos - CT 11481051</t>
        </is>
      </c>
    </row>
    <row r="2">
      <c r="A2" s="2" t="inlineStr">
        <is>
          <t>Gerado em: 19/04/2026 02:43</t>
        </is>
      </c>
    </row>
    <row r="4">
      <c r="A4" s="3" t="inlineStr">
        <is>
          <t>TOTAL PRODUZIDO</t>
        </is>
      </c>
      <c r="B4" s="4" t="inlineStr">
        <is>
          <t>736 lig</t>
        </is>
      </c>
      <c r="C4" s="5" t="n"/>
    </row>
    <row r="5">
      <c r="A5" s="3" t="inlineStr">
        <is>
          <t>TOTAL MEDIDO</t>
        </is>
      </c>
      <c r="B5" s="4" t="inlineStr">
        <is>
          <t>490 lig</t>
        </is>
      </c>
      <c r="C5" s="6" t="n"/>
    </row>
    <row r="6">
      <c r="A6" s="3" t="inlineStr">
        <is>
          <t>GAP (NAO MEDIDO)</t>
        </is>
      </c>
      <c r="B6" s="4" t="inlineStr">
        <is>
          <t>246 lig</t>
        </is>
      </c>
      <c r="C6" s="7" t="n"/>
    </row>
    <row r="7">
      <c r="A7" s="3" t="inlineStr">
        <is>
          <t>GAP FINANCEIRO</t>
        </is>
      </c>
      <c r="B7" s="4" t="inlineStr">
        <is>
          <t>R$ 447,720.00</t>
        </is>
      </c>
      <c r="C7" s="7" t="n"/>
    </row>
    <row r="8">
      <c r="A8" s="3" t="inlineStr">
        <is>
          <t>% MEDICAO</t>
        </is>
      </c>
      <c r="B8" s="4" t="inlineStr">
        <is>
          <t>66.6%</t>
        </is>
      </c>
      <c r="C8" s="8" t="n"/>
    </row>
    <row r="9">
      <c r="A9" s="3" t="inlineStr">
        <is>
          <t>MESES CRITICOS</t>
        </is>
      </c>
      <c r="B9" s="4" t="inlineStr">
        <is>
          <t>2</t>
        </is>
      </c>
      <c r="C9" s="7" t="n"/>
    </row>
    <row r="12">
      <c r="A12" s="9" t="inlineStr">
        <is>
          <t>EVOLUCAO MENSAL</t>
        </is>
      </c>
    </row>
    <row r="13">
      <c r="A13" s="10" t="inlineStr">
        <is>
          <t>Mes</t>
        </is>
      </c>
      <c r="B13" s="10" t="inlineStr">
        <is>
          <t>Produzido</t>
        </is>
      </c>
      <c r="C13" s="10" t="inlineStr">
        <is>
          <t>Medido</t>
        </is>
      </c>
      <c r="D13" s="10" t="inlineStr">
        <is>
          <t>GAP (lig)</t>
        </is>
      </c>
      <c r="E13" s="10" t="inlineStr">
        <is>
          <t>GAP (R$)</t>
        </is>
      </c>
      <c r="F13" s="10" t="inlineStr">
        <is>
          <t>% Medicao</t>
        </is>
      </c>
      <c r="G13" s="10" t="inlineStr">
        <is>
          <t>Status</t>
        </is>
      </c>
      <c r="H13" s="10" t="inlineStr">
        <is>
          <t>Acum GAP R$</t>
        </is>
      </c>
    </row>
    <row r="14">
      <c r="A14" s="11" t="inlineStr">
        <is>
          <t>2025-11</t>
        </is>
      </c>
      <c r="B14" s="11" t="n">
        <v>89</v>
      </c>
      <c r="C14" s="11" t="n">
        <v>45</v>
      </c>
      <c r="D14" s="11" t="n">
        <v>44</v>
      </c>
      <c r="E14" s="12" t="n">
        <v>80080</v>
      </c>
      <c r="F14" s="11" t="inlineStr">
        <is>
          <t>50.6%</t>
        </is>
      </c>
      <c r="G14" s="13" t="inlineStr">
        <is>
          <t>CRITICO</t>
        </is>
      </c>
      <c r="H14" s="12" t="n">
        <v>80080</v>
      </c>
    </row>
    <row r="15">
      <c r="A15" s="14" t="inlineStr">
        <is>
          <t>2025-12</t>
        </is>
      </c>
      <c r="B15" s="14" t="n">
        <v>112</v>
      </c>
      <c r="C15" s="14" t="n">
        <v>78</v>
      </c>
      <c r="D15" s="14" t="n">
        <v>34</v>
      </c>
      <c r="E15" s="15" t="n">
        <v>61880</v>
      </c>
      <c r="F15" s="14" t="inlineStr">
        <is>
          <t>69.6%</t>
        </is>
      </c>
      <c r="G15" s="16" t="inlineStr">
        <is>
          <t>ATENCAO</t>
        </is>
      </c>
      <c r="H15" s="15" t="n">
        <v>141960</v>
      </c>
    </row>
    <row r="16">
      <c r="A16" s="11" t="inlineStr">
        <is>
          <t>2026-01</t>
        </is>
      </c>
      <c r="B16" s="11" t="n">
        <v>156</v>
      </c>
      <c r="C16" s="11" t="n">
        <v>102</v>
      </c>
      <c r="D16" s="11" t="n">
        <v>54</v>
      </c>
      <c r="E16" s="12" t="n">
        <v>98280</v>
      </c>
      <c r="F16" s="11" t="inlineStr">
        <is>
          <t>65.4%</t>
        </is>
      </c>
      <c r="G16" s="16" t="inlineStr">
        <is>
          <t>ATENCAO</t>
        </is>
      </c>
      <c r="H16" s="12" t="n">
        <v>240240</v>
      </c>
    </row>
    <row r="17">
      <c r="A17" s="14" t="inlineStr">
        <is>
          <t>2026-02</t>
        </is>
      </c>
      <c r="B17" s="14" t="n">
        <v>178</v>
      </c>
      <c r="C17" s="14" t="n">
        <v>120</v>
      </c>
      <c r="D17" s="14" t="n">
        <v>58</v>
      </c>
      <c r="E17" s="15" t="n">
        <v>105560</v>
      </c>
      <c r="F17" s="14" t="inlineStr">
        <is>
          <t>67.4%</t>
        </is>
      </c>
      <c r="G17" s="16" t="inlineStr">
        <is>
          <t>ATENCAO</t>
        </is>
      </c>
      <c r="H17" s="15" t="n">
        <v>345800</v>
      </c>
    </row>
    <row r="18">
      <c r="A18" s="11" t="inlineStr">
        <is>
          <t>2026-03</t>
        </is>
      </c>
      <c r="B18" s="11" t="n">
        <v>201</v>
      </c>
      <c r="C18" s="11" t="n">
        <v>145</v>
      </c>
      <c r="D18" s="11" t="n">
        <v>56</v>
      </c>
      <c r="E18" s="12" t="n">
        <v>101920</v>
      </c>
      <c r="F18" s="11" t="inlineStr">
        <is>
          <t>72.1%</t>
        </is>
      </c>
      <c r="G18" s="16" t="inlineStr">
        <is>
          <t>ATENCAO</t>
        </is>
      </c>
      <c r="H18" s="12" t="n">
        <v>447720</v>
      </c>
    </row>
    <row r="19">
      <c r="A19" s="14" t="inlineStr">
        <is>
          <t>2026-04</t>
        </is>
      </c>
      <c r="B19" s="14" t="n">
        <v>0</v>
      </c>
      <c r="C19" s="14" t="n">
        <v>0</v>
      </c>
      <c r="D19" s="14" t="n">
        <v>0</v>
      </c>
      <c r="E19" s="15" t="n">
        <v>0</v>
      </c>
      <c r="F19" s="14" t="inlineStr">
        <is>
          <t>0.0%</t>
        </is>
      </c>
      <c r="G19" s="13" t="inlineStr">
        <is>
          <t>CRITICO</t>
        </is>
      </c>
      <c r="H19" s="15" t="n">
        <v>447720</v>
      </c>
    </row>
  </sheetData>
  <mergeCells count="2">
    <mergeCell ref="A12:H1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</cols>
  <sheetData>
    <row r="1">
      <c r="A1" s="1" t="inlineStr">
        <is>
          <t>GAP POR NUCLEO - Prioridade de Acao</t>
        </is>
      </c>
    </row>
    <row r="3">
      <c r="A3" s="10" t="inlineStr">
        <is>
          <t>Nucleo</t>
        </is>
      </c>
      <c r="B3" s="10" t="inlineStr">
        <is>
          <t>Tipo Terreno</t>
        </is>
      </c>
      <c r="C3" s="10" t="inlineStr">
        <is>
          <t>Prod Ref</t>
        </is>
      </c>
      <c r="D3" s="10" t="inlineStr">
        <is>
          <t>Prod Real</t>
        </is>
      </c>
      <c r="E3" s="10" t="inlineStr">
        <is>
          <t>Lig Agua</t>
        </is>
      </c>
      <c r="F3" s="10" t="inlineStr">
        <is>
          <t>Lig Esg</t>
        </is>
      </c>
      <c r="G3" s="10" t="inlineStr">
        <is>
          <t>Total Lig</t>
        </is>
      </c>
      <c r="H3" s="10" t="inlineStr">
        <is>
          <t>Medido Est</t>
        </is>
      </c>
      <c r="I3" s="10" t="inlineStr">
        <is>
          <t>GAP Lig</t>
        </is>
      </c>
      <c r="J3" s="10" t="inlineStr">
        <is>
          <t>GAP R$</t>
        </is>
      </c>
    </row>
    <row r="4">
      <c r="A4" s="11" t="inlineStr">
        <is>
          <t>M_TETEU</t>
        </is>
      </c>
      <c r="B4" s="11" t="inlineStr">
        <is>
          <t>Desconhecido</t>
        </is>
      </c>
      <c r="C4" s="11" t="n">
        <v>3</v>
      </c>
      <c r="D4" s="11" t="n">
        <v>5.31</v>
      </c>
      <c r="E4" s="11" t="n">
        <v>188</v>
      </c>
      <c r="F4" s="11" t="n">
        <v>226</v>
      </c>
      <c r="G4" s="11" t="n">
        <v>414</v>
      </c>
      <c r="H4" s="11" t="n">
        <v>275.7</v>
      </c>
      <c r="I4" s="11" t="n">
        <v>138.3</v>
      </c>
      <c r="J4" s="12" t="n">
        <v>251662.32</v>
      </c>
    </row>
    <row r="5">
      <c r="A5" s="14" t="inlineStr">
        <is>
          <t>P_BAIXO</t>
        </is>
      </c>
      <c r="B5" s="14" t="inlineStr">
        <is>
          <t>Desconhecido</t>
        </is>
      </c>
      <c r="C5" s="14" t="n">
        <v>3</v>
      </c>
      <c r="D5" s="14" t="n">
        <v>3.39</v>
      </c>
      <c r="E5" s="14" t="n">
        <v>223</v>
      </c>
      <c r="F5" s="14" t="n">
        <v>170</v>
      </c>
      <c r="G5" s="14" t="n">
        <v>393</v>
      </c>
      <c r="H5" s="14" t="n">
        <v>261.7</v>
      </c>
      <c r="I5" s="14" t="n">
        <v>131.3</v>
      </c>
      <c r="J5" s="15" t="n">
        <v>238896.84</v>
      </c>
    </row>
    <row r="6">
      <c r="A6" s="11" t="inlineStr">
        <is>
          <t>S_MANOEL</t>
        </is>
      </c>
      <c r="B6" s="11" t="inlineStr">
        <is>
          <t>Desconhecido</t>
        </is>
      </c>
      <c r="C6" s="11" t="n">
        <v>3</v>
      </c>
      <c r="D6" s="11" t="n">
        <v>3.5</v>
      </c>
      <c r="E6" s="11" t="n">
        <v>111</v>
      </c>
      <c r="F6" s="11" t="n">
        <v>218</v>
      </c>
      <c r="G6" s="11" t="n">
        <v>329</v>
      </c>
      <c r="H6" s="11" t="n">
        <v>219.1</v>
      </c>
      <c r="I6" s="11" t="n">
        <v>109.9</v>
      </c>
      <c r="J6" s="12" t="n">
        <v>199992.52</v>
      </c>
    </row>
    <row r="7">
      <c r="A7" s="14" t="inlineStr">
        <is>
          <t>V_CRIADORES</t>
        </is>
      </c>
      <c r="B7" s="14" t="inlineStr">
        <is>
          <t>Desconhecido</t>
        </is>
      </c>
      <c r="C7" s="14" t="n">
        <v>3</v>
      </c>
      <c r="D7" s="14" t="n">
        <v>2.62</v>
      </c>
      <c r="E7" s="14" t="n">
        <v>175</v>
      </c>
      <c r="F7" s="14" t="n">
        <v>58</v>
      </c>
      <c r="G7" s="14" t="n">
        <v>233</v>
      </c>
      <c r="H7" s="14" t="n">
        <v>155.2</v>
      </c>
      <c r="I7" s="14" t="n">
        <v>77.8</v>
      </c>
      <c r="J7" s="15" t="n">
        <v>141636.04</v>
      </c>
    </row>
    <row r="8">
      <c r="A8" s="11" t="inlineStr">
        <is>
          <t>J_CARLOS</t>
        </is>
      </c>
      <c r="B8" s="11" t="inlineStr">
        <is>
          <t>Desconhecido</t>
        </is>
      </c>
      <c r="C8" s="11" t="n">
        <v>3</v>
      </c>
      <c r="D8" s="11" t="n">
        <v>2.37</v>
      </c>
      <c r="E8" s="11" t="n">
        <v>124</v>
      </c>
      <c r="F8" s="11" t="n">
        <v>82</v>
      </c>
      <c r="G8" s="11" t="n">
        <v>206</v>
      </c>
      <c r="H8" s="11" t="n">
        <v>137.2</v>
      </c>
      <c r="I8" s="11" t="n">
        <v>68.8</v>
      </c>
      <c r="J8" s="12" t="n">
        <v>125223.28</v>
      </c>
    </row>
    <row r="9">
      <c r="A9" s="14" t="inlineStr">
        <is>
          <t>V_ISRAEL</t>
        </is>
      </c>
      <c r="B9" s="14" t="inlineStr">
        <is>
          <t>Desconhecido</t>
        </is>
      </c>
      <c r="C9" s="14" t="n">
        <v>3</v>
      </c>
      <c r="D9" s="14" t="n">
        <v>1.77</v>
      </c>
      <c r="E9" s="14" t="n">
        <v>53</v>
      </c>
      <c r="F9" s="14" t="n">
        <v>48</v>
      </c>
      <c r="G9" s="14" t="n">
        <v>101</v>
      </c>
      <c r="H9" s="14" t="n">
        <v>67.3</v>
      </c>
      <c r="I9" s="14" t="n">
        <v>33.7</v>
      </c>
      <c r="J9" s="15" t="n">
        <v>61395.88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SUPRIMENTOS PREVISTOS - Baseado na Producao Real</t>
        </is>
      </c>
    </row>
    <row r="3">
      <c r="A3" s="10" t="inlineStr">
        <is>
          <t>Material</t>
        </is>
      </c>
      <c r="B3" s="10" t="inlineStr">
        <is>
          <t>Unid</t>
        </is>
      </c>
      <c r="C3" s="10" t="inlineStr">
        <is>
          <t>Fator/m</t>
        </is>
      </c>
      <c r="D3" s="10" t="inlineStr">
        <is>
          <t>Qtd Total</t>
        </is>
      </c>
      <c r="E3" s="10" t="inlineStr">
        <is>
          <t>Preco Unit</t>
        </is>
      </c>
      <c r="F3" s="10" t="inlineStr">
        <is>
          <t>Custo Total</t>
        </is>
      </c>
      <c r="G3" s="10" t="inlineStr">
        <is>
          <t>Qtd Proximo Mes</t>
        </is>
      </c>
      <c r="H3" s="10" t="inlineStr">
        <is>
          <t>Custo Proximo Mes</t>
        </is>
      </c>
    </row>
    <row r="4">
      <c r="A4" s="14" t="inlineStr">
        <is>
          <t>Tubo PVC DN200</t>
        </is>
      </c>
      <c r="B4" s="14" t="inlineStr">
        <is>
          <t>m</t>
        </is>
      </c>
      <c r="C4" s="14" t="n">
        <v>0.6</v>
      </c>
      <c r="D4" s="14" t="n">
        <v>3069.8</v>
      </c>
      <c r="E4" s="15" t="n">
        <v>200.12</v>
      </c>
      <c r="F4" s="15" t="n">
        <v>614319.5699999999</v>
      </c>
      <c r="G4" s="14" t="n">
        <v>511.6</v>
      </c>
      <c r="H4" s="15" t="n">
        <v>102386.6</v>
      </c>
    </row>
    <row r="5">
      <c r="A5" s="14" t="inlineStr">
        <is>
          <t>Tubo PVC DN300</t>
        </is>
      </c>
      <c r="B5" s="14" t="inlineStr">
        <is>
          <t>m</t>
        </is>
      </c>
      <c r="C5" s="14" t="n">
        <v>0.4</v>
      </c>
      <c r="D5" s="14" t="n">
        <v>2046.5</v>
      </c>
      <c r="E5" s="15" t="n">
        <v>310</v>
      </c>
      <c r="F5" s="15" t="n">
        <v>634416.24</v>
      </c>
      <c r="G5" s="14" t="n">
        <v>341.1</v>
      </c>
      <c r="H5" s="15" t="n">
        <v>105736.04</v>
      </c>
    </row>
    <row r="6">
      <c r="A6" s="14" t="inlineStr">
        <is>
          <t>PV concreto DN1200</t>
        </is>
      </c>
      <c r="B6" s="14" t="inlineStr">
        <is>
          <t>un</t>
        </is>
      </c>
      <c r="C6" s="14" t="n">
        <v>0.068</v>
      </c>
      <c r="D6" s="14" t="n">
        <v>347.9</v>
      </c>
      <c r="E6" s="15" t="n">
        <v>3686</v>
      </c>
      <c r="F6" s="15" t="n">
        <v>1282380.34</v>
      </c>
      <c r="G6" s="14" t="n">
        <v>58</v>
      </c>
      <c r="H6" s="15" t="n">
        <v>213730.06</v>
      </c>
    </row>
    <row r="7">
      <c r="A7" s="14" t="inlineStr">
        <is>
          <t>PI plástico DN600</t>
        </is>
      </c>
      <c r="B7" s="14" t="inlineStr">
        <is>
          <t>un</t>
        </is>
      </c>
      <c r="C7" s="14" t="n">
        <v>0.022</v>
      </c>
      <c r="D7" s="14" t="n">
        <v>112.6</v>
      </c>
      <c r="E7" s="15" t="n">
        <v>1412</v>
      </c>
      <c r="F7" s="15" t="n">
        <v>158931.5</v>
      </c>
      <c r="G7" s="14" t="n">
        <v>18.8</v>
      </c>
      <c r="H7" s="15" t="n">
        <v>26488.58</v>
      </c>
    </row>
    <row r="8">
      <c r="A8" s="14" t="inlineStr">
        <is>
          <t>Caixa inspeção</t>
        </is>
      </c>
      <c r="B8" s="14" t="inlineStr">
        <is>
          <t>un</t>
        </is>
      </c>
      <c r="C8" s="14" t="n">
        <v>0.055</v>
      </c>
      <c r="D8" s="14" t="n">
        <v>281.4</v>
      </c>
      <c r="E8" s="15" t="n">
        <v>1034</v>
      </c>
      <c r="F8" s="15" t="n">
        <v>290961.71</v>
      </c>
      <c r="G8" s="14" t="n">
        <v>46.9</v>
      </c>
      <c r="H8" s="15" t="n">
        <v>48493.62</v>
      </c>
    </row>
    <row r="9">
      <c r="A9" s="14" t="inlineStr">
        <is>
          <t>Tubo PEAD DN63</t>
        </is>
      </c>
      <c r="B9" s="14" t="inlineStr">
        <is>
          <t>m</t>
        </is>
      </c>
      <c r="C9" s="14" t="n">
        <v>0.7</v>
      </c>
      <c r="D9" s="14" t="n">
        <v>3581.4</v>
      </c>
      <c r="E9" s="15" t="n">
        <v>85</v>
      </c>
      <c r="F9" s="15" t="n">
        <v>304417.47</v>
      </c>
      <c r="G9" s="14" t="n">
        <v>596.9</v>
      </c>
      <c r="H9" s="15" t="n">
        <v>50736.24</v>
      </c>
    </row>
    <row r="10">
      <c r="A10" s="14" t="inlineStr">
        <is>
          <t>Tubo PEAD DN110</t>
        </is>
      </c>
      <c r="B10" s="14" t="inlineStr">
        <is>
          <t>m</t>
        </is>
      </c>
      <c r="C10" s="14" t="n">
        <v>0.3</v>
      </c>
      <c r="D10" s="14" t="n">
        <v>1534.9</v>
      </c>
      <c r="E10" s="15" t="n">
        <v>101.8</v>
      </c>
      <c r="F10" s="15" t="n">
        <v>156250.58</v>
      </c>
      <c r="G10" s="14" t="n">
        <v>255.8</v>
      </c>
      <c r="H10" s="15" t="n">
        <v>26041.76</v>
      </c>
    </row>
    <row r="11">
      <c r="A11" s="14" t="inlineStr">
        <is>
          <t>Sela eletrofusão</t>
        </is>
      </c>
      <c r="B11" s="14" t="inlineStr">
        <is>
          <t>un</t>
        </is>
      </c>
      <c r="C11" s="14" t="n">
        <v>0.022</v>
      </c>
      <c r="D11" s="14" t="n">
        <v>112.6</v>
      </c>
      <c r="E11" s="15" t="n">
        <v>660</v>
      </c>
      <c r="F11" s="15" t="n">
        <v>74288.10000000001</v>
      </c>
      <c r="G11" s="14" t="n">
        <v>18.8</v>
      </c>
      <c r="H11" s="15" t="n">
        <v>12381.35</v>
      </c>
    </row>
    <row r="12">
      <c r="A12" s="14" t="inlineStr">
        <is>
          <t>Cavalete/hidrom.</t>
        </is>
      </c>
      <c r="B12" s="14" t="inlineStr">
        <is>
          <t>un</t>
        </is>
      </c>
      <c r="C12" s="14" t="n">
        <v>0.017</v>
      </c>
      <c r="D12" s="14" t="n">
        <v>87</v>
      </c>
      <c r="E12" s="15" t="n">
        <v>490</v>
      </c>
      <c r="F12" s="15" t="n">
        <v>42618.45</v>
      </c>
      <c r="G12" s="14" t="n">
        <v>14.5</v>
      </c>
      <c r="H12" s="15" t="n">
        <v>7103.07</v>
      </c>
    </row>
    <row r="13">
      <c r="A13" s="14" t="inlineStr">
        <is>
          <t>Conexões diversas</t>
        </is>
      </c>
      <c r="B13" s="14" t="inlineStr">
        <is>
          <t>vb</t>
        </is>
      </c>
      <c r="C13" s="14" t="n">
        <v>0.011</v>
      </c>
      <c r="D13" s="14" t="n">
        <v>56.3</v>
      </c>
      <c r="E13" s="15" t="n">
        <v>120</v>
      </c>
      <c r="F13" s="15" t="n">
        <v>6753.46</v>
      </c>
      <c r="G13" s="14" t="n">
        <v>9.4</v>
      </c>
      <c r="H13" s="15" t="n">
        <v>1125.58</v>
      </c>
    </row>
    <row r="14">
      <c r="A14" s="14" t="inlineStr">
        <is>
          <t>Areia</t>
        </is>
      </c>
      <c r="B14" s="14" t="inlineStr">
        <is>
          <t>m³</t>
        </is>
      </c>
      <c r="C14" s="14" t="n">
        <v>0.25</v>
      </c>
      <c r="D14" s="14" t="n">
        <v>1279.1</v>
      </c>
      <c r="E14" s="15" t="n">
        <v>160</v>
      </c>
      <c r="F14" s="15" t="n">
        <v>204650.4</v>
      </c>
      <c r="G14" s="14" t="n">
        <v>213.2</v>
      </c>
      <c r="H14" s="15" t="n">
        <v>34108.4</v>
      </c>
    </row>
    <row r="15">
      <c r="A15" s="14" t="inlineStr">
        <is>
          <t>Berço</t>
        </is>
      </c>
      <c r="B15" s="14" t="inlineStr">
        <is>
          <t>m³</t>
        </is>
      </c>
      <c r="C15" s="14" t="n">
        <v>0.24</v>
      </c>
      <c r="D15" s="14" t="n">
        <v>1227.9</v>
      </c>
      <c r="E15" s="15" t="n">
        <v>160</v>
      </c>
      <c r="F15" s="15" t="n">
        <v>196464.38</v>
      </c>
      <c r="G15" s="14" t="n">
        <v>204.7</v>
      </c>
      <c r="H15" s="15" t="n">
        <v>32744.06</v>
      </c>
    </row>
    <row r="16">
      <c r="A16" s="14" t="inlineStr">
        <is>
          <t>Brita base</t>
        </is>
      </c>
      <c r="B16" s="14" t="inlineStr">
        <is>
          <t>m³</t>
        </is>
      </c>
      <c r="C16" s="14" t="n">
        <v>0.22</v>
      </c>
      <c r="D16" s="14" t="n">
        <v>1125.6</v>
      </c>
      <c r="E16" s="15" t="n">
        <v>210</v>
      </c>
      <c r="F16" s="15" t="n">
        <v>236371.21</v>
      </c>
      <c r="G16" s="14" t="n">
        <v>187.6</v>
      </c>
      <c r="H16" s="15" t="n">
        <v>39395.2</v>
      </c>
    </row>
    <row r="17">
      <c r="A17" s="14" t="inlineStr">
        <is>
          <t>Concreto</t>
        </is>
      </c>
      <c r="B17" s="14" t="inlineStr">
        <is>
          <t>m³</t>
        </is>
      </c>
      <c r="C17" s="14" t="n">
        <v>0.18</v>
      </c>
      <c r="D17" s="14" t="n">
        <v>920.9</v>
      </c>
      <c r="E17" s="15" t="n">
        <v>720</v>
      </c>
      <c r="F17" s="15" t="n">
        <v>663067.3</v>
      </c>
      <c r="G17" s="14" t="n">
        <v>153.5</v>
      </c>
      <c r="H17" s="15" t="n">
        <v>110511.22</v>
      </c>
    </row>
    <row r="18">
      <c r="A18" s="14" t="inlineStr">
        <is>
          <t>CBUQ provisório</t>
        </is>
      </c>
      <c r="B18" s="14" t="inlineStr">
        <is>
          <t>m²</t>
        </is>
      </c>
      <c r="C18" s="14" t="n">
        <v>0.88</v>
      </c>
      <c r="D18" s="14" t="n">
        <v>4502.3</v>
      </c>
      <c r="E18" s="15" t="n">
        <v>55</v>
      </c>
      <c r="F18" s="15" t="n">
        <v>247626.98</v>
      </c>
      <c r="G18" s="14" t="n">
        <v>750.4</v>
      </c>
      <c r="H18" s="15" t="n">
        <v>41271.16</v>
      </c>
    </row>
    <row r="19">
      <c r="A19" s="14" t="inlineStr">
        <is>
          <t>CBUQ definitivo</t>
        </is>
      </c>
      <c r="B19" s="14" t="inlineStr">
        <is>
          <t>m²</t>
        </is>
      </c>
      <c r="C19" s="14" t="n">
        <v>0.88</v>
      </c>
      <c r="D19" s="14" t="n">
        <v>4502.3</v>
      </c>
      <c r="E19" s="15" t="n">
        <v>120</v>
      </c>
      <c r="F19" s="15" t="n">
        <v>540277.0600000001</v>
      </c>
      <c r="G19" s="14" t="n">
        <v>750.4</v>
      </c>
      <c r="H19" s="15" t="n">
        <v>90046.17999999999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2" customWidth="1" min="3" max="3"/>
    <col width="55" customWidth="1" min="4" max="4"/>
  </cols>
  <sheetData>
    <row r="1">
      <c r="A1" s="1" t="inlineStr">
        <is>
          <t>ACOES RECOMENDADAS - Motor de Retencao</t>
        </is>
      </c>
    </row>
    <row r="3">
      <c r="A3" s="10" t="inlineStr">
        <is>
          <t>Prioridade</t>
        </is>
      </c>
      <c r="B3" s="10" t="inlineStr">
        <is>
          <t>Problema</t>
        </is>
      </c>
      <c r="C3" s="10" t="inlineStr">
        <is>
          <t>Valor</t>
        </is>
      </c>
      <c r="D3" s="10" t="inlineStr">
        <is>
          <t>Acao Recomendada</t>
        </is>
      </c>
    </row>
    <row r="4">
      <c r="A4" s="13" t="inlineStr">
        <is>
          <t>CRITICA</t>
        </is>
      </c>
      <c r="B4" s="14" t="inlineStr">
        <is>
          <t>Medicao abaixo de 70%</t>
        </is>
      </c>
      <c r="C4" s="14" t="inlineStr">
        <is>
          <t>R$ 447,720.00 retidos</t>
        </is>
      </c>
      <c r="D4" s="14" t="inlineStr">
        <is>
          <t>Agendar reuniao urgente com fiscal Sabesp para apresentar trechos nao medidos</t>
        </is>
      </c>
    </row>
    <row r="5">
      <c r="A5" s="16" t="inlineStr">
        <is>
          <t>URGENTE</t>
        </is>
      </c>
      <c r="B5" s="14" t="inlineStr">
        <is>
          <t>Mes 2025-11 com 51% medicao</t>
        </is>
      </c>
      <c r="C5" s="14" t="inlineStr">
        <is>
          <t>R$ 80,080.00</t>
        </is>
      </c>
      <c r="D5" s="14" t="inlineStr">
        <is>
          <t>Revisar NS e cadastros NTS 292 do periodo 2025-11</t>
        </is>
      </c>
    </row>
    <row r="6">
      <c r="A6" s="16" t="inlineStr">
        <is>
          <t>URGENTE</t>
        </is>
      </c>
      <c r="B6" s="14" t="inlineStr">
        <is>
          <t>Mes 2026-04 com 0% medicao</t>
        </is>
      </c>
      <c r="C6" s="14" t="inlineStr">
        <is>
          <t>R$ 0.00</t>
        </is>
      </c>
      <c r="D6" s="14" t="inlineStr">
        <is>
          <t>Revisar NS e cadastros NTS 292 do periodo 2026-04</t>
        </is>
      </c>
    </row>
    <row r="7">
      <c r="A7" s="17" t="inlineStr">
        <is>
          <t>PRIORIDADE</t>
        </is>
      </c>
      <c r="B7" s="14" t="inlineStr">
        <is>
          <t>Nucleo M_TETEU</t>
        </is>
      </c>
      <c r="C7" s="14" t="inlineStr">
        <is>
          <t>GAP R$ 251,662.32</t>
        </is>
      </c>
      <c r="D7" s="14" t="inlineStr">
        <is>
          <t>Priorizar cadastro e medicao. Tipo: Desconhecido</t>
        </is>
      </c>
    </row>
    <row r="8">
      <c r="A8" s="17" t="inlineStr">
        <is>
          <t>PRIORIDADE</t>
        </is>
      </c>
      <c r="B8" s="14" t="inlineStr">
        <is>
          <t>Nucleo P_BAIXO</t>
        </is>
      </c>
      <c r="C8" s="14" t="inlineStr">
        <is>
          <t>GAP R$ 238,896.84</t>
        </is>
      </c>
      <c r="D8" s="14" t="inlineStr">
        <is>
          <t>Priorizar cadastro e medicao. Tipo: Desconhecido</t>
        </is>
      </c>
    </row>
    <row r="9">
      <c r="A9" s="17" t="inlineStr">
        <is>
          <t>PRIORIDADE</t>
        </is>
      </c>
      <c r="B9" s="14" t="inlineStr">
        <is>
          <t>Nucleo S_MANOEL</t>
        </is>
      </c>
      <c r="C9" s="14" t="inlineStr">
        <is>
          <t>GAP R$ 199,992.52</t>
        </is>
      </c>
      <c r="D9" s="14" t="inlineStr">
        <is>
          <t>Priorizar cadastro e medicao. Tipo: Desconhecido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2026-04-19T05:43:56Z</dcterms:created>
  <dcterms:modified xmlns:dcterms="http://purl.org/dc/terms/" xmlns:xsi="http://www.w3.org/2001/XMLSchema-instance" xsi:type="dcterms:W3CDTF">2026-04-19T05:43:56Z</dcterms:modified>
</cp:coreProperties>
</file>